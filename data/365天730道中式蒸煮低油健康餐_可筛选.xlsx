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932ae1261840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b593cc945c444c11"/>
    <x:sheet xmlns:r="http://schemas.openxmlformats.org/officeDocument/2006/relationships" name="730餐菜单" sheetId="2" r:id="R3d5877d860b24377"/>
    <x:sheet xmlns:r="http://schemas.openxmlformats.org/officeDocument/2006/relationships" name="每日小结" sheetId="3" r:id="R1a6f2242802943fb"/>
    <x:sheet xmlns:r="http://schemas.openxmlformats.org/officeDocument/2006/relationships" name="30道入门" sheetId="4" r:id="Rfd415ae465e04aac"/>
    <x:sheet xmlns:r="http://schemas.openxmlformats.org/officeDocument/2006/relationships" name="食材明细" sheetId="5" r:id="R11978a8d6caf4310"/>
    <x:sheet xmlns:r="http://schemas.openxmlformats.org/officeDocument/2006/relationships" name="每周采购" sheetId="6" r:id="R48bb2da34c0c4258"/>
    <x:sheet xmlns:r="http://schemas.openxmlformats.org/officeDocument/2006/relationships" name="食材估值" sheetId="7" r:id="Re96a9377d603455d"/>
    <x:sheet xmlns:r="http://schemas.openxmlformats.org/officeDocument/2006/relationships" name="资料与说明" sheetId="8" r:id="R50623705360e42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sz val="11"/>
      <x:color rgb="FF1F5A60"/>
      <x:name val="Carlito"/>
    </x:font>
    <x:font>
      <x:b/>
      <x:sz val="11"/>
      <x:color rgb="FF295C60"/>
      <x:name val="Carlito"/>
    </x:font>
    <x:font>
      <x:b/>
      <x:sz val="18"/>
      <x:color rgb="FF164C50"/>
      <x:name val="Carlito"/>
    </x:font>
    <x:font>
      <x:b/>
      <x:sz val="11"/>
      <x:color rgb="FF174A4E"/>
      <x:name val="Carlito"/>
    </x:font>
    <x:font>
      <x:sz val="10"/>
      <x:color rgb="FF285B62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64C50"/>
      </x:patternFill>
    </x:fill>
    <x:fill>
      <x:patternFill patternType="solid">
        <x:fgColor rgb="FF153E43"/>
      </x:patternFill>
    </x:fill>
    <x:fill>
      <x:patternFill patternType="solid">
        <x:fgColor rgb="FFDDF1EC"/>
      </x:patternFill>
    </x:fill>
    <x:fill>
      <x:patternFill patternType="solid">
        <x:fgColor rgb="FFE9F5F2"/>
      </x:patternFill>
    </x:fill>
    <x:fill>
      <x:patternFill patternType="solid">
        <x:fgColor rgb="FFF4FAF8"/>
      </x:patternFill>
    </x:fill>
    <x:fill>
      <x:patternFill patternType="solid">
        <x:fgColor rgb="FFE3F2F0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vertical="center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807565b6ef41a4" /><Relationship Type="http://schemas.openxmlformats.org/officeDocument/2006/relationships/theme" Target="/xl/theme/theme1.xml" Id="R2aebec3663df4655" /><Relationship Type="http://schemas.openxmlformats.org/officeDocument/2006/relationships/sharedStrings" Target="/xl/sharedStrings.xml" Id="R175af5f8ea5f4ae7" /><Relationship Type="http://schemas.openxmlformats.org/officeDocument/2006/relationships/worksheet" Target="/xl/worksheets/sheet1.xml" Id="Rb593cc945c444c11" /><Relationship Type="http://schemas.openxmlformats.org/officeDocument/2006/relationships/worksheet" Target="/xl/worksheets/sheet2.xml" Id="R3d5877d860b24377" /><Relationship Type="http://schemas.openxmlformats.org/officeDocument/2006/relationships/worksheet" Target="/xl/worksheets/sheet3.xml" Id="R1a6f2242802943fb" /><Relationship Type="http://schemas.openxmlformats.org/officeDocument/2006/relationships/worksheet" Target="/xl/worksheets/sheet4.xml" Id="Rfd415ae465e04aac" /><Relationship Type="http://schemas.openxmlformats.org/officeDocument/2006/relationships/worksheet" Target="/xl/worksheets/sheet5.xml" Id="R11978a8d6caf4310" /><Relationship Type="http://schemas.openxmlformats.org/officeDocument/2006/relationships/worksheet" Target="/xl/worksheets/sheet6.xml" Id="R48bb2da34c0c4258" /><Relationship Type="http://schemas.openxmlformats.org/officeDocument/2006/relationships/worksheet" Target="/xl/worksheets/sheet7.xml" Id="Re96a9377d603455d" /><Relationship Type="http://schemas.openxmlformats.org/officeDocument/2006/relationships/worksheet" Target="/xl/worksheets/sheet8.xml" Id="R50623705360e42e8" /></Relationships>
</file>

<file path=xl/tables/table1.xml><?xml version="1.0" encoding="utf-8"?>
<x:table xmlns:x="http://schemas.openxmlformats.org/spreadsheetml/2006/main" id="1" name="Meals730" displayName="Meals730" ref="A1:R731" headerRowCount="1" totalsRowCount="0" totalsRowShown="0">
  <x:tableColumns count="18">
    <x:tableColumn id="1" name="序号"/>
    <x:tableColumn id="2" name="第几天"/>
    <x:tableColumn id="3" name="周次"/>
    <x:tableColumn id="4" name="餐次"/>
    <x:tableColumn id="5" name="主要类别"/>
    <x:tableColumn id="6" name="菜单名称"/>
    <x:tableColumn id="7" name="食材及重量"/>
    <x:tableColumn id="8" name="主食"/>
    <x:tableColumn id="9" name="低主食调整参考"/>
    <x:tableColumn id="10" name="调味（尽量少盐）"/>
    <x:tableColumn id="11" name="烹调方式"/>
    <x:tableColumn id="12" name="步骤（单餐）"/>
    <x:tableColumn id="13" name="备餐分钟"/>
    <x:tableColumn id="14" name="估算热量 kcal"/>
    <x:tableColumn id="15" name="蛋白质 g"/>
    <x:tableColumn id="16" name="碳水 g"/>
    <x:tableColumn id="17" name="脂肪 g"/>
    <x:tableColumn id="18" name="提醒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ily365" displayName="Daily365" ref="A1:L366" headerRowCount="1" totalsRowCount="0" totalsRowShown="0">
  <x:tableColumns count="12">
    <x:tableColumn id="1" name="第几天"/>
    <x:tableColumn id="2" name="周次"/>
    <x:tableColumn id="3" name="午餐"/>
    <x:tableColumn id="4" name="晚餐"/>
    <x:tableColumn id="5" name="午餐千卡"/>
    <x:tableColumn id="6" name="晚餐千卡"/>
    <x:tableColumn id="7" name="两餐合计千卡"/>
    <x:tableColumn id="8" name="两餐蛋白 g"/>
    <x:tableColumn id="9" name="两餐碳水 g"/>
    <x:tableColumn id="10" name="两餐脂肪 g"/>
    <x:tableColumn id="11" name="两餐蔬菜 g"/>
    <x:tableColumn id="12" name="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art30" displayName="Start30" ref="A1:I31" headerRowCount="1" totalsRowCount="0" totalsRowShown="0">
  <x:tableColumns count="9">
    <x:tableColumn id="1" name="精选序号"/>
    <x:tableColumn id="2" name="菜单ID"/>
    <x:tableColumn id="3" name="第几天"/>
    <x:tableColumn id="4" name="餐次"/>
    <x:tableColumn id="5" name="菜名"/>
    <x:tableColumn id="6" name="估算千卡"/>
    <x:tableColumn id="7" name="蛋白质 g"/>
    <x:tableColumn id="8" name="用料"/>
    <x:tableColumn id="9" name="做法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eeklyShopping" displayName="WeeklyShopping" ref="A1:G2105" headerRowCount="1" totalsRowCount="0" totalsRowShown="0">
  <x:tableColumns count="7">
    <x:tableColumn id="1" name="周次"/>
    <x:tableColumn id="2" name="食材类别"/>
    <x:tableColumn id="3" name="食材"/>
    <x:tableColumn id="4" name="计划菜单用量 g"/>
    <x:tableColumn id="5" name="估算采购量 g"/>
    <x:tableColumn id="6" name="采购形式"/>
    <x:tableColumn id="7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ngredients77" displayName="Ingredients77" ref="A1:H78" headerRowCount="1" totalsRowCount="0" totalsRowShown="0">
  <x:tableColumns count="8">
    <x:tableColumn id="1" name="食材"/>
    <x:tableColumn id="2" name="估算千卡/100g"/>
    <x:tableColumn id="3" name="蛋白质g/100g"/>
    <x:tableColumn id="4" name="碳水g/100g"/>
    <x:tableColumn id="5" name="脂肪g/100g"/>
    <x:tableColumn id="6" name="类别"/>
    <x:tableColumn id="7" name="计重说明"/>
    <x:tableColumn id="8" name="来源性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41fab8bdd348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31485e5cb046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e45c2352c944e3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0fb7f334b7cc4fe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ec11ce270049419f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13" hidden="0" customWidth="1"/>
    <x:col min="3" max="3" width="13" hidden="0" customWidth="1"/>
    <x:col min="4" max="4" width="12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4" hidden="0" customWidth="1"/>
    <x:col min="10" max="10" width="13" hidden="0" customWidth="1"/>
    <x:col min="11" max="11" width="7" hidden="0" customWidth="1"/>
    <x:col min="12" max="12" width="16" hidden="0" customWidth="1"/>
    <x:col min="13" max="13" width="13" hidden="0" customWidth="1"/>
    <x:col min="14" max="14" width="12" hidden="0" customWidth="1"/>
    <x:col min="15" max="15" width="13" hidden="0" customWidth="1"/>
    <x:col min="16" max="16" width="15" hidden="0" customWidth="1"/>
  </x:cols>
  <x:sheetData>
    <x:row r="1" ht="25" customHeight="1">
      <x:c r="A1" s="14" t="str">
        <x:v>365 天 × 午晚两餐｜730 组中式蒸煮少油餐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</x:row>
    <x:row r="2" ht="25" customHeight="1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</x:row>
    <x:row r="3" ht="28" customHeight="1">
      <x:c r="A3" s="19" t="str">
        <x:v>原创组合 · 食材精确到克 · 粗略宏量营养估值 · 可筛选菜单 · 53 周采购清单</x:v>
      </x:c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</x:row>
    <x:row r="5" ht="24" customHeight="1">
      <x:c r="A5" s="24" t="str">
        <x:v>全年天数</x:v>
      </x:c>
      <x:c r="B5" s="24"/>
      <x:c r="C5" s="24"/>
      <x:c r="D5" s="24"/>
      <x:c r="E5" s="24" t="str">
        <x:v>午餐 + 晚餐</x:v>
      </x:c>
      <x:c r="F5" s="24"/>
      <x:c r="G5" s="24"/>
      <x:c r="H5" s="24"/>
      <x:c r="I5" s="24" t="str">
        <x:v>单餐平均千卡</x:v>
      </x:c>
      <x:c r="J5" s="24"/>
      <x:c r="K5" s="24"/>
      <x:c r="L5" s="24"/>
      <x:c r="M5" s="24" t="str">
        <x:v>单餐平均蛋白质 g</x:v>
      </x:c>
      <x:c r="N5" s="24"/>
      <x:c r="O5" s="24"/>
      <x:c r="P5" s="24"/>
    </x:row>
    <x:row r="6" ht="29" customHeight="1">
      <x:c r="A6" s="31" t="n">
        <x:v>365</x:v>
      </x:c>
      <x:c r="B6" s="31"/>
      <x:c r="C6" s="31"/>
      <x:c r="D6" s="31"/>
      <x:c r="E6" s="31" t="n">
        <x:f>COUNTA('730餐菜单'!F2:F731)</x:f>
        <x:v>730</x:v>
      </x:c>
      <x:c r="F6" s="31"/>
      <x:c r="G6" s="31"/>
      <x:c r="H6" s="31"/>
      <x:c r="I6" s="31" t="n">
        <x:f>ROUND(AVERAGE('730餐菜单'!N2:N731),0)</x:f>
        <x:v>460</x:v>
      </x:c>
      <x:c r="J6" s="31"/>
      <x:c r="K6" s="31"/>
      <x:c r="L6" s="31"/>
      <x:c r="M6" s="31" t="n">
        <x:f>ROUND(AVERAGE('730餐菜单'!O2:O731),1)</x:f>
        <x:v>42.5</x:v>
      </x:c>
      <x:c r="N6" s="31"/>
      <x:c r="O6" s="31"/>
      <x:c r="P6" s="31"/>
    </x:row>
    <x:row r="7" ht="29" customHeight="1">
      <x:c r="A7" s="31"/>
      <x:c r="B7" s="31"/>
      <x:c r="C7" s="31"/>
      <x:c r="D7" s="31"/>
      <x:c r="E7" s="31"/>
      <x:c r="F7" s="31"/>
      <x:c r="G7" s="31"/>
      <x:c r="H7" s="31"/>
      <x:c r="I7" s="31"/>
      <x:c r="J7" s="31"/>
      <x:c r="K7" s="31"/>
      <x:c r="L7" s="31"/>
      <x:c r="M7" s="31"/>
      <x:c r="N7" s="31"/>
      <x:c r="O7" s="31"/>
      <x:c r="P7" s="31"/>
    </x:row>
    <x:row r="9" ht="24" customHeight="1">
      <x:c r="A9" s="38" t="str">
        <x:v>使用指南</x:v>
      </x:c>
      <x:c r="B9" s="38"/>
      <x:c r="C9" s="38"/>
      <x:c r="D9" s="38"/>
      <x:c r="E9" s="38"/>
      <x:c r="F9" s="38"/>
      <x:c r="G9" s="38"/>
      <x:c r="H9" s="38"/>
      <x:c r="I9" s="38"/>
      <x:c r="J9" s="38"/>
      <x:c r="K9" s="38"/>
      <x:c r="L9" s="38"/>
      <x:c r="M9" s="38"/>
      <x:c r="N9" s="38"/>
      <x:c r="O9" s="38"/>
      <x:c r="P9" s="38"/>
    </x:row>
    <x:row r="10" ht="25" customHeight="1">
      <x:c r="A10" t="str">
        <x:v>①「730餐菜单」按【肉类 / 餐次 / 主食 / 热量】筛选，直接复制菜单食材到采购清单。</x:v>
      </x:c>
    </x:row>
    <x:row r="11" ht="25" customHeight="1">
      <x:c r="A11" t="str">
        <x:v>②「食材明细」每道菜 6 行：可以改克数，热量和蛋白质会自动汇总回菜单。</x:v>
      </x:c>
    </x:row>
    <x:row r="12" ht="25" customHeight="1">
      <x:c r="A12" t="str">
        <x:v>③「每日小结」只计算午餐+晚餐；不是一整天的营养摄入，仍需吃早餐、水果、奶和适量其他食物。</x:v>
      </x:c>
    </x:row>
    <x:row r="13" ht="25" customHeight="1">
      <x:c r="A13" t="str">
        <x:v>④「每周采购」按 1–53 周汇总（第 53 周仅 1 天）；采购量是初始菜单的静态快照。</x:v>
      </x:c>
    </x:row>
    <x:row r="14" ht="25" customHeight="1">
      <x:c r="A14" t="str">
        <x:v>⑤ 生肉/生菜用净重；米饭、煮面、蒸薯类用熟重；油按实际用量计算，调味料未全部计入。</x:v>
      </x:c>
    </x:row>
    <x:row r="16" ht="24" customHeight="1">
      <x:c r="A16" s="38" t="str">
        <x:v>你举的例子：全部收录在第 1–4 天</x:v>
      </x:c>
      <x:c r="B16" s="38"/>
      <x:c r="C16" s="38"/>
      <x:c r="D16" s="38"/>
      <x:c r="E16" s="38"/>
      <x:c r="F16" s="38"/>
      <x:c r="G16" s="38"/>
      <x:c r="H16" s="38"/>
      <x:c r="I16" s="38"/>
      <x:c r="J16" s="38"/>
      <x:c r="L16" s="38" t="str">
        <x:v>蛋白主类数量</x:v>
      </x:c>
      <x:c r="M16" s="38"/>
      <x:c r="N16" s="38"/>
      <x:c r="O16" s="38"/>
      <x:c r="P16" s="38"/>
    </x:row>
    <x:row r="17">
      <x:c r="A17" t="str">
        <x:v>菜单 ID</x:v>
      </x:c>
      <x:c r="B17" t="str">
        <x:v>原例配餐及健康版</x:v>
      </x:c>
      <x:c r="C17" t="str"/>
      <x:c r="D17" t="str"/>
      <x:c r="E17" t="str"/>
      <x:c r="F17" t="str"/>
      <x:c r="G17" t="str"/>
      <x:c r="H17" t="str"/>
      <x:c r="I17" t="str">
        <x:v>估算千卡</x:v>
      </x:c>
      <x:c r="J17" t="str">
        <x:v>蛋白 g</x:v>
      </x:c>
    </x:row>
    <x:row r="18" ht="23" customHeight="1">
      <x:c r="A18" t="n">
        <x:v>1</x:v>
      </x:c>
      <x:c r="B18" t="str">
        <x:v>西兰花牛肉口蘑｜糙米饭</x:v>
      </x:c>
      <x:c r="I18" t="n">
        <x:f>'730餐菜单'!N2</x:f>
        <x:v>505</x:v>
      </x:c>
      <x:c r="J18" t="n">
        <x:f>'730餐菜单'!O2</x:f>
        <x:v>49.3</x:v>
      </x:c>
      <x:c r="L18" t="str">
        <x:v>禽肉</x:v>
      </x:c>
      <x:c r="O18" t="n">
        <x:v>169</x:v>
      </x:c>
    </x:row>
    <x:row r="19" ht="23" customHeight="1">
      <x:c r="A19" t="n">
        <x:v>2</x:v>
      </x:c>
      <x:c r="B19" t="str">
        <x:v>无糖奥尔良鸡排口蘑西兰花｜玉米</x:v>
      </x:c>
      <x:c r="I19" t="n">
        <x:f>'730餐菜单'!N3</x:f>
        <x:v>451</x:v>
      </x:c>
      <x:c r="J19" t="n">
        <x:f>'730餐菜单'!O3</x:f>
        <x:v>54.5</x:v>
      </x:c>
      <x:c r="L19" t="str">
        <x:v>鱼类</x:v>
      </x:c>
      <x:c r="O19" t="n">
        <x:v>128</x:v>
      </x:c>
    </x:row>
    <x:row r="20" ht="23" customHeight="1">
      <x:c r="A20" t="n">
        <x:v>3</x:v>
      </x:c>
      <x:c r="B20" t="str">
        <x:v>洋葱鸡腿香菇焖饭｜燕麦饭</x:v>
      </x:c>
      <x:c r="I20" t="n">
        <x:f>'730餐菜单'!N4</x:f>
        <x:v>517</x:v>
      </x:c>
      <x:c r="J20" t="n">
        <x:f>'730餐菜单'!O4</x:f>
        <x:v>45.1</x:v>
      </x:c>
      <x:c r="L20" t="str">
        <x:v>海鲜</x:v>
      </x:c>
      <x:c r="O20" t="n">
        <x:v>126</x:v>
      </x:c>
    </x:row>
    <x:row r="21" ht="23" customHeight="1">
      <x:c r="A21" t="n">
        <x:v>4</x:v>
      </x:c>
      <x:c r="B21" t="str">
        <x:v>彩椒牛肉西兰花｜藜麦饭</x:v>
      </x:c>
      <x:c r="I21" t="n">
        <x:f>'730餐菜单'!N5</x:f>
        <x:v>540</x:v>
      </x:c>
      <x:c r="J21" t="n">
        <x:f>'730餐菜单'!O5</x:f>
        <x:v>49.2</x:v>
      </x:c>
      <x:c r="L21" t="str">
        <x:v>豆蛋</x:v>
      </x:c>
      <x:c r="O21" t="n">
        <x:v>123</x:v>
      </x:c>
    </x:row>
    <x:row r="22" ht="23" customHeight="1">
      <x:c r="A22" t="n">
        <x:v>5</x:v>
      </x:c>
      <x:c r="B22" t="str">
        <x:v>无糖番茄鸡蛋牛肉烩杂粮饭</x:v>
      </x:c>
      <x:c r="I22" t="n">
        <x:f>'730餐菜单'!N6</x:f>
        <x:v>568</x:v>
      </x:c>
      <x:c r="J22" t="n">
        <x:f>'730餐菜单'!O6</x:f>
        <x:v>44.1</x:v>
      </x:c>
      <x:c r="L22" t="str">
        <x:v>牛肉</x:v>
      </x:c>
      <x:c r="O22" t="n">
        <x:v>121</x:v>
      </x:c>
    </x:row>
    <x:row r="23" ht="23" customHeight="1">
      <x:c r="A23" t="n">
        <x:v>6</x:v>
      </x:c>
      <x:c r="B23" t="str">
        <x:v>无糖照烧肥牛豆腐乌冬面</x:v>
      </x:c>
      <x:c r="I23" t="n">
        <x:f>'730餐菜单'!N7</x:f>
        <x:v>588</x:v>
      </x:c>
      <x:c r="J23" t="n">
        <x:f>'730餐菜单'!O7</x:f>
        <x:v>36.8</x:v>
      </x:c>
      <x:c r="L23" t="str">
        <x:v>猪肉</x:v>
      </x:c>
      <x:c r="O23" t="n">
        <x:v>59</x:v>
      </x:c>
    </x:row>
    <x:row r="24" ht="23" customHeight="1">
      <x:c r="A24" t="n">
        <x:v>7</x:v>
      </x:c>
      <x:c r="B24" t="str">
        <x:v>什锦火腿鸡蛋彩椒口蘑蒸碗｜糙米饭</x:v>
      </x:c>
      <x:c r="I24" t="n">
        <x:f>'730餐菜单'!N8</x:f>
        <x:v>460</x:v>
      </x:c>
      <x:c r="J24" t="n">
        <x:f>'730餐菜单'!O8</x:f>
        <x:v>29.3</x:v>
      </x:c>
      <x:c r="L24" t="str">
        <x:v>加工肉</x:v>
      </x:c>
      <x:c r="O24" t="n">
        <x:v>4</x:v>
      </x:c>
    </x:row>
    <x:row r="25" ht="23" customHeight="1">
      <x:c r="A25" t="n">
        <x:v>8</x:v>
      </x:c>
      <x:c r="B25" t="str">
        <x:v>豉汁清蒸鲈鱼娃娃菜香菇｜紫薯</x:v>
      </x:c>
      <x:c r="I25" t="n">
        <x:f>'730餐菜单'!N9</x:f>
        <x:v>427</x:v>
      </x:c>
      <x:c r="J25" t="n">
        <x:f>'730餐菜单'!O9</x:f>
        <x:v>45.2</x:v>
      </x:c>
    </x:row>
    <x:row r="26" ht="23" customHeight="1">
      <x:c r="A26" t="n">
        <x:v>9</x:v>
      </x:c>
      <x:c r="B26" t="str">
        <x:v>番茄虾仁嫩豆腐小白菜汤｜玉米</x:v>
      </x:c>
      <x:c r="I26" t="n">
        <x:f>'730餐菜单'!N10</x:f>
        <x:v>451</x:v>
      </x:c>
      <x:c r="J26" t="n">
        <x:f>'730餐菜单'!O10</x:f>
        <x:v>46.7</x:v>
      </x:c>
    </x:row>
    <x:row r="27" ht="23" customHeight="1">
      <x:c r="A27" t="n">
        <x:v>10</x:v>
      </x:c>
      <x:c r="B27" t="str">
        <x:v>蒜香鸡丝黄瓜木耳｜杂粮饭</x:v>
      </x:c>
      <x:c r="I27" t="n">
        <x:f>'730餐菜单'!N11</x:f>
        <x:v>433</x:v>
      </x:c>
      <x:c r="J27" t="n">
        <x:f>'730餐菜单'!O11</x:f>
        <x:v>46.2</x:v>
      </x:c>
    </x:row>
    <x:row r="28" ht="23" customHeight="1">
      <x:c r="A28" t="n">
        <x:v>11</x:v>
      </x:c>
      <x:c r="B28" t="str">
        <x:v>清蒸鳕鱼西兰花口蘑｜紫薯</x:v>
      </x:c>
      <x:c r="I28" t="n">
        <x:f>'730餐菜单'!N12</x:f>
        <x:v>440</x:v>
      </x:c>
      <x:c r="J28" t="n">
        <x:f>'730餐菜单'!O12</x:f>
        <x:v>49.9</x:v>
      </x:c>
    </x:row>
    <x:row r="29" ht="23" customHeight="1">
      <x:c r="A29" t="n">
        <x:v>12</x:v>
      </x:c>
      <x:c r="B29" t="str">
        <x:v>丝瓜鸡蛋虾仁蒸碗｜荞麦饭</x:v>
      </x:c>
      <x:c r="I29" t="n">
        <x:f>'730餐菜单'!N13</x:f>
        <x:v>495</x:v>
      </x:c>
      <x:c r="J29" t="n">
        <x:f>'730餐菜单'!O13</x:f>
        <x:v>41</x:v>
      </x:c>
    </x:row>
    <x:row r="32" ht="24" customHeight="1">
      <x:c r="A32" s="38" t="str">
        <x:v>份量边界与健康提醒</x:v>
      </x:c>
      <x:c r="B32" s="38"/>
      <x:c r="C32" s="38"/>
      <x:c r="D32" s="38"/>
      <x:c r="E32" s="38"/>
      <x:c r="F32" s="38"/>
      <x:c r="G32" s="38"/>
      <x:c r="H32" s="38"/>
      <x:c r="I32" s="38"/>
      <x:c r="J32" s="38"/>
      <x:c r="K32" s="38"/>
      <x:c r="L32" s="38"/>
      <x:c r="M32" s="38"/>
      <x:c r="N32" s="38"/>
      <x:c r="O32" s="38"/>
      <x:c r="P32" s="38"/>
    </x:row>
    <x:row r="33" ht="24" customHeight="1">
      <x:c r="A33" t="str">
        <x:v>热量范围约 354–654 kcal/餐，均值约 460 kcal；分量不是个体化减重热量处方。</x:v>
      </x:c>
    </x:row>
    <x:row r="34" ht="24" customHeight="1">
      <x:c r="A34" t="str">
        <x:v>大部分菜保持 ≥250g 蔬菜，搭配瘦肉、蛋豆、鱼虾和适量熟重主食；肥牛与火腿在 730 餐中只出现少数几次。</x:v>
      </x:c>
    </x:row>
    <x:row r="35" ht="24" customHeight="1">
      <x:c r="A35" t="str">
        <x:v>请勿把低卡等同长期极低碳。若有持续强烈口渴、尿频或餐后明显不适，应进行血糖相关检查，而非只依靠食谱判断。</x:v>
      </x:c>
    </x:row>
    <x:row r="36" ht="24" customHeight="1">
      <x:c r="A36" t="str">
        <x:v>调料优先用生姜、蒜、胡椒、花椒、醋、柠檬；含钠调料控制量；鸡肉要彻底煮熟。</x:v>
      </x:c>
    </x:row>
    <x:row r="39" ht="23" customHeight="1">
      <x:c r="A39" s="42" t="str">
        <x:v>资料：《中国居民膳食指南（2022）》、CDC 餐盘法、USDA FoodData Central｜所有数字为菜单规划估值</x:v>
      </x:c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</x:row>
  </x:sheetData>
  <x:mergeCells>
    <x:mergeCell ref="A1:P2"/>
    <x:mergeCell ref="A3:P3"/>
    <x:mergeCell ref="A5:D5"/>
    <x:mergeCell ref="A6:D7"/>
    <x:mergeCell ref="E5:H5"/>
    <x:mergeCell ref="E6:H7"/>
    <x:mergeCell ref="I5:L5"/>
    <x:mergeCell ref="I6:L7"/>
    <x:mergeCell ref="M5:P5"/>
    <x:mergeCell ref="M6:P7"/>
    <x:mergeCell ref="A9:P9"/>
    <x:mergeCell ref="A10:P10"/>
    <x:mergeCell ref="A11:P11"/>
    <x:mergeCell ref="A12:P12"/>
    <x:mergeCell ref="A13:P13"/>
    <x:mergeCell ref="A14:P14"/>
    <x:mergeCell ref="A16:J16"/>
    <x:mergeCell ref="B18:H18"/>
    <x:mergeCell ref="B19:H19"/>
    <x:mergeCell ref="B20:H20"/>
    <x:mergeCell ref="B21:H21"/>
    <x:mergeCell ref="B22:H22"/>
    <x:mergeCell ref="B23:H23"/>
    <x:mergeCell ref="B24:H24"/>
    <x:mergeCell ref="B25:H25"/>
    <x:mergeCell ref="B26:H26"/>
    <x:mergeCell ref="B27:H27"/>
    <x:mergeCell ref="B28:H28"/>
    <x:mergeCell ref="B29:H29"/>
    <x:mergeCell ref="L16:P16"/>
    <x:mergeCell ref="L18:N18"/>
    <x:mergeCell ref="L19:N19"/>
    <x:mergeCell ref="L20:N20"/>
    <x:mergeCell ref="L21:N21"/>
    <x:mergeCell ref="L22:N22"/>
    <x:mergeCell ref="L23:N23"/>
    <x:mergeCell ref="L24:N24"/>
    <x:mergeCell ref="A32:P32"/>
    <x:mergeCell ref="A33:P33"/>
    <x:mergeCell ref="A34:P34"/>
    <x:mergeCell ref="A35:P35"/>
    <x:mergeCell ref="A36:P36"/>
    <x:mergeCell ref="A39:P39"/>
  </x:mergeCells>
  <x:conditionalFormatting sqref="O18:O24">
    <x:cfRule type="dataBar" priority="1">
      <x:dataBar>
        <x:cfvo type="min"/>
        <x:cfvo type="max"/>
        <x:color rgb="FF7CBEB4"/>
      </x:dataBar>
      <x:extLst>
        <x:ext xmlns:x14="http://schemas.microsoft.com/office/spreadsheetml/2009/9/main" uri="{B025F937-C7B1-47D3-B67F-A62EFF666E3E}">
          <x14:id>{9BFB47AB-F48E-53DF-E161-4C924D031700}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BFB47AB-F48E-53DF-E161-4C924D031700}">
            <x14:dataBar gradient="1">
              <x14:cfvo type="min"/>
              <x14:cfvo type="max"/>
              <x14:fillColor rgb="FF7CBEB4"/>
            </x14:dataBar>
          </x14:cfRule>
          <xm:sqref>O18:O24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8" hidden="0" customWidth="1"/>
    <x:col min="2" max="2" width="10" hidden="0" customWidth="1"/>
    <x:col min="3" max="3" width="8" hidden="0" customWidth="1"/>
    <x:col min="4" max="4" width="9" hidden="0" customWidth="1"/>
    <x:col min="5" max="5" width="12" hidden="0" customWidth="1"/>
    <x:col min="6" max="6" width="39" hidden="0" customWidth="1"/>
    <x:col min="7" max="7" width="66" hidden="0" customWidth="1"/>
    <x:col min="8" max="8" width="15" hidden="0" customWidth="1"/>
    <x:col min="9" max="9" width="42" hidden="0" customWidth="1"/>
    <x:col min="10" max="10" width="28" hidden="0" customWidth="1"/>
    <x:col min="11" max="11" width="14" hidden="0" customWidth="1"/>
    <x:col min="12" max="12" width="69" hidden="0" customWidth="1"/>
    <x:col min="13" max="13" width="13" hidden="0" customWidth="1"/>
    <x:col min="14" max="14" width="16" hidden="0" customWidth="1"/>
    <x:col min="15" max="15" width="14" hidden="0" customWidth="1"/>
    <x:col min="16" max="16" width="14" hidden="0" customWidth="1"/>
    <x:col min="17" max="17" width="14" hidden="0" customWidth="1"/>
    <x:col min="18" max="18" width="52" hidden="0" customWidth="1"/>
  </x:cols>
  <x:sheetData>
    <x:row r="1" ht="29" customHeight="1">
      <x:c r="A1" s="5" t="str">
        <x:v>序号</x:v>
      </x:c>
      <x:c r="B1" s="5" t="str">
        <x:v>第几天</x:v>
      </x:c>
      <x:c r="C1" s="5" t="str">
        <x:v>周次</x:v>
      </x:c>
      <x:c r="D1" s="5" t="str">
        <x:v>餐次</x:v>
      </x:c>
      <x:c r="E1" s="5" t="str">
        <x:v>主要类别</x:v>
      </x:c>
      <x:c r="F1" s="5" t="str">
        <x:v>菜单名称</x:v>
      </x:c>
      <x:c r="G1" s="5" t="str">
        <x:v>食材及重量</x:v>
      </x:c>
      <x:c r="H1" s="5" t="str">
        <x:v>主食</x:v>
      </x:c>
      <x:c r="I1" s="5" t="str">
        <x:v>低主食调整参考</x:v>
      </x:c>
      <x:c r="J1" s="5" t="str">
        <x:v>调味（尽量少盐）</x:v>
      </x:c>
      <x:c r="K1" s="5" t="str">
        <x:v>烹调方式</x:v>
      </x:c>
      <x:c r="L1" s="5" t="str">
        <x:v>步骤（单餐）</x:v>
      </x:c>
      <x:c r="M1" s="5" t="str">
        <x:v>备餐分钟</x:v>
      </x:c>
      <x:c r="N1" s="5" t="str">
        <x:v>估算热量 kcal</x:v>
      </x:c>
      <x:c r="O1" s="5" t="str">
        <x:v>蛋白质 g</x:v>
      </x:c>
      <x:c r="P1" s="5" t="str">
        <x:v>碳水 g</x:v>
      </x:c>
      <x:c r="Q1" s="5" t="str">
        <x:v>脂肪 g</x:v>
      </x:c>
      <x:c r="R1" s="5" t="str">
        <x:v>提醒</x:v>
      </x:c>
    </x:row>
    <x:row r="2" ht="37" customHeight="1">
      <x:c r="A2" t="n">
        <x:v>1</x:v>
      </x:c>
      <x:c r="B2" t="n">
        <x:v>1</x:v>
      </x:c>
      <x:c r="C2" t="n">
        <x:v>1</x:v>
      </x:c>
      <x:c r="D2" t="str">
        <x:v>午餐</x:v>
      </x:c>
      <x:c r="E2" t="str">
        <x:v>牛肉</x:v>
      </x:c>
      <x:c r="F2" s="10" t="str">
        <x:v>西兰花牛肉口蘑｜糙米饭</x:v>
      </x:c>
      <x:c r="G2" s="10" t="str">
        <x:v>瘦牛肉175g、西兰花180g、口蘑130g、糙米饭135g、烹调油5g</x:v>
      </x:c>
      <x:c r="H2" t="str">
        <x:v>糙米饭</x:v>
      </x:c>
      <x:c r="I2" s="10" t="str">
        <x:v>低主食需求可将主食减1/3，另加100g非淀粉蔬菜（营养值需重算）</x:v>
      </x:c>
      <x:c r="J2" s="10" t="str">
        <x:v>黑胡椒、蒜末</x:v>
      </x:c>
      <x:c r="K2" t="str">
        <x:v>少油烩</x:v>
      </x:c>
      <x:c r="L2" s="10" t="str">
        <x:v>锅加少量水和油，先把主食材煮熟，再烩两种蔬菜，收汁撒黑椒；糙米饭另煮熟或蒸好后同餐食用。</x:v>
      </x:c>
      <x:c r="M2" t="n">
        <x:v>30</x:v>
      </x:c>
      <x:c r="N2" t="n">
        <x:f>ROUND(SUM('食材明细'!H2:H7),0)</x:f>
        <x:v>505</x:v>
      </x:c>
      <x:c r="O2" t="n">
        <x:f>ROUND(SUM('食材明细'!J2:J7),1)</x:f>
        <x:v>49.3</x:v>
      </x:c>
      <x:c r="P2" t="n">
        <x:f>ROUND(SUM('食材明细'!L2:L7),1)</x:f>
        <x:v>48.6</x:v>
      </x:c>
      <x:c r="Q2" t="n">
        <x:f>ROUND(SUM('食材明细'!N2:N7),1)</x:f>
        <x:v>14.3</x:v>
      </x:c>
      <x:c r="R2" s="10" t="str">
        <x:v>调料尽量低盐，不加白砂糖；油重已计入热量。</x:v>
      </x:c>
    </x:row>
    <x:row r="3" ht="37" customHeight="1">
      <x:c r="A3" t="n">
        <x:v>2</x:v>
      </x:c>
      <x:c r="B3" t="n">
        <x:v>1</x:v>
      </x:c>
      <x:c r="C3" t="n">
        <x:v>1</x:v>
      </x:c>
      <x:c r="D3" t="str">
        <x:v>晚餐</x:v>
      </x:c>
      <x:c r="E3" t="str">
        <x:v>禽肉</x:v>
      </x:c>
      <x:c r="F3" s="10" t="str">
        <x:v>无糖奥尔良鸡排口蘑西兰花｜玉米</x:v>
      </x:c>
      <x:c r="G3" s="10" t="str">
        <x:v>鸡胸肉180g、西兰花165g、口蘑135g、玉米125g、烹调油4g</x:v>
      </x:c>
      <x:c r="H3" t="str">
        <x:v>玉米</x:v>
      </x:c>
      <x:c r="I3" s="10" t="str">
        <x:v>想减主食可减到原量2/3，另加100g绿叶菜</x:v>
      </x:c>
      <x:c r="J3" s="10" t="str">
        <x:v>无糖辣椒粉、蒜粉、洋葱粉</x:v>
      </x:c>
      <x:c r="K3" t="str">
        <x:v>蒸/焖</x:v>
      </x:c>
      <x:c r="L3" s="10" t="str">
        <x:v>鸡胸肉拍薄成鸡排；用无糖香辛料腌肉15分钟，蒸或少油焖熟，配菜煮熟；玉米另煮熟或蒸好后同餐食用。</x:v>
      </x:c>
      <x:c r="M3" t="n">
        <x:v>15</x:v>
      </x:c>
      <x:c r="N3" t="n">
        <x:f>ROUND(SUM('食材明细'!H8:H13),0)</x:f>
        <x:v>451</x:v>
      </x:c>
      <x:c r="O3" t="n">
        <x:f>ROUND(SUM('食材明细'!J8:J13),1)</x:f>
        <x:v>54.5</x:v>
      </x:c>
      <x:c r="P3" t="n">
        <x:f>ROUND(SUM('食材明细'!L8:L13),1)</x:f>
        <x:v>43.5</x:v>
      </x:c>
      <x:c r="Q3" t="n">
        <x:f>ROUND(SUM('食材明细'!N8:N13),1)</x:f>
        <x:v>10.6</x:v>
      </x:c>
      <x:c r="R3" s="10" t="str">
        <x:v>调料尽量低盐，不加白砂糖；油重已计入热量。</x:v>
      </x:c>
    </x:row>
    <x:row r="4" ht="37" customHeight="1">
      <x:c r="A4" t="n">
        <x:v>3</x:v>
      </x:c>
      <x:c r="B4" t="n">
        <x:v>2</x:v>
      </x:c>
      <x:c r="C4" t="n">
        <x:v>1</x:v>
      </x:c>
      <x:c r="D4" t="str">
        <x:v>午餐</x:v>
      </x:c>
      <x:c r="E4" t="str">
        <x:v>禽肉</x:v>
      </x:c>
      <x:c r="F4" s="10" t="str">
        <x:v>洋葱鸡腿香菇焖饭｜燕麦饭</x:v>
      </x:c>
      <x:c r="G4" s="10" t="str">
        <x:v>去皮鸡腿肉180g、洋葱150g、香菇140g、燕麦饭135g、烹调油4g</x:v>
      </x:c>
      <x:c r="H4" t="str">
        <x:v>燕麦饭</x:v>
      </x:c>
      <x:c r="I4" s="10" t="str">
        <x:v>低主食需求可将主食减1/3，另加100g非淀粉蔬菜（营养值需重算）</x:v>
      </x:c>
      <x:c r="J4" s="10" t="str">
        <x:v>姜片、香菇汁</x:v>
      </x:c>
      <x:c r="K4" t="str">
        <x:v>焖煮</x:v>
      </x:c>
      <x:c r="L4" s="10" t="str">
        <x:v>先去皮去骨并切薄，充分加热；食材与菌菇加少量水焖熟，出锅前加少量低盐生抽；燕麦饭另煮熟或蒸好后同餐食用。</x:v>
      </x:c>
      <x:c r="M4" t="n">
        <x:v>30</x:v>
      </x:c>
      <x:c r="N4" t="n">
        <x:f>ROUND(SUM('食材明细'!H14:H19),0)</x:f>
        <x:v>517</x:v>
      </x:c>
      <x:c r="O4" t="n">
        <x:f>ROUND(SUM('食材明细'!J14:J19),1)</x:f>
        <x:v>45.1</x:v>
      </x:c>
      <x:c r="P4" t="n">
        <x:f>ROUND(SUM('食材明细'!L14:L19),1)</x:f>
        <x:v>51.8</x:v>
      </x:c>
      <x:c r="Q4" t="n">
        <x:f>ROUND(SUM('食材明细'!N14:N19),1)</x:f>
        <x:v>16.3</x:v>
      </x:c>
      <x:c r="R4" s="10" t="str">
        <x:v>调料尽量低盐，不加白砂糖；油重已计入热量。</x:v>
      </x:c>
    </x:row>
    <x:row r="5" ht="37" customHeight="1">
      <x:c r="A5" t="n">
        <x:v>4</x:v>
      </x:c>
      <x:c r="B5" t="n">
        <x:v>2</x:v>
      </x:c>
      <x:c r="C5" t="n">
        <x:v>1</x:v>
      </x:c>
      <x:c r="D5" t="str">
        <x:v>晚餐</x:v>
      </x:c>
      <x:c r="E5" t="str">
        <x:v>牛肉</x:v>
      </x:c>
      <x:c r="F5" s="10" t="str">
        <x:v>彩椒牛肉西兰花｜藜麦饭</x:v>
      </x:c>
      <x:c r="G5" s="10" t="str">
        <x:v>牛里脊175g、彩椒155g、西兰花170g、藜麦饭140g、烹调油5g</x:v>
      </x:c>
      <x:c r="H5" t="str">
        <x:v>藜麦饭</x:v>
      </x:c>
      <x:c r="I5" s="10" t="str">
        <x:v>低主食需求可将主食减1/3，另加100g非淀粉蔬菜（营养值需重算）</x:v>
      </x:c>
      <x:c r="J5" s="10" t="str">
        <x:v>黑胡椒、蒜末</x:v>
      </x:c>
      <x:c r="K5" t="str">
        <x:v>少油烩</x:v>
      </x:c>
      <x:c r="L5" s="10" t="str">
        <x:v>锅加少量水和油，先把主食材煮熟，再烩两种蔬菜，收汁撒黑椒；藜麦饭另煮熟或蒸好后同餐食用。</x:v>
      </x:c>
      <x:c r="M5" t="n">
        <x:v>15</x:v>
      </x:c>
      <x:c r="N5" t="n">
        <x:f>ROUND(SUM('食材明细'!H20:H25),0)</x:f>
        <x:v>540</x:v>
      </x:c>
      <x:c r="O5" t="n">
        <x:f>ROUND(SUM('食材明细'!J20:J25),1)</x:f>
        <x:v>49.2</x:v>
      </x:c>
      <x:c r="P5" t="n">
        <x:f>ROUND(SUM('食材明细'!L20:L25),1)</x:f>
        <x:v>51.2</x:v>
      </x:c>
      <x:c r="Q5" t="n">
        <x:f>ROUND(SUM('食材明细'!N20:N25),1)</x:f>
        <x:v>17.1</x:v>
      </x:c>
      <x:c r="R5" s="10" t="str">
        <x:v>调料尽量低盐，不加白砂糖；油重已计入热量。</x:v>
      </x:c>
    </x:row>
    <x:row r="6" ht="37" customHeight="1">
      <x:c r="A6" t="n">
        <x:v>5</x:v>
      </x:c>
      <x:c r="B6" t="n">
        <x:v>3</x:v>
      </x:c>
      <x:c r="C6" t="n">
        <x:v>1</x:v>
      </x:c>
      <x:c r="D6" t="str">
        <x:v>午餐</x:v>
      </x:c>
      <x:c r="E6" t="str">
        <x:v>牛肉</x:v>
      </x:c>
      <x:c r="F6" s="10" t="str">
        <x:v>无糖番茄鸡蛋牛肉烩杂粮饭</x:v>
      </x:c>
      <x:c r="G6" s="10" t="str">
        <x:v>瘦牛肉135g、鸡蛋60g、番茄190g、洋葱115g、杂粮饭160g、烹调油5g</x:v>
      </x:c>
      <x:c r="H6" t="str">
        <x:v>杂粮饭</x:v>
      </x:c>
      <x:c r="I6" s="10" t="str">
        <x:v>低主食需求可将主食减1/3，另加100g非淀粉蔬菜（营养值需重算）</x:v>
      </x:c>
      <x:c r="J6" s="10" t="str">
        <x:v>番茄丁、黑胡椒</x:v>
      </x:c>
      <x:c r="K6" t="str">
        <x:v>炖煮</x:v>
      </x:c>
      <x:c r="L6" s="10" t="str">
        <x:v>番茄出汁后加入主食材和少量水，轻炖至熟，再放配菜；杂粮饭另煮熟或蒸好后同餐食用。</x:v>
      </x:c>
      <x:c r="M6" t="n">
        <x:v>35</x:v>
      </x:c>
      <x:c r="N6" t="n">
        <x:f>ROUND(SUM('食材明细'!H26:H31),0)</x:f>
        <x:v>568</x:v>
      </x:c>
      <x:c r="O6" t="n">
        <x:f>ROUND(SUM('食材明细'!J26:J31),1)</x:f>
        <x:v>44.1</x:v>
      </x:c>
      <x:c r="P6" t="n">
        <x:f>ROUND(SUM('食材明细'!L26:L31),1)</x:f>
        <x:v>56.6</x:v>
      </x:c>
      <x:c r="Q6" t="n">
        <x:f>ROUND(SUM('食材明细'!N26:N31),1)</x:f>
        <x:v>18.7</x:v>
      </x:c>
      <x:c r="R6" s="10" t="str">
        <x:v>调料尽量低盐，不加白砂糖；油重已计入热量。</x:v>
      </x:c>
    </x:row>
    <x:row r="7" ht="37" customHeight="1">
      <x:c r="A7" t="n">
        <x:v>6</x:v>
      </x:c>
      <x:c r="B7" t="n">
        <x:v>3</x:v>
      </x:c>
      <x:c r="C7" t="n">
        <x:v>1</x:v>
      </x:c>
      <x:c r="D7" t="str">
        <x:v>晚餐</x:v>
      </x:c>
      <x:c r="E7" t="str">
        <x:v>牛肉</x:v>
      </x:c>
      <x:c r="F7" s="10" t="str">
        <x:v>无糖照烧肥牛豆腐乌冬面</x:v>
      </x:c>
      <x:c r="G7" s="10" t="str">
        <x:v>肥牛卷95g、北豆腐115g、小白菜180g、口蘑125g、乌冬面135g、烹调油3g</x:v>
      </x:c>
      <x:c r="H7" t="str">
        <x:v>乌冬面</x:v>
      </x:c>
      <x:c r="I7" s="10" t="str">
        <x:v>低主食需求可将主食减1/3，另加100g非淀粉蔬菜（营养值需重算）</x:v>
      </x:c>
      <x:c r="J7" s="10" t="str">
        <x:v>低盐生抽、米醋、洋葱自然甜味</x:v>
      </x:c>
      <x:c r="K7" t="str">
        <x:v>少油煮</x:v>
      </x:c>
      <x:c r="L7" s="10" t="str">
        <x:v>肥牛先汆水撇去浮油；生抽与米醋调汁，不加糖；肉菜加水煮熟后略收汁；面/魔芋丝煮熟后与菜合碗。</x:v>
      </x:c>
      <x:c r="M7" t="n">
        <x:v>25</x:v>
      </x:c>
      <x:c r="N7" t="n">
        <x:f>ROUND(SUM('食材明细'!H32:H37),0)</x:f>
        <x:v>588</x:v>
      </x:c>
      <x:c r="O7" t="n">
        <x:f>ROUND(SUM('食材明细'!J32:J37),1)</x:f>
        <x:v>36.8</x:v>
      </x:c>
      <x:c r="P7" t="n">
        <x:f>ROUND(SUM('食材明细'!L32:L37),1)</x:f>
        <x:v>46.2</x:v>
      </x:c>
      <x:c r="Q7" t="n">
        <x:f>ROUND(SUM('食材明细'!N32:N37),1)</x:f>
        <x:v>29.3</x:v>
      </x:c>
      <x:c r="R7" s="10" t="str">
        <x:v>肥牛油脂高，按份量使用并撇浮油。</x:v>
      </x:c>
    </x:row>
    <x:row r="8" ht="37" customHeight="1">
      <x:c r="A8" t="n">
        <x:v>7</x:v>
      </x:c>
      <x:c r="B8" t="n">
        <x:v>4</x:v>
      </x:c>
      <x:c r="C8" t="n">
        <x:v>1</x:v>
      </x:c>
      <x:c r="D8" t="str">
        <x:v>午餐</x:v>
      </x:c>
      <x:c r="E8" t="str">
        <x:v>加工肉</x:v>
      </x:c>
      <x:c r="F8" s="10" t="str">
        <x:v>什锦火腿鸡蛋彩椒口蘑蒸碗｜糙米饭</x:v>
      </x:c>
      <x:c r="G8" s="10" t="str">
        <x:v>低盐火腿40g、鸡蛋110g、彩椒160g、口蘑150g、糙米饭120g、烹调油3g</x:v>
      </x:c>
      <x:c r="H8" t="str">
        <x:v>糙米饭</x:v>
      </x:c>
      <x:c r="I8" s="10" t="str">
        <x:v>低主食需求可将主食减1/3，另加100g非淀粉蔬菜（营养值需重算）</x:v>
      </x:c>
      <x:c r="J8" s="10" t="str">
        <x:v>葱姜、少量低盐生抽</x:v>
      </x:c>
      <x:c r="K8" t="str">
        <x:v>蒸</x:v>
      </x:c>
      <x:c r="L8" s="10" t="str">
        <x:v>火腿仅用于提味，另用蛋或豆腐提供蛋白；切片腌5分钟；肉和配菜入盘，蒸至熟透；淋葱姜汁；糙米饭另煮熟或蒸好后同餐食用。</x:v>
      </x:c>
      <x:c r="M8" t="n">
        <x:v>30</x:v>
      </x:c>
      <x:c r="N8" t="n">
        <x:f>ROUND(SUM('食材明细'!H38:H43),0)</x:f>
        <x:v>460</x:v>
      </x:c>
      <x:c r="O8" t="n">
        <x:f>ROUND(SUM('食材明细'!J38:J43),1)</x:f>
        <x:v>29.3</x:v>
      </x:c>
      <x:c r="P8" t="n">
        <x:f>ROUND(SUM('食材明细'!L38:L43),1)</x:f>
        <x:v>46.1</x:v>
      </x:c>
      <x:c r="Q8" t="n">
        <x:f>ROUND(SUM('食材明细'!N38:N43),1)</x:f>
        <x:v>19.5</x:v>
      </x:c>
      <x:c r="R8" s="10" t="str">
        <x:v>加工肉少量点缀；留意包装钠和添加糖。</x:v>
      </x:c>
    </x:row>
    <x:row r="9" ht="37" customHeight="1">
      <x:c r="A9" t="n">
        <x:v>8</x:v>
      </x:c>
      <x:c r="B9" t="n">
        <x:v>4</x:v>
      </x:c>
      <x:c r="C9" t="n">
        <x:v>1</x:v>
      </x:c>
      <x:c r="D9" t="str">
        <x:v>晚餐</x:v>
      </x:c>
      <x:c r="E9" t="str">
        <x:v>鱼类</x:v>
      </x:c>
      <x:c r="F9" s="10" t="str">
        <x:v>豉汁清蒸鲈鱼娃娃菜香菇｜紫薯</x:v>
      </x:c>
      <x:c r="G9" s="10" t="str">
        <x:v>鲈鱼200g、娃娃菜165g、香菇140g、紫薯120g、烹调油3g</x:v>
      </x:c>
      <x:c r="H9" t="str">
        <x:v>紫薯</x:v>
      </x:c>
      <x:c r="I9" s="10" t="str">
        <x:v>想减主食可减到原量2/3，另加100g绿叶菜</x:v>
      </x:c>
      <x:c r="J9" s="10" t="str">
        <x:v>少量豆豉、姜末</x:v>
      </x:c>
      <x:c r="K9" t="str">
        <x:v>蒸</x:v>
      </x:c>
      <x:c r="L9" s="10" t="str">
        <x:v>鱼肉去刺，彻底做熟；豆豉冲洗剁碎，与姜末拌主食材后蒸熟；蔬菜另煮；紫薯另煮熟或蒸好后同餐食用。</x:v>
      </x:c>
      <x:c r="M9" t="n">
        <x:v>30</x:v>
      </x:c>
      <x:c r="N9" t="n">
        <x:f>ROUND(SUM('食材明细'!H44:H49),0)</x:f>
        <x:v>427</x:v>
      </x:c>
      <x:c r="O9" t="n">
        <x:f>ROUND(SUM('食材明细'!J44:J49),1)</x:f>
        <x:v>45.2</x:v>
      </x:c>
      <x:c r="P9" t="n">
        <x:f>ROUND(SUM('食材明细'!L44:L49),1)</x:f>
        <x:v>40.9</x:v>
      </x:c>
      <x:c r="Q9" t="n">
        <x:f>ROUND(SUM('食材明细'!N44:N49),1)</x:f>
        <x:v>10.2</x:v>
      </x:c>
      <x:c r="R9" s="10" t="str">
        <x:v>调料尽量低盐，不加白砂糖；油重已计入热量。</x:v>
      </x:c>
    </x:row>
    <x:row r="10" ht="37" customHeight="1">
      <x:c r="A10" t="n">
        <x:v>9</x:v>
      </x:c>
      <x:c r="B10" t="n">
        <x:v>5</x:v>
      </x:c>
      <x:c r="C10" t="n">
        <x:v>1</x:v>
      </x:c>
      <x:c r="D10" t="str">
        <x:v>午餐</x:v>
      </x:c>
      <x:c r="E10" t="str">
        <x:v>海鲜</x:v>
      </x:c>
      <x:c r="F10" s="10" t="str">
        <x:v>番茄虾仁嫩豆腐小白菜汤｜玉米</x:v>
      </x:c>
      <x:c r="G10" s="10" t="str">
        <x:v>虾仁160g、嫩豆腐160g、番茄170g、小白菜160g、玉米125g、烹调油3g</x:v>
      </x:c>
      <x:c r="H10" t="str">
        <x:v>玉米</x:v>
      </x:c>
      <x:c r="I10" s="10" t="str">
        <x:v>想减主食可减到原量2/3，另加100g绿叶菜</x:v>
      </x:c>
      <x:c r="J10" s="10" t="str">
        <x:v>番茄丁、黑胡椒</x:v>
      </x:c>
      <x:c r="K10" t="str">
        <x:v>炖煮</x:v>
      </x:c>
      <x:c r="L10" s="10" t="str">
        <x:v>番茄出汁后加入主食材和少量水，轻炖至熟，再放配菜；玉米另煮熟或蒸好后同餐食用。</x:v>
      </x:c>
      <x:c r="M10" t="n">
        <x:v>25</x:v>
      </x:c>
      <x:c r="N10" t="n">
        <x:f>ROUND(SUM('食材明细'!H50:H55),0)</x:f>
        <x:v>451</x:v>
      </x:c>
      <x:c r="O10" t="n">
        <x:f>ROUND(SUM('食材明细'!J50:J55),1)</x:f>
        <x:v>46.7</x:v>
      </x:c>
      <x:c r="P10" t="n">
        <x:f>ROUND(SUM('食材明细'!L50:L55),1)</x:f>
        <x:v>42.6</x:v>
      </x:c>
      <x:c r="Q10" t="n">
        <x:f>ROUND(SUM('食材明细'!N50:N55),1)</x:f>
        <x:v>11.8</x:v>
      </x:c>
      <x:c r="R10" s="10" t="str">
        <x:v>调料尽量低盐，不加白砂糖；油重已计入热量。</x:v>
      </x:c>
    </x:row>
    <x:row r="11" ht="37" customHeight="1">
      <x:c r="A11" t="n">
        <x:v>10</x:v>
      </x:c>
      <x:c r="B11" t="n">
        <x:v>5</x:v>
      </x:c>
      <x:c r="C11" t="n">
        <x:v>1</x:v>
      </x:c>
      <x:c r="D11" t="str">
        <x:v>晚餐</x:v>
      </x:c>
      <x:c r="E11" t="str">
        <x:v>禽肉</x:v>
      </x:c>
      <x:c r="F11" s="10" t="str">
        <x:v>蒜香鸡丝黄瓜木耳｜杂粮饭</x:v>
      </x:c>
      <x:c r="G11" s="10" t="str">
        <x:v>鸡胸肉170g、黄瓜160g、泡发木耳150g、杂粮饭120g、烹调油5g</x:v>
      </x:c>
      <x:c r="H11" t="str">
        <x:v>杂粮饭</x:v>
      </x:c>
      <x:c r="I11" s="10" t="str">
        <x:v>低主食需求可将主食减1/3，另加100g非淀粉蔬菜（营养值需重算）</x:v>
      </x:c>
      <x:c r="J11" s="10" t="str">
        <x:v>香醋、蒜末、少量生抽</x:v>
      </x:c>
      <x:c r="K11" t="str">
        <x:v>水煮</x:v>
      </x:c>
      <x:c r="L11" s="10" t="str">
        <x:v>食材分别煮至熟，淋香醋蒜汁，拌匀即食；杂粮饭另煮熟或蒸好后同餐食用。</x:v>
      </x:c>
      <x:c r="M11" t="n">
        <x:v>15</x:v>
      </x:c>
      <x:c r="N11" t="n">
        <x:f>ROUND(SUM('食材明细'!H56:H61),0)</x:f>
        <x:v>433</x:v>
      </x:c>
      <x:c r="O11" t="n">
        <x:f>ROUND(SUM('食材明细'!J56:J61),1)</x:f>
        <x:v>46.2</x:v>
      </x:c>
      <x:c r="P11" t="n">
        <x:f>ROUND(SUM('食材明细'!L56:L61),1)</x:f>
        <x:v>43</x:v>
      </x:c>
      <x:c r="Q11" t="n">
        <x:f>ROUND(SUM('食材明细'!N56:N61),1)</x:f>
        <x:v>10</x:v>
      </x:c>
      <x:c r="R11" s="10" t="str">
        <x:v>调料尽量低盐，不加白砂糖；油重已计入热量。</x:v>
      </x:c>
    </x:row>
    <x:row r="12" ht="37" customHeight="1">
      <x:c r="A12" t="n">
        <x:v>11</x:v>
      </x:c>
      <x:c r="B12" t="n">
        <x:v>6</x:v>
      </x:c>
      <x:c r="C12" t="n">
        <x:v>1</x:v>
      </x:c>
      <x:c r="D12" t="str">
        <x:v>午餐</x:v>
      </x:c>
      <x:c r="E12" t="str">
        <x:v>鱼类</x:v>
      </x:c>
      <x:c r="F12" s="10" t="str">
        <x:v>清蒸鳕鱼西兰花口蘑｜紫薯</x:v>
      </x:c>
      <x:c r="G12" s="10" t="str">
        <x:v>鳕鱼210g、西兰花190g、口蘑150g、紫薯135g、烹调油4g</x:v>
      </x:c>
      <x:c r="H12" t="str">
        <x:v>紫薯</x:v>
      </x:c>
      <x:c r="I12" s="10" t="str">
        <x:v>想减主食可减到原量2/3，另加100g绿叶菜</x:v>
      </x:c>
      <x:c r="J12" s="10" t="str">
        <x:v>蒜末、白胡椒</x:v>
      </x:c>
      <x:c r="K12" t="str">
        <x:v>蒸</x:v>
      </x:c>
      <x:c r="L12" s="10" t="str">
        <x:v>鱼肉去刺，彻底做熟；食材切块，撒蒜末；上锅蒸熟，蔬菜另焯后拌匀；紫薯另煮熟或蒸好后同餐食用。</x:v>
      </x:c>
      <x:c r="M12" t="n">
        <x:v>25</x:v>
      </x:c>
      <x:c r="N12" t="n">
        <x:f>ROUND(SUM('食材明细'!H62:H67),0)</x:f>
        <x:v>440</x:v>
      </x:c>
      <x:c r="O12" t="n">
        <x:f>ROUND(SUM('食材明细'!J62:J67),1)</x:f>
        <x:v>49.9</x:v>
      </x:c>
      <x:c r="P12" t="n">
        <x:f>ROUND(SUM('食材明细'!L62:L67),1)</x:f>
        <x:v>48</x:v>
      </x:c>
      <x:c r="Q12" t="n">
        <x:f>ROUND(SUM('食材明细'!N62:N67),1)</x:f>
        <x:v>7</x:v>
      </x:c>
      <x:c r="R12" s="10" t="str">
        <x:v>调料尽量低盐，不加白砂糖；油重已计入热量。</x:v>
      </x:c>
    </x:row>
    <x:row r="13" ht="37" customHeight="1">
      <x:c r="A13" t="n">
        <x:v>12</x:v>
      </x:c>
      <x:c r="B13" t="n">
        <x:v>6</x:v>
      </x:c>
      <x:c r="C13" t="n">
        <x:v>1</x:v>
      </x:c>
      <x:c r="D13" t="str">
        <x:v>晚餐</x:v>
      </x:c>
      <x:c r="E13" t="str">
        <x:v>豆蛋</x:v>
      </x:c>
      <x:c r="F13" s="10" t="str">
        <x:v>丝瓜鸡蛋虾仁蒸碗｜荞麦饭</x:v>
      </x:c>
      <x:c r="G13" s="10" t="str">
        <x:v>鸡蛋115g、虾仁90g、丝瓜170g、香菇130g、荞麦饭130g、烹调油3g</x:v>
      </x:c>
      <x:c r="H13" t="str">
        <x:v>荞麦饭</x:v>
      </x:c>
      <x:c r="I13" s="10" t="str">
        <x:v>低主食需求可将主食减1/3，另加100g非淀粉蔬菜（营养值需重算）</x:v>
      </x:c>
      <x:c r="J13" s="10" t="str">
        <x:v>葱姜、少量低盐生抽</x:v>
      </x:c>
      <x:c r="K13" t="str">
        <x:v>蒸</x:v>
      </x:c>
      <x:c r="L13" s="10" t="str">
        <x:v>鸡蛋先打散成蛋液；切片腌5分钟；肉和配菜入盘，蒸至熟透；淋葱姜汁；荞麦饭另煮熟或蒸好后同餐食用。</x:v>
      </x:c>
      <x:c r="M13" t="n">
        <x:v>20</x:v>
      </x:c>
      <x:c r="N13" t="n">
        <x:f>ROUND(SUM('食材明细'!H68:H73),0)</x:f>
        <x:v>495</x:v>
      </x:c>
      <x:c r="O13" t="n">
        <x:f>ROUND(SUM('食材明细'!J68:J73),1)</x:f>
        <x:v>41</x:v>
      </x:c>
      <x:c r="P13" t="n">
        <x:f>ROUND(SUM('食材明细'!L68:L73),1)</x:f>
        <x:v>45.9</x:v>
      </x:c>
      <x:c r="Q13" t="n">
        <x:f>ROUND(SUM('食材明细'!N68:N73),1)</x:f>
        <x:v>17.9</x:v>
      </x:c>
      <x:c r="R13" s="10" t="str">
        <x:v>调料尽量低盐，不加白砂糖；油重已计入热量。</x:v>
      </x:c>
    </x:row>
    <x:row r="14" ht="37" customHeight="1">
      <x:c r="A14" t="n">
        <x:v>13</x:v>
      </x:c>
      <x:c r="B14" t="n">
        <x:v>7</x:v>
      </x:c>
      <x:c r="C14" t="n">
        <x:v>1</x:v>
      </x:c>
      <x:c r="D14" t="str">
        <x:v>午餐</x:v>
      </x:c>
      <x:c r="E14" t="str">
        <x:v>海鲜</x:v>
      </x:c>
      <x:c r="F14" s="10" t="str">
        <x:v>柠檬花蛤肉配冬瓜海带｜全麦面</x:v>
      </x:c>
      <x:c r="G14" s="10" t="str">
        <x:v>花蛤肉170g、冬瓜175g、海带140g、全麦面110g、烹调油5g</x:v>
      </x:c>
      <x:c r="H14" t="str">
        <x:v>全麦面</x:v>
      </x:c>
      <x:c r="I14" s="10" t="str">
        <x:v>低主食需求可将主食减1/3，另加100g非淀粉蔬菜（营养值需重算）</x:v>
      </x:c>
      <x:c r="J14" s="10" t="str">
        <x:v>柠檬片、白胡椒</x:v>
      </x:c>
      <x:c r="K14" t="str">
        <x:v>蒸</x:v>
      </x:c>
      <x:c r="L14" s="10" t="str">
        <x:v>柠檬片垫底，主食材蒸熟，蔬菜短焯后摆盘；面/魔芋丝煮熟后与菜合碗。</x:v>
      </x:c>
      <x:c r="M14" t="n">
        <x:v>25</x:v>
      </x:c>
      <x:c r="N14" t="n">
        <x:f>ROUND(SUM('食材明细'!H74:H79),0)</x:f>
        <x:v>367</x:v>
      </x:c>
      <x:c r="O14" t="n">
        <x:f>ROUND(SUM('食材明细'!J74:J79),1)</x:f>
        <x:v>29.7</x:v>
      </x:c>
      <x:c r="P14" t="n">
        <x:f>ROUND(SUM('食材明细'!L74:L79),1)</x:f>
        <x:v>45.7</x:v>
      </x:c>
      <x:c r="Q14" t="n">
        <x:f>ROUND(SUM('食材明细'!N74:N79),1)</x:f>
        <x:v>8.4</x:v>
      </x:c>
      <x:c r="R14" s="10" t="str">
        <x:v>调料尽量低盐，不加白砂糖；油重已计入热量。</x:v>
      </x:c>
    </x:row>
    <x:row r="15" ht="37" customHeight="1">
      <x:c r="A15" t="n">
        <x:v>14</x:v>
      </x:c>
      <x:c r="B15" t="n">
        <x:v>7</x:v>
      </x:c>
      <x:c r="C15" t="n">
        <x:v>1</x:v>
      </x:c>
      <x:c r="D15" t="str">
        <x:v>晚餐</x:v>
      </x:c>
      <x:c r="E15" t="str">
        <x:v>鱼类</x:v>
      </x:c>
      <x:c r="F15" s="10" t="str">
        <x:v>椒麻巴沙鱼配彩椒香菇｜藜麦饭</x:v>
      </x:c>
      <x:c r="G15" s="10" t="str">
        <x:v>巴沙鱼175g、彩椒140g、香菇155g、藜麦饭80g、烹调油4g</x:v>
      </x:c>
      <x:c r="H15" t="str">
        <x:v>藜麦饭</x:v>
      </x:c>
      <x:c r="I15" s="10" t="str">
        <x:v>低主食需求可将主食减1/3，另加100g非淀粉蔬菜（营养值需重算）</x:v>
      </x:c>
      <x:c r="J15" s="10" t="str">
        <x:v>花椒、蒜、少量醋</x:v>
      </x:c>
      <x:c r="K15" t="str">
        <x:v>水煮</x:v>
      </x:c>
      <x:c r="L15" s="10" t="str">
        <x:v>鱼肉去刺，彻底做熟；花椒温水浸出味道，煮熟主食材和配菜，少油拌汁；藜麦饭另煮熟或蒸好后同餐食用。</x:v>
      </x:c>
      <x:c r="M15" t="n">
        <x:v>30</x:v>
      </x:c>
      <x:c r="N15" t="n">
        <x:f>ROUND(SUM('食材明细'!H80:H85),0)</x:f>
        <x:v>380</x:v>
      </x:c>
      <x:c r="O15" t="n">
        <x:f>ROUND(SUM('食材明细'!J80:J85),1)</x:f>
        <x:v>38.1</x:v>
      </x:c>
      <x:c r="P15" t="n">
        <x:f>ROUND(SUM('食材明细'!L80:L85),1)</x:f>
        <x:v>36.1</x:v>
      </x:c>
      <x:c r="Q15" t="n">
        <x:f>ROUND(SUM('食材明细'!N80:N85),1)</x:f>
        <x:v>10.6</x:v>
      </x:c>
      <x:c r="R15" s="10" t="str">
        <x:v>调料尽量低盐，不加白砂糖；油重已计入热量。</x:v>
      </x:c>
    </x:row>
    <x:row r="16" ht="37" customHeight="1">
      <x:c r="A16" t="n">
        <x:v>15</x:v>
      </x:c>
      <x:c r="B16" t="n">
        <x:v>8</x:v>
      </x:c>
      <x:c r="C16" t="n">
        <x:v>2</x:v>
      </x:c>
      <x:c r="D16" t="str">
        <x:v>午餐</x:v>
      </x:c>
      <x:c r="E16" t="str">
        <x:v>豆蛋</x:v>
      </x:c>
      <x:c r="F16" s="10" t="str">
        <x:v>蒜香鸡蛋北豆腐烩丝瓜洋葱｜白米饭</x:v>
      </x:c>
      <x:c r="G16" s="10" t="str">
        <x:v>鸡蛋120g、北豆腐130g、丝瓜190g、洋葱140g、白米饭125g、烹调油5g</x:v>
      </x:c>
      <x:c r="H16" t="str">
        <x:v>白米饭</x:v>
      </x:c>
      <x:c r="I16" s="10" t="str">
        <x:v>低主食需求可将主食减1/3，另加100g非淀粉蔬菜（营养值需重算）</x:v>
      </x:c>
      <x:c r="J16" s="10" t="str">
        <x:v>蒜末、白胡椒</x:v>
      </x:c>
      <x:c r="K16" t="str">
        <x:v>蒸</x:v>
      </x:c>
      <x:c r="L16" s="10" t="str">
        <x:v>鸡蛋先打散成蛋液；食材切块，撒蒜末；上锅蒸熟，蔬菜另焯后拌匀；白米饭另煮熟或蒸好后同餐食用。</x:v>
      </x:c>
      <x:c r="M16" t="n">
        <x:v>15</x:v>
      </x:c>
      <x:c r="N16" t="n">
        <x:f>ROUND(SUM('食材明细'!H86:H91),0)</x:f>
        <x:v>574</x:v>
      </x:c>
      <x:c r="O16" t="n">
        <x:f>ROUND(SUM('食材明细'!J86:J91),1)</x:f>
        <x:v>35.3</x:v>
      </x:c>
      <x:c r="P16" t="n">
        <x:f>ROUND(SUM('食材明细'!L86:L91),1)</x:f>
        <x:v>56.5</x:v>
      </x:c>
      <x:c r="Q16" t="n">
        <x:f>ROUND(SUM('食材明细'!N86:N91),1)</x:f>
        <x:v>24.4</x:v>
      </x:c>
      <x:c r="R16" s="10" t="str">
        <x:v>调料尽量低盐，不加白砂糖；油重已计入热量。</x:v>
      </x:c>
    </x:row>
    <x:row r="17" ht="37" customHeight="1">
      <x:c r="A17" t="n">
        <x:v>16</x:v>
      </x:c>
      <x:c r="B17" t="n">
        <x:v>8</x:v>
      </x:c>
      <x:c r="C17" t="n">
        <x:v>2</x:v>
      </x:c>
      <x:c r="D17" t="str">
        <x:v>晚餐</x:v>
      </x:c>
      <x:c r="E17" t="str">
        <x:v>猪肉</x:v>
      </x:c>
      <x:c r="F17" s="10" t="str">
        <x:v>黑椒猪瘦肉配莴笋冬瓜｜糙米饭</x:v>
      </x:c>
      <x:c r="G17" s="10" t="str">
        <x:v>猪瘦肉170g、莴笋190g、冬瓜110g、糙米饭125g、烹调油5g</x:v>
      </x:c>
      <x:c r="H17" t="str">
        <x:v>糙米饭</x:v>
      </x:c>
      <x:c r="I17" s="10" t="str">
        <x:v>低主食需求可将主食减1/3，另加100g非淀粉蔬菜（营养值需重算）</x:v>
      </x:c>
      <x:c r="J17" s="10" t="str">
        <x:v>黑胡椒、蒜末</x:v>
      </x:c>
      <x:c r="K17" t="str">
        <x:v>少油烩</x:v>
      </x:c>
      <x:c r="L17" s="10" t="str">
        <x:v>锅加少量水和油，先把主食材煮熟，再烩两种蔬菜，收汁撒黑椒；糙米饭另煮熟或蒸好后同餐食用。</x:v>
      </x:c>
      <x:c r="M17" t="n">
        <x:v>30</x:v>
      </x:c>
      <x:c r="N17" t="n">
        <x:f>ROUND(SUM('食材明细'!H92:H97),0)</x:f>
        <x:v>449</x:v>
      </x:c>
      <x:c r="O17" t="n">
        <x:f>ROUND(SUM('食材明细'!J92:J97),1)</x:f>
        <x:v>39.6</x:v>
      </x:c>
      <x:c r="P17" t="n">
        <x:f>ROUND(SUM('食材明细'!L92:L97),1)</x:f>
        <x:v>38</x:v>
      </x:c>
      <x:c r="Q17" t="n">
        <x:f>ROUND(SUM('食材明细'!N92:N97),1)</x:f>
        <x:v>15.9</x:v>
      </x:c>
      <x:c r="R17" s="10" t="str">
        <x:v>调料尽量低盐，不加白砂糖；油重已计入热量。</x:v>
      </x:c>
    </x:row>
    <x:row r="18" ht="37" customHeight="1">
      <x:c r="A18" t="n">
        <x:v>17</x:v>
      </x:c>
      <x:c r="B18" t="n">
        <x:v>9</x:v>
      </x:c>
      <x:c r="C18" t="n">
        <x:v>2</x:v>
      </x:c>
      <x:c r="D18" t="str">
        <x:v>午餐</x:v>
      </x:c>
      <x:c r="E18" t="str">
        <x:v>豆蛋</x:v>
      </x:c>
      <x:c r="F18" s="10" t="str">
        <x:v>剁椒鸡蛋嫩豆腐烩小白菜香菇｜荞麦面</x:v>
      </x:c>
      <x:c r="G18" s="10" t="str">
        <x:v>鸡蛋110g、嫩豆腐110g、小白菜140g、香菇155g、荞麦面110g、烹调油4g</x:v>
      </x:c>
      <x:c r="H18" t="str">
        <x:v>荞麦面</x:v>
      </x:c>
      <x:c r="I18" s="10" t="str">
        <x:v>低主食需求可将主食减1/3，另加100g非淀粉蔬菜（营养值需重算）</x:v>
      </x:c>
      <x:c r="J18" s="10" t="str">
        <x:v>自制低盐剁椒、蒜</x:v>
      </x:c>
      <x:c r="K18" t="str">
        <x:v>蒸</x:v>
      </x:c>
      <x:c r="L18" s="10" t="str">
        <x:v>鸡蛋先打散成蛋液；主食材铺少量低盐剁椒蒸熟，配菜焯熟后摆盘；面/魔芋丝煮熟后与菜合碗。</x:v>
      </x:c>
      <x:c r="M18" t="n">
        <x:v>20</x:v>
      </x:c>
      <x:c r="N18" t="n">
        <x:f>ROUND(SUM('食材明细'!H98:H103),0)</x:f>
        <x:v>447</x:v>
      </x:c>
      <x:c r="O18" t="n">
        <x:f>ROUND(SUM('食材明细'!J98:J103),1)</x:f>
        <x:v>29.9</x:v>
      </x:c>
      <x:c r="P18" t="n">
        <x:f>ROUND(SUM('食材明细'!L98:L103),1)</x:f>
        <x:v>41</x:v>
      </x:c>
      <x:c r="Q18" t="n">
        <x:f>ROUND(SUM('食材明细'!N98:N103),1)</x:f>
        <x:v>19.9</x:v>
      </x:c>
      <x:c r="R18" s="10" t="str">
        <x:v>调料尽量低盐，不加白砂糖；油重已计入热量。</x:v>
      </x:c>
    </x:row>
    <x:row r="19" ht="37" customHeight="1">
      <x:c r="A19" t="n">
        <x:v>18</x:v>
      </x:c>
      <x:c r="B19" t="n">
        <x:v>9</x:v>
      </x:c>
      <x:c r="C19" t="n">
        <x:v>2</x:v>
      </x:c>
      <x:c r="D19" t="str">
        <x:v>晚餐</x:v>
      </x:c>
      <x:c r="E19" t="str">
        <x:v>鱼类</x:v>
      </x:c>
      <x:c r="F19" s="10" t="str">
        <x:v>剁椒巴沙鱼配紫甘蓝彩椒｜玉米</x:v>
      </x:c>
      <x:c r="G19" s="10" t="str">
        <x:v>巴沙鱼200g、紫甘蓝160g、彩椒155g、玉米80g、烹调油4g</x:v>
      </x:c>
      <x:c r="H19" t="str">
        <x:v>玉米</x:v>
      </x:c>
      <x:c r="I19" s="10" t="str">
        <x:v>想减主食可减到原量2/3，另加100g绿叶菜</x:v>
      </x:c>
      <x:c r="J19" s="10" t="str">
        <x:v>自制低盐剁椒、蒜</x:v>
      </x:c>
      <x:c r="K19" t="str">
        <x:v>蒸</x:v>
      </x:c>
      <x:c r="L19" s="10" t="str">
        <x:v>鱼肉去刺，彻底做熟；主食材铺少量低盐剁椒蒸熟，配菜焯熟后摆盘；玉米另煮熟或蒸好后同餐食用。</x:v>
      </x:c>
      <x:c r="M19" t="n">
        <x:v>15</x:v>
      </x:c>
      <x:c r="N19" t="n">
        <x:f>ROUND(SUM('食材明细'!H104:H109),0)</x:f>
        <x:v>391</x:v>
      </x:c>
      <x:c r="O19" t="n">
        <x:f>ROUND(SUM('食材明细'!J104:J109),1)</x:f>
        <x:v>40.5</x:v>
      </x:c>
      <x:c r="P19" t="n">
        <x:f>ROUND(SUM('食材明细'!L104:L109),1)</x:f>
        <x:v>38.7</x:v>
      </x:c>
      <x:c r="Q19" t="n">
        <x:f>ROUND(SUM('食材明细'!N104:N109),1)</x:f>
        <x:v>10.3</x:v>
      </x:c>
      <x:c r="R19" s="10" t="str">
        <x:v>调料尽量低盐，不加白砂糖；油重已计入热量。</x:v>
      </x:c>
    </x:row>
    <x:row r="20" ht="37" customHeight="1">
      <x:c r="A20" t="n">
        <x:v>19</x:v>
      </x:c>
      <x:c r="B20" t="n">
        <x:v>10</x:v>
      </x:c>
      <x:c r="C20" t="n">
        <x:v>2</x:v>
      </x:c>
      <x:c r="D20" t="str">
        <x:v>午餐</x:v>
      </x:c>
      <x:c r="E20" t="str">
        <x:v>禽肉</x:v>
      </x:c>
      <x:c r="F20" s="10" t="str">
        <x:v>柠檬鸡胸肉配苦瓜胡萝卜｜山药</x:v>
      </x:c>
      <x:c r="G20" s="10" t="str">
        <x:v>鸡胸肉185g、苦瓜140g、胡萝卜110g、山药125g、烹调油5g</x:v>
      </x:c>
      <x:c r="H20" t="str">
        <x:v>山药</x:v>
      </x:c>
      <x:c r="I20" s="10" t="str">
        <x:v>想减主食可减到原量2/3，另加100g绿叶菜</x:v>
      </x:c>
      <x:c r="J20" s="10" t="str">
        <x:v>柠檬片、白胡椒</x:v>
      </x:c>
      <x:c r="K20" t="str">
        <x:v>蒸</x:v>
      </x:c>
      <x:c r="L20" s="10" t="str">
        <x:v>柠檬片垫底，主食材蒸熟，蔬菜短焯后摆盘；山药另煮熟或蒸好后同餐食用。</x:v>
      </x:c>
      <x:c r="M20" t="n">
        <x:v>25</x:v>
      </x:c>
      <x:c r="N20" t="n">
        <x:f>ROUND(SUM('食材明细'!H110:H115),0)</x:f>
        <x:v>398</x:v>
      </x:c>
      <x:c r="O20" t="n">
        <x:f>ROUND(SUM('食材明细'!J110:J115),1)</x:f>
        <x:v>46.8</x:v>
      </x:c>
      <x:c r="P20" t="n">
        <x:f>ROUND(SUM('食材明细'!L110:L115),1)</x:f>
        <x:v>34.4</x:v>
      </x:c>
      <x:c r="Q20" t="n">
        <x:f>ROUND(SUM('食材明细'!N110:N115),1)</x:f>
        <x:v>9.3</x:v>
      </x:c>
      <x:c r="R20" s="10" t="str">
        <x:v>调料尽量低盐，不加白砂糖；油重已计入热量。</x:v>
      </x:c>
    </x:row>
    <x:row r="21" ht="37" customHeight="1">
      <x:c r="A21" t="n">
        <x:v>20</x:v>
      </x:c>
      <x:c r="B21" t="n">
        <x:v>10</x:v>
      </x:c>
      <x:c r="C21" t="n">
        <x:v>2</x:v>
      </x:c>
      <x:c r="D21" t="str">
        <x:v>晚餐</x:v>
      </x:c>
      <x:c r="E21" t="str">
        <x:v>禽肉</x:v>
      </x:c>
      <x:c r="F21" s="10" t="str">
        <x:v>番茄鸡里脊肉配西兰花｜全麦面</x:v>
      </x:c>
      <x:c r="G21" s="10" t="str">
        <x:v>鸡里脊肉160g、番茄140g、西兰花110g、全麦面95g、烹调油4g</x:v>
      </x:c>
      <x:c r="H21" t="str">
        <x:v>全麦面</x:v>
      </x:c>
      <x:c r="I21" s="10" t="str">
        <x:v>低主食需求可将主食减1/3，另加100g非淀粉蔬菜（营养值需重算）</x:v>
      </x:c>
      <x:c r="J21" s="10" t="str">
        <x:v>番茄丁、黑胡椒</x:v>
      </x:c>
      <x:c r="K21" t="str">
        <x:v>炖煮</x:v>
      </x:c>
      <x:c r="L21" s="10" t="str">
        <x:v>番茄出汁后加入主食材和少量水，轻炖至熟，再放配菜；面/魔芋丝煮熟后与菜合碗。</x:v>
      </x:c>
      <x:c r="M21" t="n">
        <x:v>25</x:v>
      </x:c>
      <x:c r="N21" t="n">
        <x:f>ROUND(SUM('食材明细'!H116:H121),0)</x:f>
        <x:v>395</x:v>
      </x:c>
      <x:c r="O21" t="n">
        <x:f>ROUND(SUM('食材明细'!J116:J121),1)</x:f>
        <x:v>45.9</x:v>
      </x:c>
      <x:c r="P21" t="n">
        <x:f>ROUND(SUM('食材明细'!L116:L121),1)</x:f>
        <x:v>37.1</x:v>
      </x:c>
      <x:c r="Q21" t="n">
        <x:f>ROUND(SUM('食材明细'!N116:N121),1)</x:f>
        <x:v>8.7</x:v>
      </x:c>
      <x:c r="R21" s="10" t="str">
        <x:v>调料尽量低盐，不加白砂糖；油重已计入热量。</x:v>
      </x:c>
    </x:row>
    <x:row r="22" ht="37" customHeight="1">
      <x:c r="A22" t="n">
        <x:v>21</x:v>
      </x:c>
      <x:c r="B22" t="n">
        <x:v>11</x:v>
      </x:c>
      <x:c r="C22" t="n">
        <x:v>2</x:v>
      </x:c>
      <x:c r="D22" t="str">
        <x:v>午餐</x:v>
      </x:c>
      <x:c r="E22" t="str">
        <x:v>海鲜</x:v>
      </x:c>
      <x:c r="F22" s="10" t="str">
        <x:v>柠檬扇贝肉配娃娃菜白萝卜｜红薯</x:v>
      </x:c>
      <x:c r="G22" s="10" t="str">
        <x:v>扇贝肉210g、娃娃菜160g、白萝卜140g、红薯150g、烹调油6g</x:v>
      </x:c>
      <x:c r="H22" t="str">
        <x:v>红薯</x:v>
      </x:c>
      <x:c r="I22" s="10" t="str">
        <x:v>想减主食可减到原量2/3，另加100g绿叶菜</x:v>
      </x:c>
      <x:c r="J22" s="10" t="str">
        <x:v>柠檬片、白胡椒</x:v>
      </x:c>
      <x:c r="K22" t="str">
        <x:v>蒸</x:v>
      </x:c>
      <x:c r="L22" s="10" t="str">
        <x:v>柠檬片垫底，主食材蒸熟，蔬菜短焯后摆盘；红薯另煮熟或蒸好后同餐食用。</x:v>
      </x:c>
      <x:c r="M22" t="n">
        <x:v>25</x:v>
      </x:c>
      <x:c r="N22" t="n">
        <x:f>ROUND(SUM('食材明细'!H122:H127),0)</x:f>
        <x:v>427</x:v>
      </x:c>
      <x:c r="O22" t="n">
        <x:f>ROUND(SUM('食材明细'!J122:J127),1)</x:f>
        <x:v>41</x:v>
      </x:c>
      <x:c r="P22" t="n">
        <x:f>ROUND(SUM('食材明细'!L122:L127),1)</x:f>
        <x:v>47.5</x:v>
      </x:c>
      <x:c r="Q22" t="n">
        <x:f>ROUND(SUM('食材明细'!N122:N127),1)</x:f>
        <x:v>8.3</x:v>
      </x:c>
      <x:c r="R22" s="10" t="str">
        <x:v>调料尽量低盐，不加白砂糖；油重已计入热量。</x:v>
      </x:c>
    </x:row>
    <x:row r="23" ht="37" customHeight="1">
      <x:c r="A23" t="n">
        <x:v>22</x:v>
      </x:c>
      <x:c r="B23" t="n">
        <x:v>11</x:v>
      </x:c>
      <x:c r="C23" t="n">
        <x:v>2</x:v>
      </x:c>
      <x:c r="D23" t="str">
        <x:v>晚餐</x:v>
      </x:c>
      <x:c r="E23" t="str">
        <x:v>牛肉</x:v>
      </x:c>
      <x:c r="F23" s="10" t="str">
        <x:v>菌菇肥牛卷北豆腐烩荷兰豆香菇｜燕麦饭</x:v>
      </x:c>
      <x:c r="G23" s="10" t="str">
        <x:v>肥牛卷105g、北豆腐110g、荷兰豆190g、香菇140g、燕麦饭125g、烹调油3g</x:v>
      </x:c>
      <x:c r="H23" t="str">
        <x:v>燕麦饭</x:v>
      </x:c>
      <x:c r="I23" s="10" t="str">
        <x:v>低主食需求可将主食减1/3，另加100g非淀粉蔬菜（营养值需重算）</x:v>
      </x:c>
      <x:c r="J23" s="10" t="str">
        <x:v>姜片、香菇汁</x:v>
      </x:c>
      <x:c r="K23" t="str">
        <x:v>焖煮</x:v>
      </x:c>
      <x:c r="L23" s="10" t="str">
        <x:v>肥牛先汆水撇去浮油；食材与菌菇加少量水焖熟，出锅前加少量低盐生抽；燕麦饭另煮熟或蒸好后同餐食用。</x:v>
      </x:c>
      <x:c r="M23" t="n">
        <x:v>30</x:v>
      </x:c>
      <x:c r="N23" t="n">
        <x:f>ROUND(SUM('食材明细'!H128:H133),0)</x:f>
        <x:v>653</x:v>
      </x:c>
      <x:c r="O23" t="n">
        <x:f>ROUND(SUM('食材明细'!J128:J133),1)</x:f>
        <x:v>40.2</x:v>
      </x:c>
      <x:c r="P23" t="n">
        <x:f>ROUND(SUM('食材明细'!L128:L133),1)</x:f>
        <x:v>53.3</x:v>
      </x:c>
      <x:c r="Q23" t="n">
        <x:f>ROUND(SUM('食材明细'!N128:N133),1)</x:f>
        <x:v>33</x:v>
      </x:c>
      <x:c r="R23" s="10" t="str">
        <x:v>肥牛油脂高，按份量使用并撇浮油。</x:v>
      </x:c>
    </x:row>
    <x:row r="24" ht="37" customHeight="1">
      <x:c r="A24" t="n">
        <x:v>23</x:v>
      </x:c>
      <x:c r="B24" t="n">
        <x:v>12</x:v>
      </x:c>
      <x:c r="C24" t="n">
        <x:v>2</x:v>
      </x:c>
      <x:c r="D24" t="str">
        <x:v>午餐</x:v>
      </x:c>
      <x:c r="E24" t="str">
        <x:v>鱼类</x:v>
      </x:c>
      <x:c r="F24" s="10" t="str">
        <x:v>豉汁鲈鱼配荷兰豆杏鲍菇｜红薯</x:v>
      </x:c>
      <x:c r="G24" s="10" t="str">
        <x:v>鲈鱼175g、荷兰豆140g、杏鲍菇125g、红薯150g、烹调油3g</x:v>
      </x:c>
      <x:c r="H24" t="str">
        <x:v>红薯</x:v>
      </x:c>
      <x:c r="I24" s="10" t="str">
        <x:v>想减主食可减到原量2/3，另加100g绿叶菜</x:v>
      </x:c>
      <x:c r="J24" s="10" t="str">
        <x:v>少量豆豉、姜末</x:v>
      </x:c>
      <x:c r="K24" t="str">
        <x:v>蒸</x:v>
      </x:c>
      <x:c r="L24" s="10" t="str">
        <x:v>鱼肉去刺，彻底做熟；豆豉冲洗剁碎，与姜末拌主食材后蒸熟；蔬菜另煮；红薯另煮熟或蒸好后同餐食用。</x:v>
      </x:c>
      <x:c r="M24" t="n">
        <x:v>15</x:v>
      </x:c>
      <x:c r="N24" t="n">
        <x:f>ROUND(SUM('食材明细'!H134:H139),0)</x:f>
        <x:v>445</x:v>
      </x:c>
      <x:c r="O24" t="n">
        <x:f>ROUND(SUM('食材明细'!J134:J139),1)</x:f>
        <x:v>42.1</x:v>
      </x:c>
      <x:c r="P24" t="n">
        <x:f>ROUND(SUM('食材明细'!L134:L139),1)</x:f>
        <x:v>50.5</x:v>
      </x:c>
      <x:c r="Q24" t="n">
        <x:f>ROUND(SUM('食材明细'!N134:N139),1)</x:f>
        <x:v>9.2</x:v>
      </x:c>
      <x:c r="R24" s="10" t="str">
        <x:v>调料尽量低盐，不加白砂糖；油重已计入热量。</x:v>
      </x:c>
    </x:row>
    <x:row r="25" ht="37" customHeight="1">
      <x:c r="A25" t="n">
        <x:v>24</x:v>
      </x:c>
      <x:c r="B25" t="n">
        <x:v>12</x:v>
      </x:c>
      <x:c r="C25" t="n">
        <x:v>2</x:v>
      </x:c>
      <x:c r="D25" t="str">
        <x:v>晚餐</x:v>
      </x:c>
      <x:c r="E25" t="str">
        <x:v>鱼类</x:v>
      </x:c>
      <x:c r="F25" s="10" t="str">
        <x:v>椒麻三文鱼配彩椒香菇｜糙米饭</x:v>
      </x:c>
      <x:c r="G25" s="10" t="str">
        <x:v>三文鱼120g、彩椒175g、香菇140g、糙米饭135g、烹调油3g</x:v>
      </x:c>
      <x:c r="H25" t="str">
        <x:v>糙米饭</x:v>
      </x:c>
      <x:c r="I25" s="10" t="str">
        <x:v>低主食需求可将主食减1/3，另加100g非淀粉蔬菜（营养值需重算）</x:v>
      </x:c>
      <x:c r="J25" s="10" t="str">
        <x:v>花椒、蒜、少量醋</x:v>
      </x:c>
      <x:c r="K25" t="str">
        <x:v>水煮</x:v>
      </x:c>
      <x:c r="L25" s="10" t="str">
        <x:v>鱼肉去刺，彻底做熟；花椒温水浸出味道，煮熟主食材和配菜，少油拌汁；糙米饭另煮熟或蒸好后同餐食用。</x:v>
      </x:c>
      <x:c r="M25" t="n">
        <x:v>15</x:v>
      </x:c>
      <x:c r="N25" t="n">
        <x:f>ROUND(SUM('食材明细'!H140:H145),0)</x:f>
        <x:v>519</x:v>
      </x:c>
      <x:c r="O25" t="n">
        <x:f>ROUND(SUM('食材明细'!J140:J145),1)</x:f>
        <x:v>32.3</x:v>
      </x:c>
      <x:c r="P25" t="n">
        <x:f>ROUND(SUM('食材明细'!L140:L145),1)</x:f>
        <x:v>51.9</x:v>
      </x:c>
      <x:c r="Q25" t="n">
        <x:f>ROUND(SUM('食材明细'!N140:N145),1)</x:f>
        <x:v>20.9</x:v>
      </x:c>
      <x:c r="R25" s="10" t="str">
        <x:v>调料尽量低盐，不加白砂糖；油重已计入热量。</x:v>
      </x:c>
    </x:row>
    <x:row r="26" ht="37" customHeight="1">
      <x:c r="A26" t="n">
        <x:v>25</x:v>
      </x:c>
      <x:c r="B26" t="n">
        <x:v>13</x:v>
      </x:c>
      <x:c r="C26" t="n">
        <x:v>2</x:v>
      </x:c>
      <x:c r="D26" t="str">
        <x:v>午餐</x:v>
      </x:c>
      <x:c r="E26" t="str">
        <x:v>牛肉</x:v>
      </x:c>
      <x:c r="F26" s="10" t="str">
        <x:v>番茄瘦牛肉配泡发木耳｜杂粮饭</x:v>
      </x:c>
      <x:c r="G26" s="10" t="str">
        <x:v>瘦牛肉175g、番茄190g、泡发木耳155g、杂粮饭110g、烹调油5g</x:v>
      </x:c>
      <x:c r="H26" t="str">
        <x:v>杂粮饭</x:v>
      </x:c>
      <x:c r="I26" s="10" t="str">
        <x:v>低主食需求可将主食减1/3，另加100g非淀粉蔬菜（营养值需重算）</x:v>
      </x:c>
      <x:c r="J26" s="10" t="str">
        <x:v>番茄丁、黑胡椒</x:v>
      </x:c>
      <x:c r="K26" t="str">
        <x:v>炖煮</x:v>
      </x:c>
      <x:c r="L26" s="10" t="str">
        <x:v>番茄出汁后加入主食材和少量水，轻炖至熟，再放配菜；杂粮饭另煮熟或蒸好后同餐食用。</x:v>
      </x:c>
      <x:c r="M26" t="n">
        <x:v>30</x:v>
      </x:c>
      <x:c r="N26" t="n">
        <x:f>ROUND(SUM('食材明细'!H146:H151),0)</x:f>
        <x:v>467</x:v>
      </x:c>
      <x:c r="O26" t="n">
        <x:f>ROUND(SUM('食材明细'!J146:J151),1)</x:f>
        <x:v>44.2</x:v>
      </x:c>
      <x:c r="P26" t="n">
        <x:f>ROUND(SUM('食材明细'!L146:L151),1)</x:f>
        <x:v>42.8</x:v>
      </x:c>
      <x:c r="Q26" t="n">
        <x:f>ROUND(SUM('食材明细'!N146:N151),1)</x:f>
        <x:v>13.8</x:v>
      </x:c>
      <x:c r="R26" s="10" t="str">
        <x:v>调料尽量低盐，不加白砂糖；油重已计入热量。</x:v>
      </x:c>
    </x:row>
    <x:row r="27" ht="37" customHeight="1">
      <x:c r="A27" t="n">
        <x:v>26</x:v>
      </x:c>
      <x:c r="B27" t="n">
        <x:v>13</x:v>
      </x:c>
      <x:c r="C27" t="n">
        <x:v>2</x:v>
      </x:c>
      <x:c r="D27" t="str">
        <x:v>晚餐</x:v>
      </x:c>
      <x:c r="E27" t="str">
        <x:v>禽肉</x:v>
      </x:c>
      <x:c r="F27" s="10" t="str">
        <x:v>剁椒去皮鸡腿肉配白萝卜绿豆芽｜糙米饭</x:v>
      </x:c>
      <x:c r="G27" s="10" t="str">
        <x:v>去皮鸡腿肉180g、白萝卜190g、绿豆芽125g、糙米饭135g、烹调油6g</x:v>
      </x:c>
      <x:c r="H27" t="str">
        <x:v>糙米饭</x:v>
      </x:c>
      <x:c r="I27" s="10" t="str">
        <x:v>低主食需求可将主食减1/3，另加100g非淀粉蔬菜（营养值需重算）</x:v>
      </x:c>
      <x:c r="J27" s="10" t="str">
        <x:v>自制低盐剁椒、蒜</x:v>
      </x:c>
      <x:c r="K27" t="str">
        <x:v>蒸</x:v>
      </x:c>
      <x:c r="L27" s="10" t="str">
        <x:v>先去皮去骨并切薄，充分加热；主食材铺少量低盐剁椒蒸熟，配菜焯熟后摆盘；糙米饭另煮熟或蒸好后同餐食用。</x:v>
      </x:c>
      <x:c r="M27" t="n">
        <x:v>15</x:v>
      </x:c>
      <x:c r="N27" t="n">
        <x:f>ROUND(SUM('食材明细'!H152:H157),0)</x:f>
        <x:v>503</x:v>
      </x:c>
      <x:c r="O27" t="n">
        <x:f>ROUND(SUM('食材明细'!J152:J157),1)</x:f>
        <x:v>44.4</x:v>
      </x:c>
      <x:c r="P27" t="n">
        <x:f>ROUND(SUM('食材明细'!L152:L157),1)</x:f>
        <x:v>46.8</x:v>
      </x:c>
      <x:c r="Q27" t="n">
        <x:f>ROUND(SUM('食材明细'!N152:N157),1)</x:f>
        <x:v>16.7</x:v>
      </x:c>
      <x:c r="R27" s="10" t="str">
        <x:v>调料尽量低盐，不加白砂糖；油重已计入热量。</x:v>
      </x:c>
    </x:row>
    <x:row r="28" ht="37" customHeight="1">
      <x:c r="A28" t="n">
        <x:v>27</x:v>
      </x:c>
      <x:c r="B28" t="n">
        <x:v>14</x:v>
      </x:c>
      <x:c r="C28" t="n">
        <x:v>2</x:v>
      </x:c>
      <x:c r="D28" t="str">
        <x:v>午餐</x:v>
      </x:c>
      <x:c r="E28" t="str">
        <x:v>牛肉</x:v>
      </x:c>
      <x:c r="F28" s="10" t="str">
        <x:v>椒麻肥牛卷北豆腐烩芹菜香菇｜土豆</x:v>
      </x:c>
      <x:c r="G28" s="10" t="str">
        <x:v>肥牛卷95g、北豆腐90g、芹菜175g、香菇155g、土豆125g、烹调油5g</x:v>
      </x:c>
      <x:c r="H28" t="str">
        <x:v>土豆</x:v>
      </x:c>
      <x:c r="I28" s="10" t="str">
        <x:v>想减主食可减到原量2/3，另加100g绿叶菜</x:v>
      </x:c>
      <x:c r="J28" s="10" t="str">
        <x:v>花椒、蒜、少量醋</x:v>
      </x:c>
      <x:c r="K28" t="str">
        <x:v>水煮</x:v>
      </x:c>
      <x:c r="L28" s="10" t="str">
        <x:v>肥牛先汆水撇去浮油；花椒温水浸出味道，煮熟主食材和配菜，少油拌汁；土豆另煮熟或蒸好后同餐食用。</x:v>
      </x:c>
      <x:c r="M28" t="n">
        <x:v>20</x:v>
      </x:c>
      <x:c r="N28" t="n">
        <x:f>ROUND(SUM('食材明细'!H158:H163),0)</x:f>
        <x:v>543</x:v>
      </x:c>
      <x:c r="O28" t="n">
        <x:f>ROUND(SUM('食材明细'!J158:J163),1)</x:f>
        <x:v>31.9</x:v>
      </x:c>
      <x:c r="P28" t="n">
        <x:f>ROUND(SUM('食材明细'!L158:L163),1)</x:f>
        <x:v>40.9</x:v>
      </x:c>
      <x:c r="Q28" t="n">
        <x:f>ROUND(SUM('食材明细'!N158:N163),1)</x:f>
        <x:v>29.6</x:v>
      </x:c>
      <x:c r="R28" s="10" t="str">
        <x:v>肥牛油脂高，按份量使用并撇浮油。</x:v>
      </x:c>
    </x:row>
    <x:row r="29" ht="37" customHeight="1">
      <x:c r="A29" t="n">
        <x:v>28</x:v>
      </x:c>
      <x:c r="B29" t="n">
        <x:v>14</x:v>
      </x:c>
      <x:c r="C29" t="n">
        <x:v>2</x:v>
      </x:c>
      <x:c r="D29" t="str">
        <x:v>晚餐</x:v>
      </x:c>
      <x:c r="E29" t="str">
        <x:v>豆蛋</x:v>
      </x:c>
      <x:c r="F29" s="10" t="str">
        <x:v>酸汤鸡蛋嫩豆腐烩小白菜洋葱｜燕麦饭</x:v>
      </x:c>
      <x:c r="G29" s="10" t="str">
        <x:v>鸡蛋120g、嫩豆腐110g、小白菜175g、洋葱125g、燕麦饭135g、烹调油6g</x:v>
      </x:c>
      <x:c r="H29" t="str">
        <x:v>燕麦饭</x:v>
      </x:c>
      <x:c r="I29" s="10" t="str">
        <x:v>低主食需求可将主食减1/3，另加100g非淀粉蔬菜（营养值需重算）</x:v>
      </x:c>
      <x:c r="J29" s="10" t="str">
        <x:v>米醋、番茄、少许辣椒</x:v>
      </x:c>
      <x:c r="K29" t="str">
        <x:v>水煮</x:v>
      </x:c>
      <x:c r="L29" s="10" t="str">
        <x:v>鸡蛋先打散成蛋液；番茄煮成酸汤，主食材汆熟，加入蔬菜再煮2～5分钟；燕麦饭另煮熟或蒸好后同餐食用。</x:v>
      </x:c>
      <x:c r="M29" t="n">
        <x:v>20</x:v>
      </x:c>
      <x:c r="N29" t="n">
        <x:f>ROUND(SUM('食材明细'!H164:H169),0)</x:f>
        <x:v>516</x:v>
      </x:c>
      <x:c r="O29" t="n">
        <x:f>ROUND(SUM('食材明细'!J164:J169),1)</x:f>
        <x:v>29.6</x:v>
      </x:c>
      <x:c r="P29" t="n">
        <x:f>ROUND(SUM('食材明细'!L164:L169),1)</x:f>
        <x:v>48.4</x:v>
      </x:c>
      <x:c r="Q29" t="n">
        <x:f>ROUND(SUM('食材明细'!N164:N169),1)</x:f>
        <x:v>24</x:v>
      </x:c>
      <x:c r="R29" s="10" t="str">
        <x:v>调料尽量低盐，不加白砂糖；油重已计入热量。</x:v>
      </x:c>
    </x:row>
    <x:row r="30" ht="37" customHeight="1">
      <x:c r="A30" t="n">
        <x:v>29</x:v>
      </x:c>
      <x:c r="B30" t="n">
        <x:v>15</x:v>
      </x:c>
      <x:c r="C30" t="n">
        <x:v>3</x:v>
      </x:c>
      <x:c r="D30" t="str">
        <x:v>午餐</x:v>
      </x:c>
      <x:c r="E30" t="str">
        <x:v>猪肉</x:v>
      </x:c>
      <x:c r="F30" s="10" t="str">
        <x:v>葱姜清蒸猪里脊配番茄胡萝卜｜紫薯</x:v>
      </x:c>
      <x:c r="G30" s="10" t="str">
        <x:v>猪里脊185g、番茄160g、胡萝卜140g、紫薯165g、烹调油5g</x:v>
      </x:c>
      <x:c r="H30" t="str">
        <x:v>紫薯</x:v>
      </x:c>
      <x:c r="I30" s="10" t="str">
        <x:v>想减主食可减到原量2/3，另加100g绿叶菜</x:v>
      </x:c>
      <x:c r="J30" s="10" t="str">
        <x:v>葱姜、少量低盐生抽</x:v>
      </x:c>
      <x:c r="K30" t="str">
        <x:v>蒸</x:v>
      </x:c>
      <x:c r="L30" s="10" t="str">
        <x:v>切片腌5分钟；肉和配菜入盘，蒸至熟透；淋葱姜汁；紫薯另煮熟或蒸好后同餐食用。</x:v>
      </x:c>
      <x:c r="M30" t="n">
        <x:v>25</x:v>
      </x:c>
      <x:c r="N30" t="n">
        <x:f>ROUND(SUM('食材明细'!H170:H175),0)</x:f>
        <x:v>513</x:v>
      </x:c>
      <x:c r="O30" t="n">
        <x:f>ROUND(SUM('食材明细'!J170:J175),1)</x:f>
        <x:v>44.2</x:v>
      </x:c>
      <x:c r="P30" t="n">
        <x:f>ROUND(SUM('食材明细'!L170:L175),1)</x:f>
        <x:v>56.7</x:v>
      </x:c>
      <x:c r="Q30" t="n">
        <x:f>ROUND(SUM('食材明细'!N170:N175),1)</x:f>
        <x:v>12.3</x:v>
      </x:c>
      <x:c r="R30" s="10" t="str">
        <x:v>调料尽量低盐，不加白砂糖；油重已计入热量。</x:v>
      </x:c>
    </x:row>
    <x:row r="31" ht="37" customHeight="1">
      <x:c r="A31" t="n">
        <x:v>30</x:v>
      </x:c>
      <x:c r="B31" t="n">
        <x:v>15</x:v>
      </x:c>
      <x:c r="C31" t="n">
        <x:v>3</x:v>
      </x:c>
      <x:c r="D31" t="str">
        <x:v>晚餐</x:v>
      </x:c>
      <x:c r="E31" t="str">
        <x:v>牛肉</x:v>
      </x:c>
      <x:c r="F31" s="10" t="str">
        <x:v>豉汁牛里脊配小白菜香菇｜燕麦饭</x:v>
      </x:c>
      <x:c r="G31" s="10" t="str">
        <x:v>牛里脊145g、小白菜175g、香菇140g、燕麦饭110g、烹调油3g</x:v>
      </x:c>
      <x:c r="H31" t="str">
        <x:v>燕麦饭</x:v>
      </x:c>
      <x:c r="I31" s="10" t="str">
        <x:v>低主食需求可将主食减1/3，另加100g非淀粉蔬菜（营养值需重算）</x:v>
      </x:c>
      <x:c r="J31" s="10" t="str">
        <x:v>少量豆豉、姜末</x:v>
      </x:c>
      <x:c r="K31" t="str">
        <x:v>蒸</x:v>
      </x:c>
      <x:c r="L31" s="10" t="str">
        <x:v>豆豉冲洗剁碎，与姜末拌主食材后蒸熟；蔬菜另煮；燕麦饭另煮熟或蒸好后同餐食用。</x:v>
      </x:c>
      <x:c r="M31" t="n">
        <x:v>30</x:v>
      </x:c>
      <x:c r="N31" t="n">
        <x:f>ROUND(SUM('食材明细'!H176:H181),0)</x:f>
        <x:v>414</x:v>
      </x:c>
      <x:c r="O31" t="n">
        <x:f>ROUND(SUM('食材明细'!J176:J181),1)</x:f>
        <x:v>39.9</x:v>
      </x:c>
      <x:c r="P31" t="n">
        <x:f>ROUND(SUM('食材明细'!L176:L181),1)</x:f>
        <x:v>37.5</x:v>
      </x:c>
      <x:c r="Q31" t="n">
        <x:f>ROUND(SUM('食材明细'!N176:N181),1)</x:f>
        <x:v>13</x:v>
      </x:c>
      <x:c r="R31" s="10" t="str">
        <x:v>调料尽量低盐，不加白砂糖；油重已计入热量。</x:v>
      </x:c>
    </x:row>
    <x:row r="32" ht="37" customHeight="1">
      <x:c r="A32" t="n">
        <x:v>31</x:v>
      </x:c>
      <x:c r="B32" t="n">
        <x:v>16</x:v>
      </x:c>
      <x:c r="C32" t="n">
        <x:v>3</x:v>
      </x:c>
      <x:c r="D32" t="str">
        <x:v>午餐</x:v>
      </x:c>
      <x:c r="E32" t="str">
        <x:v>海鲜</x:v>
      </x:c>
      <x:c r="F32" s="10" t="str">
        <x:v>黑椒虾仁配彩椒小白菜｜玉米</x:v>
      </x:c>
      <x:c r="G32" s="10" t="str">
        <x:v>虾仁160g、熟毛豆仁70g、彩椒160g、小白菜110g、玉米150g、烹调油5g</x:v>
      </x:c>
      <x:c r="H32" t="str">
        <x:v>玉米</x:v>
      </x:c>
      <x:c r="I32" s="10" t="str">
        <x:v>想减主食可减到原量2/3，另加100g绿叶菜</x:v>
      </x:c>
      <x:c r="J32" s="10" t="str">
        <x:v>黑胡椒、蒜末</x:v>
      </x:c>
      <x:c r="K32" t="str">
        <x:v>少油烩</x:v>
      </x:c>
      <x:c r="L32" s="10" t="str">
        <x:v>锅加少量水和油，先把主食材煮熟，再烩两种蔬菜，收汁撒黑椒；玉米另煮熟或蒸好后同餐食用。</x:v>
      </x:c>
      <x:c r="M32" t="n">
        <x:v>15</x:v>
      </x:c>
      <x:c r="N32" t="n">
        <x:f>ROUND(SUM('食材明细'!H182:H187),0)</x:f>
        <x:v>492</x:v>
      </x:c>
      <x:c r="O32" t="n">
        <x:f>ROUND(SUM('食材明细'!J182:J187),1)</x:f>
        <x:v>47.3</x:v>
      </x:c>
      <x:c r="P32" t="n">
        <x:f>ROUND(SUM('食材明细'!L182:L187),1)</x:f>
        <x:v>52.8</x:v>
      </x:c>
      <x:c r="Q32" t="n">
        <x:f>ROUND(SUM('食材明细'!N182:N187),1)</x:f>
        <x:v>13.1</x:v>
      </x:c>
      <x:c r="R32" s="10" t="str">
        <x:v>调料尽量低盐，不加白砂糖；油重已计入热量。</x:v>
      </x:c>
    </x:row>
    <x:row r="33" ht="37" customHeight="1">
      <x:c r="A33" t="n">
        <x:v>32</x:v>
      </x:c>
      <x:c r="B33" t="n">
        <x:v>16</x:v>
      </x:c>
      <x:c r="C33" t="n">
        <x:v>3</x:v>
      </x:c>
      <x:c r="D33" t="str">
        <x:v>晚餐</x:v>
      </x:c>
      <x:c r="E33" t="str">
        <x:v>禽肉</x:v>
      </x:c>
      <x:c r="F33" s="10" t="str">
        <x:v>蚝香鸡胸肉配花菜胡萝卜｜紫薯</x:v>
      </x:c>
      <x:c r="G33" s="10" t="str">
        <x:v>鸡胸肉170g、花菜160g、胡萝卜125g、紫薯110g、烹调油4g</x:v>
      </x:c>
      <x:c r="H33" t="str">
        <x:v>紫薯</x:v>
      </x:c>
      <x:c r="I33" s="10" t="str">
        <x:v>想减主食可减到原量2/3，另加100g绿叶菜</x:v>
      </x:c>
      <x:c r="J33" s="10" t="str">
        <x:v>低钠蚝油少量、姜蒜</x:v>
      </x:c>
      <x:c r="K33" t="str">
        <x:v>少油烩</x:v>
      </x:c>
      <x:c r="L33" s="10" t="str">
        <x:v>主食材和蔬菜少油少水烩熟，起锅前点少量蚝油；紫薯另煮熟或蒸好后同餐食用。</x:v>
      </x:c>
      <x:c r="M33" t="n">
        <x:v>30</x:v>
      </x:c>
      <x:c r="N33" t="n">
        <x:f>ROUND(SUM('食材明细'!H188:H193),0)</x:f>
        <x:v>419</x:v>
      </x:c>
      <x:c r="O33" t="n">
        <x:f>ROUND(SUM('食材明细'!J188:J193),1)</x:f>
        <x:v>45.2</x:v>
      </x:c>
      <x:c r="P33" t="n">
        <x:f>ROUND(SUM('食材明细'!L188:L193),1)</x:f>
        <x:v>44.7</x:v>
      </x:c>
      <x:c r="Q33" t="n">
        <x:f>ROUND(SUM('食材明细'!N188:N193),1)</x:f>
        <x:v>8.2</x:v>
      </x:c>
      <x:c r="R33" s="10" t="str">
        <x:v>调料尽量低盐，不加白砂糖；油重已计入热量。</x:v>
      </x:c>
    </x:row>
    <x:row r="34" ht="37" customHeight="1">
      <x:c r="A34" t="n">
        <x:v>33</x:v>
      </x:c>
      <x:c r="B34" t="n">
        <x:v>17</x:v>
      </x:c>
      <x:c r="C34" t="n">
        <x:v>3</x:v>
      </x:c>
      <x:c r="D34" t="str">
        <x:v>午餐</x:v>
      </x:c>
      <x:c r="E34" t="str">
        <x:v>豆蛋</x:v>
      </x:c>
      <x:c r="F34" s="10" t="str">
        <x:v>清汤鸡蛋北豆腐烩番茄金针菇｜燕麦饭</x:v>
      </x:c>
      <x:c r="G34" s="10" t="str">
        <x:v>鸡蛋120g、北豆腐130g、番茄175g、金针菇155g、燕麦饭150g、烹调油5g</x:v>
      </x:c>
      <x:c r="H34" t="str">
        <x:v>燕麦饭</x:v>
      </x:c>
      <x:c r="I34" s="10" t="str">
        <x:v>低主食需求可将主食减1/3，另加100g非淀粉蔬菜（营养值需重算）</x:v>
      </x:c>
      <x:c r="J34" s="10" t="str">
        <x:v>葱段、盐少量</x:v>
      </x:c>
      <x:c r="K34" t="str">
        <x:v>煮</x:v>
      </x:c>
      <x:c r="L34" s="10" t="str">
        <x:v>鸡蛋先打散成蛋液；清水煮开，按熟化时间下食材，最后放叶菜，清淡调味；燕麦饭另煮熟或蒸好后同餐食用。</x:v>
      </x:c>
      <x:c r="M34" t="n">
        <x:v>20</x:v>
      </x:c>
      <x:c r="N34" t="n">
        <x:f>ROUND(SUM('食材明细'!H194:H199),0)</x:f>
        <x:v>584</x:v>
      </x:c>
      <x:c r="O34" t="n">
        <x:f>ROUND(SUM('食材明细'!J194:J199),1)</x:f>
        <x:v>38.7</x:v>
      </x:c>
      <x:c r="P34" t="n">
        <x:f>ROUND(SUM('食材明细'!L194:L199),1)</x:f>
        <x:v>52.3</x:v>
      </x:c>
      <x:c r="Q34" t="n">
        <x:f>ROUND(SUM('食材明细'!N194:N199),1)</x:f>
        <x:v>26.9</x:v>
      </x:c>
      <x:c r="R34" s="10" t="str">
        <x:v>调料尽量低盐，不加白砂糖；油重已计入热量。</x:v>
      </x:c>
    </x:row>
    <x:row r="35" ht="37" customHeight="1">
      <x:c r="A35" t="n">
        <x:v>34</x:v>
      </x:c>
      <x:c r="B35" t="n">
        <x:v>17</x:v>
      </x:c>
      <x:c r="C35" t="n">
        <x:v>3</x:v>
      </x:c>
      <x:c r="D35" t="str">
        <x:v>晚餐</x:v>
      </x:c>
      <x:c r="E35" t="str">
        <x:v>禽肉</x:v>
      </x:c>
      <x:c r="F35" s="10" t="str">
        <x:v>豉汁鸡胸肉配秋葵泡发木耳｜杂粮饭</x:v>
      </x:c>
      <x:c r="G35" s="10" t="str">
        <x:v>鸡胸肉160g、秋葵160g、泡发木耳140g、杂粮饭110g、烹调油5g</x:v>
      </x:c>
      <x:c r="H35" t="str">
        <x:v>杂粮饭</x:v>
      </x:c>
      <x:c r="I35" s="10" t="str">
        <x:v>低主食需求可将主食减1/3，另加100g非淀粉蔬菜（营养值需重算）</x:v>
      </x:c>
      <x:c r="J35" s="10" t="str">
        <x:v>少量豆豉、姜末</x:v>
      </x:c>
      <x:c r="K35" t="str">
        <x:v>蒸</x:v>
      </x:c>
      <x:c r="L35" s="10" t="str">
        <x:v>豆豉冲洗剁碎，与姜末拌主食材后蒸熟；蔬菜另煮；杂粮饭另煮熟或蒸好后同餐食用。</x:v>
      </x:c>
      <x:c r="M35" t="n">
        <x:v>20</x:v>
      </x:c>
      <x:c r="N35" t="n">
        <x:f>ROUND(SUM('食材明细'!H200:H205),0)</x:f>
        <x:v>435</x:v>
      </x:c>
      <x:c r="O35" t="n">
        <x:f>ROUND(SUM('食材明细'!J200:J205),1)</x:f>
        <x:v>45.3</x:v>
      </x:c>
      <x:c r="P35" t="n">
        <x:f>ROUND(SUM('食材明细'!L200:L205),1)</x:f>
        <x:v>46.3</x:v>
      </x:c>
      <x:c r="Q35" t="n">
        <x:f>ROUND(SUM('食材明细'!N200:N205),1)</x:f>
        <x:v>9.9</x:v>
      </x:c>
      <x:c r="R35" s="10" t="str">
        <x:v>调料尽量低盐，不加白砂糖；油重已计入热量。</x:v>
      </x:c>
    </x:row>
    <x:row r="36" ht="37" customHeight="1">
      <x:c r="A36" t="n">
        <x:v>35</x:v>
      </x:c>
      <x:c r="B36" t="n">
        <x:v>18</x:v>
      </x:c>
      <x:c r="C36" t="n">
        <x:v>3</x:v>
      </x:c>
      <x:c r="D36" t="str">
        <x:v>午餐</x:v>
      </x:c>
      <x:c r="E36" t="str">
        <x:v>禽肉</x:v>
      </x:c>
      <x:c r="F36" s="10" t="str">
        <x:v>椒麻鸡胸肉配四季豆彩椒｜玉米</x:v>
      </x:c>
      <x:c r="G36" s="10" t="str">
        <x:v>鸡胸肉155g、四季豆140g、彩椒125g、玉米135g、烹调油5g</x:v>
      </x:c>
      <x:c r="H36" t="str">
        <x:v>玉米</x:v>
      </x:c>
      <x:c r="I36" s="10" t="str">
        <x:v>想减主食可减到原量2/3，另加100g绿叶菜</x:v>
      </x:c>
      <x:c r="J36" s="10" t="str">
        <x:v>花椒、蒜、少量醋</x:v>
      </x:c>
      <x:c r="K36" t="str">
        <x:v>水煮</x:v>
      </x:c>
      <x:c r="L36" s="10" t="str">
        <x:v>花椒温水浸出味道，煮熟主食材和配菜，少油拌汁；玉米另煮熟或蒸好后同餐食用。四季豆必须充分煮熟，不要生脆。</x:v>
      </x:c>
      <x:c r="M36" t="n">
        <x:v>25</x:v>
      </x:c>
      <x:c r="N36" t="n">
        <x:f>ROUND(SUM('食材明细'!H206:H211),0)</x:f>
        <x:v>434</x:v>
      </x:c>
      <x:c r="O36" t="n">
        <x:f>ROUND(SUM('食材明细'!J206:J211),1)</x:f>
        <x:v>44</x:v>
      </x:c>
      <x:c r="P36" t="n">
        <x:f>ROUND(SUM('食材明细'!L206:L211),1)</x:f>
        <x:v>47.1</x:v>
      </x:c>
      <x:c r="Q36" t="n">
        <x:f>ROUND(SUM('食材明细'!N206:N211),1)</x:f>
        <x:v>10.5</x:v>
      </x:c>
      <x:c r="R36" s="10" t="str">
        <x:v>调料尽量低盐，不加白砂糖；油重已计入热量。</x:v>
      </x:c>
    </x:row>
    <x:row r="37" ht="37" customHeight="1">
      <x:c r="A37" t="n">
        <x:v>36</x:v>
      </x:c>
      <x:c r="B37" t="n">
        <x:v>18</x:v>
      </x:c>
      <x:c r="C37" t="n">
        <x:v>3</x:v>
      </x:c>
      <x:c r="D37" t="str">
        <x:v>晚餐</x:v>
      </x:c>
      <x:c r="E37" t="str">
        <x:v>猪肉</x:v>
      </x:c>
      <x:c r="F37" s="10" t="str">
        <x:v>豉汁猪瘦肉配大白菜洋葱｜杂粮饭</x:v>
      </x:c>
      <x:c r="G37" s="10" t="str">
        <x:v>猪瘦肉145g、大白菜140g、洋葱140g、杂粮饭80g、烹调油6g</x:v>
      </x:c>
      <x:c r="H37" t="str">
        <x:v>杂粮饭</x:v>
      </x:c>
      <x:c r="I37" s="10" t="str">
        <x:v>低主食需求可将主食减1/3，另加100g非淀粉蔬菜（营养值需重算）</x:v>
      </x:c>
      <x:c r="J37" s="10" t="str">
        <x:v>少量豆豉、姜末</x:v>
      </x:c>
      <x:c r="K37" t="str">
        <x:v>蒸</x:v>
      </x:c>
      <x:c r="L37" s="10" t="str">
        <x:v>豆豉冲洗剁碎，与姜末拌主食材后蒸熟；蔬菜另煮；杂粮饭另煮熟或蒸好后同餐食用。</x:v>
      </x:c>
      <x:c r="M37" t="n">
        <x:v>20</x:v>
      </x:c>
      <x:c r="N37" t="n">
        <x:f>ROUND(SUM('食材明细'!H212:H217),0)</x:f>
        <x:v>414</x:v>
      </x:c>
      <x:c r="O37" t="n">
        <x:f>ROUND(SUM('食材明细'!J212:J217),1)</x:f>
        <x:v>35.1</x:v>
      </x:c>
      <x:c r="P37" t="n">
        <x:f>ROUND(SUM('食材明细'!L212:L217),1)</x:f>
        <x:v>36.3</x:v>
      </x:c>
      <x:c r="Q37" t="n">
        <x:f>ROUND(SUM('食材明细'!N212:N217),1)</x:f>
        <x:v>15.1</x:v>
      </x:c>
      <x:c r="R37" s="10" t="str">
        <x:v>调料尽量低盐，不加白砂糖；油重已计入热量。</x:v>
      </x:c>
    </x:row>
    <x:row r="38" ht="37" customHeight="1">
      <x:c r="A38" t="n">
        <x:v>37</x:v>
      </x:c>
      <x:c r="B38" t="n">
        <x:v>19</x:v>
      </x:c>
      <x:c r="C38" t="n">
        <x:v>3</x:v>
      </x:c>
      <x:c r="D38" t="str">
        <x:v>午餐</x:v>
      </x:c>
      <x:c r="E38" t="str">
        <x:v>猪肉</x:v>
      </x:c>
      <x:c r="F38" s="10" t="str">
        <x:v>无糖照烧猪瘦肉配彩椒洋葱｜荞麦面</x:v>
      </x:c>
      <x:c r="G38" s="10" t="str">
        <x:v>猪瘦肉155g、彩椒160g、洋葱110g、荞麦面150g、烹调油6g</x:v>
      </x:c>
      <x:c r="H38" t="str">
        <x:v>荞麦面</x:v>
      </x:c>
      <x:c r="I38" s="10" t="str">
        <x:v>低主食需求可将主食减1/3，另加100g非淀粉蔬菜（营养值需重算）</x:v>
      </x:c>
      <x:c r="J38" s="10" t="str">
        <x:v>低盐生抽、米醋、洋葱自然甜味</x:v>
      </x:c>
      <x:c r="K38" t="str">
        <x:v>少油煮</x:v>
      </x:c>
      <x:c r="L38" s="10" t="str">
        <x:v>生抽与米醋调汁，不加糖；肉菜加水煮熟后略收汁；面/魔芋丝煮熟后与菜合碗。</x:v>
      </x:c>
      <x:c r="M38" t="n">
        <x:v>15</x:v>
      </x:c>
      <x:c r="N38" t="n">
        <x:f>ROUND(SUM('食材明细'!H218:H223),0)</x:f>
        <x:v>500</x:v>
      </x:c>
      <x:c r="O38" t="n">
        <x:f>ROUND(SUM('食材明细'!J218:J223),1)</x:f>
        <x:v>39.8</x:v>
      </x:c>
      <x:c r="P38" t="n">
        <x:f>ROUND(SUM('食材明细'!L218:L223),1)</x:f>
        <x:v>51.5</x:v>
      </x:c>
      <x:c r="Q38" t="n">
        <x:f>ROUND(SUM('食材明细'!N218:N223),1)</x:f>
        <x:v>16</x:v>
      </x:c>
      <x:c r="R38" s="10" t="str">
        <x:v>调料尽量低盐，不加白砂糖；油重已计入热量。</x:v>
      </x:c>
    </x:row>
    <x:row r="39" ht="37" customHeight="1">
      <x:c r="A39" t="n">
        <x:v>38</x:v>
      </x:c>
      <x:c r="B39" t="n">
        <x:v>19</x:v>
      </x:c>
      <x:c r="C39" t="n">
        <x:v>3</x:v>
      </x:c>
      <x:c r="D39" t="str">
        <x:v>晚餐</x:v>
      </x:c>
      <x:c r="E39" t="str">
        <x:v>禽肉</x:v>
      </x:c>
      <x:c r="F39" s="10" t="str">
        <x:v>清汤鸡胸肉配白萝卜香菇｜杂粮饭</x:v>
      </x:c>
      <x:c r="G39" s="10" t="str">
        <x:v>鸡胸肉160g、白萝卜175g、香菇155g、杂粮饭80g、烹调油5g</x:v>
      </x:c>
      <x:c r="H39" t="str">
        <x:v>杂粮饭</x:v>
      </x:c>
      <x:c r="I39" s="10" t="str">
        <x:v>低主食需求可将主食减1/3，另加100g非淀粉蔬菜（营养值需重算）</x:v>
      </x:c>
      <x:c r="J39" s="10" t="str">
        <x:v>葱段、盐少量</x:v>
      </x:c>
      <x:c r="K39" t="str">
        <x:v>煮</x:v>
      </x:c>
      <x:c r="L39" s="10" t="str">
        <x:v>清水煮开，按熟化时间下食材，最后放叶菜，清淡调味；杂粮饭另煮熟或蒸好后同餐食用。</x:v>
      </x:c>
      <x:c r="M39" t="n">
        <x:v>20</x:v>
      </x:c>
      <x:c r="N39" t="n">
        <x:f>ROUND(SUM('食材明细'!H224:H229),0)</x:f>
        <x:v>397</x:v>
      </x:c>
      <x:c r="O39" t="n">
        <x:f>ROUND(SUM('食材明细'!J224:J229),1)</x:f>
        <x:v>43.7</x:v>
      </x:c>
      <x:c r="P39" t="n">
        <x:f>ROUND(SUM('食材明细'!L224:L229),1)</x:f>
        <x:v>36.3</x:v>
      </x:c>
      <x:c r="Q39" t="n">
        <x:f>ROUND(SUM('食材明细'!N224:N229),1)</x:f>
        <x:v>10</x:v>
      </x:c>
      <x:c r="R39" s="10" t="str">
        <x:v>调料尽量低盐，不加白砂糖；油重已计入热量。</x:v>
      </x:c>
    </x:row>
    <x:row r="40" ht="37" customHeight="1">
      <x:c r="A40" t="n">
        <x:v>39</x:v>
      </x:c>
      <x:c r="B40" t="n">
        <x:v>20</x:v>
      </x:c>
      <x:c r="C40" t="n">
        <x:v>3</x:v>
      </x:c>
      <x:c r="D40" t="str">
        <x:v>午餐</x:v>
      </x:c>
      <x:c r="E40" t="str">
        <x:v>牛肉</x:v>
      </x:c>
      <x:c r="F40" s="10" t="str">
        <x:v>柠檬瘦牛肉配冬瓜金针菇｜荞麦面</x:v>
      </x:c>
      <x:c r="G40" s="10" t="str">
        <x:v>瘦牛肉175g、冬瓜175g、金针菇140g、荞麦面135g、烹调油3g</x:v>
      </x:c>
      <x:c r="H40" t="str">
        <x:v>荞麦面</x:v>
      </x:c>
      <x:c r="I40" s="10" t="str">
        <x:v>低主食需求可将主食减1/3，另加100g非淀粉蔬菜（营养值需重算）</x:v>
      </x:c>
      <x:c r="J40" s="10" t="str">
        <x:v>柠檬片、白胡椒</x:v>
      </x:c>
      <x:c r="K40" t="str">
        <x:v>蒸</x:v>
      </x:c>
      <x:c r="L40" s="10" t="str">
        <x:v>柠檬片垫底，主食材蒸熟，蔬菜短焯后摆盘；面/魔芋丝煮熟后与菜合碗。</x:v>
      </x:c>
      <x:c r="M40" t="n">
        <x:v>25</x:v>
      </x:c>
      <x:c r="N40" t="n">
        <x:f>ROUND(SUM('食材明细'!H230:H235),0)</x:f>
        <x:v>455</x:v>
      </x:c>
      <x:c r="O40" t="n">
        <x:f>ROUND(SUM('食材明细'!J230:J235),1)</x:f>
        <x:v>46.2</x:v>
      </x:c>
      <x:c r="P40" t="n">
        <x:f>ROUND(SUM('食材明细'!L230:L235),1)</x:f>
        <x:v>42.6</x:v>
      </x:c>
      <x:c r="Q40" t="n">
        <x:f>ROUND(SUM('食材明细'!N230:N235),1)</x:f>
        <x:v>11.6</x:v>
      </x:c>
      <x:c r="R40" s="10" t="str">
        <x:v>调料尽量低盐，不加白砂糖；油重已计入热量。</x:v>
      </x:c>
    </x:row>
    <x:row r="41" ht="37" customHeight="1">
      <x:c r="A41" t="n">
        <x:v>40</x:v>
      </x:c>
      <x:c r="B41" t="n">
        <x:v>20</x:v>
      </x:c>
      <x:c r="C41" t="n">
        <x:v>3</x:v>
      </x:c>
      <x:c r="D41" t="str">
        <x:v>晚餐</x:v>
      </x:c>
      <x:c r="E41" t="str">
        <x:v>豆蛋</x:v>
      </x:c>
      <x:c r="F41" s="10" t="str">
        <x:v>剁椒北豆腐配白萝卜荷兰豆｜杂粮饭</x:v>
      </x:c>
      <x:c r="G41" s="10" t="str">
        <x:v>北豆腐300g、白萝卜160g、荷兰豆140g、杂粮饭95g、烹调油4g</x:v>
      </x:c>
      <x:c r="H41" t="str">
        <x:v>杂粮饭</x:v>
      </x:c>
      <x:c r="I41" s="10" t="str">
        <x:v>低主食需求可将主食减1/3，另加100g非淀粉蔬菜（营养值需重算）</x:v>
      </x:c>
      <x:c r="J41" s="10" t="str">
        <x:v>自制低盐剁椒、蒜</x:v>
      </x:c>
      <x:c r="K41" t="str">
        <x:v>蒸</x:v>
      </x:c>
      <x:c r="L41" s="10" t="str">
        <x:v>主食材铺少量低盐剁椒蒸熟，配菜焯熟后摆盘；杂粮饭另煮熟或蒸好后同餐食用。</x:v>
      </x:c>
      <x:c r="M41" t="n">
        <x:v>20</x:v>
      </x:c>
      <x:c r="N41" t="n">
        <x:f>ROUND(SUM('食材明细'!H236:H241),0)</x:f>
        <x:v>503</x:v>
      </x:c>
      <x:c r="O41" t="n">
        <x:f>ROUND(SUM('食材明细'!J236:J241),1)</x:f>
        <x:v>37.8</x:v>
      </x:c>
      <x:c r="P41" t="n">
        <x:f>ROUND(SUM('食材明细'!L236:L241),1)</x:f>
        <x:v>45.2</x:v>
      </x:c>
      <x:c r="Q41" t="n">
        <x:f>ROUND(SUM('食材明细'!N236:N241),1)</x:f>
        <x:v>20.6</x:v>
      </x:c>
      <x:c r="R41" s="10" t="str">
        <x:v>调料尽量低盐，不加白砂糖；油重已计入热量。</x:v>
      </x:c>
    </x:row>
    <x:row r="42" ht="37" customHeight="1">
      <x:c r="A42" t="n">
        <x:v>41</x:v>
      </x:c>
      <x:c r="B42" t="n">
        <x:v>21</x:v>
      </x:c>
      <x:c r="C42" t="n">
        <x:v>3</x:v>
      </x:c>
      <x:c r="D42" t="str">
        <x:v>午餐</x:v>
      </x:c>
      <x:c r="E42" t="str">
        <x:v>鱼类</x:v>
      </x:c>
      <x:c r="F42" s="10" t="str">
        <x:v>蒜香鲈鱼配西兰花荷兰豆｜杂粮饭</x:v>
      </x:c>
      <x:c r="G42" s="10" t="str">
        <x:v>鲈鱼215g、西兰花190g、荷兰豆110g、杂粮饭125g、烹调油6g</x:v>
      </x:c>
      <x:c r="H42" t="str">
        <x:v>杂粮饭</x:v>
      </x:c>
      <x:c r="I42" s="10" t="str">
        <x:v>低主食需求可将主食减1/3，另加100g非淀粉蔬菜（营养值需重算）</x:v>
      </x:c>
      <x:c r="J42" s="10" t="str">
        <x:v>蒜末、白胡椒</x:v>
      </x:c>
      <x:c r="K42" t="str">
        <x:v>蒸</x:v>
      </x:c>
      <x:c r="L42" s="10" t="str">
        <x:v>鱼肉去刺，彻底做熟；食材切块，撒蒜末；上锅蒸熟，蔬菜另焯后拌匀；杂粮饭另煮熟或蒸好后同餐食用。</x:v>
      </x:c>
      <x:c r="M42" t="n">
        <x:v>20</x:v>
      </x:c>
      <x:c r="N42" t="n">
        <x:f>ROUND(SUM('食材明细'!H242:H247),0)</x:f>
        <x:v>534</x:v>
      </x:c>
      <x:c r="O42" t="n">
        <x:f>ROUND(SUM('食材明细'!J242:J247),1)</x:f>
        <x:v>53.1</x:v>
      </x:c>
      <x:c r="P42" t="n">
        <x:f>ROUND(SUM('食材明细'!L242:L247),1)</x:f>
        <x:v>50.9</x:v>
      </x:c>
      <x:c r="Q42" t="n">
        <x:f>ROUND(SUM('食材明细'!N242:N247),1)</x:f>
        <x:v>14.9</x:v>
      </x:c>
      <x:c r="R42" s="10" t="str">
        <x:v>调料尽量低盐，不加白砂糖；油重已计入热量。</x:v>
      </x:c>
    </x:row>
    <x:row r="43" ht="37" customHeight="1">
      <x:c r="A43" t="n">
        <x:v>42</x:v>
      </x:c>
      <x:c r="B43" t="n">
        <x:v>21</x:v>
      </x:c>
      <x:c r="C43" t="n">
        <x:v>3</x:v>
      </x:c>
      <x:c r="D43" t="str">
        <x:v>晚餐</x:v>
      </x:c>
      <x:c r="E43" t="str">
        <x:v>海鲜</x:v>
      </x:c>
      <x:c r="F43" s="10" t="str">
        <x:v>葱姜清蒸虾仁配冬瓜泡发木耳｜杂粮饭</x:v>
      </x:c>
      <x:c r="G43" s="10" t="str">
        <x:v>虾仁190g、冬瓜140g、泡发木耳140g、杂粮饭125g、烹调油3g</x:v>
      </x:c>
      <x:c r="H43" t="str">
        <x:v>杂粮饭</x:v>
      </x:c>
      <x:c r="I43" s="10" t="str">
        <x:v>低主食需求可将主食减1/3，另加100g非淀粉蔬菜（营养值需重算）</x:v>
      </x:c>
      <x:c r="J43" s="10" t="str">
        <x:v>葱姜、少量低盐生抽</x:v>
      </x:c>
      <x:c r="K43" t="str">
        <x:v>蒸</x:v>
      </x:c>
      <x:c r="L43" s="10" t="str">
        <x:v>切片腌5分钟；肉和配菜入盘，蒸至熟透；淋葱姜汁；杂粮饭另煮熟或蒸好后同餐食用。</x:v>
      </x:c>
      <x:c r="M43" t="n">
        <x:v>25</x:v>
      </x:c>
      <x:c r="N43" t="n">
        <x:f>ROUND(SUM('食材明细'!H248:H253),0)</x:f>
        <x:v>395</x:v>
      </x:c>
      <x:c r="O43" t="n">
        <x:f>ROUND(SUM('食材明细'!J248:J253),1)</x:f>
        <x:v>42.6</x:v>
      </x:c>
      <x:c r="P43" t="n">
        <x:f>ROUND(SUM('食材明细'!L248:L253),1)</x:f>
        <x:v>42.7</x:v>
      </x:c>
      <x:c r="Q43" t="n">
        <x:f>ROUND(SUM('食材明细'!N248:N253),1)</x:f>
        <x:v>6.9</x:v>
      </x:c>
      <x:c r="R43" s="10" t="str">
        <x:v>调料尽量低盐，不加白砂糖；油重已计入热量。</x:v>
      </x:c>
    </x:row>
    <x:row r="44" ht="37" customHeight="1">
      <x:c r="A44" t="n">
        <x:v>43</x:v>
      </x:c>
      <x:c r="B44" t="n">
        <x:v>22</x:v>
      </x:c>
      <x:c r="C44" t="n">
        <x:v>4</x:v>
      </x:c>
      <x:c r="D44" t="str">
        <x:v>午餐</x:v>
      </x:c>
      <x:c r="E44" t="str">
        <x:v>禽肉</x:v>
      </x:c>
      <x:c r="F44" s="10" t="str">
        <x:v>清汤鸡胸肉配菠菜海带｜土豆</x:v>
      </x:c>
      <x:c r="G44" s="10" t="str">
        <x:v>鸡胸肉155g、菠菜160g、海带110g、土豆125g、烹调油3g</x:v>
      </x:c>
      <x:c r="H44" t="str">
        <x:v>土豆</x:v>
      </x:c>
      <x:c r="I44" s="10" t="str">
        <x:v>想减主食可减到原量2/3，另加100g绿叶菜</x:v>
      </x:c>
      <x:c r="J44" s="10" t="str">
        <x:v>葱段、盐少量</x:v>
      </x:c>
      <x:c r="K44" t="str">
        <x:v>煮</x:v>
      </x:c>
      <x:c r="L44" s="10" t="str">
        <x:v>清水煮开，按熟化时间下食材，最后放叶菜，清淡调味；土豆另煮熟或蒸好后同餐食用。</x:v>
      </x:c>
      <x:c r="M44" t="n">
        <x:v>20</x:v>
      </x:c>
      <x:c r="N44" t="n">
        <x:f>ROUND(SUM('食材明细'!H254:H259),0)</x:f>
        <x:v>359</x:v>
      </x:c>
      <x:c r="O44" t="n">
        <x:f>ROUND(SUM('食材明细'!J254:J259),1)</x:f>
        <x:v>43.9</x:v>
      </x:c>
      <x:c r="P44" t="n">
        <x:f>ROUND(SUM('食材明细'!L254:L259),1)</x:f>
        <x:v>32.8</x:v>
      </x:c>
      <x:c r="Q44" t="n">
        <x:f>ROUND(SUM('食材明细'!N254:N259),1)</x:f>
        <x:v>7</x:v>
      </x:c>
      <x:c r="R44" s="10" t="str">
        <x:v>调料尽量低盐，不加白砂糖；油重已计入热量。</x:v>
      </x:c>
    </x:row>
    <x:row r="45" ht="37" customHeight="1">
      <x:c r="A45" t="n">
        <x:v>44</x:v>
      </x:c>
      <x:c r="B45" t="n">
        <x:v>22</x:v>
      </x:c>
      <x:c r="C45" t="n">
        <x:v>4</x:v>
      </x:c>
      <x:c r="D45" t="str">
        <x:v>晚餐</x:v>
      </x:c>
      <x:c r="E45" t="str">
        <x:v>鱼类</x:v>
      </x:c>
      <x:c r="F45" s="10" t="str">
        <x:v>蒜香三文鱼配小白菜荷兰豆｜红薯</x:v>
      </x:c>
      <x:c r="G45" s="10" t="str">
        <x:v>三文鱼135g、小白菜140g、荷兰豆155g、红薯95g、烹调油3g</x:v>
      </x:c>
      <x:c r="H45" t="str">
        <x:v>红薯</x:v>
      </x:c>
      <x:c r="I45" s="10" t="str">
        <x:v>想减主食可减到原量2/3，另加100g绿叶菜</x:v>
      </x:c>
      <x:c r="J45" s="10" t="str">
        <x:v>蒜末、白胡椒</x:v>
      </x:c>
      <x:c r="K45" t="str">
        <x:v>蒸</x:v>
      </x:c>
      <x:c r="L45" s="10" t="str">
        <x:v>鱼肉去刺，彻底做熟；食材切块，撒蒜末；上锅蒸熟，蔬菜另焯后拌匀；红薯另煮熟或蒸好后同餐食用。</x:v>
      </x:c>
      <x:c r="M45" t="n">
        <x:v>20</x:v>
      </x:c>
      <x:c r="N45" t="n">
        <x:f>ROUND(SUM('食材明细'!H260:H265),0)</x:f>
        <x:v>476</x:v>
      </x:c>
      <x:c r="O45" t="n">
        <x:f>ROUND(SUM('食材明细'!J260:J265),1)</x:f>
        <x:v>35.1</x:v>
      </x:c>
      <x:c r="P45" t="n">
        <x:f>ROUND(SUM('食材明细'!L260:L265),1)</x:f>
        <x:v>35</x:v>
      </x:c>
      <x:c r="Q45" t="n">
        <x:f>ROUND(SUM('食材明细'!N260:N265),1)</x:f>
        <x:v>21.4</x:v>
      </x:c>
      <x:c r="R45" s="10" t="str">
        <x:v>调料尽量低盐，不加白砂糖；油重已计入热量。</x:v>
      </x:c>
    </x:row>
    <x:row r="46" ht="37" customHeight="1">
      <x:c r="A46" t="n">
        <x:v>45</x:v>
      </x:c>
      <x:c r="B46" t="n">
        <x:v>23</x:v>
      </x:c>
      <x:c r="C46" t="n">
        <x:v>4</x:v>
      </x:c>
      <x:c r="D46" t="str">
        <x:v>午餐</x:v>
      </x:c>
      <x:c r="E46" t="str">
        <x:v>海鲜</x:v>
      </x:c>
      <x:c r="F46" s="10" t="str">
        <x:v>豉汁花蛤肉配小白菜金针菇｜玉米</x:v>
      </x:c>
      <x:c r="G46" s="10" t="str">
        <x:v>花蛤肉190g、嫩豆腐110g、小白菜190g、金针菇155g、玉米135g、烹调油6g</x:v>
      </x:c>
      <x:c r="H46" t="str">
        <x:v>玉米</x:v>
      </x:c>
      <x:c r="I46" s="10" t="str">
        <x:v>想减主食可减到原量2/3，另加100g绿叶菜</x:v>
      </x:c>
      <x:c r="J46" s="10" t="str">
        <x:v>少量豆豉、姜末</x:v>
      </x:c>
      <x:c r="K46" t="str">
        <x:v>蒸</x:v>
      </x:c>
      <x:c r="L46" s="10" t="str">
        <x:v>豆豉冲洗剁碎，与姜末拌主食材后蒸熟；蔬菜另煮；玉米另煮熟或蒸好后同餐食用。</x:v>
      </x:c>
      <x:c r="M46" t="n">
        <x:v>20</x:v>
      </x:c>
      <x:c r="N46" t="n">
        <x:f>ROUND(SUM('食材明细'!H266:H271),0)</x:f>
        <x:v>481</x:v>
      </x:c>
      <x:c r="O46" t="n">
        <x:f>ROUND(SUM('食材明细'!J266:J271),1)</x:f>
        <x:v>41.6</x:v>
      </x:c>
      <x:c r="P46" t="n">
        <x:f>ROUND(SUM('食材明细'!L266:L271),1)</x:f>
        <x:v>53.8</x:v>
      </x:c>
      <x:c r="Q46" t="n">
        <x:f>ROUND(SUM('食材明细'!N266:N271),1)</x:f>
        <x:v>13.7</x:v>
      </x:c>
      <x:c r="R46" s="10" t="str">
        <x:v>调料尽量低盐，不加白砂糖；油重已计入热量。</x:v>
      </x:c>
    </x:row>
    <x:row r="47" ht="37" customHeight="1">
      <x:c r="A47" t="n">
        <x:v>46</x:v>
      </x:c>
      <x:c r="B47" t="n">
        <x:v>23</x:v>
      </x:c>
      <x:c r="C47" t="n">
        <x:v>4</x:v>
      </x:c>
      <x:c r="D47" t="str">
        <x:v>晚餐</x:v>
      </x:c>
      <x:c r="E47" t="str">
        <x:v>猪肉</x:v>
      </x:c>
      <x:c r="F47" s="10" t="str">
        <x:v>蚝香猪瘦肉配冬瓜菜心｜燕麦饭</x:v>
      </x:c>
      <x:c r="G47" s="10" t="str">
        <x:v>猪瘦肉170g、冬瓜160g、菜心110g、燕麦饭80g、烹调油5g</x:v>
      </x:c>
      <x:c r="H47" t="str">
        <x:v>燕麦饭</x:v>
      </x:c>
      <x:c r="I47" s="10" t="str">
        <x:v>低主食需求可将主食减1/3，另加100g非淀粉蔬菜（营养值需重算）</x:v>
      </x:c>
      <x:c r="J47" s="10" t="str">
        <x:v>低钠蚝油少量、姜蒜</x:v>
      </x:c>
      <x:c r="K47" t="str">
        <x:v>少油烩</x:v>
      </x:c>
      <x:c r="L47" s="10" t="str">
        <x:v>主食材和蔬菜少油少水烩熟，起锅前点少量蚝油；燕麦饭另煮熟或蒸好后同餐食用。</x:v>
      </x:c>
      <x:c r="M47" t="n">
        <x:v>30</x:v>
      </x:c>
      <x:c r="N47" t="n">
        <x:f>ROUND(SUM('食材明细'!H272:H277),0)</x:f>
        <x:v>397</x:v>
      </x:c>
      <x:c r="O47" t="n">
        <x:f>ROUND(SUM('食材明细'!J272:J277),1)</x:f>
        <x:v>39.4</x:v>
      </x:c>
      <x:c r="P47" t="n">
        <x:f>ROUND(SUM('食材明细'!L272:L277),1)</x:f>
        <x:v>25.5</x:v>
      </x:c>
      <x:c r="Q47" t="n">
        <x:f>ROUND(SUM('食材明细'!N272:N277),1)</x:f>
        <x:v>16.4</x:v>
      </x:c>
      <x:c r="R47" s="10" t="str">
        <x:v>调料尽量低盐，不加白砂糖；油重已计入热量。</x:v>
      </x:c>
    </x:row>
    <x:row r="48" ht="37" customHeight="1">
      <x:c r="A48" t="n">
        <x:v>47</x:v>
      </x:c>
      <x:c r="B48" t="n">
        <x:v>24</x:v>
      </x:c>
      <x:c r="C48" t="n">
        <x:v>4</x:v>
      </x:c>
      <x:c r="D48" t="str">
        <x:v>午餐</x:v>
      </x:c>
      <x:c r="E48" t="str">
        <x:v>猪肉</x:v>
      </x:c>
      <x:c r="F48" s="10" t="str">
        <x:v>咖喱猪里脊配苦瓜杏鲍菇｜藜麦饭</x:v>
      </x:c>
      <x:c r="G48" s="10" t="str">
        <x:v>猪里脊175g、苦瓜175g、杏鲍菇140g、藜麦饭125g、烹调油6g</x:v>
      </x:c>
      <x:c r="H48" t="str">
        <x:v>藜麦饭</x:v>
      </x:c>
      <x:c r="I48" s="10" t="str">
        <x:v>低主食需求可将主食减1/3，另加100g非淀粉蔬菜（营养值需重算）</x:v>
      </x:c>
      <x:c r="J48" s="10" t="str">
        <x:v>无加糖咖喱粉、姜末</x:v>
      </x:c>
      <x:c r="K48" t="str">
        <x:v>炖煮</x:v>
      </x:c>
      <x:c r="L48" s="10" t="str">
        <x:v>用咖喱粉而非高脂咖喱块，加水轻炖主食材和蔬菜；藜麦饭另煮熟或蒸好后同餐食用。</x:v>
      </x:c>
      <x:c r="M48" t="n">
        <x:v>30</x:v>
      </x:c>
      <x:c r="N48" t="n">
        <x:f>ROUND(SUM('食材明细'!H278:H283),0)</x:f>
        <x:v>496</x:v>
      </x:c>
      <x:c r="O48" t="n">
        <x:f>ROUND(SUM('食材明细'!J278:J283),1)</x:f>
        <x:v>46.8</x:v>
      </x:c>
      <x:c r="P48" t="n">
        <x:f>ROUND(SUM('食材明细'!L278:L283),1)</x:f>
        <x:v>44.2</x:v>
      </x:c>
      <x:c r="Q48" t="n">
        <x:f>ROUND(SUM('食材明细'!N278:N283),1)</x:f>
        <x:v>15.3</x:v>
      </x:c>
      <x:c r="R48" s="10" t="str">
        <x:v>调料尽量低盐，不加白砂糖；油重已计入热量。</x:v>
      </x:c>
    </x:row>
    <x:row r="49" ht="37" customHeight="1">
      <x:c r="A49" t="n">
        <x:v>48</x:v>
      </x:c>
      <x:c r="B49" t="n">
        <x:v>24</x:v>
      </x:c>
      <x:c r="C49" t="n">
        <x:v>4</x:v>
      </x:c>
      <x:c r="D49" t="str">
        <x:v>晚餐</x:v>
      </x:c>
      <x:c r="E49" t="str">
        <x:v>鱼类</x:v>
      </x:c>
      <x:c r="F49" s="10" t="str">
        <x:v>柠檬巴沙鱼配四季豆番茄｜燕麦饭</x:v>
      </x:c>
      <x:c r="G49" s="10" t="str">
        <x:v>巴沙鱼215g、四季豆190g、番茄110g、燕麦饭110g、烹调油4g</x:v>
      </x:c>
      <x:c r="H49" t="str">
        <x:v>燕麦饭</x:v>
      </x:c>
      <x:c r="I49" s="10" t="str">
        <x:v>低主食需求可将主食减1/3，另加100g非淀粉蔬菜（营养值需重算）</x:v>
      </x:c>
      <x:c r="J49" s="10" t="str">
        <x:v>柠檬片、白胡椒</x:v>
      </x:c>
      <x:c r="K49" t="str">
        <x:v>蒸</x:v>
      </x:c>
      <x:c r="L49" s="10" t="str">
        <x:v>鱼肉去刺，彻底做熟；柠檬片垫底，主食材蒸熟，蔬菜短焯后摆盘；燕麦饭另煮熟或蒸好后同餐食用。四季豆必须充分煮熟，不要生脆。</x:v>
      </x:c>
      <x:c r="M49" t="n">
        <x:v>25</x:v>
      </x:c>
      <x:c r="N49" t="n">
        <x:f>ROUND(SUM('食材明细'!H284:H289),0)</x:f>
        <x:v>431</x:v>
      </x:c>
      <x:c r="O49" t="n">
        <x:f>ROUND(SUM('食材明细'!J284:J289),1)</x:f>
        <x:v>44.5</x:v>
      </x:c>
      <x:c r="P49" t="n">
        <x:f>ROUND(SUM('食材明细'!L284:L289),1)</x:f>
        <x:v>40.8</x:v>
      </x:c>
      <x:c r="Q49" t="n">
        <x:f>ROUND(SUM('食材明细'!N284:N289),1)</x:f>
        <x:v>11.3</x:v>
      </x:c>
      <x:c r="R49" s="10" t="str">
        <x:v>调料尽量低盐，不加白砂糖；油重已计入热量。</x:v>
      </x:c>
    </x:row>
    <x:row r="50" ht="37" customHeight="1">
      <x:c r="A50" t="n">
        <x:v>49</x:v>
      </x:c>
      <x:c r="B50" t="n">
        <x:v>25</x:v>
      </x:c>
      <x:c r="C50" t="n">
        <x:v>4</x:v>
      </x:c>
      <x:c r="D50" t="str">
        <x:v>午餐</x:v>
      </x:c>
      <x:c r="E50" t="str">
        <x:v>禽肉</x:v>
      </x:c>
      <x:c r="F50" s="10" t="str">
        <x:v>菌菇去皮鸡腿肉配大白菜香菇｜山药</x:v>
      </x:c>
      <x:c r="G50" s="10" t="str">
        <x:v>去皮鸡腿肉185g、大白菜160g、香菇140g、山药165g、烹调油5g</x:v>
      </x:c>
      <x:c r="H50" t="str">
        <x:v>山药</x:v>
      </x:c>
      <x:c r="I50" s="10" t="str">
        <x:v>想减主食可减到原量2/3，另加100g绿叶菜</x:v>
      </x:c>
      <x:c r="J50" s="10" t="str">
        <x:v>姜片、香菇汁</x:v>
      </x:c>
      <x:c r="K50" t="str">
        <x:v>焖煮</x:v>
      </x:c>
      <x:c r="L50" s="10" t="str">
        <x:v>先去皮去骨并切薄，充分加热；食材与菌菇加少量水焖熟，出锅前加少量低盐生抽；山药另煮熟或蒸好后同餐食用。</x:v>
      </x:c>
      <x:c r="M50" t="n">
        <x:v>25</x:v>
      </x:c>
      <x:c r="N50" t="n">
        <x:f>ROUND(SUM('食材明细'!H290:H295),0)</x:f>
        <x:v>453</x:v>
      </x:c>
      <x:c r="O50" t="n">
        <x:f>ROUND(SUM('食材明细'!J290:J295),1)</x:f>
        <x:v>45</x:v>
      </x:c>
      <x:c r="P50" t="n">
        <x:f>ROUND(SUM('食材明细'!L290:L295),1)</x:f>
        <x:v>37.9</x:v>
      </x:c>
      <x:c r="Q50" t="n">
        <x:f>ROUND(SUM('食材明细'!N290:N295),1)</x:f>
        <x:v>15.3</x:v>
      </x:c>
      <x:c r="R50" s="10" t="str">
        <x:v>调料尽量低盐，不加白砂糖；油重已计入热量。</x:v>
      </x:c>
    </x:row>
    <x:row r="51" ht="37" customHeight="1">
      <x:c r="A51" t="n">
        <x:v>50</x:v>
      </x:c>
      <x:c r="B51" t="n">
        <x:v>25</x:v>
      </x:c>
      <x:c r="C51" t="n">
        <x:v>4</x:v>
      </x:c>
      <x:c r="D51" t="str">
        <x:v>晚餐</x:v>
      </x:c>
      <x:c r="E51" t="str">
        <x:v>豆蛋</x:v>
      </x:c>
      <x:c r="F51" s="10" t="str">
        <x:v>蚝香北豆腐鸡蛋烩竹笋花菜｜杂粮饭</x:v>
      </x:c>
      <x:c r="G51" s="10" t="str">
        <x:v>北豆腐280g、鸡蛋50g、竹笋140g、花菜125g、杂粮饭110g、烹调油6g</x:v>
      </x:c>
      <x:c r="H51" t="str">
        <x:v>杂粮饭</x:v>
      </x:c>
      <x:c r="I51" s="10" t="str">
        <x:v>低主食需求可将主食减1/3，另加100g非淀粉蔬菜（营养值需重算）</x:v>
      </x:c>
      <x:c r="J51" s="10" t="str">
        <x:v>低钠蚝油少量、姜蒜</x:v>
      </x:c>
      <x:c r="K51" t="str">
        <x:v>少油烩</x:v>
      </x:c>
      <x:c r="L51" s="10" t="str">
        <x:v>主食材和蔬菜少油少水烩熟，起锅前点少量蚝油；杂粮饭另煮熟或蒸好后同餐食用。</x:v>
      </x:c>
      <x:c r="M51" t="n">
        <x:v>30</x:v>
      </x:c>
      <x:c r="N51" t="n">
        <x:f>ROUND(SUM('食材明细'!H296:H301),0)</x:f>
        <x:v>574</x:v>
      </x:c>
      <x:c r="O51" t="n">
        <x:f>ROUND(SUM('食材明细'!J296:J301),1)</x:f>
        <x:v>44.1</x:v>
      </x:c>
      <x:c r="P51" t="n">
        <x:f>ROUND(SUM('食材明细'!L296:L301),1)</x:f>
        <x:v>45.5</x:v>
      </x:c>
      <x:c r="Q51" t="n">
        <x:f>ROUND(SUM('食材明细'!N296:N301),1)</x:f>
        <x:v>27</x:v>
      </x:c>
      <x:c r="R51" s="10" t="str">
        <x:v>调料尽量低盐，不加白砂糖；油重已计入热量。</x:v>
      </x:c>
    </x:row>
    <x:row r="52" ht="37" customHeight="1">
      <x:c r="A52" t="n">
        <x:v>51</x:v>
      </x:c>
      <x:c r="B52" t="n">
        <x:v>26</x:v>
      </x:c>
      <x:c r="C52" t="n">
        <x:v>4</x:v>
      </x:c>
      <x:c r="D52" t="str">
        <x:v>午餐</x:v>
      </x:c>
      <x:c r="E52" t="str">
        <x:v>鱼类</x:v>
      </x:c>
      <x:c r="F52" s="10" t="str">
        <x:v>柠檬鲈鱼配丝瓜白萝卜｜紫薯</x:v>
      </x:c>
      <x:c r="G52" s="10" t="str">
        <x:v>鲈鱼175g、熟毛豆仁50g、丝瓜160g、白萝卜110g、紫薯135g、烹调油3g</x:v>
      </x:c>
      <x:c r="H52" t="str">
        <x:v>紫薯</x:v>
      </x:c>
      <x:c r="I52" s="10" t="str">
        <x:v>想减主食可减到原量2/3，另加100g绿叶菜</x:v>
      </x:c>
      <x:c r="J52" s="10" t="str">
        <x:v>柠檬片、白胡椒</x:v>
      </x:c>
      <x:c r="K52" t="str">
        <x:v>蒸</x:v>
      </x:c>
      <x:c r="L52" s="10" t="str">
        <x:v>鱼肉去刺，彻底做熟；柠檬片垫底，主食材蒸熟，蔬菜短焯后摆盘；紫薯另煮熟或蒸好后同餐食用。</x:v>
      </x:c>
      <x:c r="M52" t="n">
        <x:v>30</x:v>
      </x:c>
      <x:c r="N52" t="n">
        <x:f>ROUND(SUM('食材明细'!H302:H307),0)</x:f>
        <x:v>451</x:v>
      </x:c>
      <x:c r="O52" t="n">
        <x:f>ROUND(SUM('食材明细'!J302:J307),1)</x:f>
        <x:v>43.7</x:v>
      </x:c>
      <x:c r="P52" t="n">
        <x:f>ROUND(SUM('食材明细'!L302:L307),1)</x:f>
        <x:v>45</x:v>
      </x:c>
      <x:c r="Q52" t="n">
        <x:f>ROUND(SUM('食材明细'!N302:N307),1)</x:f>
        <x:v>11.3</x:v>
      </x:c>
      <x:c r="R52" s="10" t="str">
        <x:v>调料尽量低盐，不加白砂糖；油重已计入热量。</x:v>
      </x:c>
    </x:row>
    <x:row r="53" ht="37" customHeight="1">
      <x:c r="A53" t="n">
        <x:v>52</x:v>
      </x:c>
      <x:c r="B53" t="n">
        <x:v>26</x:v>
      </x:c>
      <x:c r="C53" t="n">
        <x:v>4</x:v>
      </x:c>
      <x:c r="D53" t="str">
        <x:v>晚餐</x:v>
      </x:c>
      <x:c r="E53" t="str">
        <x:v>牛肉</x:v>
      </x:c>
      <x:c r="F53" s="10" t="str">
        <x:v>孜然瘦牛肉配小白菜香菇｜玉米</x:v>
      </x:c>
      <x:c r="G53" s="10" t="str">
        <x:v>瘦牛肉145g、小白菜175g、香菇110g、玉米135g、烹调油4g</x:v>
      </x:c>
      <x:c r="H53" t="str">
        <x:v>玉米</x:v>
      </x:c>
      <x:c r="I53" s="10" t="str">
        <x:v>想减主食可减到原量2/3，另加100g绿叶菜</x:v>
      </x:c>
      <x:c r="J53" s="10" t="str">
        <x:v>孜然、辣椒粉、蒜末</x:v>
      </x:c>
      <x:c r="K53" t="str">
        <x:v>少油焖</x:v>
      </x:c>
      <x:c r="L53" s="10" t="str">
        <x:v>主食材用少量油和水焖熟，下蔬菜翻拌，撒孜然；玉米另煮熟或蒸好后同餐食用。</x:v>
      </x:c>
      <x:c r="M53" t="n">
        <x:v>20</x:v>
      </x:c>
      <x:c r="N53" t="n">
        <x:f>ROUND(SUM('食材明细'!H308:H313),0)</x:f>
        <x:v>426</x:v>
      </x:c>
      <x:c r="O53" t="n">
        <x:f>ROUND(SUM('食材明细'!J308:J313),1)</x:f>
        <x:v>40.3</x:v>
      </x:c>
      <x:c r="P53" t="n">
        <x:f>ROUND(SUM('食材明细'!L308:L313),1)</x:f>
        <x:v>42.1</x:v>
      </x:c>
      <x:c r="Q53" t="n">
        <x:f>ROUND(SUM('食材明细'!N308:N313),1)</x:f>
        <x:v>12.7</x:v>
      </x:c>
      <x:c r="R53" s="10" t="str">
        <x:v>调料尽量低盐，不加白砂糖；油重已计入热量。</x:v>
      </x:c>
    </x:row>
    <x:row r="54" ht="37" customHeight="1">
      <x:c r="A54" t="n">
        <x:v>53</x:v>
      </x:c>
      <x:c r="B54" t="n">
        <x:v>27</x:v>
      </x:c>
      <x:c r="C54" t="n">
        <x:v>4</x:v>
      </x:c>
      <x:c r="D54" t="str">
        <x:v>午餐</x:v>
      </x:c>
      <x:c r="E54" t="str">
        <x:v>禽肉</x:v>
      </x:c>
      <x:c r="F54" s="10" t="str">
        <x:v>葱姜清蒸鸡里脊肉配荷兰豆紫甘蓝｜杂粮饭</x:v>
      </x:c>
      <x:c r="G54" s="10" t="str">
        <x:v>鸡里脊肉155g、荷兰豆175g、紫甘蓝110g、杂粮饭110g、烹调油3g</x:v>
      </x:c>
      <x:c r="H54" t="str">
        <x:v>杂粮饭</x:v>
      </x:c>
      <x:c r="I54" s="10" t="str">
        <x:v>低主食需求可将主食减1/3，另加100g非淀粉蔬菜（营养值需重算）</x:v>
      </x:c>
      <x:c r="J54" s="10" t="str">
        <x:v>葱姜、少量低盐生抽</x:v>
      </x:c>
      <x:c r="K54" t="str">
        <x:v>蒸</x:v>
      </x:c>
      <x:c r="L54" s="10" t="str">
        <x:v>切片腌5分钟；肉和配菜入盘，蒸至熟透；淋葱姜汁；杂粮饭另煮熟或蒸好后同餐食用。</x:v>
      </x:c>
      <x:c r="M54" t="n">
        <x:v>30</x:v>
      </x:c>
      <x:c r="N54" t="n">
        <x:f>ROUND(SUM('食材明细'!H314:H319),0)</x:f>
        <x:v>432</x:v>
      </x:c>
      <x:c r="O54" t="n">
        <x:f>ROUND(SUM('食材明细'!J314:J319),1)</x:f>
        <x:v>45.5</x:v>
      </x:c>
      <x:c r="P54" t="n">
        <x:f>ROUND(SUM('食材明细'!L314:L319),1)</x:f>
        <x:v>47</x:v>
      </x:c>
      <x:c r="Q54" t="n">
        <x:f>ROUND(SUM('食材明细'!N314:N319),1)</x:f>
        <x:v>7.6</x:v>
      </x:c>
      <x:c r="R54" s="10" t="str">
        <x:v>调料尽量低盐，不加白砂糖；油重已计入热量。</x:v>
      </x:c>
    </x:row>
    <x:row r="55" ht="37" customHeight="1">
      <x:c r="A55" t="n">
        <x:v>54</x:v>
      </x:c>
      <x:c r="B55" t="n">
        <x:v>27</x:v>
      </x:c>
      <x:c r="C55" t="n">
        <x:v>4</x:v>
      </x:c>
      <x:c r="D55" t="str">
        <x:v>晚餐</x:v>
      </x:c>
      <x:c r="E55" t="str">
        <x:v>海鲜</x:v>
      </x:c>
      <x:c r="F55" s="10" t="str">
        <x:v>葱姜清蒸虾仁配竹笋胡萝卜｜杂粮饭</x:v>
      </x:c>
      <x:c r="G55" s="10" t="str">
        <x:v>虾仁160g、竹笋175g、胡萝卜125g、杂粮饭80g、烹调油4g</x:v>
      </x:c>
      <x:c r="H55" t="str">
        <x:v>杂粮饭</x:v>
      </x:c>
      <x:c r="I55" s="10" t="str">
        <x:v>低主食需求可将主食减1/3，另加100g非淀粉蔬菜（营养值需重算）</x:v>
      </x:c>
      <x:c r="J55" s="10" t="str">
        <x:v>葱姜、少量低盐生抽</x:v>
      </x:c>
      <x:c r="K55" t="str">
        <x:v>蒸</x:v>
      </x:c>
      <x:c r="L55" s="10" t="str">
        <x:v>切片腌5分钟；肉和配菜入盘，蒸至熟透；淋葱姜汁；杂粮饭另煮熟或蒸好后同餐食用。</x:v>
      </x:c>
      <x:c r="M55" t="n">
        <x:v>15</x:v>
      </x:c>
      <x:c r="N55" t="n">
        <x:f>ROUND(SUM('食材明细'!H320:H325),0)</x:f>
        <x:v>371</x:v>
      </x:c>
      <x:c r="O55" t="n">
        <x:f>ROUND(SUM('食材明细'!J320:J325),1)</x:f>
        <x:v>38.6</x:v>
      </x:c>
      <x:c r="P55" t="n">
        <x:f>ROUND(SUM('食材明细'!L320:L325),1)</x:f>
        <x:v>41</x:v>
      </x:c>
      <x:c r="Q55" t="n">
        <x:f>ROUND(SUM('食材明细'!N320:N325),1)</x:f>
        <x:v>7.4</x:v>
      </x:c>
      <x:c r="R55" s="10" t="str">
        <x:v>调料尽量低盐，不加白砂糖；油重已计入热量。</x:v>
      </x:c>
    </x:row>
    <x:row r="56" ht="37" customHeight="1">
      <x:c r="A56" t="n">
        <x:v>55</x:v>
      </x:c>
      <x:c r="B56" t="n">
        <x:v>28</x:v>
      </x:c>
      <x:c r="C56" t="n">
        <x:v>4</x:v>
      </x:c>
      <x:c r="D56" t="str">
        <x:v>午餐</x:v>
      </x:c>
      <x:c r="E56" t="str">
        <x:v>鱼类</x:v>
      </x:c>
      <x:c r="F56" s="10" t="str">
        <x:v>豉汁巴沙鱼配花菜彩椒｜燕麦饭</x:v>
      </x:c>
      <x:c r="G56" s="10" t="str">
        <x:v>巴沙鱼215g、花菜190g、彩椒110g、燕麦饭150g、烹调油5g</x:v>
      </x:c>
      <x:c r="H56" t="str">
        <x:v>燕麦饭</x:v>
      </x:c>
      <x:c r="I56" s="10" t="str">
        <x:v>低主食需求可将主食减1/3，另加100g非淀粉蔬菜（营养值需重算）</x:v>
      </x:c>
      <x:c r="J56" s="10" t="str">
        <x:v>少量豆豉、姜末</x:v>
      </x:c>
      <x:c r="K56" t="str">
        <x:v>蒸</x:v>
      </x:c>
      <x:c r="L56" s="10" t="str">
        <x:v>鱼肉去刺，彻底做熟；豆豉冲洗剁碎，与姜末拌主食材后蒸熟；蔬菜另煮；燕麦饭另煮熟或蒸好后同餐食用。</x:v>
      </x:c>
      <x:c r="M56" t="n">
        <x:v>30</x:v>
      </x:c>
      <x:c r="N56" t="n">
        <x:f>ROUND(SUM('食材明细'!H326:H331),0)</x:f>
        <x:v>481</x:v>
      </x:c>
      <x:c r="O56" t="n">
        <x:f>ROUND(SUM('食材明细'!J326:J331),1)</x:f>
        <x:v>46.2</x:v>
      </x:c>
      <x:c r="P56" t="n">
        <x:f>ROUND(SUM('食材明细'!L326:L331),1)</x:f>
        <x:v>47.7</x:v>
      </x:c>
      <x:c r="Q56" t="n">
        <x:f>ROUND(SUM('食材明细'!N326:N331),1)</x:f>
        <x:v>13.4</x:v>
      </x:c>
      <x:c r="R56" s="10" t="str">
        <x:v>调料尽量低盐，不加白砂糖；油重已计入热量。</x:v>
      </x:c>
    </x:row>
    <x:row r="57" ht="37" customHeight="1">
      <x:c r="A57" t="n">
        <x:v>56</x:v>
      </x:c>
      <x:c r="B57" t="n">
        <x:v>28</x:v>
      </x:c>
      <x:c r="C57" t="n">
        <x:v>4</x:v>
      </x:c>
      <x:c r="D57" t="str">
        <x:v>晚餐</x:v>
      </x:c>
      <x:c r="E57" t="str">
        <x:v>豆蛋</x:v>
      </x:c>
      <x:c r="F57" s="10" t="str">
        <x:v>葱姜清蒸北豆腐熟毛豆仁烩番茄海带｜白米饭</x:v>
      </x:c>
      <x:c r="G57" s="10" t="str">
        <x:v>北豆腐280g、熟毛豆仁50g、番茄175g、海带110g、白米饭125g、烹调油3g</x:v>
      </x:c>
      <x:c r="H57" t="str">
        <x:v>白米饭</x:v>
      </x:c>
      <x:c r="I57" s="10" t="str">
        <x:v>低主食需求可将主食减1/3，另加100g非淀粉蔬菜（营养值需重算）</x:v>
      </x:c>
      <x:c r="J57" s="10" t="str">
        <x:v>葱姜、少量低盐生抽</x:v>
      </x:c>
      <x:c r="K57" t="str">
        <x:v>蒸</x:v>
      </x:c>
      <x:c r="L57" s="10" t="str">
        <x:v>切片腌5分钟；肉和配菜入盘，蒸至熟透；淋葱姜汁；白米饭另煮熟或蒸好后同餐食用。</x:v>
      </x:c>
      <x:c r="M57" t="n">
        <x:v>20</x:v>
      </x:c>
      <x:c r="N57" t="n">
        <x:f>ROUND(SUM('食材明细'!H332:H337),0)</x:f>
        <x:v>547</x:v>
      </x:c>
      <x:c r="O57" t="n">
        <x:f>ROUND(SUM('食材明细'!J332:J337),1)</x:f>
        <x:v>39.9</x:v>
      </x:c>
      <x:c r="P57" t="n">
        <x:f>ROUND(SUM('食材明细'!L332:L337),1)</x:f>
        <x:v>54.6</x:v>
      </x:c>
      <x:c r="Q57" t="n">
        <x:f>ROUND(SUM('食材明细'!N332:N337),1)</x:f>
        <x:v>20.3</x:v>
      </x:c>
      <x:c r="R57" s="10" t="str">
        <x:v>调料尽量低盐，不加白砂糖；油重已计入热量。</x:v>
      </x:c>
    </x:row>
    <x:row r="58" ht="37" customHeight="1">
      <x:c r="A58" t="n">
        <x:v>57</x:v>
      </x:c>
      <x:c r="B58" t="n">
        <x:v>29</x:v>
      </x:c>
      <x:c r="C58" t="n">
        <x:v>5</x:v>
      </x:c>
      <x:c r="D58" t="str">
        <x:v>午餐</x:v>
      </x:c>
      <x:c r="E58" t="str">
        <x:v>牛肉</x:v>
      </x:c>
      <x:c r="F58" s="10" t="str">
        <x:v>菌菇牛里脊配白萝卜香菇｜紫薯</x:v>
      </x:c>
      <x:c r="G58" s="10" t="str">
        <x:v>牛里脊155g、白萝卜140g、香菇110g、紫薯135g、烹调油3g</x:v>
      </x:c>
      <x:c r="H58" t="str">
        <x:v>紫薯</x:v>
      </x:c>
      <x:c r="I58" s="10" t="str">
        <x:v>想减主食可减到原量2/3，另加100g绿叶菜</x:v>
      </x:c>
      <x:c r="J58" s="10" t="str">
        <x:v>姜片、香菇汁</x:v>
      </x:c>
      <x:c r="K58" t="str">
        <x:v>焖煮</x:v>
      </x:c>
      <x:c r="L58" s="10" t="str">
        <x:v>食材与菌菇加少量水焖熟，出锅前加少量低盐生抽；紫薯另煮熟或蒸好后同餐食用。</x:v>
      </x:c>
      <x:c r="M58" t="n">
        <x:v>30</x:v>
      </x:c>
      <x:c r="N58" t="n">
        <x:f>ROUND(SUM('食材明细'!H338:H343),0)</x:f>
        <x:v>419</x:v>
      </x:c>
      <x:c r="O58" t="n">
        <x:f>ROUND(SUM('食材明细'!J338:J343),1)</x:f>
        <x:v>38</x:v>
      </x:c>
      <x:c r="P58" t="n">
        <x:f>ROUND(SUM('食材明细'!L338:L343),1)</x:f>
        <x:v>42.8</x:v>
      </x:c>
      <x:c r="Q58" t="n">
        <x:f>ROUND(SUM('食材明细'!N338:N343),1)</x:f>
        <x:v>11.3</x:v>
      </x:c>
      <x:c r="R58" s="10" t="str">
        <x:v>调料尽量低盐，不加白砂糖；油重已计入热量。</x:v>
      </x:c>
    </x:row>
    <x:row r="59" ht="37" customHeight="1">
      <x:c r="A59" t="n">
        <x:v>58</x:v>
      </x:c>
      <x:c r="B59" t="n">
        <x:v>29</x:v>
      </x:c>
      <x:c r="C59" t="n">
        <x:v>5</x:v>
      </x:c>
      <x:c r="D59" t="str">
        <x:v>晚餐</x:v>
      </x:c>
      <x:c r="E59" t="str">
        <x:v>海鲜</x:v>
      </x:c>
      <x:c r="F59" s="10" t="str">
        <x:v>酸汤虾仁配丝瓜白萝卜｜藜麦饭</x:v>
      </x:c>
      <x:c r="G59" s="10" t="str">
        <x:v>虾仁175g、丝瓜175g、白萝卜140g、藜麦饭125g、烹调油5g</x:v>
      </x:c>
      <x:c r="H59" t="str">
        <x:v>藜麦饭</x:v>
      </x:c>
      <x:c r="I59" s="10" t="str">
        <x:v>低主食需求可将主食减1/3，另加100g非淀粉蔬菜（营养值需重算）</x:v>
      </x:c>
      <x:c r="J59" s="10" t="str">
        <x:v>米醋、番茄、少许辣椒</x:v>
      </x:c>
      <x:c r="K59" t="str">
        <x:v>水煮</x:v>
      </x:c>
      <x:c r="L59" s="10" t="str">
        <x:v>番茄煮成酸汤，主食材汆熟，加入蔬菜再煮2～5分钟；藜麦饭另煮熟或蒸好后同餐食用。</x:v>
      </x:c>
      <x:c r="M59" t="n">
        <x:v>20</x:v>
      </x:c>
      <x:c r="N59" t="n">
        <x:f>ROUND(SUM('食材明细'!H344:H349),0)</x:f>
        <x:v>413</x:v>
      </x:c>
      <x:c r="O59" t="n">
        <x:f>ROUND(SUM('食材明细'!J344:J349),1)</x:f>
        <x:v>41.3</x:v>
      </x:c>
      <x:c r="P59" t="n">
        <x:f>ROUND(SUM('食材明细'!L344:L349),1)</x:f>
        <x:v>39.9</x:v>
      </x:c>
      <x:c r="Q59" t="n">
        <x:f>ROUND(SUM('食材明细'!N344:N349),1)</x:f>
        <x:v>9.8</x:v>
      </x:c>
      <x:c r="R59" s="10" t="str">
        <x:v>调料尽量低盐，不加白砂糖；油重已计入热量。</x:v>
      </x:c>
    </x:row>
    <x:row r="60" ht="37" customHeight="1">
      <x:c r="A60" t="n">
        <x:v>59</x:v>
      </x:c>
      <x:c r="B60" t="n">
        <x:v>30</x:v>
      </x:c>
      <x:c r="C60" t="n">
        <x:v>5</x:v>
      </x:c>
      <x:c r="D60" t="str">
        <x:v>午餐</x:v>
      </x:c>
      <x:c r="E60" t="str">
        <x:v>牛肉</x:v>
      </x:c>
      <x:c r="F60" s="10" t="str">
        <x:v>咖喱瘦牛肉配竹笋菜心｜米粉</x:v>
      </x:c>
      <x:c r="G60" s="10" t="str">
        <x:v>瘦牛肉185g、嫩豆腐160g、竹笋190g、菜心155g、米粉150g、烹调油4g</x:v>
      </x:c>
      <x:c r="H60" t="str">
        <x:v>米粉</x:v>
      </x:c>
      <x:c r="I60" s="10" t="str">
        <x:v>低主食需求可将主食减1/3，另加100g非淀粉蔬菜（营养值需重算）</x:v>
      </x:c>
      <x:c r="J60" s="10" t="str">
        <x:v>无加糖咖喱粉、姜末</x:v>
      </x:c>
      <x:c r="K60" t="str">
        <x:v>炖煮</x:v>
      </x:c>
      <x:c r="L60" s="10" t="str">
        <x:v>用咖喱粉而非高脂咖喱块，加水轻炖主食材和蔬菜；面/魔芋丝煮熟后与菜合碗。</x:v>
      </x:c>
      <x:c r="M60" t="n">
        <x:v>25</x:v>
      </x:c>
      <x:c r="N60" t="n">
        <x:f>ROUND(SUM('食材明细'!H350:H355),0)</x:f>
        <x:v>603</x:v>
      </x:c>
      <x:c r="O60" t="n">
        <x:f>ROUND(SUM('食材明细'!J350:J355),1)</x:f>
        <x:v>57.9</x:v>
      </x:c>
      <x:c r="P60" t="n">
        <x:f>ROUND(SUM('食材明细'!L350:L355),1)</x:f>
        <x:v>54.5</x:v>
      </x:c>
      <x:c r="Q60" t="n">
        <x:f>ROUND(SUM('食材明细'!N350:N355),1)</x:f>
        <x:v>17.5</x:v>
      </x:c>
      <x:c r="R60" s="10" t="str">
        <x:v>调料尽量低盐，不加白砂糖；油重已计入热量。</x:v>
      </x:c>
    </x:row>
    <x:row r="61" ht="37" customHeight="1">
      <x:c r="A61" t="n">
        <x:v>60</x:v>
      </x:c>
      <x:c r="B61" t="n">
        <x:v>30</x:v>
      </x:c>
      <x:c r="C61" t="n">
        <x:v>5</x:v>
      </x:c>
      <x:c r="D61" t="str">
        <x:v>晚餐</x:v>
      </x:c>
      <x:c r="E61" t="str">
        <x:v>鱼类</x:v>
      </x:c>
      <x:c r="F61" s="10" t="str">
        <x:v>柠檬鲈鱼配西兰花紫甘蓝｜杂粮饭</x:v>
      </x:c>
      <x:c r="G61" s="10" t="str">
        <x:v>鲈鱼215g、西兰花190g、紫甘蓝125g、杂粮饭95g、烹调油6g</x:v>
      </x:c>
      <x:c r="H61" t="str">
        <x:v>杂粮饭</x:v>
      </x:c>
      <x:c r="I61" s="10" t="str">
        <x:v>低主食需求可将主食减1/3，另加100g非淀粉蔬菜（营养值需重算）</x:v>
      </x:c>
      <x:c r="J61" s="10" t="str">
        <x:v>柠檬片、白胡椒</x:v>
      </x:c>
      <x:c r="K61" t="str">
        <x:v>蒸</x:v>
      </x:c>
      <x:c r="L61" s="10" t="str">
        <x:v>鱼肉去刺，彻底做熟；柠檬片垫底，主食材蒸熟，蔬菜短焯后摆盘；杂粮饭另煮熟或蒸好后同餐食用。</x:v>
      </x:c>
      <x:c r="M61" t="n">
        <x:v>15</x:v>
      </x:c>
      <x:c r="N61" t="n">
        <x:f>ROUND(SUM('食材明细'!H356:H361),0)</x:f>
        <x:v>492</x:v>
      </x:c>
      <x:c r="O61" t="n">
        <x:f>ROUND(SUM('食材明细'!J356:J361),1)</x:f>
        <x:v>50.9</x:v>
      </x:c>
      <x:c r="P61" t="n">
        <x:f>ROUND(SUM('食材明细'!L356:L361),1)</x:f>
        <x:v>44.8</x:v>
      </x:c>
      <x:c r="Q61" t="n">
        <x:f>ROUND(SUM('食材明细'!N356:N361),1)</x:f>
        <x:v>14.4</x:v>
      </x:c>
      <x:c r="R61" s="10" t="str">
        <x:v>调料尽量低盐，不加白砂糖；油重已计入热量。</x:v>
      </x:c>
    </x:row>
    <x:row r="62" ht="37" customHeight="1">
      <x:c r="A62" t="n">
        <x:v>61</x:v>
      </x:c>
      <x:c r="B62" t="n">
        <x:v>31</x:v>
      </x:c>
      <x:c r="C62" t="n">
        <x:v>5</x:v>
      </x:c>
      <x:c r="D62" t="str">
        <x:v>午餐</x:v>
      </x:c>
      <x:c r="E62" t="str">
        <x:v>加工肉</x:v>
      </x:c>
      <x:c r="F62" s="10" t="str">
        <x:v>葱姜清蒸低盐火腿鸡蛋烩芦笋彩椒｜红薯</x:v>
      </x:c>
      <x:c r="G62" s="10" t="str">
        <x:v>低盐火腿45g、鸡蛋85g、芦笋190g、彩椒125g、红薯150g、烹调油6g</x:v>
      </x:c>
      <x:c r="H62" t="str">
        <x:v>红薯</x:v>
      </x:c>
      <x:c r="I62" s="10" t="str">
        <x:v>想减主食可减到原量2/3，另加100g绿叶菜</x:v>
      </x:c>
      <x:c r="J62" s="10" t="str">
        <x:v>葱姜、少量低盐生抽</x:v>
      </x:c>
      <x:c r="K62" t="str">
        <x:v>蒸</x:v>
      </x:c>
      <x:c r="L62" s="10" t="str">
        <x:v>火腿仅用于提味，另用蛋或豆腐提供蛋白；切片腌5分钟；肉和配菜入盘，蒸至熟透；淋葱姜汁；红薯另煮熟或蒸好后同餐食用。</x:v>
      </x:c>
      <x:c r="M62" t="n">
        <x:v>20</x:v>
      </x:c>
      <x:c r="N62" t="n">
        <x:f>ROUND(SUM('食材明细'!H362:H367),0)</x:f>
        <x:v>452</x:v>
      </x:c>
      <x:c r="O62" t="n">
        <x:f>ROUND(SUM('食材明细'!J362:J367),1)</x:f>
        <x:v>25.2</x:v>
      </x:c>
      <x:c r="P62" t="n">
        <x:f>ROUND(SUM('食材明细'!L362:L367),1)</x:f>
        <x:v>49</x:v>
      </x:c>
      <x:c r="Q62" t="n">
        <x:f>ROUND(SUM('食材明细'!N362:N367),1)</x:f>
        <x:v>19.1</x:v>
      </x:c>
      <x:c r="R62" s="10" t="str">
        <x:v>加工肉少量点缀；留意包装钠和添加糖。</x:v>
      </x:c>
    </x:row>
    <x:row r="63" ht="37" customHeight="1">
      <x:c r="A63" t="n">
        <x:v>62</x:v>
      </x:c>
      <x:c r="B63" t="n">
        <x:v>31</x:v>
      </x:c>
      <x:c r="C63" t="n">
        <x:v>5</x:v>
      </x:c>
      <x:c r="D63" t="str">
        <x:v>晚餐</x:v>
      </x:c>
      <x:c r="E63" t="str">
        <x:v>禽肉</x:v>
      </x:c>
      <x:c r="F63" s="10" t="str">
        <x:v>奥尔良风味鸡里脊肉配彩椒香菇｜红薯</x:v>
      </x:c>
      <x:c r="G63" s="10" t="str">
        <x:v>鸡里脊肉145g、彩椒160g、香菇110g、红薯115g、烹调油3g</x:v>
      </x:c>
      <x:c r="H63" t="str">
        <x:v>红薯</x:v>
      </x:c>
      <x:c r="I63" s="10" t="str">
        <x:v>想减主食可减到原量2/3，另加100g绿叶菜</x:v>
      </x:c>
      <x:c r="J63" s="10" t="str">
        <x:v>无糖辣椒粉、蒜粉、洋葱粉</x:v>
      </x:c>
      <x:c r="K63" t="str">
        <x:v>蒸/焖</x:v>
      </x:c>
      <x:c r="L63" s="10" t="str">
        <x:v>用无糖香辛料腌肉15分钟，蒸或少油焖熟，配菜煮熟；红薯另煮熟或蒸好后同餐食用。</x:v>
      </x:c>
      <x:c r="M63" t="n">
        <x:v>15</x:v>
      </x:c>
      <x:c r="N63" t="n">
        <x:f>ROUND(SUM('食材明细'!H368:H373),0)</x:f>
        <x:v>368</x:v>
      </x:c>
      <x:c r="O63" t="n">
        <x:f>ROUND(SUM('食材明细'!J368:J373),1)</x:f>
        <x:v>39.2</x:v>
      </x:c>
      <x:c r="P63" t="n">
        <x:f>ROUND(SUM('食材明细'!L368:L373),1)</x:f>
        <x:v>40.8</x:v>
      </x:c>
      <x:c r="Q63" t="n">
        <x:f>ROUND(SUM('食材明细'!N368:N373),1)</x:f>
        <x:v>6.6</x:v>
      </x:c>
      <x:c r="R63" s="10" t="str">
        <x:v>调料尽量低盐，不加白砂糖；油重已计入热量。</x:v>
      </x:c>
    </x:row>
    <x:row r="64" ht="37" customHeight="1">
      <x:c r="A64" t="n">
        <x:v>63</x:v>
      </x:c>
      <x:c r="B64" t="n">
        <x:v>32</x:v>
      </x:c>
      <x:c r="C64" t="n">
        <x:v>5</x:v>
      </x:c>
      <x:c r="D64" t="str">
        <x:v>午餐</x:v>
      </x:c>
      <x:c r="E64" t="str">
        <x:v>牛肉</x:v>
      </x:c>
      <x:c r="F64" s="10" t="str">
        <x:v>柠檬瘦牛肉配大白菜洋葱｜糙米饭</x:v>
      </x:c>
      <x:c r="G64" s="10" t="str">
        <x:v>瘦牛肉165g、熟毛豆仁50g、大白菜190g、洋葱125g、糙米饭110g、烹调油6g</x:v>
      </x:c>
      <x:c r="H64" t="str">
        <x:v>糙米饭</x:v>
      </x:c>
      <x:c r="I64" s="10" t="str">
        <x:v>低主食需求可将主食减1/3，另加100g非淀粉蔬菜（营养值需重算）</x:v>
      </x:c>
      <x:c r="J64" s="10" t="str">
        <x:v>柠檬片、白胡椒</x:v>
      </x:c>
      <x:c r="K64" t="str">
        <x:v>蒸</x:v>
      </x:c>
      <x:c r="L64" s="10" t="str">
        <x:v>柠檬片垫底，主食材蒸熟，蔬菜短焯后摆盘；糙米饭另煮熟或蒸好后同餐食用。</x:v>
      </x:c>
      <x:c r="M64" t="n">
        <x:v>30</x:v>
      </x:c>
      <x:c r="N64" t="n">
        <x:f>ROUND(SUM('食材明细'!H374:H379),0)</x:f>
        <x:v>526</x:v>
      </x:c>
      <x:c r="O64" t="n">
        <x:f>ROUND(SUM('食材明细'!J374:J379),1)</x:f>
        <x:v>47.7</x:v>
      </x:c>
      <x:c r="P64" t="n">
        <x:f>ROUND(SUM('食材明细'!L374:L379),1)</x:f>
        <x:v>48.1</x:v>
      </x:c>
      <x:c r="Q64" t="n">
        <x:f>ROUND(SUM('食材明细'!N374:N379),1)</x:f>
        <x:v>16.4</x:v>
      </x:c>
      <x:c r="R64" s="10" t="str">
        <x:v>调料尽量低盐，不加白砂糖；油重已计入热量。</x:v>
      </x:c>
    </x:row>
    <x:row r="65" ht="37" customHeight="1">
      <x:c r="A65" t="n">
        <x:v>64</x:v>
      </x:c>
      <x:c r="B65" t="n">
        <x:v>32</x:v>
      </x:c>
      <x:c r="C65" t="n">
        <x:v>5</x:v>
      </x:c>
      <x:c r="D65" t="str">
        <x:v>晚餐</x:v>
      </x:c>
      <x:c r="E65" t="str">
        <x:v>鱼类</x:v>
      </x:c>
      <x:c r="F65" s="10" t="str">
        <x:v>蒜香巴沙鱼配番茄口蘑｜藜麦饭</x:v>
      </x:c>
      <x:c r="G65" s="10" t="str">
        <x:v>巴沙鱼175g、番茄190g、口蘑110g、藜麦饭135g、烹调油4g</x:v>
      </x:c>
      <x:c r="H65" t="str">
        <x:v>藜麦饭</x:v>
      </x:c>
      <x:c r="I65" s="10" t="str">
        <x:v>低主食需求可将主食减1/3，另加100g非淀粉蔬菜（营养值需重算）</x:v>
      </x:c>
      <x:c r="J65" s="10" t="str">
        <x:v>蒜末、白胡椒</x:v>
      </x:c>
      <x:c r="K65" t="str">
        <x:v>蒸</x:v>
      </x:c>
      <x:c r="L65" s="10" t="str">
        <x:v>鱼肉去刺，彻底做熟；食材切块，撒蒜末；上锅蒸熟，蔬菜另焯后拌匀；藜麦饭另煮熟或蒸好后同餐食用。</x:v>
      </x:c>
      <x:c r="M65" t="n">
        <x:v>30</x:v>
      </x:c>
      <x:c r="N65" t="n">
        <x:f>ROUND(SUM('食材明细'!H380:H385),0)</x:f>
        <x:v>418</x:v>
      </x:c>
      <x:c r="O65" t="n">
        <x:f>ROUND(SUM('食材明细'!J380:J385),1)</x:f>
        <x:v>40.8</x:v>
      </x:c>
      <x:c r="P65" t="n">
        <x:f>ROUND(SUM('食材明细'!L380:L385),1)</x:f>
        <x:v>40</x:v>
      </x:c>
      <x:c r="Q65" t="n">
        <x:f>ROUND(SUM('食材明细'!N380:N385),1)</x:f>
        <x:v>11.3</x:v>
      </x:c>
      <x:c r="R65" s="10" t="str">
        <x:v>调料尽量低盐，不加白砂糖；油重已计入热量。</x:v>
      </x:c>
    </x:row>
    <x:row r="66" ht="37" customHeight="1">
      <x:c r="A66" t="n">
        <x:v>65</x:v>
      </x:c>
      <x:c r="B66" t="n">
        <x:v>33</x:v>
      </x:c>
      <x:c r="C66" t="n">
        <x:v>5</x:v>
      </x:c>
      <x:c r="D66" t="str">
        <x:v>午餐</x:v>
      </x:c>
      <x:c r="E66" t="str">
        <x:v>鱼类</x:v>
      </x:c>
      <x:c r="F66" s="10" t="str">
        <x:v>酸汤三文鱼配西兰花洋葱｜燕麦饭</x:v>
      </x:c>
      <x:c r="G66" s="10" t="str">
        <x:v>三文鱼145g、西兰花175g、洋葱140g、燕麦饭110g、烹调油4g</x:v>
      </x:c>
      <x:c r="H66" t="str">
        <x:v>燕麦饭</x:v>
      </x:c>
      <x:c r="I66" s="10" t="str">
        <x:v>低主食需求可将主食减1/3，另加100g非淀粉蔬菜（营养值需重算）</x:v>
      </x:c>
      <x:c r="J66" s="10" t="str">
        <x:v>米醋、番茄、少许辣椒</x:v>
      </x:c>
      <x:c r="K66" t="str">
        <x:v>水煮</x:v>
      </x:c>
      <x:c r="L66" s="10" t="str">
        <x:v>鱼肉去刺，彻底做熟；番茄煮成酸汤，主食材汆熟，加入蔬菜再煮2～5分钟；燕麦饭另煮熟或蒸好后同餐食用。</x:v>
      </x:c>
      <x:c r="M66" t="n">
        <x:v>30</x:v>
      </x:c>
      <x:c r="N66" t="n">
        <x:f>ROUND(SUM('食材明细'!H386:H391),0)</x:f>
        <x:v>570</x:v>
      </x:c>
      <x:c r="O66" t="n">
        <x:f>ROUND(SUM('食材明细'!J386:J391),1)</x:f>
        <x:v>39</x:v>
      </x:c>
      <x:c r="P66" t="n">
        <x:f>ROUND(SUM('食材明细'!L386:L391),1)</x:f>
        <x:v>48.4</x:v>
      </x:c>
      <x:c r="Q66" t="n">
        <x:f>ROUND(SUM('食材明细'!N386:N391),1)</x:f>
        <x:v>25.7</x:v>
      </x:c>
      <x:c r="R66" s="10" t="str">
        <x:v>调料尽量低盐，不加白砂糖；油重已计入热量。</x:v>
      </x:c>
    </x:row>
    <x:row r="67" ht="37" customHeight="1">
      <x:c r="A67" t="n">
        <x:v>66</x:v>
      </x:c>
      <x:c r="B67" t="n">
        <x:v>33</x:v>
      </x:c>
      <x:c r="C67" t="n">
        <x:v>5</x:v>
      </x:c>
      <x:c r="D67" t="str">
        <x:v>晚餐</x:v>
      </x:c>
      <x:c r="E67" t="str">
        <x:v>禽肉</x:v>
      </x:c>
      <x:c r="F67" s="10" t="str">
        <x:v>咖喱鸡胸肉配白萝卜海带｜糙米饭</x:v>
      </x:c>
      <x:c r="G67" s="10" t="str">
        <x:v>鸡胸肉145g、白萝卜175g、海带125g、糙米饭135g、烹调油5g</x:v>
      </x:c>
      <x:c r="H67" t="str">
        <x:v>糙米饭</x:v>
      </x:c>
      <x:c r="I67" s="10" t="str">
        <x:v>低主食需求可将主食减1/3，另加100g非淀粉蔬菜（营养值需重算）</x:v>
      </x:c>
      <x:c r="J67" s="10" t="str">
        <x:v>无加糖咖喱粉、姜末</x:v>
      </x:c>
      <x:c r="K67" t="str">
        <x:v>炖煮</x:v>
      </x:c>
      <x:c r="L67" s="10" t="str">
        <x:v>用咖喱粉而非高脂咖喱块，加水轻炖主食材和蔬菜；糙米饭另煮熟或蒸好后同餐食用。</x:v>
      </x:c>
      <x:c r="M67" t="n">
        <x:v>35</x:v>
      </x:c>
      <x:c r="N67" t="n">
        <x:f>ROUND(SUM('食材明细'!H392:H397),0)</x:f>
        <x:v>418</x:v>
      </x:c>
      <x:c r="O67" t="n">
        <x:f>ROUND(SUM('食材明细'!J392:J397),1)</x:f>
        <x:v>39.2</x:v>
      </x:c>
      <x:c r="P67" t="n">
        <x:f>ROUND(SUM('食材明细'!L392:L397),1)</x:f>
        <x:v>45</x:v>
      </x:c>
      <x:c r="Q67" t="n">
        <x:f>ROUND(SUM('食材明细'!N392:N397),1)</x:f>
        <x:v>9.4</x:v>
      </x:c>
      <x:c r="R67" s="10" t="str">
        <x:v>调料尽量低盐，不加白砂糖；油重已计入热量。</x:v>
      </x:c>
    </x:row>
    <x:row r="68" ht="37" customHeight="1">
      <x:c r="A68" t="n">
        <x:v>67</x:v>
      </x:c>
      <x:c r="B68" t="n">
        <x:v>34</x:v>
      </x:c>
      <x:c r="C68" t="n">
        <x:v>5</x:v>
      </x:c>
      <x:c r="D68" t="str">
        <x:v>午餐</x:v>
      </x:c>
      <x:c r="E68" t="str">
        <x:v>猪肉</x:v>
      </x:c>
      <x:c r="F68" s="10" t="str">
        <x:v>蚝香猪里脊配四季豆小白菜｜全麦面</x:v>
      </x:c>
      <x:c r="G68" s="10" t="str">
        <x:v>猪里脊155g、四季豆175g、小白菜125g、全麦面150g、烹调油5g</x:v>
      </x:c>
      <x:c r="H68" t="str">
        <x:v>全麦面</x:v>
      </x:c>
      <x:c r="I68" s="10" t="str">
        <x:v>低主食需求可将主食减1/3，另加100g非淀粉蔬菜（营养值需重算）</x:v>
      </x:c>
      <x:c r="J68" s="10" t="str">
        <x:v>低钠蚝油少量、姜蒜</x:v>
      </x:c>
      <x:c r="K68" t="str">
        <x:v>少油烩</x:v>
      </x:c>
      <x:c r="L68" s="10" t="str">
        <x:v>主食材和蔬菜少油少水烩熟，起锅前点少量蚝油；面/魔芋丝煮熟后与菜合碗。四季豆必须充分煮熟，不要生脆。</x:v>
      </x:c>
      <x:c r="M68" t="n">
        <x:v>15</x:v>
      </x:c>
      <x:c r="N68" t="n">
        <x:f>ROUND(SUM('食材明细'!H398:H403),0)</x:f>
        <x:v>493</x:v>
      </x:c>
      <x:c r="O68" t="n">
        <x:f>ROUND(SUM('食材明细'!J398:J403),1)</x:f>
        <x:v>45.2</x:v>
      </x:c>
      <x:c r="P68" t="n">
        <x:f>ROUND(SUM('食材明细'!L398:L403),1)</x:f>
        <x:v>53.3</x:v>
      </x:c>
      <x:c r="Q68" t="n">
        <x:f>ROUND(SUM('食材明细'!N398:N403),1)</x:f>
        <x:v>12.5</x:v>
      </x:c>
      <x:c r="R68" s="10" t="str">
        <x:v>调料尽量低盐，不加白砂糖；油重已计入热量。</x:v>
      </x:c>
    </x:row>
    <x:row r="69" ht="37" customHeight="1">
      <x:c r="A69" t="n">
        <x:v>68</x:v>
      </x:c>
      <x:c r="B69" t="n">
        <x:v>34</x:v>
      </x:c>
      <x:c r="C69" t="n">
        <x:v>5</x:v>
      </x:c>
      <x:c r="D69" t="str">
        <x:v>晚餐</x:v>
      </x:c>
      <x:c r="E69" t="str">
        <x:v>豆蛋</x:v>
      </x:c>
      <x:c r="F69" s="10" t="str">
        <x:v>菌菇嫩豆腐熟毛豆仁烩茼蒿口蘑｜土豆</x:v>
      </x:c>
      <x:c r="G69" s="10" t="str">
        <x:v>嫩豆腐260g、熟毛豆仁50g、茼蒿160g、口蘑110g、土豆125g、烹调油5g</x:v>
      </x:c>
      <x:c r="H69" t="str">
        <x:v>土豆</x:v>
      </x:c>
      <x:c r="I69" s="10" t="str">
        <x:v>想减主食可减到原量2/3，另加100g绿叶菜</x:v>
      </x:c>
      <x:c r="J69" s="10" t="str">
        <x:v>姜片、香菇汁</x:v>
      </x:c>
      <x:c r="K69" t="str">
        <x:v>焖煮</x:v>
      </x:c>
      <x:c r="L69" s="10" t="str">
        <x:v>食材与菌菇加少量水焖熟，出锅前加少量低盐生抽；土豆另煮熟或蒸好后同餐食用。</x:v>
      </x:c>
      <x:c r="M69" t="n">
        <x:v>35</x:v>
      </x:c>
      <x:c r="N69" t="n">
        <x:f>ROUND(SUM('食材明细'!H404:H409),0)</x:f>
        <x:v>408</x:v>
      </x:c>
      <x:c r="O69" t="n">
        <x:f>ROUND(SUM('食材明细'!J404:J409),1)</x:f>
        <x:v>28</x:v>
      </x:c>
      <x:c r="P69" t="n">
        <x:f>ROUND(SUM('食材明细'!L404:L409),1)</x:f>
        <x:v>41.7</x:v>
      </x:c>
      <x:c r="Q69" t="n">
        <x:f>ROUND(SUM('食材明细'!N404:N409),1)</x:f>
        <x:v>15.7</x:v>
      </x:c>
      <x:c r="R69" s="10" t="str">
        <x:v>调料尽量低盐，不加白砂糖；油重已计入热量。</x:v>
      </x:c>
    </x:row>
    <x:row r="70" ht="37" customHeight="1">
      <x:c r="A70" t="n">
        <x:v>69</x:v>
      </x:c>
      <x:c r="B70" t="n">
        <x:v>35</x:v>
      </x:c>
      <x:c r="C70" t="n">
        <x:v>5</x:v>
      </x:c>
      <x:c r="D70" t="str">
        <x:v>午餐</x:v>
      </x:c>
      <x:c r="E70" t="str">
        <x:v>海鲜</x:v>
      </x:c>
      <x:c r="F70" s="10" t="str">
        <x:v>香醋虾仁配茼蒿彩椒｜红薯</x:v>
      </x:c>
      <x:c r="G70" s="10" t="str">
        <x:v>虾仁190g、茼蒿160g、彩椒155g、红薯110g、烹调油3g</x:v>
      </x:c>
      <x:c r="H70" t="str">
        <x:v>红薯</x:v>
      </x:c>
      <x:c r="I70" s="10" t="str">
        <x:v>想减主食可减到原量2/3，另加100g绿叶菜</x:v>
      </x:c>
      <x:c r="J70" s="10" t="str">
        <x:v>香醋、蒜末、少量生抽</x:v>
      </x:c>
      <x:c r="K70" t="str">
        <x:v>水煮</x:v>
      </x:c>
      <x:c r="L70" s="10" t="str">
        <x:v>食材分别煮至熟，淋香醋蒜汁，拌匀即食；红薯另煮熟或蒸好后同餐食用。</x:v>
      </x:c>
      <x:c r="M70" t="n">
        <x:v>30</x:v>
      </x:c>
      <x:c r="N70" t="n">
        <x:f>ROUND(SUM('食材明细'!H410:H415),0)</x:f>
        <x:v>375</x:v>
      </x:c>
      <x:c r="O70" t="n">
        <x:f>ROUND(SUM('食材明细'!J410:J415),1)</x:f>
        <x:v>42.4</x:v>
      </x:c>
      <x:c r="P70" t="n">
        <x:f>ROUND(SUM('食材明细'!L410:L415),1)</x:f>
        <x:v>39.7</x:v>
      </x:c>
      <x:c r="Q70" t="n">
        <x:f>ROUND(SUM('食材明细'!N410:N415),1)</x:f>
        <x:v>6</x:v>
      </x:c>
      <x:c r="R70" s="10" t="str">
        <x:v>调料尽量低盐，不加白砂糖；油重已计入热量。</x:v>
      </x:c>
    </x:row>
    <x:row r="71" ht="37" customHeight="1">
      <x:c r="A71" t="n">
        <x:v>70</x:v>
      </x:c>
      <x:c r="B71" t="n">
        <x:v>35</x:v>
      </x:c>
      <x:c r="C71" t="n">
        <x:v>5</x:v>
      </x:c>
      <x:c r="D71" t="str">
        <x:v>晚餐</x:v>
      </x:c>
      <x:c r="E71" t="str">
        <x:v>禽肉</x:v>
      </x:c>
      <x:c r="F71" s="10" t="str">
        <x:v>豉汁去皮鸡腿肉配菜心金针菇｜全麦面</x:v>
      </x:c>
      <x:c r="G71" s="10" t="str">
        <x:v>去皮鸡腿肉180g、菜心160g、金针菇155g、全麦面95g、烹调油6g</x:v>
      </x:c>
      <x:c r="H71" t="str">
        <x:v>全麦面</x:v>
      </x:c>
      <x:c r="I71" s="10" t="str">
        <x:v>低主食需求可将主食减1/3，另加100g非淀粉蔬菜（营养值需重算）</x:v>
      </x:c>
      <x:c r="J71" s="10" t="str">
        <x:v>少量豆豉、姜末</x:v>
      </x:c>
      <x:c r="K71" t="str">
        <x:v>蒸</x:v>
      </x:c>
      <x:c r="L71" s="10" t="str">
        <x:v>先去皮去骨并切薄，充分加热；豆豉冲洗剁碎，与姜末拌主食材后蒸熟；蔬菜另煮；面/魔芋丝煮熟后与菜合碗。</x:v>
      </x:c>
      <x:c r="M71" t="n">
        <x:v>20</x:v>
      </x:c>
      <x:c r="N71" t="n">
        <x:f>ROUND(SUM('食材明细'!H416:H421),0)</x:f>
        <x:v>478</x:v>
      </x:c>
      <x:c r="O71" t="n">
        <x:f>ROUND(SUM('食材明细'!J416:J421),1)</x:f>
        <x:v>47.7</x:v>
      </x:c>
      <x:c r="P71" t="n">
        <x:f>ROUND(SUM('食材明细'!L416:L421),1)</x:f>
        <x:v>39.3</x:v>
      </x:c>
      <x:c r="Q71" t="n">
        <x:f>ROUND(SUM('食材明细'!N416:N421),1)</x:f>
        <x:v>16.8</x:v>
      </x:c>
      <x:c r="R71" s="10" t="str">
        <x:v>调料尽量低盐，不加白砂糖；油重已计入热量。</x:v>
      </x:c>
    </x:row>
    <x:row r="72" ht="37" customHeight="1">
      <x:c r="A72" t="n">
        <x:v>71</x:v>
      </x:c>
      <x:c r="B72" t="n">
        <x:v>36</x:v>
      </x:c>
      <x:c r="C72" t="n">
        <x:v>6</x:v>
      </x:c>
      <x:c r="D72" t="str">
        <x:v>午餐</x:v>
      </x:c>
      <x:c r="E72" t="str">
        <x:v>禽肉</x:v>
      </x:c>
      <x:c r="F72" s="10" t="str">
        <x:v>清汤去皮鸭胸肉配番茄泡发木耳｜乌冬面</x:v>
      </x:c>
      <x:c r="G72" s="10" t="str">
        <x:v>去皮鸭胸肉175g、番茄175g、泡发木耳155g、乌冬面135g、烹调油4g</x:v>
      </x:c>
      <x:c r="H72" t="str">
        <x:v>乌冬面</x:v>
      </x:c>
      <x:c r="I72" s="10" t="str">
        <x:v>低主食需求可将主食减1/3，另加100g非淀粉蔬菜（营养值需重算）</x:v>
      </x:c>
      <x:c r="J72" s="10" t="str">
        <x:v>葱段、盐少量</x:v>
      </x:c>
      <x:c r="K72" t="str">
        <x:v>煮</x:v>
      </x:c>
      <x:c r="L72" s="10" t="str">
        <x:v>清水煮开，按熟化时间下食材，最后放叶菜，清淡调味；面/魔芋丝煮熟后与菜合碗。</x:v>
      </x:c>
      <x:c r="M72" t="n">
        <x:v>25</x:v>
      </x:c>
      <x:c r="N72" t="n">
        <x:f>ROUND(SUM('食材明细'!H422:H427),0)</x:f>
        <x:v>517</x:v>
      </x:c>
      <x:c r="O72" t="n">
        <x:f>ROUND(SUM('食材明细'!J422:J427),1)</x:f>
        <x:v>40.5</x:v>
      </x:c>
      <x:c r="P72" t="n">
        <x:f>ROUND(SUM('食材明细'!L422:L427),1)</x:f>
        <x:v>50.1</x:v>
      </x:c>
      <x:c r="Q72" t="n">
        <x:f>ROUND(SUM('食材明细'!N422:N427),1)</x:f>
        <x:v>17.6</x:v>
      </x:c>
      <x:c r="R72" s="10" t="str">
        <x:v>调料尽量低盐，不加白砂糖；油重已计入热量。</x:v>
      </x:c>
    </x:row>
    <x:row r="73" ht="37" customHeight="1">
      <x:c r="A73" t="n">
        <x:v>72</x:v>
      </x:c>
      <x:c r="B73" t="n">
        <x:v>36</x:v>
      </x:c>
      <x:c r="C73" t="n">
        <x:v>6</x:v>
      </x:c>
      <x:c r="D73" t="str">
        <x:v>晚餐</x:v>
      </x:c>
      <x:c r="E73" t="str">
        <x:v>豆蛋</x:v>
      </x:c>
      <x:c r="F73" s="10" t="str">
        <x:v>清汤北豆腐配彩椒番茄｜荞麦饭</x:v>
      </x:c>
      <x:c r="G73" s="10" t="str">
        <x:v>北豆腐260g、彩椒175g、番茄140g、荞麦饭80g、烹调油6g</x:v>
      </x:c>
      <x:c r="H73" t="str">
        <x:v>荞麦饭</x:v>
      </x:c>
      <x:c r="I73" s="10" t="str">
        <x:v>低主食需求可将主食减1/3，另加100g非淀粉蔬菜（营养值需重算）</x:v>
      </x:c>
      <x:c r="J73" s="10" t="str">
        <x:v>葱段、盐少量</x:v>
      </x:c>
      <x:c r="K73" t="str">
        <x:v>煮</x:v>
      </x:c>
      <x:c r="L73" s="10" t="str">
        <x:v>清水煮开，按熟化时间下食材，最后放叶菜，清淡调味；荞麦饭另煮熟或蒸好后同餐食用。</x:v>
      </x:c>
      <x:c r="M73" t="n">
        <x:v>30</x:v>
      </x:c>
      <x:c r="N73" t="n">
        <x:f>ROUND(SUM('食材明细'!H428:H433),0)</x:f>
        <x:v>451</x:v>
      </x:c>
      <x:c r="O73" t="n">
        <x:f>ROUND(SUM('食材明细'!J428:J433),1)</x:f>
        <x:v>31.7</x:v>
      </x:c>
      <x:c r="P73" t="n">
        <x:f>ROUND(SUM('食材明细'!L428:L433),1)</x:f>
        <x:v>39.1</x:v>
      </x:c>
      <x:c r="Q73" t="n">
        <x:f>ROUND(SUM('食材明细'!N428:N433),1)</x:f>
        <x:v>20.5</x:v>
      </x:c>
      <x:c r="R73" s="10" t="str">
        <x:v>调料尽量低盐，不加白砂糖；油重已计入热量。</x:v>
      </x:c>
    </x:row>
    <x:row r="74" ht="37" customHeight="1">
      <x:c r="A74" t="n">
        <x:v>73</x:v>
      </x:c>
      <x:c r="B74" t="n">
        <x:v>37</x:v>
      </x:c>
      <x:c r="C74" t="n">
        <x:v>6</x:v>
      </x:c>
      <x:c r="D74" t="str">
        <x:v>午餐</x:v>
      </x:c>
      <x:c r="E74" t="str">
        <x:v>牛肉</x:v>
      </x:c>
      <x:c r="F74" s="10" t="str">
        <x:v>柠檬牛腱子配芹菜冬瓜｜土豆</x:v>
      </x:c>
      <x:c r="G74" s="10" t="str">
        <x:v>牛腱子175g、芹菜140g、冬瓜125g、土豆150g、烹调油3g</x:v>
      </x:c>
      <x:c r="H74" t="str">
        <x:v>土豆</x:v>
      </x:c>
      <x:c r="I74" s="10" t="str">
        <x:v>想减主食可减到原量2/3，另加100g绿叶菜</x:v>
      </x:c>
      <x:c r="J74" s="10" t="str">
        <x:v>柠檬片、白胡椒</x:v>
      </x:c>
      <x:c r="K74" t="str">
        <x:v>蒸</x:v>
      </x:c>
      <x:c r="L74" s="10" t="str">
        <x:v>柠檬片垫底，主食材蒸熟，蔬菜短焯后摆盘；土豆另煮熟或蒸好后同餐食用。</x:v>
      </x:c>
      <x:c r="M74" t="n">
        <x:v>20</x:v>
      </x:c>
      <x:c r="N74" t="n">
        <x:f>ROUND(SUM('食材明细'!H434:H439),0)</x:f>
        <x:v>429</x:v>
      </x:c>
      <x:c r="O74" t="n">
        <x:f>ROUND(SUM('食材明细'!J434:J439),1)</x:f>
        <x:v>41.7</x:v>
      </x:c>
      <x:c r="P74" t="n">
        <x:f>ROUND(SUM('食材明细'!L434:L439),1)</x:f>
        <x:v>34.5</x:v>
      </x:c>
      <x:c r="Q74" t="n">
        <x:f>ROUND(SUM('食材明细'!N434:N439),1)</x:f>
        <x:v>14</x:v>
      </x:c>
      <x:c r="R74" s="10" t="str">
        <x:v>调料尽量低盐，不加白砂糖；油重已计入热量。</x:v>
      </x:c>
    </x:row>
    <x:row r="75" ht="37" customHeight="1">
      <x:c r="A75" t="n">
        <x:v>74</x:v>
      </x:c>
      <x:c r="B75" t="n">
        <x:v>37</x:v>
      </x:c>
      <x:c r="C75" t="n">
        <x:v>6</x:v>
      </x:c>
      <x:c r="D75" t="str">
        <x:v>晚餐</x:v>
      </x:c>
      <x:c r="E75" t="str">
        <x:v>禽肉</x:v>
      </x:c>
      <x:c r="F75" s="10" t="str">
        <x:v>清汤去皮鸡腿肉配冬瓜洋葱｜藜麦饭</x:v>
      </x:c>
      <x:c r="G75" s="10" t="str">
        <x:v>去皮鸡腿肉160g、冬瓜140g、洋葱125g、藜麦饭135g、烹调油5g</x:v>
      </x:c>
      <x:c r="H75" t="str">
        <x:v>藜麦饭</x:v>
      </x:c>
      <x:c r="I75" s="10" t="str">
        <x:v>低主食需求可将主食减1/3，另加100g非淀粉蔬菜（营养值需重算）</x:v>
      </x:c>
      <x:c r="J75" s="10" t="str">
        <x:v>葱段、盐少量</x:v>
      </x:c>
      <x:c r="K75" t="str">
        <x:v>煮</x:v>
      </x:c>
      <x:c r="L75" s="10" t="str">
        <x:v>先去皮去骨并切薄，充分加热；清水煮开，按熟化时间下食材，最后放叶菜，清淡调味；藜麦饭另煮熟或蒸好后同餐食用。</x:v>
      </x:c>
      <x:c r="M75" t="n">
        <x:v>25</x:v>
      </x:c>
      <x:c r="N75" t="n">
        <x:f>ROUND(SUM('食材明细'!H440:H445),0)</x:f>
        <x:v>475</x:v>
      </x:c>
      <x:c r="O75" t="n">
        <x:f>ROUND(SUM('食材明细'!J440:J445),1)</x:f>
        <x:v>39.9</x:v>
      </x:c>
      <x:c r="P75" t="n">
        <x:f>ROUND(SUM('食材明细'!L440:L445),1)</x:f>
        <x:v>44.6</x:v>
      </x:c>
      <x:c r="Q75" t="n">
        <x:f>ROUND(SUM('食材明细'!N440:N445),1)</x:f>
        <x:v>16</x:v>
      </x:c>
      <x:c r="R75" s="10" t="str">
        <x:v>调料尽量低盐，不加白砂糖；油重已计入热量。</x:v>
      </x:c>
    </x:row>
    <x:row r="76" ht="37" customHeight="1">
      <x:c r="A76" t="n">
        <x:v>75</x:v>
      </x:c>
      <x:c r="B76" t="n">
        <x:v>38</x:v>
      </x:c>
      <x:c r="C76" t="n">
        <x:v>6</x:v>
      </x:c>
      <x:c r="D76" t="str">
        <x:v>午餐</x:v>
      </x:c>
      <x:c r="E76" t="str">
        <x:v>海鲜</x:v>
      </x:c>
      <x:c r="F76" s="10" t="str">
        <x:v>香醋虾仁配彩椒黄瓜｜紫薯</x:v>
      </x:c>
      <x:c r="G76" s="10" t="str">
        <x:v>虾仁160g、彩椒175g、黄瓜125g、紫薯150g、烹调油4g</x:v>
      </x:c>
      <x:c r="H76" t="str">
        <x:v>紫薯</x:v>
      </x:c>
      <x:c r="I76" s="10" t="str">
        <x:v>想减主食可减到原量2/3，另加100g绿叶菜</x:v>
      </x:c>
      <x:c r="J76" s="10" t="str">
        <x:v>香醋、蒜末、少量生抽</x:v>
      </x:c>
      <x:c r="K76" t="str">
        <x:v>水煮</x:v>
      </x:c>
      <x:c r="L76" s="10" t="str">
        <x:v>食材分别煮至熟，淋香醋蒜汁，拌匀即食；紫薯另煮熟或蒸好后同餐食用。</x:v>
      </x:c>
      <x:c r="M76" t="n">
        <x:v>30</x:v>
      </x:c>
      <x:c r="N76" t="n">
        <x:f>ROUND(SUM('食材明细'!H446:H451),0)</x:f>
        <x:v>390</x:v>
      </x:c>
      <x:c r="O76" t="n">
        <x:f>ROUND(SUM('食材明细'!J446:J451),1)</x:f>
        <x:v>35.4</x:v>
      </x:c>
      <x:c r="P76" t="n">
        <x:f>ROUND(SUM('食材明细'!L446:L451),1)</x:f>
        <x:v>48.8</x:v>
      </x:c>
      <x:c r="Q76" t="n">
        <x:f>ROUND(SUM('食材明细'!N446:N451),1)</x:f>
        <x:v>6.4</x:v>
      </x:c>
      <x:c r="R76" s="10" t="str">
        <x:v>调料尽量低盐，不加白砂糖；油重已计入热量。</x:v>
      </x:c>
    </x:row>
    <x:row r="77" ht="37" customHeight="1">
      <x:c r="A77" t="n">
        <x:v>76</x:v>
      </x:c>
      <x:c r="B77" t="n">
        <x:v>38</x:v>
      </x:c>
      <x:c r="C77" t="n">
        <x:v>6</x:v>
      </x:c>
      <x:c r="D77" t="str">
        <x:v>晚餐</x:v>
      </x:c>
      <x:c r="E77" t="str">
        <x:v>鱼类</x:v>
      </x:c>
      <x:c r="F77" s="10" t="str">
        <x:v>番茄鳕鱼配黄瓜｜糙米饭</x:v>
      </x:c>
      <x:c r="G77" s="10" t="str">
        <x:v>鳕鱼215g、番茄160g、黄瓜110g、糙米饭110g、烹调油3g</x:v>
      </x:c>
      <x:c r="H77" t="str">
        <x:v>糙米饭</x:v>
      </x:c>
      <x:c r="I77" s="10" t="str">
        <x:v>低主食需求可将主食减1/3，另加100g非淀粉蔬菜（营养值需重算）</x:v>
      </x:c>
      <x:c r="J77" s="10" t="str">
        <x:v>番茄丁、黑胡椒</x:v>
      </x:c>
      <x:c r="K77" t="str">
        <x:v>炖煮</x:v>
      </x:c>
      <x:c r="L77" s="10" t="str">
        <x:v>鱼肉去刺，彻底做熟；番茄出汁后加入主食材和少量水，轻炖至熟，再放配菜；糙米饭另煮熟或蒸好后同餐食用。</x:v>
      </x:c>
      <x:c r="M77" t="n">
        <x:v>25</x:v>
      </x:c>
      <x:c r="N77" t="n">
        <x:f>ROUND(SUM('食材明细'!H452:H457),0)</x:f>
        <x:v>383</x:v>
      </x:c>
      <x:c r="O77" t="n">
        <x:f>ROUND(SUM('食材明细'!J452:J457),1)</x:f>
        <x:v>43.8</x:v>
      </x:c>
      <x:c r="P77" t="n">
        <x:f>ROUND(SUM('食材明细'!L452:L457),1)</x:f>
        <x:v>36.2</x:v>
      </x:c>
      <x:c r="Q77" t="n">
        <x:f>ROUND(SUM('食材明细'!N452:N457),1)</x:f>
        <x:v>6.1</x:v>
      </x:c>
      <x:c r="R77" s="10" t="str">
        <x:v>调料尽量低盐，不加白砂糖；油重已计入热量。</x:v>
      </x:c>
    </x:row>
    <x:row r="78" ht="37" customHeight="1">
      <x:c r="A78" t="n">
        <x:v>77</x:v>
      </x:c>
      <x:c r="B78" t="n">
        <x:v>39</x:v>
      </x:c>
      <x:c r="C78" t="n">
        <x:v>6</x:v>
      </x:c>
      <x:c r="D78" t="str">
        <x:v>午餐</x:v>
      </x:c>
      <x:c r="E78" t="str">
        <x:v>海鲜</x:v>
      </x:c>
      <x:c r="F78" s="10" t="str">
        <x:v>豉汁虾仁配苦瓜金针菇｜白米饭</x:v>
      </x:c>
      <x:c r="G78" s="10" t="str">
        <x:v>虾仁160g、苦瓜140g、金针菇140g、白米饭135g、烹调油4g</x:v>
      </x:c>
      <x:c r="H78" t="str">
        <x:v>白米饭</x:v>
      </x:c>
      <x:c r="I78" s="10" t="str">
        <x:v>低主食需求可将主食减1/3，另加100g非淀粉蔬菜（营养值需重算）</x:v>
      </x:c>
      <x:c r="J78" s="10" t="str">
        <x:v>少量豆豉、姜末</x:v>
      </x:c>
      <x:c r="K78" t="str">
        <x:v>蒸</x:v>
      </x:c>
      <x:c r="L78" s="10" t="str">
        <x:v>豆豉冲洗剁碎，与姜末拌主食材后蒸熟；蔬菜另煮；白米饭另煮熟或蒸好后同餐食用。</x:v>
      </x:c>
      <x:c r="M78" t="n">
        <x:v>25</x:v>
      </x:c>
      <x:c r="N78" t="n">
        <x:f>ROUND(SUM('食材明细'!H458:H463),0)</x:f>
        <x:v>408</x:v>
      </x:c>
      <x:c r="O78" t="n">
        <x:f>ROUND(SUM('食材明细'!J458:J463),1)</x:f>
        <x:v>38.7</x:v>
      </x:c>
      <x:c r="P78" t="n">
        <x:f>ROUND(SUM('食材明细'!L458:L463),1)</x:f>
        <x:v>49.9</x:v>
      </x:c>
      <x:c r="Q78" t="n">
        <x:f>ROUND(SUM('食材明细'!N458:N463),1)</x:f>
        <x:v>6.7</x:v>
      </x:c>
      <x:c r="R78" s="10" t="str">
        <x:v>调料尽量低盐，不加白砂糖；油重已计入热量。</x:v>
      </x:c>
    </x:row>
    <x:row r="79" ht="37" customHeight="1">
      <x:c r="A79" t="n">
        <x:v>78</x:v>
      </x:c>
      <x:c r="B79" t="n">
        <x:v>39</x:v>
      </x:c>
      <x:c r="C79" t="n">
        <x:v>6</x:v>
      </x:c>
      <x:c r="D79" t="str">
        <x:v>晚餐</x:v>
      </x:c>
      <x:c r="E79" t="str">
        <x:v>牛肉</x:v>
      </x:c>
      <x:c r="F79" s="10" t="str">
        <x:v>黑椒牛里脊配西葫芦番茄｜全麦面</x:v>
      </x:c>
      <x:c r="G79" s="10" t="str">
        <x:v>牛里脊170g、西葫芦140g、番茄155g、全麦面110g、烹调油4g</x:v>
      </x:c>
      <x:c r="H79" t="str">
        <x:v>全麦面</x:v>
      </x:c>
      <x:c r="I79" s="10" t="str">
        <x:v>低主食需求可将主食减1/3，另加100g非淀粉蔬菜（营养值需重算）</x:v>
      </x:c>
      <x:c r="J79" s="10" t="str">
        <x:v>黑胡椒、蒜末</x:v>
      </x:c>
      <x:c r="K79" t="str">
        <x:v>少油烩</x:v>
      </x:c>
      <x:c r="L79" s="10" t="str">
        <x:v>锅加少量水和油，先把主食材煮熟，再烩两种蔬菜，收汁撒黑椒；面/魔芋丝煮熟后与菜合碗。</x:v>
      </x:c>
      <x:c r="M79" t="n">
        <x:v>15</x:v>
      </x:c>
      <x:c r="N79" t="n">
        <x:f>ROUND(SUM('食材明细'!H464:H469),0)</x:f>
        <x:v>448</x:v>
      </x:c>
      <x:c r="O79" t="n">
        <x:f>ROUND(SUM('食材明细'!J464:J469),1)</x:f>
        <x:v>44.3</x:v>
      </x:c>
      <x:c r="P79" t="n">
        <x:f>ROUND(SUM('食材明细'!L464:L469),1)</x:f>
        <x:v>38</x:v>
      </x:c>
      <x:c r="Q79" t="n">
        <x:f>ROUND(SUM('食材明细'!N464:N469),1)</x:f>
        <x:v>14.1</x:v>
      </x:c>
      <x:c r="R79" s="10" t="str">
        <x:v>调料尽量低盐，不加白砂糖；油重已计入热量。</x:v>
      </x:c>
    </x:row>
    <x:row r="80" ht="37" customHeight="1">
      <x:c r="A80" t="n">
        <x:v>79</x:v>
      </x:c>
      <x:c r="B80" t="n">
        <x:v>40</x:v>
      </x:c>
      <x:c r="C80" t="n">
        <x:v>6</x:v>
      </x:c>
      <x:c r="D80" t="str">
        <x:v>午餐</x:v>
      </x:c>
      <x:c r="E80" t="str">
        <x:v>鱼类</x:v>
      </x:c>
      <x:c r="F80" s="10" t="str">
        <x:v>柠檬三文鱼配丝瓜芦笋｜糙米饭</x:v>
      </x:c>
      <x:c r="G80" s="10" t="str">
        <x:v>三文鱼120g、丝瓜175g、芦笋155g、糙米饭110g、烹调油3g</x:v>
      </x:c>
      <x:c r="H80" t="str">
        <x:v>糙米饭</x:v>
      </x:c>
      <x:c r="I80" s="10" t="str">
        <x:v>低主食需求可将主食减1/3，另加100g非淀粉蔬菜（营养值需重算）</x:v>
      </x:c>
      <x:c r="J80" s="10" t="str">
        <x:v>柠檬片、白胡椒</x:v>
      </x:c>
      <x:c r="K80" t="str">
        <x:v>蒸</x:v>
      </x:c>
      <x:c r="L80" s="10" t="str">
        <x:v>鱼肉去刺，彻底做熟；柠檬片垫底，主食材蒸熟，蔬菜短焯后摆盘；糙米饭另煮熟或蒸好后同餐食用。</x:v>
      </x:c>
      <x:c r="M80" t="n">
        <x:v>15</x:v>
      </x:c>
      <x:c r="N80" t="n">
        <x:f>ROUND(SUM('食材明细'!H470:H475),0)</x:f>
        <x:v>462</x:v>
      </x:c>
      <x:c r="O80" t="n">
        <x:f>ROUND(SUM('食材明细'!J470:J475),1)</x:f>
        <x:v>32</x:v>
      </x:c>
      <x:c r="P80" t="n">
        <x:f>ROUND(SUM('食材明细'!L470:L475),1)</x:f>
        <x:v>38.9</x:v>
      </x:c>
      <x:c r="Q80" t="n">
        <x:f>ROUND(SUM('食材明细'!N470:N475),1)</x:f>
        <x:v>20.1</x:v>
      </x:c>
      <x:c r="R80" s="10" t="str">
        <x:v>调料尽量低盐，不加白砂糖；油重已计入热量。</x:v>
      </x:c>
    </x:row>
    <x:row r="81" ht="37" customHeight="1">
      <x:c r="A81" t="n">
        <x:v>80</x:v>
      </x:c>
      <x:c r="B81" t="n">
        <x:v>40</x:v>
      </x:c>
      <x:c r="C81" t="n">
        <x:v>6</x:v>
      </x:c>
      <x:c r="D81" t="str">
        <x:v>晚餐</x:v>
      </x:c>
      <x:c r="E81" t="str">
        <x:v>禽肉</x:v>
      </x:c>
      <x:c r="F81" s="10" t="str">
        <x:v>清汤去皮鸭胸肉配娃娃菜泡发木耳｜魔芋丝</x:v>
      </x:c>
      <x:c r="G81" s="10" t="str">
        <x:v>去皮鸭胸肉180g、娃娃菜175g、泡发木耳110g、魔芋丝130g、烹调油5g</x:v>
      </x:c>
      <x:c r="H81" t="str">
        <x:v>魔芋丝</x:v>
      </x:c>
      <x:c r="I81" s="10" t="str">
        <x:v>魔芋丝不是完整主食；饥饿可补杂粮饭或蒸薯类</x:v>
      </x:c>
      <x:c r="J81" s="10" t="str">
        <x:v>葱段、盐少量</x:v>
      </x:c>
      <x:c r="K81" t="str">
        <x:v>煮</x:v>
      </x:c>
      <x:c r="L81" s="10" t="str">
        <x:v>清水煮开，按熟化时间下食材，最后放叶菜，清淡调味；面/魔芋丝煮熟后与菜合碗。</x:v>
      </x:c>
      <x:c r="M81" t="n">
        <x:v>30</x:v>
      </x:c>
      <x:c r="N81" t="n">
        <x:f>ROUND(SUM('食材明细'!H476:H481),0)</x:f>
        <x:v>366</x:v>
      </x:c>
      <x:c r="O81" t="n">
        <x:f>ROUND(SUM('食材明细'!J476:J481),1)</x:f>
        <x:v>38.5</x:v>
      </x:c>
      <x:c r="P81" t="n">
        <x:f>ROUND(SUM('食材明细'!L476:L481),1)</x:f>
        <x:v>14.5</x:v>
      </x:c>
      <x:c r="Q81" t="n">
        <x:f>ROUND(SUM('食材明细'!N476:N481),1)</x:f>
        <x:v>18.1</x:v>
      </x:c>
      <x:c r="R81" s="10" t="str">
        <x:v>调料尽量低盐，不加白砂糖；油重已计入热量。魔芋丝低能量，不等于一份主食。</x:v>
      </x:c>
    </x:row>
    <x:row r="82" ht="37" customHeight="1">
      <x:c r="A82" t="n">
        <x:v>81</x:v>
      </x:c>
      <x:c r="B82" t="n">
        <x:v>41</x:v>
      </x:c>
      <x:c r="C82" t="n">
        <x:v>6</x:v>
      </x:c>
      <x:c r="D82" t="str">
        <x:v>午餐</x:v>
      </x:c>
      <x:c r="E82" t="str">
        <x:v>禽肉</x:v>
      </x:c>
      <x:c r="F82" s="10" t="str">
        <x:v>椒麻去皮鸭胸肉配荷兰豆莴笋｜山药</x:v>
      </x:c>
      <x:c r="G82" s="10" t="str">
        <x:v>去皮鸭胸肉175g、荷兰豆160g、莴笋125g、山药150g、烹调油3g</x:v>
      </x:c>
      <x:c r="H82" t="str">
        <x:v>山药</x:v>
      </x:c>
      <x:c r="I82" s="10" t="str">
        <x:v>想减主食可减到原量2/3，另加100g绿叶菜</x:v>
      </x:c>
      <x:c r="J82" s="10" t="str">
        <x:v>花椒、蒜、少量醋</x:v>
      </x:c>
      <x:c r="K82" t="str">
        <x:v>水煮</x:v>
      </x:c>
      <x:c r="L82" s="10" t="str">
        <x:v>花椒温水浸出味道，煮熟主食材和配菜，少油拌汁；山药另煮熟或蒸好后同餐食用。</x:v>
      </x:c>
      <x:c r="M82" t="n">
        <x:v>30</x:v>
      </x:c>
      <x:c r="N82" t="n">
        <x:f>ROUND(SUM('食材明细'!H482:H487),0)</x:f>
        <x:v>451</x:v>
      </x:c>
      <x:c r="O82" t="n">
        <x:f>ROUND(SUM('食材明细'!J482:J487),1)</x:f>
        <x:v>41.2</x:v>
      </x:c>
      <x:c r="P82" t="n">
        <x:f>ROUND(SUM('食材明细'!L482:L487),1)</x:f>
        <x:v>36.7</x:v>
      </x:c>
      <x:c r="Q82" t="n">
        <x:f>ROUND(SUM('食材明细'!N482:N487),1)</x:f>
        <x:v>16</x:v>
      </x:c>
      <x:c r="R82" s="10" t="str">
        <x:v>调料尽量低盐，不加白砂糖；油重已计入热量。</x:v>
      </x:c>
    </x:row>
    <x:row r="83" ht="37" customHeight="1">
      <x:c r="A83" t="n">
        <x:v>82</x:v>
      </x:c>
      <x:c r="B83" t="n">
        <x:v>41</x:v>
      </x:c>
      <x:c r="C83" t="n">
        <x:v>6</x:v>
      </x:c>
      <x:c r="D83" t="str">
        <x:v>晚餐</x:v>
      </x:c>
      <x:c r="E83" t="str">
        <x:v>海鲜</x:v>
      </x:c>
      <x:c r="F83" s="10" t="str">
        <x:v>蒜香鱿鱼配冬瓜菜心｜红薯</x:v>
      </x:c>
      <x:c r="G83" s="10" t="str">
        <x:v>鱿鱼190g、冬瓜140g、菜心110g、红薯135g、烹调油3g</x:v>
      </x:c>
      <x:c r="H83" t="str">
        <x:v>红薯</x:v>
      </x:c>
      <x:c r="I83" s="10" t="str">
        <x:v>想减主食可减到原量2/3，另加100g绿叶菜</x:v>
      </x:c>
      <x:c r="J83" s="10" t="str">
        <x:v>蒜末、白胡椒</x:v>
      </x:c>
      <x:c r="K83" t="str">
        <x:v>蒸</x:v>
      </x:c>
      <x:c r="L83" s="10" t="str">
        <x:v>食材切块，撒蒜末；上锅蒸熟，蔬菜另焯后拌匀；红薯另煮熟或蒸好后同餐食用。</x:v>
      </x:c>
      <x:c r="M83" t="n">
        <x:v>15</x:v>
      </x:c>
      <x:c r="N83" t="n">
        <x:f>ROUND(SUM('食材明细'!H488:H493),0)</x:f>
        <x:v>367</x:v>
      </x:c>
      <x:c r="O83" t="n">
        <x:f>ROUND(SUM('食材明细'!J488:J493),1)</x:f>
        <x:v>37.2</x:v>
      </x:c>
      <x:c r="P83" t="n">
        <x:f>ROUND(SUM('食材明细'!L488:L493),1)</x:f>
        <x:v>39.5</x:v>
      </x:c>
      <x:c r="Q83" t="n">
        <x:f>ROUND(SUM('食材明细'!N488:N493),1)</x:f>
        <x:v>6.4</x:v>
      </x:c>
      <x:c r="R83" s="10" t="str">
        <x:v>调料尽量低盐，不加白砂糖；油重已计入热量。</x:v>
      </x:c>
    </x:row>
    <x:row r="84" ht="37" customHeight="1">
      <x:c r="A84" t="n">
        <x:v>83</x:v>
      </x:c>
      <x:c r="B84" t="n">
        <x:v>42</x:v>
      </x:c>
      <x:c r="C84" t="n">
        <x:v>6</x:v>
      </x:c>
      <x:c r="D84" t="str">
        <x:v>午餐</x:v>
      </x:c>
      <x:c r="E84" t="str">
        <x:v>禽肉</x:v>
      </x:c>
      <x:c r="F84" s="10" t="str">
        <x:v>豉汁鸡里脊肉配冬瓜口蘑｜杂粮饭</x:v>
      </x:c>
      <x:c r="G84" s="10" t="str">
        <x:v>鸡里脊肉155g、冬瓜190g、口蘑140g、杂粮饭135g、烹调油5g</x:v>
      </x:c>
      <x:c r="H84" t="str">
        <x:v>杂粮饭</x:v>
      </x:c>
      <x:c r="I84" s="10" t="str">
        <x:v>低主食需求可将主食减1/3，另加100g非淀粉蔬菜（营养值需重算）</x:v>
      </x:c>
      <x:c r="J84" s="10" t="str">
        <x:v>少量豆豉、姜末</x:v>
      </x:c>
      <x:c r="K84" t="str">
        <x:v>蒸</x:v>
      </x:c>
      <x:c r="L84" s="10" t="str">
        <x:v>豆豉冲洗剁碎，与姜末拌主食材后蒸熟；蔬菜另煮；杂粮饭另煮熟或蒸好后同餐食用。</x:v>
      </x:c>
      <x:c r="M84" t="n">
        <x:v>25</x:v>
      </x:c>
      <x:c r="N84" t="n">
        <x:f>ROUND(SUM('食材明细'!H494:H499),0)</x:f>
        <x:v>426</x:v>
      </x:c>
      <x:c r="O84" t="n">
        <x:f>ROUND(SUM('食材明细'!J494:J499),1)</x:f>
        <x:v>44.9</x:v>
      </x:c>
      <x:c r="P84" t="n">
        <x:f>ROUND(SUM('食材明细'!L494:L499),1)</x:f>
        <x:v>42.1</x:v>
      </x:c>
      <x:c r="Q84" t="n">
        <x:f>ROUND(SUM('食材明细'!N494:N499),1)</x:f>
        <x:v>10.1</x:v>
      </x:c>
      <x:c r="R84" s="10" t="str">
        <x:v>调料尽量低盐，不加白砂糖；油重已计入热量。</x:v>
      </x:c>
    </x:row>
    <x:row r="85" ht="37" customHeight="1">
      <x:c r="A85" t="n">
        <x:v>84</x:v>
      </x:c>
      <x:c r="B85" t="n">
        <x:v>42</x:v>
      </x:c>
      <x:c r="C85" t="n">
        <x:v>6</x:v>
      </x:c>
      <x:c r="D85" t="str">
        <x:v>晚餐</x:v>
      </x:c>
      <x:c r="E85" t="str">
        <x:v>禽肉</x:v>
      </x:c>
      <x:c r="F85" s="10" t="str">
        <x:v>黑椒鸡胸肉配荷兰豆冬瓜｜山药</x:v>
      </x:c>
      <x:c r="G85" s="10" t="str">
        <x:v>鸡胸肉170g、熟毛豆仁70g、荷兰豆160g、冬瓜110g、山药125g、烹调油4g</x:v>
      </x:c>
      <x:c r="H85" t="str">
        <x:v>山药</x:v>
      </x:c>
      <x:c r="I85" s="10" t="str">
        <x:v>想减主食可减到原量2/3，另加100g绿叶菜</x:v>
      </x:c>
      <x:c r="J85" s="10" t="str">
        <x:v>黑胡椒、蒜末</x:v>
      </x:c>
      <x:c r="K85" t="str">
        <x:v>少油烩</x:v>
      </x:c>
      <x:c r="L85" s="10" t="str">
        <x:v>锅加少量水和油，先把主食材煮熟，再烩两种蔬菜，收汁撒黑椒；山药另煮熟或蒸好后同餐食用。</x:v>
      </x:c>
      <x:c r="M85" t="n">
        <x:v>30</x:v>
      </x:c>
      <x:c r="N85" t="n">
        <x:f>ROUND(SUM('食材明细'!H500:H505),0)</x:f>
        <x:v>466</x:v>
      </x:c>
      <x:c r="O85" t="n">
        <x:f>ROUND(SUM('食材明细'!J500:J505),1)</x:f>
        <x:v>54.3</x:v>
      </x:c>
      <x:c r="P85" t="n">
        <x:f>ROUND(SUM('食材明细'!L500:L505),1)</x:f>
        <x:v>39.2</x:v>
      </x:c>
      <x:c r="Q85" t="n">
        <x:f>ROUND(SUM('食材明细'!N500:N505),1)</x:f>
        <x:v>11.7</x:v>
      </x:c>
      <x:c r="R85" s="10" t="str">
        <x:v>调料尽量低盐，不加白砂糖；油重已计入热量。</x:v>
      </x:c>
    </x:row>
    <x:row r="86" ht="37" customHeight="1">
      <x:c r="A86" t="n">
        <x:v>85</x:v>
      </x:c>
      <x:c r="B86" t="n">
        <x:v>43</x:v>
      </x:c>
      <x:c r="C86" t="n">
        <x:v>7</x:v>
      </x:c>
      <x:c r="D86" t="str">
        <x:v>午餐</x:v>
      </x:c>
      <x:c r="E86" t="str">
        <x:v>禽肉</x:v>
      </x:c>
      <x:c r="F86" s="10" t="str">
        <x:v>清汤去皮鸡腿肉配四季豆泡发木耳｜红薯</x:v>
      </x:c>
      <x:c r="G86" s="10" t="str">
        <x:v>去皮鸡腿肉185g、四季豆175g、泡发木耳110g、红薯150g、烹调油5g</x:v>
      </x:c>
      <x:c r="H86" t="str">
        <x:v>红薯</x:v>
      </x:c>
      <x:c r="I86" s="10" t="str">
        <x:v>想减主食可减到原量2/3，另加100g绿叶菜</x:v>
      </x:c>
      <x:c r="J86" s="10" t="str">
        <x:v>葱段、盐少量</x:v>
      </x:c>
      <x:c r="K86" t="str">
        <x:v>煮</x:v>
      </x:c>
      <x:c r="L86" s="10" t="str">
        <x:v>先去皮去骨并切薄，充分加热；清水煮开，按熟化时间下食材，最后放叶菜，清淡调味；红薯另煮熟或蒸好后同餐食用。四季豆必须充分煮熟，不要生脆。</x:v>
      </x:c>
      <x:c r="M86" t="n">
        <x:v>30</x:v>
      </x:c>
      <x:c r="N86" t="n">
        <x:f>ROUND(SUM('食材明细'!H506:H511),0)</x:f>
        <x:v>490</x:v>
      </x:c>
      <x:c r="O86" t="n">
        <x:f>ROUND(SUM('食材明细'!J506:J511),1)</x:f>
        <x:v>44.2</x:v>
      </x:c>
      <x:c r="P86" t="n">
        <x:f>ROUND(SUM('食材明细'!L506:L511),1)</x:f>
        <x:v>49.6</x:v>
      </x:c>
      <x:c r="Q86" t="n">
        <x:f>ROUND(SUM('食材明细'!N506:N511),1)</x:f>
        <x:v>14.7</x:v>
      </x:c>
      <x:c r="R86" s="10" t="str">
        <x:v>调料尽量低盐，不加白砂糖；油重已计入热量。</x:v>
      </x:c>
    </x:row>
    <x:row r="87" ht="37" customHeight="1">
      <x:c r="A87" t="n">
        <x:v>86</x:v>
      </x:c>
      <x:c r="B87" t="n">
        <x:v>43</x:v>
      </x:c>
      <x:c r="C87" t="n">
        <x:v>7</x:v>
      </x:c>
      <x:c r="D87" t="str">
        <x:v>晚餐</x:v>
      </x:c>
      <x:c r="E87" t="str">
        <x:v>牛肉</x:v>
      </x:c>
      <x:c r="F87" s="10" t="str">
        <x:v>葱姜清蒸瘦牛肉配娃娃菜白萝卜｜藜麦饭</x:v>
      </x:c>
      <x:c r="G87" s="10" t="str">
        <x:v>瘦牛肉145g、娃娃菜160g、白萝卜155g、藜麦饭125g、烹调油5g</x:v>
      </x:c>
      <x:c r="H87" t="str">
        <x:v>藜麦饭</x:v>
      </x:c>
      <x:c r="I87" s="10" t="str">
        <x:v>低主食需求可将主食减1/3，另加100g非淀粉蔬菜（营养值需重算）</x:v>
      </x:c>
      <x:c r="J87" s="10" t="str">
        <x:v>葱姜、少量低盐生抽</x:v>
      </x:c>
      <x:c r="K87" t="str">
        <x:v>蒸</x:v>
      </x:c>
      <x:c r="L87" s="10" t="str">
        <x:v>切片腌5分钟；肉和配菜入盘，蒸至熟透；淋葱姜汁；藜麦饭另煮熟或蒸好后同餐食用。</x:v>
      </x:c>
      <x:c r="M87" t="n">
        <x:v>15</x:v>
      </x:c>
      <x:c r="N87" t="n">
        <x:f>ROUND(SUM('食材明细'!H512:H517),0)</x:f>
        <x:v>431</x:v>
      </x:c>
      <x:c r="O87" t="n">
        <x:f>ROUND(SUM('食材明细'!J512:J517),1)</x:f>
        <x:v>39</x:v>
      </x:c>
      <x:c r="P87" t="n">
        <x:f>ROUND(SUM('食材明细'!L512:L517),1)</x:f>
        <x:v>37.6</x:v>
      </x:c>
      <x:c r="Q87" t="n">
        <x:f>ROUND(SUM('食材明细'!N512:N517),1)</x:f>
        <x:v>13.7</x:v>
      </x:c>
      <x:c r="R87" s="10" t="str">
        <x:v>调料尽量低盐，不加白砂糖；油重已计入热量。</x:v>
      </x:c>
    </x:row>
    <x:row r="88" ht="37" customHeight="1">
      <x:c r="A88" t="n">
        <x:v>87</x:v>
      </x:c>
      <x:c r="B88" t="n">
        <x:v>44</x:v>
      </x:c>
      <x:c r="C88" t="n">
        <x:v>7</x:v>
      </x:c>
      <x:c r="D88" t="str">
        <x:v>午餐</x:v>
      </x:c>
      <x:c r="E88" t="str">
        <x:v>鱼类</x:v>
      </x:c>
      <x:c r="F88" s="10" t="str">
        <x:v>酸汤鳕鱼配大白菜香菇｜乌冬面</x:v>
      </x:c>
      <x:c r="G88" s="10" t="str">
        <x:v>鳕鱼200g、大白菜190g、香菇125g、乌冬面135g、烹调油6g</x:v>
      </x:c>
      <x:c r="H88" t="str">
        <x:v>乌冬面</x:v>
      </x:c>
      <x:c r="I88" s="10" t="str">
        <x:v>低主食需求可将主食减1/3，另加100g非淀粉蔬菜（营养值需重算）</x:v>
      </x:c>
      <x:c r="J88" s="10" t="str">
        <x:v>米醋、番茄、少许辣椒</x:v>
      </x:c>
      <x:c r="K88" t="str">
        <x:v>水煮</x:v>
      </x:c>
      <x:c r="L88" s="10" t="str">
        <x:v>鱼肉去刺，彻底做熟；番茄煮成酸汤，主食材汆熟，加入蔬菜再煮2～5分钟；面/魔芋丝煮熟后与菜合碗。</x:v>
      </x:c>
      <x:c r="M88" t="n">
        <x:v>15</x:v>
      </x:c>
      <x:c r="N88" t="n">
        <x:f>ROUND(SUM('食材明细'!H518:H523),0)</x:f>
        <x:v>461</x:v>
      </x:c>
      <x:c r="O88" t="n">
        <x:f>ROUND(SUM('食材明细'!J518:J523),1)</x:f>
        <x:v>45</x:v>
      </x:c>
      <x:c r="P88" t="n">
        <x:f>ROUND(SUM('食材明细'!L518:L523),1)</x:f>
        <x:v>48.3</x:v>
      </x:c>
      <x:c r="Q88" t="n">
        <x:f>ROUND(SUM('食材明细'!N518:N523),1)</x:f>
        <x:v>9.2</x:v>
      </x:c>
      <x:c r="R88" s="10" t="str">
        <x:v>调料尽量低盐，不加白砂糖；油重已计入热量。</x:v>
      </x:c>
    </x:row>
    <x:row r="89" ht="37" customHeight="1">
      <x:c r="A89" t="n">
        <x:v>88</x:v>
      </x:c>
      <x:c r="B89" t="n">
        <x:v>44</x:v>
      </x:c>
      <x:c r="C89" t="n">
        <x:v>7</x:v>
      </x:c>
      <x:c r="D89" t="str">
        <x:v>晚餐</x:v>
      </x:c>
      <x:c r="E89" t="str">
        <x:v>牛肉</x:v>
      </x:c>
      <x:c r="F89" s="10" t="str">
        <x:v>蚝香牛腱子配苦瓜胡萝卜｜糙米饭</x:v>
      </x:c>
      <x:c r="G89" s="10" t="str">
        <x:v>牛腱子170g、苦瓜160g、胡萝卜155g、糙米饭80g、烹调油5g</x:v>
      </x:c>
      <x:c r="H89" t="str">
        <x:v>糙米饭</x:v>
      </x:c>
      <x:c r="I89" s="10" t="str">
        <x:v>低主食需求可将主食减1/3，另加100g非淀粉蔬菜（营养值需重算）</x:v>
      </x:c>
      <x:c r="J89" s="10" t="str">
        <x:v>低钠蚝油少量、姜蒜</x:v>
      </x:c>
      <x:c r="K89" t="str">
        <x:v>少油烩</x:v>
      </x:c>
      <x:c r="L89" s="10" t="str">
        <x:v>主食材和蔬菜少油少水烩熟，起锅前点少量蚝油；糙米饭另煮熟或蒸好后同餐食用。</x:v>
      </x:c>
      <x:c r="M89" t="n">
        <x:v>25</x:v>
      </x:c>
      <x:c r="N89" t="n">
        <x:f>ROUND(SUM('食材明细'!H524:H529),0)</x:f>
        <x:v>467</x:v>
      </x:c>
      <x:c r="O89" t="n">
        <x:f>ROUND(SUM('食材明细'!J524:J529),1)</x:f>
        <x:v>40.8</x:v>
      </x:c>
      <x:c r="P89" t="n">
        <x:f>ROUND(SUM('食材明细'!L524:L529),1)</x:f>
        <x:v>40.9</x:v>
      </x:c>
      <x:c r="Q89" t="n">
        <x:f>ROUND(SUM('食材明细'!N524:N529),1)</x:f>
        <x:v>16.6</x:v>
      </x:c>
      <x:c r="R89" s="10" t="str">
        <x:v>调料尽量低盐，不加白砂糖；油重已计入热量。</x:v>
      </x:c>
    </x:row>
    <x:row r="90" ht="37" customHeight="1">
      <x:c r="A90" t="n">
        <x:v>89</x:v>
      </x:c>
      <x:c r="B90" t="n">
        <x:v>45</x:v>
      </x:c>
      <x:c r="C90" t="n">
        <x:v>7</x:v>
      </x:c>
      <x:c r="D90" t="str">
        <x:v>午餐</x:v>
      </x:c>
      <x:c r="E90" t="str">
        <x:v>豆蛋</x:v>
      </x:c>
      <x:c r="F90" s="10" t="str">
        <x:v>豉汁鸡蛋虾仁烩丝瓜洋葱｜紫薯</x:v>
      </x:c>
      <x:c r="G90" s="10" t="str">
        <x:v>鸡蛋120g、虾仁85g、丝瓜175g、洋葱125g、紫薯135g、烹调油3g</x:v>
      </x:c>
      <x:c r="H90" t="str">
        <x:v>紫薯</x:v>
      </x:c>
      <x:c r="I90" s="10" t="str">
        <x:v>想减主食可减到原量2/3，另加100g绿叶菜</x:v>
      </x:c>
      <x:c r="J90" s="10" t="str">
        <x:v>少量豆豉、姜末</x:v>
      </x:c>
      <x:c r="K90" t="str">
        <x:v>蒸</x:v>
      </x:c>
      <x:c r="L90" s="10" t="str">
        <x:v>鸡蛋先打散成蛋液；豆豉冲洗剁碎，与姜末拌主食材后蒸熟；蔬菜另煮；紫薯另煮熟或蒸好后同餐食用。</x:v>
      </x:c>
      <x:c r="M90" t="n">
        <x:v>20</x:v>
      </x:c>
      <x:c r="N90" t="n">
        <x:f>ROUND(SUM('食材明细'!H530:H535),0)</x:f>
        <x:v>490</x:v>
      </x:c>
      <x:c r="O90" t="n">
        <x:f>ROUND(SUM('食材明细'!J530:J535),1)</x:f>
        <x:v>37</x:v>
      </x:c>
      <x:c r="P90" t="n">
        <x:f>ROUND(SUM('食材明细'!L530:L535),1)</x:f>
        <x:v>50</x:v>
      </x:c>
      <x:c r="Q90" t="n">
        <x:f>ROUND(SUM('食材明细'!N530:N535),1)</x:f>
        <x:v>16.6</x:v>
      </x:c>
      <x:c r="R90" s="10" t="str">
        <x:v>调料尽量低盐，不加白砂糖；油重已计入热量。</x:v>
      </x:c>
    </x:row>
    <x:row r="91" ht="37" customHeight="1">
      <x:c r="A91" t="n">
        <x:v>90</x:v>
      </x:c>
      <x:c r="B91" t="n">
        <x:v>45</x:v>
      </x:c>
      <x:c r="C91" t="n">
        <x:v>7</x:v>
      </x:c>
      <x:c r="D91" t="str">
        <x:v>晚餐</x:v>
      </x:c>
      <x:c r="E91" t="str">
        <x:v>豆蛋</x:v>
      </x:c>
      <x:c r="F91" s="10" t="str">
        <x:v>剁椒嫩豆腐鸡蛋烩荷兰豆番茄｜乌冬面</x:v>
      </x:c>
      <x:c r="G91" s="10" t="str">
        <x:v>嫩豆腐260g、鸡蛋85g、荷兰豆140g、番茄155g、乌冬面80g、烹调油5g</x:v>
      </x:c>
      <x:c r="H91" t="str">
        <x:v>乌冬面</x:v>
      </x:c>
      <x:c r="I91" s="10" t="str">
        <x:v>低主食需求可将主食减1/3，另加100g非淀粉蔬菜（营养值需重算）</x:v>
      </x:c>
      <x:c r="J91" s="10" t="str">
        <x:v>自制低盐剁椒、蒜</x:v>
      </x:c>
      <x:c r="K91" t="str">
        <x:v>蒸</x:v>
      </x:c>
      <x:c r="L91" s="10" t="str">
        <x:v>主食材铺少量低盐剁椒蒸熟，配菜焯熟后摆盘；面/魔芋丝煮熟后与菜合碗。</x:v>
      </x:c>
      <x:c r="M91" t="n">
        <x:v>25</x:v>
      </x:c>
      <x:c r="N91" t="n">
        <x:f>ROUND(SUM('食材明细'!H536:H541),0)</x:f>
        <x:v>496</x:v>
      </x:c>
      <x:c r="O91" t="n">
        <x:f>ROUND(SUM('食材明细'!J536:J541),1)</x:f>
        <x:v>31.4</x:v>
      </x:c>
      <x:c r="P91" t="n">
        <x:f>ROUND(SUM('食材明细'!L536:L541),1)</x:f>
        <x:v>42.8</x:v>
      </x:c>
      <x:c r="Q91" t="n">
        <x:f>ROUND(SUM('食材明细'!N536:N541),1)</x:f>
        <x:v>22</x:v>
      </x:c>
      <x:c r="R91" s="10" t="str">
        <x:v>调料尽量低盐，不加白砂糖；油重已计入热量。</x:v>
      </x:c>
    </x:row>
    <x:row r="92" ht="37" customHeight="1">
      <x:c r="A92" t="n">
        <x:v>91</x:v>
      </x:c>
      <x:c r="B92" t="n">
        <x:v>46</x:v>
      </x:c>
      <x:c r="C92" t="n">
        <x:v>7</x:v>
      </x:c>
      <x:c r="D92" t="str">
        <x:v>午餐</x:v>
      </x:c>
      <x:c r="E92" t="str">
        <x:v>禽肉</x:v>
      </x:c>
      <x:c r="F92" s="10" t="str">
        <x:v>葱姜清蒸去皮鸡腿肉配娃娃菜绿豆芽｜荞麦饭</x:v>
      </x:c>
      <x:c r="G92" s="10" t="str">
        <x:v>去皮鸡腿肉165g、娃娃菜190g、绿豆芽140g、荞麦饭150g、烹调油3g</x:v>
      </x:c>
      <x:c r="H92" t="str">
        <x:v>荞麦饭</x:v>
      </x:c>
      <x:c r="I92" s="10" t="str">
        <x:v>低主食需求可将主食减1/3，另加100g非淀粉蔬菜（营养值需重算）</x:v>
      </x:c>
      <x:c r="J92" s="10" t="str">
        <x:v>葱姜、少量低盐生抽</x:v>
      </x:c>
      <x:c r="K92" t="str">
        <x:v>蒸</x:v>
      </x:c>
      <x:c r="L92" s="10" t="str">
        <x:v>先去皮去骨并切薄，充分加热；切片腌5分钟；肉和配菜入盘，蒸至熟透；淋葱姜汁；荞麦饭另煮熟或蒸好后同餐食用。</x:v>
      </x:c>
      <x:c r="M92" t="n">
        <x:v>20</x:v>
      </x:c>
      <x:c r="N92" t="n">
        <x:f>ROUND(SUM('食材明细'!H542:H547),0)</x:f>
        <x:v>474</x:v>
      </x:c>
      <x:c r="O92" t="n">
        <x:f>ROUND(SUM('食材明细'!J542:J547),1)</x:f>
        <x:v>44.8</x:v>
      </x:c>
      <x:c r="P92" t="n">
        <x:f>ROUND(SUM('食材明细'!L542:L547),1)</x:f>
        <x:v>47.1</x:v>
      </x:c>
      <x:c r="Q92" t="n">
        <x:f>ROUND(SUM('食材明细'!N542:N547),1)</x:f>
        <x:v>13.6</x:v>
      </x:c>
      <x:c r="R92" s="10" t="str">
        <x:v>调料尽量低盐，不加白砂糖；油重已计入热量。</x:v>
      </x:c>
    </x:row>
    <x:row r="93" ht="37" customHeight="1">
      <x:c r="A93" t="n">
        <x:v>92</x:v>
      </x:c>
      <x:c r="B93" t="n">
        <x:v>46</x:v>
      </x:c>
      <x:c r="C93" t="n">
        <x:v>7</x:v>
      </x:c>
      <x:c r="D93" t="str">
        <x:v>晚餐</x:v>
      </x:c>
      <x:c r="E93" t="str">
        <x:v>鱼类</x:v>
      </x:c>
      <x:c r="F93" s="10" t="str">
        <x:v>蒜香鲈鱼配紫甘蓝彩椒｜荞麦面</x:v>
      </x:c>
      <x:c r="G93" s="10" t="str">
        <x:v>鲈鱼215g、紫甘蓝140g、彩椒125g、荞麦面80g、烹调油5g</x:v>
      </x:c>
      <x:c r="H93" t="str">
        <x:v>荞麦面</x:v>
      </x:c>
      <x:c r="I93" s="10" t="str">
        <x:v>低主食需求可将主食减1/3，另加100g非淀粉蔬菜（营养值需重算）</x:v>
      </x:c>
      <x:c r="J93" s="10" t="str">
        <x:v>蒜末、白胡椒</x:v>
      </x:c>
      <x:c r="K93" t="str">
        <x:v>蒸</x:v>
      </x:c>
      <x:c r="L93" s="10" t="str">
        <x:v>鱼肉去刺，彻底做熟；食材切块，撒蒜末；上锅蒸熟，蔬菜另焯后拌匀；面/魔芋丝煮熟后与菜合碗。</x:v>
      </x:c>
      <x:c r="M93" t="n">
        <x:v>25</x:v>
      </x:c>
      <x:c r="N93" t="n">
        <x:f>ROUND(SUM('食材明细'!H548:H553),0)</x:f>
        <x:v>432</x:v>
      </x:c>
      <x:c r="O93" t="n">
        <x:f>ROUND(SUM('食材明细'!J548:J553),1)</x:f>
        <x:v>47.3</x:v>
      </x:c>
      <x:c r="P93" t="n">
        <x:f>ROUND(SUM('食材明细'!L548:L553),1)</x:f>
        <x:v>34.7</x:v>
      </x:c>
      <x:c r="Q93" t="n">
        <x:f>ROUND(SUM('食材明细'!N548:N553),1)</x:f>
        <x:v>12.4</x:v>
      </x:c>
      <x:c r="R93" s="10" t="str">
        <x:v>调料尽量低盐，不加白砂糖；油重已计入热量。</x:v>
      </x:c>
    </x:row>
    <x:row r="94" ht="37" customHeight="1">
      <x:c r="A94" t="n">
        <x:v>93</x:v>
      </x:c>
      <x:c r="B94" t="n">
        <x:v>47</x:v>
      </x:c>
      <x:c r="C94" t="n">
        <x:v>7</x:v>
      </x:c>
      <x:c r="D94" t="str">
        <x:v>午餐</x:v>
      </x:c>
      <x:c r="E94" t="str">
        <x:v>牛肉</x:v>
      </x:c>
      <x:c r="F94" s="10" t="str">
        <x:v>香醋瘦牛肉配娃娃菜丝瓜｜山药</x:v>
      </x:c>
      <x:c r="G94" s="10" t="str">
        <x:v>瘦牛肉155g、娃娃菜190g、丝瓜140g、山药140g、烹调油3g</x:v>
      </x:c>
      <x:c r="H94" t="str">
        <x:v>山药</x:v>
      </x:c>
      <x:c r="I94" s="10" t="str">
        <x:v>想减主食可减到原量2/3，另加100g绿叶菜</x:v>
      </x:c>
      <x:c r="J94" s="10" t="str">
        <x:v>香醋、蒜末、少量生抽</x:v>
      </x:c>
      <x:c r="K94" t="str">
        <x:v>水煮</x:v>
      </x:c>
      <x:c r="L94" s="10" t="str">
        <x:v>食材分别煮至熟，淋香醋蒜汁，拌匀即食；山药另煮熟或蒸好后同餐食用。</x:v>
      </x:c>
      <x:c r="M94" t="n">
        <x:v>30</x:v>
      </x:c>
      <x:c r="N94" t="n">
        <x:f>ROUND(SUM('食材明细'!H554:H559),0)</x:f>
        <x:v>368</x:v>
      </x:c>
      <x:c r="O94" t="n">
        <x:f>ROUND(SUM('食材明细'!J554:J559),1)</x:f>
        <x:v>38.5</x:v>
      </x:c>
      <x:c r="P94" t="n">
        <x:f>ROUND(SUM('食材明细'!L554:L559),1)</x:f>
        <x:v>31</x:v>
      </x:c>
      <x:c r="Q94" t="n">
        <x:f>ROUND(SUM('食材明细'!N554:N559),1)</x:f>
        <x:v>10</x:v>
      </x:c>
      <x:c r="R94" s="10" t="str">
        <x:v>调料尽量低盐，不加白砂糖；油重已计入热量。</x:v>
      </x:c>
    </x:row>
    <x:row r="95" ht="37" customHeight="1">
      <x:c r="A95" t="n">
        <x:v>94</x:v>
      </x:c>
      <x:c r="B95" t="n">
        <x:v>47</x:v>
      </x:c>
      <x:c r="C95" t="n">
        <x:v>7</x:v>
      </x:c>
      <x:c r="D95" t="str">
        <x:v>晚餐</x:v>
      </x:c>
      <x:c r="E95" t="str">
        <x:v>鱼类</x:v>
      </x:c>
      <x:c r="F95" s="10" t="str">
        <x:v>椒麻鳕鱼配油麦菜西兰花｜荞麦饭</x:v>
      </x:c>
      <x:c r="G95" s="10" t="str">
        <x:v>鳕鱼200g、油麦菜175g、西兰花155g、荞麦饭135g、烹调油5g</x:v>
      </x:c>
      <x:c r="H95" t="str">
        <x:v>荞麦饭</x:v>
      </x:c>
      <x:c r="I95" s="10" t="str">
        <x:v>低主食需求可将主食减1/3，另加100g非淀粉蔬菜（营养值需重算）</x:v>
      </x:c>
      <x:c r="J95" s="10" t="str">
        <x:v>花椒、蒜、少量醋</x:v>
      </x:c>
      <x:c r="K95" t="str">
        <x:v>水煮</x:v>
      </x:c>
      <x:c r="L95" s="10" t="str">
        <x:v>鱼肉去刺，彻底做熟；花椒温水浸出味道，煮熟主食材和配菜，少油拌汁；荞麦饭另煮熟或蒸好后同餐食用。</x:v>
      </x:c>
      <x:c r="M95" t="n">
        <x:v>25</x:v>
      </x:c>
      <x:c r="N95" t="n">
        <x:f>ROUND(SUM('食材明细'!H560:H565),0)</x:f>
        <x:v>448</x:v>
      </x:c>
      <x:c r="O95" t="n">
        <x:f>ROUND(SUM('食材明细'!J560:J565),1)</x:f>
        <x:v>47.4</x:v>
      </x:c>
      <x:c r="P95" t="n">
        <x:f>ROUND(SUM('食材明细'!L560:L565),1)</x:f>
        <x:v>46</x:v>
      </x:c>
      <x:c r="Q95" t="n">
        <x:f>ROUND(SUM('食材明细'!N560:N565),1)</x:f>
        <x:v>9.1</x:v>
      </x:c>
      <x:c r="R95" s="10" t="str">
        <x:v>调料尽量低盐，不加白砂糖；油重已计入热量。</x:v>
      </x:c>
    </x:row>
    <x:row r="96" ht="37" customHeight="1">
      <x:c r="A96" t="n">
        <x:v>95</x:v>
      </x:c>
      <x:c r="B96" t="n">
        <x:v>48</x:v>
      </x:c>
      <x:c r="C96" t="n">
        <x:v>7</x:v>
      </x:c>
      <x:c r="D96" t="str">
        <x:v>午餐</x:v>
      </x:c>
      <x:c r="E96" t="str">
        <x:v>鱼类</x:v>
      </x:c>
      <x:c r="F96" s="10" t="str">
        <x:v>剁椒鳕鱼配彩椒丝瓜｜杂粮饭</x:v>
      </x:c>
      <x:c r="G96" s="10" t="str">
        <x:v>鳕鱼215g、彩椒160g、丝瓜125g、杂粮饭125g、烹调油6g</x:v>
      </x:c>
      <x:c r="H96" t="str">
        <x:v>杂粮饭</x:v>
      </x:c>
      <x:c r="I96" s="10" t="str">
        <x:v>低主食需求可将主食减1/3，另加100g非淀粉蔬菜（营养值需重算）</x:v>
      </x:c>
      <x:c r="J96" s="10" t="str">
        <x:v>自制低盐剁椒、蒜</x:v>
      </x:c>
      <x:c r="K96" t="str">
        <x:v>蒸</x:v>
      </x:c>
      <x:c r="L96" s="10" t="str">
        <x:v>鱼肉去刺，彻底做熟；主食材铺少量低盐剁椒蒸熟，配菜焯熟后摆盘；杂粮饭另煮熟或蒸好后同餐食用。</x:v>
      </x:c>
      <x:c r="M96" t="n">
        <x:v>20</x:v>
      </x:c>
      <x:c r="N96" t="n">
        <x:f>ROUND(SUM('食材明细'!H566:H571),0)</x:f>
        <x:v>449</x:v>
      </x:c>
      <x:c r="O96" t="n">
        <x:f>ROUND(SUM('食材明细'!J566:J571),1)</x:f>
        <x:v>45.4</x:v>
      </x:c>
      <x:c r="P96" t="n">
        <x:f>ROUND(SUM('食材明细'!L566:L571),1)</x:f>
        <x:v>44.1</x:v>
      </x:c>
      <x:c r="Q96" t="n">
        <x:f>ROUND(SUM('食材明细'!N566:N571),1)</x:f>
        <x:v>9.7</x:v>
      </x:c>
      <x:c r="R96" s="10" t="str">
        <x:v>调料尽量低盐，不加白砂糖；油重已计入热量。</x:v>
      </x:c>
    </x:row>
    <x:row r="97" ht="37" customHeight="1">
      <x:c r="A97" t="n">
        <x:v>96</x:v>
      </x:c>
      <x:c r="B97" t="n">
        <x:v>48</x:v>
      </x:c>
      <x:c r="C97" t="n">
        <x:v>7</x:v>
      </x:c>
      <x:c r="D97" t="str">
        <x:v>晚餐</x:v>
      </x:c>
      <x:c r="E97" t="str">
        <x:v>海鲜</x:v>
      </x:c>
      <x:c r="F97" s="10" t="str">
        <x:v>黑椒虾仁配白萝卜小白菜｜山药</x:v>
      </x:c>
      <x:c r="G97" s="10" t="str">
        <x:v>虾仁160g、白萝卜140g、小白菜110g、山药180g、烹调油6g</x:v>
      </x:c>
      <x:c r="H97" t="str">
        <x:v>山药</x:v>
      </x:c>
      <x:c r="I97" s="10" t="str">
        <x:v>想减主食可减到原量2/3，另加100g绿叶菜</x:v>
      </x:c>
      <x:c r="J97" s="10" t="str">
        <x:v>黑胡椒、蒜末</x:v>
      </x:c>
      <x:c r="K97" t="str">
        <x:v>少油烩</x:v>
      </x:c>
      <x:c r="L97" s="10" t="str">
        <x:v>锅加少量水和油，先把主食材煮熟，再烩两种蔬菜，收汁撒黑椒；山药另煮熟或蒸好后同餐食用。</x:v>
      </x:c>
      <x:c r="M97" t="n">
        <x:v>25</x:v>
      </x:c>
      <x:c r="N97" t="n">
        <x:f>ROUND(SUM('食材明细'!H572:H577),0)</x:f>
        <x:v>354</x:v>
      </x:c>
      <x:c r="O97" t="n">
        <x:f>ROUND(SUM('食材明细'!J572:J577),1)</x:f>
        <x:v>35.7</x:v>
      </x:c>
      <x:c r="P97" t="n">
        <x:f>ROUND(SUM('食材明细'!L572:L577),1)</x:f>
        <x:v>34.7</x:v>
      </x:c>
      <x:c r="Q97" t="n">
        <x:f>ROUND(SUM('食材明细'!N572:N577),1)</x:f>
        <x:v>8.3</x:v>
      </x:c>
      <x:c r="R97" s="10" t="str">
        <x:v>调料尽量低盐，不加白砂糖；油重已计入热量。</x:v>
      </x:c>
    </x:row>
    <x:row r="98" ht="37" customHeight="1">
      <x:c r="A98" t="n">
        <x:v>97</x:v>
      </x:c>
      <x:c r="B98" t="n">
        <x:v>49</x:v>
      </x:c>
      <x:c r="C98" t="n">
        <x:v>7</x:v>
      </x:c>
      <x:c r="D98" t="str">
        <x:v>午餐</x:v>
      </x:c>
      <x:c r="E98" t="str">
        <x:v>牛肉</x:v>
      </x:c>
      <x:c r="F98" s="10" t="str">
        <x:v>豉汁牛里脊配花菜彩椒｜糙米饭</x:v>
      </x:c>
      <x:c r="G98" s="10" t="str">
        <x:v>牛里脊155g、花菜160g、彩椒125g、糙米饭110g、烹调油5g</x:v>
      </x:c>
      <x:c r="H98" t="str">
        <x:v>糙米饭</x:v>
      </x:c>
      <x:c r="I98" s="10" t="str">
        <x:v>低主食需求可将主食减1/3，另加100g非淀粉蔬菜（营养值需重算）</x:v>
      </x:c>
      <x:c r="J98" s="10" t="str">
        <x:v>少量豆豉、姜末</x:v>
      </x:c>
      <x:c r="K98" t="str">
        <x:v>蒸</x:v>
      </x:c>
      <x:c r="L98" s="10" t="str">
        <x:v>豆豉冲洗剁碎，与姜末拌主食材后蒸熟；蔬菜另煮；糙米饭另煮熟或蒸好后同餐食用。</x:v>
      </x:c>
      <x:c r="M98" t="n">
        <x:v>25</x:v>
      </x:c>
      <x:c r="N98" t="n">
        <x:f>ROUND(SUM('食材明细'!H578:H583),0)</x:f>
        <x:v>443</x:v>
      </x:c>
      <x:c r="O98" t="n">
        <x:f>ROUND(SUM('食材明细'!J578:J583),1)</x:f>
        <x:v>39.9</x:v>
      </x:c>
      <x:c r="P98" t="n">
        <x:f>ROUND(SUM('食材明细'!L578:L583),1)</x:f>
        <x:v>41.5</x:v>
      </x:c>
      <x:c r="Q98" t="n">
        <x:f>ROUND(SUM('食材明细'!N578:N583),1)</x:f>
        <x:v>14.2</x:v>
      </x:c>
      <x:c r="R98" s="10" t="str">
        <x:v>调料尽量低盐，不加白砂糖；油重已计入热量。</x:v>
      </x:c>
    </x:row>
    <x:row r="99" ht="37" customHeight="1">
      <x:c r="A99" t="n">
        <x:v>98</x:v>
      </x:c>
      <x:c r="B99" t="n">
        <x:v>49</x:v>
      </x:c>
      <x:c r="C99" t="n">
        <x:v>7</x:v>
      </x:c>
      <x:c r="D99" t="str">
        <x:v>晚餐</x:v>
      </x:c>
      <x:c r="E99" t="str">
        <x:v>禽肉</x:v>
      </x:c>
      <x:c r="F99" s="10" t="str">
        <x:v>剁椒鸡胸肉配紫甘蓝杏鲍菇｜藜麦饭</x:v>
      </x:c>
      <x:c r="G99" s="10" t="str">
        <x:v>鸡胸肉160g、嫩豆腐110g、紫甘蓝175g、杏鲍菇110g、藜麦饭135g、烹调油4g</x:v>
      </x:c>
      <x:c r="H99" t="str">
        <x:v>藜麦饭</x:v>
      </x:c>
      <x:c r="I99" s="10" t="str">
        <x:v>低主食需求可将主食减1/3，另加100g非淀粉蔬菜（营养值需重算）</x:v>
      </x:c>
      <x:c r="J99" s="10" t="str">
        <x:v>自制低盐剁椒、蒜</x:v>
      </x:c>
      <x:c r="K99" t="str">
        <x:v>蒸</x:v>
      </x:c>
      <x:c r="L99" s="10" t="str">
        <x:v>主食材铺少量低盐剁椒蒸熟，配菜焯熟后摆盘；藜麦饭另煮熟或蒸好后同餐食用。</x:v>
      </x:c>
      <x:c r="M99" t="n">
        <x:v>20</x:v>
      </x:c>
      <x:c r="N99" t="n">
        <x:f>ROUND(SUM('食材明细'!H584:H589),0)</x:f>
        <x:v>527</x:v>
      </x:c>
      <x:c r="O99" t="n">
        <x:f>ROUND(SUM('食材明细'!J584:J589),1)</x:f>
        <x:v>52.9</x:v>
      </x:c>
      <x:c r="P99" t="n">
        <x:f>ROUND(SUM('食材明细'!L584:L589),1)</x:f>
        <x:v>51.9</x:v>
      </x:c>
      <x:c r="Q99" t="n">
        <x:f>ROUND(SUM('食材明细'!N584:N589),1)</x:f>
        <x:v>13.4</x:v>
      </x:c>
      <x:c r="R99" s="10" t="str">
        <x:v>调料尽量低盐，不加白砂糖；油重已计入热量。</x:v>
      </x:c>
    </x:row>
    <x:row r="100" ht="37" customHeight="1">
      <x:c r="A100" t="n">
        <x:v>99</x:v>
      </x:c>
      <x:c r="B100" t="n">
        <x:v>50</x:v>
      </x:c>
      <x:c r="C100" t="n">
        <x:v>8</x:v>
      </x:c>
      <x:c r="D100" t="str">
        <x:v>午餐</x:v>
      </x:c>
      <x:c r="E100" t="str">
        <x:v>豆蛋</x:v>
      </x:c>
      <x:c r="F100" s="10" t="str">
        <x:v>豉汁北豆腐鸡蛋烩冬瓜泡发木耳｜山药</x:v>
      </x:c>
      <x:c r="G100" s="10" t="str">
        <x:v>北豆腐260g、鸡蛋85g、冬瓜190g、泡发木耳155g、山药110g、烹调油4g</x:v>
      </x:c>
      <x:c r="H100" t="str">
        <x:v>山药</x:v>
      </x:c>
      <x:c r="I100" s="10" t="str">
        <x:v>想减主食可减到原量2/3，另加100g绿叶菜</x:v>
      </x:c>
      <x:c r="J100" s="10" t="str">
        <x:v>少量豆豉、姜末</x:v>
      </x:c>
      <x:c r="K100" t="str">
        <x:v>蒸</x:v>
      </x:c>
      <x:c r="L100" s="10" t="str">
        <x:v>豆豉冲洗剁碎，与姜末拌主食材后蒸熟；蔬菜另煮；山药另煮熟或蒸好后同餐食用。</x:v>
      </x:c>
      <x:c r="M100" t="n">
        <x:v>25</x:v>
      </x:c>
      <x:c r="N100" t="n">
        <x:f>ROUND(SUM('食材明细'!H590:H595),0)</x:f>
        <x:v>524</x:v>
      </x:c>
      <x:c r="O100" t="n">
        <x:f>ROUND(SUM('食材明细'!J590:J595),1)</x:f>
        <x:v>41.8</x:v>
      </x:c>
      <x:c r="P100" t="n">
        <x:f>ROUND(SUM('食材明细'!L590:L595),1)</x:f>
        <x:v>36.7</x:v>
      </x:c>
      <x:c r="Q100" t="n">
        <x:f>ROUND(SUM('食材明细'!N590:N595),1)</x:f>
        <x:v>26.2</x:v>
      </x:c>
      <x:c r="R100" s="10" t="str">
        <x:v>调料尽量低盐，不加白砂糖；油重已计入热量。</x:v>
      </x:c>
    </x:row>
    <x:row r="101" ht="37" customHeight="1">
      <x:c r="A101" t="n">
        <x:v>100</x:v>
      </x:c>
      <x:c r="B101" t="n">
        <x:v>50</x:v>
      </x:c>
      <x:c r="C101" t="n">
        <x:v>8</x:v>
      </x:c>
      <x:c r="D101" t="str">
        <x:v>晚餐</x:v>
      </x:c>
      <x:c r="E101" t="str">
        <x:v>海鲜</x:v>
      </x:c>
      <x:c r="F101" s="10" t="str">
        <x:v>清汤虾仁配苦瓜芦笋｜杂粮饭</x:v>
      </x:c>
      <x:c r="G101" s="10" t="str">
        <x:v>虾仁160g、苦瓜140g、芦笋110g、杂粮饭120g、烹调油4g</x:v>
      </x:c>
      <x:c r="H101" t="str">
        <x:v>杂粮饭</x:v>
      </x:c>
      <x:c r="I101" s="10" t="str">
        <x:v>低主食需求可将主食减1/3，另加100g非淀粉蔬菜（营养值需重算）</x:v>
      </x:c>
      <x:c r="J101" s="10" t="str">
        <x:v>葱段、盐少量</x:v>
      </x:c>
      <x:c r="K101" t="str">
        <x:v>煮</x:v>
      </x:c>
      <x:c r="L101" s="10" t="str">
        <x:v>清水煮开，按熟化时间下食材，最后放叶菜，清淡调味；杂粮饭另煮熟或蒸好后同餐食用。</x:v>
      </x:c>
      <x:c r="M101" t="n">
        <x:v>20</x:v>
      </x:c>
      <x:c r="N101" t="n">
        <x:f>ROUND(SUM('食材明细'!H596:H601),0)</x:f>
        <x:v>367</x:v>
      </x:c>
      <x:c r="O101" t="n">
        <x:f>ROUND(SUM('食材明细'!J596:J601),1)</x:f>
        <x:v>37.9</x:v>
      </x:c>
      <x:c r="P101" t="n">
        <x:f>ROUND(SUM('食材明细'!L596:L601),1)</x:f>
        <x:v>38.9</x:v>
      </x:c>
      <x:c r="Q101" t="n">
        <x:f>ROUND(SUM('食材明细'!N596:N601),1)</x:f>
        <x:v>7.5</x:v>
      </x:c>
      <x:c r="R101" s="10" t="str">
        <x:v>调料尽量低盐，不加白砂糖；油重已计入热量。</x:v>
      </x:c>
    </x:row>
    <x:row r="102" ht="37" customHeight="1">
      <x:c r="A102" t="n">
        <x:v>101</x:v>
      </x:c>
      <x:c r="B102" t="n">
        <x:v>51</x:v>
      </x:c>
      <x:c r="C102" t="n">
        <x:v>8</x:v>
      </x:c>
      <x:c r="D102" t="str">
        <x:v>午餐</x:v>
      </x:c>
      <x:c r="E102" t="str">
        <x:v>豆蛋</x:v>
      </x:c>
      <x:c r="F102" s="10" t="str">
        <x:v>剁椒北豆腐鸡蛋烩花菜洋葱｜白米饭</x:v>
      </x:c>
      <x:c r="G102" s="10" t="str">
        <x:v>北豆腐240g、鸡蛋85g、花菜190g、洋葱110g、白米饭110g、烹调油3g</x:v>
      </x:c>
      <x:c r="H102" t="str">
        <x:v>白米饭</x:v>
      </x:c>
      <x:c r="I102" s="10" t="str">
        <x:v>低主食需求可将主食减1/3，另加100g非淀粉蔬菜（营养值需重算）</x:v>
      </x:c>
      <x:c r="J102" s="10" t="str">
        <x:v>自制低盐剁椒、蒜</x:v>
      </x:c>
      <x:c r="K102" t="str">
        <x:v>蒸</x:v>
      </x:c>
      <x:c r="L102" s="10" t="str">
        <x:v>主食材铺少量低盐剁椒蒸熟，配菜焯熟后摆盘；白米饭另煮熟或蒸好后同餐食用。</x:v>
      </x:c>
      <x:c r="M102" t="n">
        <x:v>30</x:v>
      </x:c>
      <x:c r="N102" t="n">
        <x:f>ROUND(SUM('食材明细'!H602:H607),0)</x:f>
        <x:v>585</x:v>
      </x:c>
      <x:c r="O102" t="n">
        <x:f>ROUND(SUM('食材明细'!J602:J607),1)</x:f>
        <x:v>42.9</x:v>
      </x:c>
      <x:c r="P102" t="n">
        <x:f>ROUND(SUM('食材明细'!L602:L607),1)</x:f>
        <x:v>53.6</x:v>
      </x:c>
      <x:c r="Q102" t="n">
        <x:f>ROUND(SUM('食材明细'!N602:N607),1)</x:f>
        <x:v>24.5</x:v>
      </x:c>
      <x:c r="R102" s="10" t="str">
        <x:v>调料尽量低盐，不加白砂糖；油重已计入热量。</x:v>
      </x:c>
    </x:row>
    <x:row r="103" ht="37" customHeight="1">
      <x:c r="A103" t="n">
        <x:v>102</x:v>
      </x:c>
      <x:c r="B103" t="n">
        <x:v>51</x:v>
      </x:c>
      <x:c r="C103" t="n">
        <x:v>8</x:v>
      </x:c>
      <x:c r="D103" t="str">
        <x:v>晚餐</x:v>
      </x:c>
      <x:c r="E103" t="str">
        <x:v>豆蛋</x:v>
      </x:c>
      <x:c r="F103" s="10" t="str">
        <x:v>蒜香鸡蛋嫩豆腐烩芦笋口蘑｜紫薯</x:v>
      </x:c>
      <x:c r="G103" s="10" t="str">
        <x:v>鸡蛋110g、嫩豆腐110g、芦笋190g、口蘑110g、紫薯95g、烹调油5g</x:v>
      </x:c>
      <x:c r="H103" t="str">
        <x:v>紫薯</x:v>
      </x:c>
      <x:c r="I103" s="10" t="str">
        <x:v>想减主食可减到原量2/3，另加100g绿叶菜</x:v>
      </x:c>
      <x:c r="J103" s="10" t="str">
        <x:v>蒜末、白胡椒</x:v>
      </x:c>
      <x:c r="K103" t="str">
        <x:v>蒸</x:v>
      </x:c>
      <x:c r="L103" s="10" t="str">
        <x:v>鸡蛋先打散成蛋液；食材切块，撒蒜末；上锅蒸熟，蔬菜另焯后拌匀；紫薯另煮熟或蒸好后同餐食用。</x:v>
      </x:c>
      <x:c r="M103" t="n">
        <x:v>25</x:v>
      </x:c>
      <x:c r="N103" t="n">
        <x:f>ROUND(SUM('食材明细'!H608:H613),0)</x:f>
        <x:v>416</x:v>
      </x:c>
      <x:c r="O103" t="n">
        <x:f>ROUND(SUM('食材明细'!J608:J613),1)</x:f>
        <x:v>28.9</x:v>
      </x:c>
      <x:c r="P103" t="n">
        <x:f>ROUND(SUM('食材明细'!L608:L613),1)</x:f>
        <x:v>35.3</x:v>
      </x:c>
      <x:c r="Q103" t="n">
        <x:f>ROUND(SUM('食材明细'!N608:N613),1)</x:f>
        <x:v>19.7</x:v>
      </x:c>
      <x:c r="R103" s="10" t="str">
        <x:v>调料尽量低盐，不加白砂糖；油重已计入热量。</x:v>
      </x:c>
    </x:row>
    <x:row r="104" ht="37" customHeight="1">
      <x:c r="A104" t="n">
        <x:v>103</x:v>
      </x:c>
      <x:c r="B104" t="n">
        <x:v>52</x:v>
      </x:c>
      <x:c r="C104" t="n">
        <x:v>8</x:v>
      </x:c>
      <x:c r="D104" t="str">
        <x:v>午餐</x:v>
      </x:c>
      <x:c r="E104" t="str">
        <x:v>猪肉</x:v>
      </x:c>
      <x:c r="F104" s="10" t="str">
        <x:v>蒜香猪里脊配芹菜冬瓜｜红薯</x:v>
      </x:c>
      <x:c r="G104" s="10" t="str">
        <x:v>猪里脊165g、芹菜140g、冬瓜140g、红薯125g、烹调油6g</x:v>
      </x:c>
      <x:c r="H104" t="str">
        <x:v>红薯</x:v>
      </x:c>
      <x:c r="I104" s="10" t="str">
        <x:v>想减主食可减到原量2/3，另加100g绿叶菜</x:v>
      </x:c>
      <x:c r="J104" s="10" t="str">
        <x:v>蒜末、白胡椒</x:v>
      </x:c>
      <x:c r="K104" t="str">
        <x:v>蒸</x:v>
      </x:c>
      <x:c r="L104" s="10" t="str">
        <x:v>食材切块，撒蒜末；上锅蒸熟，蔬菜另焯后拌匀；红薯另煮熟或蒸好后同餐食用。</x:v>
      </x:c>
      <x:c r="M104" t="n">
        <x:v>30</x:v>
      </x:c>
      <x:c r="N104" t="n">
        <x:f>ROUND(SUM('食材明细'!H614:H619),0)</x:f>
        <x:v>404</x:v>
      </x:c>
      <x:c r="O104" t="n">
        <x:f>ROUND(SUM('食材明细'!J614:J619),1)</x:f>
        <x:v>38.6</x:v>
      </x:c>
      <x:c r="P104" t="n">
        <x:f>ROUND(SUM('食材明细'!L614:L619),1)</x:f>
        <x:v>34.7</x:v>
      </x:c>
      <x:c r="Q104" t="n">
        <x:f>ROUND(SUM('食材明细'!N614:N619),1)</x:f>
        <x:v>12.3</x:v>
      </x:c>
      <x:c r="R104" s="10" t="str">
        <x:v>调料尽量低盐，不加白砂糖；油重已计入热量。</x:v>
      </x:c>
    </x:row>
    <x:row r="105" ht="37" customHeight="1">
      <x:c r="A105" t="n">
        <x:v>104</x:v>
      </x:c>
      <x:c r="B105" t="n">
        <x:v>52</x:v>
      </x:c>
      <x:c r="C105" t="n">
        <x:v>8</x:v>
      </x:c>
      <x:c r="D105" t="str">
        <x:v>晚餐</x:v>
      </x:c>
      <x:c r="E105" t="str">
        <x:v>牛肉</x:v>
      </x:c>
      <x:c r="F105" s="10" t="str">
        <x:v>咖喱牛里脊配紫甘蓝金针菇｜白米饭</x:v>
      </x:c>
      <x:c r="G105" s="10" t="str">
        <x:v>牛里脊160g、紫甘蓝175g、金针菇125g、白米饭95g、烹调油6g</x:v>
      </x:c>
      <x:c r="H105" t="str">
        <x:v>白米饭</x:v>
      </x:c>
      <x:c r="I105" s="10" t="str">
        <x:v>低主食需求可将主食减1/3，另加100g非淀粉蔬菜（营养值需重算）</x:v>
      </x:c>
      <x:c r="J105" s="10" t="str">
        <x:v>无加糖咖喱粉、姜末</x:v>
      </x:c>
      <x:c r="K105" t="str">
        <x:v>炖煮</x:v>
      </x:c>
      <x:c r="L105" s="10" t="str">
        <x:v>用咖喱粉而非高脂咖喱块，加水轻炖主食材和蔬菜；白米饭另煮熟或蒸好后同餐食用。</x:v>
      </x:c>
      <x:c r="M105" t="n">
        <x:v>35</x:v>
      </x:c>
      <x:c r="N105" t="n">
        <x:f>ROUND(SUM('食材明细'!H620:H625),0)</x:f>
        <x:v>466</x:v>
      </x:c>
      <x:c r="O105" t="n">
        <x:f>ROUND(SUM('食材明细'!J620:J625),1)</x:f>
        <x:v>41.5</x:v>
      </x:c>
      <x:c r="P105" t="n">
        <x:f>ROUND(SUM('食材明细'!L620:L625),1)</x:f>
        <x:v>45.1</x:v>
      </x:c>
      <x:c r="Q105" t="n">
        <x:f>ROUND(SUM('食材明细'!N620:N625),1)</x:f>
        <x:v>14.4</x:v>
      </x:c>
      <x:c r="R105" s="10" t="str">
        <x:v>调料尽量低盐，不加白砂糖；油重已计入热量。</x:v>
      </x:c>
    </x:row>
    <x:row r="106" ht="37" customHeight="1">
      <x:c r="A106" t="n">
        <x:v>105</x:v>
      </x:c>
      <x:c r="B106" t="n">
        <x:v>53</x:v>
      </x:c>
      <x:c r="C106" t="n">
        <x:v>8</x:v>
      </x:c>
      <x:c r="D106" t="str">
        <x:v>午餐</x:v>
      </x:c>
      <x:c r="E106" t="str">
        <x:v>海鲜</x:v>
      </x:c>
      <x:c r="F106" s="10" t="str">
        <x:v>蒜香花蛤肉配小白菜口蘑｜土豆</x:v>
      </x:c>
      <x:c r="G106" s="10" t="str">
        <x:v>花蛤肉190g、小白菜175g、口蘑125g、土豆155g、烹调油5g</x:v>
      </x:c>
      <x:c r="H106" t="str">
        <x:v>土豆</x:v>
      </x:c>
      <x:c r="I106" s="10" t="str">
        <x:v>想减主食可减到原量2/3，另加100g绿叶菜</x:v>
      </x:c>
      <x:c r="J106" s="10" t="str">
        <x:v>蒜末、白胡椒</x:v>
      </x:c>
      <x:c r="K106" t="str">
        <x:v>蒸</x:v>
      </x:c>
      <x:c r="L106" s="10" t="str">
        <x:v>食材切块，撒蒜末；上锅蒸熟，蔬菜另焯后拌匀；土豆另煮熟或蒸好后同餐食用。</x:v>
      </x:c>
      <x:c r="M106" t="n">
        <x:v>15</x:v>
      </x:c>
      <x:c r="N106" t="n">
        <x:f>ROUND(SUM('食材明细'!H626:H631),0)</x:f>
        <x:v>366</x:v>
      </x:c>
      <x:c r="O106" t="n">
        <x:f>ROUND(SUM('食材明细'!J626:J631),1)</x:f>
        <x:v>34.5</x:v>
      </x:c>
      <x:c r="P106" t="n">
        <x:f>ROUND(SUM('食材明细'!L626:L631),1)</x:f>
        <x:v>42.3</x:v>
      </x:c>
      <x:c r="Q106" t="n">
        <x:f>ROUND(SUM('食材明细'!N626:N631),1)</x:f>
        <x:v>7.8</x:v>
      </x:c>
      <x:c r="R106" s="10" t="str">
        <x:v>调料尽量低盐，不加白砂糖；油重已计入热量。</x:v>
      </x:c>
    </x:row>
    <x:row r="107" ht="37" customHeight="1">
      <x:c r="A107" t="n">
        <x:v>106</x:v>
      </x:c>
      <x:c r="B107" t="n">
        <x:v>53</x:v>
      </x:c>
      <x:c r="C107" t="n">
        <x:v>8</x:v>
      </x:c>
      <x:c r="D107" t="str">
        <x:v>晚餐</x:v>
      </x:c>
      <x:c r="E107" t="str">
        <x:v>海鲜</x:v>
      </x:c>
      <x:c r="F107" s="10" t="str">
        <x:v>蒜香虾仁配小白菜海带｜藜麦饭</x:v>
      </x:c>
      <x:c r="G107" s="10" t="str">
        <x:v>虾仁160g、北豆腐130g、小白菜160g、海带125g、藜麦饭125g、烹调油5g</x:v>
      </x:c>
      <x:c r="H107" t="str">
        <x:v>藜麦饭</x:v>
      </x:c>
      <x:c r="I107" s="10" t="str">
        <x:v>低主食需求可将主食减1/3，另加100g非淀粉蔬菜（营养值需重算）</x:v>
      </x:c>
      <x:c r="J107" s="10" t="str">
        <x:v>蒜末、白胡椒</x:v>
      </x:c>
      <x:c r="K107" t="str">
        <x:v>蒸</x:v>
      </x:c>
      <x:c r="L107" s="10" t="str">
        <x:v>食材切块，撒蒜末；上锅蒸熟，蔬菜另焯后拌匀；藜麦饭另煮熟或蒸好后同餐食用。</x:v>
      </x:c>
      <x:c r="M107" t="n">
        <x:v>15</x:v>
      </x:c>
      <x:c r="N107" t="n">
        <x:f>ROUND(SUM('食材明细'!H632:H637),0)</x:f>
        <x:v>514</x:v>
      </x:c>
      <x:c r="O107" t="n">
        <x:f>ROUND(SUM('食材明细'!J632:J637),1)</x:f>
        <x:v>52.7</x:v>
      </x:c>
      <x:c r="P107" t="n">
        <x:f>ROUND(SUM('食材明细'!L632:L637),1)</x:f>
        <x:v>40.6</x:v>
      </x:c>
      <x:c r="Q107" t="n">
        <x:f>ROUND(SUM('食材明细'!N632:N637),1)</x:f>
        <x:v>16.1</x:v>
      </x:c>
      <x:c r="R107" s="10" t="str">
        <x:v>调料尽量低盐，不加白砂糖；油重已计入热量。</x:v>
      </x:c>
    </x:row>
    <x:row r="108" ht="37" customHeight="1">
      <x:c r="A108" t="n">
        <x:v>107</x:v>
      </x:c>
      <x:c r="B108" t="n">
        <x:v>54</x:v>
      </x:c>
      <x:c r="C108" t="n">
        <x:v>8</x:v>
      </x:c>
      <x:c r="D108" t="str">
        <x:v>午餐</x:v>
      </x:c>
      <x:c r="E108" t="str">
        <x:v>禽肉</x:v>
      </x:c>
      <x:c r="F108" s="10" t="str">
        <x:v>孜然鸡胸肉配白萝卜芦笋｜糙米饭</x:v>
      </x:c>
      <x:c r="G108" s="10" t="str">
        <x:v>鸡胸肉165g、北豆腐110g、白萝卜160g、芦笋125g、糙米饭110g、烹调油3g</x:v>
      </x:c>
      <x:c r="H108" t="str">
        <x:v>糙米饭</x:v>
      </x:c>
      <x:c r="I108" s="10" t="str">
        <x:v>低主食需求可将主食减1/3，另加100g非淀粉蔬菜（营养值需重算）</x:v>
      </x:c>
      <x:c r="J108" s="10" t="str">
        <x:v>孜然、辣椒粉、蒜末</x:v>
      </x:c>
      <x:c r="K108" t="str">
        <x:v>少油焖</x:v>
      </x:c>
      <x:c r="L108" s="10" t="str">
        <x:v>主食材用少量油和水焖熟，下蔬菜翻拌，撒孜然；糙米饭另煮熟或蒸好后同餐食用。</x:v>
      </x:c>
      <x:c r="M108" t="n">
        <x:v>15</x:v>
      </x:c>
      <x:c r="N108" t="n">
        <x:f>ROUND(SUM('食材明细'!H638:H643),0)</x:f>
        <x:v>485</x:v>
      </x:c>
      <x:c r="O108" t="n">
        <x:f>ROUND(SUM('食材明细'!J638:J643),1)</x:f>
        <x:v>55.5</x:v>
      </x:c>
      <x:c r="P108" t="n">
        <x:f>ROUND(SUM('食材明细'!L638:L643),1)</x:f>
        <x:v>39.3</x:v>
      </x:c>
      <x:c r="Q108" t="n">
        <x:f>ROUND(SUM('食材明细'!N638:N643),1)</x:f>
        <x:v>13.1</x:v>
      </x:c>
      <x:c r="R108" s="10" t="str">
        <x:v>调料尽量低盐，不加白砂糖；油重已计入热量。</x:v>
      </x:c>
    </x:row>
    <x:row r="109" ht="37" customHeight="1">
      <x:c r="A109" t="n">
        <x:v>108</x:v>
      </x:c>
      <x:c r="B109" t="n">
        <x:v>54</x:v>
      </x:c>
      <x:c r="C109" t="n">
        <x:v>8</x:v>
      </x:c>
      <x:c r="D109" t="str">
        <x:v>晚餐</x:v>
      </x:c>
      <x:c r="E109" t="str">
        <x:v>牛肉</x:v>
      </x:c>
      <x:c r="F109" s="10" t="str">
        <x:v>番茄牛腱子配口蘑｜荞麦饭</x:v>
      </x:c>
      <x:c r="G109" s="10" t="str">
        <x:v>牛腱子160g、番茄140g、口蘑155g、荞麦饭135g、烹调油5g</x:v>
      </x:c>
      <x:c r="H109" t="str">
        <x:v>荞麦饭</x:v>
      </x:c>
      <x:c r="I109" s="10" t="str">
        <x:v>低主食需求可将主食减1/3，另加100g非淀粉蔬菜（营养值需重算）</x:v>
      </x:c>
      <x:c r="J109" s="10" t="str">
        <x:v>番茄丁、黑胡椒</x:v>
      </x:c>
      <x:c r="K109" t="str">
        <x:v>炖煮</x:v>
      </x:c>
      <x:c r="L109" s="10" t="str">
        <x:v>番茄出汁后加入主食材和少量水，轻炖至熟，再放配菜；荞麦饭另煮熟或蒸好后同餐食用。</x:v>
      </x:c>
      <x:c r="M109" t="n">
        <x:v>30</x:v>
      </x:c>
      <x:c r="N109" t="n">
        <x:f>ROUND(SUM('食材明细'!H644:H649),0)</x:f>
        <x:v>480</x:v>
      </x:c>
      <x:c r="O109" t="n">
        <x:f>ROUND(SUM('食材明细'!J644:J649),1)</x:f>
        <x:v>44.3</x:v>
      </x:c>
      <x:c r="P109" t="n">
        <x:f>ROUND(SUM('食材明细'!L644:L649),1)</x:f>
        <x:v>40.4</x:v>
      </x:c>
      <x:c r="Q109" t="n">
        <x:f>ROUND(SUM('食材明细'!N644:N649),1)</x:f>
        <x:v>16.8</x:v>
      </x:c>
      <x:c r="R109" s="10" t="str">
        <x:v>调料尽量低盐，不加白砂糖；油重已计入热量。</x:v>
      </x:c>
    </x:row>
    <x:row r="110" ht="37" customHeight="1">
      <x:c r="A110" t="n">
        <x:v>109</x:v>
      </x:c>
      <x:c r="B110" t="n">
        <x:v>55</x:v>
      </x:c>
      <x:c r="C110" t="n">
        <x:v>8</x:v>
      </x:c>
      <x:c r="D110" t="str">
        <x:v>午餐</x:v>
      </x:c>
      <x:c r="E110" t="str">
        <x:v>牛肉</x:v>
      </x:c>
      <x:c r="F110" s="10" t="str">
        <x:v>香醋瘦牛肉配菜心洋葱｜玉米</x:v>
      </x:c>
      <x:c r="G110" s="10" t="str">
        <x:v>瘦牛肉185g、菜心175g、洋葱125g、玉米150g、烹调油4g</x:v>
      </x:c>
      <x:c r="H110" t="str">
        <x:v>玉米</x:v>
      </x:c>
      <x:c r="I110" s="10" t="str">
        <x:v>想减主食可减到原量2/3，另加100g绿叶菜</x:v>
      </x:c>
      <x:c r="J110" s="10" t="str">
        <x:v>香醋、蒜末、少量生抽</x:v>
      </x:c>
      <x:c r="K110" t="str">
        <x:v>水煮</x:v>
      </x:c>
      <x:c r="L110" s="10" t="str">
        <x:v>食材分别煮至熟，淋香醋蒜汁，拌匀即食；玉米另煮熟或蒸好后同餐食用。</x:v>
      </x:c>
      <x:c r="M110" t="n">
        <x:v>20</x:v>
      </x:c>
      <x:c r="N110" t="n">
        <x:f>ROUND(SUM('食材明细'!H650:H655),0)</x:f>
        <x:v>510</x:v>
      </x:c>
      <x:c r="O110" t="n">
        <x:f>ROUND(SUM('食材明细'!J650:J655),1)</x:f>
        <x:v>48.8</x:v>
      </x:c>
      <x:c r="P110" t="n">
        <x:f>ROUND(SUM('食材明细'!L650:L655),1)</x:f>
        <x:v>50.8</x:v>
      </x:c>
      <x:c r="Q110" t="n">
        <x:f>ROUND(SUM('食材明细'!N650:N655),1)</x:f>
        <x:v>14.3</x:v>
      </x:c>
      <x:c r="R110" s="10" t="str">
        <x:v>调料尽量低盐，不加白砂糖；油重已计入热量。</x:v>
      </x:c>
    </x:row>
    <x:row r="111" ht="37" customHeight="1">
      <x:c r="A111" t="n">
        <x:v>110</x:v>
      </x:c>
      <x:c r="B111" t="n">
        <x:v>55</x:v>
      </x:c>
      <x:c r="C111" t="n">
        <x:v>8</x:v>
      </x:c>
      <x:c r="D111" t="str">
        <x:v>晚餐</x:v>
      </x:c>
      <x:c r="E111" t="str">
        <x:v>猪肉</x:v>
      </x:c>
      <x:c r="F111" s="10" t="str">
        <x:v>蚝香猪里脊配白萝卜彩椒｜玉米</x:v>
      </x:c>
      <x:c r="G111" s="10" t="str">
        <x:v>猪里脊170g、白萝卜140g、彩椒110g、玉米135g、烹调油5g</x:v>
      </x:c>
      <x:c r="H111" t="str">
        <x:v>玉米</x:v>
      </x:c>
      <x:c r="I111" s="10" t="str">
        <x:v>想减主食可减到原量2/3，另加100g绿叶菜</x:v>
      </x:c>
      <x:c r="J111" s="10" t="str">
        <x:v>低钠蚝油少量、姜蒜</x:v>
      </x:c>
      <x:c r="K111" t="str">
        <x:v>少油烩</x:v>
      </x:c>
      <x:c r="L111" s="10" t="str">
        <x:v>主食材和蔬菜少油少水烩熟，起锅前点少量蚝油；玉米另煮熟或蒸好后同餐食用。</x:v>
      </x:c>
      <x:c r="M111" t="n">
        <x:v>20</x:v>
      </x:c>
      <x:c r="N111" t="n">
        <x:f>ROUND(SUM('食材明细'!H656:H661),0)</x:f>
        <x:v>446</x:v>
      </x:c>
      <x:c r="O111" t="n">
        <x:f>ROUND(SUM('食材明细'!J656:J661),1)</x:f>
        <x:v>42.2</x:v>
      </x:c>
      <x:c r="P111" t="n">
        <x:f>ROUND(SUM('食材明细'!L656:L661),1)</x:f>
        <x:v>42</x:v>
      </x:c>
      <x:c r="Q111" t="n">
        <x:f>ROUND(SUM('食材明细'!N656:N661),1)</x:f>
        <x:v>13.3</x:v>
      </x:c>
      <x:c r="R111" s="10" t="str">
        <x:v>调料尽量低盐，不加白砂糖；油重已计入热量。</x:v>
      </x:c>
    </x:row>
    <x:row r="112" ht="37" customHeight="1">
      <x:c r="A112" t="n">
        <x:v>111</x:v>
      </x:c>
      <x:c r="B112" t="n">
        <x:v>56</x:v>
      </x:c>
      <x:c r="C112" t="n">
        <x:v>8</x:v>
      </x:c>
      <x:c r="D112" t="str">
        <x:v>午餐</x:v>
      </x:c>
      <x:c r="E112" t="str">
        <x:v>禽肉</x:v>
      </x:c>
      <x:c r="F112" s="10" t="str">
        <x:v>葱姜清蒸鸡胸肉配菠菜口蘑｜全麦面</x:v>
      </x:c>
      <x:c r="G112" s="10" t="str">
        <x:v>鸡胸肉165g、北豆腐90g、菠菜175g、口蘑155g、全麦面125g、烹调油4g</x:v>
      </x:c>
      <x:c r="H112" t="str">
        <x:v>全麦面</x:v>
      </x:c>
      <x:c r="I112" s="10" t="str">
        <x:v>低主食需求可将主食减1/3，另加100g非淀粉蔬菜（营养值需重算）</x:v>
      </x:c>
      <x:c r="J112" s="10" t="str">
        <x:v>葱姜、少量低盐生抽</x:v>
      </x:c>
      <x:c r="K112" t="str">
        <x:v>蒸</x:v>
      </x:c>
      <x:c r="L112" s="10" t="str">
        <x:v>切片腌5分钟；肉和配菜入盘，蒸至熟透；淋葱姜汁；面/魔芋丝煮熟后与菜合碗。</x:v>
      </x:c>
      <x:c r="M112" t="n">
        <x:v>30</x:v>
      </x:c>
      <x:c r="N112" t="n">
        <x:f>ROUND(SUM('食材明细'!H662:H667),0)</x:f>
        <x:v>528</x:v>
      </x:c>
      <x:c r="O112" t="n">
        <x:f>ROUND(SUM('食材明细'!J662:J667),1)</x:f>
        <x:v>63.1</x:v>
      </x:c>
      <x:c r="P112" t="n">
        <x:f>ROUND(SUM('食材明细'!L662:L667),1)</x:f>
        <x:v>44.5</x:v>
      </x:c>
      <x:c r="Q112" t="n">
        <x:f>ROUND(SUM('食材明细'!N662:N667),1)</x:f>
        <x:v>14.4</x:v>
      </x:c>
      <x:c r="R112" s="10" t="str">
        <x:v>调料尽量低盐，不加白砂糖；油重已计入热量。</x:v>
      </x:c>
    </x:row>
    <x:row r="113" ht="37" customHeight="1">
      <x:c r="A113" t="n">
        <x:v>112</x:v>
      </x:c>
      <x:c r="B113" t="n">
        <x:v>56</x:v>
      </x:c>
      <x:c r="C113" t="n">
        <x:v>8</x:v>
      </x:c>
      <x:c r="D113" t="str">
        <x:v>晚餐</x:v>
      </x:c>
      <x:c r="E113" t="str">
        <x:v>豆蛋</x:v>
      </x:c>
      <x:c r="F113" s="10" t="str">
        <x:v>酸汤嫩豆腐配大白菜番茄｜燕麦饭</x:v>
      </x:c>
      <x:c r="G113" s="10" t="str">
        <x:v>嫩豆腐300g、大白菜190g、番茄140g、燕麦饭135g、烹调油5g</x:v>
      </x:c>
      <x:c r="H113" t="str">
        <x:v>燕麦饭</x:v>
      </x:c>
      <x:c r="I113" s="10" t="str">
        <x:v>低主食需求可将主食减1/3，另加100g非淀粉蔬菜（营养值需重算）</x:v>
      </x:c>
      <x:c r="J113" s="10" t="str">
        <x:v>米醋、番茄、少许辣椒</x:v>
      </x:c>
      <x:c r="K113" t="str">
        <x:v>水煮</x:v>
      </x:c>
      <x:c r="L113" s="10" t="str">
        <x:v>番茄煮成酸汤，主食材汆熟，加入蔬菜再煮2～5分钟；燕麦饭另煮熟或蒸好后同餐食用。</x:v>
      </x:c>
      <x:c r="M113" t="n">
        <x:v>15</x:v>
      </x:c>
      <x:c r="N113" t="n">
        <x:f>ROUND(SUM('食材明细'!H668:H673),0)</x:f>
        <x:v>419</x:v>
      </x:c>
      <x:c r="O113" t="n">
        <x:f>ROUND(SUM('食材明细'!J668:J673),1)</x:f>
        <x:v>23.4</x:v>
      </x:c>
      <x:c r="P113" t="n">
        <x:f>ROUND(SUM('食材明细'!L668:L673),1)</x:f>
        <x:v>46</x:v>
      </x:c>
      <x:c r="Q113" t="n">
        <x:f>ROUND(SUM('食材明细'!N668:N673),1)</x:f>
        <x:v>16.3</x:v>
      </x:c>
      <x:c r="R113" s="10" t="str">
        <x:v>调料尽量低盐，不加白砂糖；油重已计入热量。</x:v>
      </x:c>
    </x:row>
    <x:row r="114" ht="37" customHeight="1">
      <x:c r="A114" t="n">
        <x:v>113</x:v>
      </x:c>
      <x:c r="B114" t="n">
        <x:v>57</x:v>
      </x:c>
      <x:c r="C114" t="n">
        <x:v>9</x:v>
      </x:c>
      <x:c r="D114" t="str">
        <x:v>午餐</x:v>
      </x:c>
      <x:c r="E114" t="str">
        <x:v>牛肉</x:v>
      </x:c>
      <x:c r="F114" s="10" t="str">
        <x:v>香醋瘦牛肉配菠菜杏鲍菇｜魔芋丝</x:v>
      </x:c>
      <x:c r="G114" s="10" t="str">
        <x:v>瘦牛肉185g、菠菜140g、杏鲍菇140g、魔芋丝200g、烹调油5g</x:v>
      </x:c>
      <x:c r="H114" t="str">
        <x:v>魔芋丝</x:v>
      </x:c>
      <x:c r="I114" s="10" t="str">
        <x:v>魔芋丝不是完整主食；饥饿可补杂粮饭或蒸薯类</x:v>
      </x:c>
      <x:c r="J114" s="10" t="str">
        <x:v>香醋、蒜末、少量生抽</x:v>
      </x:c>
      <x:c r="K114" t="str">
        <x:v>水煮</x:v>
      </x:c>
      <x:c r="L114" s="10" t="str">
        <x:v>食材分别煮至熟，淋香醋蒜汁，拌匀即食；面/魔芋丝煮熟后与菜合碗。</x:v>
      </x:c>
      <x:c r="M114" t="n">
        <x:v>30</x:v>
      </x:c>
      <x:c r="N114" t="n">
        <x:f>ROUND(SUM('食材明细'!H674:H679),0)</x:f>
        <x:v>375</x:v>
      </x:c>
      <x:c r="O114" t="n">
        <x:f>ROUND(SUM('食材明细'!J674:J679),1)</x:f>
        <x:v>46.3</x:v>
      </x:c>
      <x:c r="P114" t="n">
        <x:f>ROUND(SUM('食材明细'!L674:L679),1)</x:f>
        <x:v>19.4</x:v>
      </x:c>
      <x:c r="Q114" t="n">
        <x:f>ROUND(SUM('食材明细'!N674:N679),1)</x:f>
        <x:v>13.4</x:v>
      </x:c>
      <x:c r="R114" s="10" t="str">
        <x:v>调料尽量低盐，不加白砂糖；油重已计入热量。魔芋丝低能量，不等于一份主食。</x:v>
      </x:c>
    </x:row>
    <x:row r="115" ht="37" customHeight="1">
      <x:c r="A115" t="n">
        <x:v>114</x:v>
      </x:c>
      <x:c r="B115" t="n">
        <x:v>57</x:v>
      </x:c>
      <x:c r="C115" t="n">
        <x:v>9</x:v>
      </x:c>
      <x:c r="D115" t="str">
        <x:v>晚餐</x:v>
      </x:c>
      <x:c r="E115" t="str">
        <x:v>海鲜</x:v>
      </x:c>
      <x:c r="F115" s="10" t="str">
        <x:v>椒麻鱿鱼配四季豆香菇｜米粉</x:v>
      </x:c>
      <x:c r="G115" s="10" t="str">
        <x:v>鱿鱼160g、四季豆140g、香菇110g、米粉110g、烹调油3g</x:v>
      </x:c>
      <x:c r="H115" t="str">
        <x:v>米粉</x:v>
      </x:c>
      <x:c r="I115" s="10" t="str">
        <x:v>低主食需求可将主食减1/3，另加100g非淀粉蔬菜（营养值需重算）</x:v>
      </x:c>
      <x:c r="J115" s="10" t="str">
        <x:v>花椒、蒜、少量醋</x:v>
      </x:c>
      <x:c r="K115" t="str">
        <x:v>水煮</x:v>
      </x:c>
      <x:c r="L115" s="10" t="str">
        <x:v>花椒温水浸出味道，煮熟主食材和配菜，少油拌汁；面/魔芋丝煮熟后与菜合碗。四季豆必须充分煮熟，不要生脆。</x:v>
      </x:c>
      <x:c r="M115" t="n">
        <x:v>15</x:v>
      </x:c>
      <x:c r="N115" t="n">
        <x:f>ROUND(SUM('食材明细'!H680:H685),0)</x:f>
        <x:v>381</x:v>
      </x:c>
      <x:c r="O115" t="n">
        <x:f>ROUND(SUM('食材明细'!J680:J685),1)</x:f>
        <x:v>34.3</x:v>
      </x:c>
      <x:c r="P115" t="n">
        <x:f>ROUND(SUM('食材明细'!L680:L685),1)</x:f>
        <x:v>46.9</x:v>
      </x:c>
      <x:c r="Q115" t="n">
        <x:f>ROUND(SUM('食材明细'!N680:N685),1)</x:f>
        <x:v>6.4</x:v>
      </x:c>
      <x:c r="R115" s="10" t="str">
        <x:v>调料尽量低盐，不加白砂糖；油重已计入热量。</x:v>
      </x:c>
    </x:row>
    <x:row r="116" ht="37" customHeight="1">
      <x:c r="A116" t="n">
        <x:v>115</x:v>
      </x:c>
      <x:c r="B116" t="n">
        <x:v>58</x:v>
      </x:c>
      <x:c r="C116" t="n">
        <x:v>9</x:v>
      </x:c>
      <x:c r="D116" t="str">
        <x:v>午餐</x:v>
      </x:c>
      <x:c r="E116" t="str">
        <x:v>禽肉</x:v>
      </x:c>
      <x:c r="F116" s="10" t="str">
        <x:v>酸汤去皮鸡腿肉配芦笋紫甘蓝｜糙米饭</x:v>
      </x:c>
      <x:c r="G116" s="10" t="str">
        <x:v>去皮鸡腿肉185g、嫩豆腐135g、芦笋160g、紫甘蓝140g、糙米饭125g、烹调油5g</x:v>
      </x:c>
      <x:c r="H116" t="str">
        <x:v>糙米饭</x:v>
      </x:c>
      <x:c r="I116" s="10" t="str">
        <x:v>低主食需求可将主食减1/3，另加100g非淀粉蔬菜（营养值需重算）</x:v>
      </x:c>
      <x:c r="J116" s="10" t="str">
        <x:v>米醋、番茄、少许辣椒</x:v>
      </x:c>
      <x:c r="K116" t="str">
        <x:v>水煮</x:v>
      </x:c>
      <x:c r="L116" s="10" t="str">
        <x:v>先去皮去骨并切薄，充分加热；番茄煮成酸汤，主食材汆熟，加入蔬菜再煮2～5分钟；糙米饭另煮熟或蒸好后同餐食用。</x:v>
      </x:c>
      <x:c r="M116" t="n">
        <x:v>30</x:v>
      </x:c>
      <x:c r="N116" t="n">
        <x:f>ROUND(SUM('食材明细'!H686:H691),0)</x:f>
        <x:v>566</x:v>
      </x:c>
      <x:c r="O116" t="n">
        <x:f>ROUND(SUM('食材明细'!J686:J691),1)</x:f>
        <x:v>52.5</x:v>
      </x:c>
      <x:c r="P116" t="n">
        <x:f>ROUND(SUM('食材明细'!L686:L691),1)</x:f>
        <x:v>48.5</x:v>
      </x:c>
      <x:c r="Q116" t="n">
        <x:f>ROUND(SUM('食材明细'!N686:N691),1)</x:f>
        <x:v>19.5</x:v>
      </x:c>
      <x:c r="R116" s="10" t="str">
        <x:v>调料尽量低盐，不加白砂糖；油重已计入热量。</x:v>
      </x:c>
    </x:row>
    <x:row r="117" ht="37" customHeight="1">
      <x:c r="A117" t="n">
        <x:v>116</x:v>
      </x:c>
      <x:c r="B117" t="n">
        <x:v>58</x:v>
      </x:c>
      <x:c r="C117" t="n">
        <x:v>9</x:v>
      </x:c>
      <x:c r="D117" t="str">
        <x:v>晚餐</x:v>
      </x:c>
      <x:c r="E117" t="str">
        <x:v>海鲜</x:v>
      </x:c>
      <x:c r="F117" s="10" t="str">
        <x:v>酸汤花蛤肉配番茄金针菇｜糙米饭</x:v>
      </x:c>
      <x:c r="G117" s="10" t="str">
        <x:v>花蛤肉210g、番茄190g、金针菇140g、糙米饭110g、烹调油4g</x:v>
      </x:c>
      <x:c r="H117" t="str">
        <x:v>糙米饭</x:v>
      </x:c>
      <x:c r="I117" s="10" t="str">
        <x:v>低主食需求可将主食减1/3，另加100g非淀粉蔬菜（营养值需重算）</x:v>
      </x:c>
      <x:c r="J117" s="10" t="str">
        <x:v>米醋、番茄、少许辣椒</x:v>
      </x:c>
      <x:c r="K117" t="str">
        <x:v>水煮</x:v>
      </x:c>
      <x:c r="L117" s="10" t="str">
        <x:v>番茄煮成酸汤，主食材汆熟，加入蔬菜再煮2～5分钟；糙米饭另煮熟或蒸好后同餐食用。</x:v>
      </x:c>
      <x:c r="M117" t="n">
        <x:v>20</x:v>
      </x:c>
      <x:c r="N117" t="n">
        <x:f>ROUND(SUM('食材明细'!H692:H697),0)</x:f>
        <x:v>400</x:v>
      </x:c>
      <x:c r="O117" t="n">
        <x:f>ROUND(SUM('食材明细'!J692:J697),1)</x:f>
        <x:v>35.2</x:v>
      </x:c>
      <x:c r="P117" t="n">
        <x:f>ROUND(SUM('食材明细'!L692:L697),1)</x:f>
        <x:v>49.8</x:v>
      </x:c>
      <x:c r="Q117" t="n">
        <x:f>ROUND(SUM('食材明细'!N692:N697),1)</x:f>
        <x:v>7.8</x:v>
      </x:c>
      <x:c r="R117" s="10" t="str">
        <x:v>调料尽量低盐，不加白砂糖；油重已计入热量。</x:v>
      </x:c>
    </x:row>
    <x:row r="118" ht="37" customHeight="1">
      <x:c r="A118" t="n">
        <x:v>117</x:v>
      </x:c>
      <x:c r="B118" t="n">
        <x:v>59</x:v>
      </x:c>
      <x:c r="C118" t="n">
        <x:v>9</x:v>
      </x:c>
      <x:c r="D118" t="str">
        <x:v>午餐</x:v>
      </x:c>
      <x:c r="E118" t="str">
        <x:v>海鲜</x:v>
      </x:c>
      <x:c r="F118" s="10" t="str">
        <x:v>菌菇鱿鱼配苦瓜口蘑｜乌冬面</x:v>
      </x:c>
      <x:c r="G118" s="10" t="str">
        <x:v>鱿鱼190g、苦瓜175g、口蘑125g、乌冬面110g、烹调油5g</x:v>
      </x:c>
      <x:c r="H118" t="str">
        <x:v>乌冬面</x:v>
      </x:c>
      <x:c r="I118" s="10" t="str">
        <x:v>低主食需求可将主食减1/3，另加100g非淀粉蔬菜（营养值需重算）</x:v>
      </x:c>
      <x:c r="J118" s="10" t="str">
        <x:v>姜片、香菇汁</x:v>
      </x:c>
      <x:c r="K118" t="str">
        <x:v>焖煮</x:v>
      </x:c>
      <x:c r="L118" s="10" t="str">
        <x:v>食材与菌菇加少量水焖熟，出锅前加少量低盐生抽；面/魔芋丝煮熟后与菜合碗。</x:v>
      </x:c>
      <x:c r="M118" t="n">
        <x:v>20</x:v>
      </x:c>
      <x:c r="N118" t="n">
        <x:f>ROUND(SUM('食材明细'!H698:H703),0)</x:f>
        <x:v>418</x:v>
      </x:c>
      <x:c r="O118" t="n">
        <x:f>ROUND(SUM('食材明细'!J698:J703),1)</x:f>
        <x:v>40.7</x:v>
      </x:c>
      <x:c r="P118" t="n">
        <x:f>ROUND(SUM('食材明细'!L698:L703),1)</x:f>
        <x:v>42.6</x:v>
      </x:c>
      <x:c r="Q118" t="n">
        <x:f>ROUND(SUM('食材明细'!N698:N703),1)</x:f>
        <x:v>9.1</x:v>
      </x:c>
      <x:c r="R118" s="10" t="str">
        <x:v>调料尽量低盐，不加白砂糖；油重已计入热量。</x:v>
      </x:c>
    </x:row>
    <x:row r="119" ht="37" customHeight="1">
      <x:c r="A119" t="n">
        <x:v>118</x:v>
      </x:c>
      <x:c r="B119" t="n">
        <x:v>59</x:v>
      </x:c>
      <x:c r="C119" t="n">
        <x:v>9</x:v>
      </x:c>
      <x:c r="D119" t="str">
        <x:v>晚餐</x:v>
      </x:c>
      <x:c r="E119" t="str">
        <x:v>海鲜</x:v>
      </x:c>
      <x:c r="F119" s="10" t="str">
        <x:v>番茄虾仁配黄瓜｜糙米饭</x:v>
      </x:c>
      <x:c r="G119" s="10" t="str">
        <x:v>虾仁175g、番茄190g、黄瓜155g、糙米饭95g、烹调油4g</x:v>
      </x:c>
      <x:c r="H119" t="str">
        <x:v>糙米饭</x:v>
      </x:c>
      <x:c r="I119" s="10" t="str">
        <x:v>低主食需求可将主食减1/3，另加100g非淀粉蔬菜（营养值需重算）</x:v>
      </x:c>
      <x:c r="J119" s="10" t="str">
        <x:v>番茄丁、黑胡椒</x:v>
      </x:c>
      <x:c r="K119" t="str">
        <x:v>炖煮</x:v>
      </x:c>
      <x:c r="L119" s="10" t="str">
        <x:v>番茄出汁后加入主食材和少量水，轻炖至熟，再放配菜；糙米饭另煮熟或蒸好后同餐食用。</x:v>
      </x:c>
      <x:c r="M119" t="n">
        <x:v>35</x:v>
      </x:c>
      <x:c r="N119" t="n">
        <x:f>ROUND(SUM('食材明细'!H704:H709),0)</x:f>
        <x:v>363</x:v>
      </x:c>
      <x:c r="O119" t="n">
        <x:f>ROUND(SUM('食材明细'!J704:J709),1)</x:f>
        <x:v>38.5</x:v>
      </x:c>
      <x:c r="P119" t="n">
        <x:f>ROUND(SUM('食材明细'!L704:L709),1)</x:f>
        <x:v>36.2</x:v>
      </x:c>
      <x:c r="Q119" t="n">
        <x:f>ROUND(SUM('食材明细'!N704:N709),1)</x:f>
        <x:v>7.3</x:v>
      </x:c>
      <x:c r="R119" s="10" t="str">
        <x:v>调料尽量低盐，不加白砂糖；油重已计入热量。</x:v>
      </x:c>
    </x:row>
    <x:row r="120" ht="37" customHeight="1">
      <x:c r="A120" t="n">
        <x:v>119</x:v>
      </x:c>
      <x:c r="B120" t="n">
        <x:v>60</x:v>
      </x:c>
      <x:c r="C120" t="n">
        <x:v>9</x:v>
      </x:c>
      <x:c r="D120" t="str">
        <x:v>午餐</x:v>
      </x:c>
      <x:c r="E120" t="str">
        <x:v>海鲜</x:v>
      </x:c>
      <x:c r="F120" s="10" t="str">
        <x:v>葱姜清蒸虾仁配荷兰豆口蘑｜杂粮饭</x:v>
      </x:c>
      <x:c r="G120" s="10" t="str">
        <x:v>虾仁160g、荷兰豆140g、口蘑140g、杂粮饭135g、烹调油5g</x:v>
      </x:c>
      <x:c r="H120" t="str">
        <x:v>杂粮饭</x:v>
      </x:c>
      <x:c r="I120" s="10" t="str">
        <x:v>低主食需求可将主食减1/3，另加100g非淀粉蔬菜（营养值需重算）</x:v>
      </x:c>
      <x:c r="J120" s="10" t="str">
        <x:v>葱姜、少量低盐生抽</x:v>
      </x:c>
      <x:c r="K120" t="str">
        <x:v>蒸</x:v>
      </x:c>
      <x:c r="L120" s="10" t="str">
        <x:v>切片腌5分钟；肉和配菜入盘，蒸至熟透；淋葱姜汁；杂粮饭另煮熟或蒸好后同餐食用。</x:v>
      </x:c>
      <x:c r="M120" t="n">
        <x:v>15</x:v>
      </x:c>
      <x:c r="N120" t="n">
        <x:f>ROUND(SUM('食材明细'!H710:H715),0)</x:f>
        <x:v>434</x:v>
      </x:c>
      <x:c r="O120" t="n">
        <x:f>ROUND(SUM('食材明细'!J710:J715),1)</x:f>
        <x:v>42.8</x:v>
      </x:c>
      <x:c r="P120" t="n">
        <x:f>ROUND(SUM('食材明细'!L710:L715),1)</x:f>
        <x:v>47.5</x:v>
      </x:c>
      <x:c r="Q120" t="n">
        <x:f>ROUND(SUM('食材明细'!N710:N715),1)</x:f>
        <x:v>9.1</x:v>
      </x:c>
      <x:c r="R120" s="10" t="str">
        <x:v>调料尽量低盐，不加白砂糖；油重已计入热量。</x:v>
      </x:c>
    </x:row>
    <x:row r="121" ht="37" customHeight="1">
      <x:c r="A121" t="n">
        <x:v>120</x:v>
      </x:c>
      <x:c r="B121" t="n">
        <x:v>60</x:v>
      </x:c>
      <x:c r="C121" t="n">
        <x:v>9</x:v>
      </x:c>
      <x:c r="D121" t="str">
        <x:v>晚餐</x:v>
      </x:c>
      <x:c r="E121" t="str">
        <x:v>禽肉</x:v>
      </x:c>
      <x:c r="F121" s="10" t="str">
        <x:v>番茄鸡胸肉配绿豆芽｜杂粮饭</x:v>
      </x:c>
      <x:c r="G121" s="10" t="str">
        <x:v>鸡胸肉180g、熟毛豆仁50g、番茄175g、绿豆芽125g、杂粮饭95g、烹调油5g</x:v>
      </x:c>
      <x:c r="H121" t="str">
        <x:v>杂粮饭</x:v>
      </x:c>
      <x:c r="I121" s="10" t="str">
        <x:v>低主食需求可将主食减1/3，另加100g非淀粉蔬菜（营养值需重算）</x:v>
      </x:c>
      <x:c r="J121" s="10" t="str">
        <x:v>番茄丁、黑胡椒</x:v>
      </x:c>
      <x:c r="K121" t="str">
        <x:v>炖煮</x:v>
      </x:c>
      <x:c r="L121" s="10" t="str">
        <x:v>番茄出汁后加入主食材和少量水，轻炖至熟，再放配菜；杂粮饭另煮熟或蒸好后同餐食用。</x:v>
      </x:c>
      <x:c r="M121" t="n">
        <x:v>30</x:v>
      </x:c>
      <x:c r="N121" t="n">
        <x:f>ROUND(SUM('食材明细'!H716:H721),0)</x:f>
        <x:v>486</x:v>
      </x:c>
      <x:c r="O121" t="n">
        <x:f>ROUND(SUM('食材明细'!J716:J721),1)</x:f>
        <x:v>55.7</x:v>
      </x:c>
      <x:c r="P121" t="n">
        <x:f>ROUND(SUM('食材明细'!L716:L721),1)</x:f>
        <x:v>41.3</x:v>
      </x:c>
      <x:c r="Q121" t="n">
        <x:f>ROUND(SUM('食材明细'!N716:N721),1)</x:f>
        <x:v>12.8</x:v>
      </x:c>
      <x:c r="R121" s="10" t="str">
        <x:v>调料尽量低盐，不加白砂糖；油重已计入热量。</x:v>
      </x:c>
    </x:row>
    <x:row r="122" ht="37" customHeight="1">
      <x:c r="A122" t="n">
        <x:v>121</x:v>
      </x:c>
      <x:c r="B122" t="n">
        <x:v>61</x:v>
      </x:c>
      <x:c r="C122" t="n">
        <x:v>9</x:v>
      </x:c>
      <x:c r="D122" t="str">
        <x:v>午餐</x:v>
      </x:c>
      <x:c r="E122" t="str">
        <x:v>牛肉</x:v>
      </x:c>
      <x:c r="F122" s="10" t="str">
        <x:v>清汤瘦牛肉配冬瓜丝瓜｜红薯</x:v>
      </x:c>
      <x:c r="G122" s="10" t="str">
        <x:v>瘦牛肉175g、嫩豆腐110g、冬瓜160g、丝瓜125g、红薯135g、烹调油6g</x:v>
      </x:c>
      <x:c r="H122" t="str">
        <x:v>红薯</x:v>
      </x:c>
      <x:c r="I122" s="10" t="str">
        <x:v>想减主食可减到原量2/3，另加100g绿叶菜</x:v>
      </x:c>
      <x:c r="J122" s="10" t="str">
        <x:v>葱段、盐少量</x:v>
      </x:c>
      <x:c r="K122" t="str">
        <x:v>煮</x:v>
      </x:c>
      <x:c r="L122" s="10" t="str">
        <x:v>清水煮开，按熟化时间下食材，最后放叶菜，清淡调味；红薯另煮熟或蒸好后同餐食用。</x:v>
      </x:c>
      <x:c r="M122" t="n">
        <x:v>25</x:v>
      </x:c>
      <x:c r="N122" t="n">
        <x:f>ROUND(SUM('食材明细'!H722:H727),0)</x:f>
        <x:v>498</x:v>
      </x:c>
      <x:c r="O122" t="n">
        <x:f>ROUND(SUM('食材明细'!J722:J727),1)</x:f>
        <x:v>46.3</x:v>
      </x:c>
      <x:c r="P122" t="n">
        <x:f>ROUND(SUM('食材明细'!L722:L727),1)</x:f>
        <x:v>39.7</x:v>
      </x:c>
      <x:c r="Q122" t="n">
        <x:f>ROUND(SUM('食材明细'!N722:N727),1)</x:f>
        <x:v>16.8</x:v>
      </x:c>
      <x:c r="R122" s="10" t="str">
        <x:v>调料尽量低盐，不加白砂糖；油重已计入热量。</x:v>
      </x:c>
    </x:row>
    <x:row r="123" ht="37" customHeight="1">
      <x:c r="A123" t="n">
        <x:v>122</x:v>
      </x:c>
      <x:c r="B123" t="n">
        <x:v>61</x:v>
      </x:c>
      <x:c r="C123" t="n">
        <x:v>9</x:v>
      </x:c>
      <x:c r="D123" t="str">
        <x:v>晚餐</x:v>
      </x:c>
      <x:c r="E123" t="str">
        <x:v>豆蛋</x:v>
      </x:c>
      <x:c r="F123" s="10" t="str">
        <x:v>蒜香北豆腐鸡蛋烩黄瓜彩椒｜糙米饭</x:v>
      </x:c>
      <x:c r="G123" s="10" t="str">
        <x:v>北豆腐280g、鸡蛋60g、黄瓜175g、彩椒110g、糙米饭80g、烹调油3g</x:v>
      </x:c>
      <x:c r="H123" t="str">
        <x:v>糙米饭</x:v>
      </x:c>
      <x:c r="I123" s="10" t="str">
        <x:v>低主食需求可将主食减1/3，另加100g非淀粉蔬菜（营养值需重算）</x:v>
      </x:c>
      <x:c r="J123" s="10" t="str">
        <x:v>蒜末、白胡椒</x:v>
      </x:c>
      <x:c r="K123" t="str">
        <x:v>蒸</x:v>
      </x:c>
      <x:c r="L123" s="10" t="str">
        <x:v>食材切块，撒蒜末；上锅蒸熟，蔬菜另焯后拌匀；糙米饭另煮熟或蒸好后同餐食用。</x:v>
      </x:c>
      <x:c r="M123" t="n">
        <x:v>20</x:v>
      </x:c>
      <x:c r="N123" t="n">
        <x:f>ROUND(SUM('食材明细'!H728:H733),0)</x:f>
        <x:v>513</x:v>
      </x:c>
      <x:c r="O123" t="n">
        <x:f>ROUND(SUM('食材明细'!J728:J733),1)</x:f>
        <x:v>40.2</x:v>
      </x:c>
      <x:c r="P123" t="n">
        <x:f>ROUND(SUM('食材明细'!L728:L733),1)</x:f>
        <x:v>38.1</x:v>
      </x:c>
      <x:c r="Q123" t="n">
        <x:f>ROUND(SUM('食材明细'!N728:N733),1)</x:f>
        <x:v>24.1</x:v>
      </x:c>
      <x:c r="R123" s="10" t="str">
        <x:v>调料尽量低盐，不加白砂糖；油重已计入热量。</x:v>
      </x:c>
    </x:row>
    <x:row r="124" ht="37" customHeight="1">
      <x:c r="A124" t="n">
        <x:v>123</x:v>
      </x:c>
      <x:c r="B124" t="n">
        <x:v>62</x:v>
      </x:c>
      <x:c r="C124" t="n">
        <x:v>9</x:v>
      </x:c>
      <x:c r="D124" t="str">
        <x:v>午餐</x:v>
      </x:c>
      <x:c r="E124" t="str">
        <x:v>鱼类</x:v>
      </x:c>
      <x:c r="F124" s="10" t="str">
        <x:v>葱姜清蒸巴沙鱼配荷兰豆小白菜｜杂粮饭</x:v>
      </x:c>
      <x:c r="G124" s="10" t="str">
        <x:v>巴沙鱼175g、荷兰豆140g、小白菜155g、杂粮饭135g、烹调油4g</x:v>
      </x:c>
      <x:c r="H124" t="str">
        <x:v>杂粮饭</x:v>
      </x:c>
      <x:c r="I124" s="10" t="str">
        <x:v>低主食需求可将主食减1/3，另加100g非淀粉蔬菜（营养值需重算）</x:v>
      </x:c>
      <x:c r="J124" s="10" t="str">
        <x:v>葱姜、少量低盐生抽</x:v>
      </x:c>
      <x:c r="K124" t="str">
        <x:v>蒸</x:v>
      </x:c>
      <x:c r="L124" s="10" t="str">
        <x:v>鱼肉去刺，彻底做熟；切片腌5分钟；肉和配菜入盘，蒸至熟透；淋葱姜汁；杂粮饭另煮熟或蒸好后同餐食用。</x:v>
      </x:c>
      <x:c r="M124" t="n">
        <x:v>30</x:v>
      </x:c>
      <x:c r="N124" t="n">
        <x:f>ROUND(SUM('食材明细'!H734:H739),0)</x:f>
        <x:v>434</x:v>
      </x:c>
      <x:c r="O124" t="n">
        <x:f>ROUND(SUM('食材明细'!J734:J739),1)</x:f>
        <x:v>40.3</x:v>
      </x:c>
      <x:c r="P124" t="n">
        <x:f>ROUND(SUM('食材明细'!L734:L739),1)</x:f>
        <x:v>46.6</x:v>
      </x:c>
      <x:c r="Q124" t="n">
        <x:f>ROUND(SUM('食材明细'!N734:N739),1)</x:f>
        <x:v>10.2</x:v>
      </x:c>
      <x:c r="R124" s="10" t="str">
        <x:v>调料尽量低盐，不加白砂糖；油重已计入热量。</x:v>
      </x:c>
    </x:row>
    <x:row r="125" ht="37" customHeight="1">
      <x:c r="A125" t="n">
        <x:v>124</x:v>
      </x:c>
      <x:c r="B125" t="n">
        <x:v>62</x:v>
      </x:c>
      <x:c r="C125" t="n">
        <x:v>9</x:v>
      </x:c>
      <x:c r="D125" t="str">
        <x:v>晚餐</x:v>
      </x:c>
      <x:c r="E125" t="str">
        <x:v>海鲜</x:v>
      </x:c>
      <x:c r="F125" s="10" t="str">
        <x:v>葱姜清蒸花蛤肉配番茄香菇｜乌冬面</x:v>
      </x:c>
      <x:c r="G125" s="10" t="str">
        <x:v>花蛤肉210g、嫩豆腐135g、番茄140g、香菇110g、乌冬面135g、烹调油3g</x:v>
      </x:c>
      <x:c r="H125" t="str">
        <x:v>乌冬面</x:v>
      </x:c>
      <x:c r="I125" s="10" t="str">
        <x:v>低主食需求可将主食减1/3，另加100g非淀粉蔬菜（营养值需重算）</x:v>
      </x:c>
      <x:c r="J125" s="10" t="str">
        <x:v>葱姜、少量低盐生抽</x:v>
      </x:c>
      <x:c r="K125" t="str">
        <x:v>蒸</x:v>
      </x:c>
      <x:c r="L125" s="10" t="str">
        <x:v>切片腌5分钟；肉和配菜入盘，蒸至熟透；淋葱姜汁；面/魔芋丝煮熟后与菜合碗。</x:v>
      </x:c>
      <x:c r="M125" t="n">
        <x:v>30</x:v>
      </x:c>
      <x:c r="N125" t="n">
        <x:f>ROUND(SUM('食材明细'!H740:H745),0)</x:f>
        <x:v>486</x:v>
      </x:c>
      <x:c r="O125" t="n">
        <x:f>ROUND(SUM('食材明细'!J740:J745),1)</x:f>
        <x:v>41.1</x:v>
      </x:c>
      <x:c r="P125" t="n">
        <x:f>ROUND(SUM('食材明细'!L740:L745),1)</x:f>
        <x:v>56.9</x:v>
      </x:c>
      <x:c r="Q125" t="n">
        <x:f>ROUND(SUM('食材明细'!N740:N745),1)</x:f>
        <x:v>10.5</x:v>
      </x:c>
      <x:c r="R125" s="10" t="str">
        <x:v>调料尽量低盐，不加白砂糖；油重已计入热量。</x:v>
      </x:c>
    </x:row>
    <x:row r="126" ht="37" customHeight="1">
      <x:c r="A126" t="n">
        <x:v>125</x:v>
      </x:c>
      <x:c r="B126" t="n">
        <x:v>63</x:v>
      </x:c>
      <x:c r="C126" t="n">
        <x:v>9</x:v>
      </x:c>
      <x:c r="D126" t="str">
        <x:v>午餐</x:v>
      </x:c>
      <x:c r="E126" t="str">
        <x:v>禽肉</x:v>
      </x:c>
      <x:c r="F126" s="10" t="str">
        <x:v>清汤鸡胸肉配荷兰豆番茄｜荞麦饭</x:v>
      </x:c>
      <x:c r="G126" s="10" t="str">
        <x:v>鸡胸肉155g、荷兰豆175g、番茄140g、荞麦饭135g、烹调油6g</x:v>
      </x:c>
      <x:c r="H126" t="str">
        <x:v>荞麦饭</x:v>
      </x:c>
      <x:c r="I126" s="10" t="str">
        <x:v>低主食需求可将主食减1/3，另加100g非淀粉蔬菜（营养值需重算）</x:v>
      </x:c>
      <x:c r="J126" s="10" t="str">
        <x:v>葱段、盐少量</x:v>
      </x:c>
      <x:c r="K126" t="str">
        <x:v>煮</x:v>
      </x:c>
      <x:c r="L126" s="10" t="str">
        <x:v>清水煮开，按熟化时间下食材，最后放叶菜，清淡调味；荞麦饭另煮熟或蒸好后同餐食用。</x:v>
      </x:c>
      <x:c r="M126" t="n">
        <x:v>25</x:v>
      </x:c>
      <x:c r="N126" t="n">
        <x:f>ROUND(SUM('食材明细'!H746:H751),0)</x:f>
        <x:v>475</x:v>
      </x:c>
      <x:c r="O126" t="n">
        <x:f>ROUND(SUM('食材明细'!J746:J751),1)</x:f>
        <x:v>46.4</x:v>
      </x:c>
      <x:c r="P126" t="n">
        <x:f>ROUND(SUM('食材明细'!L746:L751),1)</x:f>
        <x:v>48.4</x:v>
      </x:c>
      <x:c r="Q126" t="n">
        <x:f>ROUND(SUM('食材明细'!N746:N751),1)</x:f>
        <x:v>11.4</x:v>
      </x:c>
      <x:c r="R126" s="10" t="str">
        <x:v>调料尽量低盐，不加白砂糖；油重已计入热量。</x:v>
      </x:c>
    </x:row>
    <x:row r="127" ht="37" customHeight="1">
      <x:c r="A127" t="n">
        <x:v>126</x:v>
      </x:c>
      <x:c r="B127" t="n">
        <x:v>63</x:v>
      </x:c>
      <x:c r="C127" t="n">
        <x:v>9</x:v>
      </x:c>
      <x:c r="D127" t="str">
        <x:v>晚餐</x:v>
      </x:c>
      <x:c r="E127" t="str">
        <x:v>鱼类</x:v>
      </x:c>
      <x:c r="F127" s="10" t="str">
        <x:v>椒麻鳕鱼配生菜花菜｜杂粮饭</x:v>
      </x:c>
      <x:c r="G127" s="10" t="str">
        <x:v>鳕鱼185g、熟毛豆仁70g、生菜175g、花菜140g、杂粮饭125g、烹调油4g</x:v>
      </x:c>
      <x:c r="H127" t="str">
        <x:v>杂粮饭</x:v>
      </x:c>
      <x:c r="I127" s="10" t="str">
        <x:v>低主食需求可将主食减1/3，另加100g非淀粉蔬菜（营养值需重算）</x:v>
      </x:c>
      <x:c r="J127" s="10" t="str">
        <x:v>花椒、蒜、少量醋</x:v>
      </x:c>
      <x:c r="K127" t="str">
        <x:v>水煮</x:v>
      </x:c>
      <x:c r="L127" s="10" t="str">
        <x:v>鱼肉去刺，彻底做熟；花椒温水浸出味道，煮熟主食材和配菜，少油拌汁；杂粮饭另煮熟或蒸好后同餐食用。</x:v>
      </x:c>
      <x:c r="M127" t="n">
        <x:v>20</x:v>
      </x:c>
      <x:c r="N127" t="n">
        <x:f>ROUND(SUM('食材明细'!H752:H757),0)</x:f>
        <x:v>484</x:v>
      </x:c>
      <x:c r="O127" t="n">
        <x:f>ROUND(SUM('食材明细'!J752:J757),1)</x:f>
        <x:v>50.8</x:v>
      </x:c>
      <x:c r="P127" t="n">
        <x:f>ROUND(SUM('食材明细'!L752:L757),1)</x:f>
        <x:v>47.8</x:v>
      </x:c>
      <x:c r="Q127" t="n">
        <x:f>ROUND(SUM('食材明细'!N752:N757),1)</x:f>
        <x:v>11</x:v>
      </x:c>
      <x:c r="R127" s="10" t="str">
        <x:v>调料尽量低盐，不加白砂糖；油重已计入热量。</x:v>
      </x:c>
    </x:row>
    <x:row r="128" ht="37" customHeight="1">
      <x:c r="A128" t="n">
        <x:v>127</x:v>
      </x:c>
      <x:c r="B128" t="n">
        <x:v>64</x:v>
      </x:c>
      <x:c r="C128" t="n">
        <x:v>10</x:v>
      </x:c>
      <x:c r="D128" t="str">
        <x:v>午餐</x:v>
      </x:c>
      <x:c r="E128" t="str">
        <x:v>鱼类</x:v>
      </x:c>
      <x:c r="F128" s="10" t="str">
        <x:v>豉汁鳕鱼配芹菜泡发木耳｜杂粮饭</x:v>
      </x:c>
      <x:c r="G128" s="10" t="str">
        <x:v>鳕鱼215g、芹菜175g、泡发木耳125g、杂粮饭165g、烹调油5g</x:v>
      </x:c>
      <x:c r="H128" t="str">
        <x:v>杂粮饭</x:v>
      </x:c>
      <x:c r="I128" s="10" t="str">
        <x:v>低主食需求可将主食减1/3，另加100g非淀粉蔬菜（营养值需重算）</x:v>
      </x:c>
      <x:c r="J128" s="10" t="str">
        <x:v>少量豆豉、姜末</x:v>
      </x:c>
      <x:c r="K128" t="str">
        <x:v>蒸</x:v>
      </x:c>
      <x:c r="L128" s="10" t="str">
        <x:v>鱼肉去刺，彻底做熟；豆豉冲洗剁碎，与姜末拌主食材后蒸熟；蔬菜另煮；杂粮饭另煮熟或蒸好后同餐食用。</x:v>
      </x:c>
      <x:c r="M128" t="n">
        <x:v>20</x:v>
      </x:c>
      <x:c r="N128" t="n">
        <x:f>ROUND(SUM('食材明细'!H758:H763),0)</x:f>
        <x:v>479</x:v>
      </x:c>
      <x:c r="O128" t="n">
        <x:f>ROUND(SUM('食材明细'!J758:J763),1)</x:f>
        <x:v>47.5</x:v>
      </x:c>
      <x:c r="P128" t="n">
        <x:f>ROUND(SUM('食材明细'!L758:L763),1)</x:f>
        <x:v>52.4</x:v>
      </x:c>
      <x:c r="Q128" t="n">
        <x:f>ROUND(SUM('食材明细'!N758:N763),1)</x:f>
        <x:v>8.9</x:v>
      </x:c>
      <x:c r="R128" s="10" t="str">
        <x:v>调料尽量低盐，不加白砂糖；油重已计入热量。</x:v>
      </x:c>
    </x:row>
    <x:row r="129" ht="37" customHeight="1">
      <x:c r="A129" t="n">
        <x:v>128</x:v>
      </x:c>
      <x:c r="B129" t="n">
        <x:v>64</x:v>
      </x:c>
      <x:c r="C129" t="n">
        <x:v>10</x:v>
      </x:c>
      <x:c r="D129" t="str">
        <x:v>晚餐</x:v>
      </x:c>
      <x:c r="E129" t="str">
        <x:v>禽肉</x:v>
      </x:c>
      <x:c r="F129" s="10" t="str">
        <x:v>番茄鸡胸肉配黄瓜｜杂粮饭</x:v>
      </x:c>
      <x:c r="G129" s="10" t="str">
        <x:v>鸡胸肉160g、番茄190g、黄瓜110g、杂粮饭100g、烹调油3g</x:v>
      </x:c>
      <x:c r="H129" t="str">
        <x:v>杂粮饭</x:v>
      </x:c>
      <x:c r="I129" s="10" t="str">
        <x:v>低主食需求可将主食减1/3，另加100g非淀粉蔬菜（营养值需重算）</x:v>
      </x:c>
      <x:c r="J129" s="10" t="str">
        <x:v>番茄丁、黑胡椒</x:v>
      </x:c>
      <x:c r="K129" t="str">
        <x:v>炖煮</x:v>
      </x:c>
      <x:c r="L129" s="10" t="str">
        <x:v>番茄出汁后加入主食材和少量水，轻炖至熟，再放配菜；杂粮饭另煮熟或蒸好后同餐食用。</x:v>
      </x:c>
      <x:c r="M129" t="n">
        <x:v>30</x:v>
      </x:c>
      <x:c r="N129" t="n">
        <x:f>ROUND(SUM('食材明细'!H764:H769),0)</x:f>
        <x:v>374</x:v>
      </x:c>
      <x:c r="O129" t="n">
        <x:f>ROUND(SUM('食材明细'!J764:J769),1)</x:f>
        <x:v>42.4</x:v>
      </x:c>
      <x:c r="P129" t="n">
        <x:f>ROUND(SUM('食材明细'!L764:L769),1)</x:f>
        <x:v>35.1</x:v>
      </x:c>
      <x:c r="Q129" t="n">
        <x:f>ROUND(SUM('食材明细'!N764:N769),1)</x:f>
        <x:v>7.8</x:v>
      </x:c>
      <x:c r="R129" s="10" t="str">
        <x:v>调料尽量低盐，不加白砂糖；油重已计入热量。</x:v>
      </x:c>
    </x:row>
    <x:row r="130" ht="37" customHeight="1">
      <x:c r="A130" t="n">
        <x:v>129</x:v>
      </x:c>
      <x:c r="B130" t="n">
        <x:v>65</x:v>
      </x:c>
      <x:c r="C130" t="n">
        <x:v>10</x:v>
      </x:c>
      <x:c r="D130" t="str">
        <x:v>午餐</x:v>
      </x:c>
      <x:c r="E130" t="str">
        <x:v>猪肉</x:v>
      </x:c>
      <x:c r="F130" s="10" t="str">
        <x:v>菌菇猪里脊配娃娃菜杏鲍菇｜藜麦饭</x:v>
      </x:c>
      <x:c r="G130" s="10" t="str">
        <x:v>猪里脊175g、嫩豆腐160g、娃娃菜175g、杏鲍菇155g、藜麦饭150g、烹调油6g</x:v>
      </x:c>
      <x:c r="H130" t="str">
        <x:v>藜麦饭</x:v>
      </x:c>
      <x:c r="I130" s="10" t="str">
        <x:v>低主食需求可将主食减1/3，另加100g非淀粉蔬菜（营养值需重算）</x:v>
      </x:c>
      <x:c r="J130" s="10" t="str">
        <x:v>姜片、香菇汁</x:v>
      </x:c>
      <x:c r="K130" t="str">
        <x:v>焖煮</x:v>
      </x:c>
      <x:c r="L130" s="10" t="str">
        <x:v>食材与菌菇加少量水焖熟，出锅前加少量低盐生抽；藜麦饭另煮熟或蒸好后同餐食用。</x:v>
      </x:c>
      <x:c r="M130" t="n">
        <x:v>20</x:v>
      </x:c>
      <x:c r="N130" t="n">
        <x:f>ROUND(SUM('食材明细'!H770:H775),0)</x:f>
        <x:v>616</x:v>
      </x:c>
      <x:c r="O130" t="n">
        <x:f>ROUND(SUM('食材明细'!J770:J775),1)</x:f>
        <x:v>56.7</x:v>
      </x:c>
      <x:c r="P130" t="n">
        <x:f>ROUND(SUM('食材明细'!L770:L775),1)</x:f>
        <x:v>51.9</x:v>
      </x:c>
      <x:c r="Q130" t="n">
        <x:f>ROUND(SUM('食材明细'!N770:N775),1)</x:f>
        <x:v>20.3</x:v>
      </x:c>
      <x:c r="R130" s="10" t="str">
        <x:v>调料尽量低盐，不加白砂糖；油重已计入热量。</x:v>
      </x:c>
    </x:row>
    <x:row r="131" ht="37" customHeight="1">
      <x:c r="A131" t="n">
        <x:v>130</x:v>
      </x:c>
      <x:c r="B131" t="n">
        <x:v>65</x:v>
      </x:c>
      <x:c r="C131" t="n">
        <x:v>10</x:v>
      </x:c>
      <x:c r="D131" t="str">
        <x:v>晚餐</x:v>
      </x:c>
      <x:c r="E131" t="str">
        <x:v>鱼类</x:v>
      </x:c>
      <x:c r="F131" s="10" t="str">
        <x:v>菌菇鳕鱼配黄瓜香菇｜玉米</x:v>
      </x:c>
      <x:c r="G131" s="10" t="str">
        <x:v>鳕鱼215g、熟毛豆仁70g、黄瓜175g、香菇155g、玉米125g、烹调油5g</x:v>
      </x:c>
      <x:c r="H131" t="str">
        <x:v>玉米</x:v>
      </x:c>
      <x:c r="I131" s="10" t="str">
        <x:v>想减主食可减到原量2/3，另加100g绿叶菜</x:v>
      </x:c>
      <x:c r="J131" s="10" t="str">
        <x:v>姜片、香菇汁</x:v>
      </x:c>
      <x:c r="K131" t="str">
        <x:v>焖煮</x:v>
      </x:c>
      <x:c r="L131" s="10" t="str">
        <x:v>鱼肉去刺，彻底做熟；食材与菌菇加少量水焖熟，出锅前加少量低盐生抽；玉米另煮熟或蒸好后同餐食用。</x:v>
      </x:c>
      <x:c r="M131" t="n">
        <x:v>30</x:v>
      </x:c>
      <x:c r="N131" t="n">
        <x:f>ROUND(SUM('食材明细'!H776:H781),0)</x:f>
        <x:v>524</x:v>
      </x:c>
      <x:c r="O131" t="n">
        <x:f>ROUND(SUM('食材明细'!J776:J781),1)</x:f>
        <x:v>56</x:v>
      </x:c>
      <x:c r="P131" t="n">
        <x:f>ROUND(SUM('食材明细'!L776:L781),1)</x:f>
        <x:v>50.6</x:v>
      </x:c>
      <x:c r="Q131" t="n">
        <x:f>ROUND(SUM('食材明细'!N776:N781),1)</x:f>
        <x:v>13.1</x:v>
      </x:c>
      <x:c r="R131" s="10" t="str">
        <x:v>调料尽量低盐，不加白砂糖；油重已计入热量。</x:v>
      </x:c>
    </x:row>
    <x:row r="132" ht="37" customHeight="1">
      <x:c r="A132" t="n">
        <x:v>131</x:v>
      </x:c>
      <x:c r="B132" t="n">
        <x:v>66</x:v>
      </x:c>
      <x:c r="C132" t="n">
        <x:v>10</x:v>
      </x:c>
      <x:c r="D132" t="str">
        <x:v>午餐</x:v>
      </x:c>
      <x:c r="E132" t="str">
        <x:v>海鲜</x:v>
      </x:c>
      <x:c r="F132" s="10" t="str">
        <x:v>蒜香花蛤肉配芦笋口蘑｜红薯</x:v>
      </x:c>
      <x:c r="G132" s="10" t="str">
        <x:v>花蛤肉190g、芦笋140g、口蘑140g、红薯165g、烹调油5g</x:v>
      </x:c>
      <x:c r="H132" t="str">
        <x:v>红薯</x:v>
      </x:c>
      <x:c r="I132" s="10" t="str">
        <x:v>想减主食可减到原量2/3，另加100g绿叶菜</x:v>
      </x:c>
      <x:c r="J132" s="10" t="str">
        <x:v>蒜末、白胡椒</x:v>
      </x:c>
      <x:c r="K132" t="str">
        <x:v>蒸</x:v>
      </x:c>
      <x:c r="L132" s="10" t="str">
        <x:v>食材切块，撒蒜末；上锅蒸熟，蔬菜另焯后拌匀；红薯另煮熟或蒸好后同餐食用。</x:v>
      </x:c>
      <x:c r="M132" t="n">
        <x:v>15</x:v>
      </x:c>
      <x:c r="N132" t="n">
        <x:f>ROUND(SUM('食材明细'!H782:H787),0)</x:f>
        <x:v>392</x:v>
      </x:c>
      <x:c r="O132" t="n">
        <x:f>ROUND(SUM('食材明细'!J782:J787),1)</x:f>
        <x:v>34.8</x:v>
      </x:c>
      <x:c r="P132" t="n">
        <x:f>ROUND(SUM('食材明细'!L782:L787),1)</x:f>
        <x:v>50.6</x:v>
      </x:c>
      <x:c r="Q132" t="n">
        <x:f>ROUND(SUM('食材明细'!N782:N787),1)</x:f>
        <x:v>7.6</x:v>
      </x:c>
      <x:c r="R132" s="10" t="str">
        <x:v>调料尽量低盐，不加白砂糖；油重已计入热量。</x:v>
      </x:c>
    </x:row>
    <x:row r="133" ht="37" customHeight="1">
      <x:c r="A133" t="n">
        <x:v>132</x:v>
      </x:c>
      <x:c r="B133" t="n">
        <x:v>66</x:v>
      </x:c>
      <x:c r="C133" t="n">
        <x:v>10</x:v>
      </x:c>
      <x:c r="D133" t="str">
        <x:v>晚餐</x:v>
      </x:c>
      <x:c r="E133" t="str">
        <x:v>鱼类</x:v>
      </x:c>
      <x:c r="F133" s="10" t="str">
        <x:v>酸汤鲈鱼配丝瓜玉米笋｜玉米</x:v>
      </x:c>
      <x:c r="G133" s="10" t="str">
        <x:v>鲈鱼185g、丝瓜160g、玉米笋155g、玉米110g、烹调油4g</x:v>
      </x:c>
      <x:c r="H133" t="str">
        <x:v>玉米</x:v>
      </x:c>
      <x:c r="I133" s="10" t="str">
        <x:v>想减主食可减到原量2/3，另加100g绿叶菜</x:v>
      </x:c>
      <x:c r="J133" s="10" t="str">
        <x:v>米醋、番茄、少许辣椒</x:v>
      </x:c>
      <x:c r="K133" t="str">
        <x:v>水煮</x:v>
      </x:c>
      <x:c r="L133" s="10" t="str">
        <x:v>鱼肉去刺，彻底做熟；番茄煮成酸汤，主食材汆熟，加入蔬菜再煮2～5分钟；玉米另煮熟或蒸好后同餐食用。</x:v>
      </x:c>
      <x:c r="M133" t="n">
        <x:v>25</x:v>
      </x:c>
      <x:c r="N133" t="n">
        <x:f>ROUND(SUM('食材明细'!H788:H793),0)</x:f>
        <x:v>418</x:v>
      </x:c>
      <x:c r="O133" t="n">
        <x:f>ROUND(SUM('食材明细'!J788:J793),1)</x:f>
        <x:v>43.6</x:v>
      </x:c>
      <x:c r="P133" t="n">
        <x:f>ROUND(SUM('食材明细'!L788:L793),1)</x:f>
        <x:v>38.2</x:v>
      </x:c>
      <x:c r="Q133" t="n">
        <x:f>ROUND(SUM('食材明细'!N788:N793),1)</x:f>
        <x:v>11.7</x:v>
      </x:c>
      <x:c r="R133" s="10" t="str">
        <x:v>调料尽量低盐，不加白砂糖；油重已计入热量。</x:v>
      </x:c>
    </x:row>
    <x:row r="134" ht="37" customHeight="1">
      <x:c r="A134" t="n">
        <x:v>133</x:v>
      </x:c>
      <x:c r="B134" t="n">
        <x:v>67</x:v>
      </x:c>
      <x:c r="C134" t="n">
        <x:v>10</x:v>
      </x:c>
      <x:c r="D134" t="str">
        <x:v>午餐</x:v>
      </x:c>
      <x:c r="E134" t="str">
        <x:v>豆蛋</x:v>
      </x:c>
      <x:c r="F134" s="10" t="str">
        <x:v>豉汁鸡蛋嫩豆腐烩菠菜娃娃菜｜红薯</x:v>
      </x:c>
      <x:c r="G134" s="10" t="str">
        <x:v>鸡蛋110g、嫩豆腐160g、菠菜190g、娃娃菜125g、红薯125g、烹调油3g</x:v>
      </x:c>
      <x:c r="H134" t="str">
        <x:v>红薯</x:v>
      </x:c>
      <x:c r="I134" s="10" t="str">
        <x:v>想减主食可减到原量2/3，另加100g绿叶菜</x:v>
      </x:c>
      <x:c r="J134" s="10" t="str">
        <x:v>少量豆豉、姜末</x:v>
      </x:c>
      <x:c r="K134" t="str">
        <x:v>蒸</x:v>
      </x:c>
      <x:c r="L134" s="10" t="str">
        <x:v>鸡蛋先打散成蛋液；豆豉冲洗剁碎，与姜末拌主食材后蒸熟；蔬菜另煮；红薯另煮熟或蒸好后同餐食用。</x:v>
      </x:c>
      <x:c r="M134" t="n">
        <x:v>30</x:v>
      </x:c>
      <x:c r="N134" t="n">
        <x:f>ROUND(SUM('食材明细'!H794:H799),0)</x:f>
        <x:v>448</x:v>
      </x:c>
      <x:c r="O134" t="n">
        <x:f>ROUND(SUM('食材明细'!J794:J799),1)</x:f>
        <x:v>31.4</x:v>
      </x:c>
      <x:c r="P134" t="n">
        <x:f>ROUND(SUM('食材明细'!L794:L799),1)</x:f>
        <x:v>40.6</x:v>
      </x:c>
      <x:c r="Q134" t="n">
        <x:f>ROUND(SUM('食材明细'!N794:N799),1)</x:f>
        <x:v>19.6</x:v>
      </x:c>
      <x:c r="R134" s="10" t="str">
        <x:v>调料尽量低盐，不加白砂糖；油重已计入热量。</x:v>
      </x:c>
    </x:row>
    <x:row r="135" ht="37" customHeight="1">
      <x:c r="A135" t="n">
        <x:v>134</x:v>
      </x:c>
      <x:c r="B135" t="n">
        <x:v>67</x:v>
      </x:c>
      <x:c r="C135" t="n">
        <x:v>10</x:v>
      </x:c>
      <x:c r="D135" t="str">
        <x:v>晚餐</x:v>
      </x:c>
      <x:c r="E135" t="str">
        <x:v>禽肉</x:v>
      </x:c>
      <x:c r="F135" s="10" t="str">
        <x:v>清汤去皮鸡腿肉配荷兰豆香菇｜糙米饭</x:v>
      </x:c>
      <x:c r="G135" s="10" t="str">
        <x:v>去皮鸡腿肉160g、荷兰豆160g、香菇140g、糙米饭125g、烹调油5g</x:v>
      </x:c>
      <x:c r="H135" t="str">
        <x:v>糙米饭</x:v>
      </x:c>
      <x:c r="I135" s="10" t="str">
        <x:v>低主食需求可将主食减1/3，另加100g非淀粉蔬菜（营养值需重算）</x:v>
      </x:c>
      <x:c r="J135" s="10" t="str">
        <x:v>葱段、盐少量</x:v>
      </x:c>
      <x:c r="K135" t="str">
        <x:v>煮</x:v>
      </x:c>
      <x:c r="L135" s="10" t="str">
        <x:v>先去皮去骨并切薄，充分加热；清水煮开，按熟化时间下食材，最后放叶菜，清淡调味；糙米饭另煮熟或蒸好后同餐食用。</x:v>
      </x:c>
      <x:c r="M135" t="n">
        <x:v>20</x:v>
      </x:c>
      <x:c r="N135" t="n">
        <x:f>ROUND(SUM('食材明细'!H800:H805),0)</x:f>
        <x:v>500</x:v>
      </x:c>
      <x:c r="O135" t="n">
        <x:f>ROUND(SUM('食材明细'!J800:J805),1)</x:f>
        <x:v>42.8</x:v>
      </x:c>
      <x:c r="P135" t="n">
        <x:f>ROUND(SUM('食材明细'!L800:L805),1)</x:f>
        <x:v>50.9</x:v>
      </x:c>
      <x:c r="Q135" t="n">
        <x:f>ROUND(SUM('食材明细'!N800:N805),1)</x:f>
        <x:v>15.3</x:v>
      </x:c>
      <x:c r="R135" s="10" t="str">
        <x:v>调料尽量低盐，不加白砂糖；油重已计入热量。</x:v>
      </x:c>
    </x:row>
    <x:row r="136" ht="37" customHeight="1">
      <x:c r="A136" t="n">
        <x:v>135</x:v>
      </x:c>
      <x:c r="B136" t="n">
        <x:v>68</x:v>
      </x:c>
      <x:c r="C136" t="n">
        <x:v>10</x:v>
      </x:c>
      <x:c r="D136" t="str">
        <x:v>午餐</x:v>
      </x:c>
      <x:c r="E136" t="str">
        <x:v>海鲜</x:v>
      </x:c>
      <x:c r="F136" s="10" t="str">
        <x:v>豉汁鱿鱼配大白菜彩椒｜玉米</x:v>
      </x:c>
      <x:c r="G136" s="10" t="str">
        <x:v>鱿鱼160g、大白菜190g、彩椒125g、玉米135g、烹调油5g</x:v>
      </x:c>
      <x:c r="H136" t="str">
        <x:v>玉米</x:v>
      </x:c>
      <x:c r="I136" s="10" t="str">
        <x:v>想减主食可减到原量2/3，另加100g绿叶菜</x:v>
      </x:c>
      <x:c r="J136" s="10" t="str">
        <x:v>少量豆豉、姜末</x:v>
      </x:c>
      <x:c r="K136" t="str">
        <x:v>蒸</x:v>
      </x:c>
      <x:c r="L136" s="10" t="str">
        <x:v>豆豉冲洗剁碎，与姜末拌主食材后蒸熟；蔬菜另煮；玉米另煮熟或蒸好后同餐食用。</x:v>
      </x:c>
      <x:c r="M136" t="n">
        <x:v>20</x:v>
      </x:c>
      <x:c r="N136" t="n">
        <x:f>ROUND(SUM('食材明细'!H806:H811),0)</x:f>
        <x:v>405</x:v>
      </x:c>
      <x:c r="O136" t="n">
        <x:f>ROUND(SUM('食材明细'!J806:J811),1)</x:f>
        <x:v>35.9</x:v>
      </x:c>
      <x:c r="P136" t="n">
        <x:f>ROUND(SUM('食材明细'!L806:L811),1)</x:f>
        <x:v>46.6</x:v>
      </x:c>
      <x:c r="Q136" t="n">
        <x:f>ROUND(SUM('食材明细'!N806:N811),1)</x:f>
        <x:v>9.7</x:v>
      </x:c>
      <x:c r="R136" s="10" t="str">
        <x:v>调料尽量低盐，不加白砂糖；油重已计入热量。</x:v>
      </x:c>
    </x:row>
    <x:row r="137" ht="37" customHeight="1">
      <x:c r="A137" t="n">
        <x:v>136</x:v>
      </x:c>
      <x:c r="B137" t="n">
        <x:v>68</x:v>
      </x:c>
      <x:c r="C137" t="n">
        <x:v>10</x:v>
      </x:c>
      <x:c r="D137" t="str">
        <x:v>晚餐</x:v>
      </x:c>
      <x:c r="E137" t="str">
        <x:v>禽肉</x:v>
      </x:c>
      <x:c r="F137" s="10" t="str">
        <x:v>豉汁鸡胸肉配西葫芦莴笋｜全麦面</x:v>
      </x:c>
      <x:c r="G137" s="10" t="str">
        <x:v>鸡胸肉180g、西葫芦140g、莴笋110g、全麦面135g、烹调油5g</x:v>
      </x:c>
      <x:c r="H137" t="str">
        <x:v>全麦面</x:v>
      </x:c>
      <x:c r="I137" s="10" t="str">
        <x:v>低主食需求可将主食减1/3，另加100g非淀粉蔬菜（营养值需重算）</x:v>
      </x:c>
      <x:c r="J137" s="10" t="str">
        <x:v>少量豆豉、姜末</x:v>
      </x:c>
      <x:c r="K137" t="str">
        <x:v>蒸</x:v>
      </x:c>
      <x:c r="L137" s="10" t="str">
        <x:v>豆豉冲洗剁碎，与姜末拌主食材后蒸熟；蔬菜另煮；面/魔芋丝煮熟后与菜合碗。</x:v>
      </x:c>
      <x:c r="M137" t="n">
        <x:v>25</x:v>
      </x:c>
      <x:c r="N137" t="n">
        <x:f>ROUND(SUM('食材明细'!H812:H817),0)</x:f>
        <x:v>451</x:v>
      </x:c>
      <x:c r="O137" t="n">
        <x:f>ROUND(SUM('食材明细'!J812:J817),1)</x:f>
        <x:v>50.9</x:v>
      </x:c>
      <x:c r="P137" t="n">
        <x:f>ROUND(SUM('食材明细'!L812:L817),1)</x:f>
        <x:v>41.2</x:v>
      </x:c>
      <x:c r="Q137" t="n">
        <x:f>ROUND(SUM('食材明细'!N812:N817),1)</x:f>
        <x:v>10.6</x:v>
      </x:c>
      <x:c r="R137" s="10" t="str">
        <x:v>调料尽量低盐，不加白砂糖；油重已计入热量。</x:v>
      </x:c>
    </x:row>
    <x:row r="138" ht="37" customHeight="1">
      <x:c r="A138" t="n">
        <x:v>137</x:v>
      </x:c>
      <x:c r="B138" t="n">
        <x:v>69</x:v>
      </x:c>
      <x:c r="C138" t="n">
        <x:v>10</x:v>
      </x:c>
      <x:c r="D138" t="str">
        <x:v>午餐</x:v>
      </x:c>
      <x:c r="E138" t="str">
        <x:v>海鲜</x:v>
      </x:c>
      <x:c r="F138" s="10" t="str">
        <x:v>清汤虾仁配油麦菜小白菜｜红薯</x:v>
      </x:c>
      <x:c r="G138" s="10" t="str">
        <x:v>虾仁175g、油麦菜190g、小白菜155g、红薯150g、烹调油4g</x:v>
      </x:c>
      <x:c r="H138" t="str">
        <x:v>红薯</x:v>
      </x:c>
      <x:c r="I138" s="10" t="str">
        <x:v>想减主食可减到原量2/3，另加100g绿叶菜</x:v>
      </x:c>
      <x:c r="J138" s="10" t="str">
        <x:v>葱段、盐少量</x:v>
      </x:c>
      <x:c r="K138" t="str">
        <x:v>煮</x:v>
      </x:c>
      <x:c r="L138" s="10" t="str">
        <x:v>清水煮开，按熟化时间下食材，最后放叶菜，清淡调味；红薯另煮熟或蒸好后同餐食用。</x:v>
      </x:c>
      <x:c r="M138" t="n">
        <x:v>15</x:v>
      </x:c>
      <x:c r="N138" t="n">
        <x:f>ROUND(SUM('食材明细'!H818:H823),0)</x:f>
        <x:v>386</x:v>
      </x:c>
      <x:c r="O138" t="n">
        <x:f>ROUND(SUM('食材明细'!J818:J823),1)</x:f>
        <x:v>40.8</x:v>
      </x:c>
      <x:c r="P138" t="n">
        <x:f>ROUND(SUM('食材明细'!L818:L823),1)</x:f>
        <x:v>41.7</x:v>
      </x:c>
      <x:c r="Q138" t="n">
        <x:f>ROUND(SUM('食材明细'!N818:N823),1)</x:f>
        <x:v>6.8</x:v>
      </x:c>
      <x:c r="R138" s="10" t="str">
        <x:v>调料尽量低盐，不加白砂糖；油重已计入热量。</x:v>
      </x:c>
    </x:row>
    <x:row r="139" ht="37" customHeight="1">
      <x:c r="A139" t="n">
        <x:v>138</x:v>
      </x:c>
      <x:c r="B139" t="n">
        <x:v>69</x:v>
      </x:c>
      <x:c r="C139" t="n">
        <x:v>10</x:v>
      </x:c>
      <x:c r="D139" t="str">
        <x:v>晚餐</x:v>
      </x:c>
      <x:c r="E139" t="str">
        <x:v>豆蛋</x:v>
      </x:c>
      <x:c r="F139" s="10" t="str">
        <x:v>香醋鸡蛋嫩豆腐烩小白菜金针菇｜土豆</x:v>
      </x:c>
      <x:c r="G139" s="10" t="str">
        <x:v>鸡蛋120g、嫩豆腐135g、小白菜190g、金针菇140g、土豆125g、烹调油6g</x:v>
      </x:c>
      <x:c r="H139" t="str">
        <x:v>土豆</x:v>
      </x:c>
      <x:c r="I139" s="10" t="str">
        <x:v>想减主食可减到原量2/3，另加100g绿叶菜</x:v>
      </x:c>
      <x:c r="J139" s="10" t="str">
        <x:v>香醋、蒜末、少量生抽</x:v>
      </x:c>
      <x:c r="K139" t="str">
        <x:v>水煮</x:v>
      </x:c>
      <x:c r="L139" s="10" t="str">
        <x:v>鸡蛋先打散成蛋液；食材分别煮至熟，淋香醋蒜汁，拌匀即食；土豆另煮熟或蒸好后同餐食用。</x:v>
      </x:c>
      <x:c r="M139" t="n">
        <x:v>20</x:v>
      </x:c>
      <x:c r="N139" t="n">
        <x:f>ROUND(SUM('食材明细'!H824:H829),0)</x:f>
        <x:v>476</x:v>
      </x:c>
      <x:c r="O139" t="n">
        <x:f>ROUND(SUM('食材明细'!J824:J829),1)</x:f>
        <x:v>31.3</x:v>
      </x:c>
      <x:c r="P139" t="n">
        <x:f>ROUND(SUM('食材明细'!L824:L829),1)</x:f>
        <x:v>39.8</x:v>
      </x:c>
      <x:c r="Q139" t="n">
        <x:f>ROUND(SUM('食材明细'!N824:N829),1)</x:f>
        <x:v>22.6</x:v>
      </x:c>
      <x:c r="R139" s="10" t="str">
        <x:v>调料尽量低盐，不加白砂糖；油重已计入热量。</x:v>
      </x:c>
    </x:row>
    <x:row r="140" ht="37" customHeight="1">
      <x:c r="A140" t="n">
        <x:v>139</x:v>
      </x:c>
      <x:c r="B140" t="n">
        <x:v>70</x:v>
      </x:c>
      <x:c r="C140" t="n">
        <x:v>10</x:v>
      </x:c>
      <x:c r="D140" t="str">
        <x:v>午餐</x:v>
      </x:c>
      <x:c r="E140" t="str">
        <x:v>禽肉</x:v>
      </x:c>
      <x:c r="F140" s="10" t="str">
        <x:v>香醋鸡胸肉配娃娃菜荷兰豆｜紫薯</x:v>
      </x:c>
      <x:c r="G140" s="10" t="str">
        <x:v>鸡胸肉185g、娃娃菜160g、荷兰豆125g、紫薯135g、烹调油5g</x:v>
      </x:c>
      <x:c r="H140" t="str">
        <x:v>紫薯</x:v>
      </x:c>
      <x:c r="I140" s="10" t="str">
        <x:v>想减主食可减到原量2/3，另加100g绿叶菜</x:v>
      </x:c>
      <x:c r="J140" s="10" t="str">
        <x:v>香醋、蒜末、少量生抽</x:v>
      </x:c>
      <x:c r="K140" t="str">
        <x:v>水煮</x:v>
      </x:c>
      <x:c r="L140" s="10" t="str">
        <x:v>食材分别煮至熟，淋香醋蒜汁，拌匀即食；紫薯另煮熟或蒸好后同餐食用。</x:v>
      </x:c>
      <x:c r="M140" t="n">
        <x:v>25</x:v>
      </x:c>
      <x:c r="N140" t="n">
        <x:f>ROUND(SUM('食材明细'!H830:H835),0)</x:f>
        <x:v>456</x:v>
      </x:c>
      <x:c r="O140" t="n">
        <x:f>ROUND(SUM('食材明细'!J830:J835),1)</x:f>
        <x:v>50.3</x:v>
      </x:c>
      <x:c r="P140" t="n">
        <x:f>ROUND(SUM('食材明细'!L830:L835),1)</x:f>
        <x:v>43.9</x:v>
      </x:c>
      <x:c r="Q140" t="n">
        <x:f>ROUND(SUM('食材明细'!N830:N835),1)</x:f>
        <x:v>9.5</x:v>
      </x:c>
      <x:c r="R140" s="10" t="str">
        <x:v>调料尽量低盐，不加白砂糖；油重已计入热量。</x:v>
      </x:c>
    </x:row>
    <x:row r="141" ht="37" customHeight="1">
      <x:c r="A141" t="n">
        <x:v>140</x:v>
      </x:c>
      <x:c r="B141" t="n">
        <x:v>70</x:v>
      </x:c>
      <x:c r="C141" t="n">
        <x:v>10</x:v>
      </x:c>
      <x:c r="D141" t="str">
        <x:v>晚餐</x:v>
      </x:c>
      <x:c r="E141" t="str">
        <x:v>豆蛋</x:v>
      </x:c>
      <x:c r="F141" s="10" t="str">
        <x:v>豉汁鸡蛋嫩豆腐烩芦笋口蘑｜白米饭</x:v>
      </x:c>
      <x:c r="G141" s="10" t="str">
        <x:v>鸡蛋100g、嫩豆腐160g、芦笋175g、口蘑125g、白米饭125g、烹调油3g</x:v>
      </x:c>
      <x:c r="H141" t="str">
        <x:v>白米饭</x:v>
      </x:c>
      <x:c r="I141" s="10" t="str">
        <x:v>低主食需求可将主食减1/3，另加100g非淀粉蔬菜（营养值需重算）</x:v>
      </x:c>
      <x:c r="J141" s="10" t="str">
        <x:v>少量豆豉、姜末</x:v>
      </x:c>
      <x:c r="K141" t="str">
        <x:v>蒸</x:v>
      </x:c>
      <x:c r="L141" s="10" t="str">
        <x:v>鸡蛋先打散成蛋液；豆豉冲洗剁碎，与姜末拌主食材后蒸熟；蔬菜另煮；白米饭另煮熟或蒸好后同餐食用。</x:v>
      </x:c>
      <x:c r="M141" t="n">
        <x:v>20</x:v>
      </x:c>
      <x:c r="N141" t="n">
        <x:f>ROUND(SUM('食材明细'!H836:H841),0)</x:f>
        <x:v>467</x:v>
      </x:c>
      <x:c r="O141" t="n">
        <x:f>ROUND(SUM('食材明细'!J836:J841),1)</x:f>
        <x:v>32</x:v>
      </x:c>
      <x:c r="P141" t="n">
        <x:f>ROUND(SUM('食材明细'!L836:L841),1)</x:f>
        <x:v>47.3</x:v>
      </x:c>
      <x:c r="Q141" t="n">
        <x:f>ROUND(SUM('食材明细'!N836:N841),1)</x:f>
        <x:v>18.4</x:v>
      </x:c>
      <x:c r="R141" s="10" t="str">
        <x:v>调料尽量低盐，不加白砂糖；油重已计入热量。</x:v>
      </x:c>
    </x:row>
    <x:row r="142" ht="37" customHeight="1">
      <x:c r="A142" t="n">
        <x:v>141</x:v>
      </x:c>
      <x:c r="B142" t="n">
        <x:v>71</x:v>
      </x:c>
      <x:c r="C142" t="n">
        <x:v>11</x:v>
      </x:c>
      <x:c r="D142" t="str">
        <x:v>午餐</x:v>
      </x:c>
      <x:c r="E142" t="str">
        <x:v>牛肉</x:v>
      </x:c>
      <x:c r="F142" s="10" t="str">
        <x:v>黑椒肥牛卷北豆腐烩白萝卜丝瓜｜全麦面</x:v>
      </x:c>
      <x:c r="G142" s="10" t="str">
        <x:v>肥牛卷95g、北豆腐90g、白萝卜190g、丝瓜125g、全麦面110g、烹调油3g</x:v>
      </x:c>
      <x:c r="H142" t="str">
        <x:v>全麦面</x:v>
      </x:c>
      <x:c r="I142" s="10" t="str">
        <x:v>低主食需求可将主食减1/3，另加100g非淀粉蔬菜（营养值需重算）</x:v>
      </x:c>
      <x:c r="J142" s="10" t="str">
        <x:v>黑胡椒、蒜末</x:v>
      </x:c>
      <x:c r="K142" t="str">
        <x:v>少油烩</x:v>
      </x:c>
      <x:c r="L142" s="10" t="str">
        <x:v>肥牛先汆水撇去浮油；锅加少量水和油，先把主食材煮熟，再烩两种蔬菜，收汁撒黑椒；面/魔芋丝煮熟后与菜合碗。</x:v>
      </x:c>
      <x:c r="M142" t="n">
        <x:v>20</x:v>
      </x:c>
      <x:c r="N142" t="n">
        <x:f>ROUND(SUM('食材明细'!H842:H847),0)</x:f>
        <x:v>541</x:v>
      </x:c>
      <x:c r="O142" t="n">
        <x:f>ROUND(SUM('食材明细'!J842:J847),1)</x:f>
        <x:v>32.1</x:v>
      </x:c>
      <x:c r="P142" t="n">
        <x:f>ROUND(SUM('食材明细'!L842:L847),1)</x:f>
        <x:v>42.9</x:v>
      </x:c>
      <x:c r="Q142" t="n">
        <x:f>ROUND(SUM('食材明细'!N842:N847),1)</x:f>
        <x:v>28.2</x:v>
      </x:c>
      <x:c r="R142" s="10" t="str">
        <x:v>肥牛油脂高，按份量使用并撇浮油。</x:v>
      </x:c>
    </x:row>
    <x:row r="143" ht="37" customHeight="1">
      <x:c r="A143" t="n">
        <x:v>142</x:v>
      </x:c>
      <x:c r="B143" t="n">
        <x:v>71</x:v>
      </x:c>
      <x:c r="C143" t="n">
        <x:v>11</x:v>
      </x:c>
      <x:c r="D143" t="str">
        <x:v>晚餐</x:v>
      </x:c>
      <x:c r="E143" t="str">
        <x:v>鱼类</x:v>
      </x:c>
      <x:c r="F143" s="10" t="str">
        <x:v>椒麻鳕鱼配茼蒿玉米笋｜白米饭</x:v>
      </x:c>
      <x:c r="G143" s="10" t="str">
        <x:v>鳕鱼200g、北豆腐90g、茼蒿140g、玉米笋155g、白米饭80g、烹调油5g</x:v>
      </x:c>
      <x:c r="H143" t="str">
        <x:v>白米饭</x:v>
      </x:c>
      <x:c r="I143" s="10" t="str">
        <x:v>低主食需求可将主食减1/3，另加100g非淀粉蔬菜（营养值需重算）</x:v>
      </x:c>
      <x:c r="J143" s="10" t="str">
        <x:v>花椒、蒜、少量醋</x:v>
      </x:c>
      <x:c r="K143" t="str">
        <x:v>水煮</x:v>
      </x:c>
      <x:c r="L143" s="10" t="str">
        <x:v>鱼肉去刺，彻底做熟；花椒温水浸出味道，煮熟主食材和配菜，少油拌汁；白米饭另煮熟或蒸好后同餐食用。</x:v>
      </x:c>
      <x:c r="M143" t="n">
        <x:v>30</x:v>
      </x:c>
      <x:c r="N143" t="n">
        <x:f>ROUND(SUM('食材明细'!H848:H853),0)</x:f>
        <x:v>463</x:v>
      </x:c>
      <x:c r="O143" t="n">
        <x:f>ROUND(SUM('食材明细'!J848:J853),1)</x:f>
        <x:v>52.8</x:v>
      </x:c>
      <x:c r="P143" t="n">
        <x:f>ROUND(SUM('食材明细'!L848:L853),1)</x:f>
        <x:v>35.9</x:v>
      </x:c>
      <x:c r="Q143" t="n">
        <x:f>ROUND(SUM('食材明细'!N848:N853),1)</x:f>
        <x:v>11.9</x:v>
      </x:c>
      <x:c r="R143" s="10" t="str">
        <x:v>调料尽量低盐，不加白砂糖；油重已计入热量。</x:v>
      </x:c>
    </x:row>
    <x:row r="144" ht="37" customHeight="1">
      <x:c r="A144" t="n">
        <x:v>143</x:v>
      </x:c>
      <x:c r="B144" t="n">
        <x:v>72</x:v>
      </x:c>
      <x:c r="C144" t="n">
        <x:v>11</x:v>
      </x:c>
      <x:c r="D144" t="str">
        <x:v>午餐</x:v>
      </x:c>
      <x:c r="E144" t="str">
        <x:v>海鲜</x:v>
      </x:c>
      <x:c r="F144" s="10" t="str">
        <x:v>菌菇鱿鱼配茼蒿金针菇｜燕麦饭</x:v>
      </x:c>
      <x:c r="G144" s="10" t="str">
        <x:v>鱿鱼190g、茼蒿190g、金针菇110g、燕麦饭135g、烹调油5g</x:v>
      </x:c>
      <x:c r="H144" t="str">
        <x:v>燕麦饭</x:v>
      </x:c>
      <x:c r="I144" s="10" t="str">
        <x:v>低主食需求可将主食减1/3，另加100g非淀粉蔬菜（营养值需重算）</x:v>
      </x:c>
      <x:c r="J144" s="10" t="str">
        <x:v>姜片、香菇汁</x:v>
      </x:c>
      <x:c r="K144" t="str">
        <x:v>焖煮</x:v>
      </x:c>
      <x:c r="L144" s="10" t="str">
        <x:v>食材与菌菇加少量水焖熟，出锅前加少量低盐生抽；燕麦饭另煮熟或蒸好后同餐食用。</x:v>
      </x:c>
      <x:c r="M144" t="n">
        <x:v>25</x:v>
      </x:c>
      <x:c r="N144" t="n">
        <x:f>ROUND(SUM('食材明细'!H854:H859),0)</x:f>
        <x:v>455</x:v>
      </x:c>
      <x:c r="O144" t="n">
        <x:f>ROUND(SUM('食材明细'!J854:J859),1)</x:f>
        <x:v>42.9</x:v>
      </x:c>
      <x:c r="P144" t="n">
        <x:f>ROUND(SUM('食材明细'!L854:L859),1)</x:f>
        <x:v>47.4</x:v>
      </x:c>
      <x:c r="Q144" t="n">
        <x:f>ROUND(SUM('食材明细'!N854:N859),1)</x:f>
        <x:v>10.9</x:v>
      </x:c>
      <x:c r="R144" s="10" t="str">
        <x:v>调料尽量低盐，不加白砂糖；油重已计入热量。</x:v>
      </x:c>
    </x:row>
    <x:row r="145" ht="37" customHeight="1">
      <x:c r="A145" t="n">
        <x:v>144</x:v>
      </x:c>
      <x:c r="B145" t="n">
        <x:v>72</x:v>
      </x:c>
      <x:c r="C145" t="n">
        <x:v>11</x:v>
      </x:c>
      <x:c r="D145" t="str">
        <x:v>晚餐</x:v>
      </x:c>
      <x:c r="E145" t="str">
        <x:v>豆蛋</x:v>
      </x:c>
      <x:c r="F145" s="10" t="str">
        <x:v>番茄北豆腐熟毛豆仁烩番茄小白菜｜荞麦饭</x:v>
      </x:c>
      <x:c r="G145" s="10" t="str">
        <x:v>北豆腐300g、熟毛豆仁70g、番茄160g、小白菜110g、荞麦饭135g、烹调油4g</x:v>
      </x:c>
      <x:c r="H145" t="str">
        <x:v>荞麦饭</x:v>
      </x:c>
      <x:c r="I145" s="10" t="str">
        <x:v>低主食需求可将主食减1/3，另加100g非淀粉蔬菜（营养值需重算）</x:v>
      </x:c>
      <x:c r="J145" s="10" t="str">
        <x:v>番茄丁、黑胡椒</x:v>
      </x:c>
      <x:c r="K145" t="str">
        <x:v>炖煮</x:v>
      </x:c>
      <x:c r="L145" s="10" t="str">
        <x:v>番茄出汁后加入主食材和少量水，轻炖至熟，再放配菜；荞麦饭另煮熟或蒸好后同餐食用。</x:v>
      </x:c>
      <x:c r="M145" t="n">
        <x:v>25</x:v>
      </x:c>
      <x:c r="N145" t="n">
        <x:f>ROUND(SUM('食材明细'!H860:H865),0)</x:f>
        <x:v>589</x:v>
      </x:c>
      <x:c r="O145" t="n">
        <x:f>ROUND(SUM('食材明细'!J860:J865),1)</x:f>
        <x:v>46.2</x:v>
      </x:c>
      <x:c r="P145" t="n">
        <x:f>ROUND(SUM('食材明细'!L860:L865),1)</x:f>
        <x:v>51.5</x:v>
      </x:c>
      <x:c r="Q145" t="n">
        <x:f>ROUND(SUM('食材明细'!N860:N865),1)</x:f>
        <x:v>24.5</x:v>
      </x:c>
      <x:c r="R145" s="10" t="str">
        <x:v>调料尽量低盐，不加白砂糖；油重已计入热量。</x:v>
      </x:c>
    </x:row>
    <x:row r="146" ht="37" customHeight="1">
      <x:c r="A146" t="n">
        <x:v>145</x:v>
      </x:c>
      <x:c r="B146" t="n">
        <x:v>73</x:v>
      </x:c>
      <x:c r="C146" t="n">
        <x:v>11</x:v>
      </x:c>
      <x:c r="D146" t="str">
        <x:v>午餐</x:v>
      </x:c>
      <x:c r="E146" t="str">
        <x:v>海鲜</x:v>
      </x:c>
      <x:c r="F146" s="10" t="str">
        <x:v>香醋花蛤肉配小白菜白萝卜｜杂粮饭</x:v>
      </x:c>
      <x:c r="G146" s="10" t="str">
        <x:v>花蛤肉170g、小白菜175g、白萝卜140g、杂粮饭150g、烹调油3g</x:v>
      </x:c>
      <x:c r="H146" t="str">
        <x:v>杂粮饭</x:v>
      </x:c>
      <x:c r="I146" s="10" t="str">
        <x:v>低主食需求可将主食减1/3，另加100g非淀粉蔬菜（营养值需重算）</x:v>
      </x:c>
      <x:c r="J146" s="10" t="str">
        <x:v>香醋、蒜末、少量生抽</x:v>
      </x:c>
      <x:c r="K146" t="str">
        <x:v>水煮</x:v>
      </x:c>
      <x:c r="L146" s="10" t="str">
        <x:v>食材分别煮至熟，淋香醋蒜汁，拌匀即食；杂粮饭另煮熟或蒸好后同餐食用。</x:v>
      </x:c>
      <x:c r="M146" t="n">
        <x:v>15</x:v>
      </x:c>
      <x:c r="N146" t="n">
        <x:f>ROUND(SUM('食材明细'!H866:H871),0)</x:f>
        <x:v>382</x:v>
      </x:c>
      <x:c r="O146" t="n">
        <x:f>ROUND(SUM('食材明细'!J866:J871),1)</x:f>
        <x:v>30.4</x:v>
      </x:c>
      <x:c r="P146" t="n">
        <x:f>ROUND(SUM('食材明细'!L866:L871),1)</x:f>
        <x:v>51.7</x:v>
      </x:c>
      <x:c r="Q146" t="n">
        <x:f>ROUND(SUM('食材明细'!N866:N871),1)</x:f>
        <x:v>6.8</x:v>
      </x:c>
      <x:c r="R146" s="10" t="str">
        <x:v>调料尽量低盐，不加白砂糖；油重已计入热量。</x:v>
      </x:c>
    </x:row>
    <x:row r="147" ht="37" customHeight="1">
      <x:c r="A147" t="n">
        <x:v>146</x:v>
      </x:c>
      <x:c r="B147" t="n">
        <x:v>73</x:v>
      </x:c>
      <x:c r="C147" t="n">
        <x:v>11</x:v>
      </x:c>
      <x:c r="D147" t="str">
        <x:v>晚餐</x:v>
      </x:c>
      <x:c r="E147" t="str">
        <x:v>牛肉</x:v>
      </x:c>
      <x:c r="F147" s="10" t="str">
        <x:v>蚝香牛里脊配番茄丝瓜｜全麦面</x:v>
      </x:c>
      <x:c r="G147" s="10" t="str">
        <x:v>牛里脊180g、熟毛豆仁70g、番茄190g、丝瓜140g、全麦面125g、烹调油5g</x:v>
      </x:c>
      <x:c r="H147" t="str">
        <x:v>全麦面</x:v>
      </x:c>
      <x:c r="I147" s="10" t="str">
        <x:v>低主食需求可将主食减1/3，另加100g非淀粉蔬菜（营养值需重算）</x:v>
      </x:c>
      <x:c r="J147" s="10" t="str">
        <x:v>低钠蚝油少量、姜蒜</x:v>
      </x:c>
      <x:c r="K147" t="str">
        <x:v>少油烩</x:v>
      </x:c>
      <x:c r="L147" s="10" t="str">
        <x:v>主食材和蔬菜少油少水烩熟，起锅前点少量蚝油；面/魔芋丝煮熟后与菜合碗。</x:v>
      </x:c>
      <x:c r="M147" t="n">
        <x:v>15</x:v>
      </x:c>
      <x:c r="N147" t="n">
        <x:f>ROUND(SUM('食材明细'!H872:H877),0)</x:f>
        <x:v>584</x:v>
      </x:c>
      <x:c r="O147" t="n">
        <x:f>ROUND(SUM('食材明细'!J872:J877),1)</x:f>
        <x:v>55.6</x:v>
      </x:c>
      <x:c r="P147" t="n">
        <x:f>ROUND(SUM('食材明细'!L872:L877),1)</x:f>
        <x:v>50.8</x:v>
      </x:c>
      <x:c r="Q147" t="n">
        <x:f>ROUND(SUM('食材明细'!N872:N877),1)</x:f>
        <x:v>19.2</x:v>
      </x:c>
      <x:c r="R147" s="10" t="str">
        <x:v>调料尽量低盐，不加白砂糖；油重已计入热量。</x:v>
      </x:c>
    </x:row>
    <x:row r="148" ht="37" customHeight="1">
      <x:c r="A148" t="n">
        <x:v>147</x:v>
      </x:c>
      <x:c r="B148" t="n">
        <x:v>74</x:v>
      </x:c>
      <x:c r="C148" t="n">
        <x:v>11</x:v>
      </x:c>
      <x:c r="D148" t="str">
        <x:v>午餐</x:v>
      </x:c>
      <x:c r="E148" t="str">
        <x:v>海鲜</x:v>
      </x:c>
      <x:c r="F148" s="10" t="str">
        <x:v>番茄虾仁配冬瓜｜糙米饭</x:v>
      </x:c>
      <x:c r="G148" s="10" t="str">
        <x:v>虾仁160g、番茄175g、冬瓜125g、糙米饭120g、烹调油4g</x:v>
      </x:c>
      <x:c r="H148" t="str">
        <x:v>糙米饭</x:v>
      </x:c>
      <x:c r="I148" s="10" t="str">
        <x:v>低主食需求可将主食减1/3，另加100g非淀粉蔬菜（营养值需重算）</x:v>
      </x:c>
      <x:c r="J148" s="10" t="str">
        <x:v>番茄丁、黑胡椒</x:v>
      </x:c>
      <x:c r="K148" t="str">
        <x:v>炖煮</x:v>
      </x:c>
      <x:c r="L148" s="10" t="str">
        <x:v>番茄出汁后加入主食材和少量水，轻炖至熟，再放配菜；糙米饭另煮熟或蒸好后同餐食用。</x:v>
      </x:c>
      <x:c r="M148" t="n">
        <x:v>20</x:v>
      </x:c>
      <x:c r="N148" t="n">
        <x:f>ROUND(SUM('食材明细'!H878:H883),0)</x:f>
        <x:v>366</x:v>
      </x:c>
      <x:c r="O148" t="n">
        <x:f>ROUND(SUM('食材明细'!J878:J883),1)</x:f>
        <x:v>35.6</x:v>
      </x:c>
      <x:c r="P148" t="n">
        <x:f>ROUND(SUM('食材明细'!L878:L883),1)</x:f>
        <x:v>39.6</x:v>
      </x:c>
      <x:c r="Q148" t="n">
        <x:f>ROUND(SUM('食材明细'!N878:N883),1)</x:f>
        <x:v>7.4</x:v>
      </x:c>
      <x:c r="R148" s="10" t="str">
        <x:v>调料尽量低盐，不加白砂糖；油重已计入热量。</x:v>
      </x:c>
    </x:row>
    <x:row r="149" ht="37" customHeight="1">
      <x:c r="A149" t="n">
        <x:v>148</x:v>
      </x:c>
      <x:c r="B149" t="n">
        <x:v>74</x:v>
      </x:c>
      <x:c r="C149" t="n">
        <x:v>11</x:v>
      </x:c>
      <x:c r="D149" t="str">
        <x:v>晚餐</x:v>
      </x:c>
      <x:c r="E149" t="str">
        <x:v>禽肉</x:v>
      </x:c>
      <x:c r="F149" s="10" t="str">
        <x:v>孜然去皮鸡腿肉配苦瓜玉米笋｜糙米饭</x:v>
      </x:c>
      <x:c r="G149" s="10" t="str">
        <x:v>去皮鸡腿肉145g、苦瓜175g、玉米笋125g、糙米饭135g、烹调油5g</x:v>
      </x:c>
      <x:c r="H149" t="str">
        <x:v>糙米饭</x:v>
      </x:c>
      <x:c r="I149" s="10" t="str">
        <x:v>低主食需求可将主食减1/3，另加100g非淀粉蔬菜（营养值需重算）</x:v>
      </x:c>
      <x:c r="J149" s="10" t="str">
        <x:v>孜然、辣椒粉、蒜末</x:v>
      </x:c>
      <x:c r="K149" t="str">
        <x:v>少油焖</x:v>
      </x:c>
      <x:c r="L149" s="10" t="str">
        <x:v>先去皮去骨并切薄，充分加热；主食材用少量油和水焖熟，下蔬菜翻拌，撒孜然；糙米饭另煮熟或蒸好后同餐食用。</x:v>
      </x:c>
      <x:c r="M149" t="n">
        <x:v>25</x:v>
      </x:c>
      <x:c r="N149" t="n">
        <x:f>ROUND(SUM('食材明细'!H884:H889),0)</x:f>
        <x:v>443</x:v>
      </x:c>
      <x:c r="O149" t="n">
        <x:f>ROUND(SUM('食材明细'!J884:J889),1)</x:f>
        <x:v>36.8</x:v>
      </x:c>
      <x:c r="P149" t="n">
        <x:f>ROUND(SUM('食材明细'!L884:L889),1)</x:f>
        <x:v>45</x:v>
      </x:c>
      <x:c r="Q149" t="n">
        <x:f>ROUND(SUM('食材明细'!N884:N889),1)</x:f>
        <x:v>14</x:v>
      </x:c>
      <x:c r="R149" s="10" t="str">
        <x:v>调料尽量低盐，不加白砂糖；油重已计入热量。</x:v>
      </x:c>
    </x:row>
    <x:row r="150" ht="37" customHeight="1">
      <x:c r="A150" t="n">
        <x:v>149</x:v>
      </x:c>
      <x:c r="B150" t="n">
        <x:v>75</x:v>
      </x:c>
      <x:c r="C150" t="n">
        <x:v>11</x:v>
      </x:c>
      <x:c r="D150" t="str">
        <x:v>午餐</x:v>
      </x:c>
      <x:c r="E150" t="str">
        <x:v>禽肉</x:v>
      </x:c>
      <x:c r="F150" s="10" t="str">
        <x:v>豉汁去皮鸡腿肉配西兰花口蘑｜紫薯</x:v>
      </x:c>
      <x:c r="G150" s="10" t="str">
        <x:v>去皮鸡腿肉175g、熟毛豆仁50g、西兰花190g、口蘑140g、紫薯110g、烹调油3g</x:v>
      </x:c>
      <x:c r="H150" t="str">
        <x:v>紫薯</x:v>
      </x:c>
      <x:c r="I150" s="10" t="str">
        <x:v>想减主食可减到原量2/3，另加100g绿叶菜</x:v>
      </x:c>
      <x:c r="J150" s="10" t="str">
        <x:v>少量豆豉、姜末</x:v>
      </x:c>
      <x:c r="K150" t="str">
        <x:v>蒸</x:v>
      </x:c>
      <x:c r="L150" s="10" t="str">
        <x:v>先去皮去骨并切薄，充分加热；豆豉冲洗剁碎，与姜末拌主食材后蒸熟；蔬菜另煮；紫薯另煮熟或蒸好后同餐食用。</x:v>
      </x:c>
      <x:c r="M150" t="n">
        <x:v>15</x:v>
      </x:c>
      <x:c r="N150" t="n">
        <x:f>ROUND(SUM('食材明细'!H890:H895),0)</x:f>
        <x:v>506</x:v>
      </x:c>
      <x:c r="O150" t="n">
        <x:f>ROUND(SUM('食材明细'!J890:J895),1)</x:f>
        <x:v>52.4</x:v>
      </x:c>
      <x:c r="P150" t="n">
        <x:f>ROUND(SUM('食材明细'!L890:L895),1)</x:f>
        <x:v>46.6</x:v>
      </x:c>
      <x:c r="Q150" t="n">
        <x:f>ROUND(SUM('食材明细'!N890:N895),1)</x:f>
        <x:v>15.5</x:v>
      </x:c>
      <x:c r="R150" s="10" t="str">
        <x:v>调料尽量低盐，不加白砂糖；油重已计入热量。</x:v>
      </x:c>
    </x:row>
    <x:row r="151" ht="37" customHeight="1">
      <x:c r="A151" t="n">
        <x:v>150</x:v>
      </x:c>
      <x:c r="B151" t="n">
        <x:v>75</x:v>
      </x:c>
      <x:c r="C151" t="n">
        <x:v>11</x:v>
      </x:c>
      <x:c r="D151" t="str">
        <x:v>晚餐</x:v>
      </x:c>
      <x:c r="E151" t="str">
        <x:v>海鲜</x:v>
      </x:c>
      <x:c r="F151" s="10" t="str">
        <x:v>豉汁扇贝肉配小白菜口蘑｜荞麦面</x:v>
      </x:c>
      <x:c r="G151" s="10" t="str">
        <x:v>扇贝肉170g、小白菜190g、口蘑125g、荞麦面135g、烹调油6g</x:v>
      </x:c>
      <x:c r="H151" t="str">
        <x:v>荞麦面</x:v>
      </x:c>
      <x:c r="I151" s="10" t="str">
        <x:v>低主食需求可将主食减1/3，另加100g非淀粉蔬菜（营养值需重算）</x:v>
      </x:c>
      <x:c r="J151" s="10" t="str">
        <x:v>少量豆豉、姜末</x:v>
      </x:c>
      <x:c r="K151" t="str">
        <x:v>蒸</x:v>
      </x:c>
      <x:c r="L151" s="10" t="str">
        <x:v>豆豉冲洗剁碎，与姜末拌主食材后蒸熟；蔬菜另煮；面/魔芋丝煮熟后与菜合碗。</x:v>
      </x:c>
      <x:c r="M151" t="n">
        <x:v>25</x:v>
      </x:c>
      <x:c r="N151" t="n">
        <x:f>ROUND(SUM('食材明细'!H896:H901),0)</x:f>
        <x:v>409</x:v>
      </x:c>
      <x:c r="O151" t="n">
        <x:f>ROUND(SUM('食材明细'!J896:J901),1)</x:f>
        <x:v>41.2</x:v>
      </x:c>
      <x:c r="P151" t="n">
        <x:f>ROUND(SUM('食材明细'!L896:L901),1)</x:f>
        <x:v>42.9</x:v>
      </x:c>
      <x:c r="Q151" t="n">
        <x:f>ROUND(SUM('食材明细'!N896:N901),1)</x:f>
        <x:v>9.1</x:v>
      </x:c>
      <x:c r="R151" s="10" t="str">
        <x:v>调料尽量低盐，不加白砂糖；油重已计入热量。</x:v>
      </x:c>
    </x:row>
    <x:row r="152" ht="37" customHeight="1">
      <x:c r="A152" t="n">
        <x:v>151</x:v>
      </x:c>
      <x:c r="B152" t="n">
        <x:v>76</x:v>
      </x:c>
      <x:c r="C152" t="n">
        <x:v>11</x:v>
      </x:c>
      <x:c r="D152" t="str">
        <x:v>午餐</x:v>
      </x:c>
      <x:c r="E152" t="str">
        <x:v>猪肉</x:v>
      </x:c>
      <x:c r="F152" s="10" t="str">
        <x:v>酸汤猪里脊配西葫芦洋葱｜紫薯</x:v>
      </x:c>
      <x:c r="G152" s="10" t="str">
        <x:v>猪里脊175g、西葫芦175g、洋葱155g、紫薯135g、烹调油6g</x:v>
      </x:c>
      <x:c r="H152" t="str">
        <x:v>紫薯</x:v>
      </x:c>
      <x:c r="I152" s="10" t="str">
        <x:v>想减主食可减到原量2/3，另加100g绿叶菜</x:v>
      </x:c>
      <x:c r="J152" s="10" t="str">
        <x:v>米醋、番茄、少许辣椒</x:v>
      </x:c>
      <x:c r="K152" t="str">
        <x:v>水煮</x:v>
      </x:c>
      <x:c r="L152" s="10" t="str">
        <x:v>番茄煮成酸汤，主食材汆熟，加入蔬菜再煮2～5分钟；紫薯另煮熟或蒸好后同餐食用。</x:v>
      </x:c>
      <x:c r="M152" t="n">
        <x:v>30</x:v>
      </x:c>
      <x:c r="N152" t="n">
        <x:f>ROUND(SUM('食材明细'!H902:H907),0)</x:f>
        <x:v>484</x:v>
      </x:c>
      <x:c r="O152" t="n">
        <x:f>ROUND(SUM('食材明细'!J902:J907),1)</x:f>
        <x:v>42.7</x:v>
      </x:c>
      <x:c r="P152" t="n">
        <x:f>ROUND(SUM('食材明细'!L902:L907),1)</x:f>
        <x:v>49.6</x:v>
      </x:c>
      <x:c r="Q152" t="n">
        <x:f>ROUND(SUM('食材明细'!N902:N907),1)</x:f>
        <x:v>13</x:v>
      </x:c>
      <x:c r="R152" s="10" t="str">
        <x:v>调料尽量低盐，不加白砂糖；油重已计入热量。</x:v>
      </x:c>
    </x:row>
    <x:row r="153" ht="37" customHeight="1">
      <x:c r="A153" t="n">
        <x:v>152</x:v>
      </x:c>
      <x:c r="B153" t="n">
        <x:v>76</x:v>
      </x:c>
      <x:c r="C153" t="n">
        <x:v>11</x:v>
      </x:c>
      <x:c r="D153" t="str">
        <x:v>晚餐</x:v>
      </x:c>
      <x:c r="E153" t="str">
        <x:v>牛肉</x:v>
      </x:c>
      <x:c r="F153" s="10" t="str">
        <x:v>豉汁瘦牛肉配娃娃菜芦笋｜红薯</x:v>
      </x:c>
      <x:c r="G153" s="10" t="str">
        <x:v>瘦牛肉160g、娃娃菜160g、芦笋110g、红薯125g、烹调油5g</x:v>
      </x:c>
      <x:c r="H153" t="str">
        <x:v>红薯</x:v>
      </x:c>
      <x:c r="I153" s="10" t="str">
        <x:v>想减主食可减到原量2/3，另加100g绿叶菜</x:v>
      </x:c>
      <x:c r="J153" s="10" t="str">
        <x:v>少量豆豉、姜末</x:v>
      </x:c>
      <x:c r="K153" t="str">
        <x:v>蒸</x:v>
      </x:c>
      <x:c r="L153" s="10" t="str">
        <x:v>豆豉冲洗剁碎，与姜末拌主食材后蒸熟；蔬菜另煮；红薯另煮熟或蒸好后同餐食用。</x:v>
      </x:c>
      <x:c r="M153" t="n">
        <x:v>15</x:v>
      </x:c>
      <x:c r="N153" t="n">
        <x:f>ROUND(SUM('食材明细'!H908:H913),0)</x:f>
        <x:v>404</x:v>
      </x:c>
      <x:c r="O153" t="n">
        <x:f>ROUND(SUM('食材明细'!J908:J913),1)</x:f>
        <x:v>40.1</x:v>
      </x:c>
      <x:c r="P153" t="n">
        <x:f>ROUND(SUM('食材明细'!L908:L913),1)</x:f>
        <x:v>34.7</x:v>
      </x:c>
      <x:c r="Q153" t="n">
        <x:f>ROUND(SUM('食材明细'!N908:N913),1)</x:f>
        <x:v>12</x:v>
      </x:c>
      <x:c r="R153" s="10" t="str">
        <x:v>调料尽量低盐，不加白砂糖；油重已计入热量。</x:v>
      </x:c>
    </x:row>
    <x:row r="154" ht="37" customHeight="1">
      <x:c r="A154" t="n">
        <x:v>153</x:v>
      </x:c>
      <x:c r="B154" t="n">
        <x:v>77</x:v>
      </x:c>
      <x:c r="C154" t="n">
        <x:v>11</x:v>
      </x:c>
      <x:c r="D154" t="str">
        <x:v>午餐</x:v>
      </x:c>
      <x:c r="E154" t="str">
        <x:v>鱼类</x:v>
      </x:c>
      <x:c r="F154" s="10" t="str">
        <x:v>蒜香鲈鱼配生菜番茄｜山药</x:v>
      </x:c>
      <x:c r="G154" s="10" t="str">
        <x:v>鲈鱼175g、生菜160g、番茄110g、山药130g、烹调油6g</x:v>
      </x:c>
      <x:c r="H154" t="str">
        <x:v>山药</x:v>
      </x:c>
      <x:c r="I154" s="10" t="str">
        <x:v>想减主食可减到原量2/3，另加100g绿叶菜</x:v>
      </x:c>
      <x:c r="J154" s="10" t="str">
        <x:v>蒜末、白胡椒</x:v>
      </x:c>
      <x:c r="K154" t="str">
        <x:v>蒸</x:v>
      </x:c>
      <x:c r="L154" s="10" t="str">
        <x:v>鱼肉去刺，彻底做熟；食材切块，撒蒜末；上锅蒸熟，蔬菜另焯后拌匀；山药另煮熟或蒸好后同餐食用。</x:v>
      </x:c>
      <x:c r="M154" t="n">
        <x:v>25</x:v>
      </x:c>
      <x:c r="N154" t="n">
        <x:f>ROUND(SUM('食材明细'!H914:H919),0)</x:f>
        <x:v>366</x:v>
      </x:c>
      <x:c r="O154" t="n">
        <x:f>ROUND(SUM('食材明细'!J914:J919),1)</x:f>
        <x:v>38.4</x:v>
      </x:c>
      <x:c r="P154" t="n">
        <x:f>ROUND(SUM('食材明细'!L914:L919),1)</x:f>
        <x:v>27.4</x:v>
      </x:c>
      <x:c r="Q154" t="n">
        <x:f>ROUND(SUM('食材明细'!N914:N919),1)</x:f>
        <x:v>11.8</x:v>
      </x:c>
      <x:c r="R154" s="10" t="str">
        <x:v>调料尽量低盐，不加白砂糖；油重已计入热量。</x:v>
      </x:c>
    </x:row>
    <x:row r="155" ht="37" customHeight="1">
      <x:c r="A155" t="n">
        <x:v>154</x:v>
      </x:c>
      <x:c r="B155" t="n">
        <x:v>77</x:v>
      </x:c>
      <x:c r="C155" t="n">
        <x:v>11</x:v>
      </x:c>
      <x:c r="D155" t="str">
        <x:v>晚餐</x:v>
      </x:c>
      <x:c r="E155" t="str">
        <x:v>海鲜</x:v>
      </x:c>
      <x:c r="F155" s="10" t="str">
        <x:v>豉汁虾仁配苦瓜莴笋｜紫薯</x:v>
      </x:c>
      <x:c r="G155" s="10" t="str">
        <x:v>虾仁175g、苦瓜175g、莴笋110g、紫薯145g、烹调油3g</x:v>
      </x:c>
      <x:c r="H155" t="str">
        <x:v>紫薯</x:v>
      </x:c>
      <x:c r="I155" s="10" t="str">
        <x:v>想减主食可减到原量2/3，另加100g绿叶菜</x:v>
      </x:c>
      <x:c r="J155" s="10" t="str">
        <x:v>少量豆豉、姜末</x:v>
      </x:c>
      <x:c r="K155" t="str">
        <x:v>蒸</x:v>
      </x:c>
      <x:c r="L155" s="10" t="str">
        <x:v>豆豉冲洗剁碎，与姜末拌主食材后蒸熟；蔬菜另煮；紫薯另煮熟或蒸好后同餐食用。</x:v>
      </x:c>
      <x:c r="M155" t="n">
        <x:v>25</x:v>
      </x:c>
      <x:c r="N155" t="n">
        <x:f>ROUND(SUM('食材明细'!H920:H925),0)</x:f>
        <x:v>372</x:v>
      </x:c>
      <x:c r="O155" t="n">
        <x:f>ROUND(SUM('食材明细'!J920:J925),1)</x:f>
        <x:v>38.4</x:v>
      </x:c>
      <x:c r="P155" t="n">
        <x:f>ROUND(SUM('食材明细'!L920:L925),1)</x:f>
        <x:v>42.8</x:v>
      </x:c>
      <x:c r="Q155" t="n">
        <x:f>ROUND(SUM('食材明细'!N920:N925),1)</x:f>
        <x:v>5.5</x:v>
      </x:c>
      <x:c r="R155" s="10" t="str">
        <x:v>调料尽量低盐，不加白砂糖；油重已计入热量。</x:v>
      </x:c>
    </x:row>
    <x:row r="156" ht="37" customHeight="1">
      <x:c r="A156" t="n">
        <x:v>155</x:v>
      </x:c>
      <x:c r="B156" t="n">
        <x:v>78</x:v>
      </x:c>
      <x:c r="C156" t="n">
        <x:v>12</x:v>
      </x:c>
      <x:c r="D156" t="str">
        <x:v>午餐</x:v>
      </x:c>
      <x:c r="E156" t="str">
        <x:v>豆蛋</x:v>
      </x:c>
      <x:c r="F156" s="10" t="str">
        <x:v>葱姜清蒸嫩豆腐熟毛豆仁烩茼蒿泡发木耳｜藜麦饭</x:v>
      </x:c>
      <x:c r="G156" s="10" t="str">
        <x:v>嫩豆腐280g、熟毛豆仁50g、茼蒿175g、泡发木耳155g、藜麦饭150g、烹调油6g</x:v>
      </x:c>
      <x:c r="H156" t="str">
        <x:v>藜麦饭</x:v>
      </x:c>
      <x:c r="I156" s="10" t="str">
        <x:v>低主食需求可将主食减1/3，另加100g非淀粉蔬菜（营养值需重算）</x:v>
      </x:c>
      <x:c r="J156" s="10" t="str">
        <x:v>葱姜、少量低盐生抽</x:v>
      </x:c>
      <x:c r="K156" t="str">
        <x:v>蒸</x:v>
      </x:c>
      <x:c r="L156" s="10" t="str">
        <x:v>切片腌5分钟；肉和配菜入盘，蒸至熟透；淋葱姜汁；藜麦饭另煮熟或蒸好后同餐食用。</x:v>
      </x:c>
      <x:c r="M156" t="n">
        <x:v>25</x:v>
      </x:c>
      <x:c r="N156" t="n">
        <x:f>ROUND(SUM('食材明细'!H926:H931),0)</x:f>
        <x:v>529</x:v>
      </x:c>
      <x:c r="O156" t="n">
        <x:f>ROUND(SUM('食材明细'!J926:J931),1)</x:f>
        <x:v>32.3</x:v>
      </x:c>
      <x:c r="P156" t="n">
        <x:f>ROUND(SUM('食材明细'!L926:L931),1)</x:f>
        <x:v>58.9</x:v>
      </x:c>
      <x:c r="Q156" t="n">
        <x:f>ROUND(SUM('食材明细'!N926:N931),1)</x:f>
        <x:v>19.9</x:v>
      </x:c>
      <x:c r="R156" s="10" t="str">
        <x:v>调料尽量低盐，不加白砂糖；油重已计入热量。</x:v>
      </x:c>
    </x:row>
    <x:row r="157" ht="37" customHeight="1">
      <x:c r="A157" t="n">
        <x:v>156</x:v>
      </x:c>
      <x:c r="B157" t="n">
        <x:v>78</x:v>
      </x:c>
      <x:c r="C157" t="n">
        <x:v>12</x:v>
      </x:c>
      <x:c r="D157" t="str">
        <x:v>晚餐</x:v>
      </x:c>
      <x:c r="E157" t="str">
        <x:v>海鲜</x:v>
      </x:c>
      <x:c r="F157" s="10" t="str">
        <x:v>菌菇鱿鱼配苦瓜杏鲍菇｜玉米</x:v>
      </x:c>
      <x:c r="G157" s="10" t="str">
        <x:v>鱿鱼160g、苦瓜160g、杏鲍菇140g、玉米95g、烹调油3g</x:v>
      </x:c>
      <x:c r="H157" t="str">
        <x:v>玉米</x:v>
      </x:c>
      <x:c r="I157" s="10" t="str">
        <x:v>想减主食可减到原量2/3，另加100g绿叶菜</x:v>
      </x:c>
      <x:c r="J157" s="10" t="str">
        <x:v>姜片、香菇汁</x:v>
      </x:c>
      <x:c r="K157" t="str">
        <x:v>焖煮</x:v>
      </x:c>
      <x:c r="L157" s="10" t="str">
        <x:v>食材与菌菇加少量水焖熟，出锅前加少量低盐生抽；玉米另煮熟或蒸好后同餐食用。</x:v>
      </x:c>
      <x:c r="M157" t="n">
        <x:v>20</x:v>
      </x:c>
      <x:c r="N157" t="n">
        <x:f>ROUND(SUM('食材明细'!H932:H937),0)</x:f>
        <x:v>358</x:v>
      </x:c>
      <x:c r="O157" t="n">
        <x:f>ROUND(SUM('食材明细'!J932:J937),1)</x:f>
        <x:v>34.8</x:v>
      </x:c>
      <x:c r="P157" t="n">
        <x:f>ROUND(SUM('食材明细'!L932:L937),1)</x:f>
        <x:v>41</x:v>
      </x:c>
      <x:c r="Q157" t="n">
        <x:f>ROUND(SUM('食材明细'!N932:N937),1)</x:f>
        <x:v>7.4</x:v>
      </x:c>
      <x:c r="R157" s="10" t="str">
        <x:v>调料尽量低盐，不加白砂糖；油重已计入热量。</x:v>
      </x:c>
    </x:row>
    <x:row r="158" ht="37" customHeight="1">
      <x:c r="A158" t="n">
        <x:v>157</x:v>
      </x:c>
      <x:c r="B158" t="n">
        <x:v>79</x:v>
      </x:c>
      <x:c r="C158" t="n">
        <x:v>12</x:v>
      </x:c>
      <x:c r="D158" t="str">
        <x:v>午餐</x:v>
      </x:c>
      <x:c r="E158" t="str">
        <x:v>鱼类</x:v>
      </x:c>
      <x:c r="F158" s="10" t="str">
        <x:v>酸汤鲈鱼配丝瓜绿豆芽｜荞麦面</x:v>
      </x:c>
      <x:c r="G158" s="10" t="str">
        <x:v>鲈鱼175g、丝瓜160g、绿豆芽140g、荞麦面125g、烹调油6g</x:v>
      </x:c>
      <x:c r="H158" t="str">
        <x:v>荞麦面</x:v>
      </x:c>
      <x:c r="I158" s="10" t="str">
        <x:v>低主食需求可将主食减1/3，另加100g非淀粉蔬菜（营养值需重算）</x:v>
      </x:c>
      <x:c r="J158" s="10" t="str">
        <x:v>米醋、番茄、少许辣椒</x:v>
      </x:c>
      <x:c r="K158" t="str">
        <x:v>水煮</x:v>
      </x:c>
      <x:c r="L158" s="10" t="str">
        <x:v>鱼肉去刺，彻底做熟；番茄煮成酸汤，主食材汆熟，加入蔬菜再煮2～5分钟；面/魔芋丝煮熟后与菜合碗。</x:v>
      </x:c>
      <x:c r="M158" t="n">
        <x:v>30</x:v>
      </x:c>
      <x:c r="N158" t="n">
        <x:f>ROUND(SUM('食材明细'!H938:H943),0)</x:f>
        <x:v>444</x:v>
      </x:c>
      <x:c r="O158" t="n">
        <x:f>ROUND(SUM('食材明细'!J938:J943),1)</x:f>
        <x:v>44.1</x:v>
      </x:c>
      <x:c r="P158" t="n">
        <x:f>ROUND(SUM('食材明细'!L938:L943),1)</x:f>
        <x:v>41.1</x:v>
      </x:c>
      <x:c r="Q158" t="n">
        <x:f>ROUND(SUM('食材明细'!N938:N943),1)</x:f>
        <x:v>12.7</x:v>
      </x:c>
      <x:c r="R158" s="10" t="str">
        <x:v>调料尽量低盐，不加白砂糖；油重已计入热量。</x:v>
      </x:c>
    </x:row>
    <x:row r="159" ht="37" customHeight="1">
      <x:c r="A159" t="n">
        <x:v>158</x:v>
      </x:c>
      <x:c r="B159" t="n">
        <x:v>79</x:v>
      </x:c>
      <x:c r="C159" t="n">
        <x:v>12</x:v>
      </x:c>
      <x:c r="D159" t="str">
        <x:v>晚餐</x:v>
      </x:c>
      <x:c r="E159" t="str">
        <x:v>牛肉</x:v>
      </x:c>
      <x:c r="F159" s="10" t="str">
        <x:v>椒麻牛腱子配生菜黄瓜｜荞麦面</x:v>
      </x:c>
      <x:c r="G159" s="10" t="str">
        <x:v>牛腱子145g、生菜190g、黄瓜140g、荞麦面80g、烹调油4g</x:v>
      </x:c>
      <x:c r="H159" t="str">
        <x:v>荞麦面</x:v>
      </x:c>
      <x:c r="I159" s="10" t="str">
        <x:v>低主食需求可将主食减1/3，另加100g非淀粉蔬菜（营养值需重算）</x:v>
      </x:c>
      <x:c r="J159" s="10" t="str">
        <x:v>花椒、蒜、少量醋</x:v>
      </x:c>
      <x:c r="K159" t="str">
        <x:v>水煮</x:v>
      </x:c>
      <x:c r="L159" s="10" t="str">
        <x:v>花椒温水浸出味道，煮熟主食材和配菜，少油拌汁；面/魔芋丝煮熟后与菜合碗。</x:v>
      </x:c>
      <x:c r="M159" t="n">
        <x:v>25</x:v>
      </x:c>
      <x:c r="N159" t="n">
        <x:f>ROUND(SUM('食材明细'!H944:H949),0)</x:f>
        <x:v>376</x:v>
      </x:c>
      <x:c r="O159" t="n">
        <x:f>ROUND(SUM('食材明细'!J944:J949),1)</x:f>
        <x:v>37.3</x:v>
      </x:c>
      <x:c r="P159" t="n">
        <x:f>ROUND(SUM('食材明细'!L944:L949),1)</x:f>
        <x:v>27.4</x:v>
      </x:c>
      <x:c r="Q159" t="n">
        <x:f>ROUND(SUM('食材明细'!N944:N949),1)</x:f>
        <x:v>13.6</x:v>
      </x:c>
      <x:c r="R159" s="10" t="str">
        <x:v>调料尽量低盐，不加白砂糖；油重已计入热量。</x:v>
      </x:c>
    </x:row>
    <x:row r="160" ht="37" customHeight="1">
      <x:c r="A160" t="n">
        <x:v>159</x:v>
      </x:c>
      <x:c r="B160" t="n">
        <x:v>80</x:v>
      </x:c>
      <x:c r="C160" t="n">
        <x:v>12</x:v>
      </x:c>
      <x:c r="D160" t="str">
        <x:v>午餐</x:v>
      </x:c>
      <x:c r="E160" t="str">
        <x:v>海鲜</x:v>
      </x:c>
      <x:c r="F160" s="10" t="str">
        <x:v>番茄虾仁配香菇｜杂粮饭</x:v>
      </x:c>
      <x:c r="G160" s="10" t="str">
        <x:v>虾仁160g、番茄190g、香菇110g、杂粮饭135g、烹调油6g</x:v>
      </x:c>
      <x:c r="H160" t="str">
        <x:v>杂粮饭</x:v>
      </x:c>
      <x:c r="I160" s="10" t="str">
        <x:v>低主食需求可将主食减1/3，另加100g非淀粉蔬菜（营养值需重算）</x:v>
      </x:c>
      <x:c r="J160" s="10" t="str">
        <x:v>番茄丁、黑胡椒</x:v>
      </x:c>
      <x:c r="K160" t="str">
        <x:v>炖煮</x:v>
      </x:c>
      <x:c r="L160" s="10" t="str">
        <x:v>番茄出汁后加入主食材和少量水，轻炖至熟，再放配菜；杂粮饭另煮熟或蒸好后同餐食用。</x:v>
      </x:c>
      <x:c r="M160" t="n">
        <x:v>20</x:v>
      </x:c>
      <x:c r="N160" t="n">
        <x:f>ROUND(SUM('食材明细'!H950:H955),0)</x:f>
        <x:v>429</x:v>
      </x:c>
      <x:c r="O160" t="n">
        <x:f>ROUND(SUM('食材明细'!J950:J955),1)</x:f>
        <x:v>38.7</x:v>
      </x:c>
      <x:c r="P160" t="n">
        <x:f>ROUND(SUM('食材明细'!L950:L955),1)</x:f>
        <x:v>47.5</x:v>
      </x:c>
      <x:c r="Q160" t="n">
        <x:f>ROUND(SUM('食材明细'!N950:N955),1)</x:f>
        <x:v>10.2</x:v>
      </x:c>
      <x:c r="R160" s="10" t="str">
        <x:v>调料尽量低盐，不加白砂糖；油重已计入热量。</x:v>
      </x:c>
    </x:row>
    <x:row r="161" ht="37" customHeight="1">
      <x:c r="A161" t="n">
        <x:v>160</x:v>
      </x:c>
      <x:c r="B161" t="n">
        <x:v>80</x:v>
      </x:c>
      <x:c r="C161" t="n">
        <x:v>12</x:v>
      </x:c>
      <x:c r="D161" t="str">
        <x:v>晚餐</x:v>
      </x:c>
      <x:c r="E161" t="str">
        <x:v>豆蛋</x:v>
      </x:c>
      <x:c r="F161" s="10" t="str">
        <x:v>葱姜清蒸鸡蛋北豆腐烩西葫芦洋葱｜藜麦饭</x:v>
      </x:c>
      <x:c r="G161" s="10" t="str">
        <x:v>鸡蛋110g、北豆腐130g、西葫芦140g、洋葱110g、藜麦饭125g、烹调油5g</x:v>
      </x:c>
      <x:c r="H161" t="str">
        <x:v>藜麦饭</x:v>
      </x:c>
      <x:c r="I161" s="10" t="str">
        <x:v>低主食需求可将主食减1/3，另加100g非淀粉蔬菜（营养值需重算）</x:v>
      </x:c>
      <x:c r="J161" s="10" t="str">
        <x:v>葱姜、少量低盐生抽</x:v>
      </x:c>
      <x:c r="K161" t="str">
        <x:v>蒸</x:v>
      </x:c>
      <x:c r="L161" s="10" t="str">
        <x:v>鸡蛋先打散成蛋液；切片腌5分钟；肉和配菜入盘，蒸至熟透；淋葱姜汁；藜麦饭另煮熟或蒸好后同餐食用。</x:v>
      </x:c>
      <x:c r="M161" t="n">
        <x:v>25</x:v>
      </x:c>
      <x:c r="N161" t="n">
        <x:f>ROUND(SUM('食材明细'!H956:H961),0)</x:f>
        <x:v>538</x:v>
      </x:c>
      <x:c r="O161" t="n">
        <x:f>ROUND(SUM('食材明细'!J956:J961),1)</x:f>
        <x:v>35.7</x:v>
      </x:c>
      <x:c r="P161" t="n">
        <x:f>ROUND(SUM('食材明细'!L956:L961),1)</x:f>
        <x:v>45</x:v>
      </x:c>
      <x:c r="Q161" t="n">
        <x:f>ROUND(SUM('食材明细'!N956:N961),1)</x:f>
        <x:v>25.4</x:v>
      </x:c>
      <x:c r="R161" s="10" t="str">
        <x:v>调料尽量低盐，不加白砂糖；油重已计入热量。</x:v>
      </x:c>
    </x:row>
    <x:row r="162" ht="37" customHeight="1">
      <x:c r="A162" t="n">
        <x:v>161</x:v>
      </x:c>
      <x:c r="B162" t="n">
        <x:v>81</x:v>
      </x:c>
      <x:c r="C162" t="n">
        <x:v>12</x:v>
      </x:c>
      <x:c r="D162" t="str">
        <x:v>午餐</x:v>
      </x:c>
      <x:c r="E162" t="str">
        <x:v>牛肉</x:v>
      </x:c>
      <x:c r="F162" s="10" t="str">
        <x:v>黑椒牛腱子配芦笋紫甘蓝｜燕麦饭</x:v>
      </x:c>
      <x:c r="G162" s="10" t="str">
        <x:v>牛腱子185g、芦笋190g、紫甘蓝125g、燕麦饭165g、烹调油4g</x:v>
      </x:c>
      <x:c r="H162" t="str">
        <x:v>燕麦饭</x:v>
      </x:c>
      <x:c r="I162" s="10" t="str">
        <x:v>低主食需求可将主食减1/3，另加100g非淀粉蔬菜（营养值需重算）</x:v>
      </x:c>
      <x:c r="J162" s="10" t="str">
        <x:v>黑胡椒、蒜末</x:v>
      </x:c>
      <x:c r="K162" t="str">
        <x:v>少油烩</x:v>
      </x:c>
      <x:c r="L162" s="10" t="str">
        <x:v>锅加少量水和油，先把主食材煮熟，再烩两种蔬菜，收汁撒黑椒；燕麦饭另煮熟或蒸好后同餐食用。</x:v>
      </x:c>
      <x:c r="M162" t="n">
        <x:v>15</x:v>
      </x:c>
      <x:c r="N162" t="n">
        <x:f>ROUND(SUM('食材明细'!H962:H967),0)</x:f>
        <x:v>553</x:v>
      </x:c>
      <x:c r="O162" t="n">
        <x:f>ROUND(SUM('食材明细'!J962:J967),1)</x:f>
        <x:v>50.1</x:v>
      </x:c>
      <x:c r="P162" t="n">
        <x:f>ROUND(SUM('食材明细'!L962:L967),1)</x:f>
        <x:v>51.2</x:v>
      </x:c>
      <x:c r="Q162" t="n">
        <x:f>ROUND(SUM('食材明细'!N962:N967),1)</x:f>
        <x:v>18.4</x:v>
      </x:c>
      <x:c r="R162" s="10" t="str">
        <x:v>调料尽量低盐，不加白砂糖；油重已计入热量。</x:v>
      </x:c>
    </x:row>
    <x:row r="163" ht="37" customHeight="1">
      <x:c r="A163" t="n">
        <x:v>162</x:v>
      </x:c>
      <x:c r="B163" t="n">
        <x:v>81</x:v>
      </x:c>
      <x:c r="C163" t="n">
        <x:v>12</x:v>
      </x:c>
      <x:c r="D163" t="str">
        <x:v>晚餐</x:v>
      </x:c>
      <x:c r="E163" t="str">
        <x:v>猪肉</x:v>
      </x:c>
      <x:c r="F163" s="10" t="str">
        <x:v>番茄猪里脊配紫甘蓝｜糙米饭</x:v>
      </x:c>
      <x:c r="G163" s="10" t="str">
        <x:v>猪里脊180g、番茄175g、紫甘蓝140g、糙米饭110g、烹调油3g</x:v>
      </x:c>
      <x:c r="H163" t="str">
        <x:v>糙米饭</x:v>
      </x:c>
      <x:c r="I163" s="10" t="str">
        <x:v>低主食需求可将主食减1/3，另加100g非淀粉蔬菜（营养值需重算）</x:v>
      </x:c>
      <x:c r="J163" s="10" t="str">
        <x:v>番茄丁、黑胡椒</x:v>
      </x:c>
      <x:c r="K163" t="str">
        <x:v>炖煮</x:v>
      </x:c>
      <x:c r="L163" s="10" t="str">
        <x:v>番茄出汁后加入主食材和少量水，轻炖至熟，再放配菜；糙米饭另煮熟或蒸好后同餐食用。</x:v>
      </x:c>
      <x:c r="M163" t="n">
        <x:v>30</x:v>
      </x:c>
      <x:c r="N163" t="n">
        <x:f>ROUND(SUM('食材明细'!H968:H973),0)</x:f>
        <x:v>445</x:v>
      </x:c>
      <x:c r="O163" t="n">
        <x:f>ROUND(SUM('食材明细'!J968:J973),1)</x:f>
        <x:v>44.2</x:v>
      </x:c>
      <x:c r="P163" t="n">
        <x:f>ROUND(SUM('食材明细'!L968:L973),1)</x:f>
        <x:v>43.1</x:v>
      </x:c>
      <x:c r="Q163" t="n">
        <x:f>ROUND(SUM('食材明细'!N968:N973),1)</x:f>
        <x:v>10.8</x:v>
      </x:c>
      <x:c r="R163" s="10" t="str">
        <x:v>调料尽量低盐，不加白砂糖；油重已计入热量。</x:v>
      </x:c>
    </x:row>
    <x:row r="164" ht="37" customHeight="1">
      <x:c r="A164" t="n">
        <x:v>163</x:v>
      </x:c>
      <x:c r="B164" t="n">
        <x:v>82</x:v>
      </x:c>
      <x:c r="C164" t="n">
        <x:v>12</x:v>
      </x:c>
      <x:c r="D164" t="str">
        <x:v>午餐</x:v>
      </x:c>
      <x:c r="E164" t="str">
        <x:v>牛肉</x:v>
      </x:c>
      <x:c r="F164" s="10" t="str">
        <x:v>剁椒牛腱子配番茄杏鲍菇｜山药</x:v>
      </x:c>
      <x:c r="G164" s="10" t="str">
        <x:v>牛腱子185g、番茄175g、杏鲍菇125g、山药110g、烹调油3g</x:v>
      </x:c>
      <x:c r="H164" t="str">
        <x:v>山药</x:v>
      </x:c>
      <x:c r="I164" s="10" t="str">
        <x:v>想减主食可减到原量2/3，另加100g绿叶菜</x:v>
      </x:c>
      <x:c r="J164" s="10" t="str">
        <x:v>自制低盐剁椒、蒜</x:v>
      </x:c>
      <x:c r="K164" t="str">
        <x:v>蒸</x:v>
      </x:c>
      <x:c r="L164" s="10" t="str">
        <x:v>主食材铺少量低盐剁椒蒸熟，配菜焯熟后摆盘；山药另煮熟或蒸好后同餐食用。</x:v>
      </x:c>
      <x:c r="M164" t="n">
        <x:v>20</x:v>
      </x:c>
      <x:c r="N164" t="n">
        <x:f>ROUND(SUM('食材明细'!H974:H979),0)</x:f>
        <x:v>433</x:v>
      </x:c>
      <x:c r="O164" t="n">
        <x:f>ROUND(SUM('食材明细'!J974:J979),1)</x:f>
        <x:v>44.6</x:v>
      </x:c>
      <x:c r="P164" t="n">
        <x:f>ROUND(SUM('食材明细'!L974:L979),1)</x:f>
        <x:v>31.8</x:v>
      </x:c>
      <x:c r="Q164" t="n">
        <x:f>ROUND(SUM('食材明细'!N974:N979),1)</x:f>
        <x:v>14.9</x:v>
      </x:c>
      <x:c r="R164" s="10" t="str">
        <x:v>调料尽量低盐，不加白砂糖；油重已计入热量。</x:v>
      </x:c>
    </x:row>
    <x:row r="165" ht="37" customHeight="1">
      <x:c r="A165" t="n">
        <x:v>164</x:v>
      </x:c>
      <x:c r="B165" t="n">
        <x:v>82</x:v>
      </x:c>
      <x:c r="C165" t="n">
        <x:v>12</x:v>
      </x:c>
      <x:c r="D165" t="str">
        <x:v>晚餐</x:v>
      </x:c>
      <x:c r="E165" t="str">
        <x:v>猪肉</x:v>
      </x:c>
      <x:c r="F165" s="10" t="str">
        <x:v>无糖照烧猪瘦肉配西兰花洋葱｜糙米饭</x:v>
      </x:c>
      <x:c r="G165" s="10" t="str">
        <x:v>猪瘦肉170g、西兰花140g、洋葱155g、糙米饭110g、烹调油5g</x:v>
      </x:c>
      <x:c r="H165" t="str">
        <x:v>糙米饭</x:v>
      </x:c>
      <x:c r="I165" s="10" t="str">
        <x:v>低主食需求可将主食减1/3，另加100g非淀粉蔬菜（营养值需重算）</x:v>
      </x:c>
      <x:c r="J165" s="10" t="str">
        <x:v>低盐生抽、米醋、洋葱自然甜味</x:v>
      </x:c>
      <x:c r="K165" t="str">
        <x:v>少油煮</x:v>
      </x:c>
      <x:c r="L165" s="10" t="str">
        <x:v>生抽与米醋调汁，不加糖；肉菜加水煮熟后略收汁；糙米饭另煮熟或蒸好后同餐食用。</x:v>
      </x:c>
      <x:c r="M165" t="n">
        <x:v>30</x:v>
      </x:c>
      <x:c r="N165" t="n">
        <x:f>ROUND(SUM('食材明细'!H980:H985),0)</x:f>
        <x:v>499</x:v>
      </x:c>
      <x:c r="O165" t="n">
        <x:f>ROUND(SUM('食材明细'!J980:J985),1)</x:f>
        <x:v>42.5</x:v>
      </x:c>
      <x:c r="P165" t="n">
        <x:f>ROUND(SUM('食材明细'!L980:L985),1)</x:f>
        <x:v>50.1</x:v>
      </x:c>
      <x:c r="Q165" t="n">
        <x:f>ROUND(SUM('食材明细'!N980:N985),1)</x:f>
        <x:v>16.1</x:v>
      </x:c>
      <x:c r="R165" s="10" t="str">
        <x:v>调料尽量低盐，不加白砂糖；油重已计入热量。</x:v>
      </x:c>
    </x:row>
    <x:row r="166" ht="37" customHeight="1">
      <x:c r="A166" t="n">
        <x:v>165</x:v>
      </x:c>
      <x:c r="B166" t="n">
        <x:v>83</x:v>
      </x:c>
      <x:c r="C166" t="n">
        <x:v>12</x:v>
      </x:c>
      <x:c r="D166" t="str">
        <x:v>午餐</x:v>
      </x:c>
      <x:c r="E166" t="str">
        <x:v>鱼类</x:v>
      </x:c>
      <x:c r="F166" s="10" t="str">
        <x:v>葱姜清蒸鳕鱼配生菜黄瓜｜荞麦面</x:v>
      </x:c>
      <x:c r="G166" s="10" t="str">
        <x:v>鳕鱼215g、生菜190g、黄瓜155g、荞麦面125g、烹调油6g</x:v>
      </x:c>
      <x:c r="H166" t="str">
        <x:v>荞麦面</x:v>
      </x:c>
      <x:c r="I166" s="10" t="str">
        <x:v>低主食需求可将主食减1/3，另加100g非淀粉蔬菜（营养值需重算）</x:v>
      </x:c>
      <x:c r="J166" s="10" t="str">
        <x:v>葱姜、少量低盐生抽</x:v>
      </x:c>
      <x:c r="K166" t="str">
        <x:v>蒸</x:v>
      </x:c>
      <x:c r="L166" s="10" t="str">
        <x:v>鱼肉去刺，彻底做熟；切片腌5分钟；肉和配菜入盘，蒸至熟透；淋葱姜汁；面/魔芋丝煮熟后与菜合碗。</x:v>
      </x:c>
      <x:c r="M166" t="n">
        <x:v>15</x:v>
      </x:c>
      <x:c r="N166" t="n">
        <x:f>ROUND(SUM('食材明细'!H986:H991),0)</x:f>
        <x:v>423</x:v>
      </x:c>
      <x:c r="O166" t="n">
        <x:f>ROUND(SUM('食材明细'!J986:J991),1)</x:f>
        <x:v>47.5</x:v>
      </x:c>
      <x:c r="P166" t="n">
        <x:f>ROUND(SUM('食材明细'!L986:L991),1)</x:f>
        <x:v>37.3</x:v>
      </x:c>
      <x:c r="Q166" t="n">
        <x:f>ROUND(SUM('食材明细'!N986:N991),1)</x:f>
        <x:v>9</x:v>
      </x:c>
      <x:c r="R166" s="10" t="str">
        <x:v>调料尽量低盐，不加白砂糖；油重已计入热量。</x:v>
      </x:c>
    </x:row>
    <x:row r="167" ht="37" customHeight="1">
      <x:c r="A167" t="n">
        <x:v>166</x:v>
      </x:c>
      <x:c r="B167" t="n">
        <x:v>83</x:v>
      </x:c>
      <x:c r="C167" t="n">
        <x:v>12</x:v>
      </x:c>
      <x:c r="D167" t="str">
        <x:v>晚餐</x:v>
      </x:c>
      <x:c r="E167" t="str">
        <x:v>牛肉</x:v>
      </x:c>
      <x:c r="F167" s="10" t="str">
        <x:v>剁椒牛腱子配茼蒿香菇｜红薯</x:v>
      </x:c>
      <x:c r="G167" s="10" t="str">
        <x:v>牛腱子180g、茼蒿190g、香菇125g、红薯110g、烹调油6g</x:v>
      </x:c>
      <x:c r="H167" t="str">
        <x:v>红薯</x:v>
      </x:c>
      <x:c r="I167" s="10" t="str">
        <x:v>想减主食可减到原量2/3，另加100g绿叶菜</x:v>
      </x:c>
      <x:c r="J167" s="10" t="str">
        <x:v>自制低盐剁椒、蒜</x:v>
      </x:c>
      <x:c r="K167" t="str">
        <x:v>蒸</x:v>
      </x:c>
      <x:c r="L167" s="10" t="str">
        <x:v>主食材铺少量低盐剁椒蒸熟，配菜焯熟后摆盘；红薯另煮熟或蒸好后同餐食用。</x:v>
      </x:c>
      <x:c r="M167" t="n">
        <x:v>30</x:v>
      </x:c>
      <x:c r="N167" t="n">
        <x:f>ROUND(SUM('食材明细'!H992:H997),0)</x:f>
        <x:v>491</x:v>
      </x:c>
      <x:c r="O167" t="n">
        <x:f>ROUND(SUM('食材明细'!J992:J997),1)</x:f>
        <x:v>45.9</x:v>
      </x:c>
      <x:c r="P167" t="n">
        <x:f>ROUND(SUM('食材明细'!L992:L997),1)</x:f>
        <x:v>39.2</x:v>
      </x:c>
      <x:c r="Q167" t="n">
        <x:f>ROUND(SUM('食材明细'!N992:N997),1)</x:f>
        <x:v>18.1</x:v>
      </x:c>
      <x:c r="R167" s="10" t="str">
        <x:v>调料尽量低盐，不加白砂糖；油重已计入热量。</x:v>
      </x:c>
    </x:row>
    <x:row r="168" ht="37" customHeight="1">
      <x:c r="A168" t="n">
        <x:v>167</x:v>
      </x:c>
      <x:c r="B168" t="n">
        <x:v>84</x:v>
      </x:c>
      <x:c r="C168" t="n">
        <x:v>12</x:v>
      </x:c>
      <x:c r="D168" t="str">
        <x:v>午餐</x:v>
      </x:c>
      <x:c r="E168" t="str">
        <x:v>海鲜</x:v>
      </x:c>
      <x:c r="F168" s="10" t="str">
        <x:v>菌菇鱿鱼配芦笋香菇｜杂粮饭</x:v>
      </x:c>
      <x:c r="G168" s="10" t="str">
        <x:v>鱿鱼190g、芦笋160g、香菇110g、杂粮饭135g、烹调油6g</x:v>
      </x:c>
      <x:c r="H168" t="str">
        <x:v>杂粮饭</x:v>
      </x:c>
      <x:c r="I168" s="10" t="str">
        <x:v>低主食需求可将主食减1/3，另加100g非淀粉蔬菜（营养值需重算）</x:v>
      </x:c>
      <x:c r="J168" s="10" t="str">
        <x:v>姜片、香菇汁</x:v>
      </x:c>
      <x:c r="K168" t="str">
        <x:v>焖煮</x:v>
      </x:c>
      <x:c r="L168" s="10" t="str">
        <x:v>食材与菌菇加少量水焖熟，出锅前加少量低盐生抽；杂粮饭另煮熟或蒸好后同餐食用。</x:v>
      </x:c>
      <x:c r="M168" t="n">
        <x:v>20</x:v>
      </x:c>
      <x:c r="N168" t="n">
        <x:f>ROUND(SUM('食材明细'!H998:H1003),0)</x:f>
        <x:v>459</x:v>
      </x:c>
      <x:c r="O168" t="n">
        <x:f>ROUND(SUM('食材明细'!J998:J1003),1)</x:f>
        <x:v>42.4</x:v>
      </x:c>
      <x:c r="P168" t="n">
        <x:f>ROUND(SUM('食材明细'!L998:L1003),1)</x:f>
        <x:v>49.3</x:v>
      </x:c>
      <x:c r="Q168" t="n">
        <x:f>ROUND(SUM('食材明细'!N998:N1003),1)</x:f>
        <x:v>10.9</x:v>
      </x:c>
      <x:c r="R168" s="10" t="str">
        <x:v>调料尽量低盐，不加白砂糖；油重已计入热量。</x:v>
      </x:c>
    </x:row>
    <x:row r="169" ht="37" customHeight="1">
      <x:c r="A169" t="n">
        <x:v>168</x:v>
      </x:c>
      <x:c r="B169" t="n">
        <x:v>84</x:v>
      </x:c>
      <x:c r="C169" t="n">
        <x:v>12</x:v>
      </x:c>
      <x:c r="D169" t="str">
        <x:v>晚餐</x:v>
      </x:c>
      <x:c r="E169" t="str">
        <x:v>猪肉</x:v>
      </x:c>
      <x:c r="F169" s="10" t="str">
        <x:v>香醋猪瘦肉配丝瓜彩椒｜红薯</x:v>
      </x:c>
      <x:c r="G169" s="10" t="str">
        <x:v>猪瘦肉160g、丝瓜160g、彩椒125g、红薯80g、烹调油4g</x:v>
      </x:c>
      <x:c r="H169" t="str">
        <x:v>红薯</x:v>
      </x:c>
      <x:c r="I169" s="10" t="str">
        <x:v>想减主食可减到原量2/3，另加100g绿叶菜</x:v>
      </x:c>
      <x:c r="J169" s="10" t="str">
        <x:v>香醋、蒜末、少量生抽</x:v>
      </x:c>
      <x:c r="K169" t="str">
        <x:v>水煮</x:v>
      </x:c>
      <x:c r="L169" s="10" t="str">
        <x:v>食材分别煮至熟，淋香醋蒜汁，拌匀即食；红薯另煮熟或蒸好后同餐食用。</x:v>
      </x:c>
      <x:c r="M169" t="n">
        <x:v>30</x:v>
      </x:c>
      <x:c r="N169" t="n">
        <x:f>ROUND(SUM('食材明细'!H1004:H1009),0)</x:f>
        <x:v>380</x:v>
      </x:c>
      <x:c r="O169" t="n">
        <x:f>ROUND(SUM('食材明细'!J1004:J1009),1)</x:f>
        <x:v>36.1</x:v>
      </x:c>
      <x:c r="P169" t="n">
        <x:f>ROUND(SUM('食材明细'!L1004:L1009),1)</x:f>
        <x:v>30.4</x:v>
      </x:c>
      <x:c r="Q169" t="n">
        <x:f>ROUND(SUM('食材明细'!N1004:N1009),1)</x:f>
        <x:v>13.5</x:v>
      </x:c>
      <x:c r="R169" s="10" t="str">
        <x:v>调料尽量低盐，不加白砂糖；油重已计入热量。</x:v>
      </x:c>
    </x:row>
    <x:row r="170" ht="37" customHeight="1">
      <x:c r="A170" t="n">
        <x:v>169</x:v>
      </x:c>
      <x:c r="B170" t="n">
        <x:v>85</x:v>
      </x:c>
      <x:c r="C170" t="n">
        <x:v>13</x:v>
      </x:c>
      <x:c r="D170" t="str">
        <x:v>午餐</x:v>
      </x:c>
      <x:c r="E170" t="str">
        <x:v>禽肉</x:v>
      </x:c>
      <x:c r="F170" s="10" t="str">
        <x:v>奥尔良风味鸡胸肉配芦笋洋葱｜荞麦饭</x:v>
      </x:c>
      <x:c r="G170" s="10" t="str">
        <x:v>鸡胸肉155g、熟毛豆仁50g、芦笋175g、洋葱110g、荞麦饭150g、烹调油3g</x:v>
      </x:c>
      <x:c r="H170" t="str">
        <x:v>荞麦饭</x:v>
      </x:c>
      <x:c r="I170" s="10" t="str">
        <x:v>低主食需求可将主食减1/3，另加100g非淀粉蔬菜（营养值需重算）</x:v>
      </x:c>
      <x:c r="J170" s="10" t="str">
        <x:v>无糖辣椒粉、蒜粉、洋葱粉</x:v>
      </x:c>
      <x:c r="K170" t="str">
        <x:v>蒸/焖</x:v>
      </x:c>
      <x:c r="L170" s="10" t="str">
        <x:v>鸡胸肉拍薄成鸡排；用无糖香辛料腌肉15分钟，蒸或少油焖熟，配菜煮熟；荞麦饭另煮熟或蒸好后同餐食用。</x:v>
      </x:c>
      <x:c r="M170" t="n">
        <x:v>25</x:v>
      </x:c>
      <x:c r="N170" t="n">
        <x:f>ROUND(SUM('食材明细'!H1010:H1015),0)</x:f>
        <x:v>502</x:v>
      </x:c>
      <x:c r="O170" t="n">
        <x:f>ROUND(SUM('食材明细'!J1010:J1015),1)</x:f>
        <x:v>51.8</x:v>
      </x:c>
      <x:c r="P170" t="n">
        <x:f>ROUND(SUM('食材明细'!L1010:L1015),1)</x:f>
        <x:v>54.6</x:v>
      </x:c>
      <x:c r="Q170" t="n">
        <x:f>ROUND(SUM('食材明细'!N1010:N1015),1)</x:f>
        <x:v>10.5</x:v>
      </x:c>
      <x:c r="R170" s="10" t="str">
        <x:v>调料尽量低盐，不加白砂糖；油重已计入热量。</x:v>
      </x:c>
    </x:row>
    <x:row r="171" ht="37" customHeight="1">
      <x:c r="A171" t="n">
        <x:v>170</x:v>
      </x:c>
      <x:c r="B171" t="n">
        <x:v>85</x:v>
      </x:c>
      <x:c r="C171" t="n">
        <x:v>13</x:v>
      </x:c>
      <x:c r="D171" t="str">
        <x:v>晚餐</x:v>
      </x:c>
      <x:c r="E171" t="str">
        <x:v>禽肉</x:v>
      </x:c>
      <x:c r="F171" s="10" t="str">
        <x:v>清汤去皮鸭胸肉配白萝卜玉米笋｜燕麦饭</x:v>
      </x:c>
      <x:c r="G171" s="10" t="str">
        <x:v>去皮鸭胸肉180g、白萝卜140g、玉米笋110g、燕麦饭135g、烹调油6g</x:v>
      </x:c>
      <x:c r="H171" t="str">
        <x:v>燕麦饭</x:v>
      </x:c>
      <x:c r="I171" s="10" t="str">
        <x:v>低主食需求可将主食减1/3，另加100g非淀粉蔬菜（营养值需重算）</x:v>
      </x:c>
      <x:c r="J171" s="10" t="str">
        <x:v>葱段、盐少量</x:v>
      </x:c>
      <x:c r="K171" t="str">
        <x:v>煮</x:v>
      </x:c>
      <x:c r="L171" s="10" t="str">
        <x:v>清水煮开，按熟化时间下食材，最后放叶菜，清淡调味；燕麦饭另煮熟或蒸好后同餐食用。</x:v>
      </x:c>
      <x:c r="M171" t="n">
        <x:v>20</x:v>
      </x:c>
      <x:c r="N171" t="n">
        <x:f>ROUND(SUM('食材明细'!H1016:H1021),0)</x:f>
        <x:v>508</x:v>
      </x:c>
      <x:c r="O171" t="n">
        <x:f>ROUND(SUM('食材明细'!J1016:J1021),1)</x:f>
        <x:v>41.6</x:v>
      </x:c>
      <x:c r="P171" t="n">
        <x:f>ROUND(SUM('食材明细'!L1016:L1021),1)</x:f>
        <x:v>39.3</x:v>
      </x:c>
      <x:c r="Q171" t="n">
        <x:f>ROUND(SUM('食材明细'!N1016:N1021),1)</x:f>
        <x:v>21.3</x:v>
      </x:c>
      <x:c r="R171" s="10" t="str">
        <x:v>调料尽量低盐，不加白砂糖；油重已计入热量。</x:v>
      </x:c>
    </x:row>
    <x:row r="172" ht="37" customHeight="1">
      <x:c r="A172" t="n">
        <x:v>171</x:v>
      </x:c>
      <x:c r="B172" t="n">
        <x:v>86</x:v>
      </x:c>
      <x:c r="C172" t="n">
        <x:v>13</x:v>
      </x:c>
      <x:c r="D172" t="str">
        <x:v>午餐</x:v>
      </x:c>
      <x:c r="E172" t="str">
        <x:v>海鲜</x:v>
      </x:c>
      <x:c r="F172" s="10" t="str">
        <x:v>香醋虾仁配黄瓜彩椒｜魔芋丝</x:v>
      </x:c>
      <x:c r="G172" s="10" t="str">
        <x:v>虾仁290g、黄瓜160g、彩椒110g、魔芋丝130g、烹调油5g</x:v>
      </x:c>
      <x:c r="H172" t="str">
        <x:v>魔芋丝</x:v>
      </x:c>
      <x:c r="I172" s="10" t="str">
        <x:v>魔芋丝不是完整主食；饥饿可补杂粮饭或蒸薯类</x:v>
      </x:c>
      <x:c r="J172" s="10" t="str">
        <x:v>香醋、蒜末、少量生抽</x:v>
      </x:c>
      <x:c r="K172" t="str">
        <x:v>水煮</x:v>
      </x:c>
      <x:c r="L172" s="10" t="str">
        <x:v>食材分别煮至熟，淋香醋蒜汁，拌匀即食；面/魔芋丝煮熟后与菜合碗。</x:v>
      </x:c>
      <x:c r="M172" t="n">
        <x:v>20</x:v>
      </x:c>
      <x:c r="N172" t="n">
        <x:f>ROUND(SUM('食材明细'!H1022:H1027),0)</x:f>
        <x:v>373</x:v>
      </x:c>
      <x:c r="O172" t="n">
        <x:f>ROUND(SUM('食材明细'!J1022:J1027),1)</x:f>
        <x:v>57.7</x:v>
      </x:c>
      <x:c r="P172" t="n">
        <x:f>ROUND(SUM('食材明细'!L1022:L1027),1)</x:f>
        <x:v>16.2</x:v>
      </x:c>
      <x:c r="Q172" t="n">
        <x:f>ROUND(SUM('食材明细'!N1022:N1027),1)</x:f>
        <x:v>8.6</x:v>
      </x:c>
      <x:c r="R172" s="10" t="str">
        <x:v>调料尽量低盐，不加白砂糖；油重已计入热量。魔芋丝低能量，不等于一份主食。</x:v>
      </x:c>
    </x:row>
    <x:row r="173" ht="37" customHeight="1">
      <x:c r="A173" t="n">
        <x:v>172</x:v>
      </x:c>
      <x:c r="B173" t="n">
        <x:v>86</x:v>
      </x:c>
      <x:c r="C173" t="n">
        <x:v>13</x:v>
      </x:c>
      <x:c r="D173" t="str">
        <x:v>晚餐</x:v>
      </x:c>
      <x:c r="E173" t="str">
        <x:v>禽肉</x:v>
      </x:c>
      <x:c r="F173" s="10" t="str">
        <x:v>豉汁鸡胸肉配芹菜彩椒｜荞麦饭</x:v>
      </x:c>
      <x:c r="G173" s="10" t="str">
        <x:v>鸡胸肉170g、芹菜140g、彩椒155g、荞麦饭110g、烹调油4g</x:v>
      </x:c>
      <x:c r="H173" t="str">
        <x:v>荞麦饭</x:v>
      </x:c>
      <x:c r="I173" s="10" t="str">
        <x:v>低主食需求可将主食减1/3，另加100g非淀粉蔬菜（营养值需重算）</x:v>
      </x:c>
      <x:c r="J173" s="10" t="str">
        <x:v>少量豆豉、姜末</x:v>
      </x:c>
      <x:c r="K173" t="str">
        <x:v>蒸</x:v>
      </x:c>
      <x:c r="L173" s="10" t="str">
        <x:v>豆豉冲洗剁碎，与姜末拌主食材后蒸熟；蔬菜另煮；荞麦饭另煮熟或蒸好后同餐食用。</x:v>
      </x:c>
      <x:c r="M173" t="n">
        <x:v>30</x:v>
      </x:c>
      <x:c r="N173" t="n">
        <x:f>ROUND(SUM('食材明细'!H1028:H1033),0)</x:f>
        <x:v>410</x:v>
      </x:c>
      <x:c r="O173" t="n">
        <x:f>ROUND(SUM('食材明细'!J1028:J1033),1)</x:f>
        <x:v>45.8</x:v>
      </x:c>
      <x:c r="P173" t="n">
        <x:f>ROUND(SUM('食材明细'!L1028:L1033),1)</x:f>
        <x:v>38.6</x:v>
      </x:c>
      <x:c r="Q173" t="n">
        <x:f>ROUND(SUM('食材明细'!N1028:N1033),1)</x:f>
        <x:v>9.1</x:v>
      </x:c>
      <x:c r="R173" s="10" t="str">
        <x:v>调料尽量低盐，不加白砂糖；油重已计入热量。</x:v>
      </x:c>
    </x:row>
    <x:row r="174" ht="37" customHeight="1">
      <x:c r="A174" t="n">
        <x:v>173</x:v>
      </x:c>
      <x:c r="B174" t="n">
        <x:v>87</x:v>
      </x:c>
      <x:c r="C174" t="n">
        <x:v>13</x:v>
      </x:c>
      <x:c r="D174" t="str">
        <x:v>午餐</x:v>
      </x:c>
      <x:c r="E174" t="str">
        <x:v>豆蛋</x:v>
      </x:c>
      <x:c r="F174" s="10" t="str">
        <x:v>剁椒鸡蛋嫩豆腐烩菠菜彩椒｜紫薯</x:v>
      </x:c>
      <x:c r="G174" s="10" t="str">
        <x:v>鸡蛋120g、嫩豆腐160g、菠菜160g、彩椒110g、紫薯125g、烹调油3g</x:v>
      </x:c>
      <x:c r="H174" t="str">
        <x:v>紫薯</x:v>
      </x:c>
      <x:c r="I174" s="10" t="str">
        <x:v>想减主食可减到原量2/3，另加100g绿叶菜</x:v>
      </x:c>
      <x:c r="J174" s="10" t="str">
        <x:v>自制低盐剁椒、蒜</x:v>
      </x:c>
      <x:c r="K174" t="str">
        <x:v>蒸</x:v>
      </x:c>
      <x:c r="L174" s="10" t="str">
        <x:v>鸡蛋先打散成蛋液；主食材铺少量低盐剁椒蒸熟，配菜焯熟后摆盘；紫薯另煮熟或蒸好后同餐食用。</x:v>
      </x:c>
      <x:c r="M174" t="n">
        <x:v>15</x:v>
      </x:c>
      <x:c r="N174" t="n">
        <x:f>ROUND(SUM('食材明细'!H1034:H1039),0)</x:f>
        <x:v>473</x:v>
      </x:c>
      <x:c r="O174" t="n">
        <x:f>ROUND(SUM('食材明细'!J1034:J1039),1)</x:f>
        <x:v>31.3</x:v>
      </x:c>
      <x:c r="P174" t="n">
        <x:f>ROUND(SUM('食材明细'!L1034:L1039),1)</x:f>
        <x:v>44.5</x:v>
      </x:c>
      <x:c r="Q174" t="n">
        <x:f>ROUND(SUM('食材明细'!N1034:N1039),1)</x:f>
        <x:v>20.5</x:v>
      </x:c>
      <x:c r="R174" s="10" t="str">
        <x:v>调料尽量低盐，不加白砂糖；油重已计入热量。</x:v>
      </x:c>
    </x:row>
    <x:row r="175" ht="37" customHeight="1">
      <x:c r="A175" t="n">
        <x:v>174</x:v>
      </x:c>
      <x:c r="B175" t="n">
        <x:v>87</x:v>
      </x:c>
      <x:c r="C175" t="n">
        <x:v>13</x:v>
      </x:c>
      <x:c r="D175" t="str">
        <x:v>晚餐</x:v>
      </x:c>
      <x:c r="E175" t="str">
        <x:v>鱼类</x:v>
      </x:c>
      <x:c r="F175" s="10" t="str">
        <x:v>酸汤巴沙鱼配黄瓜荷兰豆｜藜麦饭</x:v>
      </x:c>
      <x:c r="G175" s="10" t="str">
        <x:v>巴沙鱼185g、黄瓜160g、荷兰豆140g、藜麦饭80g、烹调油4g</x:v>
      </x:c>
      <x:c r="H175" t="str">
        <x:v>藜麦饭</x:v>
      </x:c>
      <x:c r="I175" s="10" t="str">
        <x:v>低主食需求可将主食减1/3，另加100g非淀粉蔬菜（营养值需重算）</x:v>
      </x:c>
      <x:c r="J175" s="10" t="str">
        <x:v>米醋、番茄、少许辣椒</x:v>
      </x:c>
      <x:c r="K175" t="str">
        <x:v>水煮</x:v>
      </x:c>
      <x:c r="L175" s="10" t="str">
        <x:v>鱼肉去刺，彻底做熟；番茄煮成酸汤，主食材汆熟，加入蔬菜再煮2～5分钟；藜麦饭另煮熟或蒸好后同餐食用。</x:v>
      </x:c>
      <x:c r="M175" t="n">
        <x:v>20</x:v>
      </x:c>
      <x:c r="N175" t="n">
        <x:f>ROUND(SUM('食材明细'!H1040:H1045),0)</x:f>
        <x:v>383</x:v>
      </x:c>
      <x:c r="O175" t="n">
        <x:f>ROUND(SUM('食材明细'!J1040:J1045),1)</x:f>
        <x:v>40</x:v>
      </x:c>
      <x:c r="P175" t="n">
        <x:f>ROUND(SUM('食材明细'!L1040:L1045),1)</x:f>
        <x:v>33.3</x:v>
      </x:c>
      <x:c r="Q175" t="n">
        <x:f>ROUND(SUM('食材明细'!N1040:N1045),1)</x:f>
        <x:v>10.4</x:v>
      </x:c>
      <x:c r="R175" s="10" t="str">
        <x:v>调料尽量低盐，不加白砂糖；油重已计入热量。</x:v>
      </x:c>
    </x:row>
    <x:row r="176" ht="37" customHeight="1">
      <x:c r="A176" t="n">
        <x:v>175</x:v>
      </x:c>
      <x:c r="B176" t="n">
        <x:v>88</x:v>
      </x:c>
      <x:c r="C176" t="n">
        <x:v>13</x:v>
      </x:c>
      <x:c r="D176" t="str">
        <x:v>午餐</x:v>
      </x:c>
      <x:c r="E176" t="str">
        <x:v>豆蛋</x:v>
      </x:c>
      <x:c r="F176" s="10" t="str">
        <x:v>蚝香北豆腐配娃娃菜海带｜全麦面</x:v>
      </x:c>
      <x:c r="G176" s="10" t="str">
        <x:v>北豆腐280g、娃娃菜140g、海带140g、全麦面135g、烹调油5g</x:v>
      </x:c>
      <x:c r="H176" t="str">
        <x:v>全麦面</x:v>
      </x:c>
      <x:c r="I176" s="10" t="str">
        <x:v>低主食需求可将主食减1/3，另加100g非淀粉蔬菜（营养值需重算）</x:v>
      </x:c>
      <x:c r="J176" s="10" t="str">
        <x:v>低钠蚝油少量、姜蒜</x:v>
      </x:c>
      <x:c r="K176" t="str">
        <x:v>少油烩</x:v>
      </x:c>
      <x:c r="L176" s="10" t="str">
        <x:v>主食材和蔬菜少油少水烩熟，起锅前点少量蚝油；面/魔芋丝煮熟后与菜合碗。</x:v>
      </x:c>
      <x:c r="M176" t="n">
        <x:v>25</x:v>
      </x:c>
      <x:c r="N176" t="n">
        <x:f>ROUND(SUM('食材明细'!H1046:H1051),0)</x:f>
        <x:v>523</x:v>
      </x:c>
      <x:c r="O176" t="n">
        <x:f>ROUND(SUM('食材明细'!J1046:J1051),1)</x:f>
        <x:v>38</x:v>
      </x:c>
      <x:c r="P176" t="n">
        <x:f>ROUND(SUM('食材明细'!L1046:L1051),1)</x:f>
        <x:v>50.6</x:v>
      </x:c>
      <x:c r="Q176" t="n">
        <x:f>ROUND(SUM('食材明细'!N1046:N1051),1)</x:f>
        <x:v>20.9</x:v>
      </x:c>
      <x:c r="R176" s="10" t="str">
        <x:v>调料尽量低盐，不加白砂糖；油重已计入热量。</x:v>
      </x:c>
    </x:row>
    <x:row r="177" ht="37" customHeight="1">
      <x:c r="A177" t="n">
        <x:v>176</x:v>
      </x:c>
      <x:c r="B177" t="n">
        <x:v>88</x:v>
      </x:c>
      <x:c r="C177" t="n">
        <x:v>13</x:v>
      </x:c>
      <x:c r="D177" t="str">
        <x:v>晚餐</x:v>
      </x:c>
      <x:c r="E177" t="str">
        <x:v>禽肉</x:v>
      </x:c>
      <x:c r="F177" s="10" t="str">
        <x:v>酸汤去皮鸡腿肉配紫甘蓝菜心｜燕麦饭</x:v>
      </x:c>
      <x:c r="G177" s="10" t="str">
        <x:v>去皮鸡腿肉145g、紫甘蓝160g、菜心110g、燕麦饭110g、烹调油3g</x:v>
      </x:c>
      <x:c r="H177" t="str">
        <x:v>燕麦饭</x:v>
      </x:c>
      <x:c r="I177" s="10" t="str">
        <x:v>低主食需求可将主食减1/3，另加100g非淀粉蔬菜（营养值需重算）</x:v>
      </x:c>
      <x:c r="J177" s="10" t="str">
        <x:v>米醋、番茄、少许辣椒</x:v>
      </x:c>
      <x:c r="K177" t="str">
        <x:v>水煮</x:v>
      </x:c>
      <x:c r="L177" s="10" t="str">
        <x:v>先去皮去骨并切薄，充分加热；番茄煮成酸汤，主食材汆熟，加入蔬菜再煮2～5分钟；燕麦饭另煮熟或蒸好后同餐食用。</x:v>
      </x:c>
      <x:c r="M177" t="n">
        <x:v>15</x:v>
      </x:c>
      <x:c r="N177" t="n">
        <x:f>ROUND(SUM('食材明细'!H1052:H1057),0)</x:f>
        <x:v>401</x:v>
      </x:c>
      <x:c r="O177" t="n">
        <x:f>ROUND(SUM('食材明细'!J1052:J1057),1)</x:f>
        <x:v>37</x:v>
      </x:c>
      <x:c r="P177" t="n">
        <x:f>ROUND(SUM('食材明细'!L1052:L1057),1)</x:f>
        <x:v>38.6</x:v>
      </x:c>
      <x:c r="Q177" t="n">
        <x:f>ROUND(SUM('食材明细'!N1052:N1057),1)</x:f>
        <x:v>12.7</x:v>
      </x:c>
      <x:c r="R177" s="10" t="str">
        <x:v>调料尽量低盐，不加白砂糖；油重已计入热量。</x:v>
      </x:c>
    </x:row>
    <x:row r="178" ht="37" customHeight="1">
      <x:c r="A178" t="n">
        <x:v>177</x:v>
      </x:c>
      <x:c r="B178" t="n">
        <x:v>89</x:v>
      </x:c>
      <x:c r="C178" t="n">
        <x:v>13</x:v>
      </x:c>
      <x:c r="D178" t="str">
        <x:v>午餐</x:v>
      </x:c>
      <x:c r="E178" t="str">
        <x:v>豆蛋</x:v>
      </x:c>
      <x:c r="F178" s="10" t="str">
        <x:v>酸汤嫩豆腐鸡蛋烩花菜莴笋｜山药</x:v>
      </x:c>
      <x:c r="G178" s="10" t="str">
        <x:v>嫩豆腐280g、鸡蛋85g、花菜160g、莴笋140g、山药150g、烹调油4g</x:v>
      </x:c>
      <x:c r="H178" t="str">
        <x:v>山药</x:v>
      </x:c>
      <x:c r="I178" s="10" t="str">
        <x:v>想减主食可减到原量2/3，另加100g绿叶菜</x:v>
      </x:c>
      <x:c r="J178" s="10" t="str">
        <x:v>米醋、番茄、少许辣椒</x:v>
      </x:c>
      <x:c r="K178" t="str">
        <x:v>水煮</x:v>
      </x:c>
      <x:c r="L178" s="10" t="str">
        <x:v>番茄煮成酸汤，主食材汆熟，加入蔬菜再煮2～5分钟；山药另煮熟或蒸好后同餐食用。</x:v>
      </x:c>
      <x:c r="M178" t="n">
        <x:v>20</x:v>
      </x:c>
      <x:c r="N178" t="n">
        <x:f>ROUND(SUM('食材明细'!H1058:H1063),0)</x:f>
        <x:v>466</x:v>
      </x:c>
      <x:c r="O178" t="n">
        <x:f>ROUND(SUM('食材明细'!J1058:J1063),1)</x:f>
        <x:v>31.9</x:v>
      </x:c>
      <x:c r="P178" t="n">
        <x:f>ROUND(SUM('食材明细'!L1058:L1063),1)</x:f>
        <x:v>39.6</x:v>
      </x:c>
      <x:c r="Q178" t="n">
        <x:f>ROUND(SUM('食材明细'!N1058:N1063),1)</x:f>
        <x:v>21.1</x:v>
      </x:c>
      <x:c r="R178" s="10" t="str">
        <x:v>调料尽量低盐，不加白砂糖；油重已计入热量。</x:v>
      </x:c>
    </x:row>
    <x:row r="179" ht="37" customHeight="1">
      <x:c r="A179" t="n">
        <x:v>178</x:v>
      </x:c>
      <x:c r="B179" t="n">
        <x:v>89</x:v>
      </x:c>
      <x:c r="C179" t="n">
        <x:v>13</x:v>
      </x:c>
      <x:c r="D179" t="str">
        <x:v>晚餐</x:v>
      </x:c>
      <x:c r="E179" t="str">
        <x:v>海鲜</x:v>
      </x:c>
      <x:c r="F179" s="10" t="str">
        <x:v>柠檬虾仁配西兰花海带｜米粉</x:v>
      </x:c>
      <x:c r="G179" s="10" t="str">
        <x:v>虾仁190g、西兰花160g、海带155g、米粉125g、烹调油5g</x:v>
      </x:c>
      <x:c r="H179" t="str">
        <x:v>米粉</x:v>
      </x:c>
      <x:c r="I179" s="10" t="str">
        <x:v>低主食需求可将主食减1/3，另加100g非淀粉蔬菜（营养值需重算）</x:v>
      </x:c>
      <x:c r="J179" s="10" t="str">
        <x:v>柠檬片、白胡椒</x:v>
      </x:c>
      <x:c r="K179" t="str">
        <x:v>蒸</x:v>
      </x:c>
      <x:c r="L179" s="10" t="str">
        <x:v>柠檬片垫底，主食材蒸熟，蔬菜短焯后摆盘；面/魔芋丝煮熟后与菜合碗。</x:v>
      </x:c>
      <x:c r="M179" t="n">
        <x:v>15</x:v>
      </x:c>
      <x:c r="N179" t="n">
        <x:f>ROUND(SUM('食材明细'!H1064:H1069),0)</x:f>
        <x:v>447</x:v>
      </x:c>
      <x:c r="O179" t="n">
        <x:f>ROUND(SUM('食材明细'!J1064:J1069),1)</x:f>
        <x:v>44.6</x:v>
      </x:c>
      <x:c r="P179" t="n">
        <x:f>ROUND(SUM('食材明细'!L1064:L1069),1)</x:f>
        <x:v>49.7</x:v>
      </x:c>
      <x:c r="Q179" t="n">
        <x:f>ROUND(SUM('食材明细'!N1064:N1069),1)</x:f>
        <x:v>8.4</x:v>
      </x:c>
      <x:c r="R179" s="10" t="str">
        <x:v>调料尽量低盐，不加白砂糖；油重已计入热量。</x:v>
      </x:c>
    </x:row>
    <x:row r="180" ht="37" customHeight="1">
      <x:c r="A180" t="n">
        <x:v>179</x:v>
      </x:c>
      <x:c r="B180" t="n">
        <x:v>90</x:v>
      </x:c>
      <x:c r="C180" t="n">
        <x:v>13</x:v>
      </x:c>
      <x:c r="D180" t="str">
        <x:v>午餐</x:v>
      </x:c>
      <x:c r="E180" t="str">
        <x:v>鱼类</x:v>
      </x:c>
      <x:c r="F180" s="10" t="str">
        <x:v>清汤鳕鱼配菠菜泡发木耳｜白米饭</x:v>
      </x:c>
      <x:c r="G180" s="10" t="str">
        <x:v>鳕鱼200g、菠菜190g、泡发木耳155g、白米饭110g、烹调油6g</x:v>
      </x:c>
      <x:c r="H180" t="str">
        <x:v>白米饭</x:v>
      </x:c>
      <x:c r="I180" s="10" t="str">
        <x:v>低主食需求可将主食减1/3，另加100g非淀粉蔬菜（营养值需重算）</x:v>
      </x:c>
      <x:c r="J180" s="10" t="str">
        <x:v>葱段、盐少量</x:v>
      </x:c>
      <x:c r="K180" t="str">
        <x:v>煮</x:v>
      </x:c>
      <x:c r="L180" s="10" t="str">
        <x:v>鱼肉去刺，彻底做熟；清水煮开，按熟化时间下食材，最后放叶菜，清淡调味；白米饭另煮熟或蒸好后同餐食用。</x:v>
      </x:c>
      <x:c r="M180" t="n">
        <x:v>25</x:v>
      </x:c>
      <x:c r="N180" t="n">
        <x:f>ROUND(SUM('食材明细'!H1070:H1075),0)</x:f>
        <x:v>434</x:v>
      </x:c>
      <x:c r="O180" t="n">
        <x:f>ROUND(SUM('食材明细'!J1070:J1075),1)</x:f>
        <x:v>46.7</x:v>
      </x:c>
      <x:c r="P180" t="n">
        <x:f>ROUND(SUM('食材明细'!L1070:L1075),1)</x:f>
        <x:v>44.3</x:v>
      </x:c>
      <x:c r="Q180" t="n">
        <x:f>ROUND(SUM('食材明细'!N1070:N1075),1)</x:f>
        <x:v>8.9</x:v>
      </x:c>
      <x:c r="R180" s="10" t="str">
        <x:v>调料尽量低盐，不加白砂糖；油重已计入热量。</x:v>
      </x:c>
    </x:row>
    <x:row r="181" ht="37" customHeight="1">
      <x:c r="A181" t="n">
        <x:v>180</x:v>
      </x:c>
      <x:c r="B181" t="n">
        <x:v>90</x:v>
      </x:c>
      <x:c r="C181" t="n">
        <x:v>13</x:v>
      </x:c>
      <x:c r="D181" t="str">
        <x:v>晚餐</x:v>
      </x:c>
      <x:c r="E181" t="str">
        <x:v>牛肉</x:v>
      </x:c>
      <x:c r="F181" s="10" t="str">
        <x:v>葱姜清蒸瘦牛肉配秋葵玉米笋｜红薯</x:v>
      </x:c>
      <x:c r="G181" s="10" t="str">
        <x:v>瘦牛肉170g、秋葵160g、玉米笋125g、红薯80g、烹调油5g</x:v>
      </x:c>
      <x:c r="H181" t="str">
        <x:v>红薯</x:v>
      </x:c>
      <x:c r="I181" s="10" t="str">
        <x:v>想减主食可减到原量2/3，另加100g绿叶菜</x:v>
      </x:c>
      <x:c r="J181" s="10" t="str">
        <x:v>葱姜、少量低盐生抽</x:v>
      </x:c>
      <x:c r="K181" t="str">
        <x:v>蒸</x:v>
      </x:c>
      <x:c r="L181" s="10" t="str">
        <x:v>切片腌5分钟；肉和配菜入盘，蒸至熟透；淋葱姜汁；红薯另煮熟或蒸好后同餐食用。</x:v>
      </x:c>
      <x:c r="M181" t="n">
        <x:v>25</x:v>
      </x:c>
      <x:c r="N181" t="n">
        <x:f>ROUND(SUM('食材明细'!H1076:H1081),0)</x:f>
        <x:v>413</x:v>
      </x:c>
      <x:c r="O181" t="n">
        <x:f>ROUND(SUM('食材明细'!J1076:J1081),1)</x:f>
        <x:v>42.5</x:v>
      </x:c>
      <x:c r="P181" t="n">
        <x:f>ROUND(SUM('食材明细'!L1076:L1081),1)</x:f>
        <x:v>34.5</x:v>
      </x:c>
      <x:c r="Q181" t="n">
        <x:f>ROUND(SUM('食材明细'!N1076:N1081),1)</x:f>
        <x:v>12.3</x:v>
      </x:c>
      <x:c r="R181" s="10" t="str">
        <x:v>调料尽量低盐，不加白砂糖；油重已计入热量。</x:v>
      </x:c>
    </x:row>
    <x:row r="182" ht="37" customHeight="1">
      <x:c r="A182" t="n">
        <x:v>181</x:v>
      </x:c>
      <x:c r="B182" t="n">
        <x:v>91</x:v>
      </x:c>
      <x:c r="C182" t="n">
        <x:v>13</x:v>
      </x:c>
      <x:c r="D182" t="str">
        <x:v>午餐</x:v>
      </x:c>
      <x:c r="E182" t="str">
        <x:v>豆蛋</x:v>
      </x:c>
      <x:c r="F182" s="10" t="str">
        <x:v>香醋北豆腐鸡蛋烩茼蒿口蘑｜红薯</x:v>
      </x:c>
      <x:c r="G182" s="10" t="str">
        <x:v>北豆腐260g、鸡蛋60g、茼蒿140g、口蘑140g、红薯135g、烹调油4g</x:v>
      </x:c>
      <x:c r="H182" t="str">
        <x:v>红薯</x:v>
      </x:c>
      <x:c r="I182" s="10" t="str">
        <x:v>想减主食可减到原量2/3，另加100g绿叶菜</x:v>
      </x:c>
      <x:c r="J182" s="10" t="str">
        <x:v>香醋、蒜末、少量生抽</x:v>
      </x:c>
      <x:c r="K182" t="str">
        <x:v>水煮</x:v>
      </x:c>
      <x:c r="L182" s="10" t="str">
        <x:v>食材分别煮至熟，淋香醋蒜汁，拌匀即食；红薯另煮熟或蒸好后同餐食用。</x:v>
      </x:c>
      <x:c r="M182" t="n">
        <x:v>30</x:v>
      </x:c>
      <x:c r="N182" t="n">
        <x:f>ROUND(SUM('食材明细'!H1082:H1087),0)</x:f>
        <x:v>540</x:v>
      </x:c>
      <x:c r="O182" t="n">
        <x:f>ROUND(SUM('食材明细'!J1082:J1087),1)</x:f>
        <x:v>43</x:v>
      </x:c>
      <x:c r="P182" t="n">
        <x:f>ROUND(SUM('食材明细'!L1082:L1087),1)</x:f>
        <x:v>44.2</x:v>
      </x:c>
      <x:c r="Q182" t="n">
        <x:f>ROUND(SUM('食材明细'!N1082:N1087),1)</x:f>
        <x:v>24</x:v>
      </x:c>
      <x:c r="R182" s="10" t="str">
        <x:v>调料尽量低盐，不加白砂糖；油重已计入热量。</x:v>
      </x:c>
    </x:row>
    <x:row r="183" ht="37" customHeight="1">
      <x:c r="A183" t="n">
        <x:v>182</x:v>
      </x:c>
      <x:c r="B183" t="n">
        <x:v>91</x:v>
      </x:c>
      <x:c r="C183" t="n">
        <x:v>13</x:v>
      </x:c>
      <x:c r="D183" t="str">
        <x:v>晚餐</x:v>
      </x:c>
      <x:c r="E183" t="str">
        <x:v>牛肉</x:v>
      </x:c>
      <x:c r="F183" s="10" t="str">
        <x:v>香醋瘦牛肉配油麦菜胡萝卜｜全麦面</x:v>
      </x:c>
      <x:c r="G183" s="10" t="str">
        <x:v>瘦牛肉180g、油麦菜140g、胡萝卜110g、全麦面95g、烹调油3g</x:v>
      </x:c>
      <x:c r="H183" t="str">
        <x:v>全麦面</x:v>
      </x:c>
      <x:c r="I183" s="10" t="str">
        <x:v>低主食需求可将主食减1/3，另加100g非淀粉蔬菜（营养值需重算）</x:v>
      </x:c>
      <x:c r="J183" s="10" t="str">
        <x:v>香醋、蒜末、少量生抽</x:v>
      </x:c>
      <x:c r="K183" t="str">
        <x:v>水煮</x:v>
      </x:c>
      <x:c r="L183" s="10" t="str">
        <x:v>食材分别煮至熟，淋香醋蒜汁，拌匀即食；面/魔芋丝煮熟后与菜合碗。</x:v>
      </x:c>
      <x:c r="M183" t="n">
        <x:v>25</x:v>
      </x:c>
      <x:c r="N183" t="n">
        <x:f>ROUND(SUM('食材明细'!H1088:H1093),0)</x:f>
        <x:v>440</x:v>
      </x:c>
      <x:c r="O183" t="n">
        <x:f>ROUND(SUM('食材明细'!J1088:J1093),1)</x:f>
        <x:v>45.5</x:v>
      </x:c>
      <x:c r="P183" t="n">
        <x:f>ROUND(SUM('食材明细'!L1088:L1093),1)</x:f>
        <x:v>39.1</x:v>
      </x:c>
      <x:c r="Q183" t="n">
        <x:f>ROUND(SUM('食材明细'!N1088:N1093),1)</x:f>
        <x:v>11.8</x:v>
      </x:c>
      <x:c r="R183" s="10" t="str">
        <x:v>调料尽量低盐，不加白砂糖；油重已计入热量。</x:v>
      </x:c>
    </x:row>
    <x:row r="184" ht="37" customHeight="1">
      <x:c r="A184" t="n">
        <x:v>183</x:v>
      </x:c>
      <x:c r="B184" t="n">
        <x:v>92</x:v>
      </x:c>
      <x:c r="C184" t="n">
        <x:v>14</x:v>
      </x:c>
      <x:c r="D184" t="str">
        <x:v>午餐</x:v>
      </x:c>
      <x:c r="E184" t="str">
        <x:v>豆蛋</x:v>
      </x:c>
      <x:c r="F184" s="10" t="str">
        <x:v>剁椒鸡蛋北豆腐烩番茄彩椒｜全麦面</x:v>
      </x:c>
      <x:c r="G184" s="10" t="str">
        <x:v>鸡蛋110g、北豆腐90g、番茄190g、彩椒155g、全麦面135g、烹调油3g</x:v>
      </x:c>
      <x:c r="H184" t="str">
        <x:v>全麦面</x:v>
      </x:c>
      <x:c r="I184" s="10" t="str">
        <x:v>低主食需求可将主食减1/3，另加100g非淀粉蔬菜（营养值需重算）</x:v>
      </x:c>
      <x:c r="J184" s="10" t="str">
        <x:v>自制低盐剁椒、蒜</x:v>
      </x:c>
      <x:c r="K184" t="str">
        <x:v>蒸</x:v>
      </x:c>
      <x:c r="L184" s="10" t="str">
        <x:v>鸡蛋先打散成蛋液；主食材铺少量低盐剁椒蒸熟，配菜焯熟后摆盘；面/魔芋丝煮熟后与菜合碗。</x:v>
      </x:c>
      <x:c r="M184" t="n">
        <x:v>20</x:v>
      </x:c>
      <x:c r="N184" t="n">
        <x:f>ROUND(SUM('食材明细'!H1094:H1099),0)</x:f>
        <x:v>514</x:v>
      </x:c>
      <x:c r="O184" t="n">
        <x:f>ROUND(SUM('食材明细'!J1094:J1099),1)</x:f>
        <x:v>33.3</x:v>
      </x:c>
      <x:c r="P184" t="n">
        <x:f>ROUND(SUM('食材明细'!L1094:L1099),1)</x:f>
        <x:v>53.8</x:v>
      </x:c>
      <x:c r="Q184" t="n">
        <x:f>ROUND(SUM('食材明细'!N1094:N1099),1)</x:f>
        <x:v>20.7</x:v>
      </x:c>
      <x:c r="R184" s="10" t="str">
        <x:v>调料尽量低盐，不加白砂糖；油重已计入热量。</x:v>
      </x:c>
    </x:row>
    <x:row r="185" ht="37" customHeight="1">
      <x:c r="A185" t="n">
        <x:v>184</x:v>
      </x:c>
      <x:c r="B185" t="n">
        <x:v>92</x:v>
      </x:c>
      <x:c r="C185" t="n">
        <x:v>14</x:v>
      </x:c>
      <x:c r="D185" t="str">
        <x:v>晚餐</x:v>
      </x:c>
      <x:c r="E185" t="str">
        <x:v>猪肉</x:v>
      </x:c>
      <x:c r="F185" s="10" t="str">
        <x:v>酸汤猪瘦肉配油麦菜白萝卜｜燕麦饭</x:v>
      </x:c>
      <x:c r="G185" s="10" t="str">
        <x:v>猪瘦肉170g、油麦菜140g、白萝卜140g、燕麦饭95g、烹调油6g</x:v>
      </x:c>
      <x:c r="H185" t="str">
        <x:v>燕麦饭</x:v>
      </x:c>
      <x:c r="I185" s="10" t="str">
        <x:v>低主食需求可将主食减1/3，另加100g非淀粉蔬菜（营养值需重算）</x:v>
      </x:c>
      <x:c r="J185" s="10" t="str">
        <x:v>米醋、番茄、少许辣椒</x:v>
      </x:c>
      <x:c r="K185" t="str">
        <x:v>水煮</x:v>
      </x:c>
      <x:c r="L185" s="10" t="str">
        <x:v>番茄煮成酸汤，主食材汆熟，加入蔬菜再煮2～5分钟；燕麦饭另煮熟或蒸好后同餐食用。</x:v>
      </x:c>
      <x:c r="M185" t="n">
        <x:v>20</x:v>
      </x:c>
      <x:c r="N185" t="n">
        <x:f>ROUND(SUM('食材明细'!H1100:H1105),0)</x:f>
        <x:v>430</x:v>
      </x:c>
      <x:c r="O185" t="n">
        <x:f>ROUND(SUM('食材明细'!J1100:J1105),1)</x:f>
        <x:v>39.8</x:v>
      </x:c>
      <x:c r="P185" t="n">
        <x:f>ROUND(SUM('食材明细'!L1100:L1105),1)</x:f>
        <x:v>29.9</x:v>
      </x:c>
      <x:c r="Q185" t="n">
        <x:f>ROUND(SUM('食材明细'!N1100:N1105),1)</x:f>
        <x:v>17.5</x:v>
      </x:c>
      <x:c r="R185" s="10" t="str">
        <x:v>调料尽量低盐，不加白砂糖；油重已计入热量。</x:v>
      </x:c>
    </x:row>
    <x:row r="186" ht="37" customHeight="1">
      <x:c r="A186" t="n">
        <x:v>185</x:v>
      </x:c>
      <x:c r="B186" t="n">
        <x:v>93</x:v>
      </x:c>
      <x:c r="C186" t="n">
        <x:v>14</x:v>
      </x:c>
      <x:c r="D186" t="str">
        <x:v>午餐</x:v>
      </x:c>
      <x:c r="E186" t="str">
        <x:v>牛肉</x:v>
      </x:c>
      <x:c r="F186" s="10" t="str">
        <x:v>蚝香瘦牛肉配娃娃菜香菇｜山药</x:v>
      </x:c>
      <x:c r="G186" s="10" t="str">
        <x:v>瘦牛肉165g、娃娃菜160g、香菇125g、山药165g、烹调油3g</x:v>
      </x:c>
      <x:c r="H186" t="str">
        <x:v>山药</x:v>
      </x:c>
      <x:c r="I186" s="10" t="str">
        <x:v>想减主食可减到原量2/3，另加100g绿叶菜</x:v>
      </x:c>
      <x:c r="J186" s="10" t="str">
        <x:v>低钠蚝油少量、姜蒜</x:v>
      </x:c>
      <x:c r="K186" t="str">
        <x:v>少油烩</x:v>
      </x:c>
      <x:c r="L186" s="10" t="str">
        <x:v>主食材和蔬菜少油少水烩熟，起锅前点少量蚝油；山药另煮熟或蒸好后同餐食用。</x:v>
      </x:c>
      <x:c r="M186" t="n">
        <x:v>15</x:v>
      </x:c>
      <x:c r="N186" t="n">
        <x:f>ROUND(SUM('食材明细'!H1106:H1111),0)</x:f>
        <x:v>405</x:v>
      </x:c>
      <x:c r="O186" t="n">
        <x:f>ROUND(SUM('食材明细'!J1106:J1111),1)</x:f>
        <x:v>42</x:v>
      </x:c>
      <x:c r="P186" t="n">
        <x:f>ROUND(SUM('食材明细'!L1106:L1111),1)</x:f>
        <x:v>36.6</x:v>
      </x:c>
      <x:c r="Q186" t="n">
        <x:f>ROUND(SUM('食材明细'!N1106:N1111),1)</x:f>
        <x:v>10.7</x:v>
      </x:c>
      <x:c r="R186" s="10" t="str">
        <x:v>调料尽量低盐，不加白砂糖；油重已计入热量。</x:v>
      </x:c>
    </x:row>
    <x:row r="187" ht="37" customHeight="1">
      <x:c r="A187" t="n">
        <x:v>186</x:v>
      </x:c>
      <x:c r="B187" t="n">
        <x:v>93</x:v>
      </x:c>
      <x:c r="C187" t="n">
        <x:v>14</x:v>
      </x:c>
      <x:c r="D187" t="str">
        <x:v>晚餐</x:v>
      </x:c>
      <x:c r="E187" t="str">
        <x:v>豆蛋</x:v>
      </x:c>
      <x:c r="F187" s="10" t="str">
        <x:v>椒麻鸡蛋北豆腐烩小白菜洋葱｜山药</x:v>
      </x:c>
      <x:c r="G187" s="10" t="str">
        <x:v>鸡蛋100g、北豆腐110g、小白菜175g、洋葱125g、山药135g、烹调油4g</x:v>
      </x:c>
      <x:c r="H187" t="str">
        <x:v>山药</x:v>
      </x:c>
      <x:c r="I187" s="10" t="str">
        <x:v>想减主食可减到原量2/3，另加100g绿叶菜</x:v>
      </x:c>
      <x:c r="J187" s="10" t="str">
        <x:v>花椒、蒜、少量醋</x:v>
      </x:c>
      <x:c r="K187" t="str">
        <x:v>水煮</x:v>
      </x:c>
      <x:c r="L187" s="10" t="str">
        <x:v>鸡蛋先打散成蛋液；花椒温水浸出味道，煮熟主食材和配菜，少油拌汁；山药另煮熟或蒸好后同餐食用。</x:v>
      </x:c>
      <x:c r="M187" t="n">
        <x:v>25</x:v>
      </x:c>
      <x:c r="N187" t="n">
        <x:f>ROUND(SUM('食材明细'!H1112:H1117),0)</x:f>
        <x:v>442</x:v>
      </x:c>
      <x:c r="O187" t="n">
        <x:f>ROUND(SUM('食材明细'!J1112:J1117),1)</x:f>
        <x:v>30.2</x:v>
      </x:c>
      <x:c r="P187" t="n">
        <x:f>ROUND(SUM('食材明细'!L1112:L1117),1)</x:f>
        <x:v>38.9</x:v>
      </x:c>
      <x:c r="Q187" t="n">
        <x:f>ROUND(SUM('食材明细'!N1112:N1117),1)</x:f>
        <x:v>20.1</x:v>
      </x:c>
      <x:c r="R187" s="10" t="str">
        <x:v>调料尽量低盐，不加白砂糖；油重已计入热量。</x:v>
      </x:c>
    </x:row>
    <x:row r="188" ht="37" customHeight="1">
      <x:c r="A188" t="n">
        <x:v>187</x:v>
      </x:c>
      <x:c r="B188" t="n">
        <x:v>94</x:v>
      </x:c>
      <x:c r="C188" t="n">
        <x:v>14</x:v>
      </x:c>
      <x:c r="D188" t="str">
        <x:v>午餐</x:v>
      </x:c>
      <x:c r="E188" t="str">
        <x:v>鱼类</x:v>
      </x:c>
      <x:c r="F188" s="10" t="str">
        <x:v>豉汁三文鱼配娃娃菜花菜｜荞麦面</x:v>
      </x:c>
      <x:c r="G188" s="10" t="str">
        <x:v>三文鱼145g、娃娃菜175g、花菜125g、荞麦面110g、烹调油4g</x:v>
      </x:c>
      <x:c r="H188" t="str">
        <x:v>荞麦面</x:v>
      </x:c>
      <x:c r="I188" s="10" t="str">
        <x:v>低主食需求可将主食减1/3，另加100g非淀粉蔬菜（营养值需重算）</x:v>
      </x:c>
      <x:c r="J188" s="10" t="str">
        <x:v>少量豆豉、姜末</x:v>
      </x:c>
      <x:c r="K188" t="str">
        <x:v>蒸</x:v>
      </x:c>
      <x:c r="L188" s="10" t="str">
        <x:v>鱼肉去刺，彻底做熟；豆豉冲洗剁碎，与姜末拌主食材后蒸熟；蔬菜另煮；面/魔芋丝煮熟后与菜合碗。</x:v>
      </x:c>
      <x:c r="M188" t="n">
        <x:v>25</x:v>
      </x:c>
      <x:c r="N188" t="n">
        <x:f>ROUND(SUM('食材明细'!H1118:H1123),0)</x:f>
        <x:v>510</x:v>
      </x:c>
      <x:c r="O188" t="n">
        <x:f>ROUND(SUM('食材明细'!J1118:J1123),1)</x:f>
        <x:v>38.2</x:v>
      </x:c>
      <x:c r="P188" t="n">
        <x:f>ROUND(SUM('食材明细'!L1118:L1123),1)</x:f>
        <x:v>34.6</x:v>
      </x:c>
      <x:c r="Q188" t="n">
        <x:f>ROUND(SUM('食材明细'!N1118:N1123),1)</x:f>
        <x:v>24.4</x:v>
      </x:c>
      <x:c r="R188" s="10" t="str">
        <x:v>调料尽量低盐，不加白砂糖；油重已计入热量。</x:v>
      </x:c>
    </x:row>
    <x:row r="189" ht="37" customHeight="1">
      <x:c r="A189" t="n">
        <x:v>188</x:v>
      </x:c>
      <x:c r="B189" t="n">
        <x:v>94</x:v>
      </x:c>
      <x:c r="C189" t="n">
        <x:v>14</x:v>
      </x:c>
      <x:c r="D189" t="str">
        <x:v>晚餐</x:v>
      </x:c>
      <x:c r="E189" t="str">
        <x:v>牛肉</x:v>
      </x:c>
      <x:c r="F189" s="10" t="str">
        <x:v>蒜香牛里脊配芦笋番茄｜白米饭</x:v>
      </x:c>
      <x:c r="G189" s="10" t="str">
        <x:v>牛里脊145g、芦笋190g、番茄110g、白米饭110g、烹调油3g</x:v>
      </x:c>
      <x:c r="H189" t="str">
        <x:v>白米饭</x:v>
      </x:c>
      <x:c r="I189" s="10" t="str">
        <x:v>低主食需求可将主食减1/3，另加100g非淀粉蔬菜（营养值需重算）</x:v>
      </x:c>
      <x:c r="J189" s="10" t="str">
        <x:v>蒜末、白胡椒</x:v>
      </x:c>
      <x:c r="K189" t="str">
        <x:v>蒸</x:v>
      </x:c>
      <x:c r="L189" s="10" t="str">
        <x:v>食材切块，撒蒜末；上锅蒸熟，蔬菜另焯后拌匀；白米饭另煮熟或蒸好后同餐食用。</x:v>
      </x:c>
      <x:c r="M189" t="n">
        <x:v>15</x:v>
      </x:c>
      <x:c r="N189" t="n">
        <x:f>ROUND(SUM('食材明细'!H1124:H1129),0)</x:f>
        <x:v>403</x:v>
      </x:c>
      <x:c r="O189" t="n">
        <x:f>ROUND(SUM('食材明细'!J1124:J1129),1)</x:f>
        <x:v>38.5</x:v>
      </x:c>
      <x:c r="P189" t="n">
        <x:f>ROUND(SUM('食材明细'!L1124:L1129),1)</x:f>
        <x:v>40</x:v>
      </x:c>
      <x:c r="Q189" t="n">
        <x:f>ROUND(SUM('食材明细'!N1124:N1129),1)</x:f>
        <x:v>10.7</x:v>
      </x:c>
      <x:c r="R189" s="10" t="str">
        <x:v>调料尽量低盐，不加白砂糖；油重已计入热量。</x:v>
      </x:c>
    </x:row>
    <x:row r="190" ht="37" customHeight="1">
      <x:c r="A190" t="n">
        <x:v>189</x:v>
      </x:c>
      <x:c r="B190" t="n">
        <x:v>95</x:v>
      </x:c>
      <x:c r="C190" t="n">
        <x:v>14</x:v>
      </x:c>
      <x:c r="D190" t="str">
        <x:v>午餐</x:v>
      </x:c>
      <x:c r="E190" t="str">
        <x:v>海鲜</x:v>
      </x:c>
      <x:c r="F190" s="10" t="str">
        <x:v>番茄鱿鱼配黄瓜｜糙米饭</x:v>
      </x:c>
      <x:c r="G190" s="10" t="str">
        <x:v>鱿鱼175g、番茄140g、黄瓜110g、糙米饭125g、烹调油5g</x:v>
      </x:c>
      <x:c r="H190" t="str">
        <x:v>糙米饭</x:v>
      </x:c>
      <x:c r="I190" s="10" t="str">
        <x:v>低主食需求可将主食减1/3，另加100g非淀粉蔬菜（营养值需重算）</x:v>
      </x:c>
      <x:c r="J190" s="10" t="str">
        <x:v>番茄丁、黑胡椒</x:v>
      </x:c>
      <x:c r="K190" t="str">
        <x:v>炖煮</x:v>
      </x:c>
      <x:c r="L190" s="10" t="str">
        <x:v>番茄出汁后加入主食材和少量水，轻炖至熟，再放配菜；糙米饭另煮熟或蒸好后同餐食用。</x:v>
      </x:c>
      <x:c r="M190" t="n">
        <x:v>35</x:v>
      </x:c>
      <x:c r="N190" t="n">
        <x:f>ROUND(SUM('食材明细'!H1130:H1135),0)</x:f>
        <x:v>397</x:v>
      </x:c>
      <x:c r="O190" t="n">
        <x:f>ROUND(SUM('食材明细'!J1130:J1135),1)</x:f>
        <x:v>35</x:v>
      </x:c>
      <x:c r="P190" t="n">
        <x:f>ROUND(SUM('食材明细'!L1130:L1135),1)</x:f>
        <x:v>42.4</x:v>
      </x:c>
      <x:c r="Q190" t="n">
        <x:f>ROUND(SUM('食材明细'!N1130:N1135),1)</x:f>
        <x:v>9</x:v>
      </x:c>
      <x:c r="R190" s="10" t="str">
        <x:v>调料尽量低盐，不加白砂糖；油重已计入热量。</x:v>
      </x:c>
    </x:row>
    <x:row r="191" ht="37" customHeight="1">
      <x:c r="A191" t="n">
        <x:v>190</x:v>
      </x:c>
      <x:c r="B191" t="n">
        <x:v>95</x:v>
      </x:c>
      <x:c r="C191" t="n">
        <x:v>14</x:v>
      </x:c>
      <x:c r="D191" t="str">
        <x:v>晚餐</x:v>
      </x:c>
      <x:c r="E191" t="str">
        <x:v>禽肉</x:v>
      </x:c>
      <x:c r="F191" s="10" t="str">
        <x:v>椒麻鸡里脊肉配莴笋玉米笋｜米粉</x:v>
      </x:c>
      <x:c r="G191" s="10" t="str">
        <x:v>鸡里脊肉180g、莴笋140g、玉米笋125g、米粉135g、烹调油5g</x:v>
      </x:c>
      <x:c r="H191" t="str">
        <x:v>米粉</x:v>
      </x:c>
      <x:c r="I191" s="10" t="str">
        <x:v>低主食需求可将主食减1/3，另加100g非淀粉蔬菜（营养值需重算）</x:v>
      </x:c>
      <x:c r="J191" s="10" t="str">
        <x:v>花椒、蒜、少量醋</x:v>
      </x:c>
      <x:c r="K191" t="str">
        <x:v>水煮</x:v>
      </x:c>
      <x:c r="L191" s="10" t="str">
        <x:v>花椒温水浸出味道，煮熟主食材和配菜，少油拌汁；面/魔芋丝煮熟后与菜合碗。</x:v>
      </x:c>
      <x:c r="M191" t="n">
        <x:v>15</x:v>
      </x:c>
      <x:c r="N191" t="n">
        <x:f>ROUND(SUM('食材明细'!H1136:H1141),0)</x:f>
        <x:v>445</x:v>
      </x:c>
      <x:c r="O191" t="n">
        <x:f>ROUND(SUM('食材明细'!J1136:J1141),1)</x:f>
        <x:v>48</x:v>
      </x:c>
      <x:c r="P191" t="n">
        <x:f>ROUND(SUM('食材明细'!L1136:L1141),1)</x:f>
        <x:v>42.5</x:v>
      </x:c>
      <x:c r="Q191" t="n">
        <x:f>ROUND(SUM('食材明细'!N1136:N1141),1)</x:f>
        <x:v>9.1</x:v>
      </x:c>
      <x:c r="R191" s="10" t="str">
        <x:v>调料尽量低盐，不加白砂糖；油重已计入热量。</x:v>
      </x:c>
    </x:row>
    <x:row r="192" ht="37" customHeight="1">
      <x:c r="A192" t="n">
        <x:v>191</x:v>
      </x:c>
      <x:c r="B192" t="n">
        <x:v>96</x:v>
      </x:c>
      <x:c r="C192" t="n">
        <x:v>14</x:v>
      </x:c>
      <x:c r="D192" t="str">
        <x:v>午餐</x:v>
      </x:c>
      <x:c r="E192" t="str">
        <x:v>猪肉</x:v>
      </x:c>
      <x:c r="F192" s="10" t="str">
        <x:v>柠檬猪里脊配荷兰豆冬瓜｜荞麦面</x:v>
      </x:c>
      <x:c r="G192" s="10" t="str">
        <x:v>猪里脊165g、荷兰豆175g、冬瓜125g、荞麦面135g、烹调油6g</x:v>
      </x:c>
      <x:c r="H192" t="str">
        <x:v>荞麦面</x:v>
      </x:c>
      <x:c r="I192" s="10" t="str">
        <x:v>低主食需求可将主食减1/3，另加100g非淀粉蔬菜（营养值需重算）</x:v>
      </x:c>
      <x:c r="J192" s="10" t="str">
        <x:v>柠檬片、白胡椒</x:v>
      </x:c>
      <x:c r="K192" t="str">
        <x:v>蒸</x:v>
      </x:c>
      <x:c r="L192" s="10" t="str">
        <x:v>柠檬片垫底，主食材蒸熟，蔬菜短焯后摆盘；面/魔芋丝煮熟后与菜合碗。</x:v>
      </x:c>
      <x:c r="M192" t="n">
        <x:v>30</x:v>
      </x:c>
      <x:c r="N192" t="n">
        <x:f>ROUND(SUM('食材明细'!H1142:H1147),0)</x:f>
        <x:v>484</x:v>
      </x:c>
      <x:c r="O192" t="n">
        <x:f>ROUND(SUM('食材明细'!J1142:J1147),1)</x:f>
        <x:v>45.4</x:v>
      </x:c>
      <x:c r="P192" t="n">
        <x:f>ROUND(SUM('食材明细'!L1142:L1147),1)</x:f>
        <x:v>45.2</x:v>
      </x:c>
      <x:c r="Q192" t="n">
        <x:f>ROUND(SUM('食材明细'!N1142:N1147),1)</x:f>
        <x:v>13.5</x:v>
      </x:c>
      <x:c r="R192" s="10" t="str">
        <x:v>调料尽量低盐，不加白砂糖；油重已计入热量。</x:v>
      </x:c>
    </x:row>
    <x:row r="193" ht="37" customHeight="1">
      <x:c r="A193" t="n">
        <x:v>192</x:v>
      </x:c>
      <x:c r="B193" t="n">
        <x:v>96</x:v>
      </x:c>
      <x:c r="C193" t="n">
        <x:v>14</x:v>
      </x:c>
      <x:c r="D193" t="str">
        <x:v>晚餐</x:v>
      </x:c>
      <x:c r="E193" t="str">
        <x:v>禽肉</x:v>
      </x:c>
      <x:c r="F193" s="10" t="str">
        <x:v>剁椒鸡胸肉配菜心金针菇｜荞麦面</x:v>
      </x:c>
      <x:c r="G193" s="10" t="str">
        <x:v>鸡胸肉145g、菜心175g、金针菇140g、荞麦面95g、烹调油5g</x:v>
      </x:c>
      <x:c r="H193" t="str">
        <x:v>荞麦面</x:v>
      </x:c>
      <x:c r="I193" s="10" t="str">
        <x:v>低主食需求可将主食减1/3，另加100g非淀粉蔬菜（营养值需重算）</x:v>
      </x:c>
      <x:c r="J193" s="10" t="str">
        <x:v>自制低盐剁椒、蒜</x:v>
      </x:c>
      <x:c r="K193" t="str">
        <x:v>蒸</x:v>
      </x:c>
      <x:c r="L193" s="10" t="str">
        <x:v>主食材铺少量低盐剁椒蒸熟，配菜焯熟后摆盘；面/魔芋丝煮熟后与菜合碗。</x:v>
      </x:c>
      <x:c r="M193" t="n">
        <x:v>25</x:v>
      </x:c>
      <x:c r="N193" t="n">
        <x:f>ROUND(SUM('食材明细'!H1148:H1153),0)</x:f>
        <x:v>384</x:v>
      </x:c>
      <x:c r="O193" t="n">
        <x:f>ROUND(SUM('食材明细'!J1148:J1153),1)</x:f>
        <x:v>44</x:v>
      </x:c>
      <x:c r="P193" t="n">
        <x:f>ROUND(SUM('食材明细'!L1148:L1153),1)</x:f>
        <x:v>35</x:v>
      </x:c>
      <x:c r="Q193" t="n">
        <x:f>ROUND(SUM('食材明细'!N1148:N1153),1)</x:f>
        <x:v>9.4</x:v>
      </x:c>
      <x:c r="R193" s="10" t="str">
        <x:v>调料尽量低盐，不加白砂糖；油重已计入热量。</x:v>
      </x:c>
    </x:row>
    <x:row r="194" ht="37" customHeight="1">
      <x:c r="A194" t="n">
        <x:v>193</x:v>
      </x:c>
      <x:c r="B194" t="n">
        <x:v>97</x:v>
      </x:c>
      <x:c r="C194" t="n">
        <x:v>14</x:v>
      </x:c>
      <x:c r="D194" t="str">
        <x:v>午餐</x:v>
      </x:c>
      <x:c r="E194" t="str">
        <x:v>禽肉</x:v>
      </x:c>
      <x:c r="F194" s="10" t="str">
        <x:v>柠檬去皮鸡腿肉配油麦菜香菇｜乌冬面</x:v>
      </x:c>
      <x:c r="G194" s="10" t="str">
        <x:v>去皮鸡腿肉155g、熟毛豆仁50g、油麦菜160g、香菇125g、乌冬面165g、烹调油3g</x:v>
      </x:c>
      <x:c r="H194" t="str">
        <x:v>乌冬面</x:v>
      </x:c>
      <x:c r="I194" s="10" t="str">
        <x:v>低主食需求可将主食减1/3，另加100g非淀粉蔬菜（营养值需重算）</x:v>
      </x:c>
      <x:c r="J194" s="10" t="str">
        <x:v>柠檬片、白胡椒</x:v>
      </x:c>
      <x:c r="K194" t="str">
        <x:v>蒸</x:v>
      </x:c>
      <x:c r="L194" s="10" t="str">
        <x:v>先去皮去骨并切薄，充分加热；柠檬片垫底，主食材蒸熟，蔬菜短焯后摆盘；面/魔芋丝煮熟后与菜合碗。</x:v>
      </x:c>
      <x:c r="M194" t="n">
        <x:v>20</x:v>
      </x:c>
      <x:c r="N194" t="n">
        <x:f>ROUND(SUM('食材明细'!H1154:H1159),0)</x:f>
        <x:v>550</x:v>
      </x:c>
      <x:c r="O194" t="n">
        <x:f>ROUND(SUM('食材明细'!J1154:J1159),1)</x:f>
        <x:v>46.1</x:v>
      </x:c>
      <x:c r="P194" t="n">
        <x:f>ROUND(SUM('食材明细'!L1154:L1159),1)</x:f>
        <x:v>59.2</x:v>
      </x:c>
      <x:c r="Q194" t="n">
        <x:f>ROUND(SUM('食材明细'!N1154:N1159),1)</x:f>
        <x:v>15.2</x:v>
      </x:c>
      <x:c r="R194" s="10" t="str">
        <x:v>调料尽量低盐，不加白砂糖；油重已计入热量。</x:v>
      </x:c>
    </x:row>
    <x:row r="195" ht="37" customHeight="1">
      <x:c r="A195" t="n">
        <x:v>194</x:v>
      </x:c>
      <x:c r="B195" t="n">
        <x:v>97</x:v>
      </x:c>
      <x:c r="C195" t="n">
        <x:v>14</x:v>
      </x:c>
      <x:c r="D195" t="str">
        <x:v>晚餐</x:v>
      </x:c>
      <x:c r="E195" t="str">
        <x:v>鱼类</x:v>
      </x:c>
      <x:c r="F195" s="10" t="str">
        <x:v>柠檬鲈鱼配冬瓜泡发木耳｜白米饭</x:v>
      </x:c>
      <x:c r="G195" s="10" t="str">
        <x:v>鲈鱼200g、冬瓜190g、泡发木耳110g、白米饭80g、烹调油6g</x:v>
      </x:c>
      <x:c r="H195" t="str">
        <x:v>白米饭</x:v>
      </x:c>
      <x:c r="I195" s="10" t="str">
        <x:v>低主食需求可将主食减1/3，另加100g非淀粉蔬菜（营养值需重算）</x:v>
      </x:c>
      <x:c r="J195" s="10" t="str">
        <x:v>柠檬片、白胡椒</x:v>
      </x:c>
      <x:c r="K195" t="str">
        <x:v>蒸</x:v>
      </x:c>
      <x:c r="L195" s="10" t="str">
        <x:v>鱼肉去刺，彻底做熟；柠檬片垫底，主食材蒸熟，蔬菜短焯后摆盘；白米饭另煮熟或蒸好后同餐食用。</x:v>
      </x:c>
      <x:c r="M195" t="n">
        <x:v>25</x:v>
      </x:c>
      <x:c r="N195" t="n">
        <x:f>ROUND(SUM('食材明细'!H1160:H1165),0)</x:f>
        <x:v>409</x:v>
      </x:c>
      <x:c r="O195" t="n">
        <x:f>ROUND(SUM('食材明细'!J1160:J1165),1)</x:f>
        <x:v>42.5</x:v>
      </x:c>
      <x:c r="P195" t="n">
        <x:f>ROUND(SUM('食材明细'!L1160:L1165),1)</x:f>
        <x:v>32.8</x:v>
      </x:c>
      <x:c r="Q195" t="n">
        <x:f>ROUND(SUM('食材明细'!N1160:N1165),1)</x:f>
        <x:v>12.7</x:v>
      </x:c>
      <x:c r="R195" s="10" t="str">
        <x:v>调料尽量低盐，不加白砂糖；油重已计入热量。</x:v>
      </x:c>
    </x:row>
    <x:row r="196" ht="37" customHeight="1">
      <x:c r="A196" t="n">
        <x:v>195</x:v>
      </x:c>
      <x:c r="B196" t="n">
        <x:v>98</x:v>
      </x:c>
      <x:c r="C196" t="n">
        <x:v>14</x:v>
      </x:c>
      <x:c r="D196" t="str">
        <x:v>午餐</x:v>
      </x:c>
      <x:c r="E196" t="str">
        <x:v>牛肉</x:v>
      </x:c>
      <x:c r="F196" s="10" t="str">
        <x:v>剁椒牛里脊配油麦菜口蘑｜糙米饭</x:v>
      </x:c>
      <x:c r="G196" s="10" t="str">
        <x:v>牛里脊185g、油麦菜160g、口蘑140g、糙米饭125g、烹调油4g</x:v>
      </x:c>
      <x:c r="H196" t="str">
        <x:v>糙米饭</x:v>
      </x:c>
      <x:c r="I196" s="10" t="str">
        <x:v>低主食需求可将主食减1/3，另加100g非淀粉蔬菜（营养值需重算）</x:v>
      </x:c>
      <x:c r="J196" s="10" t="str">
        <x:v>自制低盐剁椒、蒜</x:v>
      </x:c>
      <x:c r="K196" t="str">
        <x:v>蒸</x:v>
      </x:c>
      <x:c r="L196" s="10" t="str">
        <x:v>主食材铺少量低盐剁椒蒸熟，配菜焯熟后摆盘；糙米饭另煮熟或蒸好后同餐食用。</x:v>
      </x:c>
      <x:c r="M196" t="n">
        <x:v>15</x:v>
      </x:c>
      <x:c r="N196" t="n">
        <x:f>ROUND(SUM('食材明细'!H1166:H1171),0)</x:f>
        <x:v>476</x:v>
      </x:c>
      <x:c r="O196" t="n">
        <x:f>ROUND(SUM('食材明细'!J1166:J1171),1)</x:f>
        <x:v>48.7</x:v>
      </x:c>
      <x:c r="P196" t="n">
        <x:f>ROUND(SUM('食材明细'!L1166:L1171),1)</x:f>
        <x:v>39</x:v>
      </x:c>
      <x:c r="Q196" t="n">
        <x:f>ROUND(SUM('食材明细'!N1166:N1171),1)</x:f>
        <x:v>14.8</x:v>
      </x:c>
      <x:c r="R196" s="10" t="str">
        <x:v>调料尽量低盐，不加白砂糖；油重已计入热量。</x:v>
      </x:c>
    </x:row>
    <x:row r="197" ht="37" customHeight="1">
      <x:c r="A197" t="n">
        <x:v>196</x:v>
      </x:c>
      <x:c r="B197" t="n">
        <x:v>98</x:v>
      </x:c>
      <x:c r="C197" t="n">
        <x:v>14</x:v>
      </x:c>
      <x:c r="D197" t="str">
        <x:v>晚餐</x:v>
      </x:c>
      <x:c r="E197" t="str">
        <x:v>海鲜</x:v>
      </x:c>
      <x:c r="F197" s="10" t="str">
        <x:v>蒜香虾仁配丝瓜海带｜紫薯</x:v>
      </x:c>
      <x:c r="G197" s="10" t="str">
        <x:v>虾仁160g、丝瓜140g、海带110g、紫薯135g、烹调油5g</x:v>
      </x:c>
      <x:c r="H197" t="str">
        <x:v>紫薯</x:v>
      </x:c>
      <x:c r="I197" s="10" t="str">
        <x:v>想减主食可减到原量2/3，另加100g绿叶菜</x:v>
      </x:c>
      <x:c r="J197" s="10" t="str">
        <x:v>蒜末、白胡椒</x:v>
      </x:c>
      <x:c r="K197" t="str">
        <x:v>蒸</x:v>
      </x:c>
      <x:c r="L197" s="10" t="str">
        <x:v>食材切块，撒蒜末；上锅蒸熟，蔬菜另焯后拌匀；紫薯另煮熟或蒸好后同餐食用。</x:v>
      </x:c>
      <x:c r="M197" t="n">
        <x:v>15</x:v>
      </x:c>
      <x:c r="N197" t="n">
        <x:f>ROUND(SUM('食材明细'!H1172:H1177),0)</x:f>
        <x:v>373</x:v>
      </x:c>
      <x:c r="O197" t="n">
        <x:f>ROUND(SUM('食材明细'!J1172:J1177),1)</x:f>
        <x:v>35.1</x:v>
      </x:c>
      <x:c r="P197" t="n">
        <x:f>ROUND(SUM('食材明细'!L1172:L1177),1)</x:f>
        <x:v>41.4</x:v>
      </x:c>
      <x:c r="Q197" t="n">
        <x:f>ROUND(SUM('食材明细'!N1172:N1177),1)</x:f>
        <x:v>7.3</x:v>
      </x:c>
      <x:c r="R197" s="10" t="str">
        <x:v>调料尽量低盐，不加白砂糖；油重已计入热量。</x:v>
      </x:c>
    </x:row>
    <x:row r="198" ht="37" customHeight="1">
      <x:c r="A198" t="n">
        <x:v>197</x:v>
      </x:c>
      <x:c r="B198" t="n">
        <x:v>99</x:v>
      </x:c>
      <x:c r="C198" t="n">
        <x:v>15</x:v>
      </x:c>
      <x:c r="D198" t="str">
        <x:v>午餐</x:v>
      </x:c>
      <x:c r="E198" t="str">
        <x:v>鱼类</x:v>
      </x:c>
      <x:c r="F198" s="10" t="str">
        <x:v>菌菇鲈鱼配茼蒿香菇｜藜麦饭</x:v>
      </x:c>
      <x:c r="G198" s="10" t="str">
        <x:v>鲈鱼200g、茼蒿190g、香菇125g、藜麦饭165g、烹调油5g</x:v>
      </x:c>
      <x:c r="H198" t="str">
        <x:v>藜麦饭</x:v>
      </x:c>
      <x:c r="I198" s="10" t="str">
        <x:v>低主食需求可将主食减1/3，另加100g非淀粉蔬菜（营养值需重算）</x:v>
      </x:c>
      <x:c r="J198" s="10" t="str">
        <x:v>姜片、香菇汁</x:v>
      </x:c>
      <x:c r="K198" t="str">
        <x:v>焖煮</x:v>
      </x:c>
      <x:c r="L198" s="10" t="str">
        <x:v>鱼肉去刺，彻底做熟；食材与菌菇加少量水焖熟，出锅前加少量低盐生抽；藜麦饭另煮熟或蒸好后同餐食用。</x:v>
      </x:c>
      <x:c r="M198" t="n">
        <x:v>25</x:v>
      </x:c>
      <x:c r="N198" t="n">
        <x:f>ROUND(SUM('食材明细'!H1178:H1183),0)</x:f>
        <x:v>541</x:v>
      </x:c>
      <x:c r="O198" t="n">
        <x:f>ROUND(SUM('食材明细'!J1178:J1183),1)</x:f>
        <x:v>51.6</x:v>
      </x:c>
      <x:c r="P198" t="n">
        <x:f>ROUND(SUM('食材明细'!L1178:L1183),1)</x:f>
        <x:v>51.8</x:v>
      </x:c>
      <x:c r="Q198" t="n">
        <x:f>ROUND(SUM('食材明细'!N1178:N1183),1)</x:f>
        <x:v>15.3</x:v>
      </x:c>
      <x:c r="R198" s="10" t="str">
        <x:v>调料尽量低盐，不加白砂糖；油重已计入热量。</x:v>
      </x:c>
    </x:row>
    <x:row r="199" ht="37" customHeight="1">
      <x:c r="A199" t="n">
        <x:v>198</x:v>
      </x:c>
      <x:c r="B199" t="n">
        <x:v>99</x:v>
      </x:c>
      <x:c r="C199" t="n">
        <x:v>15</x:v>
      </x:c>
      <x:c r="D199" t="str">
        <x:v>晚餐</x:v>
      </x:c>
      <x:c r="E199" t="str">
        <x:v>鱼类</x:v>
      </x:c>
      <x:c r="F199" s="10" t="str">
        <x:v>酸汤鳕鱼配秋葵泡发木耳｜白米饭</x:v>
      </x:c>
      <x:c r="G199" s="10" t="str">
        <x:v>鳕鱼200g、秋葵160g、泡发木耳140g、白米饭80g、烹调油6g</x:v>
      </x:c>
      <x:c r="H199" t="str">
        <x:v>白米饭</x:v>
      </x:c>
      <x:c r="I199" s="10" t="str">
        <x:v>低主食需求可将主食减1/3，另加100g非淀粉蔬菜（营养值需重算）</x:v>
      </x:c>
      <x:c r="J199" s="10" t="str">
        <x:v>米醋、番茄、少许辣椒</x:v>
      </x:c>
      <x:c r="K199" t="str">
        <x:v>水煮</x:v>
      </x:c>
      <x:c r="L199" s="10" t="str">
        <x:v>鱼肉去刺，彻底做熟；番茄煮成酸汤，主食材汆熟，加入蔬菜再煮2～5分钟；白米饭另煮熟或蒸好后同餐食用。</x:v>
      </x:c>
      <x:c r="M199" t="n">
        <x:v>20</x:v>
      </x:c>
      <x:c r="N199" t="n">
        <x:f>ROUND(SUM('食材明细'!H1184:H1189),0)</x:f>
        <x:v>405</x:v>
      </x:c>
      <x:c r="O199" t="n">
        <x:f>ROUND(SUM('食材明细'!J1184:J1189),1)</x:f>
        <x:v>43.2</x:v>
      </x:c>
      <x:c r="P199" t="n">
        <x:f>ROUND(SUM('食材明细'!L1184:L1189),1)</x:f>
        <x:v>40.9</x:v>
      </x:c>
      <x:c r="Q199" t="n">
        <x:f>ROUND(SUM('食材明细'!N1184:N1189),1)</x:f>
        <x:v>8.3</x:v>
      </x:c>
      <x:c r="R199" s="10" t="str">
        <x:v>调料尽量低盐，不加白砂糖；油重已计入热量。</x:v>
      </x:c>
    </x:row>
    <x:row r="200" ht="37" customHeight="1">
      <x:c r="A200" t="n">
        <x:v>199</x:v>
      </x:c>
      <x:c r="B200" t="n">
        <x:v>100</x:v>
      </x:c>
      <x:c r="C200" t="n">
        <x:v>15</x:v>
      </x:c>
      <x:c r="D200" t="str">
        <x:v>午餐</x:v>
      </x:c>
      <x:c r="E200" t="str">
        <x:v>禽肉</x:v>
      </x:c>
      <x:c r="F200" s="10" t="str">
        <x:v>奥尔良风味去皮鸡腿肉配彩椒香菇｜荞麦面</x:v>
      </x:c>
      <x:c r="G200" s="10" t="str">
        <x:v>去皮鸡腿肉185g、彩椒175g、香菇140g、荞麦面165g、烹调油6g</x:v>
      </x:c>
      <x:c r="H200" t="str">
        <x:v>荞麦面</x:v>
      </x:c>
      <x:c r="I200" s="10" t="str">
        <x:v>低主食需求可将主食减1/3，另加100g非淀粉蔬菜（营养值需重算）</x:v>
      </x:c>
      <x:c r="J200" s="10" t="str">
        <x:v>无糖辣椒粉、蒜粉、洋葱粉</x:v>
      </x:c>
      <x:c r="K200" t="str">
        <x:v>蒸/焖</x:v>
      </x:c>
      <x:c r="L200" s="10" t="str">
        <x:v>先去皮去骨并切薄，充分加热；用无糖香辛料腌肉15分钟，蒸或少油焖熟，配菜煮熟；面/魔芋丝煮熟后与菜合碗。</x:v>
      </x:c>
      <x:c r="M200" t="n">
        <x:v>20</x:v>
      </x:c>
      <x:c r="N200" t="n">
        <x:f>ROUND(SUM('食材明细'!H1190:H1195),0)</x:f>
        <x:v>553</x:v>
      </x:c>
      <x:c r="O200" t="n">
        <x:f>ROUND(SUM('食材明细'!J1190:J1195),1)</x:f>
        <x:v>48.4</x:v>
      </x:c>
      <x:c r="P200" t="n">
        <x:f>ROUND(SUM('食材明细'!L1190:L1195),1)</x:f>
        <x:v>54.9</x:v>
      </x:c>
      <x:c r="Q200" t="n">
        <x:f>ROUND(SUM('食材明细'!N1190:N1195),1)</x:f>
        <x:v>17.5</x:v>
      </x:c>
      <x:c r="R200" s="10" t="str">
        <x:v>调料尽量低盐，不加白砂糖；油重已计入热量。</x:v>
      </x:c>
    </x:row>
    <x:row r="201" ht="37" customHeight="1">
      <x:c r="A201" t="n">
        <x:v>200</x:v>
      </x:c>
      <x:c r="B201" t="n">
        <x:v>100</x:v>
      </x:c>
      <x:c r="C201" t="n">
        <x:v>15</x:v>
      </x:c>
      <x:c r="D201" t="str">
        <x:v>晚餐</x:v>
      </x:c>
      <x:c r="E201" t="str">
        <x:v>牛肉</x:v>
      </x:c>
      <x:c r="F201" s="10" t="str">
        <x:v>番茄牛里脊配泡发木耳｜荞麦饭</x:v>
      </x:c>
      <x:c r="G201" s="10" t="str">
        <x:v>牛里脊160g、番茄190g、泡发木耳125g、荞麦饭110g、烹调油3g</x:v>
      </x:c>
      <x:c r="H201" t="str">
        <x:v>荞麦饭</x:v>
      </x:c>
      <x:c r="I201" s="10" t="str">
        <x:v>低主食需求可将主食减1/3，另加100g非淀粉蔬菜（营养值需重算）</x:v>
      </x:c>
      <x:c r="J201" s="10" t="str">
        <x:v>番茄丁、黑胡椒</x:v>
      </x:c>
      <x:c r="K201" t="str">
        <x:v>炖煮</x:v>
      </x:c>
      <x:c r="L201" s="10" t="str">
        <x:v>番茄出汁后加入主食材和少量水，轻炖至熟，再放配菜；荞麦饭另煮熟或蒸好后同餐食用。</x:v>
      </x:c>
      <x:c r="M201" t="n">
        <x:v>25</x:v>
      </x:c>
      <x:c r="N201" t="n">
        <x:f>ROUND(SUM('食材明细'!H1196:H1201),0)</x:f>
        <x:v>425</x:v>
      </x:c>
      <x:c r="O201" t="n">
        <x:f>ROUND(SUM('食材明细'!J1196:J1201),1)</x:f>
        <x:v>40.9</x:v>
      </x:c>
      <x:c r="P201" t="n">
        <x:f>ROUND(SUM('食材明细'!L1196:L1201),1)</x:f>
        <x:v>39.3</x:v>
      </x:c>
      <x:c r="Q201" t="n">
        <x:f>ROUND(SUM('食材明细'!N1196:N1201),1)</x:f>
        <x:v>12.4</x:v>
      </x:c>
      <x:c r="R201" s="10" t="str">
        <x:v>调料尽量低盐，不加白砂糖；油重已计入热量。</x:v>
      </x:c>
    </x:row>
    <x:row r="202" ht="37" customHeight="1">
      <x:c r="A202" t="n">
        <x:v>201</x:v>
      </x:c>
      <x:c r="B202" t="n">
        <x:v>101</x:v>
      </x:c>
      <x:c r="C202" t="n">
        <x:v>15</x:v>
      </x:c>
      <x:c r="D202" t="str">
        <x:v>午餐</x:v>
      </x:c>
      <x:c r="E202" t="str">
        <x:v>豆蛋</x:v>
      </x:c>
      <x:c r="F202" s="10" t="str">
        <x:v>酸汤北豆腐鸡蛋烩西兰花黄瓜｜红薯</x:v>
      </x:c>
      <x:c r="G202" s="10" t="str">
        <x:v>北豆腐260g、鸡蛋50g、西兰花160g、黄瓜110g、红薯165g、烹调油4g</x:v>
      </x:c>
      <x:c r="H202" t="str">
        <x:v>红薯</x:v>
      </x:c>
      <x:c r="I202" s="10" t="str">
        <x:v>想减主食可减到原量2/3，另加100g绿叶菜</x:v>
      </x:c>
      <x:c r="J202" s="10" t="str">
        <x:v>米醋、番茄、少许辣椒</x:v>
      </x:c>
      <x:c r="K202" t="str">
        <x:v>水煮</x:v>
      </x:c>
      <x:c r="L202" s="10" t="str">
        <x:v>番茄煮成酸汤，主食材汆熟，加入蔬菜再煮2～5分钟；红薯另煮熟或蒸好后同餐食用。</x:v>
      </x:c>
      <x:c r="M202" t="n">
        <x:v>20</x:v>
      </x:c>
      <x:c r="N202" t="n">
        <x:f>ROUND(SUM('食材明细'!H1202:H1207),0)</x:f>
        <x:v>559</x:v>
      </x:c>
      <x:c r="O202" t="n">
        <x:f>ROUND(SUM('食材明细'!J1202:J1207),1)</x:f>
        <x:v>40.4</x:v>
      </x:c>
      <x:c r="P202" t="n">
        <x:f>ROUND(SUM('食材明细'!L1202:L1207),1)</x:f>
        <x:v>54.7</x:v>
      </x:c>
      <x:c r="Q202" t="n">
        <x:f>ROUND(SUM('食材明细'!N1202:N1207),1)</x:f>
        <x:v>22.9</x:v>
      </x:c>
      <x:c r="R202" s="10" t="str">
        <x:v>调料尽量低盐，不加白砂糖；油重已计入热量。</x:v>
      </x:c>
    </x:row>
    <x:row r="203" ht="37" customHeight="1">
      <x:c r="A203" t="n">
        <x:v>202</x:v>
      </x:c>
      <x:c r="B203" t="n">
        <x:v>101</x:v>
      </x:c>
      <x:c r="C203" t="n">
        <x:v>15</x:v>
      </x:c>
      <x:c r="D203" t="str">
        <x:v>晚餐</x:v>
      </x:c>
      <x:c r="E203" t="str">
        <x:v>海鲜</x:v>
      </x:c>
      <x:c r="F203" s="10" t="str">
        <x:v>清汤虾仁配芹菜玉米笋｜杂粮饭</x:v>
      </x:c>
      <x:c r="G203" s="10" t="str">
        <x:v>虾仁190g、芹菜175g、玉米笋140g、杂粮饭135g、烹调油6g</x:v>
      </x:c>
      <x:c r="H203" t="str">
        <x:v>杂粮饭</x:v>
      </x:c>
      <x:c r="I203" s="10" t="str">
        <x:v>低主食需求可将主食减1/3，另加100g非淀粉蔬菜（营养值需重算）</x:v>
      </x:c>
      <x:c r="J203" s="10" t="str">
        <x:v>葱段、盐少量</x:v>
      </x:c>
      <x:c r="K203" t="str">
        <x:v>煮</x:v>
      </x:c>
      <x:c r="L203" s="10" t="str">
        <x:v>清水煮开，按熟化时间下食材，最后放叶菜，清淡调味；杂粮饭另煮熟或蒸好后同餐食用。</x:v>
      </x:c>
      <x:c r="M203" t="n">
        <x:v>25</x:v>
      </x:c>
      <x:c r="N203" t="n">
        <x:f>ROUND(SUM('食材明细'!H1208:H1213),0)</x:f>
        <x:v>446</x:v>
      </x:c>
      <x:c r="O203" t="n">
        <x:f>ROUND(SUM('食材明细'!J1208:J1213),1)</x:f>
        <x:v>44.8</x:v>
      </x:c>
      <x:c r="P203" t="n">
        <x:f>ROUND(SUM('食材明细'!L1208:L1213),1)</x:f>
        <x:v>45.5</x:v>
      </x:c>
      <x:c r="Q203" t="n">
        <x:f>ROUND(SUM('食材明细'!N1208:N1213),1)</x:f>
        <x:v>9.9</x:v>
      </x:c>
      <x:c r="R203" s="10" t="str">
        <x:v>调料尽量低盐，不加白砂糖；油重已计入热量。</x:v>
      </x:c>
    </x:row>
    <x:row r="204" ht="37" customHeight="1">
      <x:c r="A204" t="n">
        <x:v>203</x:v>
      </x:c>
      <x:c r="B204" t="n">
        <x:v>102</x:v>
      </x:c>
      <x:c r="C204" t="n">
        <x:v>15</x:v>
      </x:c>
      <x:c r="D204" t="str">
        <x:v>午餐</x:v>
      </x:c>
      <x:c r="E204" t="str">
        <x:v>禽肉</x:v>
      </x:c>
      <x:c r="F204" s="10" t="str">
        <x:v>清汤鸡胸肉配白萝卜香菇｜土豆</x:v>
      </x:c>
      <x:c r="G204" s="10" t="str">
        <x:v>鸡胸肉175g、白萝卜190g、香菇140g、土豆165g、烹调油5g</x:v>
      </x:c>
      <x:c r="H204" t="str">
        <x:v>土豆</x:v>
      </x:c>
      <x:c r="I204" s="10" t="str">
        <x:v>想减主食可减到原量2/3，另加100g绿叶菜</x:v>
      </x:c>
      <x:c r="J204" s="10" t="str">
        <x:v>葱段、盐少量</x:v>
      </x:c>
      <x:c r="K204" t="str">
        <x:v>煮</x:v>
      </x:c>
      <x:c r="L204" s="10" t="str">
        <x:v>清水煮开，按熟化时间下食材，最后放叶菜，清淡调味；土豆另煮熟或蒸好后同餐食用。</x:v>
      </x:c>
      <x:c r="M204" t="n">
        <x:v>20</x:v>
      </x:c>
      <x:c r="N204" t="n">
        <x:f>ROUND(SUM('食材明细'!H1214:H1219),0)</x:f>
        <x:v>448</x:v>
      </x:c>
      <x:c r="O204" t="n">
        <x:f>ROUND(SUM('食材明细'!J1214:J1219),1)</x:f>
        <x:v>47.8</x:v>
      </x:c>
      <x:c r="P204" t="n">
        <x:f>ROUND(SUM('食材明细'!L1214:L1219),1)</x:f>
        <x:v>45.5</x:v>
      </x:c>
      <x:c r="Q204" t="n">
        <x:f>ROUND(SUM('食材明细'!N1214:N1219),1)</x:f>
        <x:v>9.6</x:v>
      </x:c>
      <x:c r="R204" s="10" t="str">
        <x:v>调料尽量低盐，不加白砂糖；油重已计入热量。</x:v>
      </x:c>
    </x:row>
    <x:row r="205" ht="37" customHeight="1">
      <x:c r="A205" t="n">
        <x:v>204</x:v>
      </x:c>
      <x:c r="B205" t="n">
        <x:v>102</x:v>
      </x:c>
      <x:c r="C205" t="n">
        <x:v>15</x:v>
      </x:c>
      <x:c r="D205" t="str">
        <x:v>晚餐</x:v>
      </x:c>
      <x:c r="E205" t="str">
        <x:v>鱼类</x:v>
      </x:c>
      <x:c r="F205" s="10" t="str">
        <x:v>椒麻巴沙鱼配西葫芦玉米笋｜杂粮饭</x:v>
      </x:c>
      <x:c r="G205" s="10" t="str">
        <x:v>巴沙鱼175g、西葫芦140g、玉米笋125g、杂粮饭95g、烹调油5g</x:v>
      </x:c>
      <x:c r="H205" t="str">
        <x:v>杂粮饭</x:v>
      </x:c>
      <x:c r="I205" s="10" t="str">
        <x:v>低主食需求可将主食减1/3，另加100g非淀粉蔬菜（营养值需重算）</x:v>
      </x:c>
      <x:c r="J205" s="10" t="str">
        <x:v>花椒、蒜、少量醋</x:v>
      </x:c>
      <x:c r="K205" t="str">
        <x:v>水煮</x:v>
      </x:c>
      <x:c r="L205" s="10" t="str">
        <x:v>鱼肉去刺，彻底做熟；花椒温水浸出味道，煮熟主食材和配菜，少油拌汁；杂粮饭另煮熟或蒸好后同餐食用。</x:v>
      </x:c>
      <x:c r="M205" t="n">
        <x:v>30</x:v>
      </x:c>
      <x:c r="N205" t="n">
        <x:f>ROUND(SUM('食材明细'!H1220:H1225),0)</x:f>
        <x:v>368</x:v>
      </x:c>
      <x:c r="O205" t="n">
        <x:f>ROUND(SUM('食材明细'!J1220:J1225),1)</x:f>
        <x:v>36.9</x:v>
      </x:c>
      <x:c r="P205" t="n">
        <x:f>ROUND(SUM('食材明细'!L1220:L1225),1)</x:f>
        <x:v>32.8</x:v>
      </x:c>
      <x:c r="Q205" t="n">
        <x:f>ROUND(SUM('食材明细'!N1220:N1225),1)</x:f>
        <x:v>10.6</x:v>
      </x:c>
      <x:c r="R205" s="10" t="str">
        <x:v>调料尽量低盐，不加白砂糖；油重已计入热量。</x:v>
      </x:c>
    </x:row>
    <x:row r="206" ht="37" customHeight="1">
      <x:c r="A206" t="n">
        <x:v>205</x:v>
      </x:c>
      <x:c r="B206" t="n">
        <x:v>103</x:v>
      </x:c>
      <x:c r="C206" t="n">
        <x:v>15</x:v>
      </x:c>
      <x:c r="D206" t="str">
        <x:v>午餐</x:v>
      </x:c>
      <x:c r="E206" t="str">
        <x:v>猪肉</x:v>
      </x:c>
      <x:c r="F206" s="10" t="str">
        <x:v>柠檬猪里脊配彩椒口蘑｜红薯</x:v>
      </x:c>
      <x:c r="G206" s="10" t="str">
        <x:v>猪里脊155g、彩椒190g、口蘑110g、红薯165g、烹调油6g</x:v>
      </x:c>
      <x:c r="H206" t="str">
        <x:v>红薯</x:v>
      </x:c>
      <x:c r="I206" s="10" t="str">
        <x:v>想减主食可减到原量2/3，另加100g绿叶菜</x:v>
      </x:c>
      <x:c r="J206" s="10" t="str">
        <x:v>柠檬片、白胡椒</x:v>
      </x:c>
      <x:c r="K206" t="str">
        <x:v>蒸</x:v>
      </x:c>
      <x:c r="L206" s="10" t="str">
        <x:v>柠檬片垫底，主食材蒸熟，蔬菜短焯后摆盘；红薯另煮熟或蒸好后同餐食用。</x:v>
      </x:c>
      <x:c r="M206" t="n">
        <x:v>15</x:v>
      </x:c>
      <x:c r="N206" t="n">
        <x:f>ROUND(SUM('食材明细'!H1226:H1231),0)</x:f>
        <x:v>461</x:v>
      </x:c>
      <x:c r="O206" t="n">
        <x:f>ROUND(SUM('食材明细'!J1226:J1231),1)</x:f>
        <x:v>40.5</x:v>
      </x:c>
      <x:c r="P206" t="n">
        <x:f>ROUND(SUM('食材明细'!L1226:L1231),1)</x:f>
        <x:v>49.1</x:v>
      </x:c>
      <x:c r="Q206" t="n">
        <x:f>ROUND(SUM('食材明细'!N1226:N1231),1)</x:f>
        <x:v>12.3</x:v>
      </x:c>
      <x:c r="R206" s="10" t="str">
        <x:v>调料尽量低盐，不加白砂糖；油重已计入热量。</x:v>
      </x:c>
    </x:row>
    <x:row r="207" ht="37" customHeight="1">
      <x:c r="A207" t="n">
        <x:v>206</x:v>
      </x:c>
      <x:c r="B207" t="n">
        <x:v>103</x:v>
      </x:c>
      <x:c r="C207" t="n">
        <x:v>15</x:v>
      </x:c>
      <x:c r="D207" t="str">
        <x:v>晚餐</x:v>
      </x:c>
      <x:c r="E207" t="str">
        <x:v>牛肉</x:v>
      </x:c>
      <x:c r="F207" s="10" t="str">
        <x:v>葱姜清蒸牛里脊配菠菜冬瓜｜山药</x:v>
      </x:c>
      <x:c r="G207" s="10" t="str">
        <x:v>牛里脊180g、北豆腐90g、菠菜160g、冬瓜140g、山药125g、烹调油4g</x:v>
      </x:c>
      <x:c r="H207" t="str">
        <x:v>山药</x:v>
      </x:c>
      <x:c r="I207" s="10" t="str">
        <x:v>想减主食可减到原量2/3，另加100g绿叶菜</x:v>
      </x:c>
      <x:c r="J207" s="10" t="str">
        <x:v>葱姜、少量低盐生抽</x:v>
      </x:c>
      <x:c r="K207" t="str">
        <x:v>蒸</x:v>
      </x:c>
      <x:c r="L207" s="10" t="str">
        <x:v>切片腌5分钟；肉和配菜入盘，蒸至熟透；淋葱姜汁；山药另煮熟或蒸好后同餐食用。</x:v>
      </x:c>
      <x:c r="M207" t="n">
        <x:v>25</x:v>
      </x:c>
      <x:c r="N207" t="n">
        <x:f>ROUND(SUM('食材明细'!H1232:H1237),0)</x:f>
        <x:v>484</x:v>
      </x:c>
      <x:c r="O207" t="n">
        <x:f>ROUND(SUM('食材明细'!J1232:J1237),1)</x:f>
        <x:v>53.9</x:v>
      </x:c>
      <x:c r="P207" t="n">
        <x:f>ROUND(SUM('食材明细'!L1232:L1237),1)</x:f>
        <x:v>29.4</x:v>
      </x:c>
      <x:c r="Q207" t="n">
        <x:f>ROUND(SUM('食材明细'!N1232:N1237),1)</x:f>
        <x:v>18.2</x:v>
      </x:c>
      <x:c r="R207" s="10" t="str">
        <x:v>调料尽量低盐，不加白砂糖；油重已计入热量。</x:v>
      </x:c>
    </x:row>
    <x:row r="208" ht="37" customHeight="1">
      <x:c r="A208" t="n">
        <x:v>207</x:v>
      </x:c>
      <x:c r="B208" t="n">
        <x:v>104</x:v>
      </x:c>
      <x:c r="C208" t="n">
        <x:v>15</x:v>
      </x:c>
      <x:c r="D208" t="str">
        <x:v>午餐</x:v>
      </x:c>
      <x:c r="E208" t="str">
        <x:v>豆蛋</x:v>
      </x:c>
      <x:c r="F208" s="10" t="str">
        <x:v>香醋北豆腐熟毛豆仁烩小白菜白萝卜｜糙米饭</x:v>
      </x:c>
      <x:c r="G208" s="10" t="str">
        <x:v>北豆腐280g、熟毛豆仁70g、小白菜175g、白萝卜125g、糙米饭110g、烹调油5g</x:v>
      </x:c>
      <x:c r="H208" t="str">
        <x:v>糙米饭</x:v>
      </x:c>
      <x:c r="I208" s="10" t="str">
        <x:v>低主食需求可将主食减1/3，另加100g非淀粉蔬菜（营养值需重算）</x:v>
      </x:c>
      <x:c r="J208" s="10" t="str">
        <x:v>香醋、蒜末、少量生抽</x:v>
      </x:c>
      <x:c r="K208" t="str">
        <x:v>水煮</x:v>
      </x:c>
      <x:c r="L208" s="10" t="str">
        <x:v>食材分别煮至熟，淋香醋蒜汁，拌匀即食；糙米饭另煮熟或蒸好后同餐食用。</x:v>
      </x:c>
      <x:c r="M208" t="n">
        <x:v>25</x:v>
      </x:c>
      <x:c r="N208" t="n">
        <x:f>ROUND(SUM('食材明细'!H1238:H1243),0)</x:f>
        <x:v>556</x:v>
      </x:c>
      <x:c r="O208" t="n">
        <x:f>ROUND(SUM('食材明细'!J1238:J1243),1)</x:f>
        <x:v>42.8</x:v>
      </x:c>
      <x:c r="P208" t="n">
        <x:f>ROUND(SUM('食材明细'!L1238:L1243),1)</x:f>
        <x:v>47.7</x:v>
      </x:c>
      <x:c r="Q208" t="n">
        <x:f>ROUND(SUM('食材明细'!N1238:N1243),1)</x:f>
        <x:v>24</x:v>
      </x:c>
      <x:c r="R208" s="10" t="str">
        <x:v>调料尽量低盐，不加白砂糖；油重已计入热量。</x:v>
      </x:c>
    </x:row>
    <x:row r="209" ht="37" customHeight="1">
      <x:c r="A209" t="n">
        <x:v>208</x:v>
      </x:c>
      <x:c r="B209" t="n">
        <x:v>104</x:v>
      </x:c>
      <x:c r="C209" t="n">
        <x:v>15</x:v>
      </x:c>
      <x:c r="D209" t="str">
        <x:v>晚餐</x:v>
      </x:c>
      <x:c r="E209" t="str">
        <x:v>禽肉</x:v>
      </x:c>
      <x:c r="F209" s="10" t="str">
        <x:v>椒麻去皮鸡腿肉配白萝卜杏鲍菇｜杂粮饭</x:v>
      </x:c>
      <x:c r="G209" s="10" t="str">
        <x:v>去皮鸡腿肉160g、白萝卜175g、杏鲍菇125g、杂粮饭110g、烹调油4g</x:v>
      </x:c>
      <x:c r="H209" t="str">
        <x:v>杂粮饭</x:v>
      </x:c>
      <x:c r="I209" s="10" t="str">
        <x:v>低主食需求可将主食减1/3，另加100g非淀粉蔬菜（营养值需重算）</x:v>
      </x:c>
      <x:c r="J209" s="10" t="str">
        <x:v>花椒、蒜、少量醋</x:v>
      </x:c>
      <x:c r="K209" t="str">
        <x:v>水煮</x:v>
      </x:c>
      <x:c r="L209" s="10" t="str">
        <x:v>先去皮去骨并切薄，充分加热；花椒温水浸出味道，煮熟主食材和配菜，少油拌汁；杂粮饭另煮熟或蒸好后同餐食用。</x:v>
      </x:c>
      <x:c r="M209" t="n">
        <x:v>15</x:v>
      </x:c>
      <x:c r="N209" t="n">
        <x:f>ROUND(SUM('食材明细'!H1244:H1249),0)</x:f>
        <x:v>438</x:v>
      </x:c>
      <x:c r="O209" t="n">
        <x:f>ROUND(SUM('食材明细'!J1244:J1249),1)</x:f>
        <x:v>39</x:v>
      </x:c>
      <x:c r="P209" t="n">
        <x:f>ROUND(SUM('食材明细'!L1244:L1249),1)</x:f>
        <x:v>42.1</x:v>
      </x:c>
      <x:c r="Q209" t="n">
        <x:f>ROUND(SUM('食材明细'!N1244:N1249),1)</x:f>
        <x:v>13.8</x:v>
      </x:c>
      <x:c r="R209" s="10" t="str">
        <x:v>调料尽量低盐，不加白砂糖；油重已计入热量。</x:v>
      </x:c>
    </x:row>
    <x:row r="210" ht="37" customHeight="1">
      <x:c r="A210" t="n">
        <x:v>209</x:v>
      </x:c>
      <x:c r="B210" t="n">
        <x:v>105</x:v>
      </x:c>
      <x:c r="C210" t="n">
        <x:v>15</x:v>
      </x:c>
      <x:c r="D210" t="str">
        <x:v>午餐</x:v>
      </x:c>
      <x:c r="E210" t="str">
        <x:v>鱼类</x:v>
      </x:c>
      <x:c r="F210" s="10" t="str">
        <x:v>菌菇巴沙鱼配丝瓜杏鲍菇｜杂粮饭</x:v>
      </x:c>
      <x:c r="G210" s="10" t="str">
        <x:v>巴沙鱼215g、丝瓜175g、杏鲍菇155g、杂粮饭125g、烹调油6g</x:v>
      </x:c>
      <x:c r="H210" t="str">
        <x:v>杂粮饭</x:v>
      </x:c>
      <x:c r="I210" s="10" t="str">
        <x:v>低主食需求可将主食减1/3，另加100g非淀粉蔬菜（营养值需重算）</x:v>
      </x:c>
      <x:c r="J210" s="10" t="str">
        <x:v>姜片、香菇汁</x:v>
      </x:c>
      <x:c r="K210" t="str">
        <x:v>焖煮</x:v>
      </x:c>
      <x:c r="L210" s="10" t="str">
        <x:v>鱼肉去刺，彻底做熟；食材与菌菇加少量水焖熟，出锅前加少量低盐生抽；杂粮饭另煮熟或蒸好后同餐食用。</x:v>
      </x:c>
      <x:c r="M210" t="n">
        <x:v>25</x:v>
      </x:c>
      <x:c r="N210" t="n">
        <x:f>ROUND(SUM('食材明细'!H1250:H1255),0)</x:f>
        <x:v>481</x:v>
      </x:c>
      <x:c r="O210" t="n">
        <x:f>ROUND(SUM('食材明细'!J1250:J1255),1)</x:f>
        <x:v>45.3</x:v>
      </x:c>
      <x:c r="P210" t="n">
        <x:f>ROUND(SUM('食材明细'!L1250:L1255),1)</x:f>
        <x:v>47.8</x:v>
      </x:c>
      <x:c r="Q210" t="n">
        <x:f>ROUND(SUM('食材明细'!N1250:N1255),1)</x:f>
        <x:v>13.1</x:v>
      </x:c>
      <x:c r="R210" s="10" t="str">
        <x:v>调料尽量低盐，不加白砂糖；油重已计入热量。</x:v>
      </x:c>
    </x:row>
    <x:row r="211" ht="37" customHeight="1">
      <x:c r="A211" t="n">
        <x:v>210</x:v>
      </x:c>
      <x:c r="B211" t="n">
        <x:v>105</x:v>
      </x:c>
      <x:c r="C211" t="n">
        <x:v>15</x:v>
      </x:c>
      <x:c r="D211" t="str">
        <x:v>晚餐</x:v>
      </x:c>
      <x:c r="E211" t="str">
        <x:v>猪肉</x:v>
      </x:c>
      <x:c r="F211" s="10" t="str">
        <x:v>蒜香猪里脊配菜心番茄｜乌冬面</x:v>
      </x:c>
      <x:c r="G211" s="10" t="str">
        <x:v>猪里脊145g、菜心140g、番茄110g、乌冬面125g、烹调油3g</x:v>
      </x:c>
      <x:c r="H211" t="str">
        <x:v>乌冬面</x:v>
      </x:c>
      <x:c r="I211" s="10" t="str">
        <x:v>低主食需求可将主食减1/3，另加100g非淀粉蔬菜（营养值需重算）</x:v>
      </x:c>
      <x:c r="J211" s="10" t="str">
        <x:v>蒜末、白胡椒</x:v>
      </x:c>
      <x:c r="K211" t="str">
        <x:v>蒸</x:v>
      </x:c>
      <x:c r="L211" s="10" t="str">
        <x:v>食材切块，撒蒜末；上锅蒸熟，蔬菜另焯后拌匀；面/魔芋丝煮熟后与菜合碗。</x:v>
      </x:c>
      <x:c r="M211" t="n">
        <x:v>25</x:v>
      </x:c>
      <x:c r="N211" t="n">
        <x:f>ROUND(SUM('食材明细'!H1256:H1261),0)</x:f>
        <x:v>401</x:v>
      </x:c>
      <x:c r="O211" t="n">
        <x:f>ROUND(SUM('食材明细'!J1256:J1261),1)</x:f>
        <x:v>37.4</x:v>
      </x:c>
      <x:c r="P211" t="n">
        <x:f>ROUND(SUM('食材明细'!L1256:L1261),1)</x:f>
        <x:v>40.6</x:v>
      </x:c>
      <x:c r="Q211" t="n">
        <x:f>ROUND(SUM('食材明细'!N1256:N1261),1)</x:f>
        <x:v>9.5</x:v>
      </x:c>
      <x:c r="R211" s="10" t="str">
        <x:v>调料尽量低盐，不加白砂糖；油重已计入热量。</x:v>
      </x:c>
    </x:row>
    <x:row r="212" ht="37" customHeight="1">
      <x:c r="A212" t="n">
        <x:v>211</x:v>
      </x:c>
      <x:c r="B212" t="n">
        <x:v>106</x:v>
      </x:c>
      <x:c r="C212" t="n">
        <x:v>16</x:v>
      </x:c>
      <x:c r="D212" t="str">
        <x:v>午餐</x:v>
      </x:c>
      <x:c r="E212" t="str">
        <x:v>禽肉</x:v>
      </x:c>
      <x:c r="F212" s="10" t="str">
        <x:v>葱姜清蒸去皮鸡腿肉配娃娃菜白萝卜｜山药</x:v>
      </x:c>
      <x:c r="G212" s="10" t="str">
        <x:v>去皮鸡腿肉165g、娃娃菜190g、白萝卜140g、山药135g、烹调油5g</x:v>
      </x:c>
      <x:c r="H212" t="str">
        <x:v>山药</x:v>
      </x:c>
      <x:c r="I212" s="10" t="str">
        <x:v>想减主食可减到原量2/3，另加100g绿叶菜</x:v>
      </x:c>
      <x:c r="J212" s="10" t="str">
        <x:v>葱姜、少量低盐生抽</x:v>
      </x:c>
      <x:c r="K212" t="str">
        <x:v>蒸</x:v>
      </x:c>
      <x:c r="L212" s="10" t="str">
        <x:v>先去皮去骨并切薄，充分加热；切片腌5分钟；肉和配菜入盘，蒸至熟透；淋葱姜汁；山药另煮熟或蒸好后同餐食用。</x:v>
      </x:c>
      <x:c r="M212" t="n">
        <x:v>20</x:v>
      </x:c>
      <x:c r="N212" t="n">
        <x:f>ROUND(SUM('食材明细'!H1262:H1267),0)</x:f>
        <x:v>392</x:v>
      </x:c>
      <x:c r="O212" t="n">
        <x:f>ROUND(SUM('食材明细'!J1262:J1267),1)</x:f>
        <x:v>38.3</x:v>
      </x:c>
      <x:c r="P212" t="n">
        <x:f>ROUND(SUM('食材明细'!L1262:L1267),1)</x:f>
        <x:v>30.3</x:v>
      </x:c>
      <x:c r="Q212" t="n">
        <x:f>ROUND(SUM('食材明细'!N1262:N1267),1)</x:f>
        <x:v>13.9</x:v>
      </x:c>
      <x:c r="R212" s="10" t="str">
        <x:v>调料尽量低盐，不加白砂糖；油重已计入热量。</x:v>
      </x:c>
    </x:row>
    <x:row r="213" ht="37" customHeight="1">
      <x:c r="A213" t="n">
        <x:v>212</x:v>
      </x:c>
      <x:c r="B213" t="n">
        <x:v>106</x:v>
      </x:c>
      <x:c r="C213" t="n">
        <x:v>16</x:v>
      </x:c>
      <x:c r="D213" t="str">
        <x:v>晚餐</x:v>
      </x:c>
      <x:c r="E213" t="str">
        <x:v>豆蛋</x:v>
      </x:c>
      <x:c r="F213" s="10" t="str">
        <x:v>菌菇嫩豆腐虾仁烩苦瓜香菇｜荞麦饭</x:v>
      </x:c>
      <x:c r="G213" s="10" t="str">
        <x:v>嫩豆腐280g、虾仁65g、苦瓜160g、香菇155g、荞麦饭80g、烹调油4g</x:v>
      </x:c>
      <x:c r="H213" t="str">
        <x:v>荞麦饭</x:v>
      </x:c>
      <x:c r="I213" s="10" t="str">
        <x:v>低主食需求可将主食减1/3，另加100g非淀粉蔬菜（营养值需重算）</x:v>
      </x:c>
      <x:c r="J213" s="10" t="str">
        <x:v>姜片、香菇汁</x:v>
      </x:c>
      <x:c r="K213" t="str">
        <x:v>焖煮</x:v>
      </x:c>
      <x:c r="L213" s="10" t="str">
        <x:v>食材与菌菇加少量水焖熟，出锅前加少量低盐生抽；荞麦饭另煮熟或蒸好后同餐食用。</x:v>
      </x:c>
      <x:c r="M213" t="n">
        <x:v>35</x:v>
      </x:c>
      <x:c r="N213" t="n">
        <x:f>ROUND(SUM('食材明细'!H1268:H1273),0)</x:f>
        <x:v>420</x:v>
      </x:c>
      <x:c r="O213" t="n">
        <x:f>ROUND(SUM('食材明细'!J1268:J1273),1)</x:f>
        <x:v>34.1</x:v>
      </x:c>
      <x:c r="P213" t="n">
        <x:f>ROUND(SUM('食材明细'!L1268:L1273),1)</x:f>
        <x:v>40.6</x:v>
      </x:c>
      <x:c r="Q213" t="n">
        <x:f>ROUND(SUM('食材明细'!N1268:N1273),1)</x:f>
        <x:v>14.5</x:v>
      </x:c>
      <x:c r="R213" s="10" t="str">
        <x:v>调料尽量低盐，不加白砂糖；油重已计入热量。</x:v>
      </x:c>
    </x:row>
    <x:row r="214" ht="37" customHeight="1">
      <x:c r="A214" t="n">
        <x:v>213</x:v>
      </x:c>
      <x:c r="B214" t="n">
        <x:v>107</x:v>
      </x:c>
      <x:c r="C214" t="n">
        <x:v>16</x:v>
      </x:c>
      <x:c r="D214" t="str">
        <x:v>午餐</x:v>
      </x:c>
      <x:c r="E214" t="str">
        <x:v>禽肉</x:v>
      </x:c>
      <x:c r="F214" s="10" t="str">
        <x:v>无糖照烧去皮鸡腿肉配彩椒洋葱｜乌冬面</x:v>
      </x:c>
      <x:c r="G214" s="10" t="str">
        <x:v>去皮鸡腿肉165g、彩椒175g、洋葱155g、乌冬面125g、烹调油5g</x:v>
      </x:c>
      <x:c r="H214" t="str">
        <x:v>乌冬面</x:v>
      </x:c>
      <x:c r="I214" s="10" t="str">
        <x:v>低主食需求可将主食减1/3，另加100g非淀粉蔬菜（营养值需重算）</x:v>
      </x:c>
      <x:c r="J214" s="10" t="str">
        <x:v>低盐生抽、米醋、洋葱自然甜味</x:v>
      </x:c>
      <x:c r="K214" t="str">
        <x:v>少油煮</x:v>
      </x:c>
      <x:c r="L214" s="10" t="str">
        <x:v>先去皮去骨并切薄，充分加热；生抽与米醋调汁，不加糖；肉菜加水煮熟后略收汁；面/魔芋丝煮熟后与菜合碗。</x:v>
      </x:c>
      <x:c r="M214" t="n">
        <x:v>30</x:v>
      </x:c>
      <x:c r="N214" t="n">
        <x:f>ROUND(SUM('食材明细'!H1274:H1279),0)</x:f>
        <x:v>511</x:v>
      </x:c>
      <x:c r="O214" t="n">
        <x:f>ROUND(SUM('食材明细'!J1274:J1279),1)</x:f>
        <x:v>39.6</x:v>
      </x:c>
      <x:c r="P214" t="n">
        <x:f>ROUND(SUM('食材明细'!L1274:L1279),1)</x:f>
        <x:v>56.4</x:v>
      </x:c>
      <x:c r="Q214" t="n">
        <x:f>ROUND(SUM('食材明细'!N1274:N1279),1)</x:f>
        <x:v>14.5</x:v>
      </x:c>
      <x:c r="R214" s="10" t="str">
        <x:v>调料尽量低盐，不加白砂糖；油重已计入热量。</x:v>
      </x:c>
    </x:row>
    <x:row r="215" ht="37" customHeight="1">
      <x:c r="A215" t="n">
        <x:v>214</x:v>
      </x:c>
      <x:c r="B215" t="n">
        <x:v>107</x:v>
      </x:c>
      <x:c r="C215" t="n">
        <x:v>16</x:v>
      </x:c>
      <x:c r="D215" t="str">
        <x:v>晚餐</x:v>
      </x:c>
      <x:c r="E215" t="str">
        <x:v>禽肉</x:v>
      </x:c>
      <x:c r="F215" s="10" t="str">
        <x:v>香醋鸡胸肉配菠菜丝瓜｜山药</x:v>
      </x:c>
      <x:c r="G215" s="10" t="str">
        <x:v>鸡胸肉170g、菠菜190g、丝瓜155g、山药135g、烹调油5g</x:v>
      </x:c>
      <x:c r="H215" t="str">
        <x:v>山药</x:v>
      </x:c>
      <x:c r="I215" s="10" t="str">
        <x:v>想减主食可减到原量2/3，另加100g绿叶菜</x:v>
      </x:c>
      <x:c r="J215" s="10" t="str">
        <x:v>香醋、蒜末、少量生抽</x:v>
      </x:c>
      <x:c r="K215" t="str">
        <x:v>水煮</x:v>
      </x:c>
      <x:c r="L215" s="10" t="str">
        <x:v>食材分别煮至熟，淋香醋蒜汁，拌匀即食；山药另煮熟或蒸好后同餐食用。</x:v>
      </x:c>
      <x:c r="M215" t="n">
        <x:v>20</x:v>
      </x:c>
      <x:c r="N215" t="n">
        <x:f>ROUND(SUM('食材明细'!H1280:H1285),0)</x:f>
        <x:v>390</x:v>
      </x:c>
      <x:c r="O215" t="n">
        <x:f>ROUND(SUM('食材明细'!J1280:J1285),1)</x:f>
        <x:v>48.2</x:v>
      </x:c>
      <x:c r="P215" t="n">
        <x:f>ROUND(SUM('食材明细'!L1280:L1285),1)</x:f>
        <x:v>32.1</x:v>
      </x:c>
      <x:c r="Q215" t="n">
        <x:f>ROUND(SUM('食材明细'!N1280:N1285),1)</x:f>
        <x:v>9.6</x:v>
      </x:c>
      <x:c r="R215" s="10" t="str">
        <x:v>调料尽量低盐，不加白砂糖；油重已计入热量。</x:v>
      </x:c>
    </x:row>
    <x:row r="216" ht="37" customHeight="1">
      <x:c r="A216" t="n">
        <x:v>215</x:v>
      </x:c>
      <x:c r="B216" t="n">
        <x:v>108</x:v>
      </x:c>
      <x:c r="C216" t="n">
        <x:v>16</x:v>
      </x:c>
      <x:c r="D216" t="str">
        <x:v>午餐</x:v>
      </x:c>
      <x:c r="E216" t="str">
        <x:v>鱼类</x:v>
      </x:c>
      <x:c r="F216" s="10" t="str">
        <x:v>豉汁鳕鱼配番茄菜心｜糙米饭</x:v>
      </x:c>
      <x:c r="G216" s="10" t="str">
        <x:v>鳕鱼175g、番茄175g、菜心110g、糙米饭165g、烹调油6g</x:v>
      </x:c>
      <x:c r="H216" t="str">
        <x:v>糙米饭</x:v>
      </x:c>
      <x:c r="I216" s="10" t="str">
        <x:v>低主食需求可将主食减1/3，另加100g非淀粉蔬菜（营养值需重算）</x:v>
      </x:c>
      <x:c r="J216" s="10" t="str">
        <x:v>少量豆豉、姜末</x:v>
      </x:c>
      <x:c r="K216" t="str">
        <x:v>蒸</x:v>
      </x:c>
      <x:c r="L216" s="10" t="str">
        <x:v>鱼肉去刺，彻底做熟；豆豉冲洗剁碎，与姜末拌主食材后蒸熟；蔬菜另煮；糙米饭另煮熟或蒸好后同餐食用。</x:v>
      </x:c>
      <x:c r="M216" t="n">
        <x:v>30</x:v>
      </x:c>
      <x:c r="N216" t="n">
        <x:f>ROUND(SUM('食材明细'!H1286:H1291),0)</x:f>
        <x:v>445</x:v>
      </x:c>
      <x:c r="O216" t="n">
        <x:f>ROUND(SUM('食材明细'!J1286:J1291),1)</x:f>
        <x:v>39.6</x:v>
      </x:c>
      <x:c r="P216" t="n">
        <x:f>ROUND(SUM('食材明细'!L1286:L1291),1)</x:f>
        <x:v>49.6</x:v>
      </x:c>
      <x:c r="Q216" t="n">
        <x:f>ROUND(SUM('食材明细'!N1286:N1291),1)</x:f>
        <x:v>9.6</x:v>
      </x:c>
      <x:c r="R216" s="10" t="str">
        <x:v>调料尽量低盐，不加白砂糖；油重已计入热量。</x:v>
      </x:c>
    </x:row>
    <x:row r="217" ht="37" customHeight="1">
      <x:c r="A217" t="n">
        <x:v>216</x:v>
      </x:c>
      <x:c r="B217" t="n">
        <x:v>108</x:v>
      </x:c>
      <x:c r="C217" t="n">
        <x:v>16</x:v>
      </x:c>
      <x:c r="D217" t="str">
        <x:v>晚餐</x:v>
      </x:c>
      <x:c r="E217" t="str">
        <x:v>牛肉</x:v>
      </x:c>
      <x:c r="F217" s="10" t="str">
        <x:v>柠檬牛里脊配彩椒胡萝卜｜糙米饭</x:v>
      </x:c>
      <x:c r="G217" s="10" t="str">
        <x:v>牛里脊170g、彩椒190g、胡萝卜125g、糙米饭135g、烹调油3g</x:v>
      </x:c>
      <x:c r="H217" t="str">
        <x:v>糙米饭</x:v>
      </x:c>
      <x:c r="I217" s="10" t="str">
        <x:v>低主食需求可将主食减1/3，另加100g非淀粉蔬菜（营养值需重算）</x:v>
      </x:c>
      <x:c r="J217" s="10" t="str">
        <x:v>柠檬片、白胡椒</x:v>
      </x:c>
      <x:c r="K217" t="str">
        <x:v>蒸</x:v>
      </x:c>
      <x:c r="L217" s="10" t="str">
        <x:v>柠檬片垫底，主食材蒸熟，蔬菜短焯后摆盘；糙米饭另煮熟或蒸好后同餐食用。</x:v>
      </x:c>
      <x:c r="M217" t="n">
        <x:v>20</x:v>
      </x:c>
      <x:c r="N217" t="n">
        <x:f>ROUND(SUM('食材明细'!H1292:H1297),0)</x:f>
        <x:v>502</x:v>
      </x:c>
      <x:c r="O217" t="n">
        <x:f>ROUND(SUM('食材明细'!J1292:J1297),1)</x:f>
        <x:v>42.2</x:v>
      </x:c>
      <x:c r="P217" t="n">
        <x:f>ROUND(SUM('食材明细'!L1292:L1297),1)</x:f>
        <x:v>55.8</x:v>
      </x:c>
      <x:c r="Q217" t="n">
        <x:f>ROUND(SUM('食材明细'!N1292:N1297),1)</x:f>
        <x:v>13</x:v>
      </x:c>
      <x:c r="R217" s="10" t="str">
        <x:v>调料尽量低盐，不加白砂糖；油重已计入热量。</x:v>
      </x:c>
    </x:row>
    <x:row r="218" ht="37" customHeight="1">
      <x:c r="A218" t="n">
        <x:v>217</x:v>
      </x:c>
      <x:c r="B218" t="n">
        <x:v>109</x:v>
      </x:c>
      <x:c r="C218" t="n">
        <x:v>16</x:v>
      </x:c>
      <x:c r="D218" t="str">
        <x:v>午餐</x:v>
      </x:c>
      <x:c r="E218" t="str">
        <x:v>海鲜</x:v>
      </x:c>
      <x:c r="F218" s="10" t="str">
        <x:v>菌菇鱿鱼配茼蒿杏鲍菇｜燕麦饭</x:v>
      </x:c>
      <x:c r="G218" s="10" t="str">
        <x:v>鱿鱼160g、茼蒿175g、杏鲍菇140g、燕麦饭125g、烹调油3g</x:v>
      </x:c>
      <x:c r="H218" t="str">
        <x:v>燕麦饭</x:v>
      </x:c>
      <x:c r="I218" s="10" t="str">
        <x:v>低主食需求可将主食减1/3，另加100g非淀粉蔬菜（营养值需重算）</x:v>
      </x:c>
      <x:c r="J218" s="10" t="str">
        <x:v>姜片、香菇汁</x:v>
      </x:c>
      <x:c r="K218" t="str">
        <x:v>焖煮</x:v>
      </x:c>
      <x:c r="L218" s="10" t="str">
        <x:v>食材与菌菇加少量水焖熟，出锅前加少量低盐生抽；燕麦饭另煮熟或蒸好后同餐食用。</x:v>
      </x:c>
      <x:c r="M218" t="n">
        <x:v>20</x:v>
      </x:c>
      <x:c r="N218" t="n">
        <x:f>ROUND(SUM('食材明细'!H1298:H1303),0)</x:f>
        <x:v>408</x:v>
      </x:c>
      <x:c r="O218" t="n">
        <x:f>ROUND(SUM('食材明细'!J1298:J1303),1)</x:f>
        <x:v>37.3</x:v>
      </x:c>
      <x:c r="P218" t="n">
        <x:f>ROUND(SUM('食材明细'!L1298:L1303),1)</x:f>
        <x:v>47.3</x:v>
      </x:c>
      <x:c r="Q218" t="n">
        <x:f>ROUND(SUM('食材明细'!N1298:N1303),1)</x:f>
        <x:v>8.4</x:v>
      </x:c>
      <x:c r="R218" s="10" t="str">
        <x:v>调料尽量低盐，不加白砂糖；油重已计入热量。</x:v>
      </x:c>
    </x:row>
    <x:row r="219" ht="37" customHeight="1">
      <x:c r="A219" t="n">
        <x:v>218</x:v>
      </x:c>
      <x:c r="B219" t="n">
        <x:v>109</x:v>
      </x:c>
      <x:c r="C219" t="n">
        <x:v>16</x:v>
      </x:c>
      <x:c r="D219" t="str">
        <x:v>晚餐</x:v>
      </x:c>
      <x:c r="E219" t="str">
        <x:v>豆蛋</x:v>
      </x:c>
      <x:c r="F219" s="10" t="str">
        <x:v>豉汁北豆腐鸡蛋烩白萝卜彩椒｜红薯</x:v>
      </x:c>
      <x:c r="G219" s="10" t="str">
        <x:v>北豆腐300g、鸡蛋85g、白萝卜190g、彩椒155g、红薯110g、烹调油5g</x:v>
      </x:c>
      <x:c r="H219" t="str">
        <x:v>红薯</x:v>
      </x:c>
      <x:c r="I219" s="10" t="str">
        <x:v>想减主食可减到原量2/3，另加100g绿叶菜</x:v>
      </x:c>
      <x:c r="J219" s="10" t="str">
        <x:v>少量豆豉、姜末</x:v>
      </x:c>
      <x:c r="K219" t="str">
        <x:v>蒸</x:v>
      </x:c>
      <x:c r="L219" s="10" t="str">
        <x:v>豆豉冲洗剁碎，与姜末拌主食材后蒸熟；蔬菜另煮；红薯另煮熟或蒸好后同餐食用。</x:v>
      </x:c>
      <x:c r="M219" t="n">
        <x:v>15</x:v>
      </x:c>
      <x:c r="N219" t="n">
        <x:f>ROUND(SUM('食材明细'!H1304:H1309),0)</x:f>
        <x:v>610</x:v>
      </x:c>
      <x:c r="O219" t="n">
        <x:f>ROUND(SUM('食材明细'!J1304:J1309),1)</x:f>
        <x:v>45.5</x:v>
      </x:c>
      <x:c r="P219" t="n">
        <x:f>ROUND(SUM('食材明细'!L1304:L1309),1)</x:f>
        <x:v>46.6</x:v>
      </x:c>
      <x:c r="Q219" t="n">
        <x:f>ROUND(SUM('食材明细'!N1304:N1309),1)</x:f>
        <x:v>29.1</x:v>
      </x:c>
      <x:c r="R219" s="10" t="str">
        <x:v>调料尽量低盐，不加白砂糖；油重已计入热量。</x:v>
      </x:c>
    </x:row>
    <x:row r="220" ht="37" customHeight="1">
      <x:c r="A220" t="n">
        <x:v>219</x:v>
      </x:c>
      <x:c r="B220" t="n">
        <x:v>110</x:v>
      </x:c>
      <x:c r="C220" t="n">
        <x:v>16</x:v>
      </x:c>
      <x:c r="D220" t="str">
        <x:v>午餐</x:v>
      </x:c>
      <x:c r="E220" t="str">
        <x:v>牛肉</x:v>
      </x:c>
      <x:c r="F220" s="10" t="str">
        <x:v>花椒牛里脊配竹笋金针菇｜米粉</x:v>
      </x:c>
      <x:c r="G220" s="10" t="str">
        <x:v>牛里脊175g、竹笋190g、金针菇110g、米粉135g、烹调油3g</x:v>
      </x:c>
      <x:c r="H220" t="str">
        <x:v>米粉</x:v>
      </x:c>
      <x:c r="I220" s="10" t="str">
        <x:v>低主食需求可将主食减1/3，另加100g非淀粉蔬菜（营养值需重算）</x:v>
      </x:c>
      <x:c r="J220" s="10" t="str">
        <x:v>花椒粉、姜丝</x:v>
      </x:c>
      <x:c r="K220" t="str">
        <x:v>蒸</x:v>
      </x:c>
      <x:c r="L220" s="10" t="str">
        <x:v>薄薄撒花椒和姜丝，蒸至熟透，搭配焯青菜；面/魔芋丝煮熟后与菜合碗。</x:v>
      </x:c>
      <x:c r="M220" t="n">
        <x:v>15</x:v>
      </x:c>
      <x:c r="N220" t="n">
        <x:f>ROUND(SUM('食材明细'!H1310:H1315),0)</x:f>
        <x:v>490</x:v>
      </x:c>
      <x:c r="O220" t="n">
        <x:f>ROUND(SUM('食材明细'!J1310:J1315),1)</x:f>
        <x:v>47</x:v>
      </x:c>
      <x:c r="P220" t="n">
        <x:f>ROUND(SUM('食材明细'!L1310:L1315),1)</x:f>
        <x:v>49.3</x:v>
      </x:c>
      <x:c r="Q220" t="n">
        <x:f>ROUND(SUM('食材明细'!N1310:N1315),1)</x:f>
        <x:v>12.7</x:v>
      </x:c>
      <x:c r="R220" s="10" t="str">
        <x:v>调料尽量低盐，不加白砂糖；油重已计入热量。</x:v>
      </x:c>
    </x:row>
    <x:row r="221" ht="37" customHeight="1">
      <x:c r="A221" t="n">
        <x:v>220</x:v>
      </x:c>
      <x:c r="B221" t="n">
        <x:v>110</x:v>
      </x:c>
      <x:c r="C221" t="n">
        <x:v>16</x:v>
      </x:c>
      <x:c r="D221" t="str">
        <x:v>晚餐</x:v>
      </x:c>
      <x:c r="E221" t="str">
        <x:v>海鲜</x:v>
      </x:c>
      <x:c r="F221" s="10" t="str">
        <x:v>黑椒花蛤肉配小白菜白萝卜｜杂粮饭</x:v>
      </x:c>
      <x:c r="G221" s="10" t="str">
        <x:v>花蛤肉170g、嫩豆腐160g、小白菜175g、白萝卜155g、杂粮饭135g、烹调油5g</x:v>
      </x:c>
      <x:c r="H221" t="str">
        <x:v>杂粮饭</x:v>
      </x:c>
      <x:c r="I221" s="10" t="str">
        <x:v>低主食需求可将主食减1/3，另加100g非淀粉蔬菜（营养值需重算）</x:v>
      </x:c>
      <x:c r="J221" s="10" t="str">
        <x:v>黑胡椒、蒜末</x:v>
      </x:c>
      <x:c r="K221" t="str">
        <x:v>少油烩</x:v>
      </x:c>
      <x:c r="L221" s="10" t="str">
        <x:v>锅加少量水和油，先把主食材煮熟，再烩两种蔬菜，收汁撒黑椒；杂粮饭另煮熟或蒸好后同餐食用。</x:v>
      </x:c>
      <x:c r="M221" t="n">
        <x:v>25</x:v>
      </x:c>
      <x:c r="N221" t="n">
        <x:f>ROUND(SUM('食材明细'!H1316:H1321),0)</x:f>
        <x:v>473</x:v>
      </x:c>
      <x:c r="O221" t="n">
        <x:f>ROUND(SUM('食材明细'!J1316:J1321),1)</x:f>
        <x:v>38</x:v>
      </x:c>
      <x:c r="P221" t="n">
        <x:f>ROUND(SUM('食材明细'!L1316:L1321),1)</x:f>
        <x:v>52</x:v>
      </x:c>
      <x:c r="Q221" t="n">
        <x:f>ROUND(SUM('食材明细'!N1316:N1321),1)</x:f>
        <x:v>13.2</x:v>
      </x:c>
      <x:c r="R221" s="10" t="str">
        <x:v>调料尽量低盐，不加白砂糖；油重已计入热量。</x:v>
      </x:c>
    </x:row>
    <x:row r="222" ht="37" customHeight="1">
      <x:c r="A222" t="n">
        <x:v>221</x:v>
      </x:c>
      <x:c r="B222" t="n">
        <x:v>111</x:v>
      </x:c>
      <x:c r="C222" t="n">
        <x:v>16</x:v>
      </x:c>
      <x:c r="D222" t="str">
        <x:v>午餐</x:v>
      </x:c>
      <x:c r="E222" t="str">
        <x:v>猪肉</x:v>
      </x:c>
      <x:c r="F222" s="10" t="str">
        <x:v>蚝香猪瘦肉配茼蒿洋葱｜魔芋丝</x:v>
      </x:c>
      <x:c r="G222" s="10" t="str">
        <x:v>猪瘦肉155g、茼蒿190g、洋葱110g、魔芋丝130g、烹调油6g</x:v>
      </x:c>
      <x:c r="H222" t="str">
        <x:v>魔芋丝</x:v>
      </x:c>
      <x:c r="I222" s="10" t="str">
        <x:v>魔芋丝不是完整主食；饥饿可补杂粮饭或蒸薯类</x:v>
      </x:c>
      <x:c r="J222" s="10" t="str">
        <x:v>低钠蚝油少量、姜蒜</x:v>
      </x:c>
      <x:c r="K222" t="str">
        <x:v>少油烩</x:v>
      </x:c>
      <x:c r="L222" s="10" t="str">
        <x:v>主食材和蔬菜少油少水烩熟，起锅前点少量蚝油；面/魔芋丝煮熟后与菜合碗。</x:v>
      </x:c>
      <x:c r="M222" t="n">
        <x:v>30</x:v>
      </x:c>
      <x:c r="N222" t="n">
        <x:f>ROUND(SUM('食材明细'!H1322:H1327),0)</x:f>
        <x:v>357</x:v>
      </x:c>
      <x:c r="O222" t="n">
        <x:f>ROUND(SUM('食材明细'!J1322:J1327),1)</x:f>
        <x:v>36.2</x:v>
      </x:c>
      <x:c r="P222" t="n">
        <x:f>ROUND(SUM('食材明细'!L1322:L1327),1)</x:f>
        <x:v>21</x:v>
      </x:c>
      <x:c r="Q222" t="n">
        <x:f>ROUND(SUM('食材明细'!N1322:N1327),1)</x:f>
        <x:v>15.2</x:v>
      </x:c>
      <x:c r="R222" s="10" t="str">
        <x:v>调料尽量低盐，不加白砂糖；油重已计入热量。魔芋丝低能量，不等于一份主食。</x:v>
      </x:c>
    </x:row>
    <x:row r="223" ht="37" customHeight="1">
      <x:c r="A223" t="n">
        <x:v>222</x:v>
      </x:c>
      <x:c r="B223" t="n">
        <x:v>111</x:v>
      </x:c>
      <x:c r="C223" t="n">
        <x:v>16</x:v>
      </x:c>
      <x:c r="D223" t="str">
        <x:v>晚餐</x:v>
      </x:c>
      <x:c r="E223" t="str">
        <x:v>鱼类</x:v>
      </x:c>
      <x:c r="F223" s="10" t="str">
        <x:v>椒麻鳕鱼配丝瓜金针菇｜藜麦饭</x:v>
      </x:c>
      <x:c r="G223" s="10" t="str">
        <x:v>鳕鱼185g、丝瓜175g、金针菇140g、藜麦饭135g、烹调油5g</x:v>
      </x:c>
      <x:c r="H223" t="str">
        <x:v>藜麦饭</x:v>
      </x:c>
      <x:c r="I223" s="10" t="str">
        <x:v>低主食需求可将主食减1/3，另加100g非淀粉蔬菜（营养值需重算）</x:v>
      </x:c>
      <x:c r="J223" s="10" t="str">
        <x:v>花椒、蒜、少量醋</x:v>
      </x:c>
      <x:c r="K223" t="str">
        <x:v>水煮</x:v>
      </x:c>
      <x:c r="L223" s="10" t="str">
        <x:v>鱼肉去刺，彻底做熟；花椒温水浸出味道，煮熟主食材和配菜，少油拌汁；藜麦饭另煮熟或蒸好后同餐食用。</x:v>
      </x:c>
      <x:c r="M223" t="n">
        <x:v>15</x:v>
      </x:c>
      <x:c r="N223" t="n">
        <x:f>ROUND(SUM('食材明细'!H1328:H1333),0)</x:f>
        <x:v>444</x:v>
      </x:c>
      <x:c r="O223" t="n">
        <x:f>ROUND(SUM('食材明细'!J1328:J1333),1)</x:f>
        <x:v>44.3</x:v>
      </x:c>
      <x:c r="P223" t="n">
        <x:f>ROUND(SUM('食材明细'!L1328:L1333),1)</x:f>
        <x:v>44.7</x:v>
      </x:c>
      <x:c r="Q223" t="n">
        <x:f>ROUND(SUM('食材明细'!N1328:N1333),1)</x:f>
        <x:v>9.7</x:v>
      </x:c>
      <x:c r="R223" s="10" t="str">
        <x:v>调料尽量低盐，不加白砂糖；油重已计入热量。</x:v>
      </x:c>
    </x:row>
    <x:row r="224" ht="37" customHeight="1">
      <x:c r="A224" t="n">
        <x:v>223</x:v>
      </x:c>
      <x:c r="B224" t="n">
        <x:v>112</x:v>
      </x:c>
      <x:c r="C224" t="n">
        <x:v>16</x:v>
      </x:c>
      <x:c r="D224" t="str">
        <x:v>午餐</x:v>
      </x:c>
      <x:c r="E224" t="str">
        <x:v>鱼类</x:v>
      </x:c>
      <x:c r="F224" s="10" t="str">
        <x:v>酸汤鳕鱼配小白菜海带｜糙米饭</x:v>
      </x:c>
      <x:c r="G224" s="10" t="str">
        <x:v>鳕鱼215g、小白菜160g、海带155g、糙米饭165g、烹调油5g</x:v>
      </x:c>
      <x:c r="H224" t="str">
        <x:v>糙米饭</x:v>
      </x:c>
      <x:c r="I224" s="10" t="str">
        <x:v>低主食需求可将主食减1/3，另加100g非淀粉蔬菜（营养值需重算）</x:v>
      </x:c>
      <x:c r="J224" s="10" t="str">
        <x:v>米醋、番茄、少许辣椒</x:v>
      </x:c>
      <x:c r="K224" t="str">
        <x:v>水煮</x:v>
      </x:c>
      <x:c r="L224" s="10" t="str">
        <x:v>鱼肉去刺，彻底做熟；番茄煮成酸汤，主食材汆熟，加入蔬菜再煮2～5分钟；糙米饭另煮熟或蒸好后同餐食用。</x:v>
      </x:c>
      <x:c r="M224" t="n">
        <x:v>30</x:v>
      </x:c>
      <x:c r="N224" t="n">
        <x:f>ROUND(SUM('食材明细'!H1334:H1339),0)</x:f>
        <x:v>479</x:v>
      </x:c>
      <x:c r="O224" t="n">
        <x:f>ROUND(SUM('食材明细'!J1334:J1339),1)</x:f>
        <x:v>47.1</x:v>
      </x:c>
      <x:c r="P224" t="n">
        <x:f>ROUND(SUM('食材明细'!L1334:L1339),1)</x:f>
        <x:v>51</x:v>
      </x:c>
      <x:c r="Q224" t="n">
        <x:f>ROUND(SUM('食材明细'!N1334:N1339),1)</x:f>
        <x:v>8.7</x:v>
      </x:c>
      <x:c r="R224" s="10" t="str">
        <x:v>调料尽量低盐，不加白砂糖；油重已计入热量。</x:v>
      </x:c>
    </x:row>
    <x:row r="225" ht="37" customHeight="1">
      <x:c r="A225" t="n">
        <x:v>224</x:v>
      </x:c>
      <x:c r="B225" t="n">
        <x:v>112</x:v>
      </x:c>
      <x:c r="C225" t="n">
        <x:v>16</x:v>
      </x:c>
      <x:c r="D225" t="str">
        <x:v>晚餐</x:v>
      </x:c>
      <x:c r="E225" t="str">
        <x:v>禽肉</x:v>
      </x:c>
      <x:c r="F225" s="10" t="str">
        <x:v>蒜香去皮鸡腿肉配西葫芦菜心｜全麦面</x:v>
      </x:c>
      <x:c r="G225" s="10" t="str">
        <x:v>去皮鸡腿肉160g、嫩豆腐160g、西葫芦140g、菜心140g、全麦面125g、烹调油5g</x:v>
      </x:c>
      <x:c r="H225" t="str">
        <x:v>全麦面</x:v>
      </x:c>
      <x:c r="I225" s="10" t="str">
        <x:v>低主食需求可将主食减1/3，另加100g非淀粉蔬菜（营养值需重算）</x:v>
      </x:c>
      <x:c r="J225" s="10" t="str">
        <x:v>蒜末、白胡椒</x:v>
      </x:c>
      <x:c r="K225" t="str">
        <x:v>蒸</x:v>
      </x:c>
      <x:c r="L225" s="10" t="str">
        <x:v>先去皮去骨并切薄，充分加热；食材切块，撒蒜末；上锅蒸熟，蔬菜另焯后拌匀；面/魔芋丝煮熟后与菜合碗。</x:v>
      </x:c>
      <x:c r="M225" t="n">
        <x:v>30</x:v>
      </x:c>
      <x:c r="N225" t="n">
        <x:f>ROUND(SUM('食材明细'!H1340:H1345),0)</x:f>
        <x:v>540</x:v>
      </x:c>
      <x:c r="O225" t="n">
        <x:f>ROUND(SUM('食材明细'!J1340:J1345),1)</x:f>
        <x:v>50.7</x:v>
      </x:c>
      <x:c r="P225" t="n">
        <x:f>ROUND(SUM('食材明细'!L1340:L1345),1)</x:f>
        <x:v>43.7</x:v>
      </x:c>
      <x:c r="Q225" t="n">
        <x:f>ROUND(SUM('食材明细'!N1340:N1345),1)</x:f>
        <x:v>19.7</x:v>
      </x:c>
      <x:c r="R225" s="10" t="str">
        <x:v>调料尽量低盐，不加白砂糖；油重已计入热量。</x:v>
      </x:c>
    </x:row>
    <x:row r="226" ht="37" customHeight="1">
      <x:c r="A226" t="n">
        <x:v>225</x:v>
      </x:c>
      <x:c r="B226" t="n">
        <x:v>113</x:v>
      </x:c>
      <x:c r="C226" t="n">
        <x:v>17</x:v>
      </x:c>
      <x:c r="D226" t="str">
        <x:v>午餐</x:v>
      </x:c>
      <x:c r="E226" t="str">
        <x:v>海鲜</x:v>
      </x:c>
      <x:c r="F226" s="10" t="str">
        <x:v>柠檬虾仁配生菜海带｜荞麦饭</x:v>
      </x:c>
      <x:c r="G226" s="10" t="str">
        <x:v>虾仁160g、生菜175g、海带110g、荞麦饭150g、烹调油3g</x:v>
      </x:c>
      <x:c r="H226" t="str">
        <x:v>荞麦饭</x:v>
      </x:c>
      <x:c r="I226" s="10" t="str">
        <x:v>低主食需求可将主食减1/3，另加100g非淀粉蔬菜（营养值需重算）</x:v>
      </x:c>
      <x:c r="J226" s="10" t="str">
        <x:v>柠檬片、白胡椒</x:v>
      </x:c>
      <x:c r="K226" t="str">
        <x:v>蒸</x:v>
      </x:c>
      <x:c r="L226" s="10" t="str">
        <x:v>柠檬片垫底，主食材蒸熟，蔬菜短焯后摆盘；荞麦饭另煮熟或蒸好后同餐食用。</x:v>
      </x:c>
      <x:c r="M226" t="n">
        <x:v>30</x:v>
      </x:c>
      <x:c r="N226" t="n">
        <x:f>ROUND(SUM('食材明细'!H1346:H1351),0)</x:f>
        <x:v>392</x:v>
      </x:c>
      <x:c r="O226" t="n">
        <x:f>ROUND(SUM('食材明细'!J1346:J1351),1)</x:f>
        <x:v>39.1</x:v>
      </x:c>
      <x:c r="P226" t="n">
        <x:f>ROUND(SUM('食材明细'!L1346:L1351),1)</x:f>
        <x:v>44.2</x:v>
      </x:c>
      <x:c r="Q226" t="n">
        <x:f>ROUND(SUM('食材明细'!N1346:N1351),1)</x:f>
        <x:v>6.7</x:v>
      </x:c>
      <x:c r="R226" s="10" t="str">
        <x:v>调料尽量低盐，不加白砂糖；油重已计入热量。</x:v>
      </x:c>
    </x:row>
    <x:row r="227" ht="37" customHeight="1">
      <x:c r="A227" t="n">
        <x:v>226</x:v>
      </x:c>
      <x:c r="B227" t="n">
        <x:v>113</x:v>
      </x:c>
      <x:c r="C227" t="n">
        <x:v>17</x:v>
      </x:c>
      <x:c r="D227" t="str">
        <x:v>晚餐</x:v>
      </x:c>
      <x:c r="E227" t="str">
        <x:v>鱼类</x:v>
      </x:c>
      <x:c r="F227" s="10" t="str">
        <x:v>豉汁鲈鱼配冬瓜荷兰豆｜杂粮饭</x:v>
      </x:c>
      <x:c r="G227" s="10" t="str">
        <x:v>鲈鱼175g、冬瓜160g、荷兰豆125g、杂粮饭80g、烹调油5g</x:v>
      </x:c>
      <x:c r="H227" t="str">
        <x:v>杂粮饭</x:v>
      </x:c>
      <x:c r="I227" s="10" t="str">
        <x:v>低主食需求可将主食减1/3，另加100g非淀粉蔬菜（营养值需重算）</x:v>
      </x:c>
      <x:c r="J227" s="10" t="str">
        <x:v>少量豆豉、姜末</x:v>
      </x:c>
      <x:c r="K227" t="str">
        <x:v>蒸</x:v>
      </x:c>
      <x:c r="L227" s="10" t="str">
        <x:v>鱼肉去刺，彻底做熟；豆豉冲洗剁碎，与姜末拌主食材后蒸熟；蔬菜另煮；杂粮饭另煮熟或蒸好后同餐食用。</x:v>
      </x:c>
      <x:c r="M227" t="n">
        <x:v>15</x:v>
      </x:c>
      <x:c r="N227" t="n">
        <x:f>ROUND(SUM('食材明细'!H1352:H1357),0)</x:f>
        <x:v>394</x:v>
      </x:c>
      <x:c r="O227" t="n">
        <x:f>ROUND(SUM('食材明细'!J1352:J1357),1)</x:f>
        <x:v>39.9</x:v>
      </x:c>
      <x:c r="P227" t="n">
        <x:f>ROUND(SUM('食材明细'!L1352:L1357),1)</x:f>
        <x:v>33</x:v>
      </x:c>
      <x:c r="Q227" t="n">
        <x:f>ROUND(SUM('食材明细'!N1352:N1357),1)</x:f>
        <x:v>11.8</x:v>
      </x:c>
      <x:c r="R227" s="10" t="str">
        <x:v>调料尽量低盐，不加白砂糖；油重已计入热量。</x:v>
      </x:c>
    </x:row>
    <x:row r="228" ht="37" customHeight="1">
      <x:c r="A228" t="n">
        <x:v>227</x:v>
      </x:c>
      <x:c r="B228" t="n">
        <x:v>114</x:v>
      </x:c>
      <x:c r="C228" t="n">
        <x:v>17</x:v>
      </x:c>
      <x:c r="D228" t="str">
        <x:v>午餐</x:v>
      </x:c>
      <x:c r="E228" t="str">
        <x:v>禽肉</x:v>
      </x:c>
      <x:c r="F228" s="10" t="str">
        <x:v>椒麻去皮鸡腿肉配生菜小白菜｜土豆</x:v>
      </x:c>
      <x:c r="G228" s="10" t="str">
        <x:v>去皮鸡腿肉155g、生菜175g、小白菜155g、土豆150g、烹调油5g</x:v>
      </x:c>
      <x:c r="H228" t="str">
        <x:v>土豆</x:v>
      </x:c>
      <x:c r="I228" s="10" t="str">
        <x:v>想减主食可减到原量2/3，另加100g绿叶菜</x:v>
      </x:c>
      <x:c r="J228" s="10" t="str">
        <x:v>花椒、蒜、少量醋</x:v>
      </x:c>
      <x:c r="K228" t="str">
        <x:v>水煮</x:v>
      </x:c>
      <x:c r="L228" s="10" t="str">
        <x:v>先去皮去骨并切薄，充分加热；花椒温水浸出味道，煮熟主食材和配菜，少油拌汁；土豆另煮熟或蒸好后同餐食用。</x:v>
      </x:c>
      <x:c r="M228" t="n">
        <x:v>25</x:v>
      </x:c>
      <x:c r="N228" t="n">
        <x:f>ROUND(SUM('食材明细'!H1358:H1363),0)</x:f>
        <x:v>410</x:v>
      </x:c>
      <x:c r="O228" t="n">
        <x:f>ROUND(SUM('食材明细'!J1358:J1363),1)</x:f>
        <x:v>38.9</x:v>
      </x:c>
      <x:c r="P228" t="n">
        <x:f>ROUND(SUM('食材明细'!L1358:L1363),1)</x:f>
        <x:v>35.2</x:v>
      </x:c>
      <x:c r="Q228" t="n">
        <x:f>ROUND(SUM('食材明细'!N1358:N1363),1)</x:f>
        <x:v>13.4</x:v>
      </x:c>
      <x:c r="R228" s="10" t="str">
        <x:v>调料尽量低盐，不加白砂糖；油重已计入热量。</x:v>
      </x:c>
    </x:row>
    <x:row r="229" ht="37" customHeight="1">
      <x:c r="A229" t="n">
        <x:v>228</x:v>
      </x:c>
      <x:c r="B229" t="n">
        <x:v>114</x:v>
      </x:c>
      <x:c r="C229" t="n">
        <x:v>17</x:v>
      </x:c>
      <x:c r="D229" t="str">
        <x:v>晚餐</x:v>
      </x:c>
      <x:c r="E229" t="str">
        <x:v>鱼类</x:v>
      </x:c>
      <x:c r="F229" s="10" t="str">
        <x:v>蒜香巴沙鱼配大白菜海带｜荞麦饭</x:v>
      </x:c>
      <x:c r="G229" s="10" t="str">
        <x:v>巴沙鱼175g、大白菜175g、海带110g、荞麦饭110g、烹调油4g</x:v>
      </x:c>
      <x:c r="H229" t="str">
        <x:v>荞麦饭</x:v>
      </x:c>
      <x:c r="I229" s="10" t="str">
        <x:v>低主食需求可将主食减1/3，另加100g非淀粉蔬菜（营养值需重算）</x:v>
      </x:c>
      <x:c r="J229" s="10" t="str">
        <x:v>蒜末、白胡椒</x:v>
      </x:c>
      <x:c r="K229" t="str">
        <x:v>蒸</x:v>
      </x:c>
      <x:c r="L229" s="10" t="str">
        <x:v>鱼肉去刺，彻底做熟；食材切块，撒蒜末；上锅蒸熟，蔬菜另焯后拌匀；荞麦饭另煮熟或蒸好后同餐食用。</x:v>
      </x:c>
      <x:c r="M229" t="n">
        <x:v>30</x:v>
      </x:c>
      <x:c r="N229" t="n">
        <x:f>ROUND(SUM('食材明细'!H1364:H1369),0)</x:f>
        <x:v>372</x:v>
      </x:c>
      <x:c r="O229" t="n">
        <x:f>ROUND(SUM('食材明细'!J1364:J1369),1)</x:f>
        <x:v>37.2</x:v>
      </x:c>
      <x:c r="P229" t="n">
        <x:f>ROUND(SUM('食材明细'!L1364:L1369),1)</x:f>
        <x:v>35.3</x:v>
      </x:c>
      <x:c r="Q229" t="n">
        <x:f>ROUND(SUM('食材明细'!N1364:N1369),1)</x:f>
        <x:v>9.5</x:v>
      </x:c>
      <x:c r="R229" s="10" t="str">
        <x:v>调料尽量低盐，不加白砂糖；油重已计入热量。</x:v>
      </x:c>
    </x:row>
    <x:row r="230" ht="37" customHeight="1">
      <x:c r="A230" t="n">
        <x:v>229</x:v>
      </x:c>
      <x:c r="B230" t="n">
        <x:v>115</x:v>
      </x:c>
      <x:c r="C230" t="n">
        <x:v>17</x:v>
      </x:c>
      <x:c r="D230" t="str">
        <x:v>午餐</x:v>
      </x:c>
      <x:c r="E230" t="str">
        <x:v>禽肉</x:v>
      </x:c>
      <x:c r="F230" s="10" t="str">
        <x:v>椒麻去皮鸡腿肉配芹菜花菜｜白米饭</x:v>
      </x:c>
      <x:c r="G230" s="10" t="str">
        <x:v>去皮鸡腿肉165g、芹菜175g、花菜110g、白米饭125g、烹调油3g</x:v>
      </x:c>
      <x:c r="H230" t="str">
        <x:v>白米饭</x:v>
      </x:c>
      <x:c r="I230" s="10" t="str">
        <x:v>低主食需求可将主食减1/3，另加100g非淀粉蔬菜（营养值需重算）</x:v>
      </x:c>
      <x:c r="J230" s="10" t="str">
        <x:v>花椒、蒜、少量醋</x:v>
      </x:c>
      <x:c r="K230" t="str">
        <x:v>水煮</x:v>
      </x:c>
      <x:c r="L230" s="10" t="str">
        <x:v>先去皮去骨并切薄，充分加热；花椒温水浸出味道，煮熟主食材和配菜，少油拌汁；白米饭另煮熟或蒸好后同餐食用。</x:v>
      </x:c>
      <x:c r="M230" t="n">
        <x:v>15</x:v>
      </x:c>
      <x:c r="N230" t="n">
        <x:f>ROUND(SUM('食材明细'!H1370:H1375),0)</x:f>
        <x:v>436</x:v>
      </x:c>
      <x:c r="O230" t="n">
        <x:f>ROUND(SUM('食材明细'!J1370:J1375),1)</x:f>
        <x:v>40.2</x:v>
      </x:c>
      <x:c r="P230" t="n">
        <x:f>ROUND(SUM('食材明细'!L1370:L1375),1)</x:f>
        <x:v>43.6</x:v>
      </x:c>
      <x:c r="Q230" t="n">
        <x:f>ROUND(SUM('食材明细'!N1370:N1375),1)</x:f>
        <x:v>12.1</x:v>
      </x:c>
      <x:c r="R230" s="10" t="str">
        <x:v>调料尽量低盐，不加白砂糖；油重已计入热量。</x:v>
      </x:c>
    </x:row>
    <x:row r="231" ht="37" customHeight="1">
      <x:c r="A231" t="n">
        <x:v>230</x:v>
      </x:c>
      <x:c r="B231" t="n">
        <x:v>115</x:v>
      </x:c>
      <x:c r="C231" t="n">
        <x:v>17</x:v>
      </x:c>
      <x:c r="D231" t="str">
        <x:v>晚餐</x:v>
      </x:c>
      <x:c r="E231" t="str">
        <x:v>豆蛋</x:v>
      </x:c>
      <x:c r="F231" s="10" t="str">
        <x:v>蒜香嫩豆腐熟毛豆仁烩莴笋杏鲍菇｜藜麦饭</x:v>
      </x:c>
      <x:c r="G231" s="10" t="str">
        <x:v>嫩豆腐300g、熟毛豆仁50g、莴笋160g、杏鲍菇140g、藜麦饭125g、烹调油5g</x:v>
      </x:c>
      <x:c r="H231" t="str">
        <x:v>藜麦饭</x:v>
      </x:c>
      <x:c r="I231" s="10" t="str">
        <x:v>低主食需求可将主食减1/3，另加100g非淀粉蔬菜（营养值需重算）</x:v>
      </x:c>
      <x:c r="J231" s="10" t="str">
        <x:v>蒜末、白胡椒</x:v>
      </x:c>
      <x:c r="K231" t="str">
        <x:v>蒸</x:v>
      </x:c>
      <x:c r="L231" s="10" t="str">
        <x:v>食材切块，撒蒜末；上锅蒸熟，蔬菜另焯后拌匀；藜麦饭另煮熟或蒸好后同餐食用。</x:v>
      </x:c>
      <x:c r="M231" t="n">
        <x:v>15</x:v>
      </x:c>
      <x:c r="N231" t="n">
        <x:f>ROUND(SUM('食材明细'!H1376:H1381),0)</x:f>
        <x:v>493</x:v>
      </x:c>
      <x:c r="O231" t="n">
        <x:f>ROUND(SUM('食材明细'!J1376:J1381),1)</x:f>
        <x:v>30.9</x:v>
      </x:c>
      <x:c r="P231" t="n">
        <x:f>ROUND(SUM('食材明细'!L1376:L1381),1)</x:f>
        <x:v>52</x:v>
      </x:c>
      <x:c r="Q231" t="n">
        <x:f>ROUND(SUM('食材明细'!N1376:N1381),1)</x:f>
        <x:v>18.9</x:v>
      </x:c>
      <x:c r="R231" s="10" t="str">
        <x:v>调料尽量低盐，不加白砂糖；油重已计入热量。</x:v>
      </x:c>
    </x:row>
    <x:row r="232" ht="37" customHeight="1">
      <x:c r="A232" t="n">
        <x:v>231</x:v>
      </x:c>
      <x:c r="B232" t="n">
        <x:v>116</x:v>
      </x:c>
      <x:c r="C232" t="n">
        <x:v>17</x:v>
      </x:c>
      <x:c r="D232" t="str">
        <x:v>午餐</x:v>
      </x:c>
      <x:c r="E232" t="str">
        <x:v>鱼类</x:v>
      </x:c>
      <x:c r="F232" s="10" t="str">
        <x:v>蒜香鲈鱼配茼蒿小白菜｜杂粮饭</x:v>
      </x:c>
      <x:c r="G232" s="10" t="str">
        <x:v>鲈鱼215g、茼蒿190g、小白菜140g、杂粮饭165g、烹调油5g</x:v>
      </x:c>
      <x:c r="H232" t="str">
        <x:v>杂粮饭</x:v>
      </x:c>
      <x:c r="I232" s="10" t="str">
        <x:v>低主食需求可将主食减1/3，另加100g非淀粉蔬菜（营养值需重算）</x:v>
      </x:c>
      <x:c r="J232" s="10" t="str">
        <x:v>蒜末、白胡椒</x:v>
      </x:c>
      <x:c r="K232" t="str">
        <x:v>蒸</x:v>
      </x:c>
      <x:c r="L232" s="10" t="str">
        <x:v>鱼肉去刺，彻底做熟；食材切块，撒蒜末；上锅蒸熟，蔬菜另焯后拌匀；杂粮饭另煮熟或蒸好后同餐食用。</x:v>
      </x:c>
      <x:c r="M232" t="n">
        <x:v>20</x:v>
      </x:c>
      <x:c r="N232" t="n">
        <x:f>ROUND(SUM('食材明细'!H1382:H1387),0)</x:f>
        <x:v>530</x:v>
      </x:c>
      <x:c r="O232" t="n">
        <x:f>ROUND(SUM('食材明细'!J1382:J1387),1)</x:f>
        <x:v>51.8</x:v>
      </x:c>
      <x:c r="P232" t="n">
        <x:f>ROUND(SUM('食材明细'!L1382:L1387),1)</x:f>
        <x:v>50.9</x:v>
      </x:c>
      <x:c r="Q232" t="n">
        <x:f>ROUND(SUM('食材明细'!N1382:N1387),1)</x:f>
        <x:v>14.1</x:v>
      </x:c>
      <x:c r="R232" s="10" t="str">
        <x:v>调料尽量低盐，不加白砂糖；油重已计入热量。</x:v>
      </x:c>
    </x:row>
    <x:row r="233" ht="37" customHeight="1">
      <x:c r="A233" t="n">
        <x:v>232</x:v>
      </x:c>
      <x:c r="B233" t="n">
        <x:v>116</x:v>
      </x:c>
      <x:c r="C233" t="n">
        <x:v>17</x:v>
      </x:c>
      <x:c r="D233" t="str">
        <x:v>晚餐</x:v>
      </x:c>
      <x:c r="E233" t="str">
        <x:v>猪肉</x:v>
      </x:c>
      <x:c r="F233" s="10" t="str">
        <x:v>剁椒猪里脊配菠菜玉米笋｜山药</x:v>
      </x:c>
      <x:c r="G233" s="10" t="str">
        <x:v>猪里脊160g、菠菜190g、玉米笋140g、山药95g、烹调油4g</x:v>
      </x:c>
      <x:c r="H233" t="str">
        <x:v>山药</x:v>
      </x:c>
      <x:c r="I233" s="10" t="str">
        <x:v>想减主食可减到原量2/3，另加100g绿叶菜</x:v>
      </x:c>
      <x:c r="J233" s="10" t="str">
        <x:v>自制低盐剁椒、蒜</x:v>
      </x:c>
      <x:c r="K233" t="str">
        <x:v>蒸</x:v>
      </x:c>
      <x:c r="L233" s="10" t="str">
        <x:v>主食材铺少量低盐剁椒蒸熟，配菜焯熟后摆盘；山药另煮熟或蒸好后同餐食用。</x:v>
      </x:c>
      <x:c r="M233" t="n">
        <x:v>30</x:v>
      </x:c>
      <x:c r="N233" t="n">
        <x:f>ROUND(SUM('食材明细'!H1388:H1393),0)</x:f>
        <x:v>367</x:v>
      </x:c>
      <x:c r="O233" t="n">
        <x:f>ROUND(SUM('食材明细'!J1388:J1393),1)</x:f>
        <x:v>43.3</x:v>
      </x:c>
      <x:c r="P233" t="n">
        <x:f>ROUND(SUM('食材明细'!L1388:L1393),1)</x:f>
        <x:v>27.1</x:v>
      </x:c>
      <x:c r="Q233" t="n">
        <x:f>ROUND(SUM('食材明细'!N1388:N1393),1)</x:f>
        <x:v>10.6</x:v>
      </x:c>
      <x:c r="R233" s="10" t="str">
        <x:v>调料尽量低盐，不加白砂糖；油重已计入热量。</x:v>
      </x:c>
    </x:row>
    <x:row r="234" ht="37" customHeight="1">
      <x:c r="A234" t="n">
        <x:v>233</x:v>
      </x:c>
      <x:c r="B234" t="n">
        <x:v>117</x:v>
      </x:c>
      <x:c r="C234" t="n">
        <x:v>17</x:v>
      </x:c>
      <x:c r="D234" t="str">
        <x:v>午餐</x:v>
      </x:c>
      <x:c r="E234" t="str">
        <x:v>牛肉</x:v>
      </x:c>
      <x:c r="F234" s="10" t="str">
        <x:v>花椒牛腱子配彩椒海带｜糙米饭</x:v>
      </x:c>
      <x:c r="G234" s="10" t="str">
        <x:v>牛腱子175g、彩椒140g、海带110g、糙米饭150g、烹调油4g</x:v>
      </x:c>
      <x:c r="H234" t="str">
        <x:v>糙米饭</x:v>
      </x:c>
      <x:c r="I234" s="10" t="str">
        <x:v>低主食需求可将主食减1/3，另加100g非淀粉蔬菜（营养值需重算）</x:v>
      </x:c>
      <x:c r="J234" s="10" t="str">
        <x:v>花椒粉、姜丝</x:v>
      </x:c>
      <x:c r="K234" t="str">
        <x:v>蒸</x:v>
      </x:c>
      <x:c r="L234" s="10" t="str">
        <x:v>薄薄撒花椒和姜丝，蒸至熟透，搭配焯青菜；糙米饭另煮熟或蒸好后同餐食用。</x:v>
      </x:c>
      <x:c r="M234" t="n">
        <x:v>25</x:v>
      </x:c>
      <x:c r="N234" t="n">
        <x:f>ROUND(SUM('食材明细'!H1394:H1399),0)</x:f>
        <x:v>514</x:v>
      </x:c>
      <x:c r="O234" t="n">
        <x:f>ROUND(SUM('食材明细'!J1394:J1399),1)</x:f>
        <x:v>43.2</x:v>
      </x:c>
      <x:c r="P234" t="n">
        <x:f>ROUND(SUM('食材明细'!L1394:L1399),1)</x:f>
        <x:v>49.3</x:v>
      </x:c>
      <x:c r="Q234" t="n">
        <x:f>ROUND(SUM('食材明细'!N1394:N1399),1)</x:f>
        <x:v>16.2</x:v>
      </x:c>
      <x:c r="R234" s="10" t="str">
        <x:v>调料尽量低盐，不加白砂糖；油重已计入热量。</x:v>
      </x:c>
    </x:row>
    <x:row r="235" ht="37" customHeight="1">
      <x:c r="A235" t="n">
        <x:v>234</x:v>
      </x:c>
      <x:c r="B235" t="n">
        <x:v>117</x:v>
      </x:c>
      <x:c r="C235" t="n">
        <x:v>17</x:v>
      </x:c>
      <x:c r="D235" t="str">
        <x:v>晚餐</x:v>
      </x:c>
      <x:c r="E235" t="str">
        <x:v>海鲜</x:v>
      </x:c>
      <x:c r="F235" s="10" t="str">
        <x:v>椒麻虾仁配竹笋冬瓜｜糙米饭</x:v>
      </x:c>
      <x:c r="G235" s="10" t="str">
        <x:v>虾仁175g、熟毛豆仁50g、竹笋160g、冬瓜140g、糙米饭110g、烹调油6g</x:v>
      </x:c>
      <x:c r="H235" t="str">
        <x:v>糙米饭</x:v>
      </x:c>
      <x:c r="I235" s="10" t="str">
        <x:v>低主食需求可将主食减1/3，另加100g非淀粉蔬菜（营养值需重算）</x:v>
      </x:c>
      <x:c r="J235" s="10" t="str">
        <x:v>花椒、蒜、少量醋</x:v>
      </x:c>
      <x:c r="K235" t="str">
        <x:v>水煮</x:v>
      </x:c>
      <x:c r="L235" s="10" t="str">
        <x:v>花椒温水浸出味道，煮熟主食材和配菜，少油拌汁；糙米饭另煮熟或蒸好后同餐食用。</x:v>
      </x:c>
      <x:c r="M235" t="n">
        <x:v>15</x:v>
      </x:c>
      <x:c r="N235" t="n">
        <x:f>ROUND(SUM('食材明细'!H1400:H1405),0)</x:f>
        <x:v>456</x:v>
      </x:c>
      <x:c r="O235" t="n">
        <x:f>ROUND(SUM('食材明细'!J1400:J1405),1)</x:f>
        <x:v>46.8</x:v>
      </x:c>
      <x:c r="P235" t="n">
        <x:f>ROUND(SUM('食材明细'!L1400:L1405),1)</x:f>
        <x:v>43.6</x:v>
      </x:c>
      <x:c r="Q235" t="n">
        <x:f>ROUND(SUM('食材明细'!N1400:N1405),1)</x:f>
        <x:v>12.2</x:v>
      </x:c>
      <x:c r="R235" s="10" t="str">
        <x:v>调料尽量低盐，不加白砂糖；油重已计入热量。</x:v>
      </x:c>
    </x:row>
    <x:row r="236" ht="37" customHeight="1">
      <x:c r="A236" t="n">
        <x:v>235</x:v>
      </x:c>
      <x:c r="B236" t="n">
        <x:v>118</x:v>
      </x:c>
      <x:c r="C236" t="n">
        <x:v>17</x:v>
      </x:c>
      <x:c r="D236" t="str">
        <x:v>午餐</x:v>
      </x:c>
      <x:c r="E236" t="str">
        <x:v>禽肉</x:v>
      </x:c>
      <x:c r="F236" s="10" t="str">
        <x:v>奥尔良风味去皮鸡腿肉配西兰花香菇｜红薯</x:v>
      </x:c>
      <x:c r="G236" s="10" t="str">
        <x:v>去皮鸡腿肉155g、西兰花160g、香菇110g、红薯150g、烹调油3g</x:v>
      </x:c>
      <x:c r="H236" t="str">
        <x:v>红薯</x:v>
      </x:c>
      <x:c r="I236" s="10" t="str">
        <x:v>想减主食可减到原量2/3，另加100g绿叶菜</x:v>
      </x:c>
      <x:c r="J236" s="10" t="str">
        <x:v>无糖辣椒粉、蒜粉、洋葱粉</x:v>
      </x:c>
      <x:c r="K236" t="str">
        <x:v>蒸/焖</x:v>
      </x:c>
      <x:c r="L236" s="10" t="str">
        <x:v>先去皮去骨并切薄，充分加热；用无糖香辛料腌肉15分钟，蒸或少油焖熟，配菜煮熟；红薯另煮熟或蒸好后同餐食用。</x:v>
      </x:c>
      <x:c r="M236" t="n">
        <x:v>20</x:v>
      </x:c>
      <x:c r="N236" t="n">
        <x:f>ROUND(SUM('食材明细'!H1406:H1411),0)</x:f>
        <x:v>445</x:v>
      </x:c>
      <x:c r="O236" t="n">
        <x:f>ROUND(SUM('食材明细'!J1406:J1411),1)</x:f>
        <x:v>40.3</x:v>
      </x:c>
      <x:c r="P236" t="n">
        <x:f>ROUND(SUM('食材明细'!L1406:L1411),1)</x:f>
        <x:v>49.4</x:v>
      </x:c>
      <x:c r="Q236" t="n">
        <x:f>ROUND(SUM('食材明细'!N1406:N1411),1)</x:f>
        <x:v>12.1</x:v>
      </x:c>
      <x:c r="R236" s="10" t="str">
        <x:v>调料尽量低盐，不加白砂糖；油重已计入热量。</x:v>
      </x:c>
    </x:row>
    <x:row r="237" ht="37" customHeight="1">
      <x:c r="A237" t="n">
        <x:v>236</x:v>
      </x:c>
      <x:c r="B237" t="n">
        <x:v>118</x:v>
      </x:c>
      <x:c r="C237" t="n">
        <x:v>17</x:v>
      </x:c>
      <x:c r="D237" t="str">
        <x:v>晚餐</x:v>
      </x:c>
      <x:c r="E237" t="str">
        <x:v>牛肉</x:v>
      </x:c>
      <x:c r="F237" s="10" t="str">
        <x:v>蒜香牛腱子配紫甘蓝黄瓜｜山药</x:v>
      </x:c>
      <x:c r="G237" s="10" t="str">
        <x:v>牛腱子180g、紫甘蓝160g、黄瓜140g、山药110g、烹调油4g</x:v>
      </x:c>
      <x:c r="H237" t="str">
        <x:v>山药</x:v>
      </x:c>
      <x:c r="I237" s="10" t="str">
        <x:v>想减主食可减到原量2/3，另加100g绿叶菜</x:v>
      </x:c>
      <x:c r="J237" s="10" t="str">
        <x:v>蒜末、白胡椒</x:v>
      </x:c>
      <x:c r="K237" t="str">
        <x:v>蒸</x:v>
      </x:c>
      <x:c r="L237" s="10" t="str">
        <x:v>食材切块，撒蒜末；上锅蒸熟，蔬菜另焯后拌匀；山药另煮熟或蒸好后同餐食用。</x:v>
      </x:c>
      <x:c r="M237" t="n">
        <x:v>20</x:v>
      </x:c>
      <x:c r="N237" t="n">
        <x:f>ROUND(SUM('食材明细'!H1412:H1417),0)</x:f>
        <x:v>428</x:v>
      </x:c>
      <x:c r="O237" t="n">
        <x:f>ROUND(SUM('食材明细'!J1412:J1417),1)</x:f>
        <x:v>42.7</x:v>
      </x:c>
      <x:c r="P237" t="n">
        <x:f>ROUND(SUM('食材明细'!L1412:L1417),1)</x:f>
        <x:v>32.2</x:v>
      </x:c>
      <x:c r="Q237" t="n">
        <x:f>ROUND(SUM('食材明细'!N1412:N1417),1)</x:f>
        <x:v>15.2</x:v>
      </x:c>
      <x:c r="R237" s="10" t="str">
        <x:v>调料尽量低盐，不加白砂糖；油重已计入热量。</x:v>
      </x:c>
    </x:row>
    <x:row r="238" ht="37" customHeight="1">
      <x:c r="A238" t="n">
        <x:v>237</x:v>
      </x:c>
      <x:c r="B238" t="n">
        <x:v>119</x:v>
      </x:c>
      <x:c r="C238" t="n">
        <x:v>17</x:v>
      </x:c>
      <x:c r="D238" t="str">
        <x:v>午餐</x:v>
      </x:c>
      <x:c r="E238" t="str">
        <x:v>禽肉</x:v>
      </x:c>
      <x:c r="F238" s="10" t="str">
        <x:v>剁椒鸡里脊肉配芹菜杏鲍菇｜杂粮饭</x:v>
      </x:c>
      <x:c r="G238" s="10" t="str">
        <x:v>鸡里脊肉175g、嫩豆腐135g、芹菜175g、杏鲍菇155g、杂粮饭135g、烹调油6g</x:v>
      </x:c>
      <x:c r="H238" t="str">
        <x:v>杂粮饭</x:v>
      </x:c>
      <x:c r="I238" s="10" t="str">
        <x:v>低主食需求可将主食减1/3，另加100g非淀粉蔬菜（营养值需重算）</x:v>
      </x:c>
      <x:c r="J238" s="10" t="str">
        <x:v>自制低盐剁椒、蒜</x:v>
      </x:c>
      <x:c r="K238" t="str">
        <x:v>蒸</x:v>
      </x:c>
      <x:c r="L238" s="10" t="str">
        <x:v>主食材铺少量低盐剁椒蒸熟，配菜焯熟后摆盘；杂粮饭另煮熟或蒸好后同餐食用。</x:v>
      </x:c>
      <x:c r="M238" t="n">
        <x:v>25</x:v>
      </x:c>
      <x:c r="N238" t="n">
        <x:f>ROUND(SUM('食材明细'!H1418:H1423),0)</x:f>
        <x:v>560</x:v>
      </x:c>
      <x:c r="O238" t="n">
        <x:f>ROUND(SUM('食材明细'!J1418:J1423),1)</x:f>
        <x:v>56</x:v>
      </x:c>
      <x:c r="P238" t="n">
        <x:f>ROUND(SUM('食材明细'!L1418:L1423),1)</x:f>
        <x:v>52</x:v>
      </x:c>
      <x:c r="Q238" t="n">
        <x:f>ROUND(SUM('食材明细'!N1418:N1423),1)</x:f>
        <x:v>15.1</x:v>
      </x:c>
      <x:c r="R238" s="10" t="str">
        <x:v>调料尽量低盐，不加白砂糖；油重已计入热量。</x:v>
      </x:c>
    </x:row>
    <x:row r="239" ht="37" customHeight="1">
      <x:c r="A239" t="n">
        <x:v>238</x:v>
      </x:c>
      <x:c r="B239" t="n">
        <x:v>119</x:v>
      </x:c>
      <x:c r="C239" t="n">
        <x:v>17</x:v>
      </x:c>
      <x:c r="D239" t="str">
        <x:v>晚餐</x:v>
      </x:c>
      <x:c r="E239" t="str">
        <x:v>海鲜</x:v>
      </x:c>
      <x:c r="F239" s="10" t="str">
        <x:v>清汤虾仁配秋葵彩椒｜白米饭</x:v>
      </x:c>
      <x:c r="G239" s="10" t="str">
        <x:v>虾仁160g、秋葵140g、彩椒125g、白米饭95g、烹调油5g</x:v>
      </x:c>
      <x:c r="H239" t="str">
        <x:v>白米饭</x:v>
      </x:c>
      <x:c r="I239" s="10" t="str">
        <x:v>低主食需求可将主食减1/3，另加100g非淀粉蔬菜（营养值需重算）</x:v>
      </x:c>
      <x:c r="J239" s="10" t="str">
        <x:v>葱段、盐少量</x:v>
      </x:c>
      <x:c r="K239" t="str">
        <x:v>煮</x:v>
      </x:c>
      <x:c r="L239" s="10" t="str">
        <x:v>清水煮开，按熟化时间下食材，最后放叶菜，清淡调味；白米饭另煮熟或蒸好后同餐食用。</x:v>
      </x:c>
      <x:c r="M239" t="n">
        <x:v>30</x:v>
      </x:c>
      <x:c r="N239" t="n">
        <x:f>ROUND(SUM('食材明细'!H1424:H1429),0)</x:f>
        <x:v>379</x:v>
      </x:c>
      <x:c r="O239" t="n">
        <x:f>ROUND(SUM('食材明细'!J1424:J1429),1)</x:f>
        <x:v>36.8</x:v>
      </x:c>
      <x:c r="P239" t="n">
        <x:f>ROUND(SUM('食材明细'!L1424:L1429),1)</x:f>
        <x:v>43.1</x:v>
      </x:c>
      <x:c r="Q239" t="n">
        <x:f>ROUND(SUM('食材明细'!N1424:N1429),1)</x:f>
        <x:v>7.6</x:v>
      </x:c>
      <x:c r="R239" s="10" t="str">
        <x:v>调料尽量低盐，不加白砂糖；油重已计入热量。</x:v>
      </x:c>
    </x:row>
    <x:row r="240" ht="37" customHeight="1">
      <x:c r="A240" t="n">
        <x:v>239</x:v>
      </x:c>
      <x:c r="B240" t="n">
        <x:v>120</x:v>
      </x:c>
      <x:c r="C240" t="n">
        <x:v>18</x:v>
      </x:c>
      <x:c r="D240" t="str">
        <x:v>午餐</x:v>
      </x:c>
      <x:c r="E240" t="str">
        <x:v>鱼类</x:v>
      </x:c>
      <x:c r="F240" s="10" t="str">
        <x:v>酸汤鳕鱼配生菜白萝卜｜荞麦面</x:v>
      </x:c>
      <x:c r="G240" s="10" t="str">
        <x:v>鳕鱼175g、生菜160g、白萝卜155g、荞麦面135g、烹调油4g</x:v>
      </x:c>
      <x:c r="H240" t="str">
        <x:v>荞麦面</x:v>
      </x:c>
      <x:c r="I240" s="10" t="str">
        <x:v>低主食需求可将主食减1/3，另加100g非淀粉蔬菜（营养值需重算）</x:v>
      </x:c>
      <x:c r="J240" s="10" t="str">
        <x:v>米醋、番茄、少许辣椒</x:v>
      </x:c>
      <x:c r="K240" t="str">
        <x:v>水煮</x:v>
      </x:c>
      <x:c r="L240" s="10" t="str">
        <x:v>鱼肉去刺，彻底做熟；番茄煮成酸汤，主食材汆熟，加入蔬菜再煮2～5分钟；面/魔芋丝煮熟后与菜合碗。</x:v>
      </x:c>
      <x:c r="M240" t="n">
        <x:v>20</x:v>
      </x:c>
      <x:c r="N240" t="n">
        <x:f>ROUND(SUM('食材明细'!H1430:H1435),0)</x:f>
        <x:v>380</x:v>
      </x:c>
      <x:c r="O240" t="n">
        <x:f>ROUND(SUM('食材明细'!J1430:J1435),1)</x:f>
        <x:v>40.1</x:v>
      </x:c>
      <x:c r="P240" t="n">
        <x:f>ROUND(SUM('食材明细'!L1430:L1435),1)</x:f>
        <x:v>39.2</x:v>
      </x:c>
      <x:c r="Q240" t="n">
        <x:f>ROUND(SUM('食材明细'!N1430:N1435),1)</x:f>
        <x:v>6.7</x:v>
      </x:c>
      <x:c r="R240" s="10" t="str">
        <x:v>调料尽量低盐，不加白砂糖；油重已计入热量。</x:v>
      </x:c>
    </x:row>
    <x:row r="241" ht="37" customHeight="1">
      <x:c r="A241" t="n">
        <x:v>240</x:v>
      </x:c>
      <x:c r="B241" t="n">
        <x:v>120</x:v>
      </x:c>
      <x:c r="C241" t="n">
        <x:v>18</x:v>
      </x:c>
      <x:c r="D241" t="str">
        <x:v>晚餐</x:v>
      </x:c>
      <x:c r="E241" t="str">
        <x:v>牛肉</x:v>
      </x:c>
      <x:c r="F241" s="10" t="str">
        <x:v>柠檬牛里脊配秋葵紫甘蓝｜玉米</x:v>
      </x:c>
      <x:c r="G241" s="10" t="str">
        <x:v>牛里脊145g、秋葵140g、紫甘蓝155g、玉米95g、烹调油5g</x:v>
      </x:c>
      <x:c r="H241" t="str">
        <x:v>玉米</x:v>
      </x:c>
      <x:c r="I241" s="10" t="str">
        <x:v>想减主食可减到原量2/3，另加100g绿叶菜</x:v>
      </x:c>
      <x:c r="J241" s="10" t="str">
        <x:v>柠檬片、白胡椒</x:v>
      </x:c>
      <x:c r="K241" t="str">
        <x:v>蒸</x:v>
      </x:c>
      <x:c r="L241" s="10" t="str">
        <x:v>柠檬片垫底，主食材蒸熟，蔬菜短焯后摆盘；玉米另煮熟或蒸好后同餐食用。</x:v>
      </x:c>
      <x:c r="M241" t="n">
        <x:v>30</x:v>
      </x:c>
      <x:c r="N241" t="n">
        <x:f>ROUND(SUM('食材明细'!H1436:H1441),0)</x:f>
        <x:v>428</x:v>
      </x:c>
      <x:c r="O241" t="n">
        <x:f>ROUND(SUM('食材明细'!J1436:J1441),1)</x:f>
        <x:v>38.5</x:v>
      </x:c>
      <x:c r="P241" t="n">
        <x:f>ROUND(SUM('食材明细'!L1436:L1441),1)</x:f>
        <x:v>42.7</x:v>
      </x:c>
      <x:c r="Q241" t="n">
        <x:f>ROUND(SUM('食材明细'!N1436:N1441),1)</x:f>
        <x:v>13.8</x:v>
      </x:c>
      <x:c r="R241" s="10" t="str">
        <x:v>调料尽量低盐，不加白砂糖；油重已计入热量。</x:v>
      </x:c>
    </x:row>
    <x:row r="242" ht="37" customHeight="1">
      <x:c r="A242" t="n">
        <x:v>241</x:v>
      </x:c>
      <x:c r="B242" t="n">
        <x:v>121</x:v>
      </x:c>
      <x:c r="C242" t="n">
        <x:v>18</x:v>
      </x:c>
      <x:c r="D242" t="str">
        <x:v>午餐</x:v>
      </x:c>
      <x:c r="E242" t="str">
        <x:v>鱼类</x:v>
      </x:c>
      <x:c r="F242" s="10" t="str">
        <x:v>蒜香鳕鱼配花菜金针菇｜藜麦饭</x:v>
      </x:c>
      <x:c r="G242" s="10" t="str">
        <x:v>鳕鱼215g、花菜140g、金针菇140g、藜麦饭110g、烹调油4g</x:v>
      </x:c>
      <x:c r="H242" t="str">
        <x:v>藜麦饭</x:v>
      </x:c>
      <x:c r="I242" s="10" t="str">
        <x:v>低主食需求可将主食减1/3，另加100g非淀粉蔬菜（营养值需重算）</x:v>
      </x:c>
      <x:c r="J242" s="10" t="str">
        <x:v>蒜末、白胡椒</x:v>
      </x:c>
      <x:c r="K242" t="str">
        <x:v>蒸</x:v>
      </x:c>
      <x:c r="L242" s="10" t="str">
        <x:v>鱼肉去刺，彻底做熟；食材切块，撒蒜末；上锅蒸熟，蔬菜另焯后拌匀；藜麦饭另煮熟或蒸好后同餐食用。</x:v>
      </x:c>
      <x:c r="M242" t="n">
        <x:v>30</x:v>
      </x:c>
      <x:c r="N242" t="n">
        <x:f>ROUND(SUM('食材明细'!H1442:H1447),0)</x:f>
        <x:v>431</x:v>
      </x:c>
      <x:c r="O242" t="n">
        <x:f>ROUND(SUM('食材明细'!J1442:J1447),1)</x:f>
        <x:v>49.7</x:v>
      </x:c>
      <x:c r="P242" t="n">
        <x:f>ROUND(SUM('食材明细'!L1442:L1447),1)</x:f>
        <x:v>39.4</x:v>
      </x:c>
      <x:c r="Q242" t="n">
        <x:f>ROUND(SUM('食材明细'!N1442:N1447),1)</x:f>
        <x:v>8.5</x:v>
      </x:c>
      <x:c r="R242" s="10" t="str">
        <x:v>调料尽量低盐，不加白砂糖；油重已计入热量。</x:v>
      </x:c>
    </x:row>
    <x:row r="243" ht="37" customHeight="1">
      <x:c r="A243" t="n">
        <x:v>242</x:v>
      </x:c>
      <x:c r="B243" t="n">
        <x:v>121</x:v>
      </x:c>
      <x:c r="C243" t="n">
        <x:v>18</x:v>
      </x:c>
      <x:c r="D243" t="str">
        <x:v>晚餐</x:v>
      </x:c>
      <x:c r="E243" t="str">
        <x:v>海鲜</x:v>
      </x:c>
      <x:c r="F243" s="10" t="str">
        <x:v>葱姜清蒸虾仁配生菜莴笋｜白米饭</x:v>
      </x:c>
      <x:c r="G243" s="10" t="str">
        <x:v>虾仁175g、生菜175g、莴笋155g、白米饭80g、烹调油6g</x:v>
      </x:c>
      <x:c r="H243" t="str">
        <x:v>白米饭</x:v>
      </x:c>
      <x:c r="I243" s="10" t="str">
        <x:v>低主食需求可将主食减1/3，另加100g非淀粉蔬菜（营养值需重算）</x:v>
      </x:c>
      <x:c r="J243" s="10" t="str">
        <x:v>葱姜、少量低盐生抽</x:v>
      </x:c>
      <x:c r="K243" t="str">
        <x:v>蒸</x:v>
      </x:c>
      <x:c r="L243" s="10" t="str">
        <x:v>切片腌5分钟；肉和配菜入盘，蒸至熟透；淋葱姜汁；白米饭另煮熟或蒸好后同餐食用。</x:v>
      </x:c>
      <x:c r="M243" t="n">
        <x:v>15</x:v>
      </x:c>
      <x:c r="N243" t="n">
        <x:f>ROUND(SUM('食材明细'!H1448:H1453),0)</x:f>
        <x:v>356</x:v>
      </x:c>
      <x:c r="O243" t="n">
        <x:f>ROUND(SUM('食材明细'!J1448:J1453),1)</x:f>
        <x:v>39.3</x:v>
      </x:c>
      <x:c r="P243" t="n">
        <x:f>ROUND(SUM('食材明细'!L1448:L1453),1)</x:f>
        <x:v>30.6</x:v>
      </x:c>
      <x:c r="Q243" t="n">
        <x:f>ROUND(SUM('食材明细'!N1448:N1453),1)</x:f>
        <x:v>8.5</x:v>
      </x:c>
      <x:c r="R243" s="10" t="str">
        <x:v>调料尽量低盐，不加白砂糖；油重已计入热量。</x:v>
      </x:c>
    </x:row>
    <x:row r="244" ht="37" customHeight="1">
      <x:c r="A244" t="n">
        <x:v>243</x:v>
      </x:c>
      <x:c r="B244" t="n">
        <x:v>122</x:v>
      </x:c>
      <x:c r="C244" t="n">
        <x:v>18</x:v>
      </x:c>
      <x:c r="D244" t="str">
        <x:v>午餐</x:v>
      </x:c>
      <x:c r="E244" t="str">
        <x:v>鱼类</x:v>
      </x:c>
      <x:c r="F244" s="10" t="str">
        <x:v>清汤巴沙鱼配芦笋菜心｜燕麦饭</x:v>
      </x:c>
      <x:c r="G244" s="10" t="str">
        <x:v>巴沙鱼175g、芦笋140g、菜心125g、燕麦饭135g、烹调油5g</x:v>
      </x:c>
      <x:c r="H244" t="str">
        <x:v>燕麦饭</x:v>
      </x:c>
      <x:c r="I244" s="10" t="str">
        <x:v>低主食需求可将主食减1/3，另加100g非淀粉蔬菜（营养值需重算）</x:v>
      </x:c>
      <x:c r="J244" s="10" t="str">
        <x:v>葱段、盐少量</x:v>
      </x:c>
      <x:c r="K244" t="str">
        <x:v>煮</x:v>
      </x:c>
      <x:c r="L244" s="10" t="str">
        <x:v>鱼肉去刺，彻底做熟；清水煮开，按熟化时间下食材，最后放叶菜，清淡调味；燕麦饭另煮熟或蒸好后同餐食用。</x:v>
      </x:c>
      <x:c r="M244" t="n">
        <x:v>25</x:v>
      </x:c>
      <x:c r="N244" t="n">
        <x:f>ROUND(SUM('食材明细'!H1454:H1459),0)</x:f>
        <x:v>404</x:v>
      </x:c>
      <x:c r="O244" t="n">
        <x:f>ROUND(SUM('食材明细'!J1454:J1459),1)</x:f>
        <x:v>39.7</x:v>
      </x:c>
      <x:c r="P244" t="n">
        <x:f>ROUND(SUM('食材明细'!L1454:L1459),1)</x:f>
        <x:v>38.2</x:v>
      </x:c>
      <x:c r="Q244" t="n">
        <x:f>ROUND(SUM('食材明细'!N1454:N1459),1)</x:f>
        <x:v>12</x:v>
      </x:c>
      <x:c r="R244" s="10" t="str">
        <x:v>调料尽量低盐，不加白砂糖；油重已计入热量。</x:v>
      </x:c>
    </x:row>
    <x:row r="245" ht="37" customHeight="1">
      <x:c r="A245" t="n">
        <x:v>244</x:v>
      </x:c>
      <x:c r="B245" t="n">
        <x:v>122</x:v>
      </x:c>
      <x:c r="C245" t="n">
        <x:v>18</x:v>
      </x:c>
      <x:c r="D245" t="str">
        <x:v>晚餐</x:v>
      </x:c>
      <x:c r="E245" t="str">
        <x:v>豆蛋</x:v>
      </x:c>
      <x:c r="F245" s="10" t="str">
        <x:v>清汤北豆腐鸡蛋烩紫甘蓝口蘑｜荞麦饭</x:v>
      </x:c>
      <x:c r="G245" s="10" t="str">
        <x:v>北豆腐240g、鸡蛋85g、紫甘蓝160g、口蘑110g、荞麦饭135g、烹调油4g</x:v>
      </x:c>
      <x:c r="H245" t="str">
        <x:v>荞麦饭</x:v>
      </x:c>
      <x:c r="I245" s="10" t="str">
        <x:v>低主食需求可将主食减1/3，另加100g非淀粉蔬菜（营养值需重算）</x:v>
      </x:c>
      <x:c r="J245" s="10" t="str">
        <x:v>葱段、盐少量</x:v>
      </x:c>
      <x:c r="K245" t="str">
        <x:v>煮</x:v>
      </x:c>
      <x:c r="L245" s="10" t="str">
        <x:v>清水煮开，按熟化时间下食材，最后放叶菜，清淡调味；荞麦饭另煮熟或蒸好后同餐食用。</x:v>
      </x:c>
      <x:c r="M245" t="n">
        <x:v>20</x:v>
      </x:c>
      <x:c r="N245" t="n">
        <x:f>ROUND(SUM('食材明细'!H1460:H1465),0)</x:f>
        <x:v>597</x:v>
      </x:c>
      <x:c r="O245" t="n">
        <x:f>ROUND(SUM('食材明细'!J1460:J1465),1)</x:f>
        <x:v>45.3</x:v>
      </x:c>
      <x:c r="P245" t="n">
        <x:f>ROUND(SUM('食材明细'!L1460:L1465),1)</x:f>
        <x:v>50.8</x:v>
      </x:c>
      <x:c r="Q245" t="n">
        <x:f>ROUND(SUM('食材明细'!N1460:N1465),1)</x:f>
        <x:v>26.5</x:v>
      </x:c>
      <x:c r="R245" s="10" t="str">
        <x:v>调料尽量低盐，不加白砂糖；油重已计入热量。</x:v>
      </x:c>
    </x:row>
    <x:row r="246" ht="37" customHeight="1">
      <x:c r="A246" t="n">
        <x:v>245</x:v>
      </x:c>
      <x:c r="B246" t="n">
        <x:v>123</x:v>
      </x:c>
      <x:c r="C246" t="n">
        <x:v>18</x:v>
      </x:c>
      <x:c r="D246" t="str">
        <x:v>午餐</x:v>
      </x:c>
      <x:c r="E246" t="str">
        <x:v>鱼类</x:v>
      </x:c>
      <x:c r="F246" s="10" t="str">
        <x:v>剁椒鳕鱼配西兰花黄瓜｜荞麦面</x:v>
      </x:c>
      <x:c r="G246" s="10" t="str">
        <x:v>鳕鱼200g、西兰花140g、黄瓜155g、荞麦面165g、烹调油6g</x:v>
      </x:c>
      <x:c r="H246" t="str">
        <x:v>荞麦面</x:v>
      </x:c>
      <x:c r="I246" s="10" t="str">
        <x:v>低主食需求可将主食减1/3，另加100g非淀粉蔬菜（营养值需重算）</x:v>
      </x:c>
      <x:c r="J246" s="10" t="str">
        <x:v>自制低盐剁椒、蒜</x:v>
      </x:c>
      <x:c r="K246" t="str">
        <x:v>蒸</x:v>
      </x:c>
      <x:c r="L246" s="10" t="str">
        <x:v>鱼肉去刺，彻底做熟；主食材铺少量低盐剁椒蒸熟，配菜焯熟后摆盘；面/魔芋丝煮熟后与菜合碗。</x:v>
      </x:c>
      <x:c r="M246" t="n">
        <x:v>30</x:v>
      </x:c>
      <x:c r="N246" t="n">
        <x:f>ROUND(SUM('食材明细'!H1466:H1471),0)</x:f>
        <x:v>470</x:v>
      </x:c>
      <x:c r="O246" t="n">
        <x:f>ROUND(SUM('食材明细'!J1466:J1471),1)</x:f>
        <x:v>47.6</x:v>
      </x:c>
      <x:c r="P246" t="n">
        <x:f>ROUND(SUM('食材明细'!L1466:L1471),1)</x:f>
        <x:v>50</x:v>
      </x:c>
      <x:c r="Q246" t="n">
        <x:f>ROUND(SUM('食材明细'!N1466:N1471),1)</x:f>
        <x:v>9.5</x:v>
      </x:c>
      <x:c r="R246" s="10" t="str">
        <x:v>调料尽量低盐，不加白砂糖；油重已计入热量。</x:v>
      </x:c>
    </x:row>
    <x:row r="247" ht="37" customHeight="1">
      <x:c r="A247" t="n">
        <x:v>246</x:v>
      </x:c>
      <x:c r="B247" t="n">
        <x:v>123</x:v>
      </x:c>
      <x:c r="C247" t="n">
        <x:v>18</x:v>
      </x:c>
      <x:c r="D247" t="str">
        <x:v>晚餐</x:v>
      </x:c>
      <x:c r="E247" t="str">
        <x:v>鱼类</x:v>
      </x:c>
      <x:c r="F247" s="10" t="str">
        <x:v>剁椒鲈鱼配芦笋玉米笋｜红薯</x:v>
      </x:c>
      <x:c r="G247" s="10" t="str">
        <x:v>鲈鱼200g、芦笋190g、玉米笋140g、红薯135g、烹调油6g</x:v>
      </x:c>
      <x:c r="H247" t="str">
        <x:v>红薯</x:v>
      </x:c>
      <x:c r="I247" s="10" t="str">
        <x:v>想减主食可减到原量2/3，另加100g绿叶菜</x:v>
      </x:c>
      <x:c r="J247" s="10" t="str">
        <x:v>自制低盐剁椒、蒜</x:v>
      </x:c>
      <x:c r="K247" t="str">
        <x:v>蒸</x:v>
      </x:c>
      <x:c r="L247" s="10" t="str">
        <x:v>鱼肉去刺，彻底做熟；主食材铺少量低盐剁椒蒸熟，配菜焯熟后摆盘；红薯另煮熟或蒸好后同餐食用。</x:v>
      </x:c>
      <x:c r="M247" t="n">
        <x:v>15</x:v>
      </x:c>
      <x:c r="N247" t="n">
        <x:f>ROUND(SUM('食材明细'!H1472:H1477),0)</x:f>
        <x:v>457</x:v>
      </x:c>
      <x:c r="O247" t="n">
        <x:f>ROUND(SUM('食材明细'!J1472:J1477),1)</x:f>
        <x:v>47.1</x:v>
      </x:c>
      <x:c r="P247" t="n">
        <x:f>ROUND(SUM('食材明细'!L1472:L1477),1)</x:f>
        <x:v>42</x:v>
      </x:c>
      <x:c r="Q247" t="n">
        <x:f>ROUND(SUM('食材明细'!N1472:N1477),1)</x:f>
        <x:v>12.5</x:v>
      </x:c>
      <x:c r="R247" s="10" t="str">
        <x:v>调料尽量低盐，不加白砂糖；油重已计入热量。</x:v>
      </x:c>
    </x:row>
    <x:row r="248" ht="37" customHeight="1">
      <x:c r="A248" t="n">
        <x:v>247</x:v>
      </x:c>
      <x:c r="B248" t="n">
        <x:v>124</x:v>
      </x:c>
      <x:c r="C248" t="n">
        <x:v>18</x:v>
      </x:c>
      <x:c r="D248" t="str">
        <x:v>午餐</x:v>
      </x:c>
      <x:c r="E248" t="str">
        <x:v>猪肉</x:v>
      </x:c>
      <x:c r="F248" s="10" t="str">
        <x:v>椒麻猪里脊配番茄莴笋｜糙米饭</x:v>
      </x:c>
      <x:c r="G248" s="10" t="str">
        <x:v>猪里脊155g、熟毛豆仁50g、番茄175g、莴笋125g、糙米饭150g、烹调油5g</x:v>
      </x:c>
      <x:c r="H248" t="str">
        <x:v>糙米饭</x:v>
      </x:c>
      <x:c r="I248" s="10" t="str">
        <x:v>低主食需求可将主食减1/3，另加100g非淀粉蔬菜（营养值需重算）</x:v>
      </x:c>
      <x:c r="J248" s="10" t="str">
        <x:v>花椒、蒜、少量醋</x:v>
      </x:c>
      <x:c r="K248" t="str">
        <x:v>水煮</x:v>
      </x:c>
      <x:c r="L248" s="10" t="str">
        <x:v>花椒温水浸出味道，煮熟主食材和配菜，少油拌汁；糙米饭另煮熟或蒸好后同餐食用。</x:v>
      </x:c>
      <x:c r="M248" t="n">
        <x:v>25</x:v>
      </x:c>
      <x:c r="N248" t="n">
        <x:f>ROUND(SUM('食材明细'!H1478:H1483),0)</x:f>
        <x:v>513</x:v>
      </x:c>
      <x:c r="O248" t="n">
        <x:f>ROUND(SUM('食材明细'!J1478:J1483),1)</x:f>
        <x:v>45.3</x:v>
      </x:c>
      <x:c r="P248" t="n">
        <x:f>ROUND(SUM('食材明细'!L1478:L1483),1)</x:f>
        <x:v>50.3</x:v>
      </x:c>
      <x:c r="Q248" t="n">
        <x:f>ROUND(SUM('食材明细'!N1478:N1483),1)</x:f>
        <x:v>14.8</x:v>
      </x:c>
      <x:c r="R248" s="10" t="str">
        <x:v>调料尽量低盐，不加白砂糖；油重已计入热量。</x:v>
      </x:c>
    </x:row>
    <x:row r="249" ht="37" customHeight="1">
      <x:c r="A249" t="n">
        <x:v>248</x:v>
      </x:c>
      <x:c r="B249" t="n">
        <x:v>124</x:v>
      </x:c>
      <x:c r="C249" t="n">
        <x:v>18</x:v>
      </x:c>
      <x:c r="D249" t="str">
        <x:v>晚餐</x:v>
      </x:c>
      <x:c r="E249" t="str">
        <x:v>豆蛋</x:v>
      </x:c>
      <x:c r="F249" s="10" t="str">
        <x:v>番茄鸡蛋嫩豆腐烩番茄花菜｜糙米饭</x:v>
      </x:c>
      <x:c r="G249" s="10" t="str">
        <x:v>鸡蛋120g、嫩豆腐160g、番茄190g、花菜155g、糙米饭125g、烹调油5g</x:v>
      </x:c>
      <x:c r="H249" t="str">
        <x:v>糙米饭</x:v>
      </x:c>
      <x:c r="I249" s="10" t="str">
        <x:v>低主食需求可将主食减1/3，另加100g非淀粉蔬菜（营养值需重算）</x:v>
      </x:c>
      <x:c r="J249" s="10" t="str">
        <x:v>番茄丁、黑胡椒</x:v>
      </x:c>
      <x:c r="K249" t="str">
        <x:v>炖煮</x:v>
      </x:c>
      <x:c r="L249" s="10" t="str">
        <x:v>鸡蛋先打散成蛋液；番茄出汁后加入主食材和少量水，轻炖至熟，再放配菜；糙米饭另煮熟或蒸好后同餐食用。</x:v>
      </x:c>
      <x:c r="M249" t="n">
        <x:v>25</x:v>
      </x:c>
      <x:c r="N249" t="n">
        <x:f>ROUND(SUM('食材明细'!H1484:H1489),0)</x:f>
        <x:v>523</x:v>
      </x:c>
      <x:c r="O249" t="n">
        <x:f>ROUND(SUM('食材明细'!J1484:J1489),1)</x:f>
        <x:v>31.7</x:v>
      </x:c>
      <x:c r="P249" t="n">
        <x:f>ROUND(SUM('食材明细'!L1484:L1489),1)</x:f>
        <x:v>49.3</x:v>
      </x:c>
      <x:c r="Q249" t="n">
        <x:f>ROUND(SUM('食材明细'!N1484:N1489),1)</x:f>
        <x:v>23.5</x:v>
      </x:c>
      <x:c r="R249" s="10" t="str">
        <x:v>调料尽量低盐，不加白砂糖；油重已计入热量。</x:v>
      </x:c>
    </x:row>
    <x:row r="250" ht="37" customHeight="1">
      <x:c r="A250" t="n">
        <x:v>249</x:v>
      </x:c>
      <x:c r="B250" t="n">
        <x:v>125</x:v>
      </x:c>
      <x:c r="C250" t="n">
        <x:v>18</x:v>
      </x:c>
      <x:c r="D250" t="str">
        <x:v>午餐</x:v>
      </x:c>
      <x:c r="E250" t="str">
        <x:v>豆蛋</x:v>
      </x:c>
      <x:c r="F250" s="10" t="str">
        <x:v>菌菇北豆腐配娃娃菜香菇｜杂粮饭</x:v>
      </x:c>
      <x:c r="G250" s="10" t="str">
        <x:v>北豆腐300g、娃娃菜160g、香菇155g、杂粮饭135g、烹调油5g</x:v>
      </x:c>
      <x:c r="H250" t="str">
        <x:v>杂粮饭</x:v>
      </x:c>
      <x:c r="I250" s="10" t="str">
        <x:v>低主食需求可将主食减1/3，另加100g非淀粉蔬菜（营养值需重算）</x:v>
      </x:c>
      <x:c r="J250" s="10" t="str">
        <x:v>姜片、香菇汁</x:v>
      </x:c>
      <x:c r="K250" t="str">
        <x:v>焖煮</x:v>
      </x:c>
      <x:c r="L250" s="10" t="str">
        <x:v>食材与菌菇加少量水焖熟，出锅前加少量低盐生抽；杂粮饭另煮熟或蒸好后同餐食用。</x:v>
      </x:c>
      <x:c r="M250" t="n">
        <x:v>35</x:v>
      </x:c>
      <x:c r="N250" t="n">
        <x:f>ROUND(SUM('食材明细'!H1490:H1495),0)</x:f>
        <x:v>550</x:v>
      </x:c>
      <x:c r="O250" t="n">
        <x:f>ROUND(SUM('食材明细'!J1490:J1495),1)</x:f>
        <x:v>39.7</x:v>
      </x:c>
      <x:c r="P250" t="n">
        <x:f>ROUND(SUM('食材明细'!L1490:L1495),1)</x:f>
        <x:v>53.1</x:v>
      </x:c>
      <x:c r="Q250" t="n">
        <x:f>ROUND(SUM('食材明细'!N1490:N1495),1)</x:f>
        <x:v>22.6</x:v>
      </x:c>
      <x:c r="R250" s="10" t="str">
        <x:v>调料尽量低盐，不加白砂糖；油重已计入热量。</x:v>
      </x:c>
    </x:row>
    <x:row r="251" ht="37" customHeight="1">
      <x:c r="A251" t="n">
        <x:v>250</x:v>
      </x:c>
      <x:c r="B251" t="n">
        <x:v>125</x:v>
      </x:c>
      <x:c r="C251" t="n">
        <x:v>18</x:v>
      </x:c>
      <x:c r="D251" t="str">
        <x:v>晚餐</x:v>
      </x:c>
      <x:c r="E251" t="str">
        <x:v>牛肉</x:v>
      </x:c>
      <x:c r="F251" s="10" t="str">
        <x:v>豉汁牛腱子配白萝卜泡发木耳｜杂粮饭</x:v>
      </x:c>
      <x:c r="G251" s="10" t="str">
        <x:v>牛腱子180g、白萝卜175g、泡发木耳155g、杂粮饭110g、烹调油4g</x:v>
      </x:c>
      <x:c r="H251" t="str">
        <x:v>杂粮饭</x:v>
      </x:c>
      <x:c r="I251" s="10" t="str">
        <x:v>低主食需求可将主食减1/3，另加100g非淀粉蔬菜（营养值需重算）</x:v>
      </x:c>
      <x:c r="J251" s="10" t="str">
        <x:v>少量豆豉、姜末</x:v>
      </x:c>
      <x:c r="K251" t="str">
        <x:v>蒸</x:v>
      </x:c>
      <x:c r="L251" s="10" t="str">
        <x:v>豆豉冲洗剁碎，与姜末拌主食材后蒸熟；蔬菜另煮；杂粮饭另煮熟或蒸好后同餐食用。</x:v>
      </x:c>
      <x:c r="M251" t="n">
        <x:v>30</x:v>
      </x:c>
      <x:c r="N251" t="n">
        <x:f>ROUND(SUM('食材明细'!H1496:H1501),0)</x:f>
        <x:v>485</x:v>
      </x:c>
      <x:c r="O251" t="n">
        <x:f>ROUND(SUM('食材明细'!J1496:J1501),1)</x:f>
        <x:v>44.6</x:v>
      </x:c>
      <x:c r="P251" t="n">
        <x:f>ROUND(SUM('食材明细'!L1496:L1501),1)</x:f>
        <x:v>42.2</x:v>
      </x:c>
      <x:c r="Q251" t="n">
        <x:f>ROUND(SUM('食材明细'!N1496:N1501),1)</x:f>
        <x:v>16.4</x:v>
      </x:c>
      <x:c r="R251" s="10" t="str">
        <x:v>调料尽量低盐，不加白砂糖；油重已计入热量。</x:v>
      </x:c>
    </x:row>
    <x:row r="252" ht="37" customHeight="1">
      <x:c r="A252" t="n">
        <x:v>251</x:v>
      </x:c>
      <x:c r="B252" t="n">
        <x:v>126</x:v>
      </x:c>
      <x:c r="C252" t="n">
        <x:v>18</x:v>
      </x:c>
      <x:c r="D252" t="str">
        <x:v>午餐</x:v>
      </x:c>
      <x:c r="E252" t="str">
        <x:v>豆蛋</x:v>
      </x:c>
      <x:c r="F252" s="10" t="str">
        <x:v>香醋北豆腐虾仁烩四季豆小白菜｜荞麦饭</x:v>
      </x:c>
      <x:c r="G252" s="10" t="str">
        <x:v>北豆腐260g、虾仁65g、四季豆190g、小白菜125g、荞麦饭150g、烹调油5g</x:v>
      </x:c>
      <x:c r="H252" t="str">
        <x:v>荞麦饭</x:v>
      </x:c>
      <x:c r="I252" s="10" t="str">
        <x:v>低主食需求可将主食减1/3，另加100g非淀粉蔬菜（营养值需重算）</x:v>
      </x:c>
      <x:c r="J252" s="10" t="str">
        <x:v>香醋、蒜末、少量生抽</x:v>
      </x:c>
      <x:c r="K252" t="str">
        <x:v>水煮</x:v>
      </x:c>
      <x:c r="L252" s="10" t="str">
        <x:v>食材分别煮至熟，淋香醋蒜汁，拌匀即食；荞麦饭另煮熟或蒸好后同餐食用。四季豆必须充分煮熟，不要生脆。</x:v>
      </x:c>
      <x:c r="M252" t="n">
        <x:v>25</x:v>
      </x:c>
      <x:c r="N252" t="n">
        <x:f>ROUND(SUM('食材明细'!H1502:H1507),0)</x:f>
        <x:v>583</x:v>
      </x:c>
      <x:c r="O252" t="n">
        <x:f>ROUND(SUM('食材明细'!J1502:J1507),1)</x:f>
        <x:v>48.9</x:v>
      </x:c>
      <x:c r="P252" t="n">
        <x:f>ROUND(SUM('食材明细'!L1502:L1507),1)</x:f>
        <x:v>55.3</x:v>
      </x:c>
      <x:c r="Q252" t="n">
        <x:f>ROUND(SUM('食材明细'!N1502:N1507),1)</x:f>
        <x:v>20.8</x:v>
      </x:c>
      <x:c r="R252" s="10" t="str">
        <x:v>调料尽量低盐，不加白砂糖；油重已计入热量。</x:v>
      </x:c>
    </x:row>
    <x:row r="253" ht="37" customHeight="1">
      <x:c r="A253" t="n">
        <x:v>252</x:v>
      </x:c>
      <x:c r="B253" t="n">
        <x:v>126</x:v>
      </x:c>
      <x:c r="C253" t="n">
        <x:v>18</x:v>
      </x:c>
      <x:c r="D253" t="str">
        <x:v>晚餐</x:v>
      </x:c>
      <x:c r="E253" t="str">
        <x:v>牛肉</x:v>
      </x:c>
      <x:c r="F253" s="10" t="str">
        <x:v>咖喱瘦牛肉配大白菜金针菇｜杂粮饭</x:v>
      </x:c>
      <x:c r="G253" s="10" t="str">
        <x:v>瘦牛肉180g、北豆腐90g、大白菜160g、金针菇110g、杂粮饭125g、烹调油6g</x:v>
      </x:c>
      <x:c r="H253" t="str">
        <x:v>杂粮饭</x:v>
      </x:c>
      <x:c r="I253" s="10" t="str">
        <x:v>低主食需求可将主食减1/3，另加100g非淀粉蔬菜（营养值需重算）</x:v>
      </x:c>
      <x:c r="J253" s="10" t="str">
        <x:v>无加糖咖喱粉、姜末</x:v>
      </x:c>
      <x:c r="K253" t="str">
        <x:v>炖煮</x:v>
      </x:c>
      <x:c r="L253" s="10" t="str">
        <x:v>用咖喱粉而非高脂咖喱块，加水轻炖主食材和蔬菜；杂粮饭另煮熟或蒸好后同餐食用。</x:v>
      </x:c>
      <x:c r="M253" t="n">
        <x:v>25</x:v>
      </x:c>
      <x:c r="N253" t="n">
        <x:f>ROUND(SUM('食材明细'!H1508:H1513),0)</x:f>
        <x:v>566</x:v>
      </x:c>
      <x:c r="O253" t="n">
        <x:f>ROUND(SUM('食材明细'!J1508:J1513),1)</x:f>
        <x:v>55.7</x:v>
      </x:c>
      <x:c r="P253" t="n">
        <x:f>ROUND(SUM('食材明细'!L1508:L1513),1)</x:f>
        <x:v>43.3</x:v>
      </x:c>
      <x:c r="Q253" t="n">
        <x:f>ROUND(SUM('食材明细'!N1508:N1513),1)</x:f>
        <x:v>19.5</x:v>
      </x:c>
      <x:c r="R253" s="10" t="str">
        <x:v>调料尽量低盐，不加白砂糖；油重已计入热量。</x:v>
      </x:c>
    </x:row>
    <x:row r="254" ht="37" customHeight="1">
      <x:c r="A254" t="n">
        <x:v>253</x:v>
      </x:c>
      <x:c r="B254" t="n">
        <x:v>127</x:v>
      </x:c>
      <x:c r="C254" t="n">
        <x:v>19</x:v>
      </x:c>
      <x:c r="D254" t="str">
        <x:v>午餐</x:v>
      </x:c>
      <x:c r="E254" t="str">
        <x:v>禽肉</x:v>
      </x:c>
      <x:c r="F254" s="10" t="str">
        <x:v>清汤鸡胸肉配秋葵黄瓜｜杂粮饭</x:v>
      </x:c>
      <x:c r="G254" s="10" t="str">
        <x:v>鸡胸肉165g、秋葵190g、黄瓜140g、杂粮饭165g、烹调油5g</x:v>
      </x:c>
      <x:c r="H254" t="str">
        <x:v>杂粮饭</x:v>
      </x:c>
      <x:c r="I254" s="10" t="str">
        <x:v>低主食需求可将主食减1/3，另加100g非淀粉蔬菜（营养值需重算）</x:v>
      </x:c>
      <x:c r="J254" s="10" t="str">
        <x:v>葱段、盐少量</x:v>
      </x:c>
      <x:c r="K254" t="str">
        <x:v>煮</x:v>
      </x:c>
      <x:c r="L254" s="10" t="str">
        <x:v>清水煮开，按熟化时间下食材，最后放叶菜，清淡调味；杂粮饭另煮熟或蒸好后同餐食用。</x:v>
      </x:c>
      <x:c r="M254" t="n">
        <x:v>20</x:v>
      </x:c>
      <x:c r="N254" t="n">
        <x:f>ROUND(SUM('食材明细'!H1514:H1519),0)</x:f>
        <x:v>501</x:v>
      </x:c>
      <x:c r="O254" t="n">
        <x:f>ROUND(SUM('食材明细'!J1514:J1519),1)</x:f>
        <x:v>47.7</x:v>
      </x:c>
      <x:c r="P254" t="n">
        <x:f>ROUND(SUM('食材明细'!L1514:L1519),1)</x:f>
        <x:v>58.1</x:v>
      </x:c>
      <x:c r="Q254" t="n">
        <x:f>ROUND(SUM('食材明细'!N1514:N1519),1)</x:f>
        <x:v>10.6</x:v>
      </x:c>
      <x:c r="R254" s="10" t="str">
        <x:v>调料尽量低盐，不加白砂糖；油重已计入热量。</x:v>
      </x:c>
    </x:row>
    <x:row r="255" ht="37" customHeight="1">
      <x:c r="A255" t="n">
        <x:v>254</x:v>
      </x:c>
      <x:c r="B255" t="n">
        <x:v>127</x:v>
      </x:c>
      <x:c r="C255" t="n">
        <x:v>19</x:v>
      </x:c>
      <x:c r="D255" t="str">
        <x:v>晚餐</x:v>
      </x:c>
      <x:c r="E255" t="str">
        <x:v>禽肉</x:v>
      </x:c>
      <x:c r="F255" s="10" t="str">
        <x:v>咖喱去皮鸡腿肉配芹菜花菜｜杂粮饭</x:v>
      </x:c>
      <x:c r="G255" s="10" t="str">
        <x:v>去皮鸡腿肉170g、北豆腐110g、芹菜175g、花菜140g、杂粮饭95g、烹调油3g</x:v>
      </x:c>
      <x:c r="H255" t="str">
        <x:v>杂粮饭</x:v>
      </x:c>
      <x:c r="I255" s="10" t="str">
        <x:v>低主食需求可将主食减1/3，另加100g非淀粉蔬菜（营养值需重算）</x:v>
      </x:c>
      <x:c r="J255" s="10" t="str">
        <x:v>无加糖咖喱粉、姜末</x:v>
      </x:c>
      <x:c r="K255" t="str">
        <x:v>炖煮</x:v>
      </x:c>
      <x:c r="L255" s="10" t="str">
        <x:v>先去皮去骨并切薄，充分加热；用咖喱粉而非高脂咖喱块，加水轻炖主食材和蔬菜；杂粮饭另煮熟或蒸好后同餐食用。</x:v>
      </x:c>
      <x:c r="M255" t="n">
        <x:v>35</x:v>
      </x:c>
      <x:c r="N255" t="n">
        <x:f>ROUND(SUM('食材明细'!H1520:H1525),0)</x:f>
        <x:v>513</x:v>
      </x:c>
      <x:c r="O255" t="n">
        <x:f>ROUND(SUM('食材明细'!J1520:J1525),1)</x:f>
        <x:v>52.5</x:v>
      </x:c>
      <x:c r="P255" t="n">
        <x:f>ROUND(SUM('食材明细'!L1520:L1525),1)</x:f>
        <x:v>37.7</x:v>
      </x:c>
      <x:c r="Q255" t="n">
        <x:f>ROUND(SUM('食材明细'!N1520:N1525),1)</x:f>
        <x:v>18.7</x:v>
      </x:c>
      <x:c r="R255" s="10" t="str">
        <x:v>调料尽量低盐，不加白砂糖；油重已计入热量。</x:v>
      </x:c>
    </x:row>
    <x:row r="256" ht="37" customHeight="1">
      <x:c r="A256" t="n">
        <x:v>255</x:v>
      </x:c>
      <x:c r="B256" t="n">
        <x:v>128</x:v>
      </x:c>
      <x:c r="C256" t="n">
        <x:v>19</x:v>
      </x:c>
      <x:c r="D256" t="str">
        <x:v>午餐</x:v>
      </x:c>
      <x:c r="E256" t="str">
        <x:v>海鲜</x:v>
      </x:c>
      <x:c r="F256" s="10" t="str">
        <x:v>酸汤扇贝肉配小白菜白萝卜｜玉米</x:v>
      </x:c>
      <x:c r="G256" s="10" t="str">
        <x:v>扇贝肉210g、小白菜140g、白萝卜155g、玉米135g、烹调油4g</x:v>
      </x:c>
      <x:c r="H256" t="str">
        <x:v>玉米</x:v>
      </x:c>
      <x:c r="I256" s="10" t="str">
        <x:v>想减主食可减到原量2/3，另加100g绿叶菜</x:v>
      </x:c>
      <x:c r="J256" s="10" t="str">
        <x:v>米醋、番茄、少许辣椒</x:v>
      </x:c>
      <x:c r="K256" t="str">
        <x:v>水煮</x:v>
      </x:c>
      <x:c r="L256" s="10" t="str">
        <x:v>番茄煮成酸汤，主食材汆熟，加入蔬菜再煮2～5分钟；玉米另煮熟或蒸好后同餐食用。</x:v>
      </x:c>
      <x:c r="M256" t="n">
        <x:v>30</x:v>
      </x:c>
      <x:c r="N256" t="n">
        <x:f>ROUND(SUM('食材明细'!H1526:H1531),0)</x:f>
        <x:v>418</x:v>
      </x:c>
      <x:c r="O256" t="n">
        <x:f>ROUND(SUM('食材明细'!J1526:J1531),1)</x:f>
        <x:v>43.5</x:v>
      </x:c>
      <x:c r="P256" t="n">
        <x:f>ROUND(SUM('食材明细'!L1526:L1531),1)</x:f>
        <x:v>46.1</x:v>
      </x:c>
      <x:c r="Q256" t="n">
        <x:f>ROUND(SUM('食材明细'!N1526:N1531),1)</x:f>
        <x:v>8.2</x:v>
      </x:c>
      <x:c r="R256" s="10" t="str">
        <x:v>调料尽量低盐，不加白砂糖；油重已计入热量。</x:v>
      </x:c>
    </x:row>
    <x:row r="257" ht="37" customHeight="1">
      <x:c r="A257" t="n">
        <x:v>256</x:v>
      </x:c>
      <x:c r="B257" t="n">
        <x:v>128</x:v>
      </x:c>
      <x:c r="C257" t="n">
        <x:v>19</x:v>
      </x:c>
      <x:c r="D257" t="str">
        <x:v>晚餐</x:v>
      </x:c>
      <x:c r="E257" t="str">
        <x:v>鱼类</x:v>
      </x:c>
      <x:c r="F257" s="10" t="str">
        <x:v>椒麻鲈鱼配油麦菜金针菇｜糙米饭</x:v>
      </x:c>
      <x:c r="G257" s="10" t="str">
        <x:v>鲈鱼200g、油麦菜160g、金针菇140g、糙米饭135g、烹调油5g</x:v>
      </x:c>
      <x:c r="H257" t="str">
        <x:v>糙米饭</x:v>
      </x:c>
      <x:c r="I257" s="10" t="str">
        <x:v>低主食需求可将主食减1/3，另加100g非淀粉蔬菜（营养值需重算）</x:v>
      </x:c>
      <x:c r="J257" s="10" t="str">
        <x:v>花椒、蒜、少量醋</x:v>
      </x:c>
      <x:c r="K257" t="str">
        <x:v>水煮</x:v>
      </x:c>
      <x:c r="L257" s="10" t="str">
        <x:v>鱼肉去刺，彻底做熟；花椒温水浸出味道，煮熟主食材和配菜，少油拌汁；糙米饭另煮熟或蒸好后同餐食用。</x:v>
      </x:c>
      <x:c r="M257" t="n">
        <x:v>25</x:v>
      </x:c>
      <x:c r="N257" t="n">
        <x:f>ROUND(SUM('食材明细'!H1532:H1537),0)</x:f>
        <x:v>480</x:v>
      </x:c>
      <x:c r="O257" t="n">
        <x:f>ROUND(SUM('食材明细'!J1532:J1537),1)</x:f>
        <x:v>47.1</x:v>
      </x:c>
      <x:c r="P257" t="n">
        <x:f>ROUND(SUM('食材明细'!L1532:L1537),1)</x:f>
        <x:v>45.7</x:v>
      </x:c>
      <x:c r="Q257" t="n">
        <x:f>ROUND(SUM('食材明细'!N1532:N1537),1)</x:f>
        <x:v>12.8</x:v>
      </x:c>
      <x:c r="R257" s="10" t="str">
        <x:v>调料尽量低盐，不加白砂糖；油重已计入热量。</x:v>
      </x:c>
    </x:row>
    <x:row r="258" ht="37" customHeight="1">
      <x:c r="A258" t="n">
        <x:v>257</x:v>
      </x:c>
      <x:c r="B258" t="n">
        <x:v>129</x:v>
      </x:c>
      <x:c r="C258" t="n">
        <x:v>19</x:v>
      </x:c>
      <x:c r="D258" t="str">
        <x:v>午餐</x:v>
      </x:c>
      <x:c r="E258" t="str">
        <x:v>禽肉</x:v>
      </x:c>
      <x:c r="F258" s="10" t="str">
        <x:v>蚝香鸡里脊肉配荷兰豆芦笋｜米粉</x:v>
      </x:c>
      <x:c r="G258" s="10" t="str">
        <x:v>鸡里脊肉155g、熟毛豆仁50g、荷兰豆175g、芦笋140g、米粉110g、烹调油5g</x:v>
      </x:c>
      <x:c r="H258" t="str">
        <x:v>米粉</x:v>
      </x:c>
      <x:c r="I258" s="10" t="str">
        <x:v>低主食需求可将主食减1/3，另加100g非淀粉蔬菜（营养值需重算）</x:v>
      </x:c>
      <x:c r="J258" s="10" t="str">
        <x:v>低钠蚝油少量、姜蒜</x:v>
      </x:c>
      <x:c r="K258" t="str">
        <x:v>少油烩</x:v>
      </x:c>
      <x:c r="L258" s="10" t="str">
        <x:v>主食材和蔬菜少油少水烩熟，起锅前点少量蚝油；面/魔芋丝煮熟后与菜合碗。</x:v>
      </x:c>
      <x:c r="M258" t="n">
        <x:v>20</x:v>
      </x:c>
      <x:c r="N258" t="n">
        <x:f>ROUND(SUM('食材明细'!H1538:H1543),0)</x:f>
        <x:v>498</x:v>
      </x:c>
      <x:c r="O258" t="n">
        <x:f>ROUND(SUM('食材明细'!J1538:J1543),1)</x:f>
        <x:v>51.8</x:v>
      </x:c>
      <x:c r="P258" t="n">
        <x:f>ROUND(SUM('食材明细'!L1538:L1543),1)</x:f>
        <x:v>49.5</x:v>
      </x:c>
      <x:c r="Q258" t="n">
        <x:f>ROUND(SUM('食材明细'!N1538:N1543),1)</x:f>
        <x:v>11.4</x:v>
      </x:c>
      <x:c r="R258" s="10" t="str">
        <x:v>调料尽量低盐，不加白砂糖；油重已计入热量。</x:v>
      </x:c>
    </x:row>
    <x:row r="259" ht="37" customHeight="1">
      <x:c r="A259" t="n">
        <x:v>258</x:v>
      </x:c>
      <x:c r="B259" t="n">
        <x:v>129</x:v>
      </x:c>
      <x:c r="C259" t="n">
        <x:v>19</x:v>
      </x:c>
      <x:c r="D259" t="str">
        <x:v>晚餐</x:v>
      </x:c>
      <x:c r="E259" t="str">
        <x:v>豆蛋</x:v>
      </x:c>
      <x:c r="F259" s="10" t="str">
        <x:v>酸汤鸡蛋北豆腐烩西葫芦彩椒｜藜麦饭</x:v>
      </x:c>
      <x:c r="G259" s="10" t="str">
        <x:v>鸡蛋110g、北豆腐130g、西葫芦140g、彩椒125g、藜麦饭95g、烹调油4g</x:v>
      </x:c>
      <x:c r="H259" t="str">
        <x:v>藜麦饭</x:v>
      </x:c>
      <x:c r="I259" s="10" t="str">
        <x:v>低主食需求可将主食减1/3，另加100g非淀粉蔬菜（营养值需重算）</x:v>
      </x:c>
      <x:c r="J259" s="10" t="str">
        <x:v>米醋、番茄、少许辣椒</x:v>
      </x:c>
      <x:c r="K259" t="str">
        <x:v>水煮</x:v>
      </x:c>
      <x:c r="L259" s="10" t="str">
        <x:v>鸡蛋先打散成蛋液；番茄煮成酸汤，主食材汆熟，加入蔬菜再煮2～5分钟；藜麦饭另煮熟或蒸好后同餐食用。</x:v>
      </x:c>
      <x:c r="M259" t="n">
        <x:v>25</x:v>
      </x:c>
      <x:c r="N259" t="n">
        <x:f>ROUND(SUM('食材明细'!H1544:H1549),0)</x:f>
        <x:v>483</x:v>
      </x:c>
      <x:c r="O259" t="n">
        <x:f>ROUND(SUM('食材明细'!J1544:J1549),1)</x:f>
        <x:v>34.4</x:v>
      </x:c>
      <x:c r="P259" t="n">
        <x:f>ROUND(SUM('食材明细'!L1544:L1549),1)</x:f>
        <x:v>36</x:v>
      </x:c>
      <x:c r="Q259" t="n">
        <x:f>ROUND(SUM('食材明细'!N1544:N1549),1)</x:f>
        <x:v>24</x:v>
      </x:c>
      <x:c r="R259" s="10" t="str">
        <x:v>调料尽量低盐，不加白砂糖；油重已计入热量。</x:v>
      </x:c>
    </x:row>
    <x:row r="260" ht="37" customHeight="1">
      <x:c r="A260" t="n">
        <x:v>259</x:v>
      </x:c>
      <x:c r="B260" t="n">
        <x:v>130</x:v>
      </x:c>
      <x:c r="C260" t="n">
        <x:v>19</x:v>
      </x:c>
      <x:c r="D260" t="str">
        <x:v>午餐</x:v>
      </x:c>
      <x:c r="E260" t="str">
        <x:v>鱼类</x:v>
      </x:c>
      <x:c r="F260" s="10" t="str">
        <x:v>酸汤鳕鱼配芦笋香菇｜山药</x:v>
      </x:c>
      <x:c r="G260" s="10" t="str">
        <x:v>鳕鱼215g、北豆腐90g、芦笋175g、香菇110g、山药110g、烹调油6g</x:v>
      </x:c>
      <x:c r="H260" t="str">
        <x:v>山药</x:v>
      </x:c>
      <x:c r="I260" s="10" t="str">
        <x:v>想减主食可减到原量2/3，另加100g绿叶菜</x:v>
      </x:c>
      <x:c r="J260" s="10" t="str">
        <x:v>米醋、番茄、少许辣椒</x:v>
      </x:c>
      <x:c r="K260" t="str">
        <x:v>水煮</x:v>
      </x:c>
      <x:c r="L260" s="10" t="str">
        <x:v>鱼肉去刺，彻底做熟；番茄煮成酸汤，主食材汆熟，加入蔬菜再煮2～5分钟；山药另煮熟或蒸好后同餐食用。</x:v>
      </x:c>
      <x:c r="M260" t="n">
        <x:v>25</x:v>
      </x:c>
      <x:c r="N260" t="n">
        <x:f>ROUND(SUM('食材明细'!H1550:H1555),0)</x:f>
        <x:v>458</x:v>
      </x:c>
      <x:c r="O260" t="n">
        <x:f>ROUND(SUM('食材明细'!J1550:J1555),1)</x:f>
        <x:v>55.6</x:v>
      </x:c>
      <x:c r="P260" t="n">
        <x:f>ROUND(SUM('食材明细'!L1550:L1555),1)</x:f>
        <x:v>31.6</x:v>
      </x:c>
      <x:c r="Q260" t="n">
        <x:f>ROUND(SUM('食材明细'!N1550:N1555),1)</x:f>
        <x:v>13.1</x:v>
      </x:c>
      <x:c r="R260" s="10" t="str">
        <x:v>调料尽量低盐，不加白砂糖；油重已计入热量。</x:v>
      </x:c>
    </x:row>
    <x:row r="261" ht="37" customHeight="1">
      <x:c r="A261" t="n">
        <x:v>260</x:v>
      </x:c>
      <x:c r="B261" t="n">
        <x:v>130</x:v>
      </x:c>
      <x:c r="C261" t="n">
        <x:v>19</x:v>
      </x:c>
      <x:c r="D261" t="str">
        <x:v>晚餐</x:v>
      </x:c>
      <x:c r="E261" t="str">
        <x:v>牛肉</x:v>
      </x:c>
      <x:c r="F261" s="10" t="str">
        <x:v>蚝香牛里脊配番茄杏鲍菇｜杂粮饭</x:v>
      </x:c>
      <x:c r="G261" s="10" t="str">
        <x:v>牛里脊145g、番茄175g、杏鲍菇140g、杂粮饭125g、烹调油5g</x:v>
      </x:c>
      <x:c r="H261" t="str">
        <x:v>杂粮饭</x:v>
      </x:c>
      <x:c r="I261" s="10" t="str">
        <x:v>低主食需求可将主食减1/3，另加100g非淀粉蔬菜（营养值需重算）</x:v>
      </x:c>
      <x:c r="J261" s="10" t="str">
        <x:v>低钠蚝油少量、姜蒜</x:v>
      </x:c>
      <x:c r="K261" t="str">
        <x:v>少油烩</x:v>
      </x:c>
      <x:c r="L261" s="10" t="str">
        <x:v>主食材和蔬菜少油少水烩熟，起锅前点少量蚝油；杂粮饭另煮熟或蒸好后同餐食用。</x:v>
      </x:c>
      <x:c r="M261" t="n">
        <x:v>15</x:v>
      </x:c>
      <x:c r="N261" t="n">
        <x:f>ROUND(SUM('食材明细'!H1556:H1561),0)</x:f>
        <x:v>461</x:v>
      </x:c>
      <x:c r="O261" t="n">
        <x:f>ROUND(SUM('食材明细'!J1556:J1561),1)</x:f>
        <x:v>38.7</x:v>
      </x:c>
      <x:c r="P261" t="n">
        <x:f>ROUND(SUM('食材明细'!L1556:L1561),1)</x:f>
        <x:v>46.7</x:v>
      </x:c>
      <x:c r="Q261" t="n">
        <x:f>ROUND(SUM('食材明细'!N1556:N1561),1)</x:f>
        <x:v>14.1</x:v>
      </x:c>
      <x:c r="R261" s="10" t="str">
        <x:v>调料尽量低盐，不加白砂糖；油重已计入热量。</x:v>
      </x:c>
    </x:row>
    <x:row r="262" ht="37" customHeight="1">
      <x:c r="A262" t="n">
        <x:v>261</x:v>
      </x:c>
      <x:c r="B262" t="n">
        <x:v>131</x:v>
      </x:c>
      <x:c r="C262" t="n">
        <x:v>19</x:v>
      </x:c>
      <x:c r="D262" t="str">
        <x:v>午餐</x:v>
      </x:c>
      <x:c r="E262" t="str">
        <x:v>牛肉</x:v>
      </x:c>
      <x:c r="F262" s="10" t="str">
        <x:v>蚝香瘦牛肉配菜心莴笋｜米粉</x:v>
      </x:c>
      <x:c r="G262" s="10" t="str">
        <x:v>瘦牛肉175g、菜心160g、莴笋140g、米粉135g、烹调油3g</x:v>
      </x:c>
      <x:c r="H262" t="str">
        <x:v>米粉</x:v>
      </x:c>
      <x:c r="I262" s="10" t="str">
        <x:v>低主食需求可将主食减1/3，另加100g非淀粉蔬菜（营养值需重算）</x:v>
      </x:c>
      <x:c r="J262" s="10" t="str">
        <x:v>低钠蚝油少量、姜蒜</x:v>
      </x:c>
      <x:c r="K262" t="str">
        <x:v>少油烩</x:v>
      </x:c>
      <x:c r="L262" s="10" t="str">
        <x:v>主食材和蔬菜少油少水烩熟，起锅前点少量蚝油；面/魔芋丝煮熟后与菜合碗。</x:v>
      </x:c>
      <x:c r="M262" t="n">
        <x:v>15</x:v>
      </x:c>
      <x:c r="N262" t="n">
        <x:f>ROUND(SUM('食材明细'!H1562:H1567),0)</x:f>
        <x:v>447</x:v>
      </x:c>
      <x:c r="O262" t="n">
        <x:f>ROUND(SUM('食材明细'!J1562:J1567),1)</x:f>
        <x:v>44.1</x:v>
      </x:c>
      <x:c r="P262" t="n">
        <x:f>ROUND(SUM('食材明细'!L1562:L1567),1)</x:f>
        <x:v>41.9</x:v>
      </x:c>
      <x:c r="Q262" t="n">
        <x:f>ROUND(SUM('食材明细'!N1562:N1567),1)</x:f>
        <x:v>11.2</x:v>
      </x:c>
      <x:c r="R262" s="10" t="str">
        <x:v>调料尽量低盐，不加白砂糖；油重已计入热量。</x:v>
      </x:c>
    </x:row>
    <x:row r="263" ht="37" customHeight="1">
      <x:c r="A263" t="n">
        <x:v>262</x:v>
      </x:c>
      <x:c r="B263" t="n">
        <x:v>131</x:v>
      </x:c>
      <x:c r="C263" t="n">
        <x:v>19</x:v>
      </x:c>
      <x:c r="D263" t="str">
        <x:v>晚餐</x:v>
      </x:c>
      <x:c r="E263" t="str">
        <x:v>猪肉</x:v>
      </x:c>
      <x:c r="F263" s="10" t="str">
        <x:v>剁椒猪瘦肉配菜心胡萝卜｜荞麦面</x:v>
      </x:c>
      <x:c r="G263" s="10" t="str">
        <x:v>猪瘦肉145g、菜心190g、胡萝卜140g、荞麦面95g、烹调油5g</x:v>
      </x:c>
      <x:c r="H263" t="str">
        <x:v>荞麦面</x:v>
      </x:c>
      <x:c r="I263" s="10" t="str">
        <x:v>低主食需求可将主食减1/3，另加100g非淀粉蔬菜（营养值需重算）</x:v>
      </x:c>
      <x:c r="J263" s="10" t="str">
        <x:v>自制低盐剁椒、蒜</x:v>
      </x:c>
      <x:c r="K263" t="str">
        <x:v>蒸</x:v>
      </x:c>
      <x:c r="L263" s="10" t="str">
        <x:v>主食材铺少量低盐剁椒蒸熟，配菜焯熟后摆盘；面/魔芋丝煮熟后与菜合碗。</x:v>
      </x:c>
      <x:c r="M263" t="n">
        <x:v>30</x:v>
      </x:c>
      <x:c r="N263" t="n">
        <x:f>ROUND(SUM('食材明细'!H1568:H1573),0)</x:f>
        <x:v>429</x:v>
      </x:c>
      <x:c r="O263" t="n">
        <x:f>ROUND(SUM('食材明细'!J1568:J1573),1)</x:f>
        <x:v>37.9</x:v>
      </x:c>
      <x:c r="P263" t="n">
        <x:f>ROUND(SUM('食材明细'!L1568:L1573),1)</x:f>
        <x:v>40.6</x:v>
      </x:c>
      <x:c r="Q263" t="n">
        <x:f>ROUND(SUM('食材明细'!N1568:N1573),1)</x:f>
        <x:v>14.5</x:v>
      </x:c>
      <x:c r="R263" s="10" t="str">
        <x:v>调料尽量低盐，不加白砂糖；油重已计入热量。</x:v>
      </x:c>
    </x:row>
    <x:row r="264" ht="37" customHeight="1">
      <x:c r="A264" t="n">
        <x:v>263</x:v>
      </x:c>
      <x:c r="B264" t="n">
        <x:v>132</x:v>
      </x:c>
      <x:c r="C264" t="n">
        <x:v>19</x:v>
      </x:c>
      <x:c r="D264" t="str">
        <x:v>午餐</x:v>
      </x:c>
      <x:c r="E264" t="str">
        <x:v>海鲜</x:v>
      </x:c>
      <x:c r="F264" s="10" t="str">
        <x:v>菌菇虾仁配西兰花金针菇｜乌冬面</x:v>
      </x:c>
      <x:c r="G264" s="10" t="str">
        <x:v>虾仁175g、西兰花175g、金针菇155g、乌冬面135g、烹调油3g</x:v>
      </x:c>
      <x:c r="H264" t="str">
        <x:v>乌冬面</x:v>
      </x:c>
      <x:c r="I264" s="10" t="str">
        <x:v>低主食需求可将主食减1/3，另加100g非淀粉蔬菜（营养值需重算）</x:v>
      </x:c>
      <x:c r="J264" s="10" t="str">
        <x:v>姜片、香菇汁</x:v>
      </x:c>
      <x:c r="K264" t="str">
        <x:v>焖煮</x:v>
      </x:c>
      <x:c r="L264" s="10" t="str">
        <x:v>食材与菌菇加少量水焖熟，出锅前加少量低盐生抽；面/魔芋丝煮熟后与菜合碗。</x:v>
      </x:c>
      <x:c r="M264" t="n">
        <x:v>30</x:v>
      </x:c>
      <x:c r="N264" t="n">
        <x:f>ROUND(SUM('食材明细'!H1574:H1579),0)</x:f>
        <x:v>456</x:v>
      </x:c>
      <x:c r="O264" t="n">
        <x:f>ROUND(SUM('食材明细'!J1574:J1579),1)</x:f>
        <x:v>45.3</x:v>
      </x:c>
      <x:c r="P264" t="n">
        <x:f>ROUND(SUM('食材明细'!L1574:L1579),1)</x:f>
        <x:v>56.6</x:v>
      </x:c>
      <x:c r="Q264" t="n">
        <x:f>ROUND(SUM('食材明细'!N1574:N1579),1)</x:f>
        <x:v>6.8</x:v>
      </x:c>
      <x:c r="R264" s="10" t="str">
        <x:v>调料尽量低盐，不加白砂糖；油重已计入热量。</x:v>
      </x:c>
    </x:row>
    <x:row r="265" ht="37" customHeight="1">
      <x:c r="A265" t="n">
        <x:v>264</x:v>
      </x:c>
      <x:c r="B265" t="n">
        <x:v>132</x:v>
      </x:c>
      <x:c r="C265" t="n">
        <x:v>19</x:v>
      </x:c>
      <x:c r="D265" t="str">
        <x:v>晚餐</x:v>
      </x:c>
      <x:c r="E265" t="str">
        <x:v>豆蛋</x:v>
      </x:c>
      <x:c r="F265" s="10" t="str">
        <x:v>菌菇北豆腐鸡蛋烩茼蒿香菇｜山药</x:v>
      </x:c>
      <x:c r="G265" s="10" t="str">
        <x:v>北豆腐280g、鸡蛋50g、茼蒿190g、香菇125g、山药80g、烹调油6g</x:v>
      </x:c>
      <x:c r="H265" t="str">
        <x:v>山药</x:v>
      </x:c>
      <x:c r="I265" s="10" t="str">
        <x:v>想减主食可减到原量2/3，另加100g绿叶菜</x:v>
      </x:c>
      <x:c r="J265" s="10" t="str">
        <x:v>姜片、香菇汁</x:v>
      </x:c>
      <x:c r="K265" t="str">
        <x:v>焖煮</x:v>
      </x:c>
      <x:c r="L265" s="10" t="str">
        <x:v>食材与菌菇加少量水焖熟，出锅前加少量低盐生抽；山药另煮熟或蒸好后同餐食用。</x:v>
      </x:c>
      <x:c r="M265" t="n">
        <x:v>20</x:v>
      </x:c>
      <x:c r="N265" t="n">
        <x:f>ROUND(SUM('食材明细'!H1580:H1585),0)</x:f>
        <x:v>516</x:v>
      </x:c>
      <x:c r="O265" t="n">
        <x:f>ROUND(SUM('食材明细'!J1580:J1585),1)</x:f>
        <x:v>42.1</x:v>
      </x:c>
      <x:c r="P265" t="n">
        <x:f>ROUND(SUM('食材明细'!L1580:L1585),1)</x:f>
        <x:v>34.1</x:v>
      </x:c>
      <x:c r="Q265" t="n">
        <x:f>ROUND(SUM('食材明细'!N1580:N1585),1)</x:f>
        <x:v>26.3</x:v>
      </x:c>
      <x:c r="R265" s="10" t="str">
        <x:v>调料尽量低盐，不加白砂糖；油重已计入热量。</x:v>
      </x:c>
    </x:row>
    <x:row r="266" ht="37" customHeight="1">
      <x:c r="A266" t="n">
        <x:v>265</x:v>
      </x:c>
      <x:c r="B266" t="n">
        <x:v>133</x:v>
      </x:c>
      <x:c r="C266" t="n">
        <x:v>19</x:v>
      </x:c>
      <x:c r="D266" t="str">
        <x:v>午餐</x:v>
      </x:c>
      <x:c r="E266" t="str">
        <x:v>牛肉</x:v>
      </x:c>
      <x:c r="F266" s="10" t="str">
        <x:v>蚝香牛里脊配生菜冬瓜｜燕麦饭</x:v>
      </x:c>
      <x:c r="G266" s="10" t="str">
        <x:v>牛里脊185g、生菜190g、冬瓜140g、燕麦饭150g、烹调油4g</x:v>
      </x:c>
      <x:c r="H266" t="str">
        <x:v>燕麦饭</x:v>
      </x:c>
      <x:c r="I266" s="10" t="str">
        <x:v>低主食需求可将主食减1/3，另加100g非淀粉蔬菜（营养值需重算）</x:v>
      </x:c>
      <x:c r="J266" s="10" t="str">
        <x:v>低钠蚝油少量、姜蒜</x:v>
      </x:c>
      <x:c r="K266" t="str">
        <x:v>少油烩</x:v>
      </x:c>
      <x:c r="L266" s="10" t="str">
        <x:v>主食材和蔬菜少油少水烩熟，起锅前点少量蚝油；燕麦饭另煮熟或蒸好后同餐食用。</x:v>
      </x:c>
      <x:c r="M266" t="n">
        <x:v>15</x:v>
      </x:c>
      <x:c r="N266" t="n">
        <x:f>ROUND(SUM('食材明细'!H1586:H1591),0)</x:f>
        <x:v>490</x:v>
      </x:c>
      <x:c r="O266" t="n">
        <x:f>ROUND(SUM('食材明细'!J1586:J1591),1)</x:f>
        <x:v>46.9</x:v>
      </x:c>
      <x:c r="P266" t="n">
        <x:f>ROUND(SUM('食材明细'!L1586:L1591),1)</x:f>
        <x:v>41.2</x:v>
      </x:c>
      <x:c r="Q266" t="n">
        <x:f>ROUND(SUM('食材明细'!N1586:N1591),1)</x:f>
        <x:v>16.1</x:v>
      </x:c>
      <x:c r="R266" s="10" t="str">
        <x:v>调料尽量低盐，不加白砂糖；油重已计入热量。</x:v>
      </x:c>
    </x:row>
    <x:row r="267" ht="37" customHeight="1">
      <x:c r="A267" t="n">
        <x:v>266</x:v>
      </x:c>
      <x:c r="B267" t="n">
        <x:v>133</x:v>
      </x:c>
      <x:c r="C267" t="n">
        <x:v>19</x:v>
      </x:c>
      <x:c r="D267" t="str">
        <x:v>晚餐</x:v>
      </x:c>
      <x:c r="E267" t="str">
        <x:v>鱼类</x:v>
      </x:c>
      <x:c r="F267" s="10" t="str">
        <x:v>菌菇三文鱼配四季豆口蘑｜米粉</x:v>
      </x:c>
      <x:c r="G267" s="10" t="str">
        <x:v>三文鱼120g、四季豆175g、口蘑110g、米粉135g、烹调油2g</x:v>
      </x:c>
      <x:c r="H267" t="str">
        <x:v>米粉</x:v>
      </x:c>
      <x:c r="I267" s="10" t="str">
        <x:v>低主食需求可将主食减1/3，另加100g非淀粉蔬菜（营养值需重算）</x:v>
      </x:c>
      <x:c r="J267" s="10" t="str">
        <x:v>姜片、香菇汁</x:v>
      </x:c>
      <x:c r="K267" t="str">
        <x:v>焖煮</x:v>
      </x:c>
      <x:c r="L267" s="10" t="str">
        <x:v>鱼肉去刺，彻底做熟；食材与菌菇加少量水焖熟，出锅前加少量低盐生抽；面/魔芋丝煮熟后与菜合碗。四季豆必须充分煮熟，不要生脆。</x:v>
      </x:c>
      <x:c r="M267" t="n">
        <x:v>35</x:v>
      </x:c>
      <x:c r="N267" t="n">
        <x:f>ROUND(SUM('食材明细'!H1592:H1597),0)</x:f>
        <x:v>491</x:v>
      </x:c>
      <x:c r="O267" t="n">
        <x:f>ROUND(SUM('食材明细'!J1592:J1597),1)</x:f>
        <x:v>33.3</x:v>
      </x:c>
      <x:c r="P267" t="n">
        <x:f>ROUND(SUM('食材明细'!L1592:L1597),1)</x:f>
        <x:v>48.3</x:v>
      </x:c>
      <x:c r="Q267" t="n">
        <x:f>ROUND(SUM('食材明细'!N1592:N1597),1)</x:f>
        <x:v>18.7</x:v>
      </x:c>
      <x:c r="R267" s="10" t="str">
        <x:v>调料尽量低盐，不加白砂糖；油重已计入热量。</x:v>
      </x:c>
    </x:row>
    <x:row r="268" ht="37" customHeight="1">
      <x:c r="A268" t="n">
        <x:v>267</x:v>
      </x:c>
      <x:c r="B268" t="n">
        <x:v>134</x:v>
      </x:c>
      <x:c r="C268" t="n">
        <x:v>20</x:v>
      </x:c>
      <x:c r="D268" t="str">
        <x:v>午餐</x:v>
      </x:c>
      <x:c r="E268" t="str">
        <x:v>牛肉</x:v>
      </x:c>
      <x:c r="F268" s="10" t="str">
        <x:v>葱姜清蒸牛里脊配冬瓜金针菇｜乌冬面</x:v>
      </x:c>
      <x:c r="G268" s="10" t="str">
        <x:v>牛里脊185g、冬瓜140g、金针菇155g、乌冬面165g、烹调油3g</x:v>
      </x:c>
      <x:c r="H268" t="str">
        <x:v>乌冬面</x:v>
      </x:c>
      <x:c r="I268" s="10" t="str">
        <x:v>低主食需求可将主食减1/3，另加100g非淀粉蔬菜（营养值需重算）</x:v>
      </x:c>
      <x:c r="J268" s="10" t="str">
        <x:v>葱姜、少量低盐生抽</x:v>
      </x:c>
      <x:c r="K268" t="str">
        <x:v>蒸</x:v>
      </x:c>
      <x:c r="L268" s="10" t="str">
        <x:v>切片腌5分钟；肉和配菜入盘，蒸至熟透；淋葱姜汁；面/魔芋丝煮熟后与菜合碗。</x:v>
      </x:c>
      <x:c r="M268" t="n">
        <x:v>25</x:v>
      </x:c>
      <x:c r="N268" t="n">
        <x:f>ROUND(SUM('食材明细'!H1598:H1603),0)</x:f>
        <x:v>533</x:v>
      </x:c>
      <x:c r="O268" t="n">
        <x:f>ROUND(SUM('食材明细'!J1598:J1603),1)</x:f>
        <x:v>47.3</x:v>
      </x:c>
      <x:c r="P268" t="n">
        <x:f>ROUND(SUM('食材明细'!L1598:L1603),1)</x:f>
        <x:v>55.4</x:v>
      </x:c>
      <x:c r="Q268" t="n">
        <x:f>ROUND(SUM('食材明细'!N1598:N1603),1)</x:f>
        <x:v>13.5</x:v>
      </x:c>
      <x:c r="R268" s="10" t="str">
        <x:v>调料尽量低盐，不加白砂糖；油重已计入热量。</x:v>
      </x:c>
    </x:row>
    <x:row r="269" ht="37" customHeight="1">
      <x:c r="A269" t="n">
        <x:v>268</x:v>
      </x:c>
      <x:c r="B269" t="n">
        <x:v>134</x:v>
      </x:c>
      <x:c r="C269" t="n">
        <x:v>20</x:v>
      </x:c>
      <x:c r="D269" t="str">
        <x:v>晚餐</x:v>
      </x:c>
      <x:c r="E269" t="str">
        <x:v>禽肉</x:v>
      </x:c>
      <x:c r="F269" s="10" t="str">
        <x:v>蚝香鸡胸肉配番茄海带｜土豆</x:v>
      </x:c>
      <x:c r="G269" s="10" t="str">
        <x:v>鸡胸肉180g、番茄175g、海带155g、土豆95g、烹调油5g</x:v>
      </x:c>
      <x:c r="H269" t="str">
        <x:v>土豆</x:v>
      </x:c>
      <x:c r="I269" s="10" t="str">
        <x:v>想减主食可减到原量2/3，另加100g绿叶菜</x:v>
      </x:c>
      <x:c r="J269" s="10" t="str">
        <x:v>低钠蚝油少量、姜蒜</x:v>
      </x:c>
      <x:c r="K269" t="str">
        <x:v>少油烩</x:v>
      </x:c>
      <x:c r="L269" s="10" t="str">
        <x:v>主食材和蔬菜少油少水烩熟，起锅前点少量蚝油；土豆另煮熟或蒸好后同餐食用。</x:v>
      </x:c>
      <x:c r="M269" t="n">
        <x:v>20</x:v>
      </x:c>
      <x:c r="N269" t="n">
        <x:f>ROUND(SUM('食材明细'!H1604:H1609),0)</x:f>
        <x:v>391</x:v>
      </x:c>
      <x:c r="O269" t="n">
        <x:f>ROUND(SUM('食材明细'!J1604:J1609),1)</x:f>
        <x:v>46.4</x:v>
      </x:c>
      <x:c r="P269" t="n">
        <x:f>ROUND(SUM('食材明细'!L1604:L1609),1)</x:f>
        <x:v>31.1</x:v>
      </x:c>
      <x:c r="Q269" t="n">
        <x:f>ROUND(SUM('食材明细'!N1604:N1609),1)</x:f>
        <x:v>9.2</x:v>
      </x:c>
      <x:c r="R269" s="10" t="str">
        <x:v>调料尽量低盐，不加白砂糖；油重已计入热量。</x:v>
      </x:c>
    </x:row>
    <x:row r="270" ht="37" customHeight="1">
      <x:c r="A270" t="n">
        <x:v>269</x:v>
      </x:c>
      <x:c r="B270" t="n">
        <x:v>135</x:v>
      </x:c>
      <x:c r="C270" t="n">
        <x:v>20</x:v>
      </x:c>
      <x:c r="D270" t="str">
        <x:v>午餐</x:v>
      </x:c>
      <x:c r="E270" t="str">
        <x:v>禽肉</x:v>
      </x:c>
      <x:c r="F270" s="10" t="str">
        <x:v>葱姜清蒸鸡胸肉配彩椒黄瓜｜乌冬面</x:v>
      </x:c>
      <x:c r="G270" s="10" t="str">
        <x:v>鸡胸肉165g、彩椒140g、黄瓜140g、乌冬面150g、烹调油5g</x:v>
      </x:c>
      <x:c r="H270" t="str">
        <x:v>乌冬面</x:v>
      </x:c>
      <x:c r="I270" s="10" t="str">
        <x:v>低主食需求可将主食减1/3，另加100g非淀粉蔬菜（营养值需重算）</x:v>
      </x:c>
      <x:c r="J270" s="10" t="str">
        <x:v>葱姜、少量低盐生抽</x:v>
      </x:c>
      <x:c r="K270" t="str">
        <x:v>蒸</x:v>
      </x:c>
      <x:c r="L270" s="10" t="str">
        <x:v>切片腌5分钟；肉和配菜入盘，蒸至熟透；淋葱姜汁；面/魔芋丝煮熟后与菜合碗。</x:v>
      </x:c>
      <x:c r="M270" t="n">
        <x:v>25</x:v>
      </x:c>
      <x:c r="N270" t="n">
        <x:f>ROUND(SUM('食材明细'!H1610:H1615),0)</x:f>
        <x:v>467</x:v>
      </x:c>
      <x:c r="O270" t="n">
        <x:f>ROUND(SUM('食材明细'!J1610:J1615),1)</x:f>
        <x:v>44.1</x:v>
      </x:c>
      <x:c r="P270" t="n">
        <x:f>ROUND(SUM('食材明细'!L1610:L1615),1)</x:f>
        <x:v>51.1</x:v>
      </x:c>
      <x:c r="Q270" t="n">
        <x:f>ROUND(SUM('食材明细'!N1610:N1615),1)</x:f>
        <x:v>9.6</x:v>
      </x:c>
      <x:c r="R270" s="10" t="str">
        <x:v>调料尽量低盐，不加白砂糖；油重已计入热量。</x:v>
      </x:c>
    </x:row>
    <x:row r="271" ht="37" customHeight="1">
      <x:c r="A271" t="n">
        <x:v>270</x:v>
      </x:c>
      <x:c r="B271" t="n">
        <x:v>135</x:v>
      </x:c>
      <x:c r="C271" t="n">
        <x:v>20</x:v>
      </x:c>
      <x:c r="D271" t="str">
        <x:v>晚餐</x:v>
      </x:c>
      <x:c r="E271" t="str">
        <x:v>猪肉</x:v>
      </x:c>
      <x:c r="F271" s="10" t="str">
        <x:v>孜然猪里脊配莴笋黄瓜｜米粉</x:v>
      </x:c>
      <x:c r="G271" s="10" t="str">
        <x:v>猪里脊180g、莴笋160g、黄瓜140g、米粉135g、烹调油5g</x:v>
      </x:c>
      <x:c r="H271" t="str">
        <x:v>米粉</x:v>
      </x:c>
      <x:c r="I271" s="10" t="str">
        <x:v>低主食需求可将主食减1/3，另加100g非淀粉蔬菜（营养值需重算）</x:v>
      </x:c>
      <x:c r="J271" s="10" t="str">
        <x:v>孜然、辣椒粉、蒜末</x:v>
      </x:c>
      <x:c r="K271" t="str">
        <x:v>少油焖</x:v>
      </x:c>
      <x:c r="L271" s="10" t="str">
        <x:v>主食材用少量油和水焖熟，下蔬菜翻拌，撒孜然；面/魔芋丝煮熟后与菜合碗。</x:v>
      </x:c>
      <x:c r="M271" t="n">
        <x:v>15</x:v>
      </x:c>
      <x:c r="N271" t="n">
        <x:f>ROUND(SUM('食材明细'!H1616:H1621),0)</x:f>
        <x:v>456</x:v>
      </x:c>
      <x:c r="O271" t="n">
        <x:f>ROUND(SUM('食材明细'!J1616:J1621),1)</x:f>
        <x:v>43.1</x:v>
      </x:c>
      <x:c r="P271" t="n">
        <x:f>ROUND(SUM('食材明细'!L1616:L1621),1)</x:f>
        <x:v>41.9</x:v>
      </x:c>
      <x:c r="Q271" t="n">
        <x:f>ROUND(SUM('食材明细'!N1616:N1621),1)</x:f>
        <x:v>12.1</x:v>
      </x:c>
      <x:c r="R271" s="10" t="str">
        <x:v>调料尽量低盐，不加白砂糖；油重已计入热量。</x:v>
      </x:c>
    </x:row>
    <x:row r="272" ht="37" customHeight="1">
      <x:c r="A272" t="n">
        <x:v>271</x:v>
      </x:c>
      <x:c r="B272" t="n">
        <x:v>136</x:v>
      </x:c>
      <x:c r="C272" t="n">
        <x:v>20</x:v>
      </x:c>
      <x:c r="D272" t="str">
        <x:v>午餐</x:v>
      </x:c>
      <x:c r="E272" t="str">
        <x:v>猪肉</x:v>
      </x:c>
      <x:c r="F272" s="10" t="str">
        <x:v>番茄猪里脊配冬瓜｜白米饭</x:v>
      </x:c>
      <x:c r="G272" s="10" t="str">
        <x:v>猪里脊155g、番茄175g、冬瓜155g、白米饭150g、烹调油4g</x:v>
      </x:c>
      <x:c r="H272" t="str">
        <x:v>白米饭</x:v>
      </x:c>
      <x:c r="I272" s="10" t="str">
        <x:v>低主食需求可将主食减1/3，另加100g非淀粉蔬菜（营养值需重算）</x:v>
      </x:c>
      <x:c r="J272" s="10" t="str">
        <x:v>番茄丁、黑胡椒</x:v>
      </x:c>
      <x:c r="K272" t="str">
        <x:v>炖煮</x:v>
      </x:c>
      <x:c r="L272" s="10" t="str">
        <x:v>番茄出汁后加入主食材和少量水，轻炖至熟，再放配菜；白米饭另煮熟或蒸好后同餐食用。</x:v>
      </x:c>
      <x:c r="M272" t="n">
        <x:v>25</x:v>
      </x:c>
      <x:c r="N272" t="n">
        <x:f>ROUND(SUM('食材明细'!H1622:H1627),0)</x:f>
        <x:v>451</x:v>
      </x:c>
      <x:c r="O272" t="n">
        <x:f>ROUND(SUM('食材明细'!J1622:J1627),1)</x:f>
        <x:v>38.6</x:v>
      </x:c>
      <x:c r="P272" t="n">
        <x:f>ROUND(SUM('食材明细'!L1622:L1627),1)</x:f>
        <x:v>50.1</x:v>
      </x:c>
      <x:c r="Q272" t="n">
        <x:f>ROUND(SUM('食材明细'!N1622:N1627),1)</x:f>
        <x:v>10.5</x:v>
      </x:c>
      <x:c r="R272" s="10" t="str">
        <x:v>调料尽量低盐，不加白砂糖；油重已计入热量。</x:v>
      </x:c>
    </x:row>
    <x:row r="273" ht="37" customHeight="1">
      <x:c r="A273" t="n">
        <x:v>272</x:v>
      </x:c>
      <x:c r="B273" t="n">
        <x:v>136</x:v>
      </x:c>
      <x:c r="C273" t="n">
        <x:v>20</x:v>
      </x:c>
      <x:c r="D273" t="str">
        <x:v>晚餐</x:v>
      </x:c>
      <x:c r="E273" t="str">
        <x:v>牛肉</x:v>
      </x:c>
      <x:c r="F273" s="10" t="str">
        <x:v>黑椒瘦牛肉配花菜白萝卜｜杂粮饭</x:v>
      </x:c>
      <x:c r="G273" s="10" t="str">
        <x:v>瘦牛肉180g、花菜160g、白萝卜110g、杂粮饭80g、烹调油5g</x:v>
      </x:c>
      <x:c r="H273" t="str">
        <x:v>杂粮饭</x:v>
      </x:c>
      <x:c r="I273" s="10" t="str">
        <x:v>低主食需求可将主食减1/3，另加100g非淀粉蔬菜（营养值需重算）</x:v>
      </x:c>
      <x:c r="J273" s="10" t="str">
        <x:v>黑胡椒、蒜末</x:v>
      </x:c>
      <x:c r="K273" t="str">
        <x:v>少油烩</x:v>
      </x:c>
      <x:c r="L273" s="10" t="str">
        <x:v>锅加少量水和油，先把主食材煮熟，再烩两种蔬菜，收汁撒黑椒；杂粮饭另煮熟或蒸好后同餐食用。</x:v>
      </x:c>
      <x:c r="M273" t="n">
        <x:v>20</x:v>
      </x:c>
      <x:c r="N273" t="n">
        <x:f>ROUND(SUM('食材明细'!H1628:H1633),0)</x:f>
        <x:v>422</x:v>
      </x:c>
      <x:c r="O273" t="n">
        <x:f>ROUND(SUM('食材明细'!J1628:J1633),1)</x:f>
        <x:v>44.1</x:v>
      </x:c>
      <x:c r="P273" t="n">
        <x:f>ROUND(SUM('食材明细'!L1628:L1633),1)</x:f>
        <x:v>31.2</x:v>
      </x:c>
      <x:c r="Q273" t="n">
        <x:f>ROUND(SUM('食材明细'!N1628:N1633),1)</x:f>
        <x:v>13.7</x:v>
      </x:c>
      <x:c r="R273" s="10" t="str">
        <x:v>调料尽量低盐，不加白砂糖；油重已计入热量。</x:v>
      </x:c>
    </x:row>
    <x:row r="274" ht="37" customHeight="1">
      <x:c r="A274" t="n">
        <x:v>273</x:v>
      </x:c>
      <x:c r="B274" t="n">
        <x:v>137</x:v>
      </x:c>
      <x:c r="C274" t="n">
        <x:v>20</x:v>
      </x:c>
      <x:c r="D274" t="str">
        <x:v>午餐</x:v>
      </x:c>
      <x:c r="E274" t="str">
        <x:v>禽肉</x:v>
      </x:c>
      <x:c r="F274" s="10" t="str">
        <x:v>孜然鸡胸肉配娃娃菜荷兰豆｜米粉</x:v>
      </x:c>
      <x:c r="G274" s="10" t="str">
        <x:v>鸡胸肉175g、娃娃菜160g、荷兰豆140g、米粉150g、烹调油6g</x:v>
      </x:c>
      <x:c r="H274" t="str">
        <x:v>米粉</x:v>
      </x:c>
      <x:c r="I274" s="10" t="str">
        <x:v>低主食需求可将主食减1/3，另加100g非淀粉蔬菜（营养值需重算）</x:v>
      </x:c>
      <x:c r="J274" s="10" t="str">
        <x:v>孜然、辣椒粉、蒜末</x:v>
      </x:c>
      <x:c r="K274" t="str">
        <x:v>少油焖</x:v>
      </x:c>
      <x:c r="L274" s="10" t="str">
        <x:v>主食材用少量油和水焖熟，下蔬菜翻拌，撒孜然；面/魔芋丝煮熟后与菜合碗。</x:v>
      </x:c>
      <x:c r="M274" t="n">
        <x:v>25</x:v>
      </x:c>
      <x:c r="N274" t="n">
        <x:f>ROUND(SUM('食材明细'!H1634:H1639),0)</x:f>
        <x:v>498</x:v>
      </x:c>
      <x:c r="O274" t="n">
        <x:f>ROUND(SUM('食材明细'!J1634:J1639),1)</x:f>
        <x:v>49.3</x:v>
      </x:c>
      <x:c r="P274" t="n">
        <x:f>ROUND(SUM('食材明细'!L1634:L1639),1)</x:f>
        <x:v>51.3</x:v>
      </x:c>
      <x:c r="Q274" t="n">
        <x:f>ROUND(SUM('食材明细'!N1634:N1639),1)</x:f>
        <x:v>10.8</x:v>
      </x:c>
      <x:c r="R274" s="10" t="str">
        <x:v>调料尽量低盐，不加白砂糖；油重已计入热量。</x:v>
      </x:c>
    </x:row>
    <x:row r="275" ht="37" customHeight="1">
      <x:c r="A275" t="n">
        <x:v>274</x:v>
      </x:c>
      <x:c r="B275" t="n">
        <x:v>137</x:v>
      </x:c>
      <x:c r="C275" t="n">
        <x:v>20</x:v>
      </x:c>
      <x:c r="D275" t="str">
        <x:v>晚餐</x:v>
      </x:c>
      <x:c r="E275" t="str">
        <x:v>牛肉</x:v>
      </x:c>
      <x:c r="F275" s="10" t="str">
        <x:v>黑椒牛腱子配芹菜小白菜｜玉米</x:v>
      </x:c>
      <x:c r="G275" s="10" t="str">
        <x:v>牛腱子180g、芹菜160g、小白菜140g、玉米110g、烹调油6g</x:v>
      </x:c>
      <x:c r="H275" t="str">
        <x:v>玉米</x:v>
      </x:c>
      <x:c r="I275" s="10" t="str">
        <x:v>想减主食可减到原量2/3，另加100g绿叶菜</x:v>
      </x:c>
      <x:c r="J275" s="10" t="str">
        <x:v>黑胡椒、蒜末</x:v>
      </x:c>
      <x:c r="K275" t="str">
        <x:v>少油烩</x:v>
      </x:c>
      <x:c r="L275" s="10" t="str">
        <x:v>锅加少量水和油，先把主食材煮熟，再烩两种蔬菜，收汁撒黑椒；玉米另煮熟或蒸好后同餐食用。</x:v>
      </x:c>
      <x:c r="M275" t="n">
        <x:v>20</x:v>
      </x:c>
      <x:c r="N275" t="n">
        <x:f>ROUND(SUM('食材明细'!H1640:H1645),0)</x:f>
        <x:v>473</x:v>
      </x:c>
      <x:c r="O275" t="n">
        <x:f>ROUND(SUM('食材明细'!J1640:J1645),1)</x:f>
        <x:v>45.4</x:v>
      </x:c>
      <x:c r="P275" t="n">
        <x:f>ROUND(SUM('食材明细'!L1640:L1645),1)</x:f>
        <x:v>33.7</x:v>
      </x:c>
      <x:c r="Q275" t="n">
        <x:f>ROUND(SUM('食材明细'!N1640:N1645),1)</x:f>
        <x:v>18.9</x:v>
      </x:c>
      <x:c r="R275" s="10" t="str">
        <x:v>调料尽量低盐，不加白砂糖；油重已计入热量。</x:v>
      </x:c>
    </x:row>
    <x:row r="276" ht="37" customHeight="1">
      <x:c r="A276" t="n">
        <x:v>275</x:v>
      </x:c>
      <x:c r="B276" t="n">
        <x:v>138</x:v>
      </x:c>
      <x:c r="C276" t="n">
        <x:v>20</x:v>
      </x:c>
      <x:c r="D276" t="str">
        <x:v>午餐</x:v>
      </x:c>
      <x:c r="E276" t="str">
        <x:v>海鲜</x:v>
      </x:c>
      <x:c r="F276" s="10" t="str">
        <x:v>香醋鱿鱼配秋葵胡萝卜｜全麦面</x:v>
      </x:c>
      <x:c r="G276" s="10" t="str">
        <x:v>鱿鱼175g、秋葵140g、胡萝卜110g、全麦面165g、烹调油4g</x:v>
      </x:c>
      <x:c r="H276" t="str">
        <x:v>全麦面</x:v>
      </x:c>
      <x:c r="I276" s="10" t="str">
        <x:v>低主食需求可将主食减1/3，另加100g非淀粉蔬菜（营养值需重算）</x:v>
      </x:c>
      <x:c r="J276" s="10" t="str">
        <x:v>香醋、蒜末、少量生抽</x:v>
      </x:c>
      <x:c r="K276" t="str">
        <x:v>水煮</x:v>
      </x:c>
      <x:c r="L276" s="10" t="str">
        <x:v>食材分别煮至熟，淋香醋蒜汁，拌匀即食；面/魔芋丝煮熟后与菜合碗。</x:v>
      </x:c>
      <x:c r="M276" t="n">
        <x:v>25</x:v>
      </x:c>
      <x:c r="N276" t="n">
        <x:f>ROUND(SUM('食材明细'!H1646:H1651),0)</x:f>
        <x:v>498</x:v>
      </x:c>
      <x:c r="O276" t="n">
        <x:f>ROUND(SUM('食材明细'!J1646:J1651),1)</x:f>
        <x:v>41.7</x:v>
      </x:c>
      <x:c r="P276" t="n">
        <x:f>ROUND(SUM('食材明细'!L1646:L1651),1)</x:f>
        <x:v>66.3</x:v>
      </x:c>
      <x:c r="Q276" t="n">
        <x:f>ROUND(SUM('食材明细'!N1646:N1651),1)</x:f>
        <x:v>8.8</x:v>
      </x:c>
      <x:c r="R276" s="10" t="str">
        <x:v>调料尽量低盐，不加白砂糖；油重已计入热量。</x:v>
      </x:c>
    </x:row>
    <x:row r="277" ht="37" customHeight="1">
      <x:c r="A277" t="n">
        <x:v>276</x:v>
      </x:c>
      <x:c r="B277" t="n">
        <x:v>138</x:v>
      </x:c>
      <x:c r="C277" t="n">
        <x:v>20</x:v>
      </x:c>
      <x:c r="D277" t="str">
        <x:v>晚餐</x:v>
      </x:c>
      <x:c r="E277" t="str">
        <x:v>豆蛋</x:v>
      </x:c>
      <x:c r="F277" s="10" t="str">
        <x:v>蚝香嫩豆腐熟毛豆仁烩小白菜冬瓜｜杂粮饭</x:v>
      </x:c>
      <x:c r="G277" s="10" t="str">
        <x:v>嫩豆腐260g、熟毛豆仁70g、小白菜160g、冬瓜140g、杂粮饭125g、烹调油5g</x:v>
      </x:c>
      <x:c r="H277" t="str">
        <x:v>杂粮饭</x:v>
      </x:c>
      <x:c r="I277" s="10" t="str">
        <x:v>低主食需求可将主食减1/3，另加100g非淀粉蔬菜（营养值需重算）</x:v>
      </x:c>
      <x:c r="J277" s="10" t="str">
        <x:v>低钠蚝油少量、姜蒜</x:v>
      </x:c>
      <x:c r="K277" t="str">
        <x:v>少油烩</x:v>
      </x:c>
      <x:c r="L277" s="10" t="str">
        <x:v>主食材和蔬菜少油少水烩熟，起锅前点少量蚝油；杂粮饭另煮熟或蒸好后同餐食用。</x:v>
      </x:c>
      <x:c r="M277" t="n">
        <x:v>30</x:v>
      </x:c>
      <x:c r="N277" t="n">
        <x:f>ROUND(SUM('食材明细'!H1652:H1657),0)</x:f>
        <x:v>461</x:v>
      </x:c>
      <x:c r="O277" t="n">
        <x:f>ROUND(SUM('食材明细'!J1652:J1657),1)</x:f>
        <x:v>28.4</x:v>
      </x:c>
      <x:c r="P277" t="n">
        <x:f>ROUND(SUM('食材明细'!L1652:L1657),1)</x:f>
        <x:v>49.6</x:v>
      </x:c>
      <x:c r="Q277" t="n">
        <x:f>ROUND(SUM('食材明细'!N1652:N1657),1)</x:f>
        <x:v>17.8</x:v>
      </x:c>
      <x:c r="R277" s="10" t="str">
        <x:v>调料尽量低盐，不加白砂糖；油重已计入热量。</x:v>
      </x:c>
    </x:row>
    <x:row r="278" ht="37" customHeight="1">
      <x:c r="A278" t="n">
        <x:v>277</x:v>
      </x:c>
      <x:c r="B278" t="n">
        <x:v>139</x:v>
      </x:c>
      <x:c r="C278" t="n">
        <x:v>20</x:v>
      </x:c>
      <x:c r="D278" t="str">
        <x:v>午餐</x:v>
      </x:c>
      <x:c r="E278" t="str">
        <x:v>牛肉</x:v>
      </x:c>
      <x:c r="F278" s="10" t="str">
        <x:v>豉汁瘦牛肉配西兰花绿豆芽｜荞麦饭</x:v>
      </x:c>
      <x:c r="G278" s="10" t="str">
        <x:v>瘦牛肉175g、西兰花160g、绿豆芽140g、荞麦饭125g、烹调油5g</x:v>
      </x:c>
      <x:c r="H278" t="str">
        <x:v>荞麦饭</x:v>
      </x:c>
      <x:c r="I278" s="10" t="str">
        <x:v>低主食需求可将主食减1/3，另加100g非淀粉蔬菜（营养值需重算）</x:v>
      </x:c>
      <x:c r="J278" s="10" t="str">
        <x:v>少量豆豉、姜末</x:v>
      </x:c>
      <x:c r="K278" t="str">
        <x:v>蒸</x:v>
      </x:c>
      <x:c r="L278" s="10" t="str">
        <x:v>豆豉冲洗剁碎，与姜末拌主食材后蒸熟；蔬菜另煮；荞麦饭另煮熟或蒸好后同餐食用。</x:v>
      </x:c>
      <x:c r="M278" t="n">
        <x:v>20</x:v>
      </x:c>
      <x:c r="N278" t="n">
        <x:f>ROUND(SUM('食材明细'!H1658:H1663),0)</x:f>
        <x:v>499</x:v>
      </x:c>
      <x:c r="O278" t="n">
        <x:f>ROUND(SUM('食材明细'!J1658:J1663),1)</x:f>
        <x:v>49.7</x:v>
      </x:c>
      <x:c r="P278" t="n">
        <x:f>ROUND(SUM('食材明细'!L1658:L1663),1)</x:f>
        <x:v>47.1</x:v>
      </x:c>
      <x:c r="Q278" t="n">
        <x:f>ROUND(SUM('食材明细'!N1658:N1663),1)</x:f>
        <x:v>14.3</x:v>
      </x:c>
      <x:c r="R278" s="10" t="str">
        <x:v>调料尽量低盐，不加白砂糖；油重已计入热量。</x:v>
      </x:c>
    </x:row>
    <x:row r="279" ht="37" customHeight="1">
      <x:c r="A279" t="n">
        <x:v>278</x:v>
      </x:c>
      <x:c r="B279" t="n">
        <x:v>139</x:v>
      </x:c>
      <x:c r="C279" t="n">
        <x:v>20</x:v>
      </x:c>
      <x:c r="D279" t="str">
        <x:v>晚餐</x:v>
      </x:c>
      <x:c r="E279" t="str">
        <x:v>豆蛋</x:v>
      </x:c>
      <x:c r="F279" s="10" t="str">
        <x:v>蚝香北豆腐虾仁烩番茄菜心｜藜麦饭</x:v>
      </x:c>
      <x:c r="G279" s="10" t="str">
        <x:v>北豆腐280g、虾仁65g、番茄190g、菜心155g、藜麦饭125g、烹调油3g</x:v>
      </x:c>
      <x:c r="H279" t="str">
        <x:v>藜麦饭</x:v>
      </x:c>
      <x:c r="I279" s="10" t="str">
        <x:v>低主食需求可将主食减1/3，另加100g非淀粉蔬菜（营养值需重算）</x:v>
      </x:c>
      <x:c r="J279" s="10" t="str">
        <x:v>低钠蚝油少量、姜蒜</x:v>
      </x:c>
      <x:c r="K279" t="str">
        <x:v>少油烩</x:v>
      </x:c>
      <x:c r="L279" s="10" t="str">
        <x:v>主食材和蔬菜少油少水烩熟，起锅前点少量蚝油；藜麦饭另煮熟或蒸好后同餐食用。</x:v>
      </x:c>
      <x:c r="M279" t="n">
        <x:v>25</x:v>
      </x:c>
      <x:c r="N279" t="n">
        <x:f>ROUND(SUM('食材明细'!H1664:H1669),0)</x:f>
        <x:v>557</x:v>
      </x:c>
      <x:c r="O279" t="n">
        <x:f>ROUND(SUM('食材明细'!J1664:J1669),1)</x:f>
        <x:v>50.7</x:v>
      </x:c>
      <x:c r="P279" t="n">
        <x:f>ROUND(SUM('食材明细'!L1664:L1669),1)</x:f>
        <x:v>45.5</x:v>
      </x:c>
      <x:c r="Q279" t="n">
        <x:f>ROUND(SUM('食材明细'!N1664:N1669),1)</x:f>
        <x:v>21</x:v>
      </x:c>
      <x:c r="R279" s="10" t="str">
        <x:v>调料尽量低盐，不加白砂糖；油重已计入热量。</x:v>
      </x:c>
    </x:row>
    <x:row r="280" ht="37" customHeight="1">
      <x:c r="A280" t="n">
        <x:v>279</x:v>
      </x:c>
      <x:c r="B280" t="n">
        <x:v>140</x:v>
      </x:c>
      <x:c r="C280" t="n">
        <x:v>20</x:v>
      </x:c>
      <x:c r="D280" t="str">
        <x:v>午餐</x:v>
      </x:c>
      <x:c r="E280" t="str">
        <x:v>禽肉</x:v>
      </x:c>
      <x:c r="F280" s="10" t="str">
        <x:v>奥尔良风味去皮鸡腿肉配彩椒口蘑｜糙米饭</x:v>
      </x:c>
      <x:c r="G280" s="10" t="str">
        <x:v>去皮鸡腿肉185g、彩椒160g、口蘑140g、糙米饭110g、烹调油6g</x:v>
      </x:c>
      <x:c r="H280" t="str">
        <x:v>糙米饭</x:v>
      </x:c>
      <x:c r="I280" s="10" t="str">
        <x:v>低主食需求可将主食减1/3，另加100g非淀粉蔬菜（营养值需重算）</x:v>
      </x:c>
      <x:c r="J280" s="10" t="str">
        <x:v>无糖辣椒粉、蒜粉、洋葱粉</x:v>
      </x:c>
      <x:c r="K280" t="str">
        <x:v>蒸/焖</x:v>
      </x:c>
      <x:c r="L280" s="10" t="str">
        <x:v>先去皮去骨并切薄，充分加热；用无糖香辛料腌肉15分钟，蒸或少油焖熟，配菜煮熟；糙米饭另煮熟或蒸好后同餐食用。</x:v>
      </x:c>
      <x:c r="M280" t="n">
        <x:v>15</x:v>
      </x:c>
      <x:c r="N280" t="n">
        <x:f>ROUND(SUM('食材明细'!H1670:H1675),0)</x:f>
        <x:v>482</x:v>
      </x:c>
      <x:c r="O280" t="n">
        <x:f>ROUND(SUM('食材明细'!J1670:J1675),1)</x:f>
        <x:v>45.8</x:v>
      </x:c>
      <x:c r="P280" t="n">
        <x:f>ROUND(SUM('食材明细'!L1670:L1675),1)</x:f>
        <x:v>40.2</x:v>
      </x:c>
      <x:c r="Q280" t="n">
        <x:f>ROUND(SUM('食材明细'!N1670:N1675),1)</x:f>
        <x:v>17</x:v>
      </x:c>
      <x:c r="R280" s="10" t="str">
        <x:v>调料尽量低盐，不加白砂糖；油重已计入热量。</x:v>
      </x:c>
    </x:row>
    <x:row r="281" ht="37" customHeight="1">
      <x:c r="A281" t="n">
        <x:v>280</x:v>
      </x:c>
      <x:c r="B281" t="n">
        <x:v>140</x:v>
      </x:c>
      <x:c r="C281" t="n">
        <x:v>20</x:v>
      </x:c>
      <x:c r="D281" t="str">
        <x:v>晚餐</x:v>
      </x:c>
      <x:c r="E281" t="str">
        <x:v>禽肉</x:v>
      </x:c>
      <x:c r="F281" s="10" t="str">
        <x:v>香醋鸡里脊肉配紫甘蓝芦笋｜糙米饭</x:v>
      </x:c>
      <x:c r="G281" s="10" t="str">
        <x:v>鸡里脊肉160g、紫甘蓝160g、芦笋125g、糙米饭95g、烹调油3g</x:v>
      </x:c>
      <x:c r="H281" t="str">
        <x:v>糙米饭</x:v>
      </x:c>
      <x:c r="I281" s="10" t="str">
        <x:v>低主食需求可将主食减1/3，另加100g非淀粉蔬菜（营养值需重算）</x:v>
      </x:c>
      <x:c r="J281" s="10" t="str">
        <x:v>香醋、蒜末、少量生抽</x:v>
      </x:c>
      <x:c r="K281" t="str">
        <x:v>水煮</x:v>
      </x:c>
      <x:c r="L281" s="10" t="str">
        <x:v>食材分别煮至熟，淋香醋蒜汁，拌匀即食；糙米饭另煮熟或蒸好后同餐食用。</x:v>
      </x:c>
      <x:c r="M281" t="n">
        <x:v>20</x:v>
      </x:c>
      <x:c r="N281" t="n">
        <x:f>ROUND(SUM('食材明细'!H1676:H1681),0)</x:f>
        <x:v>384</x:v>
      </x:c>
      <x:c r="O281" t="n">
        <x:f>ROUND(SUM('食材明细'!J1676:J1681),1)</x:f>
        <x:v>44.3</x:v>
      </x:c>
      <x:c r="P281" t="n">
        <x:f>ROUND(SUM('食材明细'!L1676:L1681),1)</x:f>
        <x:v>38.9</x:v>
      </x:c>
      <x:c r="Q281" t="n">
        <x:f>ROUND(SUM('食材明细'!N1676:N1681),1)</x:f>
        <x:v>7</x:v>
      </x:c>
      <x:c r="R281" s="10" t="str">
        <x:v>调料尽量低盐，不加白砂糖；油重已计入热量。</x:v>
      </x:c>
    </x:row>
    <x:row r="282" ht="37" customHeight="1">
      <x:c r="A282" t="n">
        <x:v>281</x:v>
      </x:c>
      <x:c r="B282" t="n">
        <x:v>141</x:v>
      </x:c>
      <x:c r="C282" t="n">
        <x:v>21</x:v>
      </x:c>
      <x:c r="D282" t="str">
        <x:v>午餐</x:v>
      </x:c>
      <x:c r="E282" t="str">
        <x:v>牛肉</x:v>
      </x:c>
      <x:c r="F282" s="10" t="str">
        <x:v>酸汤瘦牛肉配西兰花口蘑｜土豆</x:v>
      </x:c>
      <x:c r="G282" s="10" t="str">
        <x:v>瘦牛肉165g、西兰花140g、口蘑155g、土豆150g、烹调油3g</x:v>
      </x:c>
      <x:c r="H282" t="str">
        <x:v>土豆</x:v>
      </x:c>
      <x:c r="I282" s="10" t="str">
        <x:v>想减主食可减到原量2/3，另加100g绿叶菜</x:v>
      </x:c>
      <x:c r="J282" s="10" t="str">
        <x:v>米醋、番茄、少许辣椒</x:v>
      </x:c>
      <x:c r="K282" t="str">
        <x:v>水煮</x:v>
      </x:c>
      <x:c r="L282" s="10" t="str">
        <x:v>番茄煮成酸汤，主食材汆熟，加入蔬菜再煮2～5分钟；土豆另煮熟或蒸好后同餐食用。</x:v>
      </x:c>
      <x:c r="M282" t="n">
        <x:v>20</x:v>
      </x:c>
      <x:c r="N282" t="n">
        <x:f>ROUND(SUM('食材明细'!H1682:H1687),0)</x:f>
        <x:v>432</x:v>
      </x:c>
      <x:c r="O282" t="n">
        <x:f>ROUND(SUM('食材明细'!J1682:J1687),1)</x:f>
        <x:v>46.4</x:v>
      </x:c>
      <x:c r="P282" t="n">
        <x:f>ROUND(SUM('食材明细'!L1682:L1687),1)</x:f>
        <x:v>40.7</x:v>
      </x:c>
      <x:c r="Q282" t="n">
        <x:f>ROUND(SUM('食材明细'!N1682:N1687),1)</x:f>
        <x:v>10.8</x:v>
      </x:c>
      <x:c r="R282" s="10" t="str">
        <x:v>调料尽量低盐，不加白砂糖；油重已计入热量。</x:v>
      </x:c>
    </x:row>
    <x:row r="283" ht="37" customHeight="1">
      <x:c r="A283" t="n">
        <x:v>282</x:v>
      </x:c>
      <x:c r="B283" t="n">
        <x:v>141</x:v>
      </x:c>
      <x:c r="C283" t="n">
        <x:v>21</x:v>
      </x:c>
      <x:c r="D283" t="str">
        <x:v>晚餐</x:v>
      </x:c>
      <x:c r="E283" t="str">
        <x:v>禽肉</x:v>
      </x:c>
      <x:c r="F283" s="10" t="str">
        <x:v>蒜香鸡胸肉配芦笋莴笋｜玉米</x:v>
      </x:c>
      <x:c r="G283" s="10" t="str">
        <x:v>鸡胸肉180g、芦笋175g、莴笋110g、玉米110g、烹调油6g</x:v>
      </x:c>
      <x:c r="H283" t="str">
        <x:v>玉米</x:v>
      </x:c>
      <x:c r="I283" s="10" t="str">
        <x:v>想减主食可减到原量2/3，另加100g绿叶菜</x:v>
      </x:c>
      <x:c r="J283" s="10" t="str">
        <x:v>蒜末、白胡椒</x:v>
      </x:c>
      <x:c r="K283" t="str">
        <x:v>蒸</x:v>
      </x:c>
      <x:c r="L283" s="10" t="str">
        <x:v>食材切块，撒蒜末；上锅蒸熟，蔬菜另焯后拌匀；玉米另煮熟或蒸好后同餐食用。</x:v>
      </x:c>
      <x:c r="M283" t="n">
        <x:v>15</x:v>
      </x:c>
      <x:c r="N283" t="n">
        <x:f>ROUND(SUM('食材明细'!H1688:H1693),0)</x:f>
        <x:v>419</x:v>
      </x:c>
      <x:c r="O283" t="n">
        <x:f>ROUND(SUM('食材明细'!J1688:J1693),1)</x:f>
        <x:v>50.1</x:v>
      </x:c>
      <x:c r="P283" t="n">
        <x:f>ROUND(SUM('食材明细'!L1688:L1693),1)</x:f>
        <x:v>34.1</x:v>
      </x:c>
      <x:c r="Q283" t="n">
        <x:f>ROUND(SUM('食材明细'!N1688:N1693),1)</x:f>
        <x:v>11.5</x:v>
      </x:c>
      <x:c r="R283" s="10" t="str">
        <x:v>调料尽量低盐，不加白砂糖；油重已计入热量。</x:v>
      </x:c>
    </x:row>
    <x:row r="284" ht="37" customHeight="1">
      <x:c r="A284" t="n">
        <x:v>283</x:v>
      </x:c>
      <x:c r="B284" t="n">
        <x:v>142</x:v>
      </x:c>
      <x:c r="C284" t="n">
        <x:v>21</x:v>
      </x:c>
      <x:c r="D284" t="str">
        <x:v>午餐</x:v>
      </x:c>
      <x:c r="E284" t="str">
        <x:v>禽肉</x:v>
      </x:c>
      <x:c r="F284" s="10" t="str">
        <x:v>奥尔良风味鸡胸肉配芦笋香菇｜荞麦面</x:v>
      </x:c>
      <x:c r="G284" s="10" t="str">
        <x:v>鸡胸肉175g、北豆腐110g、芦笋140g、香菇155g、荞麦面110g、烹调油3g</x:v>
      </x:c>
      <x:c r="H284" t="str">
        <x:v>荞麦面</x:v>
      </x:c>
      <x:c r="I284" s="10" t="str">
        <x:v>低主食需求可将主食减1/3，另加100g非淀粉蔬菜（营养值需重算）</x:v>
      </x:c>
      <x:c r="J284" s="10" t="str">
        <x:v>无糖辣椒粉、蒜粉、洋葱粉</x:v>
      </x:c>
      <x:c r="K284" t="str">
        <x:v>蒸/焖</x:v>
      </x:c>
      <x:c r="L284" s="10" t="str">
        <x:v>鸡胸肉拍薄成鸡排；用无糖香辛料腌肉15分钟，蒸或少油焖熟，配菜煮熟；面/魔芋丝煮熟后与菜合碗。</x:v>
      </x:c>
      <x:c r="M284" t="n">
        <x:v>30</x:v>
      </x:c>
      <x:c r="N284" t="n">
        <x:f>ROUND(SUM('食材明细'!H1694:H1699),0)</x:f>
        <x:v>515</x:v>
      </x:c>
      <x:c r="O284" t="n">
        <x:f>ROUND(SUM('食材明细'!J1694:J1699),1)</x:f>
        <x:v>62.1</x:v>
      </x:c>
      <x:c r="P284" t="n">
        <x:f>ROUND(SUM('食材明细'!L1694:L1699),1)</x:f>
        <x:v>41.3</x:v>
      </x:c>
      <x:c r="Q284" t="n">
        <x:f>ROUND(SUM('食材明细'!N1694:N1699),1)</x:f>
        <x:v>13.7</x:v>
      </x:c>
      <x:c r="R284" s="10" t="str">
        <x:v>调料尽量低盐，不加白砂糖；油重已计入热量。</x:v>
      </x:c>
    </x:row>
    <x:row r="285" ht="37" customHeight="1">
      <x:c r="A285" t="n">
        <x:v>284</x:v>
      </x:c>
      <x:c r="B285" t="n">
        <x:v>142</x:v>
      </x:c>
      <x:c r="C285" t="n">
        <x:v>21</x:v>
      </x:c>
      <x:c r="D285" t="str">
        <x:v>晚餐</x:v>
      </x:c>
      <x:c r="E285" t="str">
        <x:v>牛肉</x:v>
      </x:c>
      <x:c r="F285" s="10" t="str">
        <x:v>番茄牛腱子配花菜｜糙米饭</x:v>
      </x:c>
      <x:c r="G285" s="10" t="str">
        <x:v>牛腱子145g、番茄190g、花菜155g、糙米饭95g、烹调油5g</x:v>
      </x:c>
      <x:c r="H285" t="str">
        <x:v>糙米饭</x:v>
      </x:c>
      <x:c r="I285" s="10" t="str">
        <x:v>低主食需求可将主食减1/3，另加100g非淀粉蔬菜（营养值需重算）</x:v>
      </x:c>
      <x:c r="J285" s="10" t="str">
        <x:v>番茄丁、黑胡椒</x:v>
      </x:c>
      <x:c r="K285" t="str">
        <x:v>炖煮</x:v>
      </x:c>
      <x:c r="L285" s="10" t="str">
        <x:v>番茄出汁后加入主食材和少量水，轻炖至熟，再放配菜；糙米饭另煮熟或蒸好后同餐食用。</x:v>
      </x:c>
      <x:c r="M285" t="n">
        <x:v>25</x:v>
      </x:c>
      <x:c r="N285" t="n">
        <x:f>ROUND(SUM('食材明细'!H1700:H1705),0)</x:f>
        <x:v>431</x:v>
      </x:c>
      <x:c r="O285" t="n">
        <x:f>ROUND(SUM('食材明细'!J1700:J1705),1)</x:f>
        <x:v>37.7</x:v>
      </x:c>
      <x:c r="P285" t="n">
        <x:f>ROUND(SUM('食材明细'!L1700:L1705),1)</x:f>
        <x:v>37.7</x:v>
      </x:c>
      <x:c r="Q285" t="n">
        <x:f>ROUND(SUM('食材明细'!N1700:N1705),1)</x:f>
        <x:v>15.4</x:v>
      </x:c>
      <x:c r="R285" s="10" t="str">
        <x:v>调料尽量低盐，不加白砂糖；油重已计入热量。</x:v>
      </x:c>
    </x:row>
    <x:row r="286" ht="37" customHeight="1">
      <x:c r="A286" t="n">
        <x:v>285</x:v>
      </x:c>
      <x:c r="B286" t="n">
        <x:v>143</x:v>
      </x:c>
      <x:c r="C286" t="n">
        <x:v>21</x:v>
      </x:c>
      <x:c r="D286" t="str">
        <x:v>午餐</x:v>
      </x:c>
      <x:c r="E286" t="str">
        <x:v>禽肉</x:v>
      </x:c>
      <x:c r="F286" s="10" t="str">
        <x:v>豉汁去皮鸡腿肉配丝瓜西兰花｜玉米</x:v>
      </x:c>
      <x:c r="G286" s="10" t="str">
        <x:v>去皮鸡腿肉165g、丝瓜175g、西兰花125g、玉米150g、烹调油5g</x:v>
      </x:c>
      <x:c r="H286" t="str">
        <x:v>玉米</x:v>
      </x:c>
      <x:c r="I286" s="10" t="str">
        <x:v>想减主食可减到原量2/3，另加100g绿叶菜</x:v>
      </x:c>
      <x:c r="J286" s="10" t="str">
        <x:v>少量豆豉、姜末</x:v>
      </x:c>
      <x:c r="K286" t="str">
        <x:v>蒸</x:v>
      </x:c>
      <x:c r="L286" s="10" t="str">
        <x:v>先去皮去骨并切薄，充分加热；豆豉冲洗剁碎，与姜末拌主食材后蒸熟；蔬菜另煮；玉米另煮熟或蒸好后同餐食用。</x:v>
      </x:c>
      <x:c r="M286" t="n">
        <x:v>20</x:v>
      </x:c>
      <x:c r="N286" t="n">
        <x:f>ROUND(SUM('食材明细'!H1706:H1711),0)</x:f>
        <x:v>486</x:v>
      </x:c>
      <x:c r="O286" t="n">
        <x:f>ROUND(SUM('食材明细'!J1706:J1711),1)</x:f>
        <x:v>43.4</x:v>
      </x:c>
      <x:c r="P286" t="n">
        <x:f>ROUND(SUM('食材明细'!L1706:L1711),1)</x:f>
        <x:v>48.8</x:v>
      </x:c>
      <x:c r="Q286" t="n">
        <x:f>ROUND(SUM('食材明细'!N1706:N1711),1)</x:f>
        <x:v>16.4</x:v>
      </x:c>
      <x:c r="R286" s="10" t="str">
        <x:v>调料尽量低盐，不加白砂糖；油重已计入热量。</x:v>
      </x:c>
    </x:row>
    <x:row r="287" ht="37" customHeight="1">
      <x:c r="A287" t="n">
        <x:v>286</x:v>
      </x:c>
      <x:c r="B287" t="n">
        <x:v>143</x:v>
      </x:c>
      <x:c r="C287" t="n">
        <x:v>21</x:v>
      </x:c>
      <x:c r="D287" t="str">
        <x:v>晚餐</x:v>
      </x:c>
      <x:c r="E287" t="str">
        <x:v>禽肉</x:v>
      </x:c>
      <x:c r="F287" s="10" t="str">
        <x:v>番茄鸡胸肉配泡发木耳｜杂粮饭</x:v>
      </x:c>
      <x:c r="G287" s="10" t="str">
        <x:v>鸡胸肉170g、番茄140g、泡发木耳140g、杂粮饭135g、烹调油3g</x:v>
      </x:c>
      <x:c r="H287" t="str">
        <x:v>杂粮饭</x:v>
      </x:c>
      <x:c r="I287" s="10" t="str">
        <x:v>低主食需求可将主食减1/3，另加100g非淀粉蔬菜（营养值需重算）</x:v>
      </x:c>
      <x:c r="J287" s="10" t="str">
        <x:v>番茄丁、黑胡椒</x:v>
      </x:c>
      <x:c r="K287" t="str">
        <x:v>炖煮</x:v>
      </x:c>
      <x:c r="L287" s="10" t="str">
        <x:v>番茄出汁后加入主食材和少量水，轻炖至熟，再放配菜；杂粮饭另煮熟或蒸好后同餐食用。</x:v>
      </x:c>
      <x:c r="M287" t="n">
        <x:v>20</x:v>
      </x:c>
      <x:c r="N287" t="n">
        <x:f>ROUND(SUM('食材明细'!H1712:H1717),0)</x:f>
        <x:v>432</x:v>
      </x:c>
      <x:c r="O287" t="n">
        <x:f>ROUND(SUM('食材明细'!J1712:J1717),1)</x:f>
        <x:v>46.6</x:v>
      </x:c>
      <x:c r="P287" t="n">
        <x:f>ROUND(SUM('食材明细'!L1712:L1717),1)</x:f>
        <x:v>45.7</x:v>
      </x:c>
      <x:c r="Q287" t="n">
        <x:f>ROUND(SUM('食材明细'!N1712:N1717),1)</x:f>
        <x:v>8.3</x:v>
      </x:c>
      <x:c r="R287" s="10" t="str">
        <x:v>调料尽量低盐，不加白砂糖；油重已计入热量。</x:v>
      </x:c>
    </x:row>
    <x:row r="288" ht="37" customHeight="1">
      <x:c r="A288" t="n">
        <x:v>287</x:v>
      </x:c>
      <x:c r="B288" t="n">
        <x:v>144</x:v>
      </x:c>
      <x:c r="C288" t="n">
        <x:v>21</x:v>
      </x:c>
      <x:c r="D288" t="str">
        <x:v>午餐</x:v>
      </x:c>
      <x:c r="E288" t="str">
        <x:v>禽肉</x:v>
      </x:c>
      <x:c r="F288" s="10" t="str">
        <x:v>蒜香去皮鸡腿肉配番茄小白菜｜红薯</x:v>
      </x:c>
      <x:c r="G288" s="10" t="str">
        <x:v>去皮鸡腿肉185g、番茄190g、小白菜110g、红薯150g、烹调油3g</x:v>
      </x:c>
      <x:c r="H288" t="str">
        <x:v>红薯</x:v>
      </x:c>
      <x:c r="I288" s="10" t="str">
        <x:v>想减主食可减到原量2/3，另加100g绿叶菜</x:v>
      </x:c>
      <x:c r="J288" s="10" t="str">
        <x:v>蒜末、白胡椒</x:v>
      </x:c>
      <x:c r="K288" t="str">
        <x:v>蒸</x:v>
      </x:c>
      <x:c r="L288" s="10" t="str">
        <x:v>先去皮去骨并切薄，充分加热；食材切块，撒蒜末；上锅蒸熟，蔬菜另焯后拌匀；红薯另煮熟或蒸好后同餐食用。</x:v>
      </x:c>
      <x:c r="M288" t="n">
        <x:v>20</x:v>
      </x:c>
      <x:c r="N288" t="n">
        <x:f>ROUND(SUM('食材明细'!H1718:H1723),0)</x:f>
        <x:v>447</x:v>
      </x:c>
      <x:c r="O288" t="n">
        <x:f>ROUND(SUM('食材明细'!J1718:J1723),1)</x:f>
        <x:v>42.9</x:v>
      </x:c>
      <x:c r="P288" t="n">
        <x:f>ROUND(SUM('食材明细'!L1718:L1723),1)</x:f>
        <x:v>41.4</x:v>
      </x:c>
      <x:c r="Q288" t="n">
        <x:f>ROUND(SUM('食材明细'!N1718:N1723),1)</x:f>
        <x:v>13</x:v>
      </x:c>
      <x:c r="R288" s="10" t="str">
        <x:v>调料尽量低盐，不加白砂糖；油重已计入热量。</x:v>
      </x:c>
    </x:row>
    <x:row r="289" ht="37" customHeight="1">
      <x:c r="A289" t="n">
        <x:v>288</x:v>
      </x:c>
      <x:c r="B289" t="n">
        <x:v>144</x:v>
      </x:c>
      <x:c r="C289" t="n">
        <x:v>21</x:v>
      </x:c>
      <x:c r="D289" t="str">
        <x:v>晚餐</x:v>
      </x:c>
      <x:c r="E289" t="str">
        <x:v>鱼类</x:v>
      </x:c>
      <x:c r="F289" s="10" t="str">
        <x:v>剁椒三文鱼配冬瓜荷兰豆｜山药</x:v>
      </x:c>
      <x:c r="G289" s="10" t="str">
        <x:v>三文鱼120g、冬瓜190g、荷兰豆125g、山药80g、烹调油2g</x:v>
      </x:c>
      <x:c r="H289" t="str">
        <x:v>山药</x:v>
      </x:c>
      <x:c r="I289" s="10" t="str">
        <x:v>想减主食可减到原量2/3，另加100g绿叶菜</x:v>
      </x:c>
      <x:c r="J289" s="10" t="str">
        <x:v>自制低盐剁椒、蒜</x:v>
      </x:c>
      <x:c r="K289" t="str">
        <x:v>蒸</x:v>
      </x:c>
      <x:c r="L289" s="10" t="str">
        <x:v>鱼肉去刺，彻底做熟；主食材铺少量低盐剁椒蒸熟，配菜焯熟后摆盘；山药另煮熟或蒸好后同餐食用。</x:v>
      </x:c>
      <x:c r="M289" t="n">
        <x:v>15</x:v>
      </x:c>
      <x:c r="N289" t="n">
        <x:f>ROUND(SUM('食材明细'!H1724:H1729),0)</x:f>
        <x:v>391</x:v>
      </x:c>
      <x:c r="O289" t="n">
        <x:f>ROUND(SUM('食材明细'!J1724:J1729),1)</x:f>
        <x:v>29.5</x:v>
      </x:c>
      <x:c r="P289" t="n">
        <x:f>ROUND(SUM('食材明细'!L1724:L1729),1)</x:f>
        <x:v>26.4</x:v>
      </x:c>
      <x:c r="Q289" t="n">
        <x:f>ROUND(SUM('食材明细'!N1724:N1729),1)</x:f>
        <x:v>18.4</x:v>
      </x:c>
      <x:c r="R289" s="10" t="str">
        <x:v>调料尽量低盐，不加白砂糖；油重已计入热量。</x:v>
      </x:c>
    </x:row>
    <x:row r="290" ht="37" customHeight="1">
      <x:c r="A290" t="n">
        <x:v>289</x:v>
      </x:c>
      <x:c r="B290" t="n">
        <x:v>145</x:v>
      </x:c>
      <x:c r="C290" t="n">
        <x:v>21</x:v>
      </x:c>
      <x:c r="D290" t="str">
        <x:v>午餐</x:v>
      </x:c>
      <x:c r="E290" t="str">
        <x:v>海鲜</x:v>
      </x:c>
      <x:c r="F290" s="10" t="str">
        <x:v>菌菇虾仁配彩椒香菇｜紫薯</x:v>
      </x:c>
      <x:c r="G290" s="10" t="str">
        <x:v>虾仁175g、彩椒190g、香菇155g、紫薯135g、烹调油3g</x:v>
      </x:c>
      <x:c r="H290" t="str">
        <x:v>紫薯</x:v>
      </x:c>
      <x:c r="I290" s="10" t="str">
        <x:v>想减主食可减到原量2/3，另加100g绿叶菜</x:v>
      </x:c>
      <x:c r="J290" s="10" t="str">
        <x:v>姜片、香菇汁</x:v>
      </x:c>
      <x:c r="K290" t="str">
        <x:v>焖煮</x:v>
      </x:c>
      <x:c r="L290" s="10" t="str">
        <x:v>食材与菌菇加少量水焖熟，出锅前加少量低盐生抽；紫薯另煮熟或蒸好后同餐食用。</x:v>
      </x:c>
      <x:c r="M290" t="n">
        <x:v>20</x:v>
      </x:c>
      <x:c r="N290" t="n">
        <x:f>ROUND(SUM('食材明细'!H1730:H1735),0)</x:f>
        <x:v>417</x:v>
      </x:c>
      <x:c r="O290" t="n">
        <x:f>ROUND(SUM('食材明细'!J1730:J1735),1)</x:f>
        <x:v>40.7</x:v>
      </x:c>
      <x:c r="P290" t="n">
        <x:f>ROUND(SUM('食材明细'!L1730:L1735),1)</x:f>
        <x:v>52.5</x:v>
      </x:c>
      <x:c r="Q290" t="n">
        <x:f>ROUND(SUM('食材明细'!N1730:N1735),1)</x:f>
        <x:v>6.2</x:v>
      </x:c>
      <x:c r="R290" s="10" t="str">
        <x:v>调料尽量低盐，不加白砂糖；油重已计入热量。</x:v>
      </x:c>
    </x:row>
    <x:row r="291" ht="37" customHeight="1">
      <x:c r="A291" t="n">
        <x:v>290</x:v>
      </x:c>
      <x:c r="B291" t="n">
        <x:v>145</x:v>
      </x:c>
      <x:c r="C291" t="n">
        <x:v>21</x:v>
      </x:c>
      <x:c r="D291" t="str">
        <x:v>晚餐</x:v>
      </x:c>
      <x:c r="E291" t="str">
        <x:v>鱼类</x:v>
      </x:c>
      <x:c r="F291" s="10" t="str">
        <x:v>剁椒巴沙鱼配菠菜口蘑｜山药</x:v>
      </x:c>
      <x:c r="G291" s="10" t="str">
        <x:v>巴沙鱼200g、菠菜140g、口蘑125g、山药135g、烹调油6g</x:v>
      </x:c>
      <x:c r="H291" t="str">
        <x:v>山药</x:v>
      </x:c>
      <x:c r="I291" s="10" t="str">
        <x:v>想减主食可减到原量2/3，另加100g绿叶菜</x:v>
      </x:c>
      <x:c r="J291" s="10" t="str">
        <x:v>自制低盐剁椒、蒜</x:v>
      </x:c>
      <x:c r="K291" t="str">
        <x:v>蒸</x:v>
      </x:c>
      <x:c r="L291" s="10" t="str">
        <x:v>鱼肉去刺，彻底做熟；主食材铺少量低盐剁椒蒸熟，配菜焯熟后摆盘；山药另煮熟或蒸好后同餐食用。</x:v>
      </x:c>
      <x:c r="M291" t="n">
        <x:v>30</x:v>
      </x:c>
      <x:c r="N291" t="n">
        <x:f>ROUND(SUM('食材明细'!H1736:H1741),0)</x:f>
        <x:v>377</x:v>
      </x:c>
      <x:c r="O291" t="n">
        <x:f>ROUND(SUM('食材明细'!J1736:J1741),1)</x:f>
        <x:v>44</x:v>
      </x:c>
      <x:c r="P291" t="n">
        <x:f>ROUND(SUM('食材明细'!L1736:L1741),1)</x:f>
        <x:v>28.2</x:v>
      </x:c>
      <x:c r="Q291" t="n">
        <x:f>ROUND(SUM('食材明细'!N1736:N1741),1)</x:f>
        <x:v>11.7</x:v>
      </x:c>
      <x:c r="R291" s="10" t="str">
        <x:v>调料尽量低盐，不加白砂糖；油重已计入热量。</x:v>
      </x:c>
    </x:row>
    <x:row r="292" ht="37" customHeight="1">
      <x:c r="A292" t="n">
        <x:v>291</x:v>
      </x:c>
      <x:c r="B292" t="n">
        <x:v>146</x:v>
      </x:c>
      <x:c r="C292" t="n">
        <x:v>21</x:v>
      </x:c>
      <x:c r="D292" t="str">
        <x:v>午餐</x:v>
      </x:c>
      <x:c r="E292" t="str">
        <x:v>猪肉</x:v>
      </x:c>
      <x:c r="F292" s="10" t="str">
        <x:v>菌菇猪瘦肉配莴笋香菇｜杂粮饭</x:v>
      </x:c>
      <x:c r="G292" s="10" t="str">
        <x:v>猪瘦肉185g、莴笋190g、香菇110g、杂粮饭125g、烹调油5g</x:v>
      </x:c>
      <x:c r="H292" t="str">
        <x:v>杂粮饭</x:v>
      </x:c>
      <x:c r="I292" s="10" t="str">
        <x:v>低主食需求可将主食减1/3，另加100g非淀粉蔬菜（营养值需重算）</x:v>
      </x:c>
      <x:c r="J292" s="10" t="str">
        <x:v>姜片、香菇汁</x:v>
      </x:c>
      <x:c r="K292" t="str">
        <x:v>焖煮</x:v>
      </x:c>
      <x:c r="L292" s="10" t="str">
        <x:v>食材与菌菇加少量水焖熟，出锅前加少量低盐生抽；杂粮饭另煮熟或蒸好后同餐食用。</x:v>
      </x:c>
      <x:c r="M292" t="n">
        <x:v>20</x:v>
      </x:c>
      <x:c r="N292" t="n">
        <x:f>ROUND(SUM('食材明细'!H1742:H1747),0)</x:f>
        <x:v>495</x:v>
      </x:c>
      <x:c r="O292" t="n">
        <x:f>ROUND(SUM('食材明细'!J1742:J1747),1)</x:f>
        <x:v>45.2</x:v>
      </x:c>
      <x:c r="P292" t="n">
        <x:f>ROUND(SUM('食材明细'!L1742:L1747),1)</x:f>
        <x:v>42.2</x:v>
      </x:c>
      <x:c r="Q292" t="n">
        <x:f>ROUND(SUM('食材明细'!N1742:N1747),1)</x:f>
        <x:v>17.3</x:v>
      </x:c>
      <x:c r="R292" s="10" t="str">
        <x:v>调料尽量低盐，不加白砂糖；油重已计入热量。</x:v>
      </x:c>
    </x:row>
    <x:row r="293" ht="37" customHeight="1">
      <x:c r="A293" t="n">
        <x:v>292</x:v>
      </x:c>
      <x:c r="B293" t="n">
        <x:v>146</x:v>
      </x:c>
      <x:c r="C293" t="n">
        <x:v>21</x:v>
      </x:c>
      <x:c r="D293" t="str">
        <x:v>晚餐</x:v>
      </x:c>
      <x:c r="E293" t="str">
        <x:v>豆蛋</x:v>
      </x:c>
      <x:c r="F293" s="10" t="str">
        <x:v>椒麻嫩豆腐鸡蛋烩苦瓜小白菜｜荞麦饭</x:v>
      </x:c>
      <x:c r="G293" s="10" t="str">
        <x:v>嫩豆腐240g、鸡蛋60g、苦瓜190g、小白菜110g、荞麦饭95g、烹调油5g</x:v>
      </x:c>
      <x:c r="H293" t="str">
        <x:v>荞麦饭</x:v>
      </x:c>
      <x:c r="I293" s="10" t="str">
        <x:v>低主食需求可将主食减1/3，另加100g非淀粉蔬菜（营养值需重算）</x:v>
      </x:c>
      <x:c r="J293" s="10" t="str">
        <x:v>花椒、蒜、少量醋</x:v>
      </x:c>
      <x:c r="K293" t="str">
        <x:v>水煮</x:v>
      </x:c>
      <x:c r="L293" s="10" t="str">
        <x:v>花椒温水浸出味道，煮熟主食材和配菜，少油拌汁；荞麦饭另煮熟或蒸好后同餐食用。</x:v>
      </x:c>
      <x:c r="M293" t="n">
        <x:v>25</x:v>
      </x:c>
      <x:c r="N293" t="n">
        <x:f>ROUND(SUM('食材明细'!H1748:H1753),0)</x:f>
        <x:v>423</x:v>
      </x:c>
      <x:c r="O293" t="n">
        <x:f>ROUND(SUM('食材明细'!J1748:J1753),1)</x:f>
        <x:v>26.7</x:v>
      </x:c>
      <x:c r="P293" t="n">
        <x:f>ROUND(SUM('食材明细'!L1748:L1753),1)</x:f>
        <x:v>37.2</x:v>
      </x:c>
      <x:c r="Q293" t="n">
        <x:f>ROUND(SUM('食材明细'!N1748:N1753),1)</x:f>
        <x:v>19.4</x:v>
      </x:c>
      <x:c r="R293" s="10" t="str">
        <x:v>调料尽量低盐，不加白砂糖；油重已计入热量。</x:v>
      </x:c>
    </x:row>
    <x:row r="294" ht="37" customHeight="1">
      <x:c r="A294" t="n">
        <x:v>293</x:v>
      </x:c>
      <x:c r="B294" t="n">
        <x:v>147</x:v>
      </x:c>
      <x:c r="C294" t="n">
        <x:v>21</x:v>
      </x:c>
      <x:c r="D294" t="str">
        <x:v>午餐</x:v>
      </x:c>
      <x:c r="E294" t="str">
        <x:v>禽肉</x:v>
      </x:c>
      <x:c r="F294" s="10" t="str">
        <x:v>奥尔良风味鸡胸肉配芦笋洋葱｜糙米饭</x:v>
      </x:c>
      <x:c r="G294" s="10" t="str">
        <x:v>鸡胸肉155g、芦笋190g、洋葱155g、糙米饭125g、烹调油5g</x:v>
      </x:c>
      <x:c r="H294" t="str">
        <x:v>糙米饭</x:v>
      </x:c>
      <x:c r="I294" s="10" t="str">
        <x:v>低主食需求可将主食减1/3，另加100g非淀粉蔬菜（营养值需重算）</x:v>
      </x:c>
      <x:c r="J294" s="10" t="str">
        <x:v>无糖辣椒粉、蒜粉、洋葱粉</x:v>
      </x:c>
      <x:c r="K294" t="str">
        <x:v>蒸/焖</x:v>
      </x:c>
      <x:c r="L294" s="10" t="str">
        <x:v>鸡胸肉拍薄成鸡排；用无糖香辛料腌肉15分钟，蒸或少油焖熟，配菜煮熟；糙米饭另煮熟或蒸好后同餐食用。</x:v>
      </x:c>
      <x:c r="M294" t="n">
        <x:v>25</x:v>
      </x:c>
      <x:c r="N294" t="n">
        <x:f>ROUND(SUM('食材明细'!H1754:H1759),0)</x:f>
        <x:v>456</x:v>
      </x:c>
      <x:c r="O294" t="n">
        <x:f>ROUND(SUM('食材明细'!J1754:J1759),1)</x:f>
        <x:v>44.8</x:v>
      </x:c>
      <x:c r="P294" t="n">
        <x:f>ROUND(SUM('食材明细'!L1754:L1759),1)</x:f>
        <x:v>51.2</x:v>
      </x:c>
      <x:c r="Q294" t="n">
        <x:f>ROUND(SUM('食材明细'!N1754:N1759),1)</x:f>
        <x:v>9.6</x:v>
      </x:c>
      <x:c r="R294" s="10" t="str">
        <x:v>调料尽量低盐，不加白砂糖；油重已计入热量。</x:v>
      </x:c>
    </x:row>
    <x:row r="295" ht="37" customHeight="1">
      <x:c r="A295" t="n">
        <x:v>294</x:v>
      </x:c>
      <x:c r="B295" t="n">
        <x:v>147</x:v>
      </x:c>
      <x:c r="C295" t="n">
        <x:v>21</x:v>
      </x:c>
      <x:c r="D295" t="str">
        <x:v>晚餐</x:v>
      </x:c>
      <x:c r="E295" t="str">
        <x:v>牛肉</x:v>
      </x:c>
      <x:c r="F295" s="10" t="str">
        <x:v>香醋瘦牛肉配花菜芦笋｜糙米饭</x:v>
      </x:c>
      <x:c r="G295" s="10" t="str">
        <x:v>瘦牛肉145g、花菜190g、芦笋155g、糙米饭135g、烹调油5g</x:v>
      </x:c>
      <x:c r="H295" t="str">
        <x:v>糙米饭</x:v>
      </x:c>
      <x:c r="I295" s="10" t="str">
        <x:v>低主食需求可将主食减1/3，另加100g非淀粉蔬菜（营养值需重算）</x:v>
      </x:c>
      <x:c r="J295" s="10" t="str">
        <x:v>香醋、蒜末、少量生抽</x:v>
      </x:c>
      <x:c r="K295" t="str">
        <x:v>水煮</x:v>
      </x:c>
      <x:c r="L295" s="10" t="str">
        <x:v>食材分别煮至熟，淋香醋蒜汁，拌匀即食；糙米饭另煮熟或蒸好后同餐食用。</x:v>
      </x:c>
      <x:c r="M295" t="n">
        <x:v>15</x:v>
      </x:c>
      <x:c r="N295" t="n">
        <x:f>ROUND(SUM('食材明细'!H1760:H1765),0)</x:f>
        <x:v>456</x:v>
      </x:c>
      <x:c r="O295" t="n">
        <x:f>ROUND(SUM('食材明细'!J1760:J1765),1)</x:f>
        <x:v>41.2</x:v>
      </x:c>
      <x:c r="P295" t="n">
        <x:f>ROUND(SUM('食材明细'!L1760:L1765),1)</x:f>
        <x:v>47.3</x:v>
      </x:c>
      <x:c r="Q295" t="n">
        <x:f>ROUND(SUM('食材明细'!N1760:N1765),1)</x:f>
        <x:v>12.8</x:v>
      </x:c>
      <x:c r="R295" s="10" t="str">
        <x:v>调料尽量低盐，不加白砂糖；油重已计入热量。</x:v>
      </x:c>
    </x:row>
    <x:row r="296" ht="37" customHeight="1">
      <x:c r="A296" t="n">
        <x:v>295</x:v>
      </x:c>
      <x:c r="B296" t="n">
        <x:v>148</x:v>
      </x:c>
      <x:c r="C296" t="n">
        <x:v>22</x:v>
      </x:c>
      <x:c r="D296" t="str">
        <x:v>午餐</x:v>
      </x:c>
      <x:c r="E296" t="str">
        <x:v>猪肉</x:v>
      </x:c>
      <x:c r="F296" s="10" t="str">
        <x:v>蒜香猪里脊配菠菜彩椒｜藜麦饭</x:v>
      </x:c>
      <x:c r="G296" s="10" t="str">
        <x:v>猪里脊185g、菠菜140g、彩椒125g、藜麦饭165g、烹调油5g</x:v>
      </x:c>
      <x:c r="H296" t="str">
        <x:v>藜麦饭</x:v>
      </x:c>
      <x:c r="I296" s="10" t="str">
        <x:v>低主食需求可将主食减1/3，另加100g非淀粉蔬菜（营养值需重算）</x:v>
      </x:c>
      <x:c r="J296" s="10" t="str">
        <x:v>蒜末、白胡椒</x:v>
      </x:c>
      <x:c r="K296" t="str">
        <x:v>蒸</x:v>
      </x:c>
      <x:c r="L296" s="10" t="str">
        <x:v>食材切块，撒蒜末；上锅蒸熟，蔬菜另焯后拌匀；藜麦饭另煮熟或蒸好后同餐食用。</x:v>
      </x:c>
      <x:c r="M296" t="n">
        <x:v>30</x:v>
      </x:c>
      <x:c r="N296" t="n">
        <x:f>ROUND(SUM('食材明细'!H1766:H1771),0)</x:f>
        <x:v>531</x:v>
      </x:c>
      <x:c r="O296" t="n">
        <x:f>ROUND(SUM('食材明细'!J1766:J1771),1)</x:f>
        <x:v>51.4</x:v>
      </x:c>
      <x:c r="P296" t="n">
        <x:f>ROUND(SUM('食材明细'!L1766:L1771),1)</x:f>
        <x:v>47.8</x:v>
      </x:c>
      <x:c r="Q296" t="n">
        <x:f>ROUND(SUM('食材明细'!N1766:N1771),1)</x:f>
        <x:v>15.4</x:v>
      </x:c>
      <x:c r="R296" s="10" t="str">
        <x:v>调料尽量低盐，不加白砂糖；油重已计入热量。</x:v>
      </x:c>
    </x:row>
    <x:row r="297" ht="37" customHeight="1">
      <x:c r="A297" t="n">
        <x:v>296</x:v>
      </x:c>
      <x:c r="B297" t="n">
        <x:v>148</x:v>
      </x:c>
      <x:c r="C297" t="n">
        <x:v>22</x:v>
      </x:c>
      <x:c r="D297" t="str">
        <x:v>晚餐</x:v>
      </x:c>
      <x:c r="E297" t="str">
        <x:v>鱼类</x:v>
      </x:c>
      <x:c r="F297" s="10" t="str">
        <x:v>葱姜清蒸鳕鱼配生菜白萝卜｜荞麦饭</x:v>
      </x:c>
      <x:c r="G297" s="10" t="str">
        <x:v>鳕鱼185g、生菜190g、白萝卜140g、荞麦饭110g、烹调油5g</x:v>
      </x:c>
      <x:c r="H297" t="str">
        <x:v>荞麦饭</x:v>
      </x:c>
      <x:c r="I297" s="10" t="str">
        <x:v>低主食需求可将主食减1/3，另加100g非淀粉蔬菜（营养值需重算）</x:v>
      </x:c>
      <x:c r="J297" s="10" t="str">
        <x:v>葱姜、少量低盐生抽</x:v>
      </x:c>
      <x:c r="K297" t="str">
        <x:v>蒸</x:v>
      </x:c>
      <x:c r="L297" s="10" t="str">
        <x:v>鱼肉去刺，彻底做熟；切片腌5分钟；肉和配菜入盘，蒸至熟透；淋葱姜汁；荞麦饭另煮熟或蒸好后同餐食用。</x:v>
      </x:c>
      <x:c r="M297" t="n">
        <x:v>20</x:v>
      </x:c>
      <x:c r="N297" t="n">
        <x:f>ROUND(SUM('食材明细'!H1772:H1777),0)</x:f>
        <x:v>379</x:v>
      </x:c>
      <x:c r="O297" t="n">
        <x:f>ROUND(SUM('食材明细'!J1772:J1777),1)</x:f>
        <x:v>40.5</x:v>
      </x:c>
      <x:c r="P297" t="n">
        <x:f>ROUND(SUM('食材明细'!L1772:L1777),1)</x:f>
        <x:v>35.3</x:v>
      </x:c>
      <x:c r="Q297" t="n">
        <x:f>ROUND(SUM('食材明细'!N1772:N1777),1)</x:f>
        <x:v>8</x:v>
      </x:c>
      <x:c r="R297" s="10" t="str">
        <x:v>调料尽量低盐，不加白砂糖；油重已计入热量。</x:v>
      </x:c>
    </x:row>
    <x:row r="298" ht="37" customHeight="1">
      <x:c r="A298" t="n">
        <x:v>297</x:v>
      </x:c>
      <x:c r="B298" t="n">
        <x:v>149</x:v>
      </x:c>
      <x:c r="C298" t="n">
        <x:v>22</x:v>
      </x:c>
      <x:c r="D298" t="str">
        <x:v>午餐</x:v>
      </x:c>
      <x:c r="E298" t="str">
        <x:v>豆蛋</x:v>
      </x:c>
      <x:c r="F298" s="10" t="str">
        <x:v>豉汁嫩豆腐鸡蛋烩西葫芦玉米笋｜燕麦饭</x:v>
      </x:c>
      <x:c r="G298" s="10" t="str">
        <x:v>嫩豆腐300g、鸡蛋85g、西葫芦175g、玉米笋140g、燕麦饭110g、烹调油4g</x:v>
      </x:c>
      <x:c r="H298" t="str">
        <x:v>燕麦饭</x:v>
      </x:c>
      <x:c r="I298" s="10" t="str">
        <x:v>低主食需求可将主食减1/3，另加100g非淀粉蔬菜（营养值需重算）</x:v>
      </x:c>
      <x:c r="J298" s="10" t="str">
        <x:v>少量豆豉、姜末</x:v>
      </x:c>
      <x:c r="K298" t="str">
        <x:v>蒸</x:v>
      </x:c>
      <x:c r="L298" s="10" t="str">
        <x:v>豆豉冲洗剁碎，与姜末拌主食材后蒸熟；蔬菜另煮；燕麦饭另煮熟或蒸好后同餐食用。</x:v>
      </x:c>
      <x:c r="M298" t="n">
        <x:v>15</x:v>
      </x:c>
      <x:c r="N298" t="n">
        <x:f>ROUND(SUM('食材明细'!H1778:H1783),0)</x:f>
        <x:v>511</x:v>
      </x:c>
      <x:c r="O298" t="n">
        <x:f>ROUND(SUM('食材明细'!J1778:J1783),1)</x:f>
        <x:v>34.5</x:v>
      </x:c>
      <x:c r="P298" t="n">
        <x:f>ROUND(SUM('食材明细'!L1778:L1783),1)</x:f>
        <x:v>42.3</x:v>
      </x:c>
      <x:c r="Q298" t="n">
        <x:f>ROUND(SUM('食材明细'!N1778:N1783),1)</x:f>
        <x:v>23.6</x:v>
      </x:c>
      <x:c r="R298" s="10" t="str">
        <x:v>调料尽量低盐，不加白砂糖；油重已计入热量。</x:v>
      </x:c>
    </x:row>
    <x:row r="299" ht="37" customHeight="1">
      <x:c r="A299" t="n">
        <x:v>298</x:v>
      </x:c>
      <x:c r="B299" t="n">
        <x:v>149</x:v>
      </x:c>
      <x:c r="C299" t="n">
        <x:v>22</x:v>
      </x:c>
      <x:c r="D299" t="str">
        <x:v>晚餐</x:v>
      </x:c>
      <x:c r="E299" t="str">
        <x:v>海鲜</x:v>
      </x:c>
      <x:c r="F299" s="10" t="str">
        <x:v>柠檬花蛤肉配冬瓜海带｜杂粮饭</x:v>
      </x:c>
      <x:c r="G299" s="10" t="str">
        <x:v>花蛤肉190g、嫩豆腐160g、冬瓜160g、海带110g、杂粮饭110g、烹调油6g</x:v>
      </x:c>
      <x:c r="H299" t="str">
        <x:v>杂粮饭</x:v>
      </x:c>
      <x:c r="I299" s="10" t="str">
        <x:v>低主食需求可将主食减1/3，另加100g非淀粉蔬菜（营养值需重算）</x:v>
      </x:c>
      <x:c r="J299" s="10" t="str">
        <x:v>柠檬片、白胡椒</x:v>
      </x:c>
      <x:c r="K299" t="str">
        <x:v>蒸</x:v>
      </x:c>
      <x:c r="L299" s="10" t="str">
        <x:v>柠檬片垫底，主食材蒸熟，蔬菜短焯后摆盘；杂粮饭另煮熟或蒸好后同餐食用。</x:v>
      </x:c>
      <x:c r="M299" t="n">
        <x:v>25</x:v>
      </x:c>
      <x:c r="N299" t="n">
        <x:f>ROUND(SUM('食材明细'!H1784:H1789),0)</x:f>
        <x:v>459</x:v>
      </x:c>
      <x:c r="O299" t="n">
        <x:f>ROUND(SUM('食材明细'!J1784:J1789),1)</x:f>
        <x:v>37.9</x:v>
      </x:c>
      <x:c r="P299" t="n">
        <x:f>ROUND(SUM('食材明细'!L1784:L1789),1)</x:f>
        <x:v>46</x:v>
      </x:c>
      <x:c r="Q299" t="n">
        <x:f>ROUND(SUM('食材明细'!N1784:N1789),1)</x:f>
        <x:v>14</x:v>
      </x:c>
      <x:c r="R299" s="10" t="str">
        <x:v>调料尽量低盐，不加白砂糖；油重已计入热量。</x:v>
      </x:c>
    </x:row>
    <x:row r="300" ht="37" customHeight="1">
      <x:c r="A300" t="n">
        <x:v>299</x:v>
      </x:c>
      <x:c r="B300" t="n">
        <x:v>150</x:v>
      </x:c>
      <x:c r="C300" t="n">
        <x:v>22</x:v>
      </x:c>
      <x:c r="D300" t="str">
        <x:v>午餐</x:v>
      </x:c>
      <x:c r="E300" t="str">
        <x:v>鱼类</x:v>
      </x:c>
      <x:c r="F300" s="10" t="str">
        <x:v>葱姜清蒸巴沙鱼配茼蒿荷兰豆｜红薯</x:v>
      </x:c>
      <x:c r="G300" s="10" t="str">
        <x:v>巴沙鱼175g、茼蒿175g、荷兰豆155g、红薯125g、烹调油6g</x:v>
      </x:c>
      <x:c r="H300" t="str">
        <x:v>红薯</x:v>
      </x:c>
      <x:c r="I300" s="10" t="str">
        <x:v>想减主食可减到原量2/3，另加100g绿叶菜</x:v>
      </x:c>
      <x:c r="J300" s="10" t="str">
        <x:v>葱姜、少量低盐生抽</x:v>
      </x:c>
      <x:c r="K300" t="str">
        <x:v>蒸</x:v>
      </x:c>
      <x:c r="L300" s="10" t="str">
        <x:v>鱼肉去刺，彻底做熟；切片腌5分钟；肉和配菜入盘，蒸至熟透；淋葱姜汁；红薯另煮熟或蒸好后同餐食用。</x:v>
      </x:c>
      <x:c r="M300" t="n">
        <x:v>30</x:v>
      </x:c>
      <x:c r="N300" t="n">
        <x:f>ROUND(SUM('食材明细'!H1790:H1795),0)</x:f>
        <x:v>429</x:v>
      </x:c>
      <x:c r="O300" t="n">
        <x:f>ROUND(SUM('食材明细'!J1790:J1795),1)</x:f>
        <x:v>39.4</x:v>
      </x:c>
      <x:c r="P300" t="n">
        <x:f>ROUND(SUM('食材明细'!L1790:L1795),1)</x:f>
        <x:v>44.8</x:v>
      </x:c>
      <x:c r="Q300" t="n">
        <x:f>ROUND(SUM('食材明细'!N1790:N1795),1)</x:f>
        <x:v>11.1</x:v>
      </x:c>
      <x:c r="R300" s="10" t="str">
        <x:v>调料尽量低盐，不加白砂糖；油重已计入热量。</x:v>
      </x:c>
    </x:row>
    <x:row r="301" ht="37" customHeight="1">
      <x:c r="A301" t="n">
        <x:v>300</x:v>
      </x:c>
      <x:c r="B301" t="n">
        <x:v>150</x:v>
      </x:c>
      <x:c r="C301" t="n">
        <x:v>22</x:v>
      </x:c>
      <x:c r="D301" t="str">
        <x:v>晚餐</x:v>
      </x:c>
      <x:c r="E301" t="str">
        <x:v>海鲜</x:v>
      </x:c>
      <x:c r="F301" s="10" t="str">
        <x:v>椒麻花蛤肉配芦笋海带｜玉米</x:v>
      </x:c>
      <x:c r="G301" s="10" t="str">
        <x:v>花蛤肉170g、嫩豆腐135g、芦笋175g、海带140g、玉米135g、烹调油4g</x:v>
      </x:c>
      <x:c r="H301" t="str">
        <x:v>玉米</x:v>
      </x:c>
      <x:c r="I301" s="10" t="str">
        <x:v>想减主食可减到原量2/3，另加100g绿叶菜</x:v>
      </x:c>
      <x:c r="J301" s="10" t="str">
        <x:v>花椒、蒜、少量醋</x:v>
      </x:c>
      <x:c r="K301" t="str">
        <x:v>水煮</x:v>
      </x:c>
      <x:c r="L301" s="10" t="str">
        <x:v>花椒温水浸出味道，煮熟主食材和配菜，少油拌汁；玉米另煮熟或蒸好后同餐食用。</x:v>
      </x:c>
      <x:c r="M301" t="n">
        <x:v>20</x:v>
      </x:c>
      <x:c r="N301" t="n">
        <x:f>ROUND(SUM('食材明细'!H1796:H1801),0)</x:f>
        <x:v>450</x:v>
      </x:c>
      <x:c r="O301" t="n">
        <x:f>ROUND(SUM('食材明细'!J1796:J1801),1)</x:f>
        <x:v>38.7</x:v>
      </x:c>
      <x:c r="P301" t="n">
        <x:f>ROUND(SUM('食材明细'!L1796:L1801),1)</x:f>
        <x:v>52.2</x:v>
      </x:c>
      <x:c r="Q301" t="n">
        <x:f>ROUND(SUM('食材明细'!N1796:N1801),1)</x:f>
        <x:v>11.8</x:v>
      </x:c>
      <x:c r="R301" s="10" t="str">
        <x:v>调料尽量低盐，不加白砂糖；油重已计入热量。</x:v>
      </x:c>
    </x:row>
    <x:row r="302" ht="37" customHeight="1">
      <x:c r="A302" t="n">
        <x:v>301</x:v>
      </x:c>
      <x:c r="B302" t="n">
        <x:v>151</x:v>
      </x:c>
      <x:c r="C302" t="n">
        <x:v>22</x:v>
      </x:c>
      <x:c r="D302" t="str">
        <x:v>午餐</x:v>
      </x:c>
      <x:c r="E302" t="str">
        <x:v>豆蛋</x:v>
      </x:c>
      <x:c r="F302" s="10" t="str">
        <x:v>酸汤北豆腐虾仁烩苦瓜胡萝卜｜白米饭</x:v>
      </x:c>
      <x:c r="G302" s="10" t="str">
        <x:v>北豆腐240g、虾仁85g、苦瓜160g、胡萝卜140g、白米饭165g、烹调油4g</x:v>
      </x:c>
      <x:c r="H302" t="str">
        <x:v>白米饭</x:v>
      </x:c>
      <x:c r="I302" s="10" t="str">
        <x:v>低主食需求可将主食减1/3，另加100g非淀粉蔬菜（营养值需重算）</x:v>
      </x:c>
      <x:c r="J302" s="10" t="str">
        <x:v>米醋、番茄、少许辣椒</x:v>
      </x:c>
      <x:c r="K302" t="str">
        <x:v>水煮</x:v>
      </x:c>
      <x:c r="L302" s="10" t="str">
        <x:v>番茄煮成酸汤，主食材汆熟，加入蔬菜再煮2～5分钟；白米饭另煮熟或蒸好后同餐食用。</x:v>
      </x:c>
      <x:c r="M302" t="n">
        <x:v>20</x:v>
      </x:c>
      <x:c r="N302" t="n">
        <x:f>ROUND(SUM('食材明细'!H1802:H1807),0)</x:f>
        <x:v>608</x:v>
      </x:c>
      <x:c r="O302" t="n">
        <x:f>ROUND(SUM('食材明细'!J1802:J1807),1)</x:f>
        <x:v>47.3</x:v>
      </x:c>
      <x:c r="P302" t="n">
        <x:f>ROUND(SUM('食材明细'!L1802:L1807),1)</x:f>
        <x:v>67.9</x:v>
      </x:c>
      <x:c r="Q302" t="n">
        <x:f>ROUND(SUM('食材明细'!N1802:N1807),1)</x:f>
        <x:v>18</x:v>
      </x:c>
      <x:c r="R302" s="10" t="str">
        <x:v>调料尽量低盐，不加白砂糖；油重已计入热量。</x:v>
      </x:c>
    </x:row>
    <x:row r="303" ht="37" customHeight="1">
      <x:c r="A303" t="n">
        <x:v>302</x:v>
      </x:c>
      <x:c r="B303" t="n">
        <x:v>151</x:v>
      </x:c>
      <x:c r="C303" t="n">
        <x:v>22</x:v>
      </x:c>
      <x:c r="D303" t="str">
        <x:v>晚餐</x:v>
      </x:c>
      <x:c r="E303" t="str">
        <x:v>豆蛋</x:v>
      </x:c>
      <x:c r="F303" s="10" t="str">
        <x:v>酸汤嫩豆腐鸡蛋烩菠菜绿豆芽｜全麦面</x:v>
      </x:c>
      <x:c r="G303" s="10" t="str">
        <x:v>嫩豆腐280g、鸡蛋60g、菠菜160g、绿豆芽125g、全麦面95g、烹调油6g</x:v>
      </x:c>
      <x:c r="H303" t="str">
        <x:v>全麦面</x:v>
      </x:c>
      <x:c r="I303" s="10" t="str">
        <x:v>低主食需求可将主食减1/3，另加100g非淀粉蔬菜（营养值需重算）</x:v>
      </x:c>
      <x:c r="J303" s="10" t="str">
        <x:v>米醋、番茄、少许辣椒</x:v>
      </x:c>
      <x:c r="K303" t="str">
        <x:v>水煮</x:v>
      </x:c>
      <x:c r="L303" s="10" t="str">
        <x:v>番茄煮成酸汤，主食材汆熟，加入蔬菜再煮2～5分钟；面/魔芋丝煮熟后与菜合碗。</x:v>
      </x:c>
      <x:c r="M303" t="n">
        <x:v>20</x:v>
      </x:c>
      <x:c r="N303" t="n">
        <x:f>ROUND(SUM('食材明细'!H1808:H1813),0)</x:f>
        <x:v>488</x:v>
      </x:c>
      <x:c r="O303" t="n">
        <x:f>ROUND(SUM('食材明细'!J1808:J1813),1)</x:f>
        <x:v>34.9</x:v>
      </x:c>
      <x:c r="P303" t="n">
        <x:f>ROUND(SUM('食材明细'!L1808:L1813),1)</x:f>
        <x:v>43.3</x:v>
      </x:c>
      <x:c r="Q303" t="n">
        <x:f>ROUND(SUM('食材明细'!N1808:N1813),1)</x:f>
        <x:v>21.8</x:v>
      </x:c>
      <x:c r="R303" s="10" t="str">
        <x:v>调料尽量低盐，不加白砂糖；油重已计入热量。</x:v>
      </x:c>
    </x:row>
    <x:row r="304" ht="37" customHeight="1">
      <x:c r="A304" t="n">
        <x:v>303</x:v>
      </x:c>
      <x:c r="B304" t="n">
        <x:v>152</x:v>
      </x:c>
      <x:c r="C304" t="n">
        <x:v>22</x:v>
      </x:c>
      <x:c r="D304" t="str">
        <x:v>午餐</x:v>
      </x:c>
      <x:c r="E304" t="str">
        <x:v>豆蛋</x:v>
      </x:c>
      <x:c r="F304" s="10" t="str">
        <x:v>蚝香北豆腐配娃娃菜芦笋｜魔芋丝</x:v>
      </x:c>
      <x:c r="G304" s="10" t="str">
        <x:v>北豆腐280g、娃娃菜190g、芦笋125g、魔芋丝180g、烹调油5g</x:v>
      </x:c>
      <x:c r="H304" t="str">
        <x:v>魔芋丝</x:v>
      </x:c>
      <x:c r="I304" s="10" t="str">
        <x:v>魔芋丝不是完整主食；饥饿可补杂粮饭或蒸薯类</x:v>
      </x:c>
      <x:c r="J304" s="10" t="str">
        <x:v>低钠蚝油少量、姜蒜</x:v>
      </x:c>
      <x:c r="K304" t="str">
        <x:v>少油烩</x:v>
      </x:c>
      <x:c r="L304" s="10" t="str">
        <x:v>主食材和蔬菜少油少水烩熟，起锅前点少量蚝油；面/魔芋丝煮熟后与菜合碗。</x:v>
      </x:c>
      <x:c r="M304" t="n">
        <x:v>15</x:v>
      </x:c>
      <x:c r="N304" t="n">
        <x:f>ROUND(SUM('食材明细'!H1814:H1819),0)</x:f>
        <x:v>371</x:v>
      </x:c>
      <x:c r="O304" t="n">
        <x:f>ROUND(SUM('食材明细'!J1814:J1819),1)</x:f>
        <x:v>33.8</x:v>
      </x:c>
      <x:c r="P304" t="n">
        <x:f>ROUND(SUM('食材明细'!L1814:L1819),1)</x:f>
        <x:v>19.8</x:v>
      </x:c>
      <x:c r="Q304" t="n">
        <x:f>ROUND(SUM('食材明细'!N1814:N1819),1)</x:f>
        <x:v>19.5</x:v>
      </x:c>
      <x:c r="R304" s="10" t="str">
        <x:v>调料尽量低盐，不加白砂糖；油重已计入热量。魔芋丝低能量，不等于一份主食。</x:v>
      </x:c>
    </x:row>
    <x:row r="305" ht="37" customHeight="1">
      <x:c r="A305" t="n">
        <x:v>304</x:v>
      </x:c>
      <x:c r="B305" t="n">
        <x:v>152</x:v>
      </x:c>
      <x:c r="C305" t="n">
        <x:v>22</x:v>
      </x:c>
      <x:c r="D305" t="str">
        <x:v>晚餐</x:v>
      </x:c>
      <x:c r="E305" t="str">
        <x:v>禽肉</x:v>
      </x:c>
      <x:c r="F305" s="10" t="str">
        <x:v>清汤鸡里脊肉配紫甘蓝荷兰豆｜糙米饭</x:v>
      </x:c>
      <x:c r="G305" s="10" t="str">
        <x:v>鸡里脊肉145g、紫甘蓝190g、荷兰豆155g、糙米饭135g、烹调油6g</x:v>
      </x:c>
      <x:c r="H305" t="str">
        <x:v>糙米饭</x:v>
      </x:c>
      <x:c r="I305" s="10" t="str">
        <x:v>低主食需求可将主食减1/3，另加100g非淀粉蔬菜（营养值需重算）</x:v>
      </x:c>
      <x:c r="J305" s="10" t="str">
        <x:v>葱段、盐少量</x:v>
      </x:c>
      <x:c r="K305" t="str">
        <x:v>煮</x:v>
      </x:c>
      <x:c r="L305" s="10" t="str">
        <x:v>清水煮开，按熟化时间下食材，最后放叶菜，清淡调味；糙米饭另煮熟或蒸好后同餐食用。</x:v>
      </x:c>
      <x:c r="M305" t="n">
        <x:v>20</x:v>
      </x:c>
      <x:c r="N305" t="n">
        <x:f>ROUND(SUM('食材明细'!H1820:H1825),0)</x:f>
        <x:v>489</x:v>
      </x:c>
      <x:c r="O305" t="n">
        <x:f>ROUND(SUM('食材明细'!J1820:J1825),1)</x:f>
        <x:v>43.9</x:v>
      </x:c>
      <x:c r="P305" t="n">
        <x:f>ROUND(SUM('食材明细'!L1820:L1825),1)</x:f>
        <x:v>57.2</x:v>
      </x:c>
      <x:c r="Q305" t="n">
        <x:f>ROUND(SUM('食材明细'!N1820:N1825),1)</x:f>
        <x:v>10.5</x:v>
      </x:c>
      <x:c r="R305" s="10" t="str">
        <x:v>调料尽量低盐，不加白砂糖；油重已计入热量。</x:v>
      </x:c>
    </x:row>
    <x:row r="306" ht="37" customHeight="1">
      <x:c r="A306" t="n">
        <x:v>305</x:v>
      </x:c>
      <x:c r="B306" t="n">
        <x:v>153</x:v>
      </x:c>
      <x:c r="C306" t="n">
        <x:v>22</x:v>
      </x:c>
      <x:c r="D306" t="str">
        <x:v>午餐</x:v>
      </x:c>
      <x:c r="E306" t="str">
        <x:v>豆蛋</x:v>
      </x:c>
      <x:c r="F306" s="10" t="str">
        <x:v>豉汁北豆腐鸡蛋烩秋葵菜心｜紫薯</x:v>
      </x:c>
      <x:c r="G306" s="10" t="str">
        <x:v>北豆腐280g、鸡蛋50g、秋葵175g、菜心125g、紫薯165g、烹调油5g</x:v>
      </x:c>
      <x:c r="H306" t="str">
        <x:v>紫薯</x:v>
      </x:c>
      <x:c r="I306" s="10" t="str">
        <x:v>想减主食可减到原量2/3，另加100g绿叶菜</x:v>
      </x:c>
      <x:c r="J306" s="10" t="str">
        <x:v>少量豆豉、姜末</x:v>
      </x:c>
      <x:c r="K306" t="str">
        <x:v>蒸</x:v>
      </x:c>
      <x:c r="L306" s="10" t="str">
        <x:v>豆豉冲洗剁碎，与姜末拌主食材后蒸熟；蔬菜另煮；紫薯另煮熟或蒸好后同餐食用。</x:v>
      </x:c>
      <x:c r="M306" t="n">
        <x:v>15</x:v>
      </x:c>
      <x:c r="N306" t="n">
        <x:f>ROUND(SUM('食材明细'!H1826:H1831),0)</x:f>
        <x:v>609</x:v>
      </x:c>
      <x:c r="O306" t="n">
        <x:f>ROUND(SUM('食材明细'!J1826:J1831),1)</x:f>
        <x:v>43</x:v>
      </x:c>
      <x:c r="P306" t="n">
        <x:f>ROUND(SUM('食材明细'!L1826:L1831),1)</x:f>
        <x:v>60</x:v>
      </x:c>
      <x:c r="Q306" t="n">
        <x:f>ROUND(SUM('食材明细'!N1826:N1831),1)</x:f>
        <x:v>24.9</x:v>
      </x:c>
      <x:c r="R306" s="10" t="str">
        <x:v>调料尽量低盐，不加白砂糖；油重已计入热量。</x:v>
      </x:c>
    </x:row>
    <x:row r="307" ht="37" customHeight="1">
      <x:c r="A307" t="n">
        <x:v>306</x:v>
      </x:c>
      <x:c r="B307" t="n">
        <x:v>153</x:v>
      </x:c>
      <x:c r="C307" t="n">
        <x:v>22</x:v>
      </x:c>
      <x:c r="D307" t="str">
        <x:v>晚餐</x:v>
      </x:c>
      <x:c r="E307" t="str">
        <x:v>牛肉</x:v>
      </x:c>
      <x:c r="F307" s="10" t="str">
        <x:v>蚝香瘦牛肉配冬瓜绿豆芽｜土豆</x:v>
      </x:c>
      <x:c r="G307" s="10" t="str">
        <x:v>瘦牛肉160g、冬瓜160g、绿豆芽140g、土豆110g、烹调油3g</x:v>
      </x:c>
      <x:c r="H307" t="str">
        <x:v>土豆</x:v>
      </x:c>
      <x:c r="I307" s="10" t="str">
        <x:v>想减主食可减到原量2/3，另加100g绿叶菜</x:v>
      </x:c>
      <x:c r="J307" s="10" t="str">
        <x:v>低钠蚝油少量、姜蒜</x:v>
      </x:c>
      <x:c r="K307" t="str">
        <x:v>少油烩</x:v>
      </x:c>
      <x:c r="L307" s="10" t="str">
        <x:v>主食材和蔬菜少油少水烩熟，起锅前点少量蚝油；土豆另煮熟或蒸好后同餐食用。</x:v>
      </x:c>
      <x:c r="M307" t="n">
        <x:v>15</x:v>
      </x:c>
      <x:c r="N307" t="n">
        <x:f>ROUND(SUM('食材明细'!H1832:H1837),0)</x:f>
        <x:v>377</x:v>
      </x:c>
      <x:c r="O307" t="n">
        <x:f>ROUND(SUM('食材明细'!J1832:J1837),1)</x:f>
        <x:v>40.6</x:v>
      </x:c>
      <x:c r="P307" t="n">
        <x:f>ROUND(SUM('食材明细'!L1832:L1837),1)</x:f>
        <x:v>32.1</x:v>
      </x:c>
      <x:c r="Q307" t="n">
        <x:f>ROUND(SUM('食材明细'!N1832:N1837),1)</x:f>
        <x:v>10.1</x:v>
      </x:c>
      <x:c r="R307" s="10" t="str">
        <x:v>调料尽量低盐，不加白砂糖；油重已计入热量。</x:v>
      </x:c>
    </x:row>
    <x:row r="308" ht="37" customHeight="1">
      <x:c r="A308" t="n">
        <x:v>307</x:v>
      </x:c>
      <x:c r="B308" t="n">
        <x:v>154</x:v>
      </x:c>
      <x:c r="C308" t="n">
        <x:v>22</x:v>
      </x:c>
      <x:c r="D308" t="str">
        <x:v>午餐</x:v>
      </x:c>
      <x:c r="E308" t="str">
        <x:v>鱼类</x:v>
      </x:c>
      <x:c r="F308" s="10" t="str">
        <x:v>蒜香鲈鱼配丝瓜小白菜｜紫薯</x:v>
      </x:c>
      <x:c r="G308" s="10" t="str">
        <x:v>鲈鱼175g、丝瓜190g、小白菜125g、紫薯135g、烹调油3g</x:v>
      </x:c>
      <x:c r="H308" t="str">
        <x:v>紫薯</x:v>
      </x:c>
      <x:c r="I308" s="10" t="str">
        <x:v>想减主食可减到原量2/3，另加100g绿叶菜</x:v>
      </x:c>
      <x:c r="J308" s="10" t="str">
        <x:v>蒜末、白胡椒</x:v>
      </x:c>
      <x:c r="K308" t="str">
        <x:v>蒸</x:v>
      </x:c>
      <x:c r="L308" s="10" t="str">
        <x:v>鱼肉去刺，彻底做熟；食材切块，撒蒜末；上锅蒸熟，蔬菜另焯后拌匀；紫薯另煮熟或蒸好后同餐食用。</x:v>
      </x:c>
      <x:c r="M308" t="n">
        <x:v>30</x:v>
      </x:c>
      <x:c r="N308" t="n">
        <x:f>ROUND(SUM('食材明细'!H1838:H1843),0)</x:f>
        <x:v>398</x:v>
      </x:c>
      <x:c r="O308" t="n">
        <x:f>ROUND(SUM('食材明细'!J1838:J1843),1)</x:f>
        <x:v>39.3</x:v>
      </x:c>
      <x:c r="P308" t="n">
        <x:f>ROUND(SUM('食材明细'!L1838:L1843),1)</x:f>
        <x:v>40.8</x:v>
      </x:c>
      <x:c r="Q308" t="n">
        <x:f>ROUND(SUM('食材明细'!N1838:N1843),1)</x:f>
        <x:v>9</x:v>
      </x:c>
      <x:c r="R308" s="10" t="str">
        <x:v>调料尽量低盐，不加白砂糖；油重已计入热量。</x:v>
      </x:c>
    </x:row>
    <x:row r="309" ht="37" customHeight="1">
      <x:c r="A309" t="n">
        <x:v>308</x:v>
      </x:c>
      <x:c r="B309" t="n">
        <x:v>154</x:v>
      </x:c>
      <x:c r="C309" t="n">
        <x:v>22</x:v>
      </x:c>
      <x:c r="D309" t="str">
        <x:v>晚餐</x:v>
      </x:c>
      <x:c r="E309" t="str">
        <x:v>禽肉</x:v>
      </x:c>
      <x:c r="F309" s="10" t="str">
        <x:v>黑椒去皮鸭胸肉配冬瓜莴笋｜杂粮饭</x:v>
      </x:c>
      <x:c r="G309" s="10" t="str">
        <x:v>去皮鸭胸肉180g、冬瓜190g、莴笋125g、杂粮饭125g、烹调油5g</x:v>
      </x:c>
      <x:c r="H309" t="str">
        <x:v>杂粮饭</x:v>
      </x:c>
      <x:c r="I309" s="10" t="str">
        <x:v>低主食需求可将主食减1/3，另加100g非淀粉蔬菜（营养值需重算）</x:v>
      </x:c>
      <x:c r="J309" s="10" t="str">
        <x:v>黑胡椒、蒜末</x:v>
      </x:c>
      <x:c r="K309" t="str">
        <x:v>少油烩</x:v>
      </x:c>
      <x:c r="L309" s="10" t="str">
        <x:v>锅加少量水和油，先把主食材煮熟，再烩两种蔬菜，收汁撒黑椒；杂粮饭另煮熟或蒸好后同餐食用。</x:v>
      </x:c>
      <x:c r="M309" t="n">
        <x:v>25</x:v>
      </x:c>
      <x:c r="N309" t="n">
        <x:f>ROUND(SUM('食材明细'!H1844:H1849),0)</x:f>
        <x:v>484</x:v>
      </x:c>
      <x:c r="O309" t="n">
        <x:f>ROUND(SUM('食材明细'!J1844:J1849),1)</x:f>
        <x:v>40.1</x:v>
      </x:c>
      <x:c r="P309" t="n">
        <x:f>ROUND(SUM('食材明细'!L1844:L1849),1)</x:f>
        <x:v>38.6</x:v>
      </x:c>
      <x:c r="Q309" t="n">
        <x:f>ROUND(SUM('食材明细'!N1844:N1849),1)</x:f>
        <x:v>19.5</x:v>
      </x:c>
      <x:c r="R309" s="10" t="str">
        <x:v>调料尽量低盐，不加白砂糖；油重已计入热量。</x:v>
      </x:c>
    </x:row>
    <x:row r="310" ht="37" customHeight="1">
      <x:c r="A310" t="n">
        <x:v>309</x:v>
      </x:c>
      <x:c r="B310" t="n">
        <x:v>155</x:v>
      </x:c>
      <x:c r="C310" t="n">
        <x:v>23</x:v>
      </x:c>
      <x:c r="D310" t="str">
        <x:v>午餐</x:v>
      </x:c>
      <x:c r="E310" t="str">
        <x:v>禽肉</x:v>
      </x:c>
      <x:c r="F310" s="10" t="str">
        <x:v>豉汁去皮鸡腿肉配大白菜彩椒｜糙米饭</x:v>
      </x:c>
      <x:c r="G310" s="10" t="str">
        <x:v>去皮鸡腿肉185g、大白菜175g、彩椒110g、糙米饭150g、烹调油6g</x:v>
      </x:c>
      <x:c r="H310" t="str">
        <x:v>糙米饭</x:v>
      </x:c>
      <x:c r="I310" s="10" t="str">
        <x:v>低主食需求可将主食减1/3，另加100g非淀粉蔬菜（营养值需重算）</x:v>
      </x:c>
      <x:c r="J310" s="10" t="str">
        <x:v>少量豆豉、姜末</x:v>
      </x:c>
      <x:c r="K310" t="str">
        <x:v>蒸</x:v>
      </x:c>
      <x:c r="L310" s="10" t="str">
        <x:v>先去皮去骨并切薄，充分加热；豆豉冲洗剁碎，与姜末拌主食材后蒸熟；蔬菜另煮；糙米饭另煮熟或蒸好后同餐食用。</x:v>
      </x:c>
      <x:c r="M310" t="n">
        <x:v>30</x:v>
      </x:c>
      <x:c r="N310" t="n">
        <x:f>ROUND(SUM('食材明细'!H1850:H1855),0)</x:f>
        <x:v>513</x:v>
      </x:c>
      <x:c r="O310" t="n">
        <x:f>ROUND(SUM('食材明细'!J1850:J1855),1)</x:f>
        <x:v>44.6</x:v>
      </x:c>
      <x:c r="P310" t="n">
        <x:f>ROUND(SUM('食材明细'!L1850:L1855),1)</x:f>
        <x:v>47.6</x:v>
      </x:c>
      <x:c r="Q310" t="n">
        <x:f>ROUND(SUM('食材明细'!N1850:N1855),1)</x:f>
        <x:v>17</x:v>
      </x:c>
      <x:c r="R310" s="10" t="str">
        <x:v>调料尽量低盐，不加白砂糖；油重已计入热量。</x:v>
      </x:c>
    </x:row>
    <x:row r="311" ht="37" customHeight="1">
      <x:c r="A311" t="n">
        <x:v>310</x:v>
      </x:c>
      <x:c r="B311" t="n">
        <x:v>155</x:v>
      </x:c>
      <x:c r="C311" t="n">
        <x:v>23</x:v>
      </x:c>
      <x:c r="D311" t="str">
        <x:v>晚餐</x:v>
      </x:c>
      <x:c r="E311" t="str">
        <x:v>禽肉</x:v>
      </x:c>
      <x:c r="F311" s="10" t="str">
        <x:v>香醋鸡里脊肉配菠菜玉米笋｜藜麦饭</x:v>
      </x:c>
      <x:c r="G311" s="10" t="str">
        <x:v>鸡里脊肉145g、菠菜175g、玉米笋110g、藜麦饭135g、烹调油3g</x:v>
      </x:c>
      <x:c r="H311" t="str">
        <x:v>藜麦饭</x:v>
      </x:c>
      <x:c r="I311" s="10" t="str">
        <x:v>低主食需求可将主食减1/3，另加100g非淀粉蔬菜（营养值需重算）</x:v>
      </x:c>
      <x:c r="J311" s="10" t="str">
        <x:v>香醋、蒜末、少量生抽</x:v>
      </x:c>
      <x:c r="K311" t="str">
        <x:v>水煮</x:v>
      </x:c>
      <x:c r="L311" s="10" t="str">
        <x:v>食材分别煮至熟，淋香醋蒜汁，拌匀即食；藜麦饭另煮熟或蒸好后同餐食用。</x:v>
      </x:c>
      <x:c r="M311" t="n">
        <x:v>15</x:v>
      </x:c>
      <x:c r="N311" t="n">
        <x:f>ROUND(SUM('食材明细'!H1856:H1861),0)</x:f>
        <x:v>417</x:v>
      </x:c>
      <x:c r="O311" t="n">
        <x:f>ROUND(SUM('食材明细'!J1856:J1861),1)</x:f>
        <x:v>46.6</x:v>
      </x:c>
      <x:c r="P311" t="n">
        <x:f>ROUND(SUM('食材明细'!L1856:L1861),1)</x:f>
        <x:v>40.5</x:v>
      </x:c>
      <x:c r="Q311" t="n">
        <x:f>ROUND(SUM('食材明细'!N1856:N1861),1)</x:f>
        <x:v>9</x:v>
      </x:c>
      <x:c r="R311" s="10" t="str">
        <x:v>调料尽量低盐，不加白砂糖；油重已计入热量。</x:v>
      </x:c>
    </x:row>
    <x:row r="312" ht="37" customHeight="1">
      <x:c r="A312" t="n">
        <x:v>311</x:v>
      </x:c>
      <x:c r="B312" t="n">
        <x:v>156</x:v>
      </x:c>
      <x:c r="C312" t="n">
        <x:v>23</x:v>
      </x:c>
      <x:c r="D312" t="str">
        <x:v>午餐</x:v>
      </x:c>
      <x:c r="E312" t="str">
        <x:v>禽肉</x:v>
      </x:c>
      <x:c r="F312" s="10" t="str">
        <x:v>豉汁鸡胸肉配大白菜口蘑｜玉米</x:v>
      </x:c>
      <x:c r="G312" s="10" t="str">
        <x:v>鸡胸肉165g、大白菜140g、口蘑125g、玉米150g、烹调油5g</x:v>
      </x:c>
      <x:c r="H312" t="str">
        <x:v>玉米</x:v>
      </x:c>
      <x:c r="I312" s="10" t="str">
        <x:v>想减主食可减到原量2/3，另加100g绿叶菜</x:v>
      </x:c>
      <x:c r="J312" s="10" t="str">
        <x:v>少量豆豉、姜末</x:v>
      </x:c>
      <x:c r="K312" t="str">
        <x:v>蒸</x:v>
      </x:c>
      <x:c r="L312" s="10" t="str">
        <x:v>豆豉冲洗剁碎，与姜末拌主食材后蒸熟；蔬菜另煮；玉米另煮熟或蒸好后同餐食用。</x:v>
      </x:c>
      <x:c r="M312" t="n">
        <x:v>25</x:v>
      </x:c>
      <x:c r="N312" t="n">
        <x:f>ROUND(SUM('食材明细'!H1862:H1867),0)</x:f>
        <x:v>435</x:v>
      </x:c>
      <x:c r="O312" t="n">
        <x:f>ROUND(SUM('食材明细'!J1862:J1867),1)</x:f>
        <x:v>49</x:v>
      </x:c>
      <x:c r="P312" t="n">
        <x:f>ROUND(SUM('食材明细'!L1862:L1867),1)</x:f>
        <x:v>41.6</x:v>
      </x:c>
      <x:c r="Q312" t="n">
        <x:f>ROUND(SUM('食材明细'!N1862:N1867),1)</x:f>
        <x:v>11.1</x:v>
      </x:c>
      <x:c r="R312" s="10" t="str">
        <x:v>调料尽量低盐，不加白砂糖；油重已计入热量。</x:v>
      </x:c>
    </x:row>
    <x:row r="313" ht="37" customHeight="1">
      <x:c r="A313" t="n">
        <x:v>312</x:v>
      </x:c>
      <x:c r="B313" t="n">
        <x:v>156</x:v>
      </x:c>
      <x:c r="C313" t="n">
        <x:v>23</x:v>
      </x:c>
      <x:c r="D313" t="str">
        <x:v>晚餐</x:v>
      </x:c>
      <x:c r="E313" t="str">
        <x:v>鱼类</x:v>
      </x:c>
      <x:c r="F313" s="10" t="str">
        <x:v>番茄鲈鱼配菜心｜土豆</x:v>
      </x:c>
      <x:c r="G313" s="10" t="str">
        <x:v>鲈鱼200g、番茄190g、菜心110g、土豆95g、烹调油3g</x:v>
      </x:c>
      <x:c r="H313" t="str">
        <x:v>土豆</x:v>
      </x:c>
      <x:c r="I313" s="10" t="str">
        <x:v>想减主食可减到原量2/3，另加100g绿叶菜</x:v>
      </x:c>
      <x:c r="J313" s="10" t="str">
        <x:v>番茄丁、黑胡椒</x:v>
      </x:c>
      <x:c r="K313" t="str">
        <x:v>炖煮</x:v>
      </x:c>
      <x:c r="L313" s="10" t="str">
        <x:v>鱼肉去刺，彻底做熟；番茄出汁后加入主食材和少量水，轻炖至熟，再放配菜；土豆另煮熟或蒸好后同餐食用。</x:v>
      </x:c>
      <x:c r="M313" t="n">
        <x:v>25</x:v>
      </x:c>
      <x:c r="N313" t="n">
        <x:f>ROUND(SUM('食材明细'!H1868:H1873),0)</x:f>
        <x:v>371</x:v>
      </x:c>
      <x:c r="O313" t="n">
        <x:f>ROUND(SUM('食材明细'!J1868:J1873),1)</x:f>
        <x:v>43.8</x:v>
      </x:c>
      <x:c r="P313" t="n">
        <x:f>ROUND(SUM('食材明细'!L1868:L1873),1)</x:f>
        <x:v>27.8</x:v>
      </x:c>
      <x:c r="Q313" t="n">
        <x:f>ROUND(SUM('食材明细'!N1868:N1873),1)</x:f>
        <x:v>9.8</x:v>
      </x:c>
      <x:c r="R313" s="10" t="str">
        <x:v>调料尽量低盐，不加白砂糖；油重已计入热量。</x:v>
      </x:c>
    </x:row>
    <x:row r="314" ht="37" customHeight="1">
      <x:c r="A314" t="n">
        <x:v>313</x:v>
      </x:c>
      <x:c r="B314" t="n">
        <x:v>157</x:v>
      </x:c>
      <x:c r="C314" t="n">
        <x:v>23</x:v>
      </x:c>
      <x:c r="D314" t="str">
        <x:v>午餐</x:v>
      </x:c>
      <x:c r="E314" t="str">
        <x:v>鱼类</x:v>
      </x:c>
      <x:c r="F314" s="10" t="str">
        <x:v>葱姜清蒸巴沙鱼配四季豆紫甘蓝｜乌冬面</x:v>
      </x:c>
      <x:c r="G314" s="10" t="str">
        <x:v>巴沙鱼185g、四季豆175g、紫甘蓝125g、乌冬面125g、烹调油3g</x:v>
      </x:c>
      <x:c r="H314" t="str">
        <x:v>乌冬面</x:v>
      </x:c>
      <x:c r="I314" s="10" t="str">
        <x:v>低主食需求可将主食减1/3，另加100g非淀粉蔬菜（营养值需重算）</x:v>
      </x:c>
      <x:c r="J314" s="10" t="str">
        <x:v>葱姜、少量低盐生抽</x:v>
      </x:c>
      <x:c r="K314" t="str">
        <x:v>蒸</x:v>
      </x:c>
      <x:c r="L314" s="10" t="str">
        <x:v>鱼肉去刺，彻底做熟；切片腌5分钟；肉和配菜入盘，蒸至熟透；淋葱姜汁；面/魔芋丝煮熟后与菜合碗。四季豆必须充分煮熟，不要生脆。</x:v>
      </x:c>
      <x:c r="M314" t="n">
        <x:v>20</x:v>
      </x:c>
      <x:c r="N314" t="n">
        <x:f>ROUND(SUM('食材明细'!H1874:H1879),0)</x:f>
        <x:v>437</x:v>
      </x:c>
      <x:c r="O314" t="n">
        <x:f>ROUND(SUM('食材明细'!J1874:J1879),1)</x:f>
        <x:v>39.5</x:v>
      </x:c>
      <x:c r="P314" t="n">
        <x:f>ROUND(SUM('食材明细'!L1874:L1879),1)</x:f>
        <x:v>52.6</x:v>
      </x:c>
      <x:c r="Q314" t="n">
        <x:f>ROUND(SUM('食材明细'!N1874:N1879),1)</x:f>
        <x:v>8.3</x:v>
      </x:c>
      <x:c r="R314" s="10" t="str">
        <x:v>调料尽量低盐，不加白砂糖；油重已计入热量。</x:v>
      </x:c>
    </x:row>
    <x:row r="315" ht="37" customHeight="1">
      <x:c r="A315" t="n">
        <x:v>314</x:v>
      </x:c>
      <x:c r="B315" t="n">
        <x:v>157</x:v>
      </x:c>
      <x:c r="C315" t="n">
        <x:v>23</x:v>
      </x:c>
      <x:c r="D315" t="str">
        <x:v>晚餐</x:v>
      </x:c>
      <x:c r="E315" t="str">
        <x:v>海鲜</x:v>
      </x:c>
      <x:c r="F315" s="10" t="str">
        <x:v>葱姜清蒸虾仁配紫甘蓝小白菜｜杂粮饭</x:v>
      </x:c>
      <x:c r="G315" s="10" t="str">
        <x:v>虾仁190g、熟毛豆仁70g、紫甘蓝140g、小白菜155g、杂粮饭135g、烹调油4g</x:v>
      </x:c>
      <x:c r="H315" t="str">
        <x:v>杂粮饭</x:v>
      </x:c>
      <x:c r="I315" s="10" t="str">
        <x:v>低主食需求可将主食减1/3，另加100g非淀粉蔬菜（营养值需重算）</x:v>
      </x:c>
      <x:c r="J315" s="10" t="str">
        <x:v>葱姜、少量低盐生抽</x:v>
      </x:c>
      <x:c r="K315" t="str">
        <x:v>蒸</x:v>
      </x:c>
      <x:c r="L315" s="10" t="str">
        <x:v>切片腌5分钟；肉和配菜入盘，蒸至熟透；淋葱姜汁；杂粮饭另煮熟或蒸好后同餐食用。</x:v>
      </x:c>
      <x:c r="M315" t="n">
        <x:v>15</x:v>
      </x:c>
      <x:c r="N315" t="n">
        <x:f>ROUND(SUM('食材明细'!H1880:H1885),0)</x:f>
        <x:v>516</x:v>
      </x:c>
      <x:c r="O315" t="n">
        <x:f>ROUND(SUM('食材明细'!J1880:J1885),1)</x:f>
        <x:v>53.1</x:v>
      </x:c>
      <x:c r="P315" t="n">
        <x:f>ROUND(SUM('食材明细'!L1880:L1885),1)</x:f>
        <x:v>53.4</x:v>
      </x:c>
      <x:c r="Q315" t="n">
        <x:f>ROUND(SUM('食材明细'!N1880:N1885),1)</x:f>
        <x:v>11.5</x:v>
      </x:c>
      <x:c r="R315" s="10" t="str">
        <x:v>调料尽量低盐，不加白砂糖；油重已计入热量。</x:v>
      </x:c>
    </x:row>
    <x:row r="316" ht="37" customHeight="1">
      <x:c r="A316" t="n">
        <x:v>315</x:v>
      </x:c>
      <x:c r="B316" t="n">
        <x:v>158</x:v>
      </x:c>
      <x:c r="C316" t="n">
        <x:v>23</x:v>
      </x:c>
      <x:c r="D316" t="str">
        <x:v>午餐</x:v>
      </x:c>
      <x:c r="E316" t="str">
        <x:v>禽肉</x:v>
      </x:c>
      <x:c r="F316" s="10" t="str">
        <x:v>剁椒鸡胸肉配西兰花冬瓜｜杂粮饭</x:v>
      </x:c>
      <x:c r="G316" s="10" t="str">
        <x:v>鸡胸肉185g、熟毛豆仁70g、西兰花190g、冬瓜110g、杂粮饭165g、烹调油5g</x:v>
      </x:c>
      <x:c r="H316" t="str">
        <x:v>杂粮饭</x:v>
      </x:c>
      <x:c r="I316" s="10" t="str">
        <x:v>低主食需求可将主食减1/3，另加100g非淀粉蔬菜（营养值需重算）</x:v>
      </x:c>
      <x:c r="J316" s="10" t="str">
        <x:v>自制低盐剁椒、蒜</x:v>
      </x:c>
      <x:c r="K316" t="str">
        <x:v>蒸</x:v>
      </x:c>
      <x:c r="L316" s="10" t="str">
        <x:v>主食材铺少量低盐剁椒蒸熟，配菜焯熟后摆盘；杂粮饭另煮熟或蒸好后同餐食用。</x:v>
      </x:c>
      <x:c r="M316" t="n">
        <x:v>15</x:v>
      </x:c>
      <x:c r="N316" t="n">
        <x:f>ROUND(SUM('食材明细'!H1886:H1891),0)</x:f>
        <x:v>601</x:v>
      </x:c>
      <x:c r="O316" t="n">
        <x:f>ROUND(SUM('食材明细'!J1886:J1891),1)</x:f>
        <x:v>61.8</x:v>
      </x:c>
      <x:c r="P316" t="n">
        <x:f>ROUND(SUM('食材明细'!L1886:L1891),1)</x:f>
        <x:v>61.7</x:v>
      </x:c>
      <x:c r="Q316" t="n">
        <x:f>ROUND(SUM('食材明细'!N1886:N1891),1)</x:f>
        <x:v>15</x:v>
      </x:c>
      <x:c r="R316" s="10" t="str">
        <x:v>调料尽量低盐，不加白砂糖；油重已计入热量。</x:v>
      </x:c>
    </x:row>
    <x:row r="317" ht="37" customHeight="1">
      <x:c r="A317" t="n">
        <x:v>316</x:v>
      </x:c>
      <x:c r="B317" t="n">
        <x:v>158</x:v>
      </x:c>
      <x:c r="C317" t="n">
        <x:v>23</x:v>
      </x:c>
      <x:c r="D317" t="str">
        <x:v>晚餐</x:v>
      </x:c>
      <x:c r="E317" t="str">
        <x:v>牛肉</x:v>
      </x:c>
      <x:c r="F317" s="10" t="str">
        <x:v>黑椒牛里脊配番茄菜心｜杂粮饭</x:v>
      </x:c>
      <x:c r="G317" s="10" t="str">
        <x:v>牛里脊170g、番茄175g、菜心110g、杂粮饭95g、烹调油6g</x:v>
      </x:c>
      <x:c r="H317" t="str">
        <x:v>杂粮饭</x:v>
      </x:c>
      <x:c r="I317" s="10" t="str">
        <x:v>低主食需求可将主食减1/3，另加100g非淀粉蔬菜（营养值需重算）</x:v>
      </x:c>
      <x:c r="J317" s="10" t="str">
        <x:v>黑胡椒、蒜末</x:v>
      </x:c>
      <x:c r="K317" t="str">
        <x:v>少油烩</x:v>
      </x:c>
      <x:c r="L317" s="10" t="str">
        <x:v>锅加少量水和油，先把主食材煮熟，再烩两种蔬菜，收汁撒黑椒；杂粮饭另煮熟或蒸好后同餐食用。</x:v>
      </x:c>
      <x:c r="M317" t="n">
        <x:v>30</x:v>
      </x:c>
      <x:c r="N317" t="n">
        <x:f>ROUND(SUM('食材明细'!H1892:H1897),0)</x:f>
        <x:v>441</x:v>
      </x:c>
      <x:c r="O317" t="n">
        <x:f>ROUND(SUM('食材明细'!J1892:J1897),1)</x:f>
        <x:v>42.4</x:v>
      </x:c>
      <x:c r="P317" t="n">
        <x:f>ROUND(SUM('食材明细'!L1892:L1897),1)</x:f>
        <x:v>33.2</x:v>
      </x:c>
      <x:c r="Q317" t="n">
        <x:f>ROUND(SUM('食材明细'!N1892:N1897),1)</x:f>
        <x:v>15.9</x:v>
      </x:c>
      <x:c r="R317" s="10" t="str">
        <x:v>调料尽量低盐，不加白砂糖；油重已计入热量。</x:v>
      </x:c>
    </x:row>
    <x:row r="318" ht="37" customHeight="1">
      <x:c r="A318" t="n">
        <x:v>317</x:v>
      </x:c>
      <x:c r="B318" t="n">
        <x:v>159</x:v>
      </x:c>
      <x:c r="C318" t="n">
        <x:v>23</x:v>
      </x:c>
      <x:c r="D318" t="str">
        <x:v>午餐</x:v>
      </x:c>
      <x:c r="E318" t="str">
        <x:v>豆蛋</x:v>
      </x:c>
      <x:c r="F318" s="10" t="str">
        <x:v>菌菇鸡蛋嫩豆腐烩小白菜金针菇｜土豆</x:v>
      </x:c>
      <x:c r="G318" s="10" t="str">
        <x:v>鸡蛋110g、嫩豆腐160g、小白菜190g、金针菇125g、土豆110g、烹调油6g</x:v>
      </x:c>
      <x:c r="H318" t="str">
        <x:v>土豆</x:v>
      </x:c>
      <x:c r="I318" s="10" t="str">
        <x:v>想减主食可减到原量2/3，另加100g绿叶菜</x:v>
      </x:c>
      <x:c r="J318" s="10" t="str">
        <x:v>姜片、香菇汁</x:v>
      </x:c>
      <x:c r="K318" t="str">
        <x:v>焖煮</x:v>
      </x:c>
      <x:c r="L318" s="10" t="str">
        <x:v>鸡蛋先打散成蛋液；食材与菌菇加少量水焖熟，出锅前加少量低盐生抽；土豆另煮熟或蒸好后同餐食用。</x:v>
      </x:c>
      <x:c r="M318" t="n">
        <x:v>30</x:v>
      </x:c>
      <x:c r="N318" t="n">
        <x:f>ROUND(SUM('食材明细'!H1898:H1903),0)</x:f>
        <x:v>459</x:v>
      </x:c>
      <x:c r="O318" t="n">
        <x:f>ROUND(SUM('食材明细'!J1898:J1903),1)</x:f>
        <x:v>30.5</x:v>
      </x:c>
      <x:c r="P318" t="n">
        <x:f>ROUND(SUM('食材明细'!L1898:L1903),1)</x:f>
        <x:v>36.7</x:v>
      </x:c>
      <x:c r="Q318" t="n">
        <x:f>ROUND(SUM('食材明细'!N1898:N1903),1)</x:f>
        <x:v>22.2</x:v>
      </x:c>
      <x:c r="R318" s="10" t="str">
        <x:v>调料尽量低盐，不加白砂糖；油重已计入热量。</x:v>
      </x:c>
    </x:row>
    <x:row r="319" ht="37" customHeight="1">
      <x:c r="A319" t="n">
        <x:v>318</x:v>
      </x:c>
      <x:c r="B319" t="n">
        <x:v>159</x:v>
      </x:c>
      <x:c r="C319" t="n">
        <x:v>23</x:v>
      </x:c>
      <x:c r="D319" t="str">
        <x:v>晚餐</x:v>
      </x:c>
      <x:c r="E319" t="str">
        <x:v>豆蛋</x:v>
      </x:c>
      <x:c r="F319" s="10" t="str">
        <x:v>清汤嫩豆腐配荷兰豆紫甘蓝｜土豆</x:v>
      </x:c>
      <x:c r="G319" s="10" t="str">
        <x:v>嫩豆腐300g、荷兰豆160g、紫甘蓝125g、土豆80g、烹调油3g</x:v>
      </x:c>
      <x:c r="H319" t="str">
        <x:v>土豆</x:v>
      </x:c>
      <x:c r="I319" s="10" t="str">
        <x:v>想减主食可减到原量2/3，另加100g绿叶菜</x:v>
      </x:c>
      <x:c r="J319" s="10" t="str">
        <x:v>葱段、盐少量</x:v>
      </x:c>
      <x:c r="K319" t="str">
        <x:v>煮</x:v>
      </x:c>
      <x:c r="L319" s="10" t="str">
        <x:v>清水煮开，按熟化时间下食材，最后放叶菜，清淡调味；土豆另煮熟或蒸好后同餐食用。</x:v>
      </x:c>
      <x:c r="M319" t="n">
        <x:v>20</x:v>
      </x:c>
      <x:c r="N319" t="n">
        <x:f>ROUND(SUM('食材明细'!H1904:H1909),0)</x:f>
        <x:v>360</x:v>
      </x:c>
      <x:c r="O319" t="n">
        <x:f>ROUND(SUM('食材明细'!J1904:J1909),1)</x:f>
        <x:v>22.8</x:v>
      </x:c>
      <x:c r="P319" t="n">
        <x:f>ROUND(SUM('食材明细'!L1904:L1909),1)</x:f>
        <x:v>40.9</x:v>
      </x:c>
      <x:c r="Q319" t="n">
        <x:f>ROUND(SUM('食材明细'!N1904:N1909),1)</x:f>
        <x:v>12.1</x:v>
      </x:c>
      <x:c r="R319" s="10" t="str">
        <x:v>调料尽量低盐，不加白砂糖；油重已计入热量。</x:v>
      </x:c>
    </x:row>
    <x:row r="320" ht="37" customHeight="1">
      <x:c r="A320" t="n">
        <x:v>319</x:v>
      </x:c>
      <x:c r="B320" t="n">
        <x:v>160</x:v>
      </x:c>
      <x:c r="C320" t="n">
        <x:v>23</x:v>
      </x:c>
      <x:c r="D320" t="str">
        <x:v>午餐</x:v>
      </x:c>
      <x:c r="E320" t="str">
        <x:v>海鲜</x:v>
      </x:c>
      <x:c r="F320" s="10" t="str">
        <x:v>清汤花蛤肉配芦笋白萝卜｜糙米饭</x:v>
      </x:c>
      <x:c r="G320" s="10" t="str">
        <x:v>花蛤肉210g、芦笋140g、白萝卜110g、糙米饭125g、烹调油5g</x:v>
      </x:c>
      <x:c r="H320" t="str">
        <x:v>糙米饭</x:v>
      </x:c>
      <x:c r="I320" s="10" t="str">
        <x:v>低主食需求可将主食减1/3，另加100g非淀粉蔬菜（营养值需重算）</x:v>
      </x:c>
      <x:c r="J320" s="10" t="str">
        <x:v>葱段、盐少量</x:v>
      </x:c>
      <x:c r="K320" t="str">
        <x:v>煮</x:v>
      </x:c>
      <x:c r="L320" s="10" t="str">
        <x:v>清水煮开，按熟化时间下食材，最后放叶菜，清淡调味；糙米饭另煮熟或蒸好后同餐食用。</x:v>
      </x:c>
      <x:c r="M320" t="n">
        <x:v>30</x:v>
      </x:c>
      <x:c r="N320" t="n">
        <x:f>ROUND(SUM('食材明细'!H1910:H1915),0)</x:f>
        <x:v>390</x:v>
      </x:c>
      <x:c r="O320" t="n">
        <x:f>ROUND(SUM('食材明细'!J1910:J1915),1)</x:f>
        <x:v>34.3</x:v>
      </x:c>
      <x:c r="P320" t="n">
        <x:f>ROUND(SUM('食材明细'!L1910:L1915),1)</x:f>
        <x:v>46.6</x:v>
      </x:c>
      <x:c r="Q320" t="n">
        <x:f>ROUND(SUM('食材明细'!N1910:N1915),1)</x:f>
        <x:v>8.5</x:v>
      </x:c>
      <x:c r="R320" s="10" t="str">
        <x:v>调料尽量低盐，不加白砂糖；油重已计入热量。</x:v>
      </x:c>
    </x:row>
    <x:row r="321" ht="37" customHeight="1">
      <x:c r="A321" t="n">
        <x:v>320</x:v>
      </x:c>
      <x:c r="B321" t="n">
        <x:v>160</x:v>
      </x:c>
      <x:c r="C321" t="n">
        <x:v>23</x:v>
      </x:c>
      <x:c r="D321" t="str">
        <x:v>晚餐</x:v>
      </x:c>
      <x:c r="E321" t="str">
        <x:v>海鲜</x:v>
      </x:c>
      <x:c r="F321" s="10" t="str">
        <x:v>清汤虾仁配小白菜胡萝卜｜荞麦面</x:v>
      </x:c>
      <x:c r="G321" s="10" t="str">
        <x:v>虾仁160g、小白菜140g、胡萝卜140g、荞麦面100g、烹调油4g</x:v>
      </x:c>
      <x:c r="H321" t="str">
        <x:v>荞麦面</x:v>
      </x:c>
      <x:c r="I321" s="10" t="str">
        <x:v>低主食需求可将主食减1/3，另加100g非淀粉蔬菜（营养值需重算）</x:v>
      </x:c>
      <x:c r="J321" s="10" t="str">
        <x:v>葱段、盐少量</x:v>
      </x:c>
      <x:c r="K321" t="str">
        <x:v>煮</x:v>
      </x:c>
      <x:c r="L321" s="10" t="str">
        <x:v>清水煮开，按熟化时间下食材，最后放叶菜，清淡调味；面/魔芋丝煮熟后与菜合碗。</x:v>
      </x:c>
      <x:c r="M321" t="n">
        <x:v>30</x:v>
      </x:c>
      <x:c r="N321" t="n">
        <x:f>ROUND(SUM('食材明细'!H1916:H1921),0)</x:f>
        <x:v>366</x:v>
      </x:c>
      <x:c r="O321" t="n">
        <x:f>ROUND(SUM('食材明细'!J1916:J1921),1)</x:f>
        <x:v>37.9</x:v>
      </x:c>
      <x:c r="P321" t="n">
        <x:f>ROUND(SUM('食材明细'!L1916:L1921),1)</x:f>
        <x:v>39.6</x:v>
      </x:c>
      <x:c r="Q321" t="n">
        <x:f>ROUND(SUM('食材明细'!N1916:N1921),1)</x:f>
        <x:v>7</x:v>
      </x:c>
      <x:c r="R321" s="10" t="str">
        <x:v>调料尽量低盐，不加白砂糖；油重已计入热量。</x:v>
      </x:c>
    </x:row>
    <x:row r="322" ht="37" customHeight="1">
      <x:c r="A322" t="n">
        <x:v>321</x:v>
      </x:c>
      <x:c r="B322" t="n">
        <x:v>161</x:v>
      </x:c>
      <x:c r="C322" t="n">
        <x:v>23</x:v>
      </x:c>
      <x:c r="D322" t="str">
        <x:v>午餐</x:v>
      </x:c>
      <x:c r="E322" t="str">
        <x:v>鱼类</x:v>
      </x:c>
      <x:c r="F322" s="10" t="str">
        <x:v>番茄鳕鱼配海带｜白米饭</x:v>
      </x:c>
      <x:c r="G322" s="10" t="str">
        <x:v>鳕鱼200g、番茄175g、海带140g、白米饭150g、烹调油3g</x:v>
      </x:c>
      <x:c r="H322" t="str">
        <x:v>白米饭</x:v>
      </x:c>
      <x:c r="I322" s="10" t="str">
        <x:v>低主食需求可将主食减1/3，另加100g非淀粉蔬菜（营养值需重算）</x:v>
      </x:c>
      <x:c r="J322" s="10" t="str">
        <x:v>番茄丁、黑胡椒</x:v>
      </x:c>
      <x:c r="K322" t="str">
        <x:v>炖煮</x:v>
      </x:c>
      <x:c r="L322" s="10" t="str">
        <x:v>鱼肉去刺，彻底做熟；番茄出汁后加入主食材和少量水，轻炖至熟，再放配菜；白米饭另煮熟或蒸好后同餐食用。</x:v>
      </x:c>
      <x:c r="M322" t="n">
        <x:v>20</x:v>
      </x:c>
      <x:c r="N322" t="n">
        <x:f>ROUND(SUM('食材明细'!H1922:H1927),0)</x:f>
        <x:v>441</x:v>
      </x:c>
      <x:c r="O322" t="n">
        <x:f>ROUND(SUM('食材明细'!J1922:J1927),1)</x:f>
        <x:v>42.9</x:v>
      </x:c>
      <x:c r="P322" t="n">
        <x:f>ROUND(SUM('食材明细'!L1922:L1927),1)</x:f>
        <x:v>52.4</x:v>
      </x:c>
      <x:c r="Q322" t="n">
        <x:f>ROUND(SUM('食材明细'!N1922:N1927),1)</x:f>
        <x:v>5.5</x:v>
      </x:c>
      <x:c r="R322" s="10" t="str">
        <x:v>调料尽量低盐，不加白砂糖；油重已计入热量。</x:v>
      </x:c>
    </x:row>
    <x:row r="323" ht="37" customHeight="1">
      <x:c r="A323" t="n">
        <x:v>322</x:v>
      </x:c>
      <x:c r="B323" t="n">
        <x:v>161</x:v>
      </x:c>
      <x:c r="C323" t="n">
        <x:v>23</x:v>
      </x:c>
      <x:c r="D323" t="str">
        <x:v>晚餐</x:v>
      </x:c>
      <x:c r="E323" t="str">
        <x:v>禽肉</x:v>
      </x:c>
      <x:c r="F323" s="10" t="str">
        <x:v>葱姜清蒸去皮鸡腿肉配菠菜海带｜荞麦饭</x:v>
      </x:c>
      <x:c r="G323" s="10" t="str">
        <x:v>去皮鸡腿肉180g、菠菜160g、海带110g、荞麦饭125g、烹调油5g</x:v>
      </x:c>
      <x:c r="H323" t="str">
        <x:v>荞麦饭</x:v>
      </x:c>
      <x:c r="I323" s="10" t="str">
        <x:v>低主食需求可将主食减1/3，另加100g非淀粉蔬菜（营养值需重算）</x:v>
      </x:c>
      <x:c r="J323" s="10" t="str">
        <x:v>葱姜、少量低盐生抽</x:v>
      </x:c>
      <x:c r="K323" t="str">
        <x:v>蒸</x:v>
      </x:c>
      <x:c r="L323" s="10" t="str">
        <x:v>先去皮去骨并切薄，充分加热；切片腌5分钟；肉和配菜入盘，蒸至熟透；淋葱姜汁；荞麦饭另煮熟或蒸好后同餐食用。</x:v>
      </x:c>
      <x:c r="M323" t="n">
        <x:v>15</x:v>
      </x:c>
      <x:c r="N323" t="n">
        <x:f>ROUND(SUM('食材明细'!H1928:H1933),0)</x:f>
        <x:v>472</x:v>
      </x:c>
      <x:c r="O323" t="n">
        <x:f>ROUND(SUM('食材明细'!J1928:J1933),1)</x:f>
        <x:v>46</x:v>
      </x:c>
      <x:c r="P323" t="n">
        <x:f>ROUND(SUM('食材明细'!L1928:L1933),1)</x:f>
        <x:v>38.8</x:v>
      </x:c>
      <x:c r="Q323" t="n">
        <x:f>ROUND(SUM('食材明细'!N1928:N1933),1)</x:f>
        <x:v>16.1</x:v>
      </x:c>
      <x:c r="R323" s="10" t="str">
        <x:v>调料尽量低盐，不加白砂糖；油重已计入热量。</x:v>
      </x:c>
    </x:row>
    <x:row r="324" ht="37" customHeight="1">
      <x:c r="A324" t="n">
        <x:v>323</x:v>
      </x:c>
      <x:c r="B324" t="n">
        <x:v>162</x:v>
      </x:c>
      <x:c r="C324" t="n">
        <x:v>24</x:v>
      </x:c>
      <x:c r="D324" t="str">
        <x:v>午餐</x:v>
      </x:c>
      <x:c r="E324" t="str">
        <x:v>猪肉</x:v>
      </x:c>
      <x:c r="F324" s="10" t="str">
        <x:v>酸汤猪里脊配紫甘蓝花菜｜糙米饭</x:v>
      </x:c>
      <x:c r="G324" s="10" t="str">
        <x:v>猪里脊185g、紫甘蓝175g、花菜155g、糙米饭165g、烹调油3g</x:v>
      </x:c>
      <x:c r="H324" t="str">
        <x:v>糙米饭</x:v>
      </x:c>
      <x:c r="I324" s="10" t="str">
        <x:v>低主食需求可将主食减1/3，另加100g非淀粉蔬菜（营养值需重算）</x:v>
      </x:c>
      <x:c r="J324" s="10" t="str">
        <x:v>米醋、番茄、少许辣椒</x:v>
      </x:c>
      <x:c r="K324" t="str">
        <x:v>水煮</x:v>
      </x:c>
      <x:c r="L324" s="10" t="str">
        <x:v>番茄煮成酸汤，主食材汆熟，加入蔬菜再煮2～5分钟；糙米饭另煮熟或蒸好后同餐食用。</x:v>
      </x:c>
      <x:c r="M324" t="n">
        <x:v>20</x:v>
      </x:c>
      <x:c r="N324" t="n">
        <x:f>ROUND(SUM('食材明细'!H1934:H1939),0)</x:f>
        <x:v>527</x:v>
      </x:c>
      <x:c r="O324" t="n">
        <x:f>ROUND(SUM('食材明细'!J1934:J1939),1)</x:f>
        <x:v>48.7</x:v>
      </x:c>
      <x:c r="P324" t="n">
        <x:f>ROUND(SUM('食材明细'!L1934:L1939),1)</x:f>
        <x:v>59.3</x:v>
      </x:c>
      <x:c r="Q324" t="n">
        <x:f>ROUND(SUM('食材明细'!N1934:N1939),1)</x:f>
        <x:v>11.6</x:v>
      </x:c>
      <x:c r="R324" s="10" t="str">
        <x:v>调料尽量低盐，不加白砂糖；油重已计入热量。</x:v>
      </x:c>
    </x:row>
    <x:row r="325" ht="37" customHeight="1">
      <x:c r="A325" t="n">
        <x:v>324</x:v>
      </x:c>
      <x:c r="B325" t="n">
        <x:v>162</x:v>
      </x:c>
      <x:c r="C325" t="n">
        <x:v>24</x:v>
      </x:c>
      <x:c r="D325" t="str">
        <x:v>晚餐</x:v>
      </x:c>
      <x:c r="E325" t="str">
        <x:v>豆蛋</x:v>
      </x:c>
      <x:c r="F325" s="10" t="str">
        <x:v>番茄北豆腐熟毛豆仁烩番茄胡萝卜｜荞麦饭</x:v>
      </x:c>
      <x:c r="G325" s="10" t="str">
        <x:v>北豆腐260g、熟毛豆仁70g、番茄175g、胡萝卜125g、荞麦饭135g、烹调油4g</x:v>
      </x:c>
      <x:c r="H325" t="str">
        <x:v>荞麦饭</x:v>
      </x:c>
      <x:c r="I325" s="10" t="str">
        <x:v>低主食需求可将主食减1/3，另加100g非淀粉蔬菜（营养值需重算）</x:v>
      </x:c>
      <x:c r="J325" s="10" t="str">
        <x:v>番茄丁、黑胡椒</x:v>
      </x:c>
      <x:c r="K325" t="str">
        <x:v>炖煮</x:v>
      </x:c>
      <x:c r="L325" s="10" t="str">
        <x:v>番茄出汁后加入主食材和少量水，轻炖至熟，再放配菜；荞麦饭另煮熟或蒸好后同餐食用。</x:v>
      </x:c>
      <x:c r="M325" t="n">
        <x:v>25</x:v>
      </x:c>
      <x:c r="N325" t="n">
        <x:f>ROUND(SUM('食材明细'!H1940:H1945),0)</x:f>
        <x:v>589</x:v>
      </x:c>
      <x:c r="O325" t="n">
        <x:f>ROUND(SUM('食材明细'!J1940:J1945),1)</x:f>
        <x:v>41.7</x:v>
      </x:c>
      <x:c r="P325" t="n">
        <x:f>ROUND(SUM('食材明细'!L1940:L1945),1)</x:f>
        <x:v>60.7</x:v>
      </x:c>
      <x:c r="Q325" t="n">
        <x:f>ROUND(SUM('食材明细'!N1940:N1945),1)</x:f>
        <x:v>22.6</x:v>
      </x:c>
      <x:c r="R325" s="10" t="str">
        <x:v>调料尽量低盐，不加白砂糖；油重已计入热量。</x:v>
      </x:c>
    </x:row>
    <x:row r="326" ht="37" customHeight="1">
      <x:c r="A326" t="n">
        <x:v>325</x:v>
      </x:c>
      <x:c r="B326" t="n">
        <x:v>163</x:v>
      </x:c>
      <x:c r="C326" t="n">
        <x:v>24</x:v>
      </x:c>
      <x:c r="D326" t="str">
        <x:v>午餐</x:v>
      </x:c>
      <x:c r="E326" t="str">
        <x:v>禽肉</x:v>
      </x:c>
      <x:c r="F326" s="10" t="str">
        <x:v>葱姜清蒸鸡胸肉配娃娃菜白萝卜｜糙米饭</x:v>
      </x:c>
      <x:c r="G326" s="10" t="str">
        <x:v>鸡胸肉175g、熟毛豆仁70g、娃娃菜160g、白萝卜155g、糙米饭165g、烹调油5g</x:v>
      </x:c>
      <x:c r="H326" t="str">
        <x:v>糙米饭</x:v>
      </x:c>
      <x:c r="I326" s="10" t="str">
        <x:v>低主食需求可将主食减1/3，另加100g非淀粉蔬菜（营养值需重算）</x:v>
      </x:c>
      <x:c r="J326" s="10" t="str">
        <x:v>葱姜、少量低盐生抽</x:v>
      </x:c>
      <x:c r="K326" t="str">
        <x:v>蒸</x:v>
      </x:c>
      <x:c r="L326" s="10" t="str">
        <x:v>切片腌5分钟；肉和配菜入盘，蒸至熟透；淋葱姜汁；糙米饭另煮熟或蒸好后同餐食用。</x:v>
      </x:c>
      <x:c r="M326" t="n">
        <x:v>30</x:v>
      </x:c>
      <x:c r="N326" t="n">
        <x:f>ROUND(SUM('食材明细'!H1946:H1951),0)</x:f>
        <x:v>561</x:v>
      </x:c>
      <x:c r="O326" t="n">
        <x:f>ROUND(SUM('食材明细'!J1946:J1951),1)</x:f>
        <x:v>56</x:v>
      </x:c>
      <x:c r="P326" t="n">
        <x:f>ROUND(SUM('食材明细'!L1946:L1951),1)</x:f>
        <x:v>56.1</x:v>
      </x:c>
      <x:c r="Q326" t="n">
        <x:f>ROUND(SUM('食材明细'!N1946:N1951),1)</x:f>
        <x:v>14</x:v>
      </x:c>
      <x:c r="R326" s="10" t="str">
        <x:v>调料尽量低盐，不加白砂糖；油重已计入热量。</x:v>
      </x:c>
    </x:row>
    <x:row r="327" ht="37" customHeight="1">
      <x:c r="A327" t="n">
        <x:v>326</x:v>
      </x:c>
      <x:c r="B327" t="n">
        <x:v>163</x:v>
      </x:c>
      <x:c r="C327" t="n">
        <x:v>24</x:v>
      </x:c>
      <x:c r="D327" t="str">
        <x:v>晚餐</x:v>
      </x:c>
      <x:c r="E327" t="str">
        <x:v>海鲜</x:v>
      </x:c>
      <x:c r="F327" s="10" t="str">
        <x:v>清汤花蛤肉配娃娃菜香菇｜紫薯</x:v>
      </x:c>
      <x:c r="G327" s="10" t="str">
        <x:v>花蛤肉210g、嫩豆腐160g、娃娃菜190g、香菇140g、紫薯125g、烹调油3g</x:v>
      </x:c>
      <x:c r="H327" t="str">
        <x:v>紫薯</x:v>
      </x:c>
      <x:c r="I327" s="10" t="str">
        <x:v>想减主食可减到原量2/3，另加100g绿叶菜</x:v>
      </x:c>
      <x:c r="J327" s="10" t="str">
        <x:v>葱段、盐少量</x:v>
      </x:c>
      <x:c r="K327" t="str">
        <x:v>煮</x:v>
      </x:c>
      <x:c r="L327" s="10" t="str">
        <x:v>清水煮开，按熟化时间下食材，最后放叶菜，清淡调味；紫薯另煮熟或蒸好后同餐食用。</x:v>
      </x:c>
      <x:c r="M327" t="n">
        <x:v>30</x:v>
      </x:c>
      <x:c r="N327" t="n">
        <x:f>ROUND(SUM('食材明细'!H1952:H1957),0)</x:f>
        <x:v>471</x:v>
      </x:c>
      <x:c r="O327" t="n">
        <x:f>ROUND(SUM('食材明细'!J1952:J1957),1)</x:f>
        <x:v>42.8</x:v>
      </x:c>
      <x:c r="P327" t="n">
        <x:f>ROUND(SUM('食材明细'!L1952:L1957),1)</x:f>
        <x:v>53.3</x:v>
      </x:c>
      <x:c r="Q327" t="n">
        <x:f>ROUND(SUM('食材明细'!N1952:N1957),1)</x:f>
        <x:v>10.8</x:v>
      </x:c>
      <x:c r="R327" s="10" t="str">
        <x:v>调料尽量低盐，不加白砂糖；油重已计入热量。</x:v>
      </x:c>
    </x:row>
    <x:row r="328" ht="37" customHeight="1">
      <x:c r="A328" t="n">
        <x:v>327</x:v>
      </x:c>
      <x:c r="B328" t="n">
        <x:v>164</x:v>
      </x:c>
      <x:c r="C328" t="n">
        <x:v>24</x:v>
      </x:c>
      <x:c r="D328" t="str">
        <x:v>午餐</x:v>
      </x:c>
      <x:c r="E328" t="str">
        <x:v>猪肉</x:v>
      </x:c>
      <x:c r="F328" s="10" t="str">
        <x:v>葱姜清蒸猪瘦肉配油麦菜香菇｜糙米饭</x:v>
      </x:c>
      <x:c r="G328" s="10" t="str">
        <x:v>猪瘦肉165g、油麦菜160g、香菇110g、糙米饭110g、烹调油6g</x:v>
      </x:c>
      <x:c r="H328" t="str">
        <x:v>糙米饭</x:v>
      </x:c>
      <x:c r="I328" s="10" t="str">
        <x:v>低主食需求可将主食减1/3，另加100g非淀粉蔬菜（营养值需重算）</x:v>
      </x:c>
      <x:c r="J328" s="10" t="str">
        <x:v>葱姜、少量低盐生抽</x:v>
      </x:c>
      <x:c r="K328" t="str">
        <x:v>蒸</x:v>
      </x:c>
      <x:c r="L328" s="10" t="str">
        <x:v>切片腌5分钟；肉和配菜入盘，蒸至熟透；淋葱姜汁；糙米饭另煮熟或蒸好后同餐食用。</x:v>
      </x:c>
      <x:c r="M328" t="n">
        <x:v>15</x:v>
      </x:c>
      <x:c r="N328" t="n">
        <x:f>ROUND(SUM('食材明细'!H1958:H1963),0)</x:f>
        <x:v>458</x:v>
      </x:c>
      <x:c r="O328" t="n">
        <x:f>ROUND(SUM('食材明细'!J1958:J1963),1)</x:f>
        <x:v>40.5</x:v>
      </x:c>
      <x:c r="P328" t="n">
        <x:f>ROUND(SUM('食材明细'!L1958:L1963),1)</x:f>
        <x:v>38.3</x:v>
      </x:c>
      <x:c r="Q328" t="n">
        <x:f>ROUND(SUM('食材明细'!N1958:N1963),1)</x:f>
        <x:v>16.9</x:v>
      </x:c>
      <x:c r="R328" s="10" t="str">
        <x:v>调料尽量低盐，不加白砂糖；油重已计入热量。</x:v>
      </x:c>
    </x:row>
    <x:row r="329" ht="37" customHeight="1">
      <x:c r="A329" t="n">
        <x:v>328</x:v>
      </x:c>
      <x:c r="B329" t="n">
        <x:v>164</x:v>
      </x:c>
      <x:c r="C329" t="n">
        <x:v>24</x:v>
      </x:c>
      <x:c r="D329" t="str">
        <x:v>晚餐</x:v>
      </x:c>
      <x:c r="E329" t="str">
        <x:v>禽肉</x:v>
      </x:c>
      <x:c r="F329" s="10" t="str">
        <x:v>番茄去皮鸭胸肉配彩椒｜糙米饭</x:v>
      </x:c>
      <x:c r="G329" s="10" t="str">
        <x:v>去皮鸭胸肉170g、番茄160g、彩椒110g、糙米饭135g、烹调油5g</x:v>
      </x:c>
      <x:c r="H329" t="str">
        <x:v>糙米饭</x:v>
      </x:c>
      <x:c r="I329" s="10" t="str">
        <x:v>低主食需求可将主食减1/3，另加100g非淀粉蔬菜（营养值需重算）</x:v>
      </x:c>
      <x:c r="J329" s="10" t="str">
        <x:v>番茄丁、黑胡椒</x:v>
      </x:c>
      <x:c r="K329" t="str">
        <x:v>炖煮</x:v>
      </x:c>
      <x:c r="L329" s="10" t="str">
        <x:v>番茄出汁后加入主食材和少量水，轻炖至熟，再放配菜；糙米饭另煮熟或蒸好后同餐食用。</x:v>
      </x:c>
      <x:c r="M329" t="n">
        <x:v>25</x:v>
      </x:c>
      <x:c r="N329" t="n">
        <x:f>ROUND(SUM('食材明细'!H1964:H1969),0)</x:f>
        <x:v>496</x:v>
      </x:c>
      <x:c r="O329" t="n">
        <x:f>ROUND(SUM('食材明细'!J1964:J1969),1)</x:f>
        <x:v>38.3</x:v>
      </x:c>
      <x:c r="P329" t="n">
        <x:f>ROUND(SUM('食材明细'!L1964:L1969),1)</x:f>
        <x:v>44.8</x:v>
      </x:c>
      <x:c r="Q329" t="n">
        <x:f>ROUND(SUM('食材明细'!N1964:N1969),1)</x:f>
        <x:v>18.7</x:v>
      </x:c>
      <x:c r="R329" s="10" t="str">
        <x:v>调料尽量低盐，不加白砂糖；油重已计入热量。</x:v>
      </x:c>
    </x:row>
    <x:row r="330" ht="37" customHeight="1">
      <x:c r="A330" t="n">
        <x:v>329</x:v>
      </x:c>
      <x:c r="B330" t="n">
        <x:v>165</x:v>
      </x:c>
      <x:c r="C330" t="n">
        <x:v>24</x:v>
      </x:c>
      <x:c r="D330" t="str">
        <x:v>午餐</x:v>
      </x:c>
      <x:c r="E330" t="str">
        <x:v>牛肉</x:v>
      </x:c>
      <x:c r="F330" s="10" t="str">
        <x:v>花椒瘦牛肉配苦瓜白萝卜｜荞麦面</x:v>
      </x:c>
      <x:c r="G330" s="10" t="str">
        <x:v>瘦牛肉175g、苦瓜175g、白萝卜155g、荞麦面110g、烹调油4g</x:v>
      </x:c>
      <x:c r="H330" t="str">
        <x:v>荞麦面</x:v>
      </x:c>
      <x:c r="I330" s="10" t="str">
        <x:v>低主食需求可将主食减1/3，另加100g非淀粉蔬菜（营养值需重算）</x:v>
      </x:c>
      <x:c r="J330" s="10" t="str">
        <x:v>花椒粉、姜丝</x:v>
      </x:c>
      <x:c r="K330" t="str">
        <x:v>蒸</x:v>
      </x:c>
      <x:c r="L330" s="10" t="str">
        <x:v>薄薄撒花椒和姜丝，蒸至熟透，搭配焯青菜；面/魔芋丝煮熟后与菜合碗。</x:v>
      </x:c>
      <x:c r="M330" t="n">
        <x:v>25</x:v>
      </x:c>
      <x:c r="N330" t="n">
        <x:f>ROUND(SUM('食材明细'!H1970:H1975),0)</x:f>
        <x:v>431</x:v>
      </x:c>
      <x:c r="O330" t="n">
        <x:f>ROUND(SUM('食材明细'!J1970:J1975),1)</x:f>
        <x:v>43.8</x:v>
      </x:c>
      <x:c r="P330" t="n">
        <x:f>ROUND(SUM('食材明细'!L1970:L1975),1)</x:f>
        <x:v>36.5</x:v>
      </x:c>
      <x:c r="Q330" t="n">
        <x:f>ROUND(SUM('食材明细'!N1970:N1975),1)</x:f>
        <x:v>12.3</x:v>
      </x:c>
      <x:c r="R330" s="10" t="str">
        <x:v>调料尽量低盐，不加白砂糖；油重已计入热量。</x:v>
      </x:c>
    </x:row>
    <x:row r="331" ht="37" customHeight="1">
      <x:c r="A331" t="n">
        <x:v>330</x:v>
      </x:c>
      <x:c r="B331" t="n">
        <x:v>165</x:v>
      </x:c>
      <x:c r="C331" t="n">
        <x:v>24</x:v>
      </x:c>
      <x:c r="D331" t="str">
        <x:v>晚餐</x:v>
      </x:c>
      <x:c r="E331" t="str">
        <x:v>禽肉</x:v>
      </x:c>
      <x:c r="F331" s="10" t="str">
        <x:v>葱姜清蒸去皮鸡腿肉配四季豆西兰花｜燕麦饭</x:v>
      </x:c>
      <x:c r="G331" s="10" t="str">
        <x:v>去皮鸡腿肉145g、四季豆160g、西兰花110g、燕麦饭135g、烹调油6g</x:v>
      </x:c>
      <x:c r="H331" t="str">
        <x:v>燕麦饭</x:v>
      </x:c>
      <x:c r="I331" s="10" t="str">
        <x:v>低主食需求可将主食减1/3，另加100g非淀粉蔬菜（营养值需重算）</x:v>
      </x:c>
      <x:c r="J331" s="10" t="str">
        <x:v>葱姜、少量低盐生抽</x:v>
      </x:c>
      <x:c r="K331" t="str">
        <x:v>蒸</x:v>
      </x:c>
      <x:c r="L331" s="10" t="str">
        <x:v>先去皮去骨并切薄，充分加热；切片腌5分钟；肉和配菜入盘，蒸至熟透；淋葱姜汁；燕麦饭另煮熟或蒸好后同餐食用。四季豆必须充分煮熟，不要生脆。</x:v>
      </x:c>
      <x:c r="M331" t="n">
        <x:v>30</x:v>
      </x:c>
      <x:c r="N331" t="n">
        <x:f>ROUND(SUM('食材明细'!H1976:H1981),0)</x:f>
        <x:v>471</x:v>
      </x:c>
      <x:c r="O331" t="n">
        <x:f>ROUND(SUM('食材明细'!J1976:J1981),1)</x:f>
        <x:v>39.3</x:v>
      </x:c>
      <x:c r="P331" t="n">
        <x:f>ROUND(SUM('食材明细'!L1976:L1981),1)</x:f>
        <x:v>47.3</x:v>
      </x:c>
      <x:c r="Q331" t="n">
        <x:f>ROUND(SUM('食材明细'!N1976:N1981),1)</x:f>
        <x:v>16.3</x:v>
      </x:c>
      <x:c r="R331" s="10" t="str">
        <x:v>调料尽量低盐，不加白砂糖；油重已计入热量。</x:v>
      </x:c>
    </x:row>
    <x:row r="332" ht="37" customHeight="1">
      <x:c r="A332" t="n">
        <x:v>331</x:v>
      </x:c>
      <x:c r="B332" t="n">
        <x:v>166</x:v>
      </x:c>
      <x:c r="C332" t="n">
        <x:v>24</x:v>
      </x:c>
      <x:c r="D332" t="str">
        <x:v>午餐</x:v>
      </x:c>
      <x:c r="E332" t="str">
        <x:v>牛肉</x:v>
      </x:c>
      <x:c r="F332" s="10" t="str">
        <x:v>黑椒牛腱子配四季豆杏鲍菇｜荞麦面</x:v>
      </x:c>
      <x:c r="G332" s="10" t="str">
        <x:v>牛腱子165g、四季豆175g、杏鲍菇125g、荞麦面110g、烹调油5g</x:v>
      </x:c>
      <x:c r="H332" t="str">
        <x:v>荞麦面</x:v>
      </x:c>
      <x:c r="I332" s="10" t="str">
        <x:v>低主食需求可将主食减1/3，另加100g非淀粉蔬菜（营养值需重算）</x:v>
      </x:c>
      <x:c r="J332" s="10" t="str">
        <x:v>黑胡椒、蒜末</x:v>
      </x:c>
      <x:c r="K332" t="str">
        <x:v>少油烩</x:v>
      </x:c>
      <x:c r="L332" s="10" t="str">
        <x:v>锅加少量水和油，先把主食材煮熟，再烩两种蔬菜，收汁撒黑椒；面/魔芋丝煮熟后与菜合碗。四季豆必须充分煮熟，不要生脆。</x:v>
      </x:c>
      <x:c r="M332" t="n">
        <x:v>15</x:v>
      </x:c>
      <x:c r="N332" t="n">
        <x:f>ROUND(SUM('食材明细'!H1982:H1987),0)</x:f>
        <x:v>490</x:v>
      </x:c>
      <x:c r="O332" t="n">
        <x:f>ROUND(SUM('食材明细'!J1982:J1987),1)</x:f>
        <x:v>44.7</x:v>
      </x:c>
      <x:c r="P332" t="n">
        <x:f>ROUND(SUM('食材明细'!L1982:L1987),1)</x:f>
        <x:v>44.6</x:v>
      </x:c>
      <x:c r="Q332" t="n">
        <x:f>ROUND(SUM('食材明细'!N1982:N1987),1)</x:f>
        <x:v>16.2</x:v>
      </x:c>
      <x:c r="R332" s="10" t="str">
        <x:v>调料尽量低盐，不加白砂糖；油重已计入热量。</x:v>
      </x:c>
    </x:row>
    <x:row r="333" ht="37" customHeight="1">
      <x:c r="A333" t="n">
        <x:v>332</x:v>
      </x:c>
      <x:c r="B333" t="n">
        <x:v>166</x:v>
      </x:c>
      <x:c r="C333" t="n">
        <x:v>24</x:v>
      </x:c>
      <x:c r="D333" t="str">
        <x:v>晚餐</x:v>
      </x:c>
      <x:c r="E333" t="str">
        <x:v>海鲜</x:v>
      </x:c>
      <x:c r="F333" s="10" t="str">
        <x:v>葱姜清蒸虾仁配油麦菜杏鲍菇｜燕麦饭</x:v>
      </x:c>
      <x:c r="G333" s="10" t="str">
        <x:v>虾仁160g、油麦菜175g、杏鲍菇110g、燕麦饭120g、烹调油3g</x:v>
      </x:c>
      <x:c r="H333" t="str">
        <x:v>燕麦饭</x:v>
      </x:c>
      <x:c r="I333" s="10" t="str">
        <x:v>低主食需求可将主食减1/3，另加100g非淀粉蔬菜（营养值需重算）</x:v>
      </x:c>
      <x:c r="J333" s="10" t="str">
        <x:v>葱姜、少量低盐生抽</x:v>
      </x:c>
      <x:c r="K333" t="str">
        <x:v>蒸</x:v>
      </x:c>
      <x:c r="L333" s="10" t="str">
        <x:v>切片腌5分钟；肉和配菜入盘，蒸至熟透；淋葱姜汁；燕麦饭另煮熟或蒸好后同餐食用。</x:v>
      </x:c>
      <x:c r="M333" t="n">
        <x:v>15</x:v>
      </x:c>
      <x:c r="N333" t="n">
        <x:f>ROUND(SUM('食材明细'!H1988:H1993),0)</x:f>
        <x:v>373</x:v>
      </x:c>
      <x:c r="O333" t="n">
        <x:f>ROUND(SUM('食材明细'!J1988:J1993),1)</x:f>
        <x:v>38.9</x:v>
      </x:c>
      <x:c r="P333" t="n">
        <x:f>ROUND(SUM('食材明细'!L1988:L1993),1)</x:f>
        <x:v>39.4</x:v>
      </x:c>
      <x:c r="Q333" t="n">
        <x:f>ROUND(SUM('食材明细'!N1988:N1993),1)</x:f>
        <x:v>7.6</x:v>
      </x:c>
      <x:c r="R333" s="10" t="str">
        <x:v>调料尽量低盐，不加白砂糖；油重已计入热量。</x:v>
      </x:c>
    </x:row>
    <x:row r="334" ht="37" customHeight="1">
      <x:c r="A334" t="n">
        <x:v>333</x:v>
      </x:c>
      <x:c r="B334" t="n">
        <x:v>167</x:v>
      </x:c>
      <x:c r="C334" t="n">
        <x:v>24</x:v>
      </x:c>
      <x:c r="D334" t="str">
        <x:v>午餐</x:v>
      </x:c>
      <x:c r="E334" t="str">
        <x:v>鱼类</x:v>
      </x:c>
      <x:c r="F334" s="10" t="str">
        <x:v>花椒巴沙鱼配菠菜口蘑｜乌冬面</x:v>
      </x:c>
      <x:c r="G334" s="10" t="str">
        <x:v>巴沙鱼185g、菠菜160g、口蘑125g、乌冬面150g、烹调油5g</x:v>
      </x:c>
      <x:c r="H334" t="str">
        <x:v>乌冬面</x:v>
      </x:c>
      <x:c r="I334" s="10" t="str">
        <x:v>低主食需求可将主食减1/3，另加100g非淀粉蔬菜（营养值需重算）</x:v>
      </x:c>
      <x:c r="J334" s="10" t="str">
        <x:v>花椒粉、姜丝</x:v>
      </x:c>
      <x:c r="K334" t="str">
        <x:v>蒸</x:v>
      </x:c>
      <x:c r="L334" s="10" t="str">
        <x:v>鱼肉去刺，彻底做熟；薄薄撒花椒和姜丝，蒸至熟透，搭配焯青菜；面/魔芋丝煮熟后与菜合碗。</x:v>
      </x:c>
      <x:c r="M334" t="n">
        <x:v>20</x:v>
      </x:c>
      <x:c r="N334" t="n">
        <x:f>ROUND(SUM('食材明细'!H1994:H1999),0)</x:f>
        <x:v>456</x:v>
      </x:c>
      <x:c r="O334" t="n">
        <x:f>ROUND(SUM('食材明细'!J1994:J1999),1)</x:f>
        <x:v>43.7</x:v>
      </x:c>
      <x:c r="P334" t="n">
        <x:f>ROUND(SUM('食材明细'!L1994:L1999),1)</x:f>
        <x:v>47.4</x:v>
      </x:c>
      <x:c r="Q334" t="n">
        <x:f>ROUND(SUM('食材明细'!N1994:N1999),1)</x:f>
        <x:v>11.2</x:v>
      </x:c>
      <x:c r="R334" s="10" t="str">
        <x:v>调料尽量低盐，不加白砂糖；油重已计入热量。</x:v>
      </x:c>
    </x:row>
    <x:row r="335" ht="37" customHeight="1">
      <x:c r="A335" t="n">
        <x:v>334</x:v>
      </x:c>
      <x:c r="B335" t="n">
        <x:v>167</x:v>
      </x:c>
      <x:c r="C335" t="n">
        <x:v>24</x:v>
      </x:c>
      <x:c r="D335" t="str">
        <x:v>晚餐</x:v>
      </x:c>
      <x:c r="E335" t="str">
        <x:v>海鲜</x:v>
      </x:c>
      <x:c r="F335" s="10" t="str">
        <x:v>豉汁扇贝肉配芦笋海带｜杂粮饭</x:v>
      </x:c>
      <x:c r="G335" s="10" t="str">
        <x:v>扇贝肉190g、芦笋140g、海带110g、杂粮饭125g、烹调油3g</x:v>
      </x:c>
      <x:c r="H335" t="str">
        <x:v>杂粮饭</x:v>
      </x:c>
      <x:c r="I335" s="10" t="str">
        <x:v>低主食需求可将主食减1/3，另加100g非淀粉蔬菜（营养值需重算）</x:v>
      </x:c>
      <x:c r="J335" s="10" t="str">
        <x:v>少量豆豉、姜末</x:v>
      </x:c>
      <x:c r="K335" t="str">
        <x:v>蒸</x:v>
      </x:c>
      <x:c r="L335" s="10" t="str">
        <x:v>豆豉冲洗剁碎，与姜末拌主食材后蒸熟；蔬菜另煮；杂粮饭另煮熟或蒸好后同餐食用。</x:v>
      </x:c>
      <x:c r="M335" t="n">
        <x:v>25</x:v>
      </x:c>
      <x:c r="N335" t="n">
        <x:f>ROUND(SUM('食材明细'!H2000:H2005),0)</x:f>
        <x:v>397</x:v>
      </x:c>
      <x:c r="O335" t="n">
        <x:f>ROUND(SUM('食材明细'!J2000:J2005),1)</x:f>
        <x:v>40.4</x:v>
      </x:c>
      <x:c r="P335" t="n">
        <x:f>ROUND(SUM('食材明细'!L2000:L2005),1)</x:f>
        <x:v>46</x:v>
      </x:c>
      <x:c r="Q335" t="n">
        <x:f>ROUND(SUM('食材明细'!N2000:N2005),1)</x:f>
        <x:v>6.2</x:v>
      </x:c>
      <x:c r="R335" s="10" t="str">
        <x:v>调料尽量低盐，不加白砂糖；油重已计入热量。</x:v>
      </x:c>
    </x:row>
    <x:row r="336" ht="37" customHeight="1">
      <x:c r="A336" t="n">
        <x:v>335</x:v>
      </x:c>
      <x:c r="B336" t="n">
        <x:v>168</x:v>
      </x:c>
      <x:c r="C336" t="n">
        <x:v>24</x:v>
      </x:c>
      <x:c r="D336" t="str">
        <x:v>午餐</x:v>
      </x:c>
      <x:c r="E336" t="str">
        <x:v>牛肉</x:v>
      </x:c>
      <x:c r="F336" s="10" t="str">
        <x:v>柠檬瘦牛肉配彩椒黄瓜｜杂粮饭</x:v>
      </x:c>
      <x:c r="G336" s="10" t="str">
        <x:v>瘦牛肉175g、彩椒140g、黄瓜125g、杂粮饭165g、烹调油5g</x:v>
      </x:c>
      <x:c r="H336" t="str">
        <x:v>杂粮饭</x:v>
      </x:c>
      <x:c r="I336" s="10" t="str">
        <x:v>低主食需求可将主食减1/3，另加100g非淀粉蔬菜（营养值需重算）</x:v>
      </x:c>
      <x:c r="J336" s="10" t="str">
        <x:v>柠檬片、白胡椒</x:v>
      </x:c>
      <x:c r="K336" t="str">
        <x:v>蒸</x:v>
      </x:c>
      <x:c r="L336" s="10" t="str">
        <x:v>柠檬片垫底，主食材蒸熟，蔬菜短焯后摆盘；杂粮饭另煮熟或蒸好后同餐食用。</x:v>
      </x:c>
      <x:c r="M336" t="n">
        <x:v>30</x:v>
      </x:c>
      <x:c r="N336" t="n">
        <x:f>ROUND(SUM('食材明细'!H2006:H2011),0)</x:f>
        <x:v>511</x:v>
      </x:c>
      <x:c r="O336" t="n">
        <x:f>ROUND(SUM('食材明细'!J2006:J2011),1)</x:f>
        <x:v>44.2</x:v>
      </x:c>
      <x:c r="P336" t="n">
        <x:f>ROUND(SUM('食材明细'!L2006:L2011),1)</x:f>
        <x:v>51.8</x:v>
      </x:c>
      <x:c r="Q336" t="n">
        <x:f>ROUND(SUM('食材明细'!N2006:N2011),1)</x:f>
        <x:v>14.2</x:v>
      </x:c>
      <x:c r="R336" s="10" t="str">
        <x:v>调料尽量低盐，不加白砂糖；油重已计入热量。</x:v>
      </x:c>
    </x:row>
    <x:row r="337" ht="37" customHeight="1">
      <x:c r="A337" t="n">
        <x:v>336</x:v>
      </x:c>
      <x:c r="B337" t="n">
        <x:v>168</x:v>
      </x:c>
      <x:c r="C337" t="n">
        <x:v>24</x:v>
      </x:c>
      <x:c r="D337" t="str">
        <x:v>晚餐</x:v>
      </x:c>
      <x:c r="E337" t="str">
        <x:v>豆蛋</x:v>
      </x:c>
      <x:c r="F337" s="10" t="str">
        <x:v>葱姜清蒸北豆腐鸡蛋烩紫甘蓝冬瓜｜荞麦饭</x:v>
      </x:c>
      <x:c r="G337" s="10" t="str">
        <x:v>北豆腐300g、鸡蛋85g、紫甘蓝190g、冬瓜140g、荞麦饭125g、烹调油3g</x:v>
      </x:c>
      <x:c r="H337" t="str">
        <x:v>荞麦饭</x:v>
      </x:c>
      <x:c r="I337" s="10" t="str">
        <x:v>低主食需求可将主食减1/3，另加100g非淀粉蔬菜（营养值需重算）</x:v>
      </x:c>
      <x:c r="J337" s="10" t="str">
        <x:v>葱姜、少量低盐生抽</x:v>
      </x:c>
      <x:c r="K337" t="str">
        <x:v>蒸</x:v>
      </x:c>
      <x:c r="L337" s="10" t="str">
        <x:v>切片腌5分钟；肉和配菜入盘，蒸至熟透；淋葱姜汁；荞麦饭另煮熟或蒸好后同餐食用。</x:v>
      </x:c>
      <x:c r="M337" t="n">
        <x:v>15</x:v>
      </x:c>
      <x:c r="N337" t="n">
        <x:f>ROUND(SUM('食材明细'!H2012:H2017),0)</x:f>
        <x:v>634</x:v>
      </x:c>
      <x:c r="O337" t="n">
        <x:f>ROUND(SUM('食材明细'!J2012:J2017),1)</x:f>
        <x:v>48.5</x:v>
      </x:c>
      <x:c r="P337" t="n">
        <x:f>ROUND(SUM('食材明细'!L2012:L2017),1)</x:f>
        <x:v>52.5</x:v>
      </x:c>
      <x:c r="Q337" t="n">
        <x:f>ROUND(SUM('食材明细'!N2012:N2017),1)</x:f>
        <x:v>28.4</x:v>
      </x:c>
      <x:c r="R337" s="10" t="str">
        <x:v>调料尽量低盐，不加白砂糖；油重已计入热量。</x:v>
      </x:c>
    </x:row>
    <x:row r="338" ht="37" customHeight="1">
      <x:c r="A338" t="n">
        <x:v>337</x:v>
      </x:c>
      <x:c r="B338" t="n">
        <x:v>169</x:v>
      </x:c>
      <x:c r="C338" t="n">
        <x:v>25</x:v>
      </x:c>
      <x:c r="D338" t="str">
        <x:v>午餐</x:v>
      </x:c>
      <x:c r="E338" t="str">
        <x:v>鱼类</x:v>
      </x:c>
      <x:c r="F338" s="10" t="str">
        <x:v>清汤鳕鱼配芹菜紫甘蓝｜山药</x:v>
      </x:c>
      <x:c r="G338" s="10" t="str">
        <x:v>鳕鱼215g、芹菜140g、紫甘蓝155g、山药140g、烹调油3g</x:v>
      </x:c>
      <x:c r="H338" t="str">
        <x:v>山药</x:v>
      </x:c>
      <x:c r="I338" s="10" t="str">
        <x:v>想减主食可减到原量2/3，另加100g绿叶菜</x:v>
      </x:c>
      <x:c r="J338" s="10" t="str">
        <x:v>葱段、盐少量</x:v>
      </x:c>
      <x:c r="K338" t="str">
        <x:v>煮</x:v>
      </x:c>
      <x:c r="L338" s="10" t="str">
        <x:v>鱼肉去刺，彻底做熟；清水煮开，按熟化时间下食材，最后放叶菜，清淡调味；山药另煮熟或蒸好后同餐食用。</x:v>
      </x:c>
      <x:c r="M338" t="n">
        <x:v>25</x:v>
      </x:c>
      <x:c r="N338" t="n">
        <x:f>ROUND(SUM('食材明细'!H2018:H2023),0)</x:f>
        <x:v>368</x:v>
      </x:c>
      <x:c r="O338" t="n">
        <x:f>ROUND(SUM('食材明细'!J2018:J2023),1)</x:f>
        <x:v>44.4</x:v>
      </x:c>
      <x:c r="P338" t="n">
        <x:f>ROUND(SUM('食材明细'!L2018:L2023),1)</x:f>
        <x:v>36</x:v>
      </x:c>
      <x:c r="Q338" t="n">
        <x:f>ROUND(SUM('食材明细'!N2018:N2023),1)</x:f>
        <x:v>5.2</x:v>
      </x:c>
      <x:c r="R338" s="10" t="str">
        <x:v>调料尽量低盐，不加白砂糖；油重已计入热量。</x:v>
      </x:c>
    </x:row>
    <x:row r="339" ht="37" customHeight="1">
      <x:c r="A339" t="n">
        <x:v>338</x:v>
      </x:c>
      <x:c r="B339" t="n">
        <x:v>169</x:v>
      </x:c>
      <x:c r="C339" t="n">
        <x:v>25</x:v>
      </x:c>
      <x:c r="D339" t="str">
        <x:v>晚餐</x:v>
      </x:c>
      <x:c r="E339" t="str">
        <x:v>禽肉</x:v>
      </x:c>
      <x:c r="F339" s="10" t="str">
        <x:v>蒜香鸡胸肉配丝瓜白萝卜｜藜麦饭</x:v>
      </x:c>
      <x:c r="G339" s="10" t="str">
        <x:v>鸡胸肉170g、丝瓜175g、白萝卜155g、藜麦饭110g、烹调油3g</x:v>
      </x:c>
      <x:c r="H339" t="str">
        <x:v>藜麦饭</x:v>
      </x:c>
      <x:c r="I339" s="10" t="str">
        <x:v>低主食需求可将主食减1/3，另加100g非淀粉蔬菜（营养值需重算）</x:v>
      </x:c>
      <x:c r="J339" s="10" t="str">
        <x:v>蒜末、白胡椒</x:v>
      </x:c>
      <x:c r="K339" t="str">
        <x:v>蒸</x:v>
      </x:c>
      <x:c r="L339" s="10" t="str">
        <x:v>食材切块，撒蒜末；上锅蒸熟，蔬菜另焯后拌匀；藜麦饭另煮熟或蒸好后同餐食用。</x:v>
      </x:c>
      <x:c r="M339" t="n">
        <x:v>15</x:v>
      </x:c>
      <x:c r="N339" t="n">
        <x:f>ROUND(SUM('食材明细'!H2024:H2029),0)</x:f>
        <x:v>409</x:v>
      </x:c>
      <x:c r="O339" t="n">
        <x:f>ROUND(SUM('食材明细'!J2024:J2029),1)</x:f>
        <x:v>46.6</x:v>
      </x:c>
      <x:c r="P339" t="n">
        <x:f>ROUND(SUM('食材明细'!L2024:L2029),1)</x:f>
        <x:v>36.6</x:v>
      </x:c>
      <x:c r="Q339" t="n">
        <x:f>ROUND(SUM('食材明细'!N2024:N2029),1)</x:f>
        <x:v>9</x:v>
      </x:c>
      <x:c r="R339" s="10" t="str">
        <x:v>调料尽量低盐，不加白砂糖；油重已计入热量。</x:v>
      </x:c>
    </x:row>
    <x:row r="340" ht="37" customHeight="1">
      <x:c r="A340" t="n">
        <x:v>339</x:v>
      </x:c>
      <x:c r="B340" t="n">
        <x:v>170</x:v>
      </x:c>
      <x:c r="C340" t="n">
        <x:v>25</x:v>
      </x:c>
      <x:c r="D340" t="str">
        <x:v>午餐</x:v>
      </x:c>
      <x:c r="E340" t="str">
        <x:v>海鲜</x:v>
      </x:c>
      <x:c r="F340" s="10" t="str">
        <x:v>黑椒虾仁配紫甘蓝香菇｜杂粮饭</x:v>
      </x:c>
      <x:c r="G340" s="10" t="str">
        <x:v>虾仁160g、紫甘蓝190g、香菇155g、杂粮饭165g、烹调油5g</x:v>
      </x:c>
      <x:c r="H340" t="str">
        <x:v>杂粮饭</x:v>
      </x:c>
      <x:c r="I340" s="10" t="str">
        <x:v>低主食需求可将主食减1/3，另加100g非淀粉蔬菜（营养值需重算）</x:v>
      </x:c>
      <x:c r="J340" s="10" t="str">
        <x:v>黑胡椒、蒜末</x:v>
      </x:c>
      <x:c r="K340" t="str">
        <x:v>少油烩</x:v>
      </x:c>
      <x:c r="L340" s="10" t="str">
        <x:v>锅加少量水和油，先把主食材煮熟，再烩两种蔬菜，收汁撒黑椒；杂粮饭另煮熟或蒸好后同餐食用。</x:v>
      </x:c>
      <x:c r="M340" t="n">
        <x:v>30</x:v>
      </x:c>
      <x:c r="N340" t="n">
        <x:f>ROUND(SUM('食材明细'!H2030:H2035),0)</x:f>
        <x:v>490</x:v>
      </x:c>
      <x:c r="O340" t="n">
        <x:f>ROUND(SUM('食材明细'!J2030:J2035),1)</x:f>
        <x:v>41.6</x:v>
      </x:c>
      <x:c r="P340" t="n">
        <x:f>ROUND(SUM('食材明细'!L2030:L2035),1)</x:f>
        <x:v>63.8</x:v>
      </x:c>
      <x:c r="Q340" t="n">
        <x:f>ROUND(SUM('食材明细'!N2030:N2035),1)</x:f>
        <x:v>9.6</x:v>
      </x:c>
      <x:c r="R340" s="10" t="str">
        <x:v>调料尽量低盐，不加白砂糖；油重已计入热量。</x:v>
      </x:c>
    </x:row>
    <x:row r="341" ht="37" customHeight="1">
      <x:c r="A341" t="n">
        <x:v>340</x:v>
      </x:c>
      <x:c r="B341" t="n">
        <x:v>170</x:v>
      </x:c>
      <x:c r="C341" t="n">
        <x:v>25</x:v>
      </x:c>
      <x:c r="D341" t="str">
        <x:v>晚餐</x:v>
      </x:c>
      <x:c r="E341" t="str">
        <x:v>鱼类</x:v>
      </x:c>
      <x:c r="F341" s="10" t="str">
        <x:v>番茄巴沙鱼配白萝卜｜白米饭</x:v>
      </x:c>
      <x:c r="G341" s="10" t="str">
        <x:v>巴沙鱼185g、番茄190g、白萝卜110g、白米饭80g、烹调油6g</x:v>
      </x:c>
      <x:c r="H341" t="str">
        <x:v>白米饭</x:v>
      </x:c>
      <x:c r="I341" s="10" t="str">
        <x:v>低主食需求可将主食减1/3，另加100g非淀粉蔬菜（营养值需重算）</x:v>
      </x:c>
      <x:c r="J341" s="10" t="str">
        <x:v>番茄丁、黑胡椒</x:v>
      </x:c>
      <x:c r="K341" t="str">
        <x:v>炖煮</x:v>
      </x:c>
      <x:c r="L341" s="10" t="str">
        <x:v>鱼肉去刺，彻底做熟；番茄出汁后加入主食材和少量水，轻炖至熟，再放配菜；白米饭另煮熟或蒸好后同餐食用。</x:v>
      </x:c>
      <x:c r="M341" t="n">
        <x:v>35</x:v>
      </x:c>
      <x:c r="N341" t="n">
        <x:f>ROUND(SUM('食材明细'!H2036:H2041),0)</x:f>
        <x:v>371</x:v>
      </x:c>
      <x:c r="O341" t="n">
        <x:f>ROUND(SUM('食材明细'!J2036:J2041),1)</x:f>
        <x:v>35.9</x:v>
      </x:c>
      <x:c r="P341" t="n">
        <x:f>ROUND(SUM('食材明细'!L2036:L2041),1)</x:f>
        <x:v>32.5</x:v>
      </x:c>
      <x:c r="Q341" t="n">
        <x:f>ROUND(SUM('食材明细'!N2036:N2041),1)</x:f>
        <x:v>11</x:v>
      </x:c>
      <x:c r="R341" s="10" t="str">
        <x:v>调料尽量低盐，不加白砂糖；油重已计入热量。</x:v>
      </x:c>
    </x:row>
    <x:row r="342" ht="37" customHeight="1">
      <x:c r="A342" t="n">
        <x:v>341</x:v>
      </x:c>
      <x:c r="B342" t="n">
        <x:v>171</x:v>
      </x:c>
      <x:c r="C342" t="n">
        <x:v>25</x:v>
      </x:c>
      <x:c r="D342" t="str">
        <x:v>午餐</x:v>
      </x:c>
      <x:c r="E342" t="str">
        <x:v>鱼类</x:v>
      </x:c>
      <x:c r="F342" s="10" t="str">
        <x:v>酸汤巴沙鱼配冬瓜香菇｜红薯</x:v>
      </x:c>
      <x:c r="G342" s="10" t="str">
        <x:v>巴沙鱼185g、冬瓜140g、香菇125g、红薯135g、烹调油4g</x:v>
      </x:c>
      <x:c r="H342" t="str">
        <x:v>红薯</x:v>
      </x:c>
      <x:c r="I342" s="10" t="str">
        <x:v>想减主食可减到原量2/3，另加100g绿叶菜</x:v>
      </x:c>
      <x:c r="J342" s="10" t="str">
        <x:v>米醋、番茄、少许辣椒</x:v>
      </x:c>
      <x:c r="K342" t="str">
        <x:v>水煮</x:v>
      </x:c>
      <x:c r="L342" s="10" t="str">
        <x:v>鱼肉去刺，彻底做熟；番茄煮成酸汤，主食材汆熟，加入蔬菜再煮2～5分钟；红薯另煮熟或蒸好后同餐食用。</x:v>
      </x:c>
      <x:c r="M342" t="n">
        <x:v>25</x:v>
      </x:c>
      <x:c r="N342" t="n">
        <x:f>ROUND(SUM('食材明细'!H2042:H2047),0)</x:f>
        <x:v>382</x:v>
      </x:c>
      <x:c r="O342" t="n">
        <x:f>ROUND(SUM('食材明细'!J2042:J2047),1)</x:f>
        <x:v>36.9</x:v>
      </x:c>
      <x:c r="P342" t="n">
        <x:f>ROUND(SUM('食材明细'!L2042:L2047),1)</x:f>
        <x:v>40.4</x:v>
      </x:c>
      <x:c r="Q342" t="n">
        <x:f>ROUND(SUM('食材明细'!N2042:N2047),1)</x:f>
        <x:v>9.3</x:v>
      </x:c>
      <x:c r="R342" s="10" t="str">
        <x:v>调料尽量低盐，不加白砂糖；油重已计入热量。</x:v>
      </x:c>
    </x:row>
    <x:row r="343" ht="37" customHeight="1">
      <x:c r="A343" t="n">
        <x:v>342</x:v>
      </x:c>
      <x:c r="B343" t="n">
        <x:v>171</x:v>
      </x:c>
      <x:c r="C343" t="n">
        <x:v>25</x:v>
      </x:c>
      <x:c r="D343" t="str">
        <x:v>晚餐</x:v>
      </x:c>
      <x:c r="E343" t="str">
        <x:v>禽肉</x:v>
      </x:c>
      <x:c r="F343" s="10" t="str">
        <x:v>椒麻鸡里脊肉配紫甘蓝洋葱｜杂粮饭</x:v>
      </x:c>
      <x:c r="G343" s="10" t="str">
        <x:v>鸡里脊肉145g、紫甘蓝140g、洋葱110g、杂粮饭110g、烹调油5g</x:v>
      </x:c>
      <x:c r="H343" t="str">
        <x:v>杂粮饭</x:v>
      </x:c>
      <x:c r="I343" s="10" t="str">
        <x:v>低主食需求可将主食减1/3，另加100g非淀粉蔬菜（营养值需重算）</x:v>
      </x:c>
      <x:c r="J343" s="10" t="str">
        <x:v>花椒、蒜、少量醋</x:v>
      </x:c>
      <x:c r="K343" t="str">
        <x:v>水煮</x:v>
      </x:c>
      <x:c r="L343" s="10" t="str">
        <x:v>花椒温水浸出味道，煮熟主食材和配菜，少油拌汁；杂粮饭另煮熟或蒸好后同餐食用。</x:v>
      </x:c>
      <x:c r="M343" t="n">
        <x:v>30</x:v>
      </x:c>
      <x:c r="N343" t="n">
        <x:f>ROUND(SUM('食材明细'!H2048:H2053),0)</x:f>
        <x:v>418</x:v>
      </x:c>
      <x:c r="O343" t="n">
        <x:f>ROUND(SUM('食材明细'!J2048:J2053),1)</x:f>
        <x:v>39.9</x:v>
      </x:c>
      <x:c r="P343" t="n">
        <x:f>ROUND(SUM('食材明细'!L2048:L2053),1)</x:f>
        <x:v>46.3</x:v>
      </x:c>
      <x:c r="Q343" t="n">
        <x:f>ROUND(SUM('食材明细'!N2048:N2053),1)</x:f>
        <x:v>9.1</x:v>
      </x:c>
      <x:c r="R343" s="10" t="str">
        <x:v>调料尽量低盐，不加白砂糖；油重已计入热量。</x:v>
      </x:c>
    </x:row>
    <x:row r="344" ht="37" customHeight="1">
      <x:c r="A344" t="n">
        <x:v>343</x:v>
      </x:c>
      <x:c r="B344" t="n">
        <x:v>172</x:v>
      </x:c>
      <x:c r="C344" t="n">
        <x:v>25</x:v>
      </x:c>
      <x:c r="D344" t="str">
        <x:v>午餐</x:v>
      </x:c>
      <x:c r="E344" t="str">
        <x:v>豆蛋</x:v>
      </x:c>
      <x:c r="F344" s="10" t="str">
        <x:v>豉汁鸡蛋北豆腐烩西葫芦香菇｜杂粮饭</x:v>
      </x:c>
      <x:c r="G344" s="10" t="str">
        <x:v>鸡蛋100g、北豆腐110g、西葫芦190g、香菇155g、杂粮饭110g、烹调油3g</x:v>
      </x:c>
      <x:c r="H344" t="str">
        <x:v>杂粮饭</x:v>
      </x:c>
      <x:c r="I344" s="10" t="str">
        <x:v>低主食需求可将主食减1/3，另加100g非淀粉蔬菜（营养值需重算）</x:v>
      </x:c>
      <x:c r="J344" s="10" t="str">
        <x:v>少量豆豉、姜末</x:v>
      </x:c>
      <x:c r="K344" t="str">
        <x:v>蒸</x:v>
      </x:c>
      <x:c r="L344" s="10" t="str">
        <x:v>鸡蛋先打散成蛋液；豆豉冲洗剁碎，与姜末拌主食材后蒸熟；蔬菜另煮；杂粮饭另煮熟或蒸好后同餐食用。</x:v>
      </x:c>
      <x:c r="M344" t="n">
        <x:v>25</x:v>
      </x:c>
      <x:c r="N344" t="n">
        <x:f>ROUND(SUM('食材明细'!H2054:H2059),0)</x:f>
        <x:v>482</x:v>
      </x:c>
      <x:c r="O344" t="n">
        <x:f>ROUND(SUM('食材明细'!J2054:J2059),1)</x:f>
        <x:v>33.1</x:v>
      </x:c>
      <x:c r="P344" t="n">
        <x:f>ROUND(SUM('食材明细'!L2054:L2059),1)</x:f>
        <x:v>45.6</x:v>
      </x:c>
      <x:c r="Q344" t="n">
        <x:f>ROUND(SUM('食材明细'!N2054:N2059),1)</x:f>
        <x:v>21.1</x:v>
      </x:c>
      <x:c r="R344" s="10" t="str">
        <x:v>调料尽量低盐，不加白砂糖；油重已计入热量。</x:v>
      </x:c>
    </x:row>
    <x:row r="345" ht="37" customHeight="1">
      <x:c r="A345" t="n">
        <x:v>344</x:v>
      </x:c>
      <x:c r="B345" t="n">
        <x:v>172</x:v>
      </x:c>
      <x:c r="C345" t="n">
        <x:v>25</x:v>
      </x:c>
      <x:c r="D345" t="str">
        <x:v>晚餐</x:v>
      </x:c>
      <x:c r="E345" t="str">
        <x:v>牛肉</x:v>
      </x:c>
      <x:c r="F345" s="10" t="str">
        <x:v>咖喱瘦牛肉配紫甘蓝彩椒｜荞麦饭</x:v>
      </x:c>
      <x:c r="G345" s="10" t="str">
        <x:v>瘦牛肉160g、紫甘蓝175g、彩椒140g、荞麦饭110g、烹调油4g</x:v>
      </x:c>
      <x:c r="H345" t="str">
        <x:v>荞麦饭</x:v>
      </x:c>
      <x:c r="I345" s="10" t="str">
        <x:v>低主食需求可将主食减1/3，另加100g非淀粉蔬菜（营养值需重算）</x:v>
      </x:c>
      <x:c r="J345" s="10" t="str">
        <x:v>无加糖咖喱粉、姜末</x:v>
      </x:c>
      <x:c r="K345" t="str">
        <x:v>炖煮</x:v>
      </x:c>
      <x:c r="L345" s="10" t="str">
        <x:v>用咖喱粉而非高脂咖喱块，加水轻炖主食材和蔬菜；荞麦饭另煮熟或蒸好后同餐食用。</x:v>
      </x:c>
      <x:c r="M345" t="n">
        <x:v>20</x:v>
      </x:c>
      <x:c r="N345" t="n">
        <x:f>ROUND(SUM('食材明细'!H2060:H2065),0)</x:f>
        <x:v>449</x:v>
      </x:c>
      <x:c r="O345" t="n">
        <x:f>ROUND(SUM('食材明细'!J2060:J2065),1)</x:f>
        <x:v>41.2</x:v>
      </x:c>
      <x:c r="P345" t="n">
        <x:f>ROUND(SUM('食材明细'!L2060:L2065),1)</x:f>
        <x:v>45.5</x:v>
      </x:c>
      <x:c r="Q345" t="n">
        <x:f>ROUND(SUM('食材明细'!N2060:N2065),1)</x:f>
        <x:v>12.1</x:v>
      </x:c>
      <x:c r="R345" s="10" t="str">
        <x:v>调料尽量低盐，不加白砂糖；油重已计入热量。</x:v>
      </x:c>
    </x:row>
    <x:row r="346" ht="37" customHeight="1">
      <x:c r="A346" t="n">
        <x:v>345</x:v>
      </x:c>
      <x:c r="B346" t="n">
        <x:v>173</x:v>
      </x:c>
      <x:c r="C346" t="n">
        <x:v>25</x:v>
      </x:c>
      <x:c r="D346" t="str">
        <x:v>午餐</x:v>
      </x:c>
      <x:c r="E346" t="str">
        <x:v>海鲜</x:v>
      </x:c>
      <x:c r="F346" s="10" t="str">
        <x:v>豉汁虾仁配竹笋香菇｜紫薯</x:v>
      </x:c>
      <x:c r="G346" s="10" t="str">
        <x:v>虾仁190g、北豆腐110g、竹笋160g、香菇155g、紫薯110g、烹调油6g</x:v>
      </x:c>
      <x:c r="H346" t="str">
        <x:v>紫薯</x:v>
      </x:c>
      <x:c r="I346" s="10" t="str">
        <x:v>想减主食可减到原量2/3，另加100g绿叶菜</x:v>
      </x:c>
      <x:c r="J346" s="10" t="str">
        <x:v>少量豆豉、姜末</x:v>
      </x:c>
      <x:c r="K346" t="str">
        <x:v>蒸</x:v>
      </x:c>
      <x:c r="L346" s="10" t="str">
        <x:v>豆豉冲洗剁碎，与姜末拌主食材后蒸熟；蔬菜另煮；紫薯另煮熟或蒸好后同餐食用。</x:v>
      </x:c>
      <x:c r="M346" t="n">
        <x:v>25</x:v>
      </x:c>
      <x:c r="N346" t="n">
        <x:f>ROUND(SUM('食材明细'!H2066:H2071),0)</x:f>
        <x:v>524</x:v>
      </x:c>
      <x:c r="O346" t="n">
        <x:f>ROUND(SUM('食材明细'!J2066:J2071),1)</x:f>
        <x:v>56.4</x:v>
      </x:c>
      <x:c r="P346" t="n">
        <x:f>ROUND(SUM('食材明细'!L2066:L2071),1)</x:f>
        <x:v>46</x:v>
      </x:c>
      <x:c r="Q346" t="n">
        <x:f>ROUND(SUM('食材明细'!N2066:N2071),1)</x:f>
        <x:v>15</x:v>
      </x:c>
      <x:c r="R346" s="10" t="str">
        <x:v>调料尽量低盐，不加白砂糖；油重已计入热量。</x:v>
      </x:c>
    </x:row>
    <x:row r="347" ht="37" customHeight="1">
      <x:c r="A347" t="n">
        <x:v>346</x:v>
      </x:c>
      <x:c r="B347" t="n">
        <x:v>173</x:v>
      </x:c>
      <x:c r="C347" t="n">
        <x:v>25</x:v>
      </x:c>
      <x:c r="D347" t="str">
        <x:v>晚餐</x:v>
      </x:c>
      <x:c r="E347" t="str">
        <x:v>鱼类</x:v>
      </x:c>
      <x:c r="F347" s="10" t="str">
        <x:v>花椒巴沙鱼配油麦菜丝瓜｜山药</x:v>
      </x:c>
      <x:c r="G347" s="10" t="str">
        <x:v>巴沙鱼200g、油麦菜140g、丝瓜125g、山药125g、烹调油6g</x:v>
      </x:c>
      <x:c r="H347" t="str">
        <x:v>山药</x:v>
      </x:c>
      <x:c r="I347" s="10" t="str">
        <x:v>想减主食可减到原量2/3，另加100g绿叶菜</x:v>
      </x:c>
      <x:c r="J347" s="10" t="str">
        <x:v>花椒粉、姜丝</x:v>
      </x:c>
      <x:c r="K347" t="str">
        <x:v>蒸</x:v>
      </x:c>
      <x:c r="L347" s="10" t="str">
        <x:v>鱼肉去刺，彻底做熟；薄薄撒花椒和姜丝，蒸至熟透，搭配焯青菜；山药另煮熟或蒸好后同餐食用。</x:v>
      </x:c>
      <x:c r="M347" t="n">
        <x:v>30</x:v>
      </x:c>
      <x:c r="N347" t="n">
        <x:f>ROUND(SUM('食材明细'!H2072:H2077),0)</x:f>
        <x:v>362</x:v>
      </x:c>
      <x:c r="O347" t="n">
        <x:f>ROUND(SUM('食材明细'!J2072:J2077),1)</x:f>
        <x:v>39.1</x:v>
      </x:c>
      <x:c r="P347" t="n">
        <x:f>ROUND(SUM('食材明细'!L2072:L2077),1)</x:f>
        <x:v>27</x:v>
      </x:c>
      <x:c r="Q347" t="n">
        <x:f>ROUND(SUM('食材明细'!N2072:N2077),1)</x:f>
        <x:v>11.3</x:v>
      </x:c>
      <x:c r="R347" s="10" t="str">
        <x:v>调料尽量低盐，不加白砂糖；油重已计入热量。</x:v>
      </x:c>
    </x:row>
    <x:row r="348" ht="37" customHeight="1">
      <x:c r="A348" t="n">
        <x:v>347</x:v>
      </x:c>
      <x:c r="B348" t="n">
        <x:v>174</x:v>
      </x:c>
      <x:c r="C348" t="n">
        <x:v>25</x:v>
      </x:c>
      <x:c r="D348" t="str">
        <x:v>午餐</x:v>
      </x:c>
      <x:c r="E348" t="str">
        <x:v>海鲜</x:v>
      </x:c>
      <x:c r="F348" s="10" t="str">
        <x:v>蒜香鱿鱼配娃娃菜番茄｜米粉</x:v>
      </x:c>
      <x:c r="G348" s="10" t="str">
        <x:v>鱿鱼175g、娃娃菜140g、番茄125g、米粉125g、烹调油4g</x:v>
      </x:c>
      <x:c r="H348" t="str">
        <x:v>米粉</x:v>
      </x:c>
      <x:c r="I348" s="10" t="str">
        <x:v>低主食需求可将主食减1/3，另加100g非淀粉蔬菜（营养值需重算）</x:v>
      </x:c>
      <x:c r="J348" s="10" t="str">
        <x:v>蒜末、白胡椒</x:v>
      </x:c>
      <x:c r="K348" t="str">
        <x:v>蒸</x:v>
      </x:c>
      <x:c r="L348" s="10" t="str">
        <x:v>食材切块，撒蒜末；上锅蒸熟，蔬菜另焯后拌匀；面/魔芋丝煮熟后与菜合碗。</x:v>
      </x:c>
      <x:c r="M348" t="n">
        <x:v>25</x:v>
      </x:c>
      <x:c r="N348" t="n">
        <x:f>ROUND(SUM('食材明细'!H2078:H2083),0)</x:f>
        <x:v>389</x:v>
      </x:c>
      <x:c r="O348" t="n">
        <x:f>ROUND(SUM('食材明细'!J2078:J2083),1)</x:f>
        <x:v>35.2</x:v>
      </x:c>
      <x:c r="P348" t="n">
        <x:f>ROUND(SUM('食材明细'!L2078:L2083),1)</x:f>
        <x:v>42.7</x:v>
      </x:c>
      <x:c r="Q348" t="n">
        <x:f>ROUND(SUM('食材明细'!N2078:N2083),1)</x:f>
        <x:v>7.5</x:v>
      </x:c>
      <x:c r="R348" s="10" t="str">
        <x:v>调料尽量低盐，不加白砂糖；油重已计入热量。</x:v>
      </x:c>
    </x:row>
    <x:row r="349" ht="37" customHeight="1">
      <x:c r="A349" t="n">
        <x:v>348</x:v>
      </x:c>
      <x:c r="B349" t="n">
        <x:v>174</x:v>
      </x:c>
      <x:c r="C349" t="n">
        <x:v>25</x:v>
      </x:c>
      <x:c r="D349" t="str">
        <x:v>晚餐</x:v>
      </x:c>
      <x:c r="E349" t="str">
        <x:v>豆蛋</x:v>
      </x:c>
      <x:c r="F349" s="10" t="str">
        <x:v>番茄嫩豆腐鸡蛋烩番茄彩椒｜白米饭</x:v>
      </x:c>
      <x:c r="G349" s="10" t="str">
        <x:v>嫩豆腐300g、鸡蛋85g、番茄175g、彩椒110g、白米饭125g、烹调油4g</x:v>
      </x:c>
      <x:c r="H349" t="str">
        <x:v>白米饭</x:v>
      </x:c>
      <x:c r="I349" s="10" t="str">
        <x:v>低主食需求可将主食减1/3，另加100g非淀粉蔬菜（营养值需重算）</x:v>
      </x:c>
      <x:c r="J349" s="10" t="str">
        <x:v>番茄丁、黑胡椒</x:v>
      </x:c>
      <x:c r="K349" t="str">
        <x:v>炖煮</x:v>
      </x:c>
      <x:c r="L349" s="10" t="str">
        <x:v>番茄出汁后加入主食材和少量水，轻炖至熟，再放配菜；白米饭另煮熟或蒸好后同餐食用。</x:v>
      </x:c>
      <x:c r="M349" t="n">
        <x:v>25</x:v>
      </x:c>
      <x:c r="N349" t="n">
        <x:f>ROUND(SUM('食材明细'!H2084:H2089),0)</x:f>
        <x:v>533</x:v>
      </x:c>
      <x:c r="O349" t="n">
        <x:f>ROUND(SUM('食材明细'!J2084:J2089),1)</x:f>
        <x:v>32</x:v>
      </x:c>
      <x:c r="P349" t="n">
        <x:f>ROUND(SUM('食材明细'!L2084:L2089),1)</x:f>
        <x:v>52.7</x:v>
      </x:c>
      <x:c r="Q349" t="n">
        <x:f>ROUND(SUM('食材明细'!N2084:N2089),1)</x:f>
        <x:v>21.8</x:v>
      </x:c>
      <x:c r="R349" s="10" t="str">
        <x:v>调料尽量低盐，不加白砂糖；油重已计入热量。</x:v>
      </x:c>
    </x:row>
    <x:row r="350" ht="37" customHeight="1">
      <x:c r="A350" t="n">
        <x:v>349</x:v>
      </x:c>
      <x:c r="B350" t="n">
        <x:v>175</x:v>
      </x:c>
      <x:c r="C350" t="n">
        <x:v>25</x:v>
      </x:c>
      <x:c r="D350" t="str">
        <x:v>午餐</x:v>
      </x:c>
      <x:c r="E350" t="str">
        <x:v>牛肉</x:v>
      </x:c>
      <x:c r="F350" s="10" t="str">
        <x:v>酸汤肥牛卷北豆腐烩苦瓜香菇｜荞麦饭</x:v>
      </x:c>
      <x:c r="G350" s="10" t="str">
        <x:v>肥牛卷95g、北豆腐130g、苦瓜140g、香菇110g、荞麦饭165g、烹调油5g</x:v>
      </x:c>
      <x:c r="H350" t="str">
        <x:v>荞麦饭</x:v>
      </x:c>
      <x:c r="I350" s="10" t="str">
        <x:v>低主食需求可将主食减1/3，另加100g非淀粉蔬菜（营养值需重算）</x:v>
      </x:c>
      <x:c r="J350" s="10" t="str">
        <x:v>米醋、番茄、少许辣椒</x:v>
      </x:c>
      <x:c r="K350" t="str">
        <x:v>水煮</x:v>
      </x:c>
      <x:c r="L350" s="10" t="str">
        <x:v>肥牛先汆水撇去浮油；番茄煮成酸汤，主食材汆熟，加入蔬菜再煮2～5分钟；荞麦饭另煮熟或蒸好后同餐食用。</x:v>
      </x:c>
      <x:c r="M350" t="n">
        <x:v>20</x:v>
      </x:c>
      <x:c r="N350" t="n">
        <x:f>ROUND(SUM('食材明细'!H2090:H2095),0)</x:f>
        <x:v>645</x:v>
      </x:c>
      <x:c r="O350" t="n">
        <x:f>ROUND(SUM('食材明细'!J2090:J2095),1)</x:f>
        <x:v>37.6</x:v>
      </x:c>
      <x:c r="P350" t="n">
        <x:f>ROUND(SUM('食材明细'!L2090:L2095),1)</x:f>
        <x:v>53.1</x:v>
      </x:c>
      <x:c r="Q350" t="n">
        <x:f>ROUND(SUM('食材明细'!N2090:N2095),1)</x:f>
        <x:v>33.2</x:v>
      </x:c>
      <x:c r="R350" s="10" t="str">
        <x:v>肥牛油脂高，按份量使用并撇浮油。</x:v>
      </x:c>
    </x:row>
    <x:row r="351" ht="37" customHeight="1">
      <x:c r="A351" t="n">
        <x:v>350</x:v>
      </x:c>
      <x:c r="B351" t="n">
        <x:v>175</x:v>
      </x:c>
      <x:c r="C351" t="n">
        <x:v>25</x:v>
      </x:c>
      <x:c r="D351" t="str">
        <x:v>晚餐</x:v>
      </x:c>
      <x:c r="E351" t="str">
        <x:v>禽肉</x:v>
      </x:c>
      <x:c r="F351" s="10" t="str">
        <x:v>葱姜清蒸鸡胸肉配菜心口蘑｜杂粮饭</x:v>
      </x:c>
      <x:c r="G351" s="10" t="str">
        <x:v>鸡胸肉170g、嫩豆腐160g、菜心160g、口蘑155g、杂粮饭110g、烹调油5g</x:v>
      </x:c>
      <x:c r="H351" t="str">
        <x:v>杂粮饭</x:v>
      </x:c>
      <x:c r="I351" s="10" t="str">
        <x:v>低主食需求可将主食减1/3，另加100g非淀粉蔬菜（营养值需重算）</x:v>
      </x:c>
      <x:c r="J351" s="10" t="str">
        <x:v>葱姜、少量低盐生抽</x:v>
      </x:c>
      <x:c r="K351" t="str">
        <x:v>蒸</x:v>
      </x:c>
      <x:c r="L351" s="10" t="str">
        <x:v>切片腌5分钟；肉和配菜入盘，蒸至熟透；淋葱姜汁；杂粮饭另煮熟或蒸好后同餐食用。</x:v>
      </x:c>
      <x:c r="M351" t="n">
        <x:v>15</x:v>
      </x:c>
      <x:c r="N351" t="n">
        <x:f>ROUND(SUM('食材明细'!H2096:H2101),0)</x:f>
        <x:v>513</x:v>
      </x:c>
      <x:c r="O351" t="n">
        <x:f>ROUND(SUM('食材明细'!J2096:J2101),1)</x:f>
        <x:v>58.5</x:v>
      </x:c>
      <x:c r="P351" t="n">
        <x:f>ROUND(SUM('食材明细'!L2096:L2101),1)</x:f>
        <x:v>39.8</x:v>
      </x:c>
      <x:c r="Q351" t="n">
        <x:f>ROUND(SUM('食材明细'!N2096:N2101),1)</x:f>
        <x:v>15</x:v>
      </x:c>
      <x:c r="R351" s="10" t="str">
        <x:v>调料尽量低盐，不加白砂糖；油重已计入热量。</x:v>
      </x:c>
    </x:row>
    <x:row r="352" ht="37" customHeight="1">
      <x:c r="A352" t="n">
        <x:v>351</x:v>
      </x:c>
      <x:c r="B352" t="n">
        <x:v>176</x:v>
      </x:c>
      <x:c r="C352" t="n">
        <x:v>26</x:v>
      </x:c>
      <x:c r="D352" t="str">
        <x:v>午餐</x:v>
      </x:c>
      <x:c r="E352" t="str">
        <x:v>海鲜</x:v>
      </x:c>
      <x:c r="F352" s="10" t="str">
        <x:v>葱姜清蒸鱿鱼配西兰花绿豆芽｜乌冬面</x:v>
      </x:c>
      <x:c r="G352" s="10" t="str">
        <x:v>鱿鱼175g、西兰花160g、绿豆芽155g、乌冬面150g、烹调油5g</x:v>
      </x:c>
      <x:c r="H352" t="str">
        <x:v>乌冬面</x:v>
      </x:c>
      <x:c r="I352" s="10" t="str">
        <x:v>低主食需求可将主食减1/3，另加100g非淀粉蔬菜（营养值需重算）</x:v>
      </x:c>
      <x:c r="J352" s="10" t="str">
        <x:v>葱姜、少量低盐生抽</x:v>
      </x:c>
      <x:c r="K352" t="str">
        <x:v>蒸</x:v>
      </x:c>
      <x:c r="L352" s="10" t="str">
        <x:v>切片腌5分钟；肉和配菜入盘，蒸至熟透；淋葱姜汁；面/魔芋丝煮熟后与菜合碗。</x:v>
      </x:c>
      <x:c r="M352" t="n">
        <x:v>25</x:v>
      </x:c>
      <x:c r="N352" t="n">
        <x:f>ROUND(SUM('食材明细'!H2102:H2107),0)</x:f>
        <x:v>494</x:v>
      </x:c>
      <x:c r="O352" t="n">
        <x:f>ROUND(SUM('食材明细'!J2102:J2107),1)</x:f>
        <x:v>42.6</x:v>
      </x:c>
      <x:c r="P352" t="n">
        <x:f>ROUND(SUM('食材明细'!L2102:L2107),1)</x:f>
        <x:v>61.5</x:v>
      </x:c>
      <x:c r="Q352" t="n">
        <x:f>ROUND(SUM('食材明细'!N2102:N2107),1)</x:f>
        <x:v>9.3</x:v>
      </x:c>
      <x:c r="R352" s="10" t="str">
        <x:v>调料尽量低盐，不加白砂糖；油重已计入热量。</x:v>
      </x:c>
    </x:row>
    <x:row r="353" ht="37" customHeight="1">
      <x:c r="A353" t="n">
        <x:v>352</x:v>
      </x:c>
      <x:c r="B353" t="n">
        <x:v>176</x:v>
      </x:c>
      <x:c r="C353" t="n">
        <x:v>26</x:v>
      </x:c>
      <x:c r="D353" t="str">
        <x:v>晚餐</x:v>
      </x:c>
      <x:c r="E353" t="str">
        <x:v>猪肉</x:v>
      </x:c>
      <x:c r="F353" s="10" t="str">
        <x:v>蒜香猪瘦肉配紫甘蓝莴笋｜白米饭</x:v>
      </x:c>
      <x:c r="G353" s="10" t="str">
        <x:v>猪瘦肉160g、紫甘蓝160g、莴笋140g、白米饭80g、烹调油3g</x:v>
      </x:c>
      <x:c r="H353" t="str">
        <x:v>白米饭</x:v>
      </x:c>
      <x:c r="I353" s="10" t="str">
        <x:v>低主食需求可将主食减1/3，另加100g非淀粉蔬菜（营养值需重算）</x:v>
      </x:c>
      <x:c r="J353" s="10" t="str">
        <x:v>蒜末、白胡椒</x:v>
      </x:c>
      <x:c r="K353" t="str">
        <x:v>蒸</x:v>
      </x:c>
      <x:c r="L353" s="10" t="str">
        <x:v>食材切块，撒蒜末；上锅蒸熟，蔬菜另焯后拌匀；白米饭另煮熟或蒸好后同餐食用。</x:v>
      </x:c>
      <x:c r="M353" t="n">
        <x:v>25</x:v>
      </x:c>
      <x:c r="N353" t="n">
        <x:f>ROUND(SUM('食材明细'!H2108:H2113),0)</x:f>
        <x:v>398</x:v>
      </x:c>
      <x:c r="O353" t="n">
        <x:f>ROUND(SUM('食材明细'!J2108:J2113),1)</x:f>
        <x:v>37.7</x:v>
      </x:c>
      <x:c r="P353" t="n">
        <x:f>ROUND(SUM('食材明细'!L2108:L2113),1)</x:f>
        <x:v>36.1</x:v>
      </x:c>
      <x:c r="Q353" t="n">
        <x:f>ROUND(SUM('食材明细'!N2108:N2113),1)</x:f>
        <x:v>12.3</x:v>
      </x:c>
      <x:c r="R353" s="10" t="str">
        <x:v>调料尽量低盐，不加白砂糖；油重已计入热量。</x:v>
      </x:c>
    </x:row>
    <x:row r="354" ht="37" customHeight="1">
      <x:c r="A354" t="n">
        <x:v>353</x:v>
      </x:c>
      <x:c r="B354" t="n">
        <x:v>177</x:v>
      </x:c>
      <x:c r="C354" t="n">
        <x:v>26</x:v>
      </x:c>
      <x:c r="D354" t="str">
        <x:v>午餐</x:v>
      </x:c>
      <x:c r="E354" t="str">
        <x:v>海鲜</x:v>
      </x:c>
      <x:c r="F354" s="10" t="str">
        <x:v>番茄花蛤肉配彩椒｜白米饭</x:v>
      </x:c>
      <x:c r="G354" s="10" t="str">
        <x:v>花蛤肉170g、番茄175g、彩椒125g、白米饭135g、烹调油6g</x:v>
      </x:c>
      <x:c r="H354" t="str">
        <x:v>白米饭</x:v>
      </x:c>
      <x:c r="I354" s="10" t="str">
        <x:v>低主食需求可将主食减1/3，另加100g非淀粉蔬菜（营养值需重算）</x:v>
      </x:c>
      <x:c r="J354" s="10" t="str">
        <x:v>番茄丁、黑胡椒</x:v>
      </x:c>
      <x:c r="K354" t="str">
        <x:v>炖煮</x:v>
      </x:c>
      <x:c r="L354" s="10" t="str">
        <x:v>番茄出汁后加入主食材和少量水，轻炖至熟，再放配菜；白米饭另煮熟或蒸好后同餐食用。</x:v>
      </x:c>
      <x:c r="M354" t="n">
        <x:v>30</x:v>
      </x:c>
      <x:c r="N354" t="n">
        <x:f>ROUND(SUM('食材明细'!H2114:H2119),0)</x:f>
        <x:v>407</x:v>
      </x:c>
      <x:c r="O354" t="n">
        <x:f>ROUND(SUM('食材明细'!J2114:J2119),1)</x:f>
        <x:v>28.4</x:v>
      </x:c>
      <x:c r="P354" t="n">
        <x:f>ROUND(SUM('食材明细'!L2114:L2119),1)</x:f>
        <x:v>55.1</x:v>
      </x:c>
      <x:c r="Q354" t="n">
        <x:f>ROUND(SUM('食材明细'!N2114:N2119),1)</x:f>
        <x:v>8.7</x:v>
      </x:c>
      <x:c r="R354" s="10" t="str">
        <x:v>调料尽量低盐，不加白砂糖；油重已计入热量。</x:v>
      </x:c>
    </x:row>
    <x:row r="355" ht="37" customHeight="1">
      <x:c r="A355" t="n">
        <x:v>354</x:v>
      </x:c>
      <x:c r="B355" t="n">
        <x:v>177</x:v>
      </x:c>
      <x:c r="C355" t="n">
        <x:v>26</x:v>
      </x:c>
      <x:c r="D355" t="str">
        <x:v>晚餐</x:v>
      </x:c>
      <x:c r="E355" t="str">
        <x:v>禽肉</x:v>
      </x:c>
      <x:c r="F355" s="10" t="str">
        <x:v>酸汤去皮鸡腿肉配芦笋玉米笋｜全麦面</x:v>
      </x:c>
      <x:c r="G355" s="10" t="str">
        <x:v>去皮鸡腿肉145g、芦笋140g、玉米笋155g、全麦面135g、烹调油5g</x:v>
      </x:c>
      <x:c r="H355" t="str">
        <x:v>全麦面</x:v>
      </x:c>
      <x:c r="I355" s="10" t="str">
        <x:v>低主食需求可将主食减1/3，另加100g非淀粉蔬菜（营养值需重算）</x:v>
      </x:c>
      <x:c r="J355" s="10" t="str">
        <x:v>米醋、番茄、少许辣椒</x:v>
      </x:c>
      <x:c r="K355" t="str">
        <x:v>水煮</x:v>
      </x:c>
      <x:c r="L355" s="10" t="str">
        <x:v>先去皮去骨并切薄，充分加热；番茄煮成酸汤，主食材汆熟，加入蔬菜再煮2～5分钟；面/魔芋丝煮熟后与菜合碗。</x:v>
      </x:c>
      <x:c r="M355" t="n">
        <x:v>15</x:v>
      </x:c>
      <x:c r="N355" t="n">
        <x:f>ROUND(SUM('食材明细'!H2120:H2125),0)</x:f>
        <x:v>462</x:v>
      </x:c>
      <x:c r="O355" t="n">
        <x:f>ROUND(SUM('食材明细'!J2120:J2125),1)</x:f>
        <x:v>41.9</x:v>
      </x:c>
      <x:c r="P355" t="n">
        <x:f>ROUND(SUM('食材明细'!L2120:L2125),1)</x:f>
        <x:v>46.8</x:v>
      </x:c>
      <x:c r="Q355" t="n">
        <x:f>ROUND(SUM('食材明细'!N2120:N2125),1)</x:f>
        <x:v>14</x:v>
      </x:c>
      <x:c r="R355" s="10" t="str">
        <x:v>调料尽量低盐，不加白砂糖；油重已计入热量。</x:v>
      </x:c>
    </x:row>
    <x:row r="356" ht="37" customHeight="1">
      <x:c r="A356" t="n">
        <x:v>355</x:v>
      </x:c>
      <x:c r="B356" t="n">
        <x:v>178</x:v>
      </x:c>
      <x:c r="C356" t="n">
        <x:v>26</x:v>
      </x:c>
      <x:c r="D356" t="str">
        <x:v>午餐</x:v>
      </x:c>
      <x:c r="E356" t="str">
        <x:v>猪肉</x:v>
      </x:c>
      <x:c r="F356" s="10" t="str">
        <x:v>柠檬猪里脊配芹菜莴笋｜杂粮饭</x:v>
      </x:c>
      <x:c r="G356" s="10" t="str">
        <x:v>猪里脊165g、芹菜140g、莴笋125g、杂粮饭150g、烹调油6g</x:v>
      </x:c>
      <x:c r="H356" t="str">
        <x:v>杂粮饭</x:v>
      </x:c>
      <x:c r="I356" s="10" t="str">
        <x:v>低主食需求可将主食减1/3，另加100g非淀粉蔬菜（营养值需重算）</x:v>
      </x:c>
      <x:c r="J356" s="10" t="str">
        <x:v>柠檬片、白胡椒</x:v>
      </x:c>
      <x:c r="K356" t="str">
        <x:v>蒸</x:v>
      </x:c>
      <x:c r="L356" s="10" t="str">
        <x:v>柠檬片垫底，主食材蒸熟，蔬菜短焯后摆盘；杂粮饭另煮熟或蒸好后同餐食用。</x:v>
      </x:c>
      <x:c r="M356" t="n">
        <x:v>30</x:v>
      </x:c>
      <x:c r="N356" t="n">
        <x:f>ROUND(SUM('食材明细'!H2126:H2131),0)</x:f>
        <x:v>467</x:v>
      </x:c>
      <x:c r="O356" t="n">
        <x:f>ROUND(SUM('食材明细'!J2126:J2131),1)</x:f>
        <x:v>41.9</x:v>
      </x:c>
      <x:c r="P356" t="n">
        <x:f>ROUND(SUM('食材明细'!L2126:L2131),1)</x:f>
        <x:v>43.7</x:v>
      </x:c>
      <x:c r="Q356" t="n">
        <x:f>ROUND(SUM('食材明细'!N2126:N2131),1)</x:f>
        <x:v>13.7</x:v>
      </x:c>
      <x:c r="R356" s="10" t="str">
        <x:v>调料尽量低盐，不加白砂糖；油重已计入热量。</x:v>
      </x:c>
    </x:row>
    <x:row r="357" ht="37" customHeight="1">
      <x:c r="A357" t="n">
        <x:v>356</x:v>
      </x:c>
      <x:c r="B357" t="n">
        <x:v>178</x:v>
      </x:c>
      <x:c r="C357" t="n">
        <x:v>26</x:v>
      </x:c>
      <x:c r="D357" t="str">
        <x:v>晚餐</x:v>
      </x:c>
      <x:c r="E357" t="str">
        <x:v>牛肉</x:v>
      </x:c>
      <x:c r="F357" s="10" t="str">
        <x:v>蒜香牛腱子配西葫芦菜心｜紫薯</x:v>
      </x:c>
      <x:c r="G357" s="10" t="str">
        <x:v>牛腱子170g、西葫芦175g、菜心155g、紫薯95g、烹调油3g</x:v>
      </x:c>
      <x:c r="H357" t="str">
        <x:v>紫薯</x:v>
      </x:c>
      <x:c r="I357" s="10" t="str">
        <x:v>想减主食可减到原量2/3，另加100g绿叶菜</x:v>
      </x:c>
      <x:c r="J357" s="10" t="str">
        <x:v>蒜末、白胡椒</x:v>
      </x:c>
      <x:c r="K357" t="str">
        <x:v>蒸</x:v>
      </x:c>
      <x:c r="L357" s="10" t="str">
        <x:v>食材切块，撒蒜末；上锅蒸熟，蔬菜另焯后拌匀；紫薯另煮熟或蒸好后同餐食用。</x:v>
      </x:c>
      <x:c r="M357" t="n">
        <x:v>15</x:v>
      </x:c>
      <x:c r="N357" t="n">
        <x:f>ROUND(SUM('食材明细'!H2132:H2137),0)</x:f>
        <x:v>416</x:v>
      </x:c>
      <x:c r="O357" t="n">
        <x:f>ROUND(SUM('食材明细'!J2132:J2137),1)</x:f>
        <x:v>42.4</x:v>
      </x:c>
      <x:c r="P357" t="n">
        <x:f>ROUND(SUM('食材明细'!L2132:L2137),1)</x:f>
        <x:v>31.8</x:v>
      </x:c>
      <x:c r="Q357" t="n">
        <x:f>ROUND(SUM('食材明细'!N2132:N2137),1)</x:f>
        <x:v>14.3</x:v>
      </x:c>
      <x:c r="R357" s="10" t="str">
        <x:v>调料尽量低盐，不加白砂糖；油重已计入热量。</x:v>
      </x:c>
    </x:row>
    <x:row r="358" ht="37" customHeight="1">
      <x:c r="A358" t="n">
        <x:v>357</x:v>
      </x:c>
      <x:c r="B358" t="n">
        <x:v>179</x:v>
      </x:c>
      <x:c r="C358" t="n">
        <x:v>26</x:v>
      </x:c>
      <x:c r="D358" t="str">
        <x:v>午餐</x:v>
      </x:c>
      <x:c r="E358" t="str">
        <x:v>鱼类</x:v>
      </x:c>
      <x:c r="F358" s="10" t="str">
        <x:v>椒麻鲈鱼配生菜荷兰豆｜紫薯</x:v>
      </x:c>
      <x:c r="G358" s="10" t="str">
        <x:v>鲈鱼215g、生菜160g、荷兰豆140g、紫薯165g、烹调油6g</x:v>
      </x:c>
      <x:c r="H358" t="str">
        <x:v>紫薯</x:v>
      </x:c>
      <x:c r="I358" s="10" t="str">
        <x:v>想减主食可减到原量2/3，另加100g绿叶菜</x:v>
      </x:c>
      <x:c r="J358" s="10" t="str">
        <x:v>花椒、蒜、少量醋</x:v>
      </x:c>
      <x:c r="K358" t="str">
        <x:v>水煮</x:v>
      </x:c>
      <x:c r="L358" s="10" t="str">
        <x:v>鱼肉去刺，彻底做熟；花椒温水浸出味道，煮熟主食材和配菜，少油拌汁；紫薯另煮熟或蒸好后同餐食用。</x:v>
      </x:c>
      <x:c r="M358" t="n">
        <x:v>25</x:v>
      </x:c>
      <x:c r="N358" t="n">
        <x:f>ROUND(SUM('食材明细'!H2138:H2143),0)</x:f>
        <x:v>521</x:v>
      </x:c>
      <x:c r="O358" t="n">
        <x:f>ROUND(SUM('食材明细'!J2138:J2143),1)</x:f>
        <x:v>49.7</x:v>
      </x:c>
      <x:c r="P358" t="n">
        <x:f>ROUND(SUM('食材明细'!L2138:L2143),1)</x:f>
        <x:v>51.4</x:v>
      </x:c>
      <x:c r="Q358" t="n">
        <x:f>ROUND(SUM('食材明细'!N2138:N2143),1)</x:f>
        <x:v>13.2</x:v>
      </x:c>
      <x:c r="R358" s="10" t="str">
        <x:v>调料尽量低盐，不加白砂糖；油重已计入热量。</x:v>
      </x:c>
    </x:row>
    <x:row r="359" ht="37" customHeight="1">
      <x:c r="A359" t="n">
        <x:v>358</x:v>
      </x:c>
      <x:c r="B359" t="n">
        <x:v>179</x:v>
      </x:c>
      <x:c r="C359" t="n">
        <x:v>26</x:v>
      </x:c>
      <x:c r="D359" t="str">
        <x:v>晚餐</x:v>
      </x:c>
      <x:c r="E359" t="str">
        <x:v>禽肉</x:v>
      </x:c>
      <x:c r="F359" s="10" t="str">
        <x:v>香醋去皮鸡腿肉配西葫芦洋葱｜荞麦面</x:v>
      </x:c>
      <x:c r="G359" s="10" t="str">
        <x:v>去皮鸡腿肉180g、西葫芦160g、洋葱125g、荞麦面135g、烹调油4g</x:v>
      </x:c>
      <x:c r="H359" t="str">
        <x:v>荞麦面</x:v>
      </x:c>
      <x:c r="I359" s="10" t="str">
        <x:v>低主食需求可将主食减1/3，另加100g非淀粉蔬菜（营养值需重算）</x:v>
      </x:c>
      <x:c r="J359" s="10" t="str">
        <x:v>香醋、蒜末、少量生抽</x:v>
      </x:c>
      <x:c r="K359" t="str">
        <x:v>水煮</x:v>
      </x:c>
      <x:c r="L359" s="10" t="str">
        <x:v>先去皮去骨并切薄，充分加热；食材分别煮至熟，淋香醋蒜汁，拌匀即食；面/魔芋丝煮熟后与菜合碗。</x:v>
      </x:c>
      <x:c r="M359" t="n">
        <x:v>15</x:v>
      </x:c>
      <x:c r="N359" t="n">
        <x:f>ROUND(SUM('食材明细'!H2144:H2149),0)</x:f>
        <x:v>480</x:v>
      </x:c>
      <x:c r="O359" t="n">
        <x:f>ROUND(SUM('食材明细'!J2144:J2149),1)</x:f>
        <x:v>44.7</x:v>
      </x:c>
      <x:c r="P359" t="n">
        <x:f>ROUND(SUM('食材明细'!L2144:L2149),1)</x:f>
        <x:v>44.9</x:v>
      </x:c>
      <x:c r="Q359" t="n">
        <x:f>ROUND(SUM('食材明细'!N2144:N2149),1)</x:f>
        <x:v>14.6</x:v>
      </x:c>
      <x:c r="R359" s="10" t="str">
        <x:v>调料尽量低盐，不加白砂糖；油重已计入热量。</x:v>
      </x:c>
    </x:row>
    <x:row r="360" ht="37" customHeight="1">
      <x:c r="A360" t="n">
        <x:v>359</x:v>
      </x:c>
      <x:c r="B360" t="n">
        <x:v>180</x:v>
      </x:c>
      <x:c r="C360" t="n">
        <x:v>26</x:v>
      </x:c>
      <x:c r="D360" t="str">
        <x:v>午餐</x:v>
      </x:c>
      <x:c r="E360" t="str">
        <x:v>禽肉</x:v>
      </x:c>
      <x:c r="F360" s="10" t="str">
        <x:v>剁椒去皮鸡腿肉配四季豆杏鲍菇｜藜麦饭</x:v>
      </x:c>
      <x:c r="G360" s="10" t="str">
        <x:v>去皮鸡腿肉185g、四季豆175g、杏鲍菇110g、藜麦饭150g、烹调油5g</x:v>
      </x:c>
      <x:c r="H360" t="str">
        <x:v>藜麦饭</x:v>
      </x:c>
      <x:c r="I360" s="10" t="str">
        <x:v>低主食需求可将主食减1/3，另加100g非淀粉蔬菜（营养值需重算）</x:v>
      </x:c>
      <x:c r="J360" s="10" t="str">
        <x:v>自制低盐剁椒、蒜</x:v>
      </x:c>
      <x:c r="K360" t="str">
        <x:v>蒸</x:v>
      </x:c>
      <x:c r="L360" s="10" t="str">
        <x:v>先去皮去骨并切薄，充分加热；主食材铺少量低盐剁椒蒸熟，配菜焯熟后摆盘；藜麦饭另煮熟或蒸好后同餐食用。四季豆必须充分煮熟，不要生脆。</x:v>
      </x:c>
      <x:c r="M360" t="n">
        <x:v>25</x:v>
      </x:c>
      <x:c r="N360" t="n">
        <x:f>ROUND(SUM('食材明细'!H2150:H2155),0)</x:f>
        <x:v>549</x:v>
      </x:c>
      <x:c r="O360" t="n">
        <x:f>ROUND(SUM('食材明细'!J2150:J2155),1)</x:f>
        <x:v>49</x:v>
      </x:c>
      <x:c r="P360" t="n">
        <x:f>ROUND(SUM('食材明细'!L2150:L2155),1)</x:f>
        <x:v>52.3</x:v>
      </x:c>
      <x:c r="Q360" t="n">
        <x:f>ROUND(SUM('食材明细'!N2150:N2155),1)</x:f>
        <x:v>17.6</x:v>
      </x:c>
      <x:c r="R360" s="10" t="str">
        <x:v>调料尽量低盐，不加白砂糖；油重已计入热量。</x:v>
      </x:c>
    </x:row>
    <x:row r="361" ht="37" customHeight="1">
      <x:c r="A361" t="n">
        <x:v>360</x:v>
      </x:c>
      <x:c r="B361" t="n">
        <x:v>180</x:v>
      </x:c>
      <x:c r="C361" t="n">
        <x:v>26</x:v>
      </x:c>
      <x:c r="D361" t="str">
        <x:v>晚餐</x:v>
      </x:c>
      <x:c r="E361" t="str">
        <x:v>牛肉</x:v>
      </x:c>
      <x:c r="F361" s="10" t="str">
        <x:v>椒麻肥牛卷北豆腐烩荷兰豆小白菜｜藜麦饭</x:v>
      </x:c>
      <x:c r="G361" s="10" t="str">
        <x:v>肥牛卷85g、北豆腐90g、荷兰豆190g、小白菜155g、藜麦饭110g、烹调油3g</x:v>
      </x:c>
      <x:c r="H361" t="str">
        <x:v>藜麦饭</x:v>
      </x:c>
      <x:c r="I361" s="10" t="str">
        <x:v>低主食需求可将主食减1/3，另加100g非淀粉蔬菜（营养值需重算）</x:v>
      </x:c>
      <x:c r="J361" s="10" t="str">
        <x:v>花椒、蒜、少量醋</x:v>
      </x:c>
      <x:c r="K361" t="str">
        <x:v>水煮</x:v>
      </x:c>
      <x:c r="L361" s="10" t="str">
        <x:v>肥牛先汆水撇去浮油；花椒温水浸出味道，煮熟主食材和配菜，少油拌汁；藜麦饭另煮熟或蒸好后同餐食用。</x:v>
      </x:c>
      <x:c r="M361" t="n">
        <x:v>25</x:v>
      </x:c>
      <x:c r="N361" t="n">
        <x:f>ROUND(SUM('食材明细'!H2156:H2161),0)</x:f>
        <x:v>559</x:v>
      </x:c>
      <x:c r="O361" t="n">
        <x:f>ROUND(SUM('食材明细'!J2156:J2161),1)</x:f>
        <x:v>35.2</x:v>
      </x:c>
      <x:c r="P361" t="n">
        <x:f>ROUND(SUM('食材明细'!L2156:L2161),1)</x:f>
        <x:v>44.7</x:v>
      </x:c>
      <x:c r="Q361" t="n">
        <x:f>ROUND(SUM('食材明细'!N2156:N2161),1)</x:f>
        <x:v>27.5</x:v>
      </x:c>
      <x:c r="R361" s="10" t="str">
        <x:v>肥牛油脂高，按份量使用并撇浮油。</x:v>
      </x:c>
    </x:row>
    <x:row r="362" ht="37" customHeight="1">
      <x:c r="A362" t="n">
        <x:v>361</x:v>
      </x:c>
      <x:c r="B362" t="n">
        <x:v>181</x:v>
      </x:c>
      <x:c r="C362" t="n">
        <x:v>26</x:v>
      </x:c>
      <x:c r="D362" t="str">
        <x:v>午餐</x:v>
      </x:c>
      <x:c r="E362" t="str">
        <x:v>鱼类</x:v>
      </x:c>
      <x:c r="F362" s="10" t="str">
        <x:v>葱姜清蒸鲈鱼配花菜海带｜荞麦面</x:v>
      </x:c>
      <x:c r="G362" s="10" t="str">
        <x:v>鲈鱼215g、熟毛豆仁50g、花菜175g、海带155g、荞麦面165g、烹调油6g</x:v>
      </x:c>
      <x:c r="H362" t="str">
        <x:v>荞麦面</x:v>
      </x:c>
      <x:c r="I362" s="10" t="str">
        <x:v>低主食需求可将主食减1/3，另加100g非淀粉蔬菜（营养值需重算）</x:v>
      </x:c>
      <x:c r="J362" s="10" t="str">
        <x:v>葱姜、少量低盐生抽</x:v>
      </x:c>
      <x:c r="K362" t="str">
        <x:v>蒸</x:v>
      </x:c>
      <x:c r="L362" s="10" t="str">
        <x:v>鱼肉去刺，彻底做熟；切片腌5分钟；肉和配菜入盘，蒸至熟透；淋葱姜汁；面/魔芋丝煮熟后与菜合碗。</x:v>
      </x:c>
      <x:c r="M362" t="n">
        <x:v>25</x:v>
      </x:c>
      <x:c r="N362" t="n">
        <x:f>ROUND(SUM('食材明细'!H2162:H2167),0)</x:f>
        <x:v>596</x:v>
      </x:c>
      <x:c r="O362" t="n">
        <x:f>ROUND(SUM('食材明细'!J2162:J2167),1)</x:f>
        <x:v>58.5</x:v>
      </x:c>
      <x:c r="P362" t="n">
        <x:f>ROUND(SUM('食材明细'!L2162:L2167),1)</x:f>
        <x:v>55.7</x:v>
      </x:c>
      <x:c r="Q362" t="n">
        <x:f>ROUND(SUM('食材明细'!N2162:N2167),1)</x:f>
        <x:v>16.8</x:v>
      </x:c>
      <x:c r="R362" s="10" t="str">
        <x:v>调料尽量低盐，不加白砂糖；油重已计入热量。</x:v>
      </x:c>
    </x:row>
    <x:row r="363" ht="37" customHeight="1">
      <x:c r="A363" t="n">
        <x:v>362</x:v>
      </x:c>
      <x:c r="B363" t="n">
        <x:v>181</x:v>
      </x:c>
      <x:c r="C363" t="n">
        <x:v>26</x:v>
      </x:c>
      <x:c r="D363" t="str">
        <x:v>晚餐</x:v>
      </x:c>
      <x:c r="E363" t="str">
        <x:v>海鲜</x:v>
      </x:c>
      <x:c r="F363" s="10" t="str">
        <x:v>蒜香扇贝肉配芦笋白萝卜｜糙米饭</x:v>
      </x:c>
      <x:c r="G363" s="10" t="str">
        <x:v>扇贝肉170g、芦笋175g、白萝卜140g、糙米饭135g、烹调油5g</x:v>
      </x:c>
      <x:c r="H363" t="str">
        <x:v>糙米饭</x:v>
      </x:c>
      <x:c r="I363" s="10" t="str">
        <x:v>低主食需求可将主食减1/3，另加100g非淀粉蔬菜（营养值需重算）</x:v>
      </x:c>
      <x:c r="J363" s="10" t="str">
        <x:v>蒜末、白胡椒</x:v>
      </x:c>
      <x:c r="K363" t="str">
        <x:v>蒸</x:v>
      </x:c>
      <x:c r="L363" s="10" t="str">
        <x:v>食材切块，撒蒜末；上锅蒸熟，蔬菜另焯后拌匀；糙米饭另煮熟或蒸好后同餐食用。</x:v>
      </x:c>
      <x:c r="M363" t="n">
        <x:v>15</x:v>
      </x:c>
      <x:c r="N363" t="n">
        <x:f>ROUND(SUM('食材明细'!H2168:H2173),0)</x:f>
        <x:v>409</x:v>
      </x:c>
      <x:c r="O363" t="n">
        <x:f>ROUND(SUM('食材明细'!J2168:J2173),1)</x:f>
        <x:v>37.1</x:v>
      </x:c>
      <x:c r="P363" t="n">
        <x:f>ROUND(SUM('食材明细'!L2168:L2173),1)</x:f>
        <x:v>49.3</x:v>
      </x:c>
      <x:c r="Q363" t="n">
        <x:f>ROUND(SUM('食材明细'!N2168:N2173),1)</x:f>
        <x:v>7.9</x:v>
      </x:c>
      <x:c r="R363" s="10" t="str">
        <x:v>调料尽量低盐，不加白砂糖；油重已计入热量。</x:v>
      </x:c>
    </x:row>
    <x:row r="364" ht="37" customHeight="1">
      <x:c r="A364" t="n">
        <x:v>363</x:v>
      </x:c>
      <x:c r="B364" t="n">
        <x:v>182</x:v>
      </x:c>
      <x:c r="C364" t="n">
        <x:v>26</x:v>
      </x:c>
      <x:c r="D364" t="str">
        <x:v>午餐</x:v>
      </x:c>
      <x:c r="E364" t="str">
        <x:v>鱼类</x:v>
      </x:c>
      <x:c r="F364" s="10" t="str">
        <x:v>柠檬三文鱼配西葫芦菜心｜白米饭</x:v>
      </x:c>
      <x:c r="G364" s="10" t="str">
        <x:v>三文鱼120g、西葫芦140g、菜心140g、白米饭135g、烹调油4g</x:v>
      </x:c>
      <x:c r="H364" t="str">
        <x:v>白米饭</x:v>
      </x:c>
      <x:c r="I364" s="10" t="str">
        <x:v>低主食需求可将主食减1/3，另加100g非淀粉蔬菜（营养值需重算）</x:v>
      </x:c>
      <x:c r="J364" s="10" t="str">
        <x:v>柠檬片、白胡椒</x:v>
      </x:c>
      <x:c r="K364" t="str">
        <x:v>蒸</x:v>
      </x:c>
      <x:c r="L364" s="10" t="str">
        <x:v>鱼肉去刺，彻底做熟；柠檬片垫底，主食材蒸熟，蔬菜短焯后摆盘；白米饭另煮熟或蒸好后同餐食用。</x:v>
      </x:c>
      <x:c r="M364" t="n">
        <x:v>15</x:v>
      </x:c>
      <x:c r="N364" t="n">
        <x:f>ROUND(SUM('食材明细'!H2174:H2179),0)</x:f>
        <x:v>490</x:v>
      </x:c>
      <x:c r="O364" t="n">
        <x:f>ROUND(SUM('食材明细'!J2174:J2179),1)</x:f>
        <x:v>32</x:v>
      </x:c>
      <x:c r="P364" t="n">
        <x:f>ROUND(SUM('食材明细'!L2174:L2179),1)</x:f>
        <x:v>43.8</x:v>
      </x:c>
      <x:c r="Q364" t="n">
        <x:f>ROUND(SUM('食材明细'!N2174:N2179),1)</x:f>
        <x:v>20.9</x:v>
      </x:c>
      <x:c r="R364" s="10" t="str">
        <x:v>调料尽量低盐，不加白砂糖；油重已计入热量。</x:v>
      </x:c>
    </x:row>
    <x:row r="365" ht="37" customHeight="1">
      <x:c r="A365" t="n">
        <x:v>364</x:v>
      </x:c>
      <x:c r="B365" t="n">
        <x:v>182</x:v>
      </x:c>
      <x:c r="C365" t="n">
        <x:v>26</x:v>
      </x:c>
      <x:c r="D365" t="str">
        <x:v>晚餐</x:v>
      </x:c>
      <x:c r="E365" t="str">
        <x:v>禽肉</x:v>
      </x:c>
      <x:c r="F365" s="10" t="str">
        <x:v>椒麻去皮鸭胸肉配菜心黄瓜｜杂粮饭</x:v>
      </x:c>
      <x:c r="G365" s="10" t="str">
        <x:v>去皮鸭胸肉145g、菜心140g、黄瓜125g、杂粮饭125g、烹调油3g</x:v>
      </x:c>
      <x:c r="H365" t="str">
        <x:v>杂粮饭</x:v>
      </x:c>
      <x:c r="I365" s="10" t="str">
        <x:v>低主食需求可将主食减1/3，另加100g非淀粉蔬菜（营养值需重算）</x:v>
      </x:c>
      <x:c r="J365" s="10" t="str">
        <x:v>花椒、蒜、少量醋</x:v>
      </x:c>
      <x:c r="K365" t="str">
        <x:v>水煮</x:v>
      </x:c>
      <x:c r="L365" s="10" t="str">
        <x:v>花椒温水浸出味道，煮熟主食材和配菜，少油拌汁；杂粮饭另煮熟或蒸好后同餐食用。</x:v>
      </x:c>
      <x:c r="M365" t="n">
        <x:v>20</x:v>
      </x:c>
      <x:c r="N365" t="n">
        <x:f>ROUND(SUM('食材明细'!H2180:H2185),0)</x:f>
        <x:v>422</x:v>
      </x:c>
      <x:c r="O365" t="n">
        <x:f>ROUND(SUM('食材明细'!J2180:J2185),1)</x:f>
        <x:v>35.1</x:v>
      </x:c>
      <x:c r="P365" t="n">
        <x:f>ROUND(SUM('食材明细'!L2180:L2185),1)</x:f>
        <x:v>38.8</x:v>
      </x:c>
      <x:c r="Q365" t="n">
        <x:f>ROUND(SUM('食材明细'!N2180:N2185),1)</x:f>
        <x:v>15.1</x:v>
      </x:c>
      <x:c r="R365" s="10" t="str">
        <x:v>调料尽量低盐，不加白砂糖；油重已计入热量。</x:v>
      </x:c>
    </x:row>
    <x:row r="366" ht="37" customHeight="1">
      <x:c r="A366" t="n">
        <x:v>365</x:v>
      </x:c>
      <x:c r="B366" t="n">
        <x:v>183</x:v>
      </x:c>
      <x:c r="C366" t="n">
        <x:v>27</x:v>
      </x:c>
      <x:c r="D366" t="str">
        <x:v>午餐</x:v>
      </x:c>
      <x:c r="E366" t="str">
        <x:v>海鲜</x:v>
      </x:c>
      <x:c r="F366" s="10" t="str">
        <x:v>菌菇花蛤肉配茼蒿口蘑｜山药</x:v>
      </x:c>
      <x:c r="G366" s="10" t="str">
        <x:v>花蛤肉190g、嫩豆腐135g、茼蒿160g、口蘑140g、山药125g、烹调油3g</x:v>
      </x:c>
      <x:c r="H366" t="str">
        <x:v>山药</x:v>
      </x:c>
      <x:c r="I366" s="10" t="str">
        <x:v>想减主食可减到原量2/3，另加100g绿叶菜</x:v>
      </x:c>
      <x:c r="J366" s="10" t="str">
        <x:v>姜片、香菇汁</x:v>
      </x:c>
      <x:c r="K366" t="str">
        <x:v>焖煮</x:v>
      </x:c>
      <x:c r="L366" s="10" t="str">
        <x:v>食材与菌菇加少量水焖熟，出锅前加少量低盐生抽；山药另煮熟或蒸好后同餐食用。</x:v>
      </x:c>
      <x:c r="M366" t="n">
        <x:v>30</x:v>
      </x:c>
      <x:c r="N366" t="n">
        <x:f>ROUND(SUM('食材明细'!H2186:H2191),0)</x:f>
        <x:v>390</x:v>
      </x:c>
      <x:c r="O366" t="n">
        <x:f>ROUND(SUM('食材明细'!J2186:J2191),1)</x:f>
        <x:v>40.7</x:v>
      </x:c>
      <x:c r="P366" t="n">
        <x:f>ROUND(SUM('食材明细'!L2186:L2191),1)</x:f>
        <x:v>38.5</x:v>
      </x:c>
      <x:c r="Q366" t="n">
        <x:f>ROUND(SUM('食材明细'!N2186:N2191),1)</x:f>
        <x:v>9.7</x:v>
      </x:c>
      <x:c r="R366" s="10" t="str">
        <x:v>调料尽量低盐，不加白砂糖；油重已计入热量。</x:v>
      </x:c>
    </x:row>
    <x:row r="367" ht="37" customHeight="1">
      <x:c r="A367" t="n">
        <x:v>366</x:v>
      </x:c>
      <x:c r="B367" t="n">
        <x:v>183</x:v>
      </x:c>
      <x:c r="C367" t="n">
        <x:v>27</x:v>
      </x:c>
      <x:c r="D367" t="str">
        <x:v>晚餐</x:v>
      </x:c>
      <x:c r="E367" t="str">
        <x:v>禽肉</x:v>
      </x:c>
      <x:c r="F367" s="10" t="str">
        <x:v>奥尔良风味鸡胸肉配彩椒口蘑｜玉米</x:v>
      </x:c>
      <x:c r="G367" s="10" t="str">
        <x:v>鸡胸肉170g、北豆腐130g、彩椒140g、口蘑110g、玉米135g、烹调油3g</x:v>
      </x:c>
      <x:c r="H367" t="str">
        <x:v>玉米</x:v>
      </x:c>
      <x:c r="I367" s="10" t="str">
        <x:v>想减主食可减到原量2/3，另加100g绿叶菜</x:v>
      </x:c>
      <x:c r="J367" s="10" t="str">
        <x:v>无糖辣椒粉、蒜粉、洋葱粉</x:v>
      </x:c>
      <x:c r="K367" t="str">
        <x:v>蒸/焖</x:v>
      </x:c>
      <x:c r="L367" s="10" t="str">
        <x:v>鸡胸肉拍薄成鸡排；用无糖香辛料腌肉15分钟，蒸或少油焖熟，配菜煮熟；玉米另煮熟或蒸好后同餐食用。</x:v>
      </x:c>
      <x:c r="M367" t="n">
        <x:v>20</x:v>
      </x:c>
      <x:c r="N367" t="n">
        <x:f>ROUND(SUM('食材明细'!H2192:H2197),0)</x:f>
        <x:v>535</x:v>
      </x:c>
      <x:c r="O367" t="n">
        <x:f>ROUND(SUM('食材明细'!J2192:J2197),1)</x:f>
        <x:v>61.5</x:v>
      </x:c>
      <x:c r="P367" t="n">
        <x:f>ROUND(SUM('食材明细'!L2192:L2197),1)</x:f>
        <x:v>44.5</x:v>
      </x:c>
      <x:c r="Q367" t="n">
        <x:f>ROUND(SUM('食材明细'!N2192:N2197),1)</x:f>
        <x:v>15.5</x:v>
      </x:c>
      <x:c r="R367" s="10" t="str">
        <x:v>调料尽量低盐，不加白砂糖；油重已计入热量。</x:v>
      </x:c>
    </x:row>
    <x:row r="368" ht="37" customHeight="1">
      <x:c r="A368" t="n">
        <x:v>367</x:v>
      </x:c>
      <x:c r="B368" t="n">
        <x:v>184</x:v>
      </x:c>
      <x:c r="C368" t="n">
        <x:v>27</x:v>
      </x:c>
      <x:c r="D368" t="str">
        <x:v>午餐</x:v>
      </x:c>
      <x:c r="E368" t="str">
        <x:v>海鲜</x:v>
      </x:c>
      <x:c r="F368" s="10" t="str">
        <x:v>黑椒虾仁配生菜紫甘蓝｜魔芋丝</x:v>
      </x:c>
      <x:c r="G368" s="10" t="str">
        <x:v>虾仁250g、生菜190g、紫甘蓝140g、魔芋丝200g、烹调油6g</x:v>
      </x:c>
      <x:c r="H368" t="str">
        <x:v>魔芋丝</x:v>
      </x:c>
      <x:c r="I368" s="10" t="str">
        <x:v>魔芋丝不是完整主食；饥饿可补杂粮饭或蒸薯类</x:v>
      </x:c>
      <x:c r="J368" s="10" t="str">
        <x:v>黑胡椒、蒜末</x:v>
      </x:c>
      <x:c r="K368" t="str">
        <x:v>少油烩</x:v>
      </x:c>
      <x:c r="L368" s="10" t="str">
        <x:v>锅加少量水和油，先把主食材煮熟，再烩两种蔬菜，收汁撒黑椒；面/魔芋丝煮熟后与菜合碗。</x:v>
      </x:c>
      <x:c r="M368" t="n">
        <x:v>25</x:v>
      </x:c>
      <x:c r="N368" t="n">
        <x:f>ROUND(SUM('食材明细'!H2198:H2203),0)</x:f>
        <x:v>371</x:v>
      </x:c>
      <x:c r="O368" t="n">
        <x:f>ROUND(SUM('食材明细'!J2198:J2203),1)</x:f>
        <x:v>52.7</x:v>
      </x:c>
      <x:c r="P368" t="n">
        <x:f>ROUND(SUM('食材明细'!L2198:L2203),1)</x:f>
        <x:v>20.7</x:v>
      </x:c>
      <x:c r="Q368" t="n">
        <x:f>ROUND(SUM('食材明细'!N2198:N2203),1)</x:f>
        <x:v>9.1</x:v>
      </x:c>
      <x:c r="R368" s="10" t="str">
        <x:v>调料尽量低盐，不加白砂糖；油重已计入热量。魔芋丝低能量，不等于一份主食。</x:v>
      </x:c>
    </x:row>
    <x:row r="369" ht="37" customHeight="1">
      <x:c r="A369" t="n">
        <x:v>368</x:v>
      </x:c>
      <x:c r="B369" t="n">
        <x:v>184</x:v>
      </x:c>
      <x:c r="C369" t="n">
        <x:v>27</x:v>
      </x:c>
      <x:c r="D369" t="str">
        <x:v>晚餐</x:v>
      </x:c>
      <x:c r="E369" t="str">
        <x:v>豆蛋</x:v>
      </x:c>
      <x:c r="F369" s="10" t="str">
        <x:v>酸汤嫩豆腐虾仁烩茼蒿玉米笋｜白米饭</x:v>
      </x:c>
      <x:c r="G369" s="10" t="str">
        <x:v>嫩豆腐300g、虾仁65g、茼蒿140g、玉米笋140g、白米饭80g、烹调油6g</x:v>
      </x:c>
      <x:c r="H369" t="str">
        <x:v>白米饭</x:v>
      </x:c>
      <x:c r="I369" s="10" t="str">
        <x:v>低主食需求可将主食减1/3，另加100g非淀粉蔬菜（营养值需重算）</x:v>
      </x:c>
      <x:c r="J369" s="10" t="str">
        <x:v>米醋、番茄、少许辣椒</x:v>
      </x:c>
      <x:c r="K369" t="str">
        <x:v>水煮</x:v>
      </x:c>
      <x:c r="L369" s="10" t="str">
        <x:v>番茄煮成酸汤，主食材汆熟，加入蔬菜再煮2～5分钟；白米饭另煮熟或蒸好后同餐食用。</x:v>
      </x:c>
      <x:c r="M369" t="n">
        <x:v>30</x:v>
      </x:c>
      <x:c r="N369" t="n">
        <x:f>ROUND(SUM('食材明细'!H2204:H2209),0)</x:f>
        <x:v>440</x:v>
      </x:c>
      <x:c r="O369" t="n">
        <x:f>ROUND(SUM('食材明细'!J2204:J2209),1)</x:f>
        <x:v>34.9</x:v>
      </x:c>
      <x:c r="P369" t="n">
        <x:f>ROUND(SUM('食材明细'!L2204:L2209),1)</x:f>
        <x:v>39.6</x:v>
      </x:c>
      <x:c r="Q369" t="n">
        <x:f>ROUND(SUM('食材明细'!N2204:N2209),1)</x:f>
        <x:v>15.9</x:v>
      </x:c>
      <x:c r="R369" s="10" t="str">
        <x:v>调料尽量低盐，不加白砂糖；油重已计入热量。</x:v>
      </x:c>
    </x:row>
    <x:row r="370" ht="37" customHeight="1">
      <x:c r="A370" t="n">
        <x:v>369</x:v>
      </x:c>
      <x:c r="B370" t="n">
        <x:v>185</x:v>
      </x:c>
      <x:c r="C370" t="n">
        <x:v>27</x:v>
      </x:c>
      <x:c r="D370" t="str">
        <x:v>午餐</x:v>
      </x:c>
      <x:c r="E370" t="str">
        <x:v>禽肉</x:v>
      </x:c>
      <x:c r="F370" s="10" t="str">
        <x:v>清汤鸡胸肉配花菜口蘑｜燕麦饭</x:v>
      </x:c>
      <x:c r="G370" s="10" t="str">
        <x:v>鸡胸肉165g、花菜140g、口蘑125g、燕麦饭150g、烹调油4g</x:v>
      </x:c>
      <x:c r="H370" t="str">
        <x:v>燕麦饭</x:v>
      </x:c>
      <x:c r="I370" s="10" t="str">
        <x:v>低主食需求可将主食减1/3，另加100g非淀粉蔬菜（营养值需重算）</x:v>
      </x:c>
      <x:c r="J370" s="10" t="str">
        <x:v>葱段、盐少量</x:v>
      </x:c>
      <x:c r="K370" t="str">
        <x:v>煮</x:v>
      </x:c>
      <x:c r="L370" s="10" t="str">
        <x:v>清水煮开，按熟化时间下食材，最后放叶菜，清淡调味；燕麦饭另煮熟或蒸好后同餐食用。</x:v>
      </x:c>
      <x:c r="M370" t="n">
        <x:v>15</x:v>
      </x:c>
      <x:c r="N370" t="n">
        <x:f>ROUND(SUM('食材明细'!H2210:H2215),0)</x:f>
        <x:v>445</x:v>
      </x:c>
      <x:c r="O370" t="n">
        <x:f>ROUND(SUM('食材明细'!J2210:J2215),1)</x:f>
        <x:v>49.4</x:v>
      </x:c>
      <x:c r="P370" t="n">
        <x:f>ROUND(SUM('食材明细'!L2210:L2215),1)</x:f>
        <x:v>42.6</x:v>
      </x:c>
      <x:c r="Q370" t="n">
        <x:f>ROUND(SUM('食材明细'!N2210:N2215),1)</x:f>
        <x:v>10.8</x:v>
      </x:c>
      <x:c r="R370" s="10" t="str">
        <x:v>调料尽量低盐，不加白砂糖；油重已计入热量。</x:v>
      </x:c>
    </x:row>
    <x:row r="371" ht="37" customHeight="1">
      <x:c r="A371" t="n">
        <x:v>370</x:v>
      </x:c>
      <x:c r="B371" t="n">
        <x:v>185</x:v>
      </x:c>
      <x:c r="C371" t="n">
        <x:v>27</x:v>
      </x:c>
      <x:c r="D371" t="str">
        <x:v>晚餐</x:v>
      </x:c>
      <x:c r="E371" t="str">
        <x:v>牛肉</x:v>
      </x:c>
      <x:c r="F371" s="10" t="str">
        <x:v>剁椒瘦牛肉配黄瓜杏鲍菇｜紫薯</x:v>
      </x:c>
      <x:c r="G371" s="10" t="str">
        <x:v>瘦牛肉170g、黄瓜190g、杏鲍菇140g、紫薯110g、烹调油3g</x:v>
      </x:c>
      <x:c r="H371" t="str">
        <x:v>紫薯</x:v>
      </x:c>
      <x:c r="I371" s="10" t="str">
        <x:v>想减主食可减到原量2/3，另加100g绿叶菜</x:v>
      </x:c>
      <x:c r="J371" s="10" t="str">
        <x:v>自制低盐剁椒、蒜</x:v>
      </x:c>
      <x:c r="K371" t="str">
        <x:v>蒸</x:v>
      </x:c>
      <x:c r="L371" s="10" t="str">
        <x:v>主食材铺少量低盐剁椒蒸熟，配菜焯熟后摆盘；紫薯另煮熟或蒸好后同餐食用。</x:v>
      </x:c>
      <x:c r="M371" t="n">
        <x:v>20</x:v>
      </x:c>
      <x:c r="N371" t="n">
        <x:f>ROUND(SUM('食材明细'!H2216:H2221),0)</x:f>
        <x:v>423</x:v>
      </x:c>
      <x:c r="O371" t="n">
        <x:f>ROUND(SUM('食材明细'!J2216:J2221),1)</x:f>
        <x:v>41.6</x:v>
      </x:c>
      <x:c r="P371" t="n">
        <x:f>ROUND(SUM('食材明细'!L2216:L2221),1)</x:f>
        <x:v>41.4</x:v>
      </x:c>
      <x:c r="Q371" t="n">
        <x:f>ROUND(SUM('食材明细'!N2216:N2221),1)</x:f>
        <x:v>10.5</x:v>
      </x:c>
      <x:c r="R371" s="10" t="str">
        <x:v>调料尽量低盐，不加白砂糖；油重已计入热量。</x:v>
      </x:c>
    </x:row>
    <x:row r="372" ht="37" customHeight="1">
      <x:c r="A372" t="n">
        <x:v>371</x:v>
      </x:c>
      <x:c r="B372" t="n">
        <x:v>186</x:v>
      </x:c>
      <x:c r="C372" t="n">
        <x:v>27</x:v>
      </x:c>
      <x:c r="D372" t="str">
        <x:v>午餐</x:v>
      </x:c>
      <x:c r="E372" t="str">
        <x:v>禽肉</x:v>
      </x:c>
      <x:c r="F372" s="10" t="str">
        <x:v>清汤鸡胸肉配西葫芦胡萝卜｜魔芋丝</x:v>
      </x:c>
      <x:c r="G372" s="10" t="str">
        <x:v>鸡胸肉215g、西葫芦175g、胡萝卜110g、魔芋丝130g、烹调油5g</x:v>
      </x:c>
      <x:c r="H372" t="str">
        <x:v>魔芋丝</x:v>
      </x:c>
      <x:c r="I372" s="10" t="str">
        <x:v>魔芋丝不是完整主食；饥饿可补杂粮饭或蒸薯类</x:v>
      </x:c>
      <x:c r="J372" s="10" t="str">
        <x:v>葱段、盐少量</x:v>
      </x:c>
      <x:c r="K372" t="str">
        <x:v>煮</x:v>
      </x:c>
      <x:c r="L372" s="10" t="str">
        <x:v>清水煮开，按熟化时间下食材，最后放叶菜，清淡调味；面/魔芋丝煮熟后与菜合碗。</x:v>
      </x:c>
      <x:c r="M372" t="n">
        <x:v>15</x:v>
      </x:c>
      <x:c r="N372" t="n">
        <x:f>ROUND(SUM('食材明细'!H2222:H2227),0)</x:f>
        <x:v>368</x:v>
      </x:c>
      <x:c r="O372" t="n">
        <x:f>ROUND(SUM('食材明细'!J2222:J2227),1)</x:f>
        <x:v>52.9</x:v>
      </x:c>
      <x:c r="P372" t="n">
        <x:f>ROUND(SUM('食材明细'!L2222:L2227),1)</x:f>
        <x:v>19</x:v>
      </x:c>
      <x:c r="Q372" t="n">
        <x:f>ROUND(SUM('食材明细'!N2222:N2227),1)</x:f>
        <x:v>10.1</x:v>
      </x:c>
      <x:c r="R372" s="10" t="str">
        <x:v>调料尽量低盐，不加白砂糖；油重已计入热量。魔芋丝低能量，不等于一份主食。</x:v>
      </x:c>
    </x:row>
    <x:row r="373" ht="37" customHeight="1">
      <x:c r="A373" t="n">
        <x:v>372</x:v>
      </x:c>
      <x:c r="B373" t="n">
        <x:v>186</x:v>
      </x:c>
      <x:c r="C373" t="n">
        <x:v>27</x:v>
      </x:c>
      <x:c r="D373" t="str">
        <x:v>晚餐</x:v>
      </x:c>
      <x:c r="E373" t="str">
        <x:v>豆蛋</x:v>
      </x:c>
      <x:c r="F373" s="10" t="str">
        <x:v>香醋鸡蛋嫩豆腐烩丝瓜娃娃菜｜紫薯</x:v>
      </x:c>
      <x:c r="G373" s="10" t="str">
        <x:v>鸡蛋100g、嫩豆腐160g、丝瓜160g、娃娃菜125g、紫薯125g、烹调油3g</x:v>
      </x:c>
      <x:c r="H373" t="str">
        <x:v>紫薯</x:v>
      </x:c>
      <x:c r="I373" s="10" t="str">
        <x:v>想减主食可减到原量2/3，另加100g绿叶菜</x:v>
      </x:c>
      <x:c r="J373" s="10" t="str">
        <x:v>香醋、蒜末、少量生抽</x:v>
      </x:c>
      <x:c r="K373" t="str">
        <x:v>水煮</x:v>
      </x:c>
      <x:c r="L373" s="10" t="str">
        <x:v>鸡蛋先打散成蛋液；食材分别煮至熟，淋香醋蒜汁，拌匀即食；紫薯另煮熟或蒸好后同餐食用。</x:v>
      </x:c>
      <x:c r="M373" t="n">
        <x:v>25</x:v>
      </x:c>
      <x:c r="N373" t="n">
        <x:f>ROUND(SUM('食材明细'!H2228:H2233),0)</x:f>
        <x:v>431</x:v>
      </x:c>
      <x:c r="O373" t="n">
        <x:f>ROUND(SUM('食材明细'!J2228:J2233),1)</x:f>
        <x:v>26.2</x:v>
      </x:c>
      <x:c r="P373" t="n">
        <x:f>ROUND(SUM('食材明细'!L2228:L2233),1)</x:f>
        <x:v>42</x:v>
      </x:c>
      <x:c r="Q373" t="n">
        <x:f>ROUND(SUM('食材明细'!N2228:N2233),1)</x:f>
        <x:v>18.2</x:v>
      </x:c>
      <x:c r="R373" s="10" t="str">
        <x:v>调料尽量低盐，不加白砂糖；油重已计入热量。</x:v>
      </x:c>
    </x:row>
    <x:row r="374" ht="37" customHeight="1">
      <x:c r="A374" t="n">
        <x:v>373</x:v>
      </x:c>
      <x:c r="B374" t="n">
        <x:v>187</x:v>
      </x:c>
      <x:c r="C374" t="n">
        <x:v>27</x:v>
      </x:c>
      <x:c r="D374" t="str">
        <x:v>午餐</x:v>
      </x:c>
      <x:c r="E374" t="str">
        <x:v>鱼类</x:v>
      </x:c>
      <x:c r="F374" s="10" t="str">
        <x:v>番茄鲈鱼配莴笋｜白米饭</x:v>
      </x:c>
      <x:c r="G374" s="10" t="str">
        <x:v>鲈鱼200g、番茄160g、莴笋155g、白米饭125g、烹调油3g</x:v>
      </x:c>
      <x:c r="H374" t="str">
        <x:v>白米饭</x:v>
      </x:c>
      <x:c r="I374" s="10" t="str">
        <x:v>低主食需求可将主食减1/3，另加100g非淀粉蔬菜（营养值需重算）</x:v>
      </x:c>
      <x:c r="J374" s="10" t="str">
        <x:v>番茄丁、黑胡椒</x:v>
      </x:c>
      <x:c r="K374" t="str">
        <x:v>炖煮</x:v>
      </x:c>
      <x:c r="L374" s="10" t="str">
        <x:v>鱼肉去刺，彻底做熟；番茄出汁后加入主食材和少量水，轻炖至熟，再放配菜；白米饭另煮熟或蒸好后同餐食用。</x:v>
      </x:c>
      <x:c r="M374" t="n">
        <x:v>30</x:v>
      </x:c>
      <x:c r="N374" t="n">
        <x:f>ROUND(SUM('食材明细'!H2234:H2239),0)</x:f>
        <x:v>437</x:v>
      </x:c>
      <x:c r="O374" t="n">
        <x:f>ROUND(SUM('食材明细'!J2234:J2239),1)</x:f>
        <x:v>44.2</x:v>
      </x:c>
      <x:c r="P374" t="n">
        <x:f>ROUND(SUM('食材明细'!L2234:L2239),1)</x:f>
        <x:v>42.7</x:v>
      </x:c>
      <x:c r="Q374" t="n">
        <x:f>ROUND(SUM('食材明细'!N2234:N2239),1)</x:f>
        <x:v>9.9</x:v>
      </x:c>
      <x:c r="R374" s="10" t="str">
        <x:v>调料尽量低盐，不加白砂糖；油重已计入热量。</x:v>
      </x:c>
    </x:row>
    <x:row r="375" ht="37" customHeight="1">
      <x:c r="A375" t="n">
        <x:v>374</x:v>
      </x:c>
      <x:c r="B375" t="n">
        <x:v>187</x:v>
      </x:c>
      <x:c r="C375" t="n">
        <x:v>27</x:v>
      </x:c>
      <x:c r="D375" t="str">
        <x:v>晚餐</x:v>
      </x:c>
      <x:c r="E375" t="str">
        <x:v>豆蛋</x:v>
      </x:c>
      <x:c r="F375" s="10" t="str">
        <x:v>蒜香鸡蛋虾仁烩芦笋彩椒｜红薯</x:v>
      </x:c>
      <x:c r="G375" s="10" t="str">
        <x:v>鸡蛋120g、虾仁85g、芦笋175g、彩椒125g、红薯95g、烹调油5g</x:v>
      </x:c>
      <x:c r="H375" t="str">
        <x:v>红薯</x:v>
      </x:c>
      <x:c r="I375" s="10" t="str">
        <x:v>想减主食可减到原量2/3，另加100g绿叶菜</x:v>
      </x:c>
      <x:c r="J375" s="10" t="str">
        <x:v>蒜末、白胡椒</x:v>
      </x:c>
      <x:c r="K375" t="str">
        <x:v>蒸</x:v>
      </x:c>
      <x:c r="L375" s="10" t="str">
        <x:v>鸡蛋先打散成蛋液；食材切块，撒蒜末；上锅蒸熟，蔬菜另焯后拌匀；红薯另煮熟或蒸好后同餐食用。</x:v>
      </x:c>
      <x:c r="M375" t="n">
        <x:v>20</x:v>
      </x:c>
      <x:c r="N375" t="n">
        <x:f>ROUND(SUM('食材明细'!H2240:H2245),0)</x:f>
        <x:v>447</x:v>
      </x:c>
      <x:c r="O375" t="n">
        <x:f>ROUND(SUM('食材明细'!J2240:J2245),1)</x:f>
        <x:v>38.4</x:v>
      </x:c>
      <x:c r="P375" t="n">
        <x:f>ROUND(SUM('食材明细'!L2240:L2245),1)</x:f>
        <x:v>35.6</x:v>
      </x:c>
      <x:c r="Q375" t="n">
        <x:f>ROUND(SUM('食材明细'!N2240:N2245),1)</x:f>
        <x:v>18.5</x:v>
      </x:c>
      <x:c r="R375" s="10" t="str">
        <x:v>调料尽量低盐，不加白砂糖；油重已计入热量。</x:v>
      </x:c>
    </x:row>
    <x:row r="376" ht="37" customHeight="1">
      <x:c r="A376" t="n">
        <x:v>375</x:v>
      </x:c>
      <x:c r="B376" t="n">
        <x:v>188</x:v>
      </x:c>
      <x:c r="C376" t="n">
        <x:v>27</x:v>
      </x:c>
      <x:c r="D376" t="str">
        <x:v>午餐</x:v>
      </x:c>
      <x:c r="E376" t="str">
        <x:v>鱼类</x:v>
      </x:c>
      <x:c r="F376" s="10" t="str">
        <x:v>蒜香鳕鱼配芦笋小白菜｜乌冬面</x:v>
      </x:c>
      <x:c r="G376" s="10" t="str">
        <x:v>鳕鱼185g、芦笋160g、小白菜110g、乌冬面150g、烹调油6g</x:v>
      </x:c>
      <x:c r="H376" t="str">
        <x:v>乌冬面</x:v>
      </x:c>
      <x:c r="I376" s="10" t="str">
        <x:v>低主食需求可将主食减1/3，另加100g非淀粉蔬菜（营养值需重算）</x:v>
      </x:c>
      <x:c r="J376" s="10" t="str">
        <x:v>蒜末、白胡椒</x:v>
      </x:c>
      <x:c r="K376" t="str">
        <x:v>蒸</x:v>
      </x:c>
      <x:c r="L376" s="10" t="str">
        <x:v>鱼肉去刺，彻底做熟；食材切块，撒蒜末；上锅蒸熟，蔬菜另焯后拌匀；面/魔芋丝煮熟后与菜合碗。</x:v>
      </x:c>
      <x:c r="M376" t="n">
        <x:v>20</x:v>
      </x:c>
      <x:c r="N376" t="n">
        <x:f>ROUND(SUM('食材明细'!H2246:H2251),0)</x:f>
        <x:v>442</x:v>
      </x:c>
      <x:c r="O376" t="n">
        <x:f>ROUND(SUM('食材明细'!J2246:J2251),1)</x:f>
        <x:v>42.3</x:v>
      </x:c>
      <x:c r="P376" t="n">
        <x:f>ROUND(SUM('食材明细'!L2246:L2251),1)</x:f>
        <x:v>46.8</x:v>
      </x:c>
      <x:c r="Q376" t="n">
        <x:f>ROUND(SUM('食材明细'!N2246:N2251),1)</x:f>
        <x:v>8.8</x:v>
      </x:c>
      <x:c r="R376" s="10" t="str">
        <x:v>调料尽量低盐，不加白砂糖；油重已计入热量。</x:v>
      </x:c>
    </x:row>
    <x:row r="377" ht="37" customHeight="1">
      <x:c r="A377" t="n">
        <x:v>376</x:v>
      </x:c>
      <x:c r="B377" t="n">
        <x:v>188</x:v>
      </x:c>
      <x:c r="C377" t="n">
        <x:v>27</x:v>
      </x:c>
      <x:c r="D377" t="str">
        <x:v>晚餐</x:v>
      </x:c>
      <x:c r="E377" t="str">
        <x:v>豆蛋</x:v>
      </x:c>
      <x:c r="F377" s="10" t="str">
        <x:v>清汤嫩豆腐鸡蛋烩白萝卜芦笋｜魔芋丝</x:v>
      </x:c>
      <x:c r="G377" s="10" t="str">
        <x:v>嫩豆腐330g、鸡蛋60g、白萝卜190g、芦笋140g、魔芋丝130g、烹调油3g</x:v>
      </x:c>
      <x:c r="H377" t="str">
        <x:v>魔芋丝</x:v>
      </x:c>
      <x:c r="I377" s="10" t="str">
        <x:v>魔芋丝不是完整主食；饥饿可补杂粮饭或蒸薯类</x:v>
      </x:c>
      <x:c r="J377" s="10" t="str">
        <x:v>葱段、盐少量</x:v>
      </x:c>
      <x:c r="K377" t="str">
        <x:v>煮</x:v>
      </x:c>
      <x:c r="L377" s="10" t="str">
        <x:v>清水煮开，按熟化时间下食材，最后放叶菜，清淡调味；面/魔芋丝煮熟后与菜合碗。</x:v>
      </x:c>
      <x:c r="M377" t="n">
        <x:v>15</x:v>
      </x:c>
      <x:c r="N377" t="n">
        <x:f>ROUND(SUM('食材明细'!H2252:H2257),0)</x:f>
        <x:v>369</x:v>
      </x:c>
      <x:c r="O377" t="n">
        <x:f>ROUND(SUM('食材明细'!J2252:J2257),1)</x:f>
        <x:v>28.9</x:v>
      </x:c>
      <x:c r="P377" t="n">
        <x:f>ROUND(SUM('食材明细'!L2252:L2257),1)</x:f>
        <x:v>22.9</x:v>
      </x:c>
      <x:c r="Q377" t="n">
        <x:f>ROUND(SUM('食材明细'!N2252:N2257),1)</x:f>
        <x:v>18.6</x:v>
      </x:c>
      <x:c r="R377" s="10" t="str">
        <x:v>调料尽量低盐，不加白砂糖；油重已计入热量。魔芋丝低能量，不等于一份主食。</x:v>
      </x:c>
    </x:row>
    <x:row r="378" ht="37" customHeight="1">
      <x:c r="A378" t="n">
        <x:v>377</x:v>
      </x:c>
      <x:c r="B378" t="n">
        <x:v>189</x:v>
      </x:c>
      <x:c r="C378" t="n">
        <x:v>27</x:v>
      </x:c>
      <x:c r="D378" t="str">
        <x:v>午餐</x:v>
      </x:c>
      <x:c r="E378" t="str">
        <x:v>鱼类</x:v>
      </x:c>
      <x:c r="F378" s="10" t="str">
        <x:v>花椒鲈鱼配西兰花彩椒｜紫薯</x:v>
      </x:c>
      <x:c r="G378" s="10" t="str">
        <x:v>鲈鱼185g、西兰花140g、彩椒155g、紫薯125g、烹调油5g</x:v>
      </x:c>
      <x:c r="H378" t="str">
        <x:v>紫薯</x:v>
      </x:c>
      <x:c r="I378" s="10" t="str">
        <x:v>想减主食可减到原量2/3，另加100g绿叶菜</x:v>
      </x:c>
      <x:c r="J378" s="10" t="str">
        <x:v>花椒粉、姜丝</x:v>
      </x:c>
      <x:c r="K378" t="str">
        <x:v>蒸</x:v>
      </x:c>
      <x:c r="L378" s="10" t="str">
        <x:v>鱼肉去刺，彻底做熟；薄薄撒花椒和姜丝，蒸至熟透，搭配焯青菜；紫薯另煮熟或蒸好后同餐食用。</x:v>
      </x:c>
      <x:c r="M378" t="n">
        <x:v>30</x:v>
      </x:c>
      <x:c r="N378" t="n">
        <x:f>ROUND(SUM('食材明细'!H2258:H2263),0)</x:f>
        <x:v>447</x:v>
      </x:c>
      <x:c r="O378" t="n">
        <x:f>ROUND(SUM('食材明细'!J2258:J2263),1)</x:f>
        <x:v>42.6</x:v>
      </x:c>
      <x:c r="P378" t="n">
        <x:f>ROUND(SUM('食材明细'!L2258:L2263),1)</x:f>
        <x:v>46.8</x:v>
      </x:c>
      <x:c r="Q378" t="n">
        <x:f>ROUND(SUM('食材明细'!N2258:N2263),1)</x:f>
        <x:v>11.5</x:v>
      </x:c>
      <x:c r="R378" s="10" t="str">
        <x:v>调料尽量低盐，不加白砂糖；油重已计入热量。</x:v>
      </x:c>
    </x:row>
    <x:row r="379" ht="37" customHeight="1">
      <x:c r="A379" t="n">
        <x:v>378</x:v>
      </x:c>
      <x:c r="B379" t="n">
        <x:v>189</x:v>
      </x:c>
      <x:c r="C379" t="n">
        <x:v>27</x:v>
      </x:c>
      <x:c r="D379" t="str">
        <x:v>晚餐</x:v>
      </x:c>
      <x:c r="E379" t="str">
        <x:v>鱼类</x:v>
      </x:c>
      <x:c r="F379" s="10" t="str">
        <x:v>酸汤鳕鱼配娃娃菜白萝卜｜燕麦饭</x:v>
      </x:c>
      <x:c r="G379" s="10" t="str">
        <x:v>鳕鱼200g、娃娃菜140g、白萝卜140g、燕麦饭95g、烹调油4g</x:v>
      </x:c>
      <x:c r="H379" t="str">
        <x:v>燕麦饭</x:v>
      </x:c>
      <x:c r="I379" s="10" t="str">
        <x:v>低主食需求可将主食减1/3，另加100g非淀粉蔬菜（营养值需重算）</x:v>
      </x:c>
      <x:c r="J379" s="10" t="str">
        <x:v>米醋、番茄、少许辣椒</x:v>
      </x:c>
      <x:c r="K379" t="str">
        <x:v>水煮</x:v>
      </x:c>
      <x:c r="L379" s="10" t="str">
        <x:v>鱼肉去刺，彻底做熟；番茄煮成酸汤，主食材汆熟，加入蔬菜再煮2～5分钟；燕麦饭另煮熟或蒸好后同餐食用。</x:v>
      </x:c>
      <x:c r="M379" t="n">
        <x:v>25</x:v>
      </x:c>
      <x:c r="N379" t="n">
        <x:f>ROUND(SUM('食材明细'!H2264:H2269),0)</x:f>
        <x:v>360</x:v>
      </x:c>
      <x:c r="O379" t="n">
        <x:f>ROUND(SUM('食材明细'!J2264:J2269),1)</x:f>
        <x:v>41.7</x:v>
      </x:c>
      <x:c r="P379" t="n">
        <x:f>ROUND(SUM('食材明细'!L2264:L2269),1)</x:f>
        <x:v>29.8</x:v>
      </x:c>
      <x:c r="Q379" t="n">
        <x:f>ROUND(SUM('食材明细'!N2264:N2269),1)</x:f>
        <x:v>7.7</x:v>
      </x:c>
      <x:c r="R379" s="10" t="str">
        <x:v>调料尽量低盐，不加白砂糖；油重已计入热量。</x:v>
      </x:c>
    </x:row>
    <x:row r="380" ht="37" customHeight="1">
      <x:c r="A380" t="n">
        <x:v>379</x:v>
      </x:c>
      <x:c r="B380" t="n">
        <x:v>190</x:v>
      </x:c>
      <x:c r="C380" t="n">
        <x:v>28</x:v>
      </x:c>
      <x:c r="D380" t="str">
        <x:v>午餐</x:v>
      </x:c>
      <x:c r="E380" t="str">
        <x:v>禽肉</x:v>
      </x:c>
      <x:c r="F380" s="10" t="str">
        <x:v>葱姜清蒸去皮鸭胸肉配芹菜海带｜魔芋丝</x:v>
      </x:c>
      <x:c r="G380" s="10" t="str">
        <x:v>去皮鸭胸肉165g、芹菜190g、海带155g、魔芋丝130g、烹调油6g</x:v>
      </x:c>
      <x:c r="H380" t="str">
        <x:v>魔芋丝</x:v>
      </x:c>
      <x:c r="I380" s="10" t="str">
        <x:v>魔芋丝不是完整主食；饥饿可补杂粮饭或蒸薯类</x:v>
      </x:c>
      <x:c r="J380" s="10" t="str">
        <x:v>葱姜、少量低盐生抽</x:v>
      </x:c>
      <x:c r="K380" t="str">
        <x:v>蒸</x:v>
      </x:c>
      <x:c r="L380" s="10" t="str">
        <x:v>切片腌5分钟；肉和配菜入盘，蒸至熟透；淋葱姜汁；面/魔芋丝煮熟后与菜合碗。</x:v>
      </x:c>
      <x:c r="M380" t="n">
        <x:v>25</x:v>
      </x:c>
      <x:c r="N380" t="n">
        <x:f>ROUND(SUM('食材明细'!H2270:H2275),0)</x:f>
        <x:v>368</x:v>
      </x:c>
      <x:c r="O380" t="n">
        <x:f>ROUND(SUM('食材明细'!J2270:J2275),1)</x:f>
        <x:v>35.2</x:v>
      </x:c>
      <x:c r="P380" t="n">
        <x:f>ROUND(SUM('食材明细'!L2270:L2275),1)</x:f>
        <x:v>17</x:v>
      </x:c>
      <x:c r="Q380" t="n">
        <x:f>ROUND(SUM('食材明细'!N2270:N2275),1)</x:f>
        <x:v>17.9</x:v>
      </x:c>
      <x:c r="R380" s="10" t="str">
        <x:v>调料尽量低盐，不加白砂糖；油重已计入热量。魔芋丝低能量，不等于一份主食。</x:v>
      </x:c>
    </x:row>
    <x:row r="381" ht="37" customHeight="1">
      <x:c r="A381" t="n">
        <x:v>380</x:v>
      </x:c>
      <x:c r="B381" t="n">
        <x:v>190</x:v>
      </x:c>
      <x:c r="C381" t="n">
        <x:v>28</x:v>
      </x:c>
      <x:c r="D381" t="str">
        <x:v>晚餐</x:v>
      </x:c>
      <x:c r="E381" t="str">
        <x:v>禽肉</x:v>
      </x:c>
      <x:c r="F381" s="10" t="str">
        <x:v>奥尔良风味去皮鸡腿肉配西葫芦口蘑｜全麦面</x:v>
      </x:c>
      <x:c r="G381" s="10" t="str">
        <x:v>去皮鸡腿肉180g、西葫芦175g、口蘑110g、全麦面135g、烹调油5g</x:v>
      </x:c>
      <x:c r="H381" t="str">
        <x:v>全麦面</x:v>
      </x:c>
      <x:c r="I381" s="10" t="str">
        <x:v>低主食需求可将主食减1/3，另加100g非淀粉蔬菜（营养值需重算）</x:v>
      </x:c>
      <x:c r="J381" s="10" t="str">
        <x:v>无糖辣椒粉、蒜粉、洋葱粉</x:v>
      </x:c>
      <x:c r="K381" t="str">
        <x:v>蒸/焖</x:v>
      </x:c>
      <x:c r="L381" s="10" t="str">
        <x:v>先去皮去骨并切薄，充分加热；用无糖香辛料腌肉15分钟，蒸或少油焖熟，配菜煮熟；面/魔芋丝煮熟后与菜合碗。</x:v>
      </x:c>
      <x:c r="M381" t="n">
        <x:v>15</x:v>
      </x:c>
      <x:c r="N381" t="n">
        <x:f>ROUND(SUM('食材明细'!H2276:H2281),0)</x:f>
        <x:v>491</x:v>
      </x:c>
      <x:c r="O381" t="n">
        <x:f>ROUND(SUM('食材明细'!J2276:J2281),1)</x:f>
        <x:v>48.3</x:v>
      </x:c>
      <x:c r="P381" t="n">
        <x:f>ROUND(SUM('食材明细'!L2276:L2281),1)</x:f>
        <x:v>42.8</x:v>
      </x:c>
      <x:c r="Q381" t="n">
        <x:f>ROUND(SUM('食材明细'!N2276:N2281),1)</x:f>
        <x:v>16.4</x:v>
      </x:c>
      <x:c r="R381" s="10" t="str">
        <x:v>调料尽量低盐，不加白砂糖；油重已计入热量。</x:v>
      </x:c>
    </x:row>
    <x:row r="382" ht="37" customHeight="1">
      <x:c r="A382" t="n">
        <x:v>381</x:v>
      </x:c>
      <x:c r="B382" t="n">
        <x:v>191</x:v>
      </x:c>
      <x:c r="C382" t="n">
        <x:v>28</x:v>
      </x:c>
      <x:c r="D382" t="str">
        <x:v>午餐</x:v>
      </x:c>
      <x:c r="E382" t="str">
        <x:v>猪肉</x:v>
      </x:c>
      <x:c r="F382" s="10" t="str">
        <x:v>清汤猪瘦肉配生菜香菇｜燕麦饭</x:v>
      </x:c>
      <x:c r="G382" s="10" t="str">
        <x:v>猪瘦肉165g、生菜160g、香菇155g、燕麦饭125g、烹调油3g</x:v>
      </x:c>
      <x:c r="H382" t="str">
        <x:v>燕麦饭</x:v>
      </x:c>
      <x:c r="I382" s="10" t="str">
        <x:v>低主食需求可将主食减1/3，另加100g非淀粉蔬菜（营养值需重算）</x:v>
      </x:c>
      <x:c r="J382" s="10" t="str">
        <x:v>葱段、盐少量</x:v>
      </x:c>
      <x:c r="K382" t="str">
        <x:v>煮</x:v>
      </x:c>
      <x:c r="L382" s="10" t="str">
        <x:v>清水煮开，按熟化时间下食材，最后放叶菜，清淡调味；燕麦饭另煮熟或蒸好后同餐食用。</x:v>
      </x:c>
      <x:c r="M382" t="n">
        <x:v>30</x:v>
      </x:c>
      <x:c r="N382" t="n">
        <x:f>ROUND(SUM('食材明细'!H2282:H2287),0)</x:f>
        <x:v>457</x:v>
      </x:c>
      <x:c r="O382" t="n">
        <x:f>ROUND(SUM('食材明细'!J2282:J2287),1)</x:f>
        <x:v>42.7</x:v>
      </x:c>
      <x:c r="P382" t="n">
        <x:f>ROUND(SUM('食材明细'!L2282:L2287),1)</x:f>
        <x:v>41.4</x:v>
      </x:c>
      <x:c r="Q382" t="n">
        <x:f>ROUND(SUM('食材明细'!N2282:N2287),1)</x:f>
        <x:v>15.3</x:v>
      </x:c>
      <x:c r="R382" s="10" t="str">
        <x:v>调料尽量低盐，不加白砂糖；油重已计入热量。</x:v>
      </x:c>
    </x:row>
    <x:row r="383" ht="37" customHeight="1">
      <x:c r="A383" t="n">
        <x:v>382</x:v>
      </x:c>
      <x:c r="B383" t="n">
        <x:v>191</x:v>
      </x:c>
      <x:c r="C383" t="n">
        <x:v>28</x:v>
      </x:c>
      <x:c r="D383" t="str">
        <x:v>晚餐</x:v>
      </x:c>
      <x:c r="E383" t="str">
        <x:v>牛肉</x:v>
      </x:c>
      <x:c r="F383" s="10" t="str">
        <x:v>椒麻牛腱子配西兰花洋葱｜紫薯</x:v>
      </x:c>
      <x:c r="G383" s="10" t="str">
        <x:v>牛腱子145g、西兰花175g、洋葱140g、紫薯110g、烹调油5g</x:v>
      </x:c>
      <x:c r="H383" t="str">
        <x:v>紫薯</x:v>
      </x:c>
      <x:c r="I383" s="10" t="str">
        <x:v>想减主食可减到原量2/3，另加100g绿叶菜</x:v>
      </x:c>
      <x:c r="J383" s="10" t="str">
        <x:v>花椒、蒜、少量醋</x:v>
      </x:c>
      <x:c r="K383" t="str">
        <x:v>水煮</x:v>
      </x:c>
      <x:c r="L383" s="10" t="str">
        <x:v>花椒温水浸出味道，煮熟主食材和配菜，少油拌汁；紫薯另煮熟或蒸好后同餐食用。</x:v>
      </x:c>
      <x:c r="M383" t="n">
        <x:v>30</x:v>
      </x:c>
      <x:c r="N383" t="n">
        <x:f>ROUND(SUM('食材明细'!H2288:H2293),0)</x:f>
        <x:v>468</x:v>
      </x:c>
      <x:c r="O383" t="n">
        <x:f>ROUND(SUM('食材明细'!J2288:J2293),1)</x:f>
        <x:v>38.7</x:v>
      </x:c>
      <x:c r="P383" t="n">
        <x:f>ROUND(SUM('食材明细'!L2288:L2293),1)</x:f>
        <x:v>49.5</x:v>
      </x:c>
      <x:c r="Q383" t="n">
        <x:f>ROUND(SUM('食材明细'!N2288:N2293),1)</x:f>
        <x:v>14.7</x:v>
      </x:c>
      <x:c r="R383" s="10" t="str">
        <x:v>调料尽量低盐，不加白砂糖；油重已计入热量。</x:v>
      </x:c>
    </x:row>
    <x:row r="384" ht="37" customHeight="1">
      <x:c r="A384" t="n">
        <x:v>383</x:v>
      </x:c>
      <x:c r="B384" t="n">
        <x:v>192</x:v>
      </x:c>
      <x:c r="C384" t="n">
        <x:v>28</x:v>
      </x:c>
      <x:c r="D384" t="str">
        <x:v>午餐</x:v>
      </x:c>
      <x:c r="E384" t="str">
        <x:v>牛肉</x:v>
      </x:c>
      <x:c r="F384" s="10" t="str">
        <x:v>咖喱瘦牛肉配娃娃菜莴笋｜糙米饭</x:v>
      </x:c>
      <x:c r="G384" s="10" t="str">
        <x:v>瘦牛肉185g、娃娃菜160g、莴笋125g、糙米饭135g、烹调油3g</x:v>
      </x:c>
      <x:c r="H384" t="str">
        <x:v>糙米饭</x:v>
      </x:c>
      <x:c r="I384" s="10" t="str">
        <x:v>低主食需求可将主食减1/3，另加100g非淀粉蔬菜（营养值需重算）</x:v>
      </x:c>
      <x:c r="J384" s="10" t="str">
        <x:v>无加糖咖喱粉、姜末</x:v>
      </x:c>
      <x:c r="K384" t="str">
        <x:v>炖煮</x:v>
      </x:c>
      <x:c r="L384" s="10" t="str">
        <x:v>用咖喱粉而非高脂咖喱块，加水轻炖主食材和蔬菜；糙米饭另煮熟或蒸好后同餐食用。</x:v>
      </x:c>
      <x:c r="M384" t="n">
        <x:v>20</x:v>
      </x:c>
      <x:c r="N384" t="n">
        <x:f>ROUND(SUM('食材明细'!H2294:H2299),0)</x:f>
        <x:v>455</x:v>
      </x:c>
      <x:c r="O384" t="n">
        <x:f>ROUND(SUM('食材明细'!J2294:J2299),1)</x:f>
        <x:v>45.7</x:v>
      </x:c>
      <x:c r="P384" t="n">
        <x:f>ROUND(SUM('食材明细'!L2294:L2299),1)</x:f>
        <x:v>40</x:v>
      </x:c>
      <x:c r="Q384" t="n">
        <x:f>ROUND(SUM('食材明细'!N2294:N2299),1)</x:f>
        <x:v>12.1</x:v>
      </x:c>
      <x:c r="R384" s="10" t="str">
        <x:v>调料尽量低盐，不加白砂糖；油重已计入热量。</x:v>
      </x:c>
    </x:row>
    <x:row r="385" ht="37" customHeight="1">
      <x:c r="A385" t="n">
        <x:v>384</x:v>
      </x:c>
      <x:c r="B385" t="n">
        <x:v>192</x:v>
      </x:c>
      <x:c r="C385" t="n">
        <x:v>28</x:v>
      </x:c>
      <x:c r="D385" t="str">
        <x:v>晚餐</x:v>
      </x:c>
      <x:c r="E385" t="str">
        <x:v>禽肉</x:v>
      </x:c>
      <x:c r="F385" s="10" t="str">
        <x:v>豉汁去皮鸡腿肉配油麦菜荷兰豆｜燕麦饭</x:v>
      </x:c>
      <x:c r="G385" s="10" t="str">
        <x:v>去皮鸡腿肉180g、油麦菜140g、荷兰豆140g、燕麦饭135g、烹调油6g</x:v>
      </x:c>
      <x:c r="H385" t="str">
        <x:v>燕麦饭</x:v>
      </x:c>
      <x:c r="I385" s="10" t="str">
        <x:v>低主食需求可将主食减1/3，另加100g非淀粉蔬菜（营养值需重算）</x:v>
      </x:c>
      <x:c r="J385" s="10" t="str">
        <x:v>少量豆豉、姜末</x:v>
      </x:c>
      <x:c r="K385" t="str">
        <x:v>蒸</x:v>
      </x:c>
      <x:c r="L385" s="10" t="str">
        <x:v>先去皮去骨并切薄，充分加热；豆豉冲洗剁碎，与姜末拌主食材后蒸熟；蔬菜另煮；燕麦饭另煮熟或蒸好后同餐食用。</x:v>
      </x:c>
      <x:c r="M385" t="n">
        <x:v>20</x:v>
      </x:c>
      <x:c r="N385" t="n">
        <x:f>ROUND(SUM('食材明细'!H2300:H2305),0)</x:f>
        <x:v>512</x:v>
      </x:c>
      <x:c r="O385" t="n">
        <x:f>ROUND(SUM('食材明细'!J2300:J2305),1)</x:f>
        <x:v>46.2</x:v>
      </x:c>
      <x:c r="P385" t="n">
        <x:f>ROUND(SUM('食材明细'!L2300:L2305),1)</x:f>
        <x:v>43.2</x:v>
      </x:c>
      <x:c r="Q385" t="n">
        <x:f>ROUND(SUM('食材明细'!N2300:N2305),1)</x:f>
        <x:v>18.1</x:v>
      </x:c>
      <x:c r="R385" s="10" t="str">
        <x:v>调料尽量低盐，不加白砂糖；油重已计入热量。</x:v>
      </x:c>
    </x:row>
    <x:row r="386" ht="37" customHeight="1">
      <x:c r="A386" t="n">
        <x:v>385</x:v>
      </x:c>
      <x:c r="B386" t="n">
        <x:v>193</x:v>
      </x:c>
      <x:c r="C386" t="n">
        <x:v>28</x:v>
      </x:c>
      <x:c r="D386" t="str">
        <x:v>午餐</x:v>
      </x:c>
      <x:c r="E386" t="str">
        <x:v>禽肉</x:v>
      </x:c>
      <x:c r="F386" s="10" t="str">
        <x:v>豉汁鸡胸肉配油麦菜玉米笋｜山药</x:v>
      </x:c>
      <x:c r="G386" s="10" t="str">
        <x:v>鸡胸肉165g、油麦菜160g、玉米笋110g、山药135g、烹调油5g</x:v>
      </x:c>
      <x:c r="H386" t="str">
        <x:v>山药</x:v>
      </x:c>
      <x:c r="I386" s="10" t="str">
        <x:v>想减主食可减到原量2/3，另加100g绿叶菜</x:v>
      </x:c>
      <x:c r="J386" s="10" t="str">
        <x:v>少量豆豉、姜末</x:v>
      </x:c>
      <x:c r="K386" t="str">
        <x:v>蒸</x:v>
      </x:c>
      <x:c r="L386" s="10" t="str">
        <x:v>豆豉冲洗剁碎，与姜末拌主食材后蒸熟；蔬菜另煮；山药另煮熟或蒸好后同餐食用。</x:v>
      </x:c>
      <x:c r="M386" t="n">
        <x:v>20</x:v>
      </x:c>
      <x:c r="N386" t="n">
        <x:f>ROUND(SUM('食材明细'!H2306:H2311),0)</x:f>
        <x:v>368</x:v>
      </x:c>
      <x:c r="O386" t="n">
        <x:f>ROUND(SUM('食材明细'!J2306:J2311),1)</x:f>
        <x:v>44.4</x:v>
      </x:c>
      <x:c r="P386" t="n">
        <x:f>ROUND(SUM('食材明细'!L2306:L2311),1)</x:f>
        <x:v>29.4</x:v>
      </x:c>
      <x:c r="Q386" t="n">
        <x:f>ROUND(SUM('食材明细'!N2306:N2311),1)</x:f>
        <x:v>8.9</x:v>
      </x:c>
      <x:c r="R386" s="10" t="str">
        <x:v>调料尽量低盐，不加白砂糖；油重已计入热量。</x:v>
      </x:c>
    </x:row>
    <x:row r="387" ht="37" customHeight="1">
      <x:c r="A387" t="n">
        <x:v>386</x:v>
      </x:c>
      <x:c r="B387" t="n">
        <x:v>193</x:v>
      </x:c>
      <x:c r="C387" t="n">
        <x:v>28</x:v>
      </x:c>
      <x:c r="D387" t="str">
        <x:v>晚餐</x:v>
      </x:c>
      <x:c r="E387" t="str">
        <x:v>豆蛋</x:v>
      </x:c>
      <x:c r="F387" s="10" t="str">
        <x:v>香醋嫩豆腐虾仁烩西葫芦菜心｜红薯</x:v>
      </x:c>
      <x:c r="G387" s="10" t="str">
        <x:v>嫩豆腐300g、虾仁65g、西葫芦190g、菜心155g、红薯135g、烹调油3g</x:v>
      </x:c>
      <x:c r="H387" t="str">
        <x:v>红薯</x:v>
      </x:c>
      <x:c r="I387" s="10" t="str">
        <x:v>想减主食可减到原量2/3，另加100g绿叶菜</x:v>
      </x:c>
      <x:c r="J387" s="10" t="str">
        <x:v>香醋、蒜末、少量生抽</x:v>
      </x:c>
      <x:c r="K387" t="str">
        <x:v>水煮</x:v>
      </x:c>
      <x:c r="L387" s="10" t="str">
        <x:v>食材分别煮至熟，淋香醋蒜汁，拌匀即食；红薯另煮熟或蒸好后同餐食用。</x:v>
      </x:c>
      <x:c r="M387" t="n">
        <x:v>30</x:v>
      </x:c>
      <x:c r="N387" t="n">
        <x:f>ROUND(SUM('食材明细'!H2312:H2317),0)</x:f>
        <x:v>433</x:v>
      </x:c>
      <x:c r="O387" t="n">
        <x:f>ROUND(SUM('食材明细'!J2312:J2317),1)</x:f>
        <x:v>34.9</x:v>
      </x:c>
      <x:c r="P387" t="n">
        <x:f>ROUND(SUM('食材明细'!L2312:L2317),1)</x:f>
        <x:v>45.3</x:v>
      </x:c>
      <x:c r="Q387" t="n">
        <x:f>ROUND(SUM('食材明细'!N2312:N2317),1)</x:f>
        <x:v>13.3</x:v>
      </x:c>
      <x:c r="R387" s="10" t="str">
        <x:v>调料尽量低盐，不加白砂糖；油重已计入热量。</x:v>
      </x:c>
    </x:row>
    <x:row r="388" ht="37" customHeight="1">
      <x:c r="A388" t="n">
        <x:v>387</x:v>
      </x:c>
      <x:c r="B388" t="n">
        <x:v>194</x:v>
      </x:c>
      <x:c r="C388" t="n">
        <x:v>28</x:v>
      </x:c>
      <x:c r="D388" t="str">
        <x:v>午餐</x:v>
      </x:c>
      <x:c r="E388" t="str">
        <x:v>鱼类</x:v>
      </x:c>
      <x:c r="F388" s="10" t="str">
        <x:v>豉汁鲈鱼配娃娃菜海带｜杂粮饭</x:v>
      </x:c>
      <x:c r="G388" s="10" t="str">
        <x:v>鲈鱼185g、娃娃菜190g、海带155g、杂粮饭150g、烹调油5g</x:v>
      </x:c>
      <x:c r="H388" t="str">
        <x:v>杂粮饭</x:v>
      </x:c>
      <x:c r="I388" s="10" t="str">
        <x:v>低主食需求可将主食减1/3，另加100g非淀粉蔬菜（营养值需重算）</x:v>
      </x:c>
      <x:c r="J388" s="10" t="str">
        <x:v>少量豆豉、姜末</x:v>
      </x:c>
      <x:c r="K388" t="str">
        <x:v>蒸</x:v>
      </x:c>
      <x:c r="L388" s="10" t="str">
        <x:v>鱼肉去刺，彻底做熟；豆豉冲洗剁碎，与姜末拌主食材后蒸熟；蔬菜另煮；杂粮饭另煮熟或蒸好后同餐食用。</x:v>
      </x:c>
      <x:c r="M388" t="n">
        <x:v>30</x:v>
      </x:c>
      <x:c r="N388" t="n">
        <x:f>ROUND(SUM('食材明细'!H2318:H2323),0)</x:f>
        <x:v>483</x:v>
      </x:c>
      <x:c r="O388" t="n">
        <x:f>ROUND(SUM('食材明细'!J2318:J2323),1)</x:f>
        <x:v>43.8</x:v>
      </x:c>
      <x:c r="P388" t="n">
        <x:f>ROUND(SUM('食材明细'!L2318:L2323),1)</x:f>
        <x:v>48.7</x:v>
      </x:c>
      <x:c r="Q388" t="n">
        <x:f>ROUND(SUM('食材明细'!N2318:N2323),1)</x:f>
        <x:v>12.7</x:v>
      </x:c>
      <x:c r="R388" s="10" t="str">
        <x:v>调料尽量低盐，不加白砂糖；油重已计入热量。</x:v>
      </x:c>
    </x:row>
    <x:row r="389" ht="37" customHeight="1">
      <x:c r="A389" t="n">
        <x:v>388</x:v>
      </x:c>
      <x:c r="B389" t="n">
        <x:v>194</x:v>
      </x:c>
      <x:c r="C389" t="n">
        <x:v>28</x:v>
      </x:c>
      <x:c r="D389" t="str">
        <x:v>晚餐</x:v>
      </x:c>
      <x:c r="E389" t="str">
        <x:v>鱼类</x:v>
      </x:c>
      <x:c r="F389" s="10" t="str">
        <x:v>菌菇鳕鱼配丝瓜香菇｜玉米</x:v>
      </x:c>
      <x:c r="G389" s="10" t="str">
        <x:v>鳕鱼200g、丝瓜140g、香菇125g、玉米95g、烹调油5g</x:v>
      </x:c>
      <x:c r="H389" t="str">
        <x:v>玉米</x:v>
      </x:c>
      <x:c r="I389" s="10" t="str">
        <x:v>想减主食可减到原量2/3，另加100g绿叶菜</x:v>
      </x:c>
      <x:c r="J389" s="10" t="str">
        <x:v>姜片、香菇汁</x:v>
      </x:c>
      <x:c r="K389" t="str">
        <x:v>焖煮</x:v>
      </x:c>
      <x:c r="L389" s="10" t="str">
        <x:v>鱼肉去刺，彻底做熟；食材与菌菇加少量水焖熟，出锅前加少量低盐生抽；玉米另煮熟或蒸好后同餐食用。</x:v>
      </x:c>
      <x:c r="M389" t="n">
        <x:v>20</x:v>
      </x:c>
      <x:c r="N389" t="n">
        <x:f>ROUND(SUM('食材明细'!H2324:H2329),0)</x:f>
        <x:v>385</x:v>
      </x:c>
      <x:c r="O389" t="n">
        <x:f>ROUND(SUM('食材明细'!J2324:J2329),1)</x:f>
        <x:v>43.4</x:v>
      </x:c>
      <x:c r="P389" t="n">
        <x:f>ROUND(SUM('食材明细'!L2324:L2329),1)</x:f>
        <x:v>35</x:v>
      </x:c>
      <x:c r="Q389" t="n">
        <x:f>ROUND(SUM('食材明细'!N2324:N2329),1)</x:f>
        <x:v>8.9</x:v>
      </x:c>
      <x:c r="R389" s="10" t="str">
        <x:v>调料尽量低盐，不加白砂糖；油重已计入热量。</x:v>
      </x:c>
    </x:row>
    <x:row r="390" ht="37" customHeight="1">
      <x:c r="A390" t="n">
        <x:v>389</x:v>
      </x:c>
      <x:c r="B390" t="n">
        <x:v>195</x:v>
      </x:c>
      <x:c r="C390" t="n">
        <x:v>28</x:v>
      </x:c>
      <x:c r="D390" t="str">
        <x:v>午餐</x:v>
      </x:c>
      <x:c r="E390" t="str">
        <x:v>海鲜</x:v>
      </x:c>
      <x:c r="F390" s="10" t="str">
        <x:v>黑椒虾仁配四季豆紫甘蓝｜燕麦饭</x:v>
      </x:c>
      <x:c r="G390" s="10" t="str">
        <x:v>虾仁160g、四季豆140g、紫甘蓝155g、燕麦饭110g、烹调油5g</x:v>
      </x:c>
      <x:c r="H390" t="str">
        <x:v>燕麦饭</x:v>
      </x:c>
      <x:c r="I390" s="10" t="str">
        <x:v>低主食需求可将主食减1/3，另加100g非淀粉蔬菜（营养值需重算）</x:v>
      </x:c>
      <x:c r="J390" s="10" t="str">
        <x:v>黑胡椒、蒜末</x:v>
      </x:c>
      <x:c r="K390" t="str">
        <x:v>少油烩</x:v>
      </x:c>
      <x:c r="L390" s="10" t="str">
        <x:v>锅加少量水和油，先把主食材煮熟，再烩两种蔬菜，收汁撒黑椒；燕麦饭另煮熟或蒸好后同餐食用。四季豆必须充分煮熟，不要生脆。</x:v>
      </x:c>
      <x:c r="M390" t="n">
        <x:v>20</x:v>
      </x:c>
      <x:c r="N390" t="n">
        <x:f>ROUND(SUM('食材明细'!H2330:H2335),0)</x:f>
        <x:v>401</x:v>
      </x:c>
      <x:c r="O390" t="n">
        <x:f>ROUND(SUM('食材明细'!J2330:J2335),1)</x:f>
        <x:v>38.6</x:v>
      </x:c>
      <x:c r="P390" t="n">
        <x:f>ROUND(SUM('食材明细'!L2330:L2335),1)</x:f>
        <x:v>44.9</x:v>
      </x:c>
      <x:c r="Q390" t="n">
        <x:f>ROUND(SUM('食材明细'!N2330:N2335),1)</x:f>
        <x:v>9</x:v>
      </x:c>
      <x:c r="R390" s="10" t="str">
        <x:v>调料尽量低盐，不加白砂糖；油重已计入热量。</x:v>
      </x:c>
    </x:row>
    <x:row r="391" ht="37" customHeight="1">
      <x:c r="A391" t="n">
        <x:v>390</x:v>
      </x:c>
      <x:c r="B391" t="n">
        <x:v>195</x:v>
      </x:c>
      <x:c r="C391" t="n">
        <x:v>28</x:v>
      </x:c>
      <x:c r="D391" t="str">
        <x:v>晚餐</x:v>
      </x:c>
      <x:c r="E391" t="str">
        <x:v>海鲜</x:v>
      </x:c>
      <x:c r="F391" s="10" t="str">
        <x:v>清汤扇贝肉配丝瓜白萝卜｜土豆</x:v>
      </x:c>
      <x:c r="G391" s="10" t="str">
        <x:v>扇贝肉170g、丝瓜190g、白萝卜155g、土豆160g、烹调油3g</x:v>
      </x:c>
      <x:c r="H391" t="str">
        <x:v>土豆</x:v>
      </x:c>
      <x:c r="I391" s="10" t="str">
        <x:v>想减主食可减到原量2/3，另加100g绿叶菜</x:v>
      </x:c>
      <x:c r="J391" s="10" t="str">
        <x:v>葱段、盐少量</x:v>
      </x:c>
      <x:c r="K391" t="str">
        <x:v>煮</x:v>
      </x:c>
      <x:c r="L391" s="10" t="str">
        <x:v>清水煮开，按熟化时间下食材，最后放叶菜，清淡调味；土豆另煮熟或蒸好后同餐食用。</x:v>
      </x:c>
      <x:c r="M391" t="n">
        <x:v>25</x:v>
      </x:c>
      <x:c r="N391" t="n">
        <x:f>ROUND(SUM('食材明细'!H2336:H2341),0)</x:f>
        <x:v>371</x:v>
      </x:c>
      <x:c r="O391" t="n">
        <x:f>ROUND(SUM('食材明细'!J2336:J2341),1)</x:f>
        <x:v>34.9</x:v>
      </x:c>
      <x:c r="P391" t="n">
        <x:f>ROUND(SUM('食材明细'!L2336:L2341),1)</x:f>
        <x:v>46.4</x:v>
      </x:c>
      <x:c r="Q391" t="n">
        <x:f>ROUND(SUM('食材明细'!N2336:N2341),1)</x:f>
        <x:v>5.1</x:v>
      </x:c>
      <x:c r="R391" s="10" t="str">
        <x:v>调料尽量低盐，不加白砂糖；油重已计入热量。</x:v>
      </x:c>
    </x:row>
    <x:row r="392" ht="37" customHeight="1">
      <x:c r="A392" t="n">
        <x:v>391</x:v>
      </x:c>
      <x:c r="B392" t="n">
        <x:v>196</x:v>
      </x:c>
      <x:c r="C392" t="n">
        <x:v>28</x:v>
      </x:c>
      <x:c r="D392" t="str">
        <x:v>午餐</x:v>
      </x:c>
      <x:c r="E392" t="str">
        <x:v>禽肉</x:v>
      </x:c>
      <x:c r="F392" s="10" t="str">
        <x:v>蚝香去皮鸡腿肉配紫甘蓝白萝卜｜米粉</x:v>
      </x:c>
      <x:c r="G392" s="10" t="str">
        <x:v>去皮鸡腿肉175g、紫甘蓝160g、白萝卜110g、米粉150g、烹调油5g</x:v>
      </x:c>
      <x:c r="H392" t="str">
        <x:v>米粉</x:v>
      </x:c>
      <x:c r="I392" s="10" t="str">
        <x:v>低主食需求可将主食减1/3，另加100g非淀粉蔬菜（营养值需重算）</x:v>
      </x:c>
      <x:c r="J392" s="10" t="str">
        <x:v>低钠蚝油少量、姜蒜</x:v>
      </x:c>
      <x:c r="K392" t="str">
        <x:v>少油烩</x:v>
      </x:c>
      <x:c r="L392" s="10" t="str">
        <x:v>先去皮去骨并切薄，充分加热；主食材和蔬菜少油少水烩熟，起锅前点少量蚝油；面/魔芋丝煮熟后与菜合碗。</x:v>
      </x:c>
      <x:c r="M392" t="n">
        <x:v>15</x:v>
      </x:c>
      <x:c r="N392" t="n">
        <x:f>ROUND(SUM('食材明细'!H2342:H2347),0)</x:f>
        <x:v>498</x:v>
      </x:c>
      <x:c r="O392" t="n">
        <x:f>ROUND(SUM('食材明细'!J2342:J2347),1)</x:f>
        <x:v>40.9</x:v>
      </x:c>
      <x:c r="P392" t="n">
        <x:f>ROUND(SUM('食材明细'!L2342:L2347),1)</x:f>
        <x:v>52.1</x:v>
      </x:c>
      <x:c r="Q392" t="n">
        <x:f>ROUND(SUM('食材明细'!N2342:N2347),1)</x:f>
        <x:v>14.6</x:v>
      </x:c>
      <x:c r="R392" s="10" t="str">
        <x:v>调料尽量低盐，不加白砂糖；油重已计入热量。</x:v>
      </x:c>
    </x:row>
    <x:row r="393" ht="37" customHeight="1">
      <x:c r="A393" t="n">
        <x:v>392</x:v>
      </x:c>
      <x:c r="B393" t="n">
        <x:v>196</x:v>
      </x:c>
      <x:c r="C393" t="n">
        <x:v>28</x:v>
      </x:c>
      <x:c r="D393" t="str">
        <x:v>晚餐</x:v>
      </x:c>
      <x:c r="E393" t="str">
        <x:v>豆蛋</x:v>
      </x:c>
      <x:c r="F393" s="10" t="str">
        <x:v>剁椒北豆腐鸡蛋烩菜心紫甘蓝｜荞麦饭</x:v>
      </x:c>
      <x:c r="G393" s="10" t="str">
        <x:v>北豆腐260g、鸡蛋60g、菜心175g、紫甘蓝110g、荞麦饭95g、烹调油4g</x:v>
      </x:c>
      <x:c r="H393" t="str">
        <x:v>荞麦饭</x:v>
      </x:c>
      <x:c r="I393" s="10" t="str">
        <x:v>低主食需求可将主食减1/3，另加100g非淀粉蔬菜（营养值需重算）</x:v>
      </x:c>
      <x:c r="J393" s="10" t="str">
        <x:v>自制低盐剁椒、蒜</x:v>
      </x:c>
      <x:c r="K393" t="str">
        <x:v>蒸</x:v>
      </x:c>
      <x:c r="L393" s="10" t="str">
        <x:v>主食材铺少量低盐剁椒蒸熟，配菜焯熟后摆盘；荞麦饭另煮熟或蒸好后同餐食用。</x:v>
      </x:c>
      <x:c r="M393" t="n">
        <x:v>20</x:v>
      </x:c>
      <x:c r="N393" t="n">
        <x:f>ROUND(SUM('食材明细'!H2348:H2353),0)</x:f>
        <x:v>530</x:v>
      </x:c>
      <x:c r="O393" t="n">
        <x:f>ROUND(SUM('食材明细'!J2348:J2353),1)</x:f>
        <x:v>42.1</x:v>
      </x:c>
      <x:c r="P393" t="n">
        <x:f>ROUND(SUM('食材明细'!L2348:L2353),1)</x:f>
        <x:v>40.9</x:v>
      </x:c>
      <x:c r="Q393" t="n">
        <x:f>ROUND(SUM('食材明细'!N2348:N2353),1)</x:f>
        <x:v>24.7</x:v>
      </x:c>
      <x:c r="R393" s="10" t="str">
        <x:v>调料尽量低盐，不加白砂糖；油重已计入热量。</x:v>
      </x:c>
    </x:row>
    <x:row r="394" ht="37" customHeight="1">
      <x:c r="A394" t="n">
        <x:v>393</x:v>
      </x:c>
      <x:c r="B394" t="n">
        <x:v>197</x:v>
      </x:c>
      <x:c r="C394" t="n">
        <x:v>29</x:v>
      </x:c>
      <x:c r="D394" t="str">
        <x:v>午餐</x:v>
      </x:c>
      <x:c r="E394" t="str">
        <x:v>海鲜</x:v>
      </x:c>
      <x:c r="F394" s="10" t="str">
        <x:v>菌菇鱿鱼配芦笋金针菇｜杂粮饭</x:v>
      </x:c>
      <x:c r="G394" s="10" t="str">
        <x:v>鱿鱼190g、芦笋175g、金针菇155g、杂粮饭135g、烹调油6g</x:v>
      </x:c>
      <x:c r="H394" t="str">
        <x:v>杂粮饭</x:v>
      </x:c>
      <x:c r="I394" s="10" t="str">
        <x:v>低主食需求可将主食减1/3，另加100g非淀粉蔬菜（营养值需重算）</x:v>
      </x:c>
      <x:c r="J394" s="10" t="str">
        <x:v>姜片、香菇汁</x:v>
      </x:c>
      <x:c r="K394" t="str">
        <x:v>焖煮</x:v>
      </x:c>
      <x:c r="L394" s="10" t="str">
        <x:v>食材与菌菇加少量水焖熟，出锅前加少量低盐生抽；杂粮饭另煮熟或蒸好后同餐食用。</x:v>
      </x:c>
      <x:c r="M394" t="n">
        <x:v>20</x:v>
      </x:c>
      <x:c r="N394" t="n">
        <x:f>ROUND(SUM('食材明细'!H2354:H2359),0)</x:f>
        <x:v>474</x:v>
      </x:c>
      <x:c r="O394" t="n">
        <x:f>ROUND(SUM('食材明细'!J2354:J2359),1)</x:f>
        <x:v>44.1</x:v>
      </x:c>
      <x:c r="P394" t="n">
        <x:f>ROUND(SUM('食材明细'!L2354:L2359),1)</x:f>
        <x:v>52.3</x:v>
      </x:c>
      <x:c r="Q394" t="n">
        <x:f>ROUND(SUM('食材明细'!N2354:N2359),1)</x:f>
        <x:v>10.6</x:v>
      </x:c>
      <x:c r="R394" s="10" t="str">
        <x:v>调料尽量低盐，不加白砂糖；油重已计入热量。</x:v>
      </x:c>
    </x:row>
    <x:row r="395" ht="37" customHeight="1">
      <x:c r="A395" t="n">
        <x:v>394</x:v>
      </x:c>
      <x:c r="B395" t="n">
        <x:v>197</x:v>
      </x:c>
      <x:c r="C395" t="n">
        <x:v>29</x:v>
      </x:c>
      <x:c r="D395" t="str">
        <x:v>晚餐</x:v>
      </x:c>
      <x:c r="E395" t="str">
        <x:v>牛肉</x:v>
      </x:c>
      <x:c r="F395" s="10" t="str">
        <x:v>菌菇瘦牛肉配西葫芦香菇｜燕麦饭</x:v>
      </x:c>
      <x:c r="G395" s="10" t="str">
        <x:v>瘦牛肉160g、西葫芦175g、香菇110g、燕麦饭80g、烹调油5g</x:v>
      </x:c>
      <x:c r="H395" t="str">
        <x:v>燕麦饭</x:v>
      </x:c>
      <x:c r="I395" s="10" t="str">
        <x:v>低主食需求可将主食减1/3，另加100g非淀粉蔬菜（营养值需重算）</x:v>
      </x:c>
      <x:c r="J395" s="10" t="str">
        <x:v>姜片、香菇汁</x:v>
      </x:c>
      <x:c r="K395" t="str">
        <x:v>焖煮</x:v>
      </x:c>
      <x:c r="L395" s="10" t="str">
        <x:v>食材与菌菇加少量水焖熟，出锅前加少量低盐生抽；燕麦饭另煮熟或蒸好后同餐食用。</x:v>
      </x:c>
      <x:c r="M395" t="n">
        <x:v>20</x:v>
      </x:c>
      <x:c r="N395" t="n">
        <x:f>ROUND(SUM('食材明细'!H2360:H2365),0)</x:f>
        <x:v>400</x:v>
      </x:c>
      <x:c r="O395" t="n">
        <x:f>ROUND(SUM('食材明细'!J2360:J2365),1)</x:f>
        <x:v>40.7</x:v>
      </x:c>
      <x:c r="P395" t="n">
        <x:f>ROUND(SUM('食材明细'!L2360:L2365),1)</x:f>
        <x:v>29.7</x:v>
      </x:c>
      <x:c r="Q395" t="n">
        <x:f>ROUND(SUM('食材明细'!N2360:N2365),1)</x:f>
        <x:v>13.9</x:v>
      </x:c>
      <x:c r="R395" s="10" t="str">
        <x:v>调料尽量低盐，不加白砂糖；油重已计入热量。</x:v>
      </x:c>
    </x:row>
    <x:row r="396" ht="37" customHeight="1">
      <x:c r="A396" t="n">
        <x:v>395</x:v>
      </x:c>
      <x:c r="B396" t="n">
        <x:v>198</x:v>
      </x:c>
      <x:c r="C396" t="n">
        <x:v>29</x:v>
      </x:c>
      <x:c r="D396" t="str">
        <x:v>午餐</x:v>
      </x:c>
      <x:c r="E396" t="str">
        <x:v>猪肉</x:v>
      </x:c>
      <x:c r="F396" s="10" t="str">
        <x:v>孜然猪里脊配荷兰豆胡萝卜｜全麦面</x:v>
      </x:c>
      <x:c r="G396" s="10" t="str">
        <x:v>猪里脊155g、荷兰豆160g、胡萝卜110g、全麦面150g、烹调油4g</x:v>
      </x:c>
      <x:c r="H396" t="str">
        <x:v>全麦面</x:v>
      </x:c>
      <x:c r="I396" s="10" t="str">
        <x:v>低主食需求可将主食减1/3，另加100g非淀粉蔬菜（营养值需重算）</x:v>
      </x:c>
      <x:c r="J396" s="10" t="str">
        <x:v>孜然、辣椒粉、蒜末</x:v>
      </x:c>
      <x:c r="K396" t="str">
        <x:v>少油焖</x:v>
      </x:c>
      <x:c r="L396" s="10" t="str">
        <x:v>主食材用少量油和水焖熟，下蔬菜翻拌，撒孜然；面/魔芋丝煮熟后与菜合碗。</x:v>
      </x:c>
      <x:c r="M396" t="n">
        <x:v>20</x:v>
      </x:c>
      <x:c r="N396" t="n">
        <x:f>ROUND(SUM('食材明细'!H2366:H2371),0)</x:f>
        <x:v>520</x:v>
      </x:c>
      <x:c r="O396" t="n">
        <x:f>ROUND(SUM('食材明细'!J2366:J2371),1)</x:f>
        <x:v>45.5</x:v>
      </x:c>
      <x:c r="P396" t="n">
        <x:f>ROUND(SUM('食材明细'!L2366:L2371),1)</x:f>
        <x:v>60.5</x:v>
      </x:c>
      <x:c r="Q396" t="n">
        <x:f>ROUND(SUM('食材明细'!N2366:N2371),1)</x:f>
        <x:v>11.8</x:v>
      </x:c>
      <x:c r="R396" s="10" t="str">
        <x:v>调料尽量低盐，不加白砂糖；油重已计入热量。</x:v>
      </x:c>
    </x:row>
    <x:row r="397" ht="37" customHeight="1">
      <x:c r="A397" t="n">
        <x:v>396</x:v>
      </x:c>
      <x:c r="B397" t="n">
        <x:v>198</x:v>
      </x:c>
      <x:c r="C397" t="n">
        <x:v>29</x:v>
      </x:c>
      <x:c r="D397" t="str">
        <x:v>晚餐</x:v>
      </x:c>
      <x:c r="E397" t="str">
        <x:v>禽肉</x:v>
      </x:c>
      <x:c r="F397" s="10" t="str">
        <x:v>剁椒去皮鸡腿肉配大白菜香菇｜藜麦饭</x:v>
      </x:c>
      <x:c r="G397" s="10" t="str">
        <x:v>去皮鸡腿肉160g、大白菜190g、香菇140g、藜麦饭110g、烹调油5g</x:v>
      </x:c>
      <x:c r="H397" t="str">
        <x:v>藜麦饭</x:v>
      </x:c>
      <x:c r="I397" s="10" t="str">
        <x:v>低主食需求可将主食减1/3，另加100g非淀粉蔬菜（营养值需重算）</x:v>
      </x:c>
      <x:c r="J397" s="10" t="str">
        <x:v>自制低盐剁椒、蒜</x:v>
      </x:c>
      <x:c r="K397" t="str">
        <x:v>蒸</x:v>
      </x:c>
      <x:c r="L397" s="10" t="str">
        <x:v>先去皮去骨并切薄，充分加热；主食材铺少量低盐剁椒蒸熟，配菜焯熟后摆盘；藜麦饭另煮熟或蒸好后同餐食用。</x:v>
      </x:c>
      <x:c r="M397" t="n">
        <x:v>15</x:v>
      </x:c>
      <x:c r="N397" t="n">
        <x:f>ROUND(SUM('食材明细'!H2372:H2377),0)</x:f>
        <x:v>457</x:v>
      </x:c>
      <x:c r="O397" t="n">
        <x:f>ROUND(SUM('食材明细'!J2372:J2377),1)</x:f>
        <x:v>42.8</x:v>
      </x:c>
      <x:c r="P397" t="n">
        <x:f>ROUND(SUM('食材明细'!L2372:L2377),1)</x:f>
        <x:v>39</x:v>
      </x:c>
      <x:c r="Q397" t="n">
        <x:f>ROUND(SUM('食材明细'!N2372:N2377),1)</x:f>
        <x:v>16</x:v>
      </x:c>
      <x:c r="R397" s="10" t="str">
        <x:v>调料尽量低盐，不加白砂糖；油重已计入热量。</x:v>
      </x:c>
    </x:row>
    <x:row r="398" ht="37" customHeight="1">
      <x:c r="A398" t="n">
        <x:v>397</x:v>
      </x:c>
      <x:c r="B398" t="n">
        <x:v>199</x:v>
      </x:c>
      <x:c r="C398" t="n">
        <x:v>29</x:v>
      </x:c>
      <x:c r="D398" t="str">
        <x:v>午餐</x:v>
      </x:c>
      <x:c r="E398" t="str">
        <x:v>豆蛋</x:v>
      </x:c>
      <x:c r="F398" s="10" t="str">
        <x:v>葱姜清蒸鸡蛋嫩豆腐烩小白菜金针菇｜糙米饭</x:v>
      </x:c>
      <x:c r="G398" s="10" t="str">
        <x:v>鸡蛋120g、嫩豆腐110g、小白菜190g、金针菇140g、糙米饭150g、烹调油3g</x:v>
      </x:c>
      <x:c r="H398" t="str">
        <x:v>糙米饭</x:v>
      </x:c>
      <x:c r="I398" s="10" t="str">
        <x:v>低主食需求可将主食减1/3，另加100g非淀粉蔬菜（营养值需重算）</x:v>
      </x:c>
      <x:c r="J398" s="10" t="str">
        <x:v>葱姜、少量低盐生抽</x:v>
      </x:c>
      <x:c r="K398" t="str">
        <x:v>蒸</x:v>
      </x:c>
      <x:c r="L398" s="10" t="str">
        <x:v>鸡蛋先打散成蛋液；切片腌5分钟；肉和配菜入盘，蒸至熟透；淋葱姜汁；糙米饭另煮熟或蒸好后同餐食用。</x:v>
      </x:c>
      <x:c r="M398" t="n">
        <x:v>30</x:v>
      </x:c>
      <x:c r="N398" t="n">
        <x:f>ROUND(SUM('食材明细'!H2378:H2383),0)</x:f>
        <x:v>505</x:v>
      </x:c>
      <x:c r="O398" t="n">
        <x:f>ROUND(SUM('食材明细'!J2378:J2383),1)</x:f>
        <x:v>31.4</x:v>
      </x:c>
      <x:c r="P398" t="n">
        <x:f>ROUND(SUM('食材明细'!L2378:L2383),1)</x:f>
        <x:v>53.1</x:v>
      </x:c>
      <x:c r="Q398" t="n">
        <x:f>ROUND(SUM('食材明细'!N2378:N2383),1)</x:f>
        <x:v>20.1</x:v>
      </x:c>
      <x:c r="R398" s="10" t="str">
        <x:v>调料尽量低盐，不加白砂糖；油重已计入热量。</x:v>
      </x:c>
    </x:row>
    <x:row r="399" ht="37" customHeight="1">
      <x:c r="A399" t="n">
        <x:v>398</x:v>
      </x:c>
      <x:c r="B399" t="n">
        <x:v>199</x:v>
      </x:c>
      <x:c r="C399" t="n">
        <x:v>29</x:v>
      </x:c>
      <x:c r="D399" t="str">
        <x:v>晚餐</x:v>
      </x:c>
      <x:c r="E399" t="str">
        <x:v>牛肉</x:v>
      </x:c>
      <x:c r="F399" s="10" t="str">
        <x:v>豉汁牛里脊配小白菜口蘑｜糙米饭</x:v>
      </x:c>
      <x:c r="G399" s="10" t="str">
        <x:v>牛里脊145g、小白菜190g、口蘑125g、糙米饭110g、烹调油6g</x:v>
      </x:c>
      <x:c r="H399" t="str">
        <x:v>糙米饭</x:v>
      </x:c>
      <x:c r="I399" s="10" t="str">
        <x:v>低主食需求可将主食减1/3，另加100g非淀粉蔬菜（营养值需重算）</x:v>
      </x:c>
      <x:c r="J399" s="10" t="str">
        <x:v>少量豆豉、姜末</x:v>
      </x:c>
      <x:c r="K399" t="str">
        <x:v>蒸</x:v>
      </x:c>
      <x:c r="L399" s="10" t="str">
        <x:v>豆豉冲洗剁碎，与姜末拌主食材后蒸熟；蔬菜另煮；糙米饭另煮熟或蒸好后同餐食用。</x:v>
      </x:c>
      <x:c r="M399" t="n">
        <x:v>20</x:v>
      </x:c>
      <x:c r="N399" t="n">
        <x:f>ROUND(SUM('食材明细'!H2384:H2389),0)</x:f>
        <x:v>426</x:v>
      </x:c>
      <x:c r="O399" t="n">
        <x:f>ROUND(SUM('食材明细'!J2384:J2389),1)</x:f>
        <x:v>40.2</x:v>
      </x:c>
      <x:c r="P399" t="n">
        <x:f>ROUND(SUM('食材明细'!L2384:L2389),1)</x:f>
        <x:v>35.3</x:v>
      </x:c>
      <x:c r="Q399" t="n">
        <x:f>ROUND(SUM('食材明细'!N2384:N2389),1)</x:f>
        <x:v>14.7</x:v>
      </x:c>
      <x:c r="R399" s="10" t="str">
        <x:v>调料尽量低盐，不加白砂糖；油重已计入热量。</x:v>
      </x:c>
    </x:row>
    <x:row r="400" ht="37" customHeight="1">
      <x:c r="A400" t="n">
        <x:v>399</x:v>
      </x:c>
      <x:c r="B400" t="n">
        <x:v>200</x:v>
      </x:c>
      <x:c r="C400" t="n">
        <x:v>29</x:v>
      </x:c>
      <x:c r="D400" t="str">
        <x:v>午餐</x:v>
      </x:c>
      <x:c r="E400" t="str">
        <x:v>鱼类</x:v>
      </x:c>
      <x:c r="F400" s="10" t="str">
        <x:v>花椒巴沙鱼配生菜莴笋｜杂粮饭</x:v>
      </x:c>
      <x:c r="G400" s="10" t="str">
        <x:v>巴沙鱼200g、生菜175g、莴笋155g、杂粮饭165g、烹调油6g</x:v>
      </x:c>
      <x:c r="H400" t="str">
        <x:v>杂粮饭</x:v>
      </x:c>
      <x:c r="I400" s="10" t="str">
        <x:v>低主食需求可将主食减1/3，另加100g非淀粉蔬菜（营养值需重算）</x:v>
      </x:c>
      <x:c r="J400" s="10" t="str">
        <x:v>花椒粉、姜丝</x:v>
      </x:c>
      <x:c r="K400" t="str">
        <x:v>蒸</x:v>
      </x:c>
      <x:c r="L400" s="10" t="str">
        <x:v>鱼肉去刺，彻底做熟；薄薄撒花椒和姜丝，蒸至熟透，搭配焯青菜；杂粮饭另煮熟或蒸好后同餐食用。</x:v>
      </x:c>
      <x:c r="M400" t="n">
        <x:v>15</x:v>
      </x:c>
      <x:c r="N400" t="n">
        <x:f>ROUND(SUM('食材明细'!H2390:H2395),0)</x:f>
        <x:v>475</x:v>
      </x:c>
      <x:c r="O400" t="n">
        <x:f>ROUND(SUM('食材明细'!J2390:J2395),1)</x:f>
        <x:v>43.1</x:v>
      </x:c>
      <x:c r="P400" t="n">
        <x:f>ROUND(SUM('食材明细'!L2390:L2395),1)</x:f>
        <x:v>48.2</x:v>
      </x:c>
      <x:c r="Q400" t="n">
        <x:f>ROUND(SUM('食材明细'!N2390:N2395),1)</x:f>
        <x:v>12.8</x:v>
      </x:c>
      <x:c r="R400" s="10" t="str">
        <x:v>调料尽量低盐，不加白砂糖；油重已计入热量。</x:v>
      </x:c>
    </x:row>
    <x:row r="401" ht="37" customHeight="1">
      <x:c r="A401" t="n">
        <x:v>400</x:v>
      </x:c>
      <x:c r="B401" t="n">
        <x:v>200</x:v>
      </x:c>
      <x:c r="C401" t="n">
        <x:v>29</x:v>
      </x:c>
      <x:c r="D401" t="str">
        <x:v>晚餐</x:v>
      </x:c>
      <x:c r="E401" t="str">
        <x:v>海鲜</x:v>
      </x:c>
      <x:c r="F401" s="10" t="str">
        <x:v>蒜香扇贝肉配番茄口蘑｜藜麦饭</x:v>
      </x:c>
      <x:c r="G401" s="10" t="str">
        <x:v>扇贝肉170g、番茄190g、口蘑110g、藜麦饭95g、烹调油3g</x:v>
      </x:c>
      <x:c r="H401" t="str">
        <x:v>藜麦饭</x:v>
      </x:c>
      <x:c r="I401" s="10" t="str">
        <x:v>低主食需求可将主食减1/3，另加100g非淀粉蔬菜（营养值需重算）</x:v>
      </x:c>
      <x:c r="J401" s="10" t="str">
        <x:v>蒜末、白胡椒</x:v>
      </x:c>
      <x:c r="K401" t="str">
        <x:v>蒸</x:v>
      </x:c>
      <x:c r="L401" s="10" t="str">
        <x:v>食材切块，撒蒜末；上锅蒸熟，蔬菜另焯后拌匀；藜麦饭另煮熟或蒸好后同餐食用。</x:v>
      </x:c>
      <x:c r="M401" t="n">
        <x:v>25</x:v>
      </x:c>
      <x:c r="N401" t="n">
        <x:f>ROUND(SUM('食材明细'!H2396:H2401),0)</x:f>
        <x:v>356</x:v>
      </x:c>
      <x:c r="O401" t="n">
        <x:f>ROUND(SUM('食材明细'!J2396:J2401),1)</x:f>
        <x:v>38.2</x:v>
      </x:c>
      <x:c r="P401" t="n">
        <x:f>ROUND(SUM('食材明细'!L2396:L2401),1)</x:f>
        <x:v>36.6</x:v>
      </x:c>
      <x:c r="Q401" t="n">
        <x:f>ROUND(SUM('食材明细'!N2396:N2401),1)</x:f>
        <x:v>6.9</x:v>
      </x:c>
      <x:c r="R401" s="10" t="str">
        <x:v>调料尽量低盐，不加白砂糖；油重已计入热量。</x:v>
      </x:c>
    </x:row>
    <x:row r="402" ht="37" customHeight="1">
      <x:c r="A402" t="n">
        <x:v>401</x:v>
      </x:c>
      <x:c r="B402" t="n">
        <x:v>201</x:v>
      </x:c>
      <x:c r="C402" t="n">
        <x:v>29</x:v>
      </x:c>
      <x:c r="D402" t="str">
        <x:v>午餐</x:v>
      </x:c>
      <x:c r="E402" t="str">
        <x:v>牛肉</x:v>
      </x:c>
      <x:c r="F402" s="10" t="str">
        <x:v>孜然瘦牛肉配番茄泡发木耳｜米粉</x:v>
      </x:c>
      <x:c r="G402" s="10" t="str">
        <x:v>瘦牛肉175g、番茄140g、泡发木耳140g、米粉110g、烹调油6g</x:v>
      </x:c>
      <x:c r="H402" t="str">
        <x:v>米粉</x:v>
      </x:c>
      <x:c r="I402" s="10" t="str">
        <x:v>低主食需求可将主食减1/3，另加100g非淀粉蔬菜（营养值需重算）</x:v>
      </x:c>
      <x:c r="J402" s="10" t="str">
        <x:v>孜然、辣椒粉、蒜末</x:v>
      </x:c>
      <x:c r="K402" t="str">
        <x:v>少油焖</x:v>
      </x:c>
      <x:c r="L402" s="10" t="str">
        <x:v>主食材用少量油和水焖熟，下蔬菜翻拌，撒孜然；面/魔芋丝煮熟后与菜合碗。</x:v>
      </x:c>
      <x:c r="M402" t="n">
        <x:v>20</x:v>
      </x:c>
      <x:c r="N402" t="n">
        <x:f>ROUND(SUM('食材明细'!H2402:H2407),0)</x:f>
        <x:v>457</x:v>
      </x:c>
      <x:c r="O402" t="n">
        <x:f>ROUND(SUM('食材明细'!J2402:J2407),1)</x:f>
        <x:v>42.3</x:v>
      </x:c>
      <x:c r="P402" t="n">
        <x:f>ROUND(SUM('食材明细'!L2402:L2407),1)</x:f>
        <x:v>40.4</x:v>
      </x:c>
      <x:c r="Q402" t="n">
        <x:f>ROUND(SUM('食材明细'!N2402:N2407),1)</x:f>
        <x:v>13.9</x:v>
      </x:c>
      <x:c r="R402" s="10" t="str">
        <x:v>调料尽量低盐，不加白砂糖；油重已计入热量。</x:v>
      </x:c>
    </x:row>
    <x:row r="403" ht="37" customHeight="1">
      <x:c r="A403" t="n">
        <x:v>402</x:v>
      </x:c>
      <x:c r="B403" t="n">
        <x:v>201</x:v>
      </x:c>
      <x:c r="C403" t="n">
        <x:v>29</x:v>
      </x:c>
      <x:c r="D403" t="str">
        <x:v>晚餐</x:v>
      </x:c>
      <x:c r="E403" t="str">
        <x:v>禽肉</x:v>
      </x:c>
      <x:c r="F403" s="10" t="str">
        <x:v>无糖照烧去皮鸡腿肉配西兰花洋葱｜乌冬面</x:v>
      </x:c>
      <x:c r="G403" s="10" t="str">
        <x:v>去皮鸡腿肉145g、北豆腐130g、西兰花190g、洋葱110g、乌冬面80g、烹调油5g</x:v>
      </x:c>
      <x:c r="H403" t="str">
        <x:v>乌冬面</x:v>
      </x:c>
      <x:c r="I403" s="10" t="str">
        <x:v>低主食需求可将主食减1/3，另加100g非淀粉蔬菜（营养值需重算）</x:v>
      </x:c>
      <x:c r="J403" s="10" t="str">
        <x:v>低盐生抽、米醋、洋葱自然甜味</x:v>
      </x:c>
      <x:c r="K403" t="str">
        <x:v>少油煮</x:v>
      </x:c>
      <x:c r="L403" s="10" t="str">
        <x:v>先去皮去骨并切薄，充分加热；生抽与米醋调汁，不加糖；肉菜加水煮熟后略收汁；面/魔芋丝煮熟后与菜合碗。</x:v>
      </x:c>
      <x:c r="M403" t="n">
        <x:v>15</x:v>
      </x:c>
      <x:c r="N403" t="n">
        <x:f>ROUND(SUM('食材明细'!H2408:H2413),0)</x:f>
        <x:v>548</x:v>
      </x:c>
      <x:c r="O403" t="n">
        <x:f>ROUND(SUM('食材明细'!J2408:J2413),1)</x:f>
        <x:v>50.5</x:v>
      </x:c>
      <x:c r="P403" t="n">
        <x:f>ROUND(SUM('食材明细'!L2408:L2413),1)</x:f>
        <x:v>46.1</x:v>
      </x:c>
      <x:c r="Q403" t="n">
        <x:f>ROUND(SUM('食材明细'!N2408:N2413),1)</x:f>
        <x:v>20.1</x:v>
      </x:c>
      <x:c r="R403" s="10" t="str">
        <x:v>调料尽量低盐，不加白砂糖；油重已计入热量。</x:v>
      </x:c>
    </x:row>
    <x:row r="404" ht="37" customHeight="1">
      <x:c r="A404" t="n">
        <x:v>403</x:v>
      </x:c>
      <x:c r="B404" t="n">
        <x:v>202</x:v>
      </x:c>
      <x:c r="C404" t="n">
        <x:v>29</x:v>
      </x:c>
      <x:c r="D404" t="str">
        <x:v>午餐</x:v>
      </x:c>
      <x:c r="E404" t="str">
        <x:v>禽肉</x:v>
      </x:c>
      <x:c r="F404" s="10" t="str">
        <x:v>奥尔良风味鸡里脊肉配西兰花洋葱｜藜麦饭</x:v>
      </x:c>
      <x:c r="G404" s="10" t="str">
        <x:v>鸡里脊肉165g、西兰花190g、洋葱155g、藜麦饭150g、烹调油3g</x:v>
      </x:c>
      <x:c r="H404" t="str">
        <x:v>藜麦饭</x:v>
      </x:c>
      <x:c r="I404" s="10" t="str">
        <x:v>低主食需求可将主食减1/3，另加100g非淀粉蔬菜（营养值需重算）</x:v>
      </x:c>
      <x:c r="J404" s="10" t="str">
        <x:v>无糖辣椒粉、蒜粉、洋葱粉</x:v>
      </x:c>
      <x:c r="K404" t="str">
        <x:v>蒸/焖</x:v>
      </x:c>
      <x:c r="L404" s="10" t="str">
        <x:v>用无糖香辛料腌肉15分钟，蒸或少油焖熟，配菜煮熟；藜麦饭另煮熟或蒸好后同餐食用。</x:v>
      </x:c>
      <x:c r="M404" t="n">
        <x:v>30</x:v>
      </x:c>
      <x:c r="N404" t="n">
        <x:f>ROUND(SUM('食材明细'!H2414:H2419),0)</x:f>
        <x:v>515</x:v>
      </x:c>
      <x:c r="O404" t="n">
        <x:f>ROUND(SUM('食材明细'!J2414:J2419),1)</x:f>
        <x:v>51.6</x:v>
      </x:c>
      <x:c r="P404" t="n">
        <x:f>ROUND(SUM('食材明细'!L2414:L2419),1)</x:f>
        <x:v>59.7</x:v>
      </x:c>
      <x:c r="Q404" t="n">
        <x:f>ROUND(SUM('食材明细'!N2414:N2419),1)</x:f>
        <x:v>9.7</x:v>
      </x:c>
      <x:c r="R404" s="10" t="str">
        <x:v>调料尽量低盐，不加白砂糖；油重已计入热量。</x:v>
      </x:c>
    </x:row>
    <x:row r="405" ht="37" customHeight="1">
      <x:c r="A405" t="n">
        <x:v>404</x:v>
      </x:c>
      <x:c r="B405" t="n">
        <x:v>202</x:v>
      </x:c>
      <x:c r="C405" t="n">
        <x:v>29</x:v>
      </x:c>
      <x:c r="D405" t="str">
        <x:v>晚餐</x:v>
      </x:c>
      <x:c r="E405" t="str">
        <x:v>海鲜</x:v>
      </x:c>
      <x:c r="F405" s="10" t="str">
        <x:v>酸汤虾仁配菜心冬瓜｜白米饭</x:v>
      </x:c>
      <x:c r="G405" s="10" t="str">
        <x:v>虾仁160g、熟毛豆仁70g、菜心160g、冬瓜140g、白米饭80g、烹调油5g</x:v>
      </x:c>
      <x:c r="H405" t="str">
        <x:v>白米饭</x:v>
      </x:c>
      <x:c r="I405" s="10" t="str">
        <x:v>低主食需求可将主食减1/3，另加100g非淀粉蔬菜（营养值需重算）</x:v>
      </x:c>
      <x:c r="J405" s="10" t="str">
        <x:v>米醋、番茄、少许辣椒</x:v>
      </x:c>
      <x:c r="K405" t="str">
        <x:v>水煮</x:v>
      </x:c>
      <x:c r="L405" s="10" t="str">
        <x:v>番茄煮成酸汤，主食材汆熟，加入蔬菜再煮2～5分钟；白米饭另煮熟或蒸好后同餐食用。</x:v>
      </x:c>
      <x:c r="M405" t="n">
        <x:v>20</x:v>
      </x:c>
      <x:c r="N405" t="n">
        <x:f>ROUND(SUM('食材明细'!H2420:H2425),0)</x:f>
        <x:v>416</x:v>
      </x:c>
      <x:c r="O405" t="n">
        <x:f>ROUND(SUM('食材明细'!J2420:J2425),1)</x:f>
        <x:v>44.6</x:v>
      </x:c>
      <x:c r="P405" t="n">
        <x:f>ROUND(SUM('食材明细'!L2420:L2425),1)</x:f>
        <x:v>37.2</x:v>
      </x:c>
      <x:c r="Q405" t="n">
        <x:f>ROUND(SUM('食材明细'!N2420:N2425),1)</x:f>
        <x:v>11.3</x:v>
      </x:c>
      <x:c r="R405" s="10" t="str">
        <x:v>调料尽量低盐，不加白砂糖；油重已计入热量。</x:v>
      </x:c>
    </x:row>
    <x:row r="406" ht="37" customHeight="1">
      <x:c r="A406" t="n">
        <x:v>405</x:v>
      </x:c>
      <x:c r="B406" t="n">
        <x:v>203</x:v>
      </x:c>
      <x:c r="C406" t="n">
        <x:v>29</x:v>
      </x:c>
      <x:c r="D406" t="str">
        <x:v>午餐</x:v>
      </x:c>
      <x:c r="E406" t="str">
        <x:v>鱼类</x:v>
      </x:c>
      <x:c r="F406" s="10" t="str">
        <x:v>菌菇鲈鱼配生菜杏鲍菇｜魔芋丝</x:v>
      </x:c>
      <x:c r="G406" s="10" t="str">
        <x:v>鲈鱼215g、生菜190g、杏鲍菇140g、魔芋丝160g、烹调油6g</x:v>
      </x:c>
      <x:c r="H406" t="str">
        <x:v>魔芋丝</x:v>
      </x:c>
      <x:c r="I406" s="10" t="str">
        <x:v>魔芋丝不是完整主食；饥饿可补杂粮饭或蒸薯类</x:v>
      </x:c>
      <x:c r="J406" s="10" t="str">
        <x:v>姜片、香菇汁</x:v>
      </x:c>
      <x:c r="K406" t="str">
        <x:v>焖煮</x:v>
      </x:c>
      <x:c r="L406" s="10" t="str">
        <x:v>鱼肉去刺，彻底做熟；食材与菌菇加少量水焖熟，出锅前加少量低盐生抽；面/魔芋丝煮熟后与菜合碗。</x:v>
      </x:c>
      <x:c r="M406" t="n">
        <x:v>35</x:v>
      </x:c>
      <x:c r="N406" t="n">
        <x:f>ROUND(SUM('食材明细'!H2426:H2431),0)</x:f>
        <x:v>374</x:v>
      </x:c>
      <x:c r="O406" t="n">
        <x:f>ROUND(SUM('食材明细'!J2426:J2431),1)</x:f>
        <x:v>46.8</x:v>
      </x:c>
      <x:c r="P406" t="n">
        <x:f>ROUND(SUM('食材明细'!L2426:L2431),1)</x:f>
        <x:v>19.1</x:v>
      </x:c>
      <x:c r="Q406" t="n">
        <x:f>ROUND(SUM('食材明细'!N2426:N2431),1)</x:f>
        <x:v>13.1</x:v>
      </x:c>
      <x:c r="R406" s="10" t="str">
        <x:v>调料尽量低盐，不加白砂糖；油重已计入热量。魔芋丝低能量，不等于一份主食。</x:v>
      </x:c>
    </x:row>
    <x:row r="407" ht="37" customHeight="1">
      <x:c r="A407" t="n">
        <x:v>406</x:v>
      </x:c>
      <x:c r="B407" t="n">
        <x:v>203</x:v>
      </x:c>
      <x:c r="C407" t="n">
        <x:v>29</x:v>
      </x:c>
      <x:c r="D407" t="str">
        <x:v>晚餐</x:v>
      </x:c>
      <x:c r="E407" t="str">
        <x:v>牛肉</x:v>
      </x:c>
      <x:c r="F407" s="10" t="str">
        <x:v>豉汁牛里脊配荷兰豆彩椒｜土豆</x:v>
      </x:c>
      <x:c r="G407" s="10" t="str">
        <x:v>牛里脊180g、荷兰豆160g、彩椒125g、土豆80g、烹调油5g</x:v>
      </x:c>
      <x:c r="H407" t="str">
        <x:v>土豆</x:v>
      </x:c>
      <x:c r="I407" s="10" t="str">
        <x:v>想减主食可减到原量2/3，另加100g绿叶菜</x:v>
      </x:c>
      <x:c r="J407" s="10" t="str">
        <x:v>少量豆豉、姜末</x:v>
      </x:c>
      <x:c r="K407" t="str">
        <x:v>蒸</x:v>
      </x:c>
      <x:c r="L407" s="10" t="str">
        <x:v>豆豉冲洗剁碎，与姜末拌主食材后蒸熟；蔬菜另煮；土豆另煮熟或蒸好后同餐食用。</x:v>
      </x:c>
      <x:c r="M407" t="n">
        <x:v>15</x:v>
      </x:c>
      <x:c r="N407" t="n">
        <x:f>ROUND(SUM('食材明细'!H2432:H2437),0)</x:f>
        <x:v>442</x:v>
      </x:c>
      <x:c r="O407" t="n">
        <x:f>ROUND(SUM('食材明细'!J2432:J2437),1)</x:f>
        <x:v>45.1</x:v>
      </x:c>
      <x:c r="P407" t="n">
        <x:f>ROUND(SUM('食材明细'!L2432:L2437),1)</x:f>
        <x:v>33.4</x:v>
      </x:c>
      <x:c r="Q407" t="n">
        <x:f>ROUND(SUM('食材明细'!N2432:N2437),1)</x:f>
        <x:v>14.5</x:v>
      </x:c>
      <x:c r="R407" s="10" t="str">
        <x:v>调料尽量低盐，不加白砂糖；油重已计入热量。</x:v>
      </x:c>
    </x:row>
    <x:row r="408" ht="37" customHeight="1">
      <x:c r="A408" t="n">
        <x:v>407</x:v>
      </x:c>
      <x:c r="B408" t="n">
        <x:v>204</x:v>
      </x:c>
      <x:c r="C408" t="n">
        <x:v>30</x:v>
      </x:c>
      <x:c r="D408" t="str">
        <x:v>午餐</x:v>
      </x:c>
      <x:c r="E408" t="str">
        <x:v>牛肉</x:v>
      </x:c>
      <x:c r="F408" s="10" t="str">
        <x:v>椒麻瘦牛肉配四季豆芦笋｜藜麦饭</x:v>
      </x:c>
      <x:c r="G408" s="10" t="str">
        <x:v>瘦牛肉185g、熟毛豆仁70g、四季豆190g、芦笋140g、藜麦饭165g、烹调油6g</x:v>
      </x:c>
      <x:c r="H408" t="str">
        <x:v>藜麦饭</x:v>
      </x:c>
      <x:c r="I408" s="10" t="str">
        <x:v>低主食需求可将主食减1/3，另加100g非淀粉蔬菜（营养值需重算）</x:v>
      </x:c>
      <x:c r="J408" s="10" t="str">
        <x:v>花椒、蒜、少量醋</x:v>
      </x:c>
      <x:c r="K408" t="str">
        <x:v>水煮</x:v>
      </x:c>
      <x:c r="L408" s="10" t="str">
        <x:v>花椒温水浸出味道，煮熟主食材和配菜，少油拌汁；藜麦饭另煮熟或蒸好后同餐食用。四季豆必须充分煮熟，不要生脆。</x:v>
      </x:c>
      <x:c r="M408" t="n">
        <x:v>15</x:v>
      </x:c>
      <x:c r="N408" t="n">
        <x:f>ROUND(SUM('食材明细'!H2438:H2443),0)</x:f>
        <x:v>654</x:v>
      </x:c>
      <x:c r="O408" t="n">
        <x:f>ROUND(SUM('食材明细'!J2438:J2443),1)</x:f>
        <x:v>61</x:v>
      </x:c>
      <x:c r="P408" t="n">
        <x:f>ROUND(SUM('食材明细'!L2438:L2443),1)</x:f>
        <x:v>60.2</x:v>
      </x:c>
      <x:c r="Q408" t="n">
        <x:f>ROUND(SUM('食材明细'!N2438:N2443),1)</x:f>
        <x:v>20.4</x:v>
      </x:c>
      <x:c r="R408" s="10" t="str">
        <x:v>调料尽量低盐，不加白砂糖；油重已计入热量。</x:v>
      </x:c>
    </x:row>
    <x:row r="409" ht="37" customHeight="1">
      <x:c r="A409" t="n">
        <x:v>408</x:v>
      </x:c>
      <x:c r="B409" t="n">
        <x:v>204</x:v>
      </x:c>
      <x:c r="C409" t="n">
        <x:v>30</x:v>
      </x:c>
      <x:c r="D409" t="str">
        <x:v>晚餐</x:v>
      </x:c>
      <x:c r="E409" t="str">
        <x:v>禽肉</x:v>
      </x:c>
      <x:c r="F409" s="10" t="str">
        <x:v>菌菇去皮鸡腿肉配四季豆杏鲍菇｜荞麦面</x:v>
      </x:c>
      <x:c r="G409" s="10" t="str">
        <x:v>去皮鸡腿肉160g、四季豆160g、杏鲍菇140g、荞麦面80g、烹调油3g</x:v>
      </x:c>
      <x:c r="H409" t="str">
        <x:v>荞麦面</x:v>
      </x:c>
      <x:c r="I409" s="10" t="str">
        <x:v>低主食需求可将主食减1/3，另加100g非淀粉蔬菜（营养值需重算）</x:v>
      </x:c>
      <x:c r="J409" s="10" t="str">
        <x:v>姜片、香菇汁</x:v>
      </x:c>
      <x:c r="K409" t="str">
        <x:v>焖煮</x:v>
      </x:c>
      <x:c r="L409" s="10" t="str">
        <x:v>先去皮去骨并切薄，充分加热；食材与菌菇加少量水焖熟，出锅前加少量低盐生抽；面/魔芋丝煮熟后与菜合碗。四季豆必须充分煮熟，不要生脆。</x:v>
      </x:c>
      <x:c r="M409" t="n">
        <x:v>30</x:v>
      </x:c>
      <x:c r="N409" t="n">
        <x:f>ROUND(SUM('食材明细'!H2444:H2449),0)</x:f>
        <x:v>410</x:v>
      </x:c>
      <x:c r="O409" t="n">
        <x:f>ROUND(SUM('食材明细'!J2444:J2449),1)</x:f>
        <x:v>40.9</x:v>
      </x:c>
      <x:c r="P409" t="n">
        <x:f>ROUND(SUM('食材明细'!L2444:L2449),1)</x:f>
        <x:v>38.4</x:v>
      </x:c>
      <x:c r="Q409" t="n">
        <x:f>ROUND(SUM('食材明细'!N2444:N2449),1)</x:f>
        <x:v>12.1</x:v>
      </x:c>
      <x:c r="R409" s="10" t="str">
        <x:v>调料尽量低盐，不加白砂糖；油重已计入热量。</x:v>
      </x:c>
    </x:row>
    <x:row r="410" ht="37" customHeight="1">
      <x:c r="A410" t="n">
        <x:v>409</x:v>
      </x:c>
      <x:c r="B410" t="n">
        <x:v>205</x:v>
      </x:c>
      <x:c r="C410" t="n">
        <x:v>30</x:v>
      </x:c>
      <x:c r="D410" t="str">
        <x:v>午餐</x:v>
      </x:c>
      <x:c r="E410" t="str">
        <x:v>禽肉</x:v>
      </x:c>
      <x:c r="F410" s="10" t="str">
        <x:v>剁椒去皮鸡腿肉配冬瓜番茄｜魔芋丝</x:v>
      </x:c>
      <x:c r="G410" s="10" t="str">
        <x:v>去皮鸡腿肉215g、冬瓜175g、番茄140g、魔芋丝130g、烹调油4g</x:v>
      </x:c>
      <x:c r="H410" t="str">
        <x:v>魔芋丝</x:v>
      </x:c>
      <x:c r="I410" s="10" t="str">
        <x:v>魔芋丝不是完整主食；饥饿可补杂粮饭或蒸薯类</x:v>
      </x:c>
      <x:c r="J410" s="10" t="str">
        <x:v>自制低盐剁椒、蒜</x:v>
      </x:c>
      <x:c r="K410" t="str">
        <x:v>蒸</x:v>
      </x:c>
      <x:c r="L410" s="10" t="str">
        <x:v>先去皮去骨并切薄，充分加热；主食材铺少量低盐剁椒蒸熟，配菜焯熟后摆盘；面/魔芋丝煮熟后与菜合碗。</x:v>
      </x:c>
      <x:c r="M410" t="n">
        <x:v>25</x:v>
      </x:c>
      <x:c r="N410" t="n">
        <x:f>ROUND(SUM('食材明细'!H2450:H2455),0)</x:f>
        <x:v>367</x:v>
      </x:c>
      <x:c r="O410" t="n">
        <x:f>ROUND(SUM('食材明细'!J2450:J2455),1)</x:f>
        <x:v>45.4</x:v>
      </x:c>
      <x:c r="P410" t="n">
        <x:f>ROUND(SUM('食材明细'!L2450:L2455),1)</x:f>
        <x:v>13.5</x:v>
      </x:c>
      <x:c r="Q410" t="n">
        <x:f>ROUND(SUM('食材明细'!N2450:N2455),1)</x:f>
        <x:v>15.4</x:v>
      </x:c>
      <x:c r="R410" s="10" t="str">
        <x:v>调料尽量低盐，不加白砂糖；油重已计入热量。魔芋丝低能量，不等于一份主食。</x:v>
      </x:c>
    </x:row>
    <x:row r="411" ht="37" customHeight="1">
      <x:c r="A411" t="n">
        <x:v>410</x:v>
      </x:c>
      <x:c r="B411" t="n">
        <x:v>205</x:v>
      </x:c>
      <x:c r="C411" t="n">
        <x:v>30</x:v>
      </x:c>
      <x:c r="D411" t="str">
        <x:v>晚餐</x:v>
      </x:c>
      <x:c r="E411" t="str">
        <x:v>禽肉</x:v>
      </x:c>
      <x:c r="F411" s="10" t="str">
        <x:v>菌菇鸡胸肉配丝瓜香菇｜玉米</x:v>
      </x:c>
      <x:c r="G411" s="10" t="str">
        <x:v>鸡胸肉145g、丝瓜160g、香菇110g、玉米95g、烹调油3g</x:v>
      </x:c>
      <x:c r="H411" t="str">
        <x:v>玉米</x:v>
      </x:c>
      <x:c r="I411" s="10" t="str">
        <x:v>想减主食可减到原量2/3，另加100g绿叶菜</x:v>
      </x:c>
      <x:c r="J411" s="10" t="str">
        <x:v>姜片、香菇汁</x:v>
      </x:c>
      <x:c r="K411" t="str">
        <x:v>焖煮</x:v>
      </x:c>
      <x:c r="L411" s="10" t="str">
        <x:v>食材与菌菇加少量水焖熟，出锅前加少量低盐生抽；玉米另煮熟或蒸好后同餐食用。</x:v>
      </x:c>
      <x:c r="M411" t="n">
        <x:v>30</x:v>
      </x:c>
      <x:c r="N411" t="n">
        <x:f>ROUND(SUM('食材明细'!H2456:H2461),0)</x:f>
        <x:v>356</x:v>
      </x:c>
      <x:c r="O411" t="n">
        <x:f>ROUND(SUM('食材明细'!J2456:J2461),1)</x:f>
        <x:v>40.6</x:v>
      </x:c>
      <x:c r="P411" t="n">
        <x:f>ROUND(SUM('食材明细'!L2456:L2461),1)</x:f>
        <x:v>34.8</x:v>
      </x:c>
      <x:c r="Q411" t="n">
        <x:f>ROUND(SUM('食材明细'!N2456:N2461),1)</x:f>
        <x:v>8.2</x:v>
      </x:c>
      <x:c r="R411" s="10" t="str">
        <x:v>调料尽量低盐，不加白砂糖；油重已计入热量。</x:v>
      </x:c>
    </x:row>
    <x:row r="412" ht="37" customHeight="1">
      <x:c r="A412" t="n">
        <x:v>411</x:v>
      </x:c>
      <x:c r="B412" t="n">
        <x:v>206</x:v>
      </x:c>
      <x:c r="C412" t="n">
        <x:v>30</x:v>
      </x:c>
      <x:c r="D412" t="str">
        <x:v>午餐</x:v>
      </x:c>
      <x:c r="E412" t="str">
        <x:v>豆蛋</x:v>
      </x:c>
      <x:c r="F412" s="10" t="str">
        <x:v>剁椒北豆腐虾仁烩四季豆口蘑｜燕麦饭</x:v>
      </x:c>
      <x:c r="G412" s="10" t="str">
        <x:v>北豆腐240g、虾仁65g、四季豆175g、口蘑125g、燕麦饭135g、烹调油6g</x:v>
      </x:c>
      <x:c r="H412" t="str">
        <x:v>燕麦饭</x:v>
      </x:c>
      <x:c r="I412" s="10" t="str">
        <x:v>低主食需求可将主食减1/3，另加100g非淀粉蔬菜（营养值需重算）</x:v>
      </x:c>
      <x:c r="J412" s="10" t="str">
        <x:v>自制低盐剁椒、蒜</x:v>
      </x:c>
      <x:c r="K412" t="str">
        <x:v>蒸</x:v>
      </x:c>
      <x:c r="L412" s="10" t="str">
        <x:v>主食材铺少量低盐剁椒蒸熟，配菜焯熟后摆盘；燕麦饭另煮熟或蒸好后同餐食用。四季豆必须充分煮熟，不要生脆。</x:v>
      </x:c>
      <x:c r="M412" t="n">
        <x:v>20</x:v>
      </x:c>
      <x:c r="N412" t="n">
        <x:f>ROUND(SUM('食材明细'!H2462:H2467),0)</x:f>
        <x:v>559</x:v>
      </x:c>
      <x:c r="O412" t="n">
        <x:f>ROUND(SUM('食材明细'!J2462:J2467),1)</x:f>
        <x:v>47.7</x:v>
      </x:c>
      <x:c r="P412" t="n">
        <x:f>ROUND(SUM('食材明细'!L2462:L2467),1)</x:f>
        <x:v>49.8</x:v>
      </x:c>
      <x:c r="Q412" t="n">
        <x:f>ROUND(SUM('食材明细'!N2462:N2467),1)</x:f>
        <x:v>21.7</x:v>
      </x:c>
      <x:c r="R412" s="10" t="str">
        <x:v>调料尽量低盐，不加白砂糖；油重已计入热量。</x:v>
      </x:c>
    </x:row>
    <x:row r="413" ht="37" customHeight="1">
      <x:c r="A413" t="n">
        <x:v>412</x:v>
      </x:c>
      <x:c r="B413" t="n">
        <x:v>206</x:v>
      </x:c>
      <x:c r="C413" t="n">
        <x:v>30</x:v>
      </x:c>
      <x:c r="D413" t="str">
        <x:v>晚餐</x:v>
      </x:c>
      <x:c r="E413" t="str">
        <x:v>海鲜</x:v>
      </x:c>
      <x:c r="F413" s="10" t="str">
        <x:v>香醋虾仁配丝瓜绿豆芽｜杂粮饭</x:v>
      </x:c>
      <x:c r="G413" s="10" t="str">
        <x:v>虾仁190g、丝瓜140g、绿豆芽110g、杂粮饭95g、烹调油5g</x:v>
      </x:c>
      <x:c r="H413" t="str">
        <x:v>杂粮饭</x:v>
      </x:c>
      <x:c r="I413" s="10" t="str">
        <x:v>低主食需求可将主食减1/3，另加100g非淀粉蔬菜（营养值需重算）</x:v>
      </x:c>
      <x:c r="J413" s="10" t="str">
        <x:v>香醋、蒜末、少量生抽</x:v>
      </x:c>
      <x:c r="K413" t="str">
        <x:v>水煮</x:v>
      </x:c>
      <x:c r="L413" s="10" t="str">
        <x:v>食材分别煮至熟，淋香醋蒜汁，拌匀即食；杂粮饭另煮熟或蒸好后同餐食用。</x:v>
      </x:c>
      <x:c r="M413" t="n">
        <x:v>20</x:v>
      </x:c>
      <x:c r="N413" t="n">
        <x:f>ROUND(SUM('食材明细'!H2468:H2473),0)</x:f>
        <x:v>387</x:v>
      </x:c>
      <x:c r="O413" t="n">
        <x:f>ROUND(SUM('食材明细'!J2468:J2473),1)</x:f>
        <x:v>43.8</x:v>
      </x:c>
      <x:c r="P413" t="n">
        <x:f>ROUND(SUM('食材明细'!L2468:L2473),1)</x:f>
        <x:v>35.3</x:v>
      </x:c>
      <x:c r="Q413" t="n">
        <x:f>ROUND(SUM('食材明细'!N2468:N2473),1)</x:f>
        <x:v>8.6</x:v>
      </x:c>
      <x:c r="R413" s="10" t="str">
        <x:v>调料尽量低盐，不加白砂糖；油重已计入热量。</x:v>
      </x:c>
    </x:row>
    <x:row r="414" ht="37" customHeight="1">
      <x:c r="A414" t="n">
        <x:v>413</x:v>
      </x:c>
      <x:c r="B414" t="n">
        <x:v>207</x:v>
      </x:c>
      <x:c r="C414" t="n">
        <x:v>30</x:v>
      </x:c>
      <x:c r="D414" t="str">
        <x:v>午餐</x:v>
      </x:c>
      <x:c r="E414" t="str">
        <x:v>豆蛋</x:v>
      </x:c>
      <x:c r="F414" s="10" t="str">
        <x:v>剁椒北豆腐配娃娃菜花菜｜杂粮饭</x:v>
      </x:c>
      <x:c r="G414" s="10" t="str">
        <x:v>北豆腐300g、娃娃菜140g、花菜140g、杂粮饭110g、烹调油3g</x:v>
      </x:c>
      <x:c r="H414" t="str">
        <x:v>杂粮饭</x:v>
      </x:c>
      <x:c r="I414" s="10" t="str">
        <x:v>低主食需求可将主食减1/3，另加100g非淀粉蔬菜（营养值需重算）</x:v>
      </x:c>
      <x:c r="J414" s="10" t="str">
        <x:v>自制低盐剁椒、蒜</x:v>
      </x:c>
      <x:c r="K414" t="str">
        <x:v>蒸</x:v>
      </x:c>
      <x:c r="L414" s="10" t="str">
        <x:v>主食材铺少量低盐剁椒蒸熟，配菜焯熟后摆盘；杂粮饭另煮熟或蒸好后同餐食用。</x:v>
      </x:c>
      <x:c r="M414" t="n">
        <x:v>20</x:v>
      </x:c>
      <x:c r="N414" t="n">
        <x:f>ROUND(SUM('食材明细'!H2474:H2479),0)</x:f>
        <x:v>482</x:v>
      </x:c>
      <x:c r="O414" t="n">
        <x:f>ROUND(SUM('食材明细'!J2474:J2479),1)</x:f>
        <x:v>38</x:v>
      </x:c>
      <x:c r="P414" t="n">
        <x:f>ROUND(SUM('食材明细'!L2474:L2479),1)</x:f>
        <x:v>43.1</x:v>
      </x:c>
      <x:c r="Q414" t="n">
        <x:f>ROUND(SUM('食材明细'!N2474:N2479),1)</x:f>
        <x:v>19.9</x:v>
      </x:c>
      <x:c r="R414" s="10" t="str">
        <x:v>调料尽量低盐，不加白砂糖；油重已计入热量。</x:v>
      </x:c>
    </x:row>
    <x:row r="415" ht="37" customHeight="1">
      <x:c r="A415" t="n">
        <x:v>414</x:v>
      </x:c>
      <x:c r="B415" t="n">
        <x:v>207</x:v>
      </x:c>
      <x:c r="C415" t="n">
        <x:v>30</x:v>
      </x:c>
      <x:c r="D415" t="str">
        <x:v>晚餐</x:v>
      </x:c>
      <x:c r="E415" t="str">
        <x:v>豆蛋</x:v>
      </x:c>
      <x:c r="F415" s="10" t="str">
        <x:v>椒麻嫩豆腐虾仁烩西葫芦绿豆芽｜荞麦饭</x:v>
      </x:c>
      <x:c r="G415" s="10" t="str">
        <x:v>嫩豆腐300g、虾仁85g、西葫芦160g、绿豆芽155g、荞麦饭80g、烹调油4g</x:v>
      </x:c>
      <x:c r="H415" t="str">
        <x:v>荞麦饭</x:v>
      </x:c>
      <x:c r="I415" s="10" t="str">
        <x:v>低主食需求可将主食减1/3，另加100g非淀粉蔬菜（营养值需重算）</x:v>
      </x:c>
      <x:c r="J415" s="10" t="str">
        <x:v>花椒、蒜、少量醋</x:v>
      </x:c>
      <x:c r="K415" t="str">
        <x:v>水煮</x:v>
      </x:c>
      <x:c r="L415" s="10" t="str">
        <x:v>花椒温水浸出味道，煮熟主食材和配菜，少油拌汁；荞麦饭另煮熟或蒸好后同餐食用。</x:v>
      </x:c>
      <x:c r="M415" t="n">
        <x:v>15</x:v>
      </x:c>
      <x:c r="N415" t="n">
        <x:f>ROUND(SUM('食材明细'!H2480:H2485),0)</x:f>
        <x:v>441</x:v>
      </x:c>
      <x:c r="O415" t="n">
        <x:f>ROUND(SUM('食材明细'!J2480:J2485),1)</x:f>
        <x:v>40.4</x:v>
      </x:c>
      <x:c r="P415" t="n">
        <x:f>ROUND(SUM('食材明细'!L2480:L2485),1)</x:f>
        <x:v>38.2</x:v>
      </x:c>
      <x:c r="Q415" t="n">
        <x:f>ROUND(SUM('食材明细'!N2480:N2485),1)</x:f>
        <x:v>15</x:v>
      </x:c>
      <x:c r="R415" s="10" t="str">
        <x:v>调料尽量低盐，不加白砂糖；油重已计入热量。</x:v>
      </x:c>
    </x:row>
    <x:row r="416" ht="37" customHeight="1">
      <x:c r="A416" t="n">
        <x:v>415</x:v>
      </x:c>
      <x:c r="B416" t="n">
        <x:v>208</x:v>
      </x:c>
      <x:c r="C416" t="n">
        <x:v>30</x:v>
      </x:c>
      <x:c r="D416" t="str">
        <x:v>午餐</x:v>
      </x:c>
      <x:c r="E416" t="str">
        <x:v>禽肉</x:v>
      </x:c>
      <x:c r="F416" s="10" t="str">
        <x:v>黑椒鸡胸肉配紫甘蓝口蘑｜燕麦饭</x:v>
      </x:c>
      <x:c r="G416" s="10" t="str">
        <x:v>鸡胸肉175g、紫甘蓝140g、口蘑140g、燕麦饭125g、烹调油3g</x:v>
      </x:c>
      <x:c r="H416" t="str">
        <x:v>燕麦饭</x:v>
      </x:c>
      <x:c r="I416" s="10" t="str">
        <x:v>低主食需求可将主食减1/3，另加100g非淀粉蔬菜（营养值需重算）</x:v>
      </x:c>
      <x:c r="J416" s="10" t="str">
        <x:v>黑胡椒、蒜末</x:v>
      </x:c>
      <x:c r="K416" t="str">
        <x:v>少油烩</x:v>
      </x:c>
      <x:c r="L416" s="10" t="str">
        <x:v>锅加少量水和油，先把主食材煮熟，再烩两种蔬菜，收汁撒黑椒；燕麦饭另煮熟或蒸好后同餐食用。</x:v>
      </x:c>
      <x:c r="M416" t="n">
        <x:v>25</x:v>
      </x:c>
      <x:c r="N416" t="n">
        <x:f>ROUND(SUM('食材明细'!H2486:H2491),0)</x:f>
        <x:v>431</x:v>
      </x:c>
      <x:c r="O416" t="n">
        <x:f>ROUND(SUM('食材明细'!J2486:J2491),1)</x:f>
        <x:v>50.6</x:v>
      </x:c>
      <x:c r="P416" t="n">
        <x:f>ROUND(SUM('食材明细'!L2486:L2491),1)</x:f>
        <x:v>41.1</x:v>
      </x:c>
      <x:c r="Q416" t="n">
        <x:f>ROUND(SUM('食材明细'!N2486:N2491),1)</x:f>
        <x:v>9.3</x:v>
      </x:c>
      <x:c r="R416" s="10" t="str">
        <x:v>调料尽量低盐，不加白砂糖；油重已计入热量。</x:v>
      </x:c>
    </x:row>
    <x:row r="417" ht="37" customHeight="1">
      <x:c r="A417" t="n">
        <x:v>416</x:v>
      </x:c>
      <x:c r="B417" t="n">
        <x:v>208</x:v>
      </x:c>
      <x:c r="C417" t="n">
        <x:v>30</x:v>
      </x:c>
      <x:c r="D417" t="str">
        <x:v>晚餐</x:v>
      </x:c>
      <x:c r="E417" t="str">
        <x:v>猪肉</x:v>
      </x:c>
      <x:c r="F417" s="10" t="str">
        <x:v>香醋猪瘦肉配番茄黄瓜｜魔芋丝</x:v>
      </x:c>
      <x:c r="G417" s="10" t="str">
        <x:v>猪瘦肉220g、番茄140g、黄瓜125g、魔芋丝160g、烹调油3g</x:v>
      </x:c>
      <x:c r="H417" t="str">
        <x:v>魔芋丝</x:v>
      </x:c>
      <x:c r="I417" s="10" t="str">
        <x:v>魔芋丝不是完整主食；饥饿可补杂粮饭或蒸薯类</x:v>
      </x:c>
      <x:c r="J417" s="10" t="str">
        <x:v>香醋、蒜末、少量生抽</x:v>
      </x:c>
      <x:c r="K417" t="str">
        <x:v>水煮</x:v>
      </x:c>
      <x:c r="L417" s="10" t="str">
        <x:v>食材分别煮至熟，淋香醋蒜汁，拌匀即食；面/魔芋丝煮熟后与菜合碗。</x:v>
      </x:c>
      <x:c r="M417" t="n">
        <x:v>30</x:v>
      </x:c>
      <x:c r="N417" t="n">
        <x:f>ROUND(SUM('食材明细'!H2492:H2497),0)</x:f>
        <x:v>375</x:v>
      </x:c>
      <x:c r="O417" t="n">
        <x:f>ROUND(SUM('食材明细'!J2492:J2497),1)</x:f>
        <x:v>46.6</x:v>
      </x:c>
      <x:c r="P417" t="n">
        <x:f>ROUND(SUM('食材明细'!L2492:L2497),1)</x:f>
        <x:v>13.3</x:v>
      </x:c>
      <x:c r="Q417" t="n">
        <x:f>ROUND(SUM('食材明细'!N2492:N2497),1)</x:f>
        <x:v>15.5</x:v>
      </x:c>
      <x:c r="R417" s="10" t="str">
        <x:v>调料尽量低盐，不加白砂糖；油重已计入热量。魔芋丝低能量，不等于一份主食。</x:v>
      </x:c>
    </x:row>
    <x:row r="418" ht="37" customHeight="1">
      <x:c r="A418" t="n">
        <x:v>417</x:v>
      </x:c>
      <x:c r="B418" t="n">
        <x:v>209</x:v>
      </x:c>
      <x:c r="C418" t="n">
        <x:v>30</x:v>
      </x:c>
      <x:c r="D418" t="str">
        <x:v>午餐</x:v>
      </x:c>
      <x:c r="E418" t="str">
        <x:v>海鲜</x:v>
      </x:c>
      <x:c r="F418" s="10" t="str">
        <x:v>柠檬花蛤肉配丝瓜海带｜紫薯</x:v>
      </x:c>
      <x:c r="G418" s="10" t="str">
        <x:v>花蛤肉210g、丝瓜140g、海带155g、紫薯165g、烹调油5g</x:v>
      </x:c>
      <x:c r="H418" t="str">
        <x:v>紫薯</x:v>
      </x:c>
      <x:c r="I418" s="10" t="str">
        <x:v>想减主食可减到原量2/3，另加100g绿叶菜</x:v>
      </x:c>
      <x:c r="J418" s="10" t="str">
        <x:v>柠檬片、白胡椒</x:v>
      </x:c>
      <x:c r="K418" t="str">
        <x:v>蒸</x:v>
      </x:c>
      <x:c r="L418" s="10" t="str">
        <x:v>柠檬片垫底，主食材蒸熟，蔬菜短焯后摆盘；紫薯另煮熟或蒸好后同餐食用。</x:v>
      </x:c>
      <x:c r="M418" t="n">
        <x:v>30</x:v>
      </x:c>
      <x:c r="N418" t="n">
        <x:f>ROUND(SUM('食材明细'!H2498:H2503),0)</x:f>
        <x:v>426</x:v>
      </x:c>
      <x:c r="O418" t="n">
        <x:f>ROUND(SUM('食材明细'!J2498:J2503),1)</x:f>
        <x:v>32.9</x:v>
      </x:c>
      <x:c r="P418" t="n">
        <x:f>ROUND(SUM('食材明细'!L2498:L2503),1)</x:f>
        <x:v>57</x:v>
      </x:c>
      <x:c r="Q418" t="n">
        <x:f>ROUND(SUM('食材明细'!N2498:N2503),1)</x:f>
        <x:v>7.7</x:v>
      </x:c>
      <x:c r="R418" s="10" t="str">
        <x:v>调料尽量低盐，不加白砂糖；油重已计入热量。</x:v>
      </x:c>
    </x:row>
    <x:row r="419" ht="37" customHeight="1">
      <x:c r="A419" t="n">
        <x:v>418</x:v>
      </x:c>
      <x:c r="B419" t="n">
        <x:v>209</x:v>
      </x:c>
      <x:c r="C419" t="n">
        <x:v>30</x:v>
      </x:c>
      <x:c r="D419" t="str">
        <x:v>晚餐</x:v>
      </x:c>
      <x:c r="E419" t="str">
        <x:v>豆蛋</x:v>
      </x:c>
      <x:c r="F419" s="10" t="str">
        <x:v>椒麻鸡蛋北豆腐烩西葫芦口蘑｜米粉</x:v>
      </x:c>
      <x:c r="G419" s="10" t="str">
        <x:v>鸡蛋120g、北豆腐110g、西葫芦140g、口蘑125g、米粉80g、烹调油5g</x:v>
      </x:c>
      <x:c r="H419" t="str">
        <x:v>米粉</x:v>
      </x:c>
      <x:c r="I419" s="10" t="str">
        <x:v>低主食需求可将主食减1/3，另加100g非淀粉蔬菜（营养值需重算）</x:v>
      </x:c>
      <x:c r="J419" s="10" t="str">
        <x:v>花椒、蒜、少量醋</x:v>
      </x:c>
      <x:c r="K419" t="str">
        <x:v>水煮</x:v>
      </x:c>
      <x:c r="L419" s="10" t="str">
        <x:v>鸡蛋先打散成蛋液；花椒温水浸出味道，煮熟主食材和配菜，少油拌汁；面/魔芋丝煮熟后与菜合碗。</x:v>
      </x:c>
      <x:c r="M419" t="n">
        <x:v>30</x:v>
      </x:c>
      <x:c r="N419" t="n">
        <x:f>ROUND(SUM('食材明细'!H2504:H2509),0)</x:f>
        <x:v>456</x:v>
      </x:c>
      <x:c r="O419" t="n">
        <x:f>ROUND(SUM('食材明细'!J2504:J2509),1)</x:f>
        <x:v>33.8</x:v>
      </x:c>
      <x:c r="P419" t="n">
        <x:f>ROUND(SUM('食材明细'!L2504:L2509),1)</x:f>
        <x:v>31.2</x:v>
      </x:c>
      <x:c r="Q419" t="n">
        <x:f>ROUND(SUM('食材明细'!N2504:N2509),1)</x:f>
        <x:v>23.6</x:v>
      </x:c>
      <x:c r="R419" s="10" t="str">
        <x:v>调料尽量低盐，不加白砂糖；油重已计入热量。</x:v>
      </x:c>
    </x:row>
    <x:row r="420" ht="37" customHeight="1">
      <x:c r="A420" t="n">
        <x:v>419</x:v>
      </x:c>
      <x:c r="B420" t="n">
        <x:v>210</x:v>
      </x:c>
      <x:c r="C420" t="n">
        <x:v>30</x:v>
      </x:c>
      <x:c r="D420" t="str">
        <x:v>午餐</x:v>
      </x:c>
      <x:c r="E420" t="str">
        <x:v>牛肉</x:v>
      </x:c>
      <x:c r="F420" s="10" t="str">
        <x:v>花椒瘦牛肉配娃娃菜口蘑｜荞麦面</x:v>
      </x:c>
      <x:c r="G420" s="10" t="str">
        <x:v>瘦牛肉165g、娃娃菜190g、口蘑140g、荞麦面125g、烹调油3g</x:v>
      </x:c>
      <x:c r="H420" t="str">
        <x:v>荞麦面</x:v>
      </x:c>
      <x:c r="I420" s="10" t="str">
        <x:v>低主食需求可将主食减1/3，另加100g非淀粉蔬菜（营养值需重算）</x:v>
      </x:c>
      <x:c r="J420" s="10" t="str">
        <x:v>花椒粉、姜丝</x:v>
      </x:c>
      <x:c r="K420" t="str">
        <x:v>蒸</x:v>
      </x:c>
      <x:c r="L420" s="10" t="str">
        <x:v>薄薄撒花椒和姜丝，蒸至熟透，搭配焯青菜；面/魔芋丝煮熟后与菜合碗。</x:v>
      </x:c>
      <x:c r="M420" t="n">
        <x:v>20</x:v>
      </x:c>
      <x:c r="N420" t="n">
        <x:f>ROUND(SUM('食材明细'!H2510:H2515),0)</x:f>
        <x:v>428</x:v>
      </x:c>
      <x:c r="O420" t="n">
        <x:f>ROUND(SUM('食材明细'!J2510:J2515),1)</x:f>
        <x:v>46.5</x:v>
      </x:c>
      <x:c r="P420" t="n">
        <x:f>ROUND(SUM('食材明细'!L2510:L2515),1)</x:f>
        <x:v>36.6</x:v>
      </x:c>
      <x:c r="Q420" t="n">
        <x:f>ROUND(SUM('食材明细'!N2510:N2515),1)</x:f>
        <x:v>11.3</x:v>
      </x:c>
      <x:c r="R420" s="10" t="str">
        <x:v>调料尽量低盐，不加白砂糖；油重已计入热量。</x:v>
      </x:c>
    </x:row>
    <x:row r="421" ht="37" customHeight="1">
      <x:c r="A421" t="n">
        <x:v>420</x:v>
      </x:c>
      <x:c r="B421" t="n">
        <x:v>210</x:v>
      </x:c>
      <x:c r="C421" t="n">
        <x:v>30</x:v>
      </x:c>
      <x:c r="D421" t="str">
        <x:v>晚餐</x:v>
      </x:c>
      <x:c r="E421" t="str">
        <x:v>禽肉</x:v>
      </x:c>
      <x:c r="F421" s="10" t="str">
        <x:v>柠檬鸡里脊肉配苦瓜冬瓜｜糙米饭</x:v>
      </x:c>
      <x:c r="G421" s="10" t="str">
        <x:v>鸡里脊肉145g、苦瓜175g、冬瓜155g、糙米饭135g、烹调油6g</x:v>
      </x:c>
      <x:c r="H421" t="str">
        <x:v>糙米饭</x:v>
      </x:c>
      <x:c r="I421" s="10" t="str">
        <x:v>低主食需求可将主食减1/3，另加100g非淀粉蔬菜（营养值需重算）</x:v>
      </x:c>
      <x:c r="J421" s="10" t="str">
        <x:v>柠檬片、白胡椒</x:v>
      </x:c>
      <x:c r="K421" t="str">
        <x:v>蒸</x:v>
      </x:c>
      <x:c r="L421" s="10" t="str">
        <x:v>柠檬片垫底，主食材蒸熟，蔬菜短焯后摆盘；糙米饭另煮熟或蒸好后同餐食用。</x:v>
      </x:c>
      <x:c r="M421" t="n">
        <x:v>30</x:v>
      </x:c>
      <x:c r="N421" t="n">
        <x:f>ROUND(SUM('食材明细'!H2516:H2521),0)</x:f>
        <x:v>418</x:v>
      </x:c>
      <x:c r="O421" t="n">
        <x:f>ROUND(SUM('食材明细'!J2516:J2521),1)</x:f>
        <x:v>39.2</x:v>
      </x:c>
      <x:c r="P421" t="n">
        <x:f>ROUND(SUM('食材明细'!L2516:L2521),1)</x:f>
        <x:v>43.6</x:v>
      </x:c>
      <x:c r="Q421" t="n">
        <x:f>ROUND(SUM('食材明细'!N2516:N2521),1)</x:f>
        <x:v>10.5</x:v>
      </x:c>
      <x:c r="R421" s="10" t="str">
        <x:v>调料尽量低盐，不加白砂糖；油重已计入热量。</x:v>
      </x:c>
    </x:row>
    <x:row r="422" ht="37" customHeight="1">
      <x:c r="A422" t="n">
        <x:v>421</x:v>
      </x:c>
      <x:c r="B422" t="n">
        <x:v>211</x:v>
      </x:c>
      <x:c r="C422" t="n">
        <x:v>31</x:v>
      </x:c>
      <x:c r="D422" t="str">
        <x:v>午餐</x:v>
      </x:c>
      <x:c r="E422" t="str">
        <x:v>禽肉</x:v>
      </x:c>
      <x:c r="F422" s="10" t="str">
        <x:v>黑椒鸡里脊肉配紫甘蓝丝瓜｜杂粮饭</x:v>
      </x:c>
      <x:c r="G422" s="10" t="str">
        <x:v>鸡里脊肉165g、紫甘蓝160g、丝瓜125g、杂粮饭135g、烹调油4g</x:v>
      </x:c>
      <x:c r="H422" t="str">
        <x:v>杂粮饭</x:v>
      </x:c>
      <x:c r="I422" s="10" t="str">
        <x:v>低主食需求可将主食减1/3，另加100g非淀粉蔬菜（营养值需重算）</x:v>
      </x:c>
      <x:c r="J422" s="10" t="str">
        <x:v>黑胡椒、蒜末</x:v>
      </x:c>
      <x:c r="K422" t="str">
        <x:v>少油烩</x:v>
      </x:c>
      <x:c r="L422" s="10" t="str">
        <x:v>锅加少量水和油，先把主食材煮熟，再烩两种蔬菜，收汁撒黑椒；杂粮饭另煮熟或蒸好后同餐食用。</x:v>
      </x:c>
      <x:c r="M422" t="n">
        <x:v>25</x:v>
      </x:c>
      <x:c r="N422" t="n">
        <x:f>ROUND(SUM('食材明细'!H2522:H2527),0)</x:f>
        <x:v>447</x:v>
      </x:c>
      <x:c r="O422" t="n">
        <x:f>ROUND(SUM('食材明细'!J2522:J2527),1)</x:f>
        <x:v>45.6</x:v>
      </x:c>
      <x:c r="P422" t="n">
        <x:f>ROUND(SUM('食材明细'!L2522:L2527),1)</x:f>
        <x:v>48.4</x:v>
      </x:c>
      <x:c r="Q422" t="n">
        <x:f>ROUND(SUM('食材明细'!N2522:N2527),1)</x:f>
        <x:v>8.9</x:v>
      </x:c>
      <x:c r="R422" s="10" t="str">
        <x:v>调料尽量低盐，不加白砂糖；油重已计入热量。</x:v>
      </x:c>
    </x:row>
    <x:row r="423" ht="37" customHeight="1">
      <x:c r="A423" t="n">
        <x:v>422</x:v>
      </x:c>
      <x:c r="B423" t="n">
        <x:v>211</x:v>
      </x:c>
      <x:c r="C423" t="n">
        <x:v>31</x:v>
      </x:c>
      <x:c r="D423" t="str">
        <x:v>晚餐</x:v>
      </x:c>
      <x:c r="E423" t="str">
        <x:v>鱼类</x:v>
      </x:c>
      <x:c r="F423" s="10" t="str">
        <x:v>豉汁巴沙鱼配竹笋胡萝卜｜玉米</x:v>
      </x:c>
      <x:c r="G423" s="10" t="str">
        <x:v>巴沙鱼215g、竹笋175g、胡萝卜110g、玉米95g、烹调油3g</x:v>
      </x:c>
      <x:c r="H423" t="str">
        <x:v>玉米</x:v>
      </x:c>
      <x:c r="I423" s="10" t="str">
        <x:v>想减主食可减到原量2/3，另加100g绿叶菜</x:v>
      </x:c>
      <x:c r="J423" s="10" t="str">
        <x:v>少量豆豉、姜末</x:v>
      </x:c>
      <x:c r="K423" t="str">
        <x:v>蒸</x:v>
      </x:c>
      <x:c r="L423" s="10" t="str">
        <x:v>鱼肉去刺，彻底做熟；豆豉冲洗剁碎，与姜末拌主食材后蒸熟；蔬菜另煮；玉米另煮熟或蒸好后同餐食用。</x:v>
      </x:c>
      <x:c r="M423" t="n">
        <x:v>15</x:v>
      </x:c>
      <x:c r="N423" t="n">
        <x:f>ROUND(SUM('食材明细'!H2528:H2533),0)</x:f>
        <x:v>413</x:v>
      </x:c>
      <x:c r="O423" t="n">
        <x:f>ROUND(SUM('食材明细'!J2528:J2533),1)</x:f>
        <x:v>45.3</x:v>
      </x:c>
      <x:c r="P423" t="n">
        <x:f>ROUND(SUM('食材明细'!L2528:L2533),1)</x:f>
        <x:v>41</x:v>
      </x:c>
      <x:c r="Q423" t="n">
        <x:f>ROUND(SUM('食材明细'!N2528:N2533),1)</x:f>
        <x:v>10.1</x:v>
      </x:c>
      <x:c r="R423" s="10" t="str">
        <x:v>调料尽量低盐，不加白砂糖；油重已计入热量。</x:v>
      </x:c>
    </x:row>
    <x:row r="424" ht="37" customHeight="1">
      <x:c r="A424" t="n">
        <x:v>423</x:v>
      </x:c>
      <x:c r="B424" t="n">
        <x:v>212</x:v>
      </x:c>
      <x:c r="C424" t="n">
        <x:v>31</x:v>
      </x:c>
      <x:c r="D424" t="str">
        <x:v>午餐</x:v>
      </x:c>
      <x:c r="E424" t="str">
        <x:v>鱼类</x:v>
      </x:c>
      <x:c r="F424" s="10" t="str">
        <x:v>菌菇鲈鱼配菠菜口蘑｜荞麦面</x:v>
      </x:c>
      <x:c r="G424" s="10" t="str">
        <x:v>鲈鱼175g、菠菜190g、口蘑155g、荞麦面165g、烹调油5g</x:v>
      </x:c>
      <x:c r="H424" t="str">
        <x:v>荞麦面</x:v>
      </x:c>
      <x:c r="I424" s="10" t="str">
        <x:v>低主食需求可将主食减1/3，另加100g非淀粉蔬菜（营养值需重算）</x:v>
      </x:c>
      <x:c r="J424" s="10" t="str">
        <x:v>姜片、香菇汁</x:v>
      </x:c>
      <x:c r="K424" t="str">
        <x:v>焖煮</x:v>
      </x:c>
      <x:c r="L424" s="10" t="str">
        <x:v>鱼肉去刺，彻底做熟；食材与菌菇加少量水焖熟，出锅前加少量低盐生抽；面/魔芋丝煮熟后与菜合碗。</x:v>
      </x:c>
      <x:c r="M424" t="n">
        <x:v>25</x:v>
      </x:c>
      <x:c r="N424" t="n">
        <x:f>ROUND(SUM('食材明细'!H2534:H2539),0)</x:f>
        <x:v>480</x:v>
      </x:c>
      <x:c r="O424" t="n">
        <x:f>ROUND(SUM('食材明细'!J2534:J2539),1)</x:f>
        <x:v>50.2</x:v>
      </x:c>
      <x:c r="P424" t="n">
        <x:f>ROUND(SUM('食材明细'!L2534:L2539),1)</x:f>
        <x:v>46.6</x:v>
      </x:c>
      <x:c r="Q424" t="n">
        <x:f>ROUND(SUM('食材明细'!N2534:N2539),1)</x:f>
        <x:v>12.6</x:v>
      </x:c>
      <x:c r="R424" s="10" t="str">
        <x:v>调料尽量低盐，不加白砂糖；油重已计入热量。</x:v>
      </x:c>
    </x:row>
    <x:row r="425" ht="37" customHeight="1">
      <x:c r="A425" t="n">
        <x:v>424</x:v>
      </x:c>
      <x:c r="B425" t="n">
        <x:v>212</x:v>
      </x:c>
      <x:c r="C425" t="n">
        <x:v>31</x:v>
      </x:c>
      <x:c r="D425" t="str">
        <x:v>晚餐</x:v>
      </x:c>
      <x:c r="E425" t="str">
        <x:v>牛肉</x:v>
      </x:c>
      <x:c r="F425" s="10" t="str">
        <x:v>花椒牛里脊配竹笋胡萝卜｜荞麦面</x:v>
      </x:c>
      <x:c r="G425" s="10" t="str">
        <x:v>牛里脊180g、竹笋140g、胡萝卜140g、荞麦面95g、烹调油5g</x:v>
      </x:c>
      <x:c r="H425" t="str">
        <x:v>荞麦面</x:v>
      </x:c>
      <x:c r="I425" s="10" t="str">
        <x:v>低主食需求可将主食减1/3，另加100g非淀粉蔬菜（营养值需重算）</x:v>
      </x:c>
      <x:c r="J425" s="10" t="str">
        <x:v>花椒粉、姜丝</x:v>
      </x:c>
      <x:c r="K425" t="str">
        <x:v>蒸</x:v>
      </x:c>
      <x:c r="L425" s="10" t="str">
        <x:v>薄薄撒花椒和姜丝，蒸至熟透，搭配焯青菜；面/魔芋丝煮熟后与菜合碗。</x:v>
      </x:c>
      <x:c r="M425" t="n">
        <x:v>15</x:v>
      </x:c>
      <x:c r="N425" t="n">
        <x:f>ROUND(SUM('食材明细'!H2540:H2545),0)</x:f>
        <x:v>474</x:v>
      </x:c>
      <x:c r="O425" t="n">
        <x:f>ROUND(SUM('食材明细'!J2540:J2545),1)</x:f>
        <x:v>46.5</x:v>
      </x:c>
      <x:c r="P425" t="n">
        <x:f>ROUND(SUM('食材明细'!L2540:L2545),1)</x:f>
        <x:v>41.2</x:v>
      </x:c>
      <x:c r="Q425" t="n">
        <x:f>ROUND(SUM('食材明细'!N2540:N2545),1)</x:f>
        <x:v>15</x:v>
      </x:c>
      <x:c r="R425" s="10" t="str">
        <x:v>调料尽量低盐，不加白砂糖；油重已计入热量。</x:v>
      </x:c>
    </x:row>
    <x:row r="426" ht="37" customHeight="1">
      <x:c r="A426" t="n">
        <x:v>425</x:v>
      </x:c>
      <x:c r="B426" t="n">
        <x:v>213</x:v>
      </x:c>
      <x:c r="C426" t="n">
        <x:v>31</x:v>
      </x:c>
      <x:c r="D426" t="str">
        <x:v>午餐</x:v>
      </x:c>
      <x:c r="E426" t="str">
        <x:v>禽肉</x:v>
      </x:c>
      <x:c r="F426" s="10" t="str">
        <x:v>剁椒去皮鸡腿肉配娃娃菜杏鲍菇｜荞麦饭</x:v>
      </x:c>
      <x:c r="G426" s="10" t="str">
        <x:v>去皮鸡腿肉175g、娃娃菜160g、杏鲍菇155g、荞麦饭110g、烹调油6g</x:v>
      </x:c>
      <x:c r="H426" t="str">
        <x:v>荞麦饭</x:v>
      </x:c>
      <x:c r="I426" s="10" t="str">
        <x:v>低主食需求可将主食减1/3，另加100g非淀粉蔬菜（营养值需重算）</x:v>
      </x:c>
      <x:c r="J426" s="10" t="str">
        <x:v>自制低盐剁椒、蒜</x:v>
      </x:c>
      <x:c r="K426" t="str">
        <x:v>蒸</x:v>
      </x:c>
      <x:c r="L426" s="10" t="str">
        <x:v>先去皮去骨并切薄，充分加热；主食材铺少量低盐剁椒蒸熟，配菜焯熟后摆盘；荞麦饭另煮熟或蒸好后同餐食用。</x:v>
      </x:c>
      <x:c r="M426" t="n">
        <x:v>20</x:v>
      </x:c>
      <x:c r="N426" t="n">
        <x:f>ROUND(SUM('食材明细'!H2546:H2551),0)</x:f>
        <x:v>475</x:v>
      </x:c>
      <x:c r="O426" t="n">
        <x:f>ROUND(SUM('食材明细'!J2546:J2551),1)</x:f>
        <x:v>43.9</x:v>
      </x:c>
      <x:c r="P426" t="n">
        <x:f>ROUND(SUM('食材明细'!L2546:L2551),1)</x:f>
        <x:v>40.5</x:v>
      </x:c>
      <x:c r="Q426" t="n">
        <x:f>ROUND(SUM('食材明细'!N2546:N2551),1)</x:f>
        <x:v>16.8</x:v>
      </x:c>
      <x:c r="R426" s="10" t="str">
        <x:v>调料尽量低盐，不加白砂糖；油重已计入热量。</x:v>
      </x:c>
    </x:row>
    <x:row r="427" ht="37" customHeight="1">
      <x:c r="A427" t="n">
        <x:v>426</x:v>
      </x:c>
      <x:c r="B427" t="n">
        <x:v>213</x:v>
      </x:c>
      <x:c r="C427" t="n">
        <x:v>31</x:v>
      </x:c>
      <x:c r="D427" t="str">
        <x:v>晚餐</x:v>
      </x:c>
      <x:c r="E427" t="str">
        <x:v>禽肉</x:v>
      </x:c>
      <x:c r="F427" s="10" t="str">
        <x:v>香醋鸡里脊肉配紫甘蓝莴笋｜藜麦饭</x:v>
      </x:c>
      <x:c r="G427" s="10" t="str">
        <x:v>鸡里脊肉160g、紫甘蓝175g、莴笋140g、藜麦饭95g、烹调油3g</x:v>
      </x:c>
      <x:c r="H427" t="str">
        <x:v>藜麦饭</x:v>
      </x:c>
      <x:c r="I427" s="10" t="str">
        <x:v>低主食需求可将主食减1/3，另加100g非淀粉蔬菜（营养值需重算）</x:v>
      </x:c>
      <x:c r="J427" s="10" t="str">
        <x:v>香醋、蒜末、少量生抽</x:v>
      </x:c>
      <x:c r="K427" t="str">
        <x:v>水煮</x:v>
      </x:c>
      <x:c r="L427" s="10" t="str">
        <x:v>食材分别煮至熟，淋香醋蒜汁，拌匀即食；藜麦饭另煮熟或蒸好后同餐食用。</x:v>
      </x:c>
      <x:c r="M427" t="n">
        <x:v>20</x:v>
      </x:c>
      <x:c r="N427" t="n">
        <x:f>ROUND(SUM('食材明细'!H2552:H2557),0)</x:f>
        <x:v>392</x:v>
      </x:c>
      <x:c r="O427" t="n">
        <x:f>ROUND(SUM('食材明细'!J2552:J2557),1)</x:f>
        <x:v>44.8</x:v>
      </x:c>
      <x:c r="P427" t="n">
        <x:f>ROUND(SUM('食材明细'!L2552:L2557),1)</x:f>
        <x:v>36.9</x:v>
      </x:c>
      <x:c r="Q427" t="n">
        <x:f>ROUND(SUM('食材明细'!N2552:N2557),1)</x:f>
        <x:v>8</x:v>
      </x:c>
      <x:c r="R427" s="10" t="str">
        <x:v>调料尽量低盐，不加白砂糖；油重已计入热量。</x:v>
      </x:c>
    </x:row>
    <x:row r="428" ht="37" customHeight="1">
      <x:c r="A428" t="n">
        <x:v>427</x:v>
      </x:c>
      <x:c r="B428" t="n">
        <x:v>214</x:v>
      </x:c>
      <x:c r="C428" t="n">
        <x:v>31</x:v>
      </x:c>
      <x:c r="D428" t="str">
        <x:v>午餐</x:v>
      </x:c>
      <x:c r="E428" t="str">
        <x:v>牛肉</x:v>
      </x:c>
      <x:c r="F428" s="10" t="str">
        <x:v>蒜香瘦牛肉配四季豆绿豆芽｜紫薯</x:v>
      </x:c>
      <x:c r="G428" s="10" t="str">
        <x:v>瘦牛肉165g、熟毛豆仁70g、四季豆160g、绿豆芽110g、紫薯165g、烹调油3g</x:v>
      </x:c>
      <x:c r="H428" t="str">
        <x:v>紫薯</x:v>
      </x:c>
      <x:c r="I428" s="10" t="str">
        <x:v>想减主食可减到原量2/3，另加100g绿叶菜</x:v>
      </x:c>
      <x:c r="J428" s="10" t="str">
        <x:v>蒜末、白胡椒</x:v>
      </x:c>
      <x:c r="K428" t="str">
        <x:v>蒸</x:v>
      </x:c>
      <x:c r="L428" s="10" t="str">
        <x:v>食材切块，撒蒜末；上锅蒸熟，蔬菜另焯后拌匀；紫薯另煮熟或蒸好后同餐食用。四季豆必须充分煮熟，不要生脆。</x:v>
      </x:c>
      <x:c r="M428" t="n">
        <x:v>20</x:v>
      </x:c>
      <x:c r="N428" t="n">
        <x:f>ROUND(SUM('食材明细'!H2558:H2563),0)</x:f>
        <x:v>558</x:v>
      </x:c>
      <x:c r="O428" t="n">
        <x:f>ROUND(SUM('食材明细'!J2558:J2563),1)</x:f>
        <x:v>51.9</x:v>
      </x:c>
      <x:c r="P428" t="n">
        <x:f>ROUND(SUM('食材明细'!L2558:L2563),1)</x:f>
        <x:v>60.4</x:v>
      </x:c>
      <x:c r="Q428" t="n">
        <x:f>ROUND(SUM('食材明细'!N2558:N2563),1)</x:f>
        <x:v>13.7</x:v>
      </x:c>
      <x:c r="R428" s="10" t="str">
        <x:v>调料尽量低盐，不加白砂糖；油重已计入热量。</x:v>
      </x:c>
    </x:row>
    <x:row r="429" ht="37" customHeight="1">
      <x:c r="A429" t="n">
        <x:v>428</x:v>
      </x:c>
      <x:c r="B429" t="n">
        <x:v>214</x:v>
      </x:c>
      <x:c r="C429" t="n">
        <x:v>31</x:v>
      </x:c>
      <x:c r="D429" t="str">
        <x:v>晚餐</x:v>
      </x:c>
      <x:c r="E429" t="str">
        <x:v>禽肉</x:v>
      </x:c>
      <x:c r="F429" s="10" t="str">
        <x:v>蒜香去皮鸡腿肉配丝瓜口蘑｜荞麦饭</x:v>
      </x:c>
      <x:c r="G429" s="10" t="str">
        <x:v>去皮鸡腿肉145g、丝瓜190g、口蘑110g、荞麦饭135g、烹调油6g</x:v>
      </x:c>
      <x:c r="H429" t="str">
        <x:v>荞麦饭</x:v>
      </x:c>
      <x:c r="I429" s="10" t="str">
        <x:v>低主食需求可将主食减1/3，另加100g非淀粉蔬菜（营养值需重算）</x:v>
      </x:c>
      <x:c r="J429" s="10" t="str">
        <x:v>蒜末、白胡椒</x:v>
      </x:c>
      <x:c r="K429" t="str">
        <x:v>蒸</x:v>
      </x:c>
      <x:c r="L429" s="10" t="str">
        <x:v>先去皮去骨并切薄，充分加热；食材切块，撒蒜末；上锅蒸熟，蔬菜另焯后拌匀；荞麦饭另煮熟或蒸好后同餐食用。</x:v>
      </x:c>
      <x:c r="M429" t="n">
        <x:v>30</x:v>
      </x:c>
      <x:c r="N429" t="n">
        <x:f>ROUND(SUM('食材明细'!H2564:H2569),0)</x:f>
        <x:v>446</x:v>
      </x:c>
      <x:c r="O429" t="n">
        <x:f>ROUND(SUM('食材明细'!J2564:J2569),1)</x:f>
        <x:v>38.9</x:v>
      </x:c>
      <x:c r="P429" t="n">
        <x:f>ROUND(SUM('食材明细'!L2564:L2569),1)</x:f>
        <x:v>40.9</x:v>
      </x:c>
      <x:c r="Q429" t="n">
        <x:f>ROUND(SUM('食材明细'!N2564:N2569),1)</x:f>
        <x:v>15.5</x:v>
      </x:c>
      <x:c r="R429" s="10" t="str">
        <x:v>调料尽量低盐，不加白砂糖；油重已计入热量。</x:v>
      </x:c>
    </x:row>
    <x:row r="430" ht="37" customHeight="1">
      <x:c r="A430" t="n">
        <x:v>429</x:v>
      </x:c>
      <x:c r="B430" t="n">
        <x:v>215</x:v>
      </x:c>
      <x:c r="C430" t="n">
        <x:v>31</x:v>
      </x:c>
      <x:c r="D430" t="str">
        <x:v>午餐</x:v>
      </x:c>
      <x:c r="E430" t="str">
        <x:v>牛肉</x:v>
      </x:c>
      <x:c r="F430" s="10" t="str">
        <x:v>豉汁牛里脊配生菜黄瓜｜紫薯</x:v>
      </x:c>
      <x:c r="G430" s="10" t="str">
        <x:v>牛里脊185g、生菜160g、黄瓜155g、紫薯150g、烹调油6g</x:v>
      </x:c>
      <x:c r="H430" t="str">
        <x:v>紫薯</x:v>
      </x:c>
      <x:c r="I430" s="10" t="str">
        <x:v>想减主食可减到原量2/3，另加100g绿叶菜</x:v>
      </x:c>
      <x:c r="J430" s="10" t="str">
        <x:v>少量豆豉、姜末</x:v>
      </x:c>
      <x:c r="K430" t="str">
        <x:v>蒸</x:v>
      </x:c>
      <x:c r="L430" s="10" t="str">
        <x:v>豆豉冲洗剁碎，与姜末拌主食材后蒸熟；蔬菜另煮；紫薯另煮熟或蒸好后同餐食用。</x:v>
      </x:c>
      <x:c r="M430" t="n">
        <x:v>15</x:v>
      </x:c>
      <x:c r="N430" t="n">
        <x:f>ROUND(SUM('食材明细'!H2570:H2575),0)</x:f>
        <x:v>487</x:v>
      </x:c>
      <x:c r="O430" t="n">
        <x:f>ROUND(SUM('食材明细'!J2570:J2575),1)</x:f>
        <x:v>44.6</x:v>
      </x:c>
      <x:c r="P430" t="n">
        <x:f>ROUND(SUM('食材明细'!L2570:L2575),1)</x:f>
        <x:v>43.2</x:v>
      </x:c>
      <x:c r="Q430" t="n">
        <x:f>ROUND(SUM('食材明细'!N2570:N2575),1)</x:f>
        <x:v>15.4</x:v>
      </x:c>
      <x:c r="R430" s="10" t="str">
        <x:v>调料尽量低盐，不加白砂糖；油重已计入热量。</x:v>
      </x:c>
    </x:row>
    <x:row r="431" ht="37" customHeight="1">
      <x:c r="A431" t="n">
        <x:v>430</x:v>
      </x:c>
      <x:c r="B431" t="n">
        <x:v>215</x:v>
      </x:c>
      <x:c r="C431" t="n">
        <x:v>31</x:v>
      </x:c>
      <x:c r="D431" t="str">
        <x:v>晚餐</x:v>
      </x:c>
      <x:c r="E431" t="str">
        <x:v>禽肉</x:v>
      </x:c>
      <x:c r="F431" s="10" t="str">
        <x:v>蚝香鸡胸肉配油麦菜杏鲍菇｜藜麦饭</x:v>
      </x:c>
      <x:c r="G431" s="10" t="str">
        <x:v>鸡胸肉145g、油麦菜175g、杏鲍菇110g、藜麦饭135g、烹调油3g</x:v>
      </x:c>
      <x:c r="H431" t="str">
        <x:v>藜麦饭</x:v>
      </x:c>
      <x:c r="I431" s="10" t="str">
        <x:v>低主食需求可将主食减1/3，另加100g非淀粉蔬菜（营养值需重算）</x:v>
      </x:c>
      <x:c r="J431" s="10" t="str">
        <x:v>低钠蚝油少量、姜蒜</x:v>
      </x:c>
      <x:c r="K431" t="str">
        <x:v>少油烩</x:v>
      </x:c>
      <x:c r="L431" s="10" t="str">
        <x:v>主食材和蔬菜少油少水烩熟，起锅前点少量蚝油；藜麦饭另煮熟或蒸好后同餐食用。</x:v>
      </x:c>
      <x:c r="M431" t="n">
        <x:v>25</x:v>
      </x:c>
      <x:c r="N431" t="n">
        <x:f>ROUND(SUM('食材明细'!H2576:H2581),0)</x:f>
        <x:v>419</x:v>
      </x:c>
      <x:c r="O431" t="n">
        <x:f>ROUND(SUM('食材明细'!J2576:J2581),1)</x:f>
        <x:v>43.9</x:v>
      </x:c>
      <x:c r="P431" t="n">
        <x:f>ROUND(SUM('食材明细'!L2576:L2581),1)</x:f>
        <x:v>42.3</x:v>
      </x:c>
      <x:c r="Q431" t="n">
        <x:f>ROUND(SUM('食材明细'!N2576:N2581),1)</x:f>
        <x:v>9.2</x:v>
      </x:c>
      <x:c r="R431" s="10" t="str">
        <x:v>调料尽量低盐，不加白砂糖；油重已计入热量。</x:v>
      </x:c>
    </x:row>
    <x:row r="432" ht="37" customHeight="1">
      <x:c r="A432" t="n">
        <x:v>431</x:v>
      </x:c>
      <x:c r="B432" t="n">
        <x:v>216</x:v>
      </x:c>
      <x:c r="C432" t="n">
        <x:v>31</x:v>
      </x:c>
      <x:c r="D432" t="str">
        <x:v>午餐</x:v>
      </x:c>
      <x:c r="E432" t="str">
        <x:v>豆蛋</x:v>
      </x:c>
      <x:c r="F432" s="10" t="str">
        <x:v>番茄嫩豆腐虾仁烩番茄洋葱｜糙米饭</x:v>
      </x:c>
      <x:c r="G432" s="10" t="str">
        <x:v>嫩豆腐260g、虾仁85g、番茄140g、洋葱140g、糙米饭110g、烹调油5g</x:v>
      </x:c>
      <x:c r="H432" t="str">
        <x:v>糙米饭</x:v>
      </x:c>
      <x:c r="I432" s="10" t="str">
        <x:v>低主食需求可将主食减1/3，另加100g非淀粉蔬菜（营养值需重算）</x:v>
      </x:c>
      <x:c r="J432" s="10" t="str">
        <x:v>番茄丁、黑胡椒</x:v>
      </x:c>
      <x:c r="K432" t="str">
        <x:v>炖煮</x:v>
      </x:c>
      <x:c r="L432" s="10" t="str">
        <x:v>番茄出汁后加入主食材和少量水，轻炖至熟，再放配菜；糙米饭另煮熟或蒸好后同餐食用。</x:v>
      </x:c>
      <x:c r="M432" t="n">
        <x:v>30</x:v>
      </x:c>
      <x:c r="N432" t="n">
        <x:f>ROUND(SUM('食材明细'!H2582:H2587),0)</x:f>
        <x:v>472</x:v>
      </x:c>
      <x:c r="O432" t="n">
        <x:f>ROUND(SUM('食材明细'!J2582:J2587),1)</x:f>
        <x:v>34.8</x:v>
      </x:c>
      <x:c r="P432" t="n">
        <x:f>ROUND(SUM('食材明细'!L2582:L2587),1)</x:f>
        <x:v>50</x:v>
      </x:c>
      <x:c r="Q432" t="n">
        <x:f>ROUND(SUM('食材明细'!N2582:N2587),1)</x:f>
        <x:v>14.6</x:v>
      </x:c>
      <x:c r="R432" s="10" t="str">
        <x:v>调料尽量低盐，不加白砂糖；油重已计入热量。</x:v>
      </x:c>
    </x:row>
    <x:row r="433" ht="37" customHeight="1">
      <x:c r="A433" t="n">
        <x:v>432</x:v>
      </x:c>
      <x:c r="B433" t="n">
        <x:v>216</x:v>
      </x:c>
      <x:c r="C433" t="n">
        <x:v>31</x:v>
      </x:c>
      <x:c r="D433" t="str">
        <x:v>晚餐</x:v>
      </x:c>
      <x:c r="E433" t="str">
        <x:v>牛肉</x:v>
      </x:c>
      <x:c r="F433" s="10" t="str">
        <x:v>蚝香牛腱子配秋葵口蘑｜荞麦面</x:v>
      </x:c>
      <x:c r="G433" s="10" t="str">
        <x:v>牛腱子160g、秋葵190g、口蘑140g、荞麦面125g、烹调油5g</x:v>
      </x:c>
      <x:c r="H433" t="str">
        <x:v>荞麦面</x:v>
      </x:c>
      <x:c r="I433" s="10" t="str">
        <x:v>低主食需求可将主食减1/3，另加100g非淀粉蔬菜（营养值需重算）</x:v>
      </x:c>
      <x:c r="J433" s="10" t="str">
        <x:v>低钠蚝油少量、姜蒜</x:v>
      </x:c>
      <x:c r="K433" t="str">
        <x:v>少油烩</x:v>
      </x:c>
      <x:c r="L433" s="10" t="str">
        <x:v>主食材和蔬菜少油少水烩熟，起锅前点少量蚝油；面/魔芋丝煮熟后与菜合碗。</x:v>
      </x:c>
      <x:c r="M433" t="n">
        <x:v>25</x:v>
      </x:c>
      <x:c r="N433" t="n">
        <x:f>ROUND(SUM('食材明细'!H2588:H2593),0)</x:f>
        <x:v>494</x:v>
      </x:c>
      <x:c r="O433" t="n">
        <x:f>ROUND(SUM('食材明细'!J2588:J2593),1)</x:f>
        <x:v>46.6</x:v>
      </x:c>
      <x:c r="P433" t="n">
        <x:f>ROUND(SUM('食材明细'!L2588:L2593),1)</x:f>
        <x:v>45.1</x:v>
      </x:c>
      <x:c r="Q433" t="n">
        <x:f>ROUND(SUM('食材明细'!N2588:N2593),1)</x:f>
        <x:v>16.3</x:v>
      </x:c>
      <x:c r="R433" s="10" t="str">
        <x:v>调料尽量低盐，不加白砂糖；油重已计入热量。</x:v>
      </x:c>
    </x:row>
    <x:row r="434" ht="37" customHeight="1">
      <x:c r="A434" t="n">
        <x:v>433</x:v>
      </x:c>
      <x:c r="B434" t="n">
        <x:v>217</x:v>
      </x:c>
      <x:c r="C434" t="n">
        <x:v>31</x:v>
      </x:c>
      <x:c r="D434" t="str">
        <x:v>午餐</x:v>
      </x:c>
      <x:c r="E434" t="str">
        <x:v>海鲜</x:v>
      </x:c>
      <x:c r="F434" s="10" t="str">
        <x:v>酸汤扇贝肉配番茄白萝卜｜荞麦面</x:v>
      </x:c>
      <x:c r="G434" s="10" t="str">
        <x:v>扇贝肉170g、番茄160g、白萝卜155g、荞麦面150g、烹调油6g</x:v>
      </x:c>
      <x:c r="H434" t="str">
        <x:v>荞麦面</x:v>
      </x:c>
      <x:c r="I434" s="10" t="str">
        <x:v>低主食需求可将主食减1/3，另加100g非淀粉蔬菜（营养值需重算）</x:v>
      </x:c>
      <x:c r="J434" s="10" t="str">
        <x:v>米醋、番茄、少许辣椒</x:v>
      </x:c>
      <x:c r="K434" t="str">
        <x:v>水煮</x:v>
      </x:c>
      <x:c r="L434" s="10" t="str">
        <x:v>番茄煮成酸汤，主食材汆熟，加入蔬菜再煮2～5分钟；面/魔芋丝煮熟后与菜合碗。</x:v>
      </x:c>
      <x:c r="M434" t="n">
        <x:v>25</x:v>
      </x:c>
      <x:c r="N434" t="n">
        <x:f>ROUND(SUM('食材明细'!H2594:H2599),0)</x:f>
        <x:v>424</x:v>
      </x:c>
      <x:c r="O434" t="n">
        <x:f>ROUND(SUM('食材明细'!J2594:J2599),1)</x:f>
        <x:v>37.3</x:v>
      </x:c>
      <x:c r="P434" t="n">
        <x:f>ROUND(SUM('食材明细'!L2594:L2599),1)</x:f>
        <x:v>49.2</x:v>
      </x:c>
      <x:c r="Q434" t="n">
        <x:f>ROUND(SUM('食材明细'!N2594:N2599),1)</x:f>
        <x:v>8.9</x:v>
      </x:c>
      <x:c r="R434" s="10" t="str">
        <x:v>调料尽量低盐，不加白砂糖；油重已计入热量。</x:v>
      </x:c>
    </x:row>
    <x:row r="435" ht="37" customHeight="1">
      <x:c r="A435" t="n">
        <x:v>434</x:v>
      </x:c>
      <x:c r="B435" t="n">
        <x:v>217</x:v>
      </x:c>
      <x:c r="C435" t="n">
        <x:v>31</x:v>
      </x:c>
      <x:c r="D435" t="str">
        <x:v>晚餐</x:v>
      </x:c>
      <x:c r="E435" t="str">
        <x:v>鱼类</x:v>
      </x:c>
      <x:c r="F435" s="10" t="str">
        <x:v>豉汁巴沙鱼配白萝卜冬瓜｜红薯</x:v>
      </x:c>
      <x:c r="G435" s="10" t="str">
        <x:v>巴沙鱼175g、白萝卜175g、冬瓜110g、红薯130g、烹调油6g</x:v>
      </x:c>
      <x:c r="H435" t="str">
        <x:v>红薯</x:v>
      </x:c>
      <x:c r="I435" s="10" t="str">
        <x:v>想减主食可减到原量2/3，另加100g绿叶菜</x:v>
      </x:c>
      <x:c r="J435" s="10" t="str">
        <x:v>少量豆豉、姜末</x:v>
      </x:c>
      <x:c r="K435" t="str">
        <x:v>蒸</x:v>
      </x:c>
      <x:c r="L435" s="10" t="str">
        <x:v>鱼肉去刺，彻底做熟；豆豉冲洗剁碎，与姜末拌主食材后蒸熟；蔬菜另煮；红薯另煮熟或蒸好后同餐食用。</x:v>
      </x:c>
      <x:c r="M435" t="n">
        <x:v>25</x:v>
      </x:c>
      <x:c r="N435" t="n">
        <x:f>ROUND(SUM('食材明细'!H2600:H2605),0)</x:f>
        <x:v>372</x:v>
      </x:c>
      <x:c r="O435" t="n">
        <x:f>ROUND(SUM('食材明细'!J2600:J2605),1)</x:f>
        <x:v>33.3</x:v>
      </x:c>
      <x:c r="P435" t="n">
        <x:f>ROUND(SUM('食材明细'!L2600:L2605),1)</x:f>
        <x:v>37</x:v>
      </x:c>
      <x:c r="Q435" t="n">
        <x:f>ROUND(SUM('食材明细'!N2600:N2605),1)</x:f>
        <x:v>10.5</x:v>
      </x:c>
      <x:c r="R435" s="10" t="str">
        <x:v>调料尽量低盐，不加白砂糖；油重已计入热量。</x:v>
      </x:c>
    </x:row>
    <x:row r="436" ht="37" customHeight="1">
      <x:c r="A436" t="n">
        <x:v>435</x:v>
      </x:c>
      <x:c r="B436" t="n">
        <x:v>218</x:v>
      </x:c>
      <x:c r="C436" t="n">
        <x:v>32</x:v>
      </x:c>
      <x:c r="D436" t="str">
        <x:v>午餐</x:v>
      </x:c>
      <x:c r="E436" t="str">
        <x:v>禽肉</x:v>
      </x:c>
      <x:c r="F436" s="10" t="str">
        <x:v>清汤鸡里脊肉配彩椒洋葱｜荞麦面</x:v>
      </x:c>
      <x:c r="G436" s="10" t="str">
        <x:v>鸡里脊肉165g、彩椒175g、洋葱110g、荞麦面165g、烹调油3g</x:v>
      </x:c>
      <x:c r="H436" t="str">
        <x:v>荞麦面</x:v>
      </x:c>
      <x:c r="I436" s="10" t="str">
        <x:v>低主食需求可将主食减1/3，另加100g非淀粉蔬菜（营养值需重算）</x:v>
      </x:c>
      <x:c r="J436" s="10" t="str">
        <x:v>葱段、盐少量</x:v>
      </x:c>
      <x:c r="K436" t="str">
        <x:v>煮</x:v>
      </x:c>
      <x:c r="L436" s="10" t="str">
        <x:v>清水煮开，按熟化时间下食材，最后放叶菜，清淡调味；面/魔芋丝煮熟后与菜合碗。</x:v>
      </x:c>
      <x:c r="M436" t="n">
        <x:v>25</x:v>
      </x:c>
      <x:c r="N436" t="n">
        <x:f>ROUND(SUM('食材明细'!H2606:H2611),0)</x:f>
        <x:v>473</x:v>
      </x:c>
      <x:c r="O436" t="n">
        <x:f>ROUND(SUM('食材明细'!J2606:J2611),1)</x:f>
        <x:v>47.5</x:v>
      </x:c>
      <x:c r="P436" t="n">
        <x:f>ROUND(SUM('食材明细'!L2606:L2611),1)</x:f>
        <x:v>55.6</x:v>
      </x:c>
      <x:c r="Q436" t="n">
        <x:f>ROUND(SUM('食材明细'!N2606:N2611),1)</x:f>
        <x:v>7.6</x:v>
      </x:c>
      <x:c r="R436" s="10" t="str">
        <x:v>调料尽量低盐，不加白砂糖；油重已计入热量。</x:v>
      </x:c>
    </x:row>
    <x:row r="437" ht="37" customHeight="1">
      <x:c r="A437" t="n">
        <x:v>436</x:v>
      </x:c>
      <x:c r="B437" t="n">
        <x:v>218</x:v>
      </x:c>
      <x:c r="C437" t="n">
        <x:v>32</x:v>
      </x:c>
      <x:c r="D437" t="str">
        <x:v>晚餐</x:v>
      </x:c>
      <x:c r="E437" t="str">
        <x:v>鱼类</x:v>
      </x:c>
      <x:c r="F437" s="10" t="str">
        <x:v>剁椒鳕鱼配菠菜泡发木耳｜荞麦饭</x:v>
      </x:c>
      <x:c r="G437" s="10" t="str">
        <x:v>鳕鱼200g、菠菜190g、泡发木耳125g、荞麦饭80g、烹调油4g</x:v>
      </x:c>
      <x:c r="H437" t="str">
        <x:v>荞麦饭</x:v>
      </x:c>
      <x:c r="I437" s="10" t="str">
        <x:v>低主食需求可将主食减1/3，另加100g非淀粉蔬菜（营养值需重算）</x:v>
      </x:c>
      <x:c r="J437" s="10" t="str">
        <x:v>自制低盐剁椒、蒜</x:v>
      </x:c>
      <x:c r="K437" t="str">
        <x:v>蒸</x:v>
      </x:c>
      <x:c r="L437" s="10" t="str">
        <x:v>鱼肉去刺，彻底做熟；主食材铺少量低盐剁椒蒸熟，配菜焯熟后摆盘；荞麦饭另煮熟或蒸好后同餐食用。</x:v>
      </x:c>
      <x:c r="M437" t="n">
        <x:v>25</x:v>
      </x:c>
      <x:c r="N437" t="n">
        <x:f>ROUND(SUM('食材明细'!H2612:H2617),0)</x:f>
        <x:v>369</x:v>
      </x:c>
      <x:c r="O437" t="n">
        <x:f>ROUND(SUM('食材明细'!J2612:J2617),1)</x:f>
        <x:v>46.1</x:v>
      </x:c>
      <x:c r="P437" t="n">
        <x:f>ROUND(SUM('食材明细'!L2612:L2617),1)</x:f>
        <x:v>31.9</x:v>
      </x:c>
      <x:c r="Q437" t="n">
        <x:f>ROUND(SUM('食材明细'!N2612:N2617),1)</x:f>
        <x:v>7.4</x:v>
      </x:c>
      <x:c r="R437" s="10" t="str">
        <x:v>调料尽量低盐，不加白砂糖；油重已计入热量。</x:v>
      </x:c>
    </x:row>
    <x:row r="438" ht="37" customHeight="1">
      <x:c r="A438" t="n">
        <x:v>437</x:v>
      </x:c>
      <x:c r="B438" t="n">
        <x:v>219</x:v>
      </x:c>
      <x:c r="C438" t="n">
        <x:v>32</x:v>
      </x:c>
      <x:c r="D438" t="str">
        <x:v>午餐</x:v>
      </x:c>
      <x:c r="E438" t="str">
        <x:v>鱼类</x:v>
      </x:c>
      <x:c r="F438" s="10" t="str">
        <x:v>番茄巴沙鱼配冬瓜｜荞麦饭</x:v>
      </x:c>
      <x:c r="G438" s="10" t="str">
        <x:v>巴沙鱼175g、番茄140g、冬瓜125g、荞麦饭165g、烹调油6g</x:v>
      </x:c>
      <x:c r="H438" t="str">
        <x:v>荞麦饭</x:v>
      </x:c>
      <x:c r="I438" s="10" t="str">
        <x:v>低主食需求可将主食减1/3，另加100g非淀粉蔬菜（营养值需重算）</x:v>
      </x:c>
      <x:c r="J438" s="10" t="str">
        <x:v>番茄丁、黑胡椒</x:v>
      </x:c>
      <x:c r="K438" t="str">
        <x:v>炖煮</x:v>
      </x:c>
      <x:c r="L438" s="10" t="str">
        <x:v>鱼肉去刺，彻底做熟；番茄出汁后加入主食材和少量水，轻炖至熟，再放配菜；荞麦饭另煮熟或蒸好后同餐食用。</x:v>
      </x:c>
      <x:c r="M438" t="n">
        <x:v>20</x:v>
      </x:c>
      <x:c r="N438" t="n">
        <x:f>ROUND(SUM('食材明细'!H2618:H2623),0)</x:f>
        <x:v>437</x:v>
      </x:c>
      <x:c r="O438" t="n">
        <x:f>ROUND(SUM('食材明细'!J2618:J2623),1)</x:f>
        <x:v>37.1</x:v>
      </x:c>
      <x:c r="P438" t="n">
        <x:f>ROUND(SUM('食材明细'!L2618:L2623),1)</x:f>
        <x:v>45.7</x:v>
      </x:c>
      <x:c r="Q438" t="n">
        <x:f>ROUND(SUM('食材明细'!N2618:N2623),1)</x:f>
        <x:v>12.4</x:v>
      </x:c>
      <x:c r="R438" s="10" t="str">
        <x:v>调料尽量低盐，不加白砂糖；油重已计入热量。</x:v>
      </x:c>
    </x:row>
    <x:row r="439" ht="37" customHeight="1">
      <x:c r="A439" t="n">
        <x:v>438</x:v>
      </x:c>
      <x:c r="B439" t="n">
        <x:v>219</x:v>
      </x:c>
      <x:c r="C439" t="n">
        <x:v>32</x:v>
      </x:c>
      <x:c r="D439" t="str">
        <x:v>晚餐</x:v>
      </x:c>
      <x:c r="E439" t="str">
        <x:v>豆蛋</x:v>
      </x:c>
      <x:c r="F439" s="10" t="str">
        <x:v>椒麻鸡蛋北豆腐烩菠菜香菇｜荞麦面</x:v>
      </x:c>
      <x:c r="G439" s="10" t="str">
        <x:v>鸡蛋110g、北豆腐110g、菠菜190g、香菇140g、荞麦面110g、烹调油5g</x:v>
      </x:c>
      <x:c r="H439" t="str">
        <x:v>荞麦面</x:v>
      </x:c>
      <x:c r="I439" s="10" t="str">
        <x:v>低主食需求可将主食减1/3，另加100g非淀粉蔬菜（营养值需重算）</x:v>
      </x:c>
      <x:c r="J439" s="10" t="str">
        <x:v>花椒、蒜、少量醋</x:v>
      </x:c>
      <x:c r="K439" t="str">
        <x:v>水煮</x:v>
      </x:c>
      <x:c r="L439" s="10" t="str">
        <x:v>鸡蛋先打散成蛋液；花椒温水浸出味道，煮熟主食材和配菜，少油拌汁；面/魔芋丝煮熟后与菜合碗。</x:v>
      </x:c>
      <x:c r="M439" t="n">
        <x:v>20</x:v>
      </x:c>
      <x:c r="N439" t="n">
        <x:f>ROUND(SUM('食材明细'!H2624:H2629),0)</x:f>
        <x:v>509</x:v>
      </x:c>
      <x:c r="O439" t="n">
        <x:f>ROUND(SUM('食材明细'!J2624:J2629),1)</x:f>
        <x:v>38.3</x:v>
      </x:c>
      <x:c r="P439" t="n">
        <x:f>ROUND(SUM('食材明细'!L2624:L2629),1)</x:f>
        <x:v>42.9</x:v>
      </x:c>
      <x:c r="Q439" t="n">
        <x:f>ROUND(SUM('食材明细'!N2624:N2629),1)</x:f>
        <x:v>23.7</x:v>
      </x:c>
      <x:c r="R439" s="10" t="str">
        <x:v>调料尽量低盐，不加白砂糖；油重已计入热量。</x:v>
      </x:c>
    </x:row>
    <x:row r="440" ht="37" customHeight="1">
      <x:c r="A440" t="n">
        <x:v>439</x:v>
      </x:c>
      <x:c r="B440" t="n">
        <x:v>220</x:v>
      </x:c>
      <x:c r="C440" t="n">
        <x:v>32</x:v>
      </x:c>
      <x:c r="D440" t="str">
        <x:v>午餐</x:v>
      </x:c>
      <x:c r="E440" t="str">
        <x:v>猪肉</x:v>
      </x:c>
      <x:c r="F440" s="10" t="str">
        <x:v>菌菇猪里脊配西兰花金针菇｜杂粮饭</x:v>
      </x:c>
      <x:c r="G440" s="10" t="str">
        <x:v>猪里脊165g、嫩豆腐135g、西兰花175g、金针菇125g、杂粮饭135g、烹调油5g</x:v>
      </x:c>
      <x:c r="H440" t="str">
        <x:v>杂粮饭</x:v>
      </x:c>
      <x:c r="I440" s="10" t="str">
        <x:v>低主食需求可将主食减1/3，另加100g非淀粉蔬菜（营养值需重算）</x:v>
      </x:c>
      <x:c r="J440" s="10" t="str">
        <x:v>姜片、香菇汁</x:v>
      </x:c>
      <x:c r="K440" t="str">
        <x:v>焖煮</x:v>
      </x:c>
      <x:c r="L440" s="10" t="str">
        <x:v>食材与菌菇加少量水焖熟，出锅前加少量低盐生抽；杂粮饭另煮熟或蒸好后同餐食用。</x:v>
      </x:c>
      <x:c r="M440" t="n">
        <x:v>25</x:v>
      </x:c>
      <x:c r="N440" t="n">
        <x:f>ROUND(SUM('食材明细'!H2630:H2635),0)</x:f>
        <x:v>572</x:v>
      </x:c>
      <x:c r="O440" t="n">
        <x:f>ROUND(SUM('食材明细'!J2630:J2635),1)</x:f>
        <x:v>53.5</x:v>
      </x:c>
      <x:c r="P440" t="n">
        <x:f>ROUND(SUM('食材明细'!L2630:L2635),1)</x:f>
        <x:v>54.7</x:v>
      </x:c>
      <x:c r="Q440" t="n">
        <x:f>ROUND(SUM('食材明细'!N2630:N2635),1)</x:f>
        <x:v>17</x:v>
      </x:c>
      <x:c r="R440" s="10" t="str">
        <x:v>调料尽量低盐，不加白砂糖；油重已计入热量。</x:v>
      </x:c>
    </x:row>
    <x:row r="441" ht="37" customHeight="1">
      <x:c r="A441" t="n">
        <x:v>440</x:v>
      </x:c>
      <x:c r="B441" t="n">
        <x:v>220</x:v>
      </x:c>
      <x:c r="C441" t="n">
        <x:v>32</x:v>
      </x:c>
      <x:c r="D441" t="str">
        <x:v>晚餐</x:v>
      </x:c>
      <x:c r="E441" t="str">
        <x:v>猪肉</x:v>
      </x:c>
      <x:c r="F441" s="10" t="str">
        <x:v>黑椒猪瘦肉配娃娃菜莴笋｜红薯</x:v>
      </x:c>
      <x:c r="G441" s="10" t="str">
        <x:v>猪瘦肉145g、娃娃菜190g、莴笋155g、红薯95g、烹调油4g</x:v>
      </x:c>
      <x:c r="H441" t="str">
        <x:v>红薯</x:v>
      </x:c>
      <x:c r="I441" s="10" t="str">
        <x:v>想减主食可减到原量2/3，另加100g绿叶菜</x:v>
      </x:c>
      <x:c r="J441" s="10" t="str">
        <x:v>黑胡椒、蒜末</x:v>
      </x:c>
      <x:c r="K441" t="str">
        <x:v>少油烩</x:v>
      </x:c>
      <x:c r="L441" s="10" t="str">
        <x:v>锅加少量水和油，先把主食材煮熟，再烩两种蔬菜，收汁撒黑椒；红薯另煮熟或蒸好后同餐食用。</x:v>
      </x:c>
      <x:c r="M441" t="n">
        <x:v>20</x:v>
      </x:c>
      <x:c r="N441" t="n">
        <x:f>ROUND(SUM('食材明细'!H2636:H2641),0)</x:f>
        <x:v>364</x:v>
      </x:c>
      <x:c r="O441" t="n">
        <x:f>ROUND(SUM('食材明细'!J2636:J2641),1)</x:f>
        <x:v>34.5</x:v>
      </x:c>
      <x:c r="P441" t="n">
        <x:f>ROUND(SUM('食材明细'!L2636:L2641),1)</x:f>
        <x:v>29.5</x:v>
      </x:c>
      <x:c r="Q441" t="n">
        <x:f>ROUND(SUM('食材明细'!N2636:N2641),1)</x:f>
        <x:v>12.6</x:v>
      </x:c>
      <x:c r="R441" s="10" t="str">
        <x:v>调料尽量低盐，不加白砂糖；油重已计入热量。</x:v>
      </x:c>
    </x:row>
    <x:row r="442" ht="37" customHeight="1">
      <x:c r="A442" t="n">
        <x:v>441</x:v>
      </x:c>
      <x:c r="B442" t="n">
        <x:v>221</x:v>
      </x:c>
      <x:c r="C442" t="n">
        <x:v>32</x:v>
      </x:c>
      <x:c r="D442" t="str">
        <x:v>午餐</x:v>
      </x:c>
      <x:c r="E442" t="str">
        <x:v>猪肉</x:v>
      </x:c>
      <x:c r="F442" s="10" t="str">
        <x:v>番茄猪瘦肉配绿豆芽｜荞麦饭</x:v>
      </x:c>
      <x:c r="G442" s="10" t="str">
        <x:v>猪瘦肉155g、番茄190g、绿豆芽155g、荞麦饭150g、烹调油4g</x:v>
      </x:c>
      <x:c r="H442" t="str">
        <x:v>荞麦饭</x:v>
      </x:c>
      <x:c r="I442" s="10" t="str">
        <x:v>低主食需求可将主食减1/3，另加100g非淀粉蔬菜（营养值需重算）</x:v>
      </x:c>
      <x:c r="J442" s="10" t="str">
        <x:v>番茄丁、黑胡椒</x:v>
      </x:c>
      <x:c r="K442" t="str">
        <x:v>炖煮</x:v>
      </x:c>
      <x:c r="L442" s="10" t="str">
        <x:v>番茄出汁后加入主食材和少量水，轻炖至熟，再放配菜；荞麦饭另煮熟或蒸好后同餐食用。</x:v>
      </x:c>
      <x:c r="M442" t="n">
        <x:v>30</x:v>
      </x:c>
      <x:c r="N442" t="n">
        <x:f>ROUND(SUM('食材明细'!H2642:H2647),0)</x:f>
        <x:v>489</x:v>
      </x:c>
      <x:c r="O442" t="n">
        <x:f>ROUND(SUM('食材明细'!J2642:J2647),1)</x:f>
        <x:v>42.5</x:v>
      </x:c>
      <x:c r="P442" t="n">
        <x:f>ROUND(SUM('食材明细'!L2642:L2647),1)</x:f>
        <x:v>49.9</x:v>
      </x:c>
      <x:c r="Q442" t="n">
        <x:f>ROUND(SUM('食材明细'!N2642:N2647),1)</x:f>
        <x:v>14.9</x:v>
      </x:c>
      <x:c r="R442" s="10" t="str">
        <x:v>调料尽量低盐，不加白砂糖；油重已计入热量。</x:v>
      </x:c>
    </x:row>
    <x:row r="443" ht="37" customHeight="1">
      <x:c r="A443" t="n">
        <x:v>442</x:v>
      </x:c>
      <x:c r="B443" t="n">
        <x:v>221</x:v>
      </x:c>
      <x:c r="C443" t="n">
        <x:v>32</x:v>
      </x:c>
      <x:c r="D443" t="str">
        <x:v>晚餐</x:v>
      </x:c>
      <x:c r="E443" t="str">
        <x:v>禽肉</x:v>
      </x:c>
      <x:c r="F443" s="10" t="str">
        <x:v>豉汁鸡胸肉配白萝卜泡发木耳｜燕麦饭</x:v>
      </x:c>
      <x:c r="G443" s="10" t="str">
        <x:v>鸡胸肉145g、白萝卜140g、泡发木耳140g、燕麦饭95g、烹调油6g</x:v>
      </x:c>
      <x:c r="H443" t="str">
        <x:v>燕麦饭</x:v>
      </x:c>
      <x:c r="I443" s="10" t="str">
        <x:v>低主食需求可将主食减1/3，另加100g非淀粉蔬菜（营养值需重算）</x:v>
      </x:c>
      <x:c r="J443" s="10" t="str">
        <x:v>少量豆豉、姜末</x:v>
      </x:c>
      <x:c r="K443" t="str">
        <x:v>蒸</x:v>
      </x:c>
      <x:c r="L443" s="10" t="str">
        <x:v>豆豉冲洗剁碎，与姜末拌主食材后蒸熟；蔬菜另煮；燕麦饭另煮熟或蒸好后同餐食用。</x:v>
      </x:c>
      <x:c r="M443" t="n">
        <x:v>25</x:v>
      </x:c>
      <x:c r="N443" t="n">
        <x:f>ROUND(SUM('食材明细'!H2648:H2653),0)</x:f>
        <x:v>378</x:v>
      </x:c>
      <x:c r="O443" t="n">
        <x:f>ROUND(SUM('食材明细'!J2648:J2653),1)</x:f>
        <x:v>39.3</x:v>
      </x:c>
      <x:c r="P443" t="n">
        <x:f>ROUND(SUM('食材明细'!L2648:L2653),1)</x:f>
        <x:v>34</x:v>
      </x:c>
      <x:c r="Q443" t="n">
        <x:f>ROUND(SUM('食材明细'!N2648:N2653),1)</x:f>
        <x:v>10.9</x:v>
      </x:c>
      <x:c r="R443" s="10" t="str">
        <x:v>调料尽量低盐，不加白砂糖；油重已计入热量。</x:v>
      </x:c>
    </x:row>
    <x:row r="444" ht="37" customHeight="1">
      <x:c r="A444" t="n">
        <x:v>443</x:v>
      </x:c>
      <x:c r="B444" t="n">
        <x:v>222</x:v>
      </x:c>
      <x:c r="C444" t="n">
        <x:v>32</x:v>
      </x:c>
      <x:c r="D444" t="str">
        <x:v>午餐</x:v>
      </x:c>
      <x:c r="E444" t="str">
        <x:v>牛肉</x:v>
      </x:c>
      <x:c r="F444" s="10" t="str">
        <x:v>香醋牛腱子配彩椒黄瓜｜荞麦面</x:v>
      </x:c>
      <x:c r="G444" s="10" t="str">
        <x:v>牛腱子165g、彩椒175g、黄瓜125g、荞麦面110g、烹调油4g</x:v>
      </x:c>
      <x:c r="H444" t="str">
        <x:v>荞麦面</x:v>
      </x:c>
      <x:c r="I444" s="10" t="str">
        <x:v>低主食需求可将主食减1/3，另加100g非淀粉蔬菜（营养值需重算）</x:v>
      </x:c>
      <x:c r="J444" s="10" t="str">
        <x:v>香醋、蒜末、少量生抽</x:v>
      </x:c>
      <x:c r="K444" t="str">
        <x:v>水煮</x:v>
      </x:c>
      <x:c r="L444" s="10" t="str">
        <x:v>食材分别煮至熟，淋香醋蒜汁，拌匀即食；面/魔芋丝煮熟后与菜合碗。</x:v>
      </x:c>
      <x:c r="M444" t="n">
        <x:v>30</x:v>
      </x:c>
      <x:c r="N444" t="n">
        <x:f>ROUND(SUM('食材明细'!H2654:H2659),0)</x:f>
        <x:v>450</x:v>
      </x:c>
      <x:c r="O444" t="n">
        <x:f>ROUND(SUM('食材明细'!J2654:J2659),1)</x:f>
        <x:v>41.7</x:v>
      </x:c>
      <x:c r="P444" t="n">
        <x:f>ROUND(SUM('食材明细'!L2654:L2659),1)</x:f>
        <x:v>38.3</x:v>
      </x:c>
      <x:c r="Q444" t="n">
        <x:f>ROUND(SUM('食材明细'!N2654:N2659),1)</x:f>
        <x:v>15.2</x:v>
      </x:c>
      <x:c r="R444" s="10" t="str">
        <x:v>调料尽量低盐，不加白砂糖；油重已计入热量。</x:v>
      </x:c>
    </x:row>
    <x:row r="445" ht="37" customHeight="1">
      <x:c r="A445" t="n">
        <x:v>444</x:v>
      </x:c>
      <x:c r="B445" t="n">
        <x:v>222</x:v>
      </x:c>
      <x:c r="C445" t="n">
        <x:v>32</x:v>
      </x:c>
      <x:c r="D445" t="str">
        <x:v>晚餐</x:v>
      </x:c>
      <x:c r="E445" t="str">
        <x:v>禽肉</x:v>
      </x:c>
      <x:c r="F445" s="10" t="str">
        <x:v>清汤鸡胸肉配小白菜黄瓜｜藜麦饭</x:v>
      </x:c>
      <x:c r="G445" s="10" t="str">
        <x:v>鸡胸肉170g、小白菜140g、黄瓜140g、藜麦饭135g、烹调油5g</x:v>
      </x:c>
      <x:c r="H445" t="str">
        <x:v>藜麦饭</x:v>
      </x:c>
      <x:c r="I445" s="10" t="str">
        <x:v>低主食需求可将主食减1/3，另加100g非淀粉蔬菜（营养值需重算）</x:v>
      </x:c>
      <x:c r="J445" s="10" t="str">
        <x:v>葱段、盐少量</x:v>
      </x:c>
      <x:c r="K445" t="str">
        <x:v>煮</x:v>
      </x:c>
      <x:c r="L445" s="10" t="str">
        <x:v>清水煮开，按熟化时间下食材，最后放叶菜，清淡调味；藜麦饭另煮熟或蒸好后同餐食用。</x:v>
      </x:c>
      <x:c r="M445" t="n">
        <x:v>30</x:v>
      </x:c>
      <x:c r="N445" t="n">
        <x:f>ROUND(SUM('食材明细'!H2660:H2665),0)</x:f>
        <x:v>440</x:v>
      </x:c>
      <x:c r="O445" t="n">
        <x:f>ROUND(SUM('食材明细'!J2660:J2665),1)</x:f>
        <x:v>48.3</x:v>
      </x:c>
      <x:c r="P445" t="n">
        <x:f>ROUND(SUM('食材明细'!L2660:L2665),1)</x:f>
        <x:v>37.7</x:v>
      </x:c>
      <x:c r="Q445" t="n">
        <x:f>ROUND(SUM('食材明细'!N2660:N2665),1)</x:f>
        <x:v>11.4</x:v>
      </x:c>
      <x:c r="R445" s="10" t="str">
        <x:v>调料尽量低盐，不加白砂糖；油重已计入热量。</x:v>
      </x:c>
    </x:row>
    <x:row r="446" ht="37" customHeight="1">
      <x:c r="A446" t="n">
        <x:v>445</x:v>
      </x:c>
      <x:c r="B446" t="n">
        <x:v>223</x:v>
      </x:c>
      <x:c r="C446" t="n">
        <x:v>32</x:v>
      </x:c>
      <x:c r="D446" t="str">
        <x:v>午餐</x:v>
      </x:c>
      <x:c r="E446" t="str">
        <x:v>禽肉</x:v>
      </x:c>
      <x:c r="F446" s="10" t="str">
        <x:v>菌菇鸡胸肉配菜心香菇｜藜麦饭</x:v>
      </x:c>
      <x:c r="G446" s="10" t="str">
        <x:v>鸡胸肉175g、北豆腐110g、菜心190g、香菇140g、藜麦饭150g、烹调油6g</x:v>
      </x:c>
      <x:c r="H446" t="str">
        <x:v>藜麦饭</x:v>
      </x:c>
      <x:c r="I446" s="10" t="str">
        <x:v>低主食需求可将主食减1/3，另加100g非淀粉蔬菜（营养值需重算）</x:v>
      </x:c>
      <x:c r="J446" s="10" t="str">
        <x:v>姜片、香菇汁</x:v>
      </x:c>
      <x:c r="K446" t="str">
        <x:v>焖煮</x:v>
      </x:c>
      <x:c r="L446" s="10" t="str">
        <x:v>食材与菌菇加少量水焖熟，出锅前加少量低盐生抽；藜麦饭另煮熟或蒸好后同餐食用。</x:v>
      </x:c>
      <x:c r="M446" t="n">
        <x:v>25</x:v>
      </x:c>
      <x:c r="N446" t="n">
        <x:f>ROUND(SUM('食材明细'!H2666:H2671),0)</x:f>
        <x:v>611</x:v>
      </x:c>
      <x:c r="O446" t="n">
        <x:f>ROUND(SUM('食材明细'!J2666:J2671),1)</x:f>
        <x:v>64.7</x:v>
      </x:c>
      <x:c r="P446" t="n">
        <x:f>ROUND(SUM('食材明细'!L2666:L2671),1)</x:f>
        <x:v>50.3</x:v>
      </x:c>
      <x:c r="Q446" t="n">
        <x:f>ROUND(SUM('食材明细'!N2666:N2671),1)</x:f>
        <x:v>19.1</x:v>
      </x:c>
      <x:c r="R446" s="10" t="str">
        <x:v>调料尽量低盐，不加白砂糖；油重已计入热量。</x:v>
      </x:c>
    </x:row>
    <x:row r="447" ht="37" customHeight="1">
      <x:c r="A447" t="n">
        <x:v>446</x:v>
      </x:c>
      <x:c r="B447" t="n">
        <x:v>223</x:v>
      </x:c>
      <x:c r="C447" t="n">
        <x:v>32</x:v>
      </x:c>
      <x:c r="D447" t="str">
        <x:v>晚餐</x:v>
      </x:c>
      <x:c r="E447" t="str">
        <x:v>海鲜</x:v>
      </x:c>
      <x:c r="F447" s="10" t="str">
        <x:v>葱姜清蒸花蛤肉配冬瓜白萝卜｜荞麦饭</x:v>
      </x:c>
      <x:c r="G447" s="10" t="str">
        <x:v>花蛤肉190g、冬瓜190g、白萝卜110g、荞麦饭125g、烹调油6g</x:v>
      </x:c>
      <x:c r="H447" t="str">
        <x:v>荞麦饭</x:v>
      </x:c>
      <x:c r="I447" s="10" t="str">
        <x:v>低主食需求可将主食减1/3，另加100g非淀粉蔬菜（营养值需重算）</x:v>
      </x:c>
      <x:c r="J447" s="10" t="str">
        <x:v>葱姜、少量低盐生抽</x:v>
      </x:c>
      <x:c r="K447" t="str">
        <x:v>蒸</x:v>
      </x:c>
      <x:c r="L447" s="10" t="str">
        <x:v>切片腌5分钟；肉和配菜入盘，蒸至熟透；淋葱姜汁；荞麦饭另煮熟或蒸好后同餐食用。</x:v>
      </x:c>
      <x:c r="M447" t="n">
        <x:v>20</x:v>
      </x:c>
      <x:c r="N447" t="n">
        <x:f>ROUND(SUM('食材明细'!H2672:H2677),0)</x:f>
        <x:v>379</x:v>
      </x:c>
      <x:c r="O447" t="n">
        <x:f>ROUND(SUM('食材明细'!J2672:J2677),1)</x:f>
        <x:v>30.4</x:v>
      </x:c>
      <x:c r="P447" t="n">
        <x:f>ROUND(SUM('食材明细'!L2672:L2677),1)</x:f>
        <x:v>44.3</x:v>
      </x:c>
      <x:c r="Q447" t="n">
        <x:f>ROUND(SUM('食材明细'!N2672:N2677),1)</x:f>
        <x:v>9.8</x:v>
      </x:c>
      <x:c r="R447" s="10" t="str">
        <x:v>调料尽量低盐，不加白砂糖；油重已计入热量。</x:v>
      </x:c>
    </x:row>
    <x:row r="448" ht="37" customHeight="1">
      <x:c r="A448" t="n">
        <x:v>447</x:v>
      </x:c>
      <x:c r="B448" t="n">
        <x:v>224</x:v>
      </x:c>
      <x:c r="C448" t="n">
        <x:v>32</x:v>
      </x:c>
      <x:c r="D448" t="str">
        <x:v>午餐</x:v>
      </x:c>
      <x:c r="E448" t="str">
        <x:v>鱼类</x:v>
      </x:c>
      <x:c r="F448" s="10" t="str">
        <x:v>清汤鲈鱼配芦笋番茄｜糙米饭</x:v>
      </x:c>
      <x:c r="G448" s="10" t="str">
        <x:v>鲈鱼200g、北豆腐90g、芦笋175g、番茄140g、糙米饭125g、烹调油3g</x:v>
      </x:c>
      <x:c r="H448" t="str">
        <x:v>糙米饭</x:v>
      </x:c>
      <x:c r="I448" s="10" t="str">
        <x:v>低主食需求可将主食减1/3，另加100g非淀粉蔬菜（营养值需重算）</x:v>
      </x:c>
      <x:c r="J448" s="10" t="str">
        <x:v>葱段、盐少量</x:v>
      </x:c>
      <x:c r="K448" t="str">
        <x:v>煮</x:v>
      </x:c>
      <x:c r="L448" s="10" t="str">
        <x:v>鱼肉去刺，彻底做熟；清水煮开，按熟化时间下食材，最后放叶菜，清淡调味；糙米饭另煮熟或蒸好后同餐食用。</x:v>
      </x:c>
      <x:c r="M448" t="n">
        <x:v>25</x:v>
      </x:c>
      <x:c r="N448" t="n">
        <x:f>ROUND(SUM('食材明细'!H2678:H2683),0)</x:f>
        <x:v>521</x:v>
      </x:c>
      <x:c r="O448" t="n">
        <x:f>ROUND(SUM('食材明细'!J2678:J2683),1)</x:f>
        <x:v>55.4</x:v>
      </x:c>
      <x:c r="P448" t="n">
        <x:f>ROUND(SUM('食材明细'!L2678:L2683),1)</x:f>
        <x:v>43.6</x:v>
      </x:c>
      <x:c r="Q448" t="n">
        <x:f>ROUND(SUM('食材明细'!N2678:N2683),1)</x:f>
        <x:v>15.1</x:v>
      </x:c>
      <x:c r="R448" s="10" t="str">
        <x:v>调料尽量低盐，不加白砂糖；油重已计入热量。</x:v>
      </x:c>
    </x:row>
    <x:row r="449" ht="37" customHeight="1">
      <x:c r="A449" t="n">
        <x:v>448</x:v>
      </x:c>
      <x:c r="B449" t="n">
        <x:v>224</x:v>
      </x:c>
      <x:c r="C449" t="n">
        <x:v>32</x:v>
      </x:c>
      <x:c r="D449" t="str">
        <x:v>晚餐</x:v>
      </x:c>
      <x:c r="E449" t="str">
        <x:v>鱼类</x:v>
      </x:c>
      <x:c r="F449" s="10" t="str">
        <x:v>豉汁巴沙鱼配生菜口蘑｜白米饭</x:v>
      </x:c>
      <x:c r="G449" s="10" t="str">
        <x:v>巴沙鱼185g、生菜140g、口蘑110g、白米饭135g、烹调油5g</x:v>
      </x:c>
      <x:c r="H449" t="str">
        <x:v>白米饭</x:v>
      </x:c>
      <x:c r="I449" s="10" t="str">
        <x:v>低主食需求可将主食减1/3，另加100g非淀粉蔬菜（营养值需重算）</x:v>
      </x:c>
      <x:c r="J449" s="10" t="str">
        <x:v>少量豆豉、姜末</x:v>
      </x:c>
      <x:c r="K449" t="str">
        <x:v>蒸</x:v>
      </x:c>
      <x:c r="L449" s="10" t="str">
        <x:v>鱼肉去刺，彻底做熟；豆豉冲洗剁碎，与姜末拌主食材后蒸熟；蔬菜另煮；白米饭另煮熟或蒸好后同餐食用。</x:v>
      </x:c>
      <x:c r="M449" t="n">
        <x:v>30</x:v>
      </x:c>
      <x:c r="N449" t="n">
        <x:f>ROUND(SUM('食材明细'!H2684:H2689),0)</x:f>
        <x:v>415</x:v>
      </x:c>
      <x:c r="O449" t="n">
        <x:f>ROUND(SUM('食材明细'!J2684:J2689),1)</x:f>
        <x:v>40.3</x:v>
      </x:c>
      <x:c r="P449" t="n">
        <x:f>ROUND(SUM('食材明细'!L2684:L2689),1)</x:f>
        <x:v>42.3</x:v>
      </x:c>
      <x:c r="Q449" t="n">
        <x:f>ROUND(SUM('食材明细'!N2684:N2689),1)</x:f>
        <x:v>10.1</x:v>
      </x:c>
      <x:c r="R449" s="10" t="str">
        <x:v>调料尽量低盐，不加白砂糖；油重已计入热量。</x:v>
      </x:c>
    </x:row>
    <x:row r="450" ht="37" customHeight="1">
      <x:c r="A450" t="n">
        <x:v>449</x:v>
      </x:c>
      <x:c r="B450" t="n">
        <x:v>225</x:v>
      </x:c>
      <x:c r="C450" t="n">
        <x:v>33</x:v>
      </x:c>
      <x:c r="D450" t="str">
        <x:v>午餐</x:v>
      </x:c>
      <x:c r="E450" t="str">
        <x:v>牛肉</x:v>
      </x:c>
      <x:c r="F450" s="10" t="str">
        <x:v>剁椒瘦牛肉配西兰花小白菜｜藜麦饭</x:v>
      </x:c>
      <x:c r="G450" s="10" t="str">
        <x:v>瘦牛肉165g、西兰花190g、小白菜140g、藜麦饭110g、烹调油5g</x:v>
      </x:c>
      <x:c r="H450" t="str">
        <x:v>藜麦饭</x:v>
      </x:c>
      <x:c r="I450" s="10" t="str">
        <x:v>低主食需求可将主食减1/3，另加100g非淀粉蔬菜（营养值需重算）</x:v>
      </x:c>
      <x:c r="J450" s="10" t="str">
        <x:v>自制低盐剁椒、蒜</x:v>
      </x:c>
      <x:c r="K450" t="str">
        <x:v>蒸</x:v>
      </x:c>
      <x:c r="L450" s="10" t="str">
        <x:v>主食材铺少量低盐剁椒蒸熟，配菜焯熟后摆盘；藜麦饭另煮熟或蒸好后同餐食用。</x:v>
      </x:c>
      <x:c r="M450" t="n">
        <x:v>15</x:v>
      </x:c>
      <x:c r="N450" t="n">
        <x:f>ROUND(SUM('食材明细'!H2690:H2695),0)</x:f>
        <x:v>472</x:v>
      </x:c>
      <x:c r="O450" t="n">
        <x:f>ROUND(SUM('食材明细'!J2690:J2695),1)</x:f>
        <x:v>47.1</x:v>
      </x:c>
      <x:c r="P450" t="n">
        <x:f>ROUND(SUM('食材明细'!L2690:L2695),1)</x:f>
        <x:v>40.7</x:v>
      </x:c>
      <x:c r="Q450" t="n">
        <x:f>ROUND(SUM('食材明细'!N2690:N2695),1)</x:f>
        <x:v>14.7</x:v>
      </x:c>
      <x:c r="R450" s="10" t="str">
        <x:v>调料尽量低盐，不加白砂糖；油重已计入热量。</x:v>
      </x:c>
    </x:row>
    <x:row r="451" ht="37" customHeight="1">
      <x:c r="A451" t="n">
        <x:v>450</x:v>
      </x:c>
      <x:c r="B451" t="n">
        <x:v>225</x:v>
      </x:c>
      <x:c r="C451" t="n">
        <x:v>33</x:v>
      </x:c>
      <x:c r="D451" t="str">
        <x:v>晚餐</x:v>
      </x:c>
      <x:c r="E451" t="str">
        <x:v>猪肉</x:v>
      </x:c>
      <x:c r="F451" s="10" t="str">
        <x:v>花椒猪瘦肉配苦瓜金针菇｜糙米饭</x:v>
      </x:c>
      <x:c r="G451" s="10" t="str">
        <x:v>猪瘦肉160g、苦瓜160g、金针菇140g、糙米饭125g、烹调油6g</x:v>
      </x:c>
      <x:c r="H451" t="str">
        <x:v>糙米饭</x:v>
      </x:c>
      <x:c r="I451" s="10" t="str">
        <x:v>低主食需求可将主食减1/3，另加100g非淀粉蔬菜（营养值需重算）</x:v>
      </x:c>
      <x:c r="J451" s="10" t="str">
        <x:v>花椒粉、姜丝</x:v>
      </x:c>
      <x:c r="K451" t="str">
        <x:v>蒸</x:v>
      </x:c>
      <x:c r="L451" s="10" t="str">
        <x:v>薄薄撒花椒和姜丝，蒸至熟透，搭配焯青菜；糙米饭另煮熟或蒸好后同餐食用。</x:v>
      </x:c>
      <x:c r="M451" t="n">
        <x:v>20</x:v>
      </x:c>
      <x:c r="N451" t="n">
        <x:f>ROUND(SUM('食材明细'!H2696:H2701),0)</x:f>
        <x:v>477</x:v>
      </x:c>
      <x:c r="O451" t="n">
        <x:f>ROUND(SUM('食材明细'!J2696:J2701),1)</x:f>
        <x:v>40.2</x:v>
      </x:c>
      <x:c r="P451" t="n">
        <x:f>ROUND(SUM('食材明细'!L2696:L2701),1)</x:f>
        <x:v>44.9</x:v>
      </x:c>
      <x:c r="Q451" t="n">
        <x:f>ROUND(SUM('食材明细'!N2696:N2701),1)</x:f>
        <x:v>16.5</x:v>
      </x:c>
      <x:c r="R451" s="10" t="str">
        <x:v>调料尽量低盐，不加白砂糖；油重已计入热量。</x:v>
      </x:c>
    </x:row>
    <x:row r="452" ht="37" customHeight="1">
      <x:c r="A452" t="n">
        <x:v>451</x:v>
      </x:c>
      <x:c r="B452" t="n">
        <x:v>226</x:v>
      </x:c>
      <x:c r="C452" t="n">
        <x:v>33</x:v>
      </x:c>
      <x:c r="D452" t="str">
        <x:v>午餐</x:v>
      </x:c>
      <x:c r="E452" t="str">
        <x:v>禽肉</x:v>
      </x:c>
      <x:c r="F452" s="10" t="str">
        <x:v>菌菇鸡胸肉配西葫芦香菇｜荞麦饭</x:v>
      </x:c>
      <x:c r="G452" s="10" t="str">
        <x:v>鸡胸肉175g、西葫芦190g、香菇155g、荞麦饭165g、烹调油5g</x:v>
      </x:c>
      <x:c r="H452" t="str">
        <x:v>荞麦饭</x:v>
      </x:c>
      <x:c r="I452" s="10" t="str">
        <x:v>低主食需求可将主食减1/3，另加100g非淀粉蔬菜（营养值需重算）</x:v>
      </x:c>
      <x:c r="J452" s="10" t="str">
        <x:v>姜片、香菇汁</x:v>
      </x:c>
      <x:c r="K452" t="str">
        <x:v>焖煮</x:v>
      </x:c>
      <x:c r="L452" s="10" t="str">
        <x:v>食材与菌菇加少量水焖熟，出锅前加少量低盐生抽；荞麦饭另煮熟或蒸好后同餐食用。</x:v>
      </x:c>
      <x:c r="M452" t="n">
        <x:v>20</x:v>
      </x:c>
      <x:c r="N452" t="n">
        <x:f>ROUND(SUM('食材明细'!H2702:H2707),0)</x:f>
        <x:v>504</x:v>
      </x:c>
      <x:c r="O452" t="n">
        <x:f>ROUND(SUM('食材明细'!J2702:J2707),1)</x:f>
        <x:v>51.6</x:v>
      </x:c>
      <x:c r="P452" t="n">
        <x:f>ROUND(SUM('食材明细'!L2702:L2707),1)</x:f>
        <x:v>52.7</x:v>
      </x:c>
      <x:c r="Q452" t="n">
        <x:f>ROUND(SUM('食材明细'!N2702:N2707),1)</x:f>
        <x:v>11.7</x:v>
      </x:c>
      <x:c r="R452" s="10" t="str">
        <x:v>调料尽量低盐，不加白砂糖；油重已计入热量。</x:v>
      </x:c>
    </x:row>
    <x:row r="453" ht="37" customHeight="1">
      <x:c r="A453" t="n">
        <x:v>452</x:v>
      </x:c>
      <x:c r="B453" t="n">
        <x:v>226</x:v>
      </x:c>
      <x:c r="C453" t="n">
        <x:v>33</x:v>
      </x:c>
      <x:c r="D453" t="str">
        <x:v>晚餐</x:v>
      </x:c>
      <x:c r="E453" t="str">
        <x:v>豆蛋</x:v>
      </x:c>
      <x:c r="F453" s="10" t="str">
        <x:v>香醋北豆腐配番茄小白菜｜燕麦饭</x:v>
      </x:c>
      <x:c r="G453" s="10" t="str">
        <x:v>北豆腐260g、番茄160g、小白菜125g、燕麦饭135g、烹调油5g</x:v>
      </x:c>
      <x:c r="H453" t="str">
        <x:v>燕麦饭</x:v>
      </x:c>
      <x:c r="I453" s="10" t="str">
        <x:v>低主食需求可将主食减1/3，另加100g非淀粉蔬菜（营养值需重算）</x:v>
      </x:c>
      <x:c r="J453" s="10" t="str">
        <x:v>香醋、蒜末、少量生抽</x:v>
      </x:c>
      <x:c r="K453" t="str">
        <x:v>水煮</x:v>
      </x:c>
      <x:c r="L453" s="10" t="str">
        <x:v>食材分别煮至熟，淋香醋蒜汁，拌匀即食；燕麦饭另煮熟或蒸好后同餐食用。</x:v>
      </x:c>
      <x:c r="M453" t="n">
        <x:v>25</x:v>
      </x:c>
      <x:c r="N453" t="n">
        <x:f>ROUND(SUM('食材明细'!H2708:H2713),0)</x:f>
        <x:v>481</x:v>
      </x:c>
      <x:c r="O453" t="n">
        <x:f>ROUND(SUM('食材明细'!J2708:J2713),1)</x:f>
        <x:v>33.8</x:v>
      </x:c>
      <x:c r="P453" t="n">
        <x:f>ROUND(SUM('食材明细'!L2708:L2713),1)</x:f>
        <x:v>43.5</x:v>
      </x:c>
      <x:c r="Q453" t="n">
        <x:f>ROUND(SUM('食材明细'!N2708:N2713),1)</x:f>
        <x:v>21</x:v>
      </x:c>
      <x:c r="R453" s="10" t="str">
        <x:v>调料尽量低盐，不加白砂糖；油重已计入热量。</x:v>
      </x:c>
    </x:row>
    <x:row r="454" ht="37" customHeight="1">
      <x:c r="A454" t="n">
        <x:v>453</x:v>
      </x:c>
      <x:c r="B454" t="n">
        <x:v>227</x:v>
      </x:c>
      <x:c r="C454" t="n">
        <x:v>33</x:v>
      </x:c>
      <x:c r="D454" t="str">
        <x:v>午餐</x:v>
      </x:c>
      <x:c r="E454" t="str">
        <x:v>牛肉</x:v>
      </x:c>
      <x:c r="F454" s="10" t="str">
        <x:v>黑椒牛腱子配小白菜荷兰豆｜杂粮饭</x:v>
      </x:c>
      <x:c r="G454" s="10" t="str">
        <x:v>牛腱子165g、小白菜140g、荷兰豆125g、杂粮饭150g、烹调油3g</x:v>
      </x:c>
      <x:c r="H454" t="str">
        <x:v>杂粮饭</x:v>
      </x:c>
      <x:c r="I454" s="10" t="str">
        <x:v>低主食需求可将主食减1/3，另加100g非淀粉蔬菜（营养值需重算）</x:v>
      </x:c>
      <x:c r="J454" s="10" t="str">
        <x:v>黑胡椒、蒜末</x:v>
      </x:c>
      <x:c r="K454" t="str">
        <x:v>少油烩</x:v>
      </x:c>
      <x:c r="L454" s="10" t="str">
        <x:v>锅加少量水和油，先把主食材煮熟，再烩两种蔬菜，收汁撒黑椒；杂粮饭另煮熟或蒸好后同餐食用。</x:v>
      </x:c>
      <x:c r="M454" t="n">
        <x:v>15</x:v>
      </x:c>
      <x:c r="N454" t="n">
        <x:f>ROUND(SUM('食材明细'!H2714:H2719),0)</x:f>
        <x:v>507</x:v>
      </x:c>
      <x:c r="O454" t="n">
        <x:f>ROUND(SUM('食材明细'!J2714:J2719),1)</x:f>
        <x:v>45</x:v>
      </x:c>
      <x:c r="P454" t="n">
        <x:f>ROUND(SUM('食材明细'!L2714:L2719),1)</x:f>
        <x:v>48.6</x:v>
      </x:c>
      <x:c r="Q454" t="n">
        <x:f>ROUND(SUM('食材明细'!N2714:N2719),1)</x:f>
        <x:v>15.2</x:v>
      </x:c>
      <x:c r="R454" s="10" t="str">
        <x:v>调料尽量低盐，不加白砂糖；油重已计入热量。</x:v>
      </x:c>
    </x:row>
    <x:row r="455" ht="37" customHeight="1">
      <x:c r="A455" t="n">
        <x:v>454</x:v>
      </x:c>
      <x:c r="B455" t="n">
        <x:v>227</x:v>
      </x:c>
      <x:c r="C455" t="n">
        <x:v>33</x:v>
      </x:c>
      <x:c r="D455" t="str">
        <x:v>晚餐</x:v>
      </x:c>
      <x:c r="E455" t="str">
        <x:v>海鲜</x:v>
      </x:c>
      <x:c r="F455" s="10" t="str">
        <x:v>清汤虾仁配小白菜金针菇｜红薯</x:v>
      </x:c>
      <x:c r="G455" s="10" t="str">
        <x:v>虾仁190g、小白菜140g、金针菇155g、红薯95g、烹调油5g</x:v>
      </x:c>
      <x:c r="H455" t="str">
        <x:v>红薯</x:v>
      </x:c>
      <x:c r="I455" s="10" t="str">
        <x:v>想减主食可减到原量2/3，另加100g绿叶菜</x:v>
      </x:c>
      <x:c r="J455" s="10" t="str">
        <x:v>葱段、盐少量</x:v>
      </x:c>
      <x:c r="K455" t="str">
        <x:v>煮</x:v>
      </x:c>
      <x:c r="L455" s="10" t="str">
        <x:v>清水煮开，按熟化时间下食材，最后放叶菜，清淡调味；红薯另煮熟或蒸好后同餐食用。</x:v>
      </x:c>
      <x:c r="M455" t="n">
        <x:v>20</x:v>
      </x:c>
      <x:c r="N455" t="n">
        <x:f>ROUND(SUM('食材明细'!H2720:H2725),0)</x:f>
        <x:v>373</x:v>
      </x:c>
      <x:c r="O455" t="n">
        <x:f>ROUND(SUM('食材明细'!J2720:J2725),1)</x:f>
        <x:v>43.6</x:v>
      </x:c>
      <x:c r="P455" t="n">
        <x:f>ROUND(SUM('食材明细'!L2720:L2725),1)</x:f>
        <x:v>34.1</x:v>
      </x:c>
      <x:c r="Q455" t="n">
        <x:f>ROUND(SUM('食材明细'!N2720:N2725),1)</x:f>
        <x:v>7.8</x:v>
      </x:c>
      <x:c r="R455" s="10" t="str">
        <x:v>调料尽量低盐，不加白砂糖；油重已计入热量。</x:v>
      </x:c>
    </x:row>
    <x:row r="456" ht="37" customHeight="1">
      <x:c r="A456" t="n">
        <x:v>455</x:v>
      </x:c>
      <x:c r="B456" t="n">
        <x:v>228</x:v>
      </x:c>
      <x:c r="C456" t="n">
        <x:v>33</x:v>
      </x:c>
      <x:c r="D456" t="str">
        <x:v>午餐</x:v>
      </x:c>
      <x:c r="E456" t="str">
        <x:v>禽肉</x:v>
      </x:c>
      <x:c r="F456" s="10" t="str">
        <x:v>奥尔良风味去皮鸡腿肉配西葫芦香菇｜杂粮饭</x:v>
      </x:c>
      <x:c r="G456" s="10" t="str">
        <x:v>去皮鸡腿肉155g、西葫芦175g、香菇140g、杂粮饭165g、烹调油5g</x:v>
      </x:c>
      <x:c r="H456" t="str">
        <x:v>杂粮饭</x:v>
      </x:c>
      <x:c r="I456" s="10" t="str">
        <x:v>低主食需求可将主食减1/3，另加100g非淀粉蔬菜（营养值需重算）</x:v>
      </x:c>
      <x:c r="J456" s="10" t="str">
        <x:v>无糖辣椒粉、蒜粉、洋葱粉</x:v>
      </x:c>
      <x:c r="K456" t="str">
        <x:v>蒸/焖</x:v>
      </x:c>
      <x:c r="L456" s="10" t="str">
        <x:v>先去皮去骨并切薄，充分加热；用无糖香辛料腌肉15分钟，蒸或少油焖熟，配菜煮熟；杂粮饭另煮熟或蒸好后同餐食用。</x:v>
      </x:c>
      <x:c r="M456" t="n">
        <x:v>15</x:v>
      </x:c>
      <x:c r="N456" t="n">
        <x:f>ROUND(SUM('食材明细'!H2726:H2731),0)</x:f>
        <x:v>506</x:v>
      </x:c>
      <x:c r="O456" t="n">
        <x:f>ROUND(SUM('食材明细'!J2726:J2731),1)</x:f>
        <x:v>41.3</x:v>
      </x:c>
      <x:c r="P456" t="n">
        <x:f>ROUND(SUM('食材明细'!L2726:L2731),1)</x:f>
        <x:v>53.7</x:v>
      </x:c>
      <x:c r="Q456" t="n">
        <x:f>ROUND(SUM('食材明细'!N2726:N2731),1)</x:f>
        <x:v>15.8</x:v>
      </x:c>
      <x:c r="R456" s="10" t="str">
        <x:v>调料尽量低盐，不加白砂糖；油重已计入热量。</x:v>
      </x:c>
    </x:row>
    <x:row r="457" ht="37" customHeight="1">
      <x:c r="A457" t="n">
        <x:v>456</x:v>
      </x:c>
      <x:c r="B457" t="n">
        <x:v>228</x:v>
      </x:c>
      <x:c r="C457" t="n">
        <x:v>33</x:v>
      </x:c>
      <x:c r="D457" t="str">
        <x:v>晚餐</x:v>
      </x:c>
      <x:c r="E457" t="str">
        <x:v>猪肉</x:v>
      </x:c>
      <x:c r="F457" s="10" t="str">
        <x:v>番茄猪瘦肉配杏鲍菇｜全麦面</x:v>
      </x:c>
      <x:c r="G457" s="10" t="str">
        <x:v>猪瘦肉160g、番茄175g、杏鲍菇125g、全麦面80g、烹调油5g</x:v>
      </x:c>
      <x:c r="H457" t="str">
        <x:v>全麦面</x:v>
      </x:c>
      <x:c r="I457" s="10" t="str">
        <x:v>低主食需求可将主食减1/3，另加100g非淀粉蔬菜（营养值需重算）</x:v>
      </x:c>
      <x:c r="J457" s="10" t="str">
        <x:v>番茄丁、黑胡椒</x:v>
      </x:c>
      <x:c r="K457" t="str">
        <x:v>炖煮</x:v>
      </x:c>
      <x:c r="L457" s="10" t="str">
        <x:v>番茄出汁后加入主食材和少量水，轻炖至熟，再放配菜；面/魔芋丝煮熟后与菜合碗。</x:v>
      </x:c>
      <x:c r="M457" t="n">
        <x:v>20</x:v>
      </x:c>
      <x:c r="N457" t="n">
        <x:f>ROUND(SUM('食材明细'!H2732:H2737),0)</x:f>
        <x:v>431</x:v>
      </x:c>
      <x:c r="O457" t="n">
        <x:f>ROUND(SUM('食材明细'!J2732:J2737),1)</x:f>
        <x:v>40.1</x:v>
      </x:c>
      <x:c r="P457" t="n">
        <x:f>ROUND(SUM('食材明细'!L2732:L2737),1)</x:f>
        <x:v>36.3</x:v>
      </x:c>
      <x:c r="Q457" t="n">
        <x:f>ROUND(SUM('食材明细'!N2732:N2737),1)</x:f>
        <x:v>15.4</x:v>
      </x:c>
      <x:c r="R457" s="10" t="str">
        <x:v>调料尽量低盐，不加白砂糖；油重已计入热量。</x:v>
      </x:c>
    </x:row>
    <x:row r="458" ht="37" customHeight="1">
      <x:c r="A458" t="n">
        <x:v>457</x:v>
      </x:c>
      <x:c r="B458" t="n">
        <x:v>229</x:v>
      </x:c>
      <x:c r="C458" t="n">
        <x:v>33</x:v>
      </x:c>
      <x:c r="D458" t="str">
        <x:v>午餐</x:v>
      </x:c>
      <x:c r="E458" t="str">
        <x:v>牛肉</x:v>
      </x:c>
      <x:c r="F458" s="10" t="str">
        <x:v>黑椒瘦牛肉配西兰花洋葱｜燕麦饭</x:v>
      </x:c>
      <x:c r="G458" s="10" t="str">
        <x:v>瘦牛肉155g、西兰花160g、洋葱155g、燕麦饭165g、烹调油5g</x:v>
      </x:c>
      <x:c r="H458" t="str">
        <x:v>燕麦饭</x:v>
      </x:c>
      <x:c r="I458" s="10" t="str">
        <x:v>低主食需求可将主食减1/3，另加100g非淀粉蔬菜（营养值需重算）</x:v>
      </x:c>
      <x:c r="J458" s="10" t="str">
        <x:v>黑胡椒、蒜末</x:v>
      </x:c>
      <x:c r="K458" t="str">
        <x:v>少油烩</x:v>
      </x:c>
      <x:c r="L458" s="10" t="str">
        <x:v>锅加少量水和油，先把主食材煮熟，再烩两种蔬菜，收汁撒黑椒；燕麦饭另煮熟或蒸好后同餐食用。</x:v>
      </x:c>
      <x:c r="M458" t="n">
        <x:v>15</x:v>
      </x:c>
      <x:c r="N458" t="n">
        <x:f>ROUND(SUM('食材明细'!H2738:H2743),0)</x:f>
        <x:v>537</x:v>
      </x:c>
      <x:c r="O458" t="n">
        <x:f>ROUND(SUM('食材明细'!J2738:J2743),1)</x:f>
        <x:v>44</x:v>
      </x:c>
      <x:c r="P458" t="n">
        <x:f>ROUND(SUM('食材明细'!L2738:L2743),1)</x:f>
        <x:v>60.3</x:v>
      </x:c>
      <x:c r="Q458" t="n">
        <x:f>ROUND(SUM('食材明细'!N2738:N2743),1)</x:f>
        <x:v>15</x:v>
      </x:c>
      <x:c r="R458" s="10" t="str">
        <x:v>调料尽量低盐，不加白砂糖；油重已计入热量。</x:v>
      </x:c>
    </x:row>
    <x:row r="459" ht="37" customHeight="1">
      <x:c r="A459" t="n">
        <x:v>458</x:v>
      </x:c>
      <x:c r="B459" t="n">
        <x:v>229</x:v>
      </x:c>
      <x:c r="C459" t="n">
        <x:v>33</x:v>
      </x:c>
      <x:c r="D459" t="str">
        <x:v>晚餐</x:v>
      </x:c>
      <x:c r="E459" t="str">
        <x:v>豆蛋</x:v>
      </x:c>
      <x:c r="F459" s="10" t="str">
        <x:v>豉汁鸡蛋北豆腐烩小白菜彩椒｜燕麦饭</x:v>
      </x:c>
      <x:c r="G459" s="10" t="str">
        <x:v>鸡蛋100g、北豆腐130g、小白菜140g、彩椒155g、燕麦饭110g、烹调油5g</x:v>
      </x:c>
      <x:c r="H459" t="str">
        <x:v>燕麦饭</x:v>
      </x:c>
      <x:c r="I459" s="10" t="str">
        <x:v>低主食需求可将主食减1/3，另加100g非淀粉蔬菜（营养值需重算）</x:v>
      </x:c>
      <x:c r="J459" s="10" t="str">
        <x:v>少量豆豉、姜末</x:v>
      </x:c>
      <x:c r="K459" t="str">
        <x:v>蒸</x:v>
      </x:c>
      <x:c r="L459" s="10" t="str">
        <x:v>鸡蛋先打散成蛋液；豆豉冲洗剁碎，与姜末拌主食材后蒸熟；蔬菜另煮；燕麦饭另煮熟或蒸好后同餐食用。</x:v>
      </x:c>
      <x:c r="M459" t="n">
        <x:v>30</x:v>
      </x:c>
      <x:c r="N459" t="n">
        <x:f>ROUND(SUM('食材明细'!H2744:H2749),0)</x:f>
        <x:v>493</x:v>
      </x:c>
      <x:c r="O459" t="n">
        <x:f>ROUND(SUM('食材明细'!J2744:J2749),1)</x:f>
        <x:v>33.3</x:v>
      </x:c>
      <x:c r="P459" t="n">
        <x:f>ROUND(SUM('食材明细'!L2744:L2749),1)</x:f>
        <x:v>40.2</x:v>
      </x:c>
      <x:c r="Q459" t="n">
        <x:f>ROUND(SUM('食材明细'!N2744:N2749),1)</x:f>
        <x:v>24.1</x:v>
      </x:c>
      <x:c r="R459" s="10" t="str">
        <x:v>调料尽量低盐，不加白砂糖；油重已计入热量。</x:v>
      </x:c>
    </x:row>
    <x:row r="460" ht="37" customHeight="1">
      <x:c r="A460" t="n">
        <x:v>459</x:v>
      </x:c>
      <x:c r="B460" t="n">
        <x:v>230</x:v>
      </x:c>
      <x:c r="C460" t="n">
        <x:v>33</x:v>
      </x:c>
      <x:c r="D460" t="str">
        <x:v>午餐</x:v>
      </x:c>
      <x:c r="E460" t="str">
        <x:v>豆蛋</x:v>
      </x:c>
      <x:c r="F460" s="10" t="str">
        <x:v>椒麻北豆腐鸡蛋烩西兰花杏鲍菇｜荞麦面</x:v>
      </x:c>
      <x:c r="G460" s="10" t="str">
        <x:v>北豆腐280g、鸡蛋60g、西兰花160g、杏鲍菇140g、荞麦面165g、烹调油3g</x:v>
      </x:c>
      <x:c r="H460" t="str">
        <x:v>荞麦面</x:v>
      </x:c>
      <x:c r="I460" s="10" t="str">
        <x:v>低主食需求可将主食减1/3，另加100g非淀粉蔬菜（营养值需重算）</x:v>
      </x:c>
      <x:c r="J460" s="10" t="str">
        <x:v>花椒、蒜、少量醋</x:v>
      </x:c>
      <x:c r="K460" t="str">
        <x:v>水煮</x:v>
      </x:c>
      <x:c r="L460" s="10" t="str">
        <x:v>花椒温水浸出味道，煮熟主食材和配菜，少油拌汁；面/魔芋丝煮熟后与菜合碗。</x:v>
      </x:c>
      <x:c r="M460" t="n">
        <x:v>15</x:v>
      </x:c>
      <x:c r="N460" t="n">
        <x:f>ROUND(SUM('食材明细'!H2750:H2755),0)</x:f>
        <x:v>642</x:v>
      </x:c>
      <x:c r="O460" t="n">
        <x:f>ROUND(SUM('食材明细'!J2750:J2755),1)</x:f>
        <x:v>49.7</x:v>
      </x:c>
      <x:c r="P460" t="n">
        <x:f>ROUND(SUM('食材明细'!L2750:L2755),1)</x:f>
        <x:v>62.5</x:v>
      </x:c>
      <x:c r="Q460" t="n">
        <x:f>ROUND(SUM('食材明细'!N2750:N2755),1)</x:f>
        <x:v>25.2</x:v>
      </x:c>
      <x:c r="R460" s="10" t="str">
        <x:v>调料尽量低盐，不加白砂糖；油重已计入热量。</x:v>
      </x:c>
    </x:row>
    <x:row r="461" ht="37" customHeight="1">
      <x:c r="A461" t="n">
        <x:v>460</x:v>
      </x:c>
      <x:c r="B461" t="n">
        <x:v>230</x:v>
      </x:c>
      <x:c r="C461" t="n">
        <x:v>33</x:v>
      </x:c>
      <x:c r="D461" t="str">
        <x:v>晚餐</x:v>
      </x:c>
      <x:c r="E461" t="str">
        <x:v>猪肉</x:v>
      </x:c>
      <x:c r="F461" s="10" t="str">
        <x:v>黑椒猪里脊配芦笋香菇｜魔芋丝</x:v>
      </x:c>
      <x:c r="G461" s="10" t="str">
        <x:v>猪里脊170g、熟毛豆仁50g、芦笋140g、香菇140g、魔芋丝130g、烹调油5g</x:v>
      </x:c>
      <x:c r="H461" t="str">
        <x:v>魔芋丝</x:v>
      </x:c>
      <x:c r="I461" s="10" t="str">
        <x:v>魔芋丝不是完整主食；饥饿可补杂粮饭或蒸薯类</x:v>
      </x:c>
      <x:c r="J461" s="10" t="str">
        <x:v>黑胡椒、蒜末</x:v>
      </x:c>
      <x:c r="K461" t="str">
        <x:v>少油烩</x:v>
      </x:c>
      <x:c r="L461" s="10" t="str">
        <x:v>锅加少量水和油，先把主食材煮熟，再烩两种蔬菜，收汁撒黑椒；面/魔芋丝煮熟后与菜合碗。</x:v>
      </x:c>
      <x:c r="M461" t="n">
        <x:v>30</x:v>
      </x:c>
      <x:c r="N461" t="n">
        <x:f>ROUND(SUM('食材明细'!H2756:H2761),0)</x:f>
        <x:v>396</x:v>
      </x:c>
      <x:c r="O461" t="n">
        <x:f>ROUND(SUM('食材明细'!J2756:J2761),1)</x:f>
        <x:v>48.3</x:v>
      </x:c>
      <x:c r="P461" t="n">
        <x:f>ROUND(SUM('食材明细'!L2756:L2761),1)</x:f>
        <x:v>22.1</x:v>
      </x:c>
      <x:c r="Q461" t="n">
        <x:f>ROUND(SUM('食材明细'!N2756:N2761),1)</x:f>
        <x:v>14.3</x:v>
      </x:c>
      <x:c r="R461" s="10" t="str">
        <x:v>调料尽量低盐，不加白砂糖；油重已计入热量。魔芋丝低能量，不等于一份主食。</x:v>
      </x:c>
    </x:row>
    <x:row r="462" ht="37" customHeight="1">
      <x:c r="A462" t="n">
        <x:v>461</x:v>
      </x:c>
      <x:c r="B462" t="n">
        <x:v>231</x:v>
      </x:c>
      <x:c r="C462" t="n">
        <x:v>33</x:v>
      </x:c>
      <x:c r="D462" t="str">
        <x:v>午餐</x:v>
      </x:c>
      <x:c r="E462" t="str">
        <x:v>牛肉</x:v>
      </x:c>
      <x:c r="F462" s="10" t="str">
        <x:v>香醋瘦牛肉配紫甘蓝花菜｜糙米饭</x:v>
      </x:c>
      <x:c r="G462" s="10" t="str">
        <x:v>瘦牛肉175g、紫甘蓝175g、花菜140g、糙米饭150g、烹调油6g</x:v>
      </x:c>
      <x:c r="H462" t="str">
        <x:v>糙米饭</x:v>
      </x:c>
      <x:c r="I462" s="10" t="str">
        <x:v>低主食需求可将主食减1/3，另加100g非淀粉蔬菜（营养值需重算）</x:v>
      </x:c>
      <x:c r="J462" s="10" t="str">
        <x:v>香醋、蒜末、少量生抽</x:v>
      </x:c>
      <x:c r="K462" t="str">
        <x:v>水煮</x:v>
      </x:c>
      <x:c r="L462" s="10" t="str">
        <x:v>食材分别煮至熟，淋香醋蒜汁，拌匀即食；糙米饭另煮熟或蒸好后同餐食用。</x:v>
      </x:c>
      <x:c r="M462" t="n">
        <x:v>25</x:v>
      </x:c>
      <x:c r="N462" t="n">
        <x:f>ROUND(SUM('食材明细'!H2762:H2767),0)</x:f>
        <x:v>530</x:v>
      </x:c>
      <x:c r="O462" t="n">
        <x:f>ROUND(SUM('食材明细'!J2762:J2767),1)</x:f>
        <x:v>45.9</x:v>
      </x:c>
      <x:c r="P462" t="n">
        <x:f>ROUND(SUM('食材明细'!L2762:L2767),1)</x:f>
        <x:v>55</x:v>
      </x:c>
      <x:c r="Q462" t="n">
        <x:f>ROUND(SUM('食材明细'!N2762:N2767),1)</x:f>
        <x:v>15</x:v>
      </x:c>
      <x:c r="R462" s="10" t="str">
        <x:v>调料尽量低盐，不加白砂糖；油重已计入热量。</x:v>
      </x:c>
    </x:row>
    <x:row r="463" ht="37" customHeight="1">
      <x:c r="A463" t="n">
        <x:v>462</x:v>
      </x:c>
      <x:c r="B463" t="n">
        <x:v>231</x:v>
      </x:c>
      <x:c r="C463" t="n">
        <x:v>33</x:v>
      </x:c>
      <x:c r="D463" t="str">
        <x:v>晚餐</x:v>
      </x:c>
      <x:c r="E463" t="str">
        <x:v>禽肉</x:v>
      </x:c>
      <x:c r="F463" s="10" t="str">
        <x:v>清汤鸡胸肉配芹菜绿豆芽｜藜麦饭</x:v>
      </x:c>
      <x:c r="G463" s="10" t="str">
        <x:v>鸡胸肉160g、芹菜175g、绿豆芽110g、藜麦饭110g、烹调油5g</x:v>
      </x:c>
      <x:c r="H463" t="str">
        <x:v>藜麦饭</x:v>
      </x:c>
      <x:c r="I463" s="10" t="str">
        <x:v>低主食需求可将主食减1/3，另加100g非淀粉蔬菜（营养值需重算）</x:v>
      </x:c>
      <x:c r="J463" s="10" t="str">
        <x:v>葱段、盐少量</x:v>
      </x:c>
      <x:c r="K463" t="str">
        <x:v>煮</x:v>
      </x:c>
      <x:c r="L463" s="10" t="str">
        <x:v>清水煮开，按熟化时间下食材，最后放叶菜，清淡调味；藜麦饭另煮熟或蒸好后同餐食用。</x:v>
      </x:c>
      <x:c r="M463" t="n">
        <x:v>15</x:v>
      </x:c>
      <x:c r="N463" t="n">
        <x:f>ROUND(SUM('食材明细'!H2768:H2773),0)</x:f>
        <x:v>417</x:v>
      </x:c>
      <x:c r="O463" t="n">
        <x:f>ROUND(SUM('食材明细'!J2768:J2773),1)</x:f>
        <x:v>46.7</x:v>
      </x:c>
      <x:c r="P463" t="n">
        <x:f>ROUND(SUM('食材明细'!L2768:L2773),1)</x:f>
        <x:v>36.2</x:v>
      </x:c>
      <x:c r="Q463" t="n">
        <x:f>ROUND(SUM('食材明细'!N2768:N2773),1)</x:f>
        <x:v>10.7</x:v>
      </x:c>
      <x:c r="R463" s="10" t="str">
        <x:v>调料尽量低盐，不加白砂糖；油重已计入热量。</x:v>
      </x:c>
    </x:row>
    <x:row r="464" ht="37" customHeight="1">
      <x:c r="A464" t="n">
        <x:v>463</x:v>
      </x:c>
      <x:c r="B464" t="n">
        <x:v>232</x:v>
      </x:c>
      <x:c r="C464" t="n">
        <x:v>34</x:v>
      </x:c>
      <x:c r="D464" t="str">
        <x:v>午餐</x:v>
      </x:c>
      <x:c r="E464" t="str">
        <x:v>牛肉</x:v>
      </x:c>
      <x:c r="F464" s="10" t="str">
        <x:v>豉汁牛里脊配芦笋西兰花｜山药</x:v>
      </x:c>
      <x:c r="G464" s="10" t="str">
        <x:v>牛里脊165g、芦笋175g、西兰花110g、山药125g、烹调油5g</x:v>
      </x:c>
      <x:c r="H464" t="str">
        <x:v>山药</x:v>
      </x:c>
      <x:c r="I464" s="10" t="str">
        <x:v>想减主食可减到原量2/3，另加100g绿叶菜</x:v>
      </x:c>
      <x:c r="J464" s="10" t="str">
        <x:v>少量豆豉、姜末</x:v>
      </x:c>
      <x:c r="K464" t="str">
        <x:v>蒸</x:v>
      </x:c>
      <x:c r="L464" s="10" t="str">
        <x:v>豆豉冲洗剁碎，与姜末拌主食材后蒸熟；蔬菜另煮；山药另煮熟或蒸好后同餐食用。</x:v>
      </x:c>
      <x:c r="M464" t="n">
        <x:v>20</x:v>
      </x:c>
      <x:c r="N464" t="n">
        <x:f>ROUND(SUM('食材明细'!H2774:H2779),0)</x:f>
        <x:v>409</x:v>
      </x:c>
      <x:c r="O464" t="n">
        <x:f>ROUND(SUM('食材明细'!J2774:J2779),1)</x:f>
        <x:v>43.5</x:v>
      </x:c>
      <x:c r="P464" t="n">
        <x:f>ROUND(SUM('食材明细'!L2774:L2779),1)</x:f>
        <x:v>32.2</x:v>
      </x:c>
      <x:c r="Q464" t="n">
        <x:f>ROUND(SUM('食材明细'!N2774:N2779),1)</x:f>
        <x:v>13.7</x:v>
      </x:c>
      <x:c r="R464" s="10" t="str">
        <x:v>调料尽量低盐，不加白砂糖；油重已计入热量。</x:v>
      </x:c>
    </x:row>
    <x:row r="465" ht="37" customHeight="1">
      <x:c r="A465" t="n">
        <x:v>464</x:v>
      </x:c>
      <x:c r="B465" t="n">
        <x:v>232</x:v>
      </x:c>
      <x:c r="C465" t="n">
        <x:v>34</x:v>
      </x:c>
      <x:c r="D465" t="str">
        <x:v>晚餐</x:v>
      </x:c>
      <x:c r="E465" t="str">
        <x:v>牛肉</x:v>
      </x:c>
      <x:c r="F465" s="10" t="str">
        <x:v>蚝香瘦牛肉配彩椒芦笋｜山药</x:v>
      </x:c>
      <x:c r="G465" s="10" t="str">
        <x:v>瘦牛肉180g、彩椒160g、芦笋140g、山药125g、烹调油4g</x:v>
      </x:c>
      <x:c r="H465" t="str">
        <x:v>山药</x:v>
      </x:c>
      <x:c r="I465" s="10" t="str">
        <x:v>想减主食可减到原量2/3，另加100g绿叶菜</x:v>
      </x:c>
      <x:c r="J465" s="10" t="str">
        <x:v>低钠蚝油少量、姜蒜</x:v>
      </x:c>
      <x:c r="K465" t="str">
        <x:v>少油烩</x:v>
      </x:c>
      <x:c r="L465" s="10" t="str">
        <x:v>主食材和蔬菜少油少水烩熟，起锅前点少量蚝油；山药另煮熟或蒸好后同餐食用。</x:v>
      </x:c>
      <x:c r="M465" t="n">
        <x:v>30</x:v>
      </x:c>
      <x:c r="N465" t="n">
        <x:f>ROUND(SUM('食材明细'!H2780:H2785),0)</x:f>
        <x:v>410</x:v>
      </x:c>
      <x:c r="O465" t="n">
        <x:f>ROUND(SUM('食材明细'!J2780:J2785),1)</x:f>
        <x:v>44.4</x:v>
      </x:c>
      <x:c r="P465" t="n">
        <x:f>ROUND(SUM('食材明细'!L2780:L2785),1)</x:f>
        <x:v>32.8</x:v>
      </x:c>
      <x:c r="Q465" t="n">
        <x:f>ROUND(SUM('食材明细'!N2780:N2785),1)</x:f>
        <x:v>11.8</x:v>
      </x:c>
      <x:c r="R465" s="10" t="str">
        <x:v>调料尽量低盐，不加白砂糖；油重已计入热量。</x:v>
      </x:c>
    </x:row>
    <x:row r="466" ht="37" customHeight="1">
      <x:c r="A466" t="n">
        <x:v>465</x:v>
      </x:c>
      <x:c r="B466" t="n">
        <x:v>233</x:v>
      </x:c>
      <x:c r="C466" t="n">
        <x:v>34</x:v>
      </x:c>
      <x:c r="D466" t="str">
        <x:v>午餐</x:v>
      </x:c>
      <x:c r="E466" t="str">
        <x:v>禽肉</x:v>
      </x:c>
      <x:c r="F466" s="10" t="str">
        <x:v>香醋鸡胸肉配丝瓜口蘑｜糙米饭</x:v>
      </x:c>
      <x:c r="G466" s="10" t="str">
        <x:v>鸡胸肉165g、丝瓜140g、口蘑125g、糙米饭125g、烹调油5g</x:v>
      </x:c>
      <x:c r="H466" t="str">
        <x:v>糙米饭</x:v>
      </x:c>
      <x:c r="I466" s="10" t="str">
        <x:v>低主食需求可将主食减1/3，另加100g非淀粉蔬菜（营养值需重算）</x:v>
      </x:c>
      <x:c r="J466" s="10" t="str">
        <x:v>香醋、蒜末、少量生抽</x:v>
      </x:c>
      <x:c r="K466" t="str">
        <x:v>水煮</x:v>
      </x:c>
      <x:c r="L466" s="10" t="str">
        <x:v>食材分别煮至熟，淋香醋蒜汁，拌匀即食；糙米饭另煮熟或蒸好后同餐食用。</x:v>
      </x:c>
      <x:c r="M466" t="n">
        <x:v>20</x:v>
      </x:c>
      <x:c r="N466" t="n">
        <x:f>ROUND(SUM('食材明细'!H2786:H2791),0)</x:f>
        <x:v>422</x:v>
      </x:c>
      <x:c r="O466" t="n">
        <x:f>ROUND(SUM('食材明细'!J2786:J2791),1)</x:f>
        <x:v>46.5</x:v>
      </x:c>
      <x:c r="P466" t="n">
        <x:f>ROUND(SUM('食材明细'!L2786:L2791),1)</x:f>
        <x:v>39.1</x:v>
      </x:c>
      <x:c r="Q466" t="n">
        <x:f>ROUND(SUM('食材明细'!N2786:N2791),1)</x:f>
        <x:v>10.1</x:v>
      </x:c>
      <x:c r="R466" s="10" t="str">
        <x:v>调料尽量低盐，不加白砂糖；油重已计入热量。</x:v>
      </x:c>
    </x:row>
    <x:row r="467" ht="37" customHeight="1">
      <x:c r="A467" t="n">
        <x:v>466</x:v>
      </x:c>
      <x:c r="B467" t="n">
        <x:v>233</x:v>
      </x:c>
      <x:c r="C467" t="n">
        <x:v>34</x:v>
      </x:c>
      <x:c r="D467" t="str">
        <x:v>晚餐</x:v>
      </x:c>
      <x:c r="E467" t="str">
        <x:v>豆蛋</x:v>
      </x:c>
      <x:c r="F467" s="10" t="str">
        <x:v>清汤北豆腐鸡蛋烩小白菜泡发木耳｜全麦面</x:v>
      </x:c>
      <x:c r="G467" s="10" t="str">
        <x:v>北豆腐280g、鸡蛋60g、小白菜140g、泡发木耳155g、全麦面80g、烹调油5g</x:v>
      </x:c>
      <x:c r="H467" t="str">
        <x:v>全麦面</x:v>
      </x:c>
      <x:c r="I467" s="10" t="str">
        <x:v>低主食需求可将主食减1/3，另加100g非淀粉蔬菜（营养值需重算）</x:v>
      </x:c>
      <x:c r="J467" s="10" t="str">
        <x:v>葱段、盐少量</x:v>
      </x:c>
      <x:c r="K467" t="str">
        <x:v>煮</x:v>
      </x:c>
      <x:c r="L467" s="10" t="str">
        <x:v>清水煮开，按熟化时间下食材，最后放叶菜，清淡调味；面/魔芋丝煮熟后与菜合碗。</x:v>
      </x:c>
      <x:c r="M467" t="n">
        <x:v>25</x:v>
      </x:c>
      <x:c r="N467" t="n">
        <x:f>ROUND(SUM('食材明细'!H2792:H2797),0)</x:f>
        <x:v>545</x:v>
      </x:c>
      <x:c r="O467" t="n">
        <x:f>ROUND(SUM('食材明细'!J2792:J2797),1)</x:f>
        <x:v>44.4</x:v>
      </x:c>
      <x:c r="P467" t="n">
        <x:f>ROUND(SUM('食材明细'!L2792:L2797),1)</x:f>
        <x:v>39.5</x:v>
      </x:c>
      <x:c r="Q467" t="n">
        <x:f>ROUND(SUM('食材明细'!N2792:N2797),1)</x:f>
        <x:v>26.3</x:v>
      </x:c>
      <x:c r="R467" s="10" t="str">
        <x:v>调料尽量低盐，不加白砂糖；油重已计入热量。</x:v>
      </x:c>
    </x:row>
    <x:row r="468" ht="37" customHeight="1">
      <x:c r="A468" t="n">
        <x:v>467</x:v>
      </x:c>
      <x:c r="B468" t="n">
        <x:v>234</x:v>
      </x:c>
      <x:c r="C468" t="n">
        <x:v>34</x:v>
      </x:c>
      <x:c r="D468" t="str">
        <x:v>午餐</x:v>
      </x:c>
      <x:c r="E468" t="str">
        <x:v>牛肉</x:v>
      </x:c>
      <x:c r="F468" s="10" t="str">
        <x:v>葱姜清蒸牛里脊配莴笋玉米笋｜燕麦饭</x:v>
      </x:c>
      <x:c r="G468" s="10" t="str">
        <x:v>牛里脊185g、莴笋190g、玉米笋110g、燕麦饭125g、烹调油6g</x:v>
      </x:c>
      <x:c r="H468" t="str">
        <x:v>燕麦饭</x:v>
      </x:c>
      <x:c r="I468" s="10" t="str">
        <x:v>低主食需求可将主食减1/3，另加100g非淀粉蔬菜（营养值需重算）</x:v>
      </x:c>
      <x:c r="J468" s="10" t="str">
        <x:v>葱姜、少量低盐生抽</x:v>
      </x:c>
      <x:c r="K468" t="str">
        <x:v>蒸</x:v>
      </x:c>
      <x:c r="L468" s="10" t="str">
        <x:v>切片腌5分钟；肉和配菜入盘，蒸至熟透；淋葱姜汁；燕麦饭另煮熟或蒸好后同餐食用。</x:v>
      </x:c>
      <x:c r="M468" t="n">
        <x:v>30</x:v>
      </x:c>
      <x:c r="N468" t="n">
        <x:f>ROUND(SUM('食材明细'!H2798:H2803),0)</x:f>
        <x:v>489</x:v>
      </x:c>
      <x:c r="O468" t="n">
        <x:f>ROUND(SUM('食材明细'!J2798:J2803),1)</x:f>
        <x:v>47</x:v>
      </x:c>
      <x:c r="P468" t="n">
        <x:f>ROUND(SUM('食材明细'!L2798:L2803),1)</x:f>
        <x:v>37</x:v>
      </x:c>
      <x:c r="Q468" t="n">
        <x:f>ROUND(SUM('食材明细'!N2798:N2803),1)</x:f>
        <x:v>17.4</x:v>
      </x:c>
      <x:c r="R468" s="10" t="str">
        <x:v>调料尽量低盐，不加白砂糖；油重已计入热量。</x:v>
      </x:c>
    </x:row>
    <x:row r="469" ht="37" customHeight="1">
      <x:c r="A469" t="n">
        <x:v>468</x:v>
      </x:c>
      <x:c r="B469" t="n">
        <x:v>234</x:v>
      </x:c>
      <x:c r="C469" t="n">
        <x:v>34</x:v>
      </x:c>
      <x:c r="D469" t="str">
        <x:v>晚餐</x:v>
      </x:c>
      <x:c r="E469" t="str">
        <x:v>猪肉</x:v>
      </x:c>
      <x:c r="F469" s="10" t="str">
        <x:v>番茄猪瘦肉配冬瓜｜糙米饭</x:v>
      </x:c>
      <x:c r="G469" s="10" t="str">
        <x:v>猪瘦肉180g、番茄140g、冬瓜125g、糙米饭135g、烹调油5g</x:v>
      </x:c>
      <x:c r="H469" t="str">
        <x:v>糙米饭</x:v>
      </x:c>
      <x:c r="I469" s="10" t="str">
        <x:v>低主食需求可将主食减1/3，另加100g非淀粉蔬菜（营养值需重算）</x:v>
      </x:c>
      <x:c r="J469" s="10" t="str">
        <x:v>番茄丁、黑胡椒</x:v>
      </x:c>
      <x:c r="K469" t="str">
        <x:v>炖煮</x:v>
      </x:c>
      <x:c r="L469" s="10" t="str">
        <x:v>番茄出汁后加入主食材和少量水，轻炖至熟，再放配菜；糙米饭另煮熟或蒸好后同餐食用。</x:v>
      </x:c>
      <x:c r="M469" t="n">
        <x:v>25</x:v>
      </x:c>
      <x:c r="N469" t="n">
        <x:f>ROUND(SUM('食材明细'!H2804:H2809),0)</x:f>
        <x:v>474</x:v>
      </x:c>
      <x:c r="O469" t="n">
        <x:f>ROUND(SUM('食材明细'!J2804:J2809),1)</x:f>
        <x:v>41.3</x:v>
      </x:c>
      <x:c r="P469" t="n">
        <x:f>ROUND(SUM('食材明细'!L2804:L2809),1)</x:f>
        <x:v>41.1</x:v>
      </x:c>
      <x:c r="Q469" t="n">
        <x:f>ROUND(SUM('食材明细'!N2804:N2809),1)</x:f>
        <x:v>16.7</x:v>
      </x:c>
      <x:c r="R469" s="10" t="str">
        <x:v>调料尽量低盐，不加白砂糖；油重已计入热量。</x:v>
      </x:c>
    </x:row>
    <x:row r="470" ht="37" customHeight="1">
      <x:c r="A470" t="n">
        <x:v>469</x:v>
      </x:c>
      <x:c r="B470" t="n">
        <x:v>235</x:v>
      </x:c>
      <x:c r="C470" t="n">
        <x:v>34</x:v>
      </x:c>
      <x:c r="D470" t="str">
        <x:v>午餐</x:v>
      </x:c>
      <x:c r="E470" t="str">
        <x:v>禽肉</x:v>
      </x:c>
      <x:c r="F470" s="10" t="str">
        <x:v>孜然去皮鸡腿肉配丝瓜金针菇｜荞麦饭</x:v>
      </x:c>
      <x:c r="G470" s="10" t="str">
        <x:v>去皮鸡腿肉155g、丝瓜175g、金针菇155g、荞麦饭110g、烹调油5g</x:v>
      </x:c>
      <x:c r="H470" t="str">
        <x:v>荞麦饭</x:v>
      </x:c>
      <x:c r="I470" s="10" t="str">
        <x:v>低主食需求可将主食减1/3，另加100g非淀粉蔬菜（营养值需重算）</x:v>
      </x:c>
      <x:c r="J470" s="10" t="str">
        <x:v>孜然、辣椒粉、蒜末</x:v>
      </x:c>
      <x:c r="K470" t="str">
        <x:v>少油焖</x:v>
      </x:c>
      <x:c r="L470" s="10" t="str">
        <x:v>先去皮去骨并切薄，充分加热；主食材用少量油和水焖熟，下蔬菜翻拌，撒孜然；荞麦饭另煮熟或蒸好后同餐食用。</x:v>
      </x:c>
      <x:c r="M470" t="n">
        <x:v>25</x:v>
      </x:c>
      <x:c r="N470" t="n">
        <x:f>ROUND(SUM('食材明细'!H2810:H2815),0)</x:f>
        <x:v>444</x:v>
      </x:c>
      <x:c r="O470" t="n">
        <x:f>ROUND(SUM('食材明细'!J2810:J2815),1)</x:f>
        <x:v>40.2</x:v>
      </x:c>
      <x:c r="P470" t="n">
        <x:f>ROUND(SUM('食材明细'!L2810:L2815),1)</x:f>
        <x:v>41.1</x:v>
      </x:c>
      <x:c r="Q470" t="n">
        <x:f>ROUND(SUM('食材明细'!N2810:N2815),1)</x:f>
        <x:v>14.6</x:v>
      </x:c>
      <x:c r="R470" s="10" t="str">
        <x:v>调料尽量低盐，不加白砂糖；油重已计入热量。</x:v>
      </x:c>
    </x:row>
    <x:row r="471" ht="37" customHeight="1">
      <x:c r="A471" t="n">
        <x:v>470</x:v>
      </x:c>
      <x:c r="B471" t="n">
        <x:v>235</x:v>
      </x:c>
      <x:c r="C471" t="n">
        <x:v>34</x:v>
      </x:c>
      <x:c r="D471" t="str">
        <x:v>晚餐</x:v>
      </x:c>
      <x:c r="E471" t="str">
        <x:v>禽肉</x:v>
      </x:c>
      <x:c r="F471" s="10" t="str">
        <x:v>柠檬鸡胸肉配荷兰豆黄瓜｜杂粮饭</x:v>
      </x:c>
      <x:c r="G471" s="10" t="str">
        <x:v>鸡胸肉180g、荷兰豆140g、黄瓜125g、杂粮饭125g、烹调油4g</x:v>
      </x:c>
      <x:c r="H471" t="str">
        <x:v>杂粮饭</x:v>
      </x:c>
      <x:c r="I471" s="10" t="str">
        <x:v>低主食需求可将主食减1/3，另加100g非淀粉蔬菜（营养值需重算）</x:v>
      </x:c>
      <x:c r="J471" s="10" t="str">
        <x:v>柠檬片、白胡椒</x:v>
      </x:c>
      <x:c r="K471" t="str">
        <x:v>蒸</x:v>
      </x:c>
      <x:c r="L471" s="10" t="str">
        <x:v>柠檬片垫底，主食材蒸熟，蔬菜短焯后摆盘；杂粮饭另煮熟或蒸好后同餐食用。</x:v>
      </x:c>
      <x:c r="M471" t="n">
        <x:v>30</x:v>
      </x:c>
      <x:c r="N471" t="n">
        <x:f>ROUND(SUM('食材明细'!H2816:H2821),0)</x:f>
        <x:v>457</x:v>
      </x:c>
      <x:c r="O471" t="n">
        <x:f>ROUND(SUM('食材明细'!J2816:J2821),1)</x:f>
        <x:v>50.1</x:v>
      </x:c>
      <x:c r="P471" t="n">
        <x:f>ROUND(SUM('食材明细'!L2816:L2821),1)</x:f>
        <x:v>44.4</x:v>
      </x:c>
      <x:c r="Q471" t="n">
        <x:f>ROUND(SUM('食材明细'!N2816:N2821),1)</x:f>
        <x:v>9.5</x:v>
      </x:c>
      <x:c r="R471" s="10" t="str">
        <x:v>调料尽量低盐，不加白砂糖；油重已计入热量。</x:v>
      </x:c>
    </x:row>
    <x:row r="472" ht="37" customHeight="1">
      <x:c r="A472" t="n">
        <x:v>471</x:v>
      </x:c>
      <x:c r="B472" t="n">
        <x:v>236</x:v>
      </x:c>
      <x:c r="C472" t="n">
        <x:v>34</x:v>
      </x:c>
      <x:c r="D472" t="str">
        <x:v>午餐</x:v>
      </x:c>
      <x:c r="E472" t="str">
        <x:v>禽肉</x:v>
      </x:c>
      <x:c r="F472" s="10" t="str">
        <x:v>奥尔良风味去皮鸡腿肉配芦笋洋葱｜紫薯</x:v>
      </x:c>
      <x:c r="G472" s="10" t="str">
        <x:v>去皮鸡腿肉185g、嫩豆腐135g、芦笋190g、洋葱125g、紫薯150g、烹调油3g</x:v>
      </x:c>
      <x:c r="H472" t="str">
        <x:v>紫薯</x:v>
      </x:c>
      <x:c r="I472" s="10" t="str">
        <x:v>想减主食可减到原量2/3，另加100g绿叶菜</x:v>
      </x:c>
      <x:c r="J472" s="10" t="str">
        <x:v>无糖辣椒粉、蒜粉、洋葱粉</x:v>
      </x:c>
      <x:c r="K472" t="str">
        <x:v>蒸/焖</x:v>
      </x:c>
      <x:c r="L472" s="10" t="str">
        <x:v>先去皮去骨并切薄，充分加热；用无糖香辛料腌肉15分钟，蒸或少油焖熟，配菜煮熟；紫薯另煮熟或蒸好后同餐食用。</x:v>
      </x:c>
      <x:c r="M472" t="n">
        <x:v>15</x:v>
      </x:c>
      <x:c r="N472" t="n">
        <x:f>ROUND(SUM('食材明细'!H2822:H2827),0)</x:f>
        <x:v>563</x:v>
      </x:c>
      <x:c r="O472" t="n">
        <x:f>ROUND(SUM('食材明细'!J2822:J2827),1)</x:f>
        <x:v>51.7</x:v>
      </x:c>
      <x:c r="P472" t="n">
        <x:f>ROUND(SUM('食材明细'!L2822:L2827),1)</x:f>
        <x:v>54.7</x:v>
      </x:c>
      <x:c r="Q472" t="n">
        <x:f>ROUND(SUM('食材明细'!N2822:N2827),1)</x:f>
        <x:v>16.5</x:v>
      </x:c>
      <x:c r="R472" s="10" t="str">
        <x:v>调料尽量低盐，不加白砂糖；油重已计入热量。</x:v>
      </x:c>
    </x:row>
    <x:row r="473" ht="37" customHeight="1">
      <x:c r="A473" t="n">
        <x:v>472</x:v>
      </x:c>
      <x:c r="B473" t="n">
        <x:v>236</x:v>
      </x:c>
      <x:c r="C473" t="n">
        <x:v>34</x:v>
      </x:c>
      <x:c r="D473" t="str">
        <x:v>晚餐</x:v>
      </x:c>
      <x:c r="E473" t="str">
        <x:v>海鲜</x:v>
      </x:c>
      <x:c r="F473" s="10" t="str">
        <x:v>菌菇鱿鱼配四季豆杏鲍菇｜全麦面</x:v>
      </x:c>
      <x:c r="G473" s="10" t="str">
        <x:v>鱿鱼160g、四季豆140g、杏鲍菇140g、全麦面80g、烹调油3g</x:v>
      </x:c>
      <x:c r="H473" t="str">
        <x:v>全麦面</x:v>
      </x:c>
      <x:c r="I473" s="10" t="str">
        <x:v>低主食需求可将主食减1/3，另加100g非淀粉蔬菜（营养值需重算）</x:v>
      </x:c>
      <x:c r="J473" s="10" t="str">
        <x:v>姜片、香菇汁</x:v>
      </x:c>
      <x:c r="K473" t="str">
        <x:v>焖煮</x:v>
      </x:c>
      <x:c r="L473" s="10" t="str">
        <x:v>食材与菌菇加少量水焖熟，出锅前加少量低盐生抽；面/魔芋丝煮熟后与菜合碗。四季豆必须充分煮熟，不要生脆。</x:v>
      </x:c>
      <x:c r="M473" t="n">
        <x:v>25</x:v>
      </x:c>
      <x:c r="N473" t="n">
        <x:f>ROUND(SUM('食材明细'!H2828:H2833),0)</x:f>
        <x:v>371</x:v>
      </x:c>
      <x:c r="O473" t="n">
        <x:f>ROUND(SUM('食材明细'!J2828:J2833),1)</x:f>
        <x:v>36.5</x:v>
      </x:c>
      <x:c r="P473" t="n">
        <x:f>ROUND(SUM('食材明细'!L2828:L2833),1)</x:f>
        <x:v>43.4</x:v>
      </x:c>
      <x:c r="Q473" t="n">
        <x:f>ROUND(SUM('食材明细'!N2828:N2833),1)</x:f>
        <x:v>6.7</x:v>
      </x:c>
      <x:c r="R473" s="10" t="str">
        <x:v>调料尽量低盐，不加白砂糖；油重已计入热量。</x:v>
      </x:c>
    </x:row>
    <x:row r="474" ht="37" customHeight="1">
      <x:c r="A474" t="n">
        <x:v>473</x:v>
      </x:c>
      <x:c r="B474" t="n">
        <x:v>237</x:v>
      </x:c>
      <x:c r="C474" t="n">
        <x:v>34</x:v>
      </x:c>
      <x:c r="D474" t="str">
        <x:v>午餐</x:v>
      </x:c>
      <x:c r="E474" t="str">
        <x:v>鱼类</x:v>
      </x:c>
      <x:c r="F474" s="10" t="str">
        <x:v>柠檬三文鱼配荷兰豆口蘑｜燕麦饭</x:v>
      </x:c>
      <x:c r="G474" s="10" t="str">
        <x:v>三文鱼135g、荷兰豆160g、口蘑155g、燕麦饭150g、烹调油2g</x:v>
      </x:c>
      <x:c r="H474" t="str">
        <x:v>燕麦饭</x:v>
      </x:c>
      <x:c r="I474" s="10" t="str">
        <x:v>低主食需求可将主食减1/3，另加100g非淀粉蔬菜（营养值需重算）</x:v>
      </x:c>
      <x:c r="J474" s="10" t="str">
        <x:v>柠檬片、白胡椒</x:v>
      </x:c>
      <x:c r="K474" t="str">
        <x:v>蒸</x:v>
      </x:c>
      <x:c r="L474" s="10" t="str">
        <x:v>鱼肉去刺，彻底做熟；柠檬片垫底，主食材蒸熟，蔬菜短焯后摆盘；燕麦饭另煮熟或蒸好后同餐食用。</x:v>
      </x:c>
      <x:c r="M474" t="n">
        <x:v>15</x:v>
      </x:c>
      <x:c r="N474" t="n">
        <x:f>ROUND(SUM('食材明细'!H2834:H2839),0)</x:f>
        <x:v>561</x:v>
      </x:c>
      <x:c r="O474" t="n">
        <x:f>ROUND(SUM('食材明细'!J2834:J2839),1)</x:f>
        <x:v>41.1</x:v>
      </x:c>
      <x:c r="P474" t="n">
        <x:f>ROUND(SUM('食材明细'!L2834:L2839),1)</x:f>
        <x:v>48.6</x:v>
      </x:c>
      <x:c r="Q474" t="n">
        <x:f>ROUND(SUM('食材明细'!N2834:N2839),1)</x:f>
        <x:v>23.2</x:v>
      </x:c>
      <x:c r="R474" s="10" t="str">
        <x:v>调料尽量低盐，不加白砂糖；油重已计入热量。</x:v>
      </x:c>
    </x:row>
    <x:row r="475" ht="37" customHeight="1">
      <x:c r="A475" t="n">
        <x:v>474</x:v>
      </x:c>
      <x:c r="B475" t="n">
        <x:v>237</x:v>
      </x:c>
      <x:c r="C475" t="n">
        <x:v>34</x:v>
      </x:c>
      <x:c r="D475" t="str">
        <x:v>晚餐</x:v>
      </x:c>
      <x:c r="E475" t="str">
        <x:v>牛肉</x:v>
      </x:c>
      <x:c r="F475" s="10" t="str">
        <x:v>剁椒瘦牛肉配花菜芦笋｜糙米饭</x:v>
      </x:c>
      <x:c r="G475" s="10" t="str">
        <x:v>瘦牛肉170g、花菜190g、芦笋140g、糙米饭110g、烹调油6g</x:v>
      </x:c>
      <x:c r="H475" t="str">
        <x:v>糙米饭</x:v>
      </x:c>
      <x:c r="I475" s="10" t="str">
        <x:v>低主食需求可将主食减1/3，另加100g非淀粉蔬菜（营养值需重算）</x:v>
      </x:c>
      <x:c r="J475" s="10" t="str">
        <x:v>自制低盐剁椒、蒜</x:v>
      </x:c>
      <x:c r="K475" t="str">
        <x:v>蒸</x:v>
      </x:c>
      <x:c r="L475" s="10" t="str">
        <x:v>主食材铺少量低盐剁椒蒸熟，配菜焯熟后摆盘；糙米饭另煮熟或蒸好后同餐食用。</x:v>
      </x:c>
      <x:c r="M475" t="n">
        <x:v>25</x:v>
      </x:c>
      <x:c r="N475" t="n">
        <x:f>ROUND(SUM('食材明细'!H2840:H2845),0)</x:f>
        <x:v>465</x:v>
      </x:c>
      <x:c r="O475" t="n">
        <x:f>ROUND(SUM('食材明细'!J2840:J2845),1)</x:f>
        <x:v>45.4</x:v>
      </x:c>
      <x:c r="P475" t="n">
        <x:f>ROUND(SUM('食材明细'!L2840:L2845),1)</x:f>
        <x:v>40.8</x:v>
      </x:c>
      <x:c r="Q475" t="n">
        <x:f>ROUND(SUM('食材明细'!N2840:N2845),1)</x:f>
        <x:v>14.5</x:v>
      </x:c>
      <x:c r="R475" s="10" t="str">
        <x:v>调料尽量低盐，不加白砂糖；油重已计入热量。</x:v>
      </x:c>
    </x:row>
    <x:row r="476" ht="37" customHeight="1">
      <x:c r="A476" t="n">
        <x:v>475</x:v>
      </x:c>
      <x:c r="B476" t="n">
        <x:v>238</x:v>
      </x:c>
      <x:c r="C476" t="n">
        <x:v>34</x:v>
      </x:c>
      <x:c r="D476" t="str">
        <x:v>午餐</x:v>
      </x:c>
      <x:c r="E476" t="str">
        <x:v>鱼类</x:v>
      </x:c>
      <x:c r="F476" s="10" t="str">
        <x:v>清汤鲈鱼配菜心白萝卜｜玉米</x:v>
      </x:c>
      <x:c r="G476" s="10" t="str">
        <x:v>鲈鱼175g、菜心190g、白萝卜155g、玉米165g、烹调油5g</x:v>
      </x:c>
      <x:c r="H476" t="str">
        <x:v>玉米</x:v>
      </x:c>
      <x:c r="I476" s="10" t="str">
        <x:v>想减主食可减到原量2/3，另加100g绿叶菜</x:v>
      </x:c>
      <x:c r="J476" s="10" t="str">
        <x:v>葱段、盐少量</x:v>
      </x:c>
      <x:c r="K476" t="str">
        <x:v>煮</x:v>
      </x:c>
      <x:c r="L476" s="10" t="str">
        <x:v>鱼肉去刺，彻底做熟；清水煮开，按熟化时间下食材，最后放叶菜，清淡调味；玉米另煮熟或蒸好后同餐食用。</x:v>
      </x:c>
      <x:c r="M476" t="n">
        <x:v>25</x:v>
      </x:c>
      <x:c r="N476" t="n">
        <x:f>ROUND(SUM('食材明细'!H2846:H2851),0)</x:f>
        <x:v>468</x:v>
      </x:c>
      <x:c r="O476" t="n">
        <x:f>ROUND(SUM('食材明细'!J2846:J2851),1)</x:f>
        <x:v>43.6</x:v>
      </x:c>
      <x:c r="P476" t="n">
        <x:f>ROUND(SUM('食材明细'!L2846:L2851),1)</x:f>
        <x:v>49.2</x:v>
      </x:c>
      <x:c r="Q476" t="n">
        <x:f>ROUND(SUM('食材明细'!N2846:N2851),1)</x:f>
        <x:v>13.5</x:v>
      </x:c>
      <x:c r="R476" s="10" t="str">
        <x:v>调料尽量低盐，不加白砂糖；油重已计入热量。</x:v>
      </x:c>
    </x:row>
    <x:row r="477" ht="37" customHeight="1">
      <x:c r="A477" t="n">
        <x:v>476</x:v>
      </x:c>
      <x:c r="B477" t="n">
        <x:v>238</x:v>
      </x:c>
      <x:c r="C477" t="n">
        <x:v>34</x:v>
      </x:c>
      <x:c r="D477" t="str">
        <x:v>晚餐</x:v>
      </x:c>
      <x:c r="E477" t="str">
        <x:v>禽肉</x:v>
      </x:c>
      <x:c r="F477" s="10" t="str">
        <x:v>蚝香去皮鸡腿肉配西葫芦玉米笋｜糙米饭</x:v>
      </x:c>
      <x:c r="G477" s="10" t="str">
        <x:v>去皮鸡腿肉160g、西葫芦160g、玉米笋140g、糙米饭95g、烹调油6g</x:v>
      </x:c>
      <x:c r="H477" t="str">
        <x:v>糙米饭</x:v>
      </x:c>
      <x:c r="I477" s="10" t="str">
        <x:v>低主食需求可将主食减1/3，另加100g非淀粉蔬菜（营养值需重算）</x:v>
      </x:c>
      <x:c r="J477" s="10" t="str">
        <x:v>低钠蚝油少量、姜蒜</x:v>
      </x:c>
      <x:c r="K477" t="str">
        <x:v>少油烩</x:v>
      </x:c>
      <x:c r="L477" s="10" t="str">
        <x:v>先去皮去骨并切薄，充分加热；主食材和蔬菜少油少水烩熟，起锅前点少量蚝油；糙米饭另煮熟或蒸好后同餐食用。</x:v>
      </x:c>
      <x:c r="M477" t="n">
        <x:v>25</x:v>
      </x:c>
      <x:c r="N477" t="n">
        <x:f>ROUND(SUM('食材明细'!H2852:H2857),0)</x:f>
        <x:v>424</x:v>
      </x:c>
      <x:c r="O477" t="n">
        <x:f>ROUND(SUM('食材明细'!J2852:J2857),1)</x:f>
        <x:v>39.2</x:v>
      </x:c>
      <x:c r="P477" t="n">
        <x:f>ROUND(SUM('食材明细'!L2852:L2857),1)</x:f>
        <x:v>34.2</x:v>
      </x:c>
      <x:c r="Q477" t="n">
        <x:f>ROUND(SUM('食材明细'!N2852:N2857),1)</x:f>
        <x:v>15.5</x:v>
      </x:c>
      <x:c r="R477" s="10" t="str">
        <x:v>调料尽量低盐，不加白砂糖；油重已计入热量。</x:v>
      </x:c>
    </x:row>
    <x:row r="478" ht="37" customHeight="1">
      <x:c r="A478" t="n">
        <x:v>477</x:v>
      </x:c>
      <x:c r="B478" t="n">
        <x:v>239</x:v>
      </x:c>
      <x:c r="C478" t="n">
        <x:v>35</x:v>
      </x:c>
      <x:c r="D478" t="str">
        <x:v>午餐</x:v>
      </x:c>
      <x:c r="E478" t="str">
        <x:v>牛肉</x:v>
      </x:c>
      <x:c r="F478" s="10" t="str">
        <x:v>孜然牛里脊配茼蒿芦笋｜山药</x:v>
      </x:c>
      <x:c r="G478" s="10" t="str">
        <x:v>牛里脊175g、茼蒿140g、芦笋155g、山药150g、烹调油5g</x:v>
      </x:c>
      <x:c r="H478" t="str">
        <x:v>山药</x:v>
      </x:c>
      <x:c r="I478" s="10" t="str">
        <x:v>想减主食可减到原量2/3，另加100g绿叶菜</x:v>
      </x:c>
      <x:c r="J478" s="10" t="str">
        <x:v>孜然、辣椒粉、蒜末</x:v>
      </x:c>
      <x:c r="K478" t="str">
        <x:v>少油焖</x:v>
      </x:c>
      <x:c r="L478" s="10" t="str">
        <x:v>主食材用少量油和水焖熟，下蔬菜翻拌，撒孜然；山药另煮熟或蒸好后同餐食用。</x:v>
      </x:c>
      <x:c r="M478" t="n">
        <x:v>15</x:v>
      </x:c>
      <x:c r="N478" t="n">
        <x:f>ROUND(SUM('食材明细'!H2858:H2863),0)</x:f>
        <x:v>430</x:v>
      </x:c>
      <x:c r="O478" t="n">
        <x:f>ROUND(SUM('食材明细'!J2858:J2863),1)</x:f>
        <x:v>45.1</x:v>
      </x:c>
      <x:c r="P478" t="n">
        <x:f>ROUND(SUM('食材明细'!L2858:L2863),1)</x:f>
        <x:v>33.2</x:v>
      </x:c>
      <x:c r="Q478" t="n">
        <x:f>ROUND(SUM('食材明细'!N2858:N2863),1)</x:f>
        <x:v>14.1</x:v>
      </x:c>
      <x:c r="R478" s="10" t="str">
        <x:v>调料尽量低盐，不加白砂糖；油重已计入热量。</x:v>
      </x:c>
    </x:row>
    <x:row r="479" ht="37" customHeight="1">
      <x:c r="A479" t="n">
        <x:v>478</x:v>
      </x:c>
      <x:c r="B479" t="n">
        <x:v>239</x:v>
      </x:c>
      <x:c r="C479" t="n">
        <x:v>35</x:v>
      </x:c>
      <x:c r="D479" t="str">
        <x:v>晚餐</x:v>
      </x:c>
      <x:c r="E479" t="str">
        <x:v>海鲜</x:v>
      </x:c>
      <x:c r="F479" s="10" t="str">
        <x:v>蒜香鱿鱼配冬瓜胡萝卜｜魔芋丝</x:v>
      </x:c>
      <x:c r="G479" s="10" t="str">
        <x:v>鱿鱼265g、冬瓜140g、胡萝卜110g、魔芋丝160g、烹调油5g</x:v>
      </x:c>
      <x:c r="H479" t="str">
        <x:v>魔芋丝</x:v>
      </x:c>
      <x:c r="I479" s="10" t="str">
        <x:v>魔芋丝不是完整主食；饥饿可补杂粮饭或蒸薯类</x:v>
      </x:c>
      <x:c r="J479" s="10" t="str">
        <x:v>蒜末、白胡椒</x:v>
      </x:c>
      <x:c r="K479" t="str">
        <x:v>蒸</x:v>
      </x:c>
      <x:c r="L479" s="10" t="str">
        <x:v>食材切块，撒蒜末；上锅蒸熟，蔬菜另焯后拌匀；面/魔芋丝煮熟后与菜合碗。</x:v>
      </x:c>
      <x:c r="M479" t="n">
        <x:v>15</x:v>
      </x:c>
      <x:c r="N479" t="n">
        <x:f>ROUND(SUM('食材明细'!H2864:H2869),0)</x:f>
        <x:v>374</x:v>
      </x:c>
      <x:c r="O479" t="n">
        <x:f>ROUND(SUM('食材明细'!J2864:J2869),1)</x:f>
        <x:v>47.1</x:v>
      </x:c>
      <x:c r="P479" t="n">
        <x:f>ROUND(SUM('食材明细'!L2864:L2869),1)</x:f>
        <x:v>23.7</x:v>
      </x:c>
      <x:c r="Q479" t="n">
        <x:f>ROUND(SUM('食材明细'!N2864:N2869),1)</x:f>
        <x:v>9.2</x:v>
      </x:c>
      <x:c r="R479" s="10" t="str">
        <x:v>调料尽量低盐，不加白砂糖；油重已计入热量。魔芋丝低能量，不等于一份主食。</x:v>
      </x:c>
    </x:row>
    <x:row r="480" ht="37" customHeight="1">
      <x:c r="A480" t="n">
        <x:v>479</x:v>
      </x:c>
      <x:c r="B480" t="n">
        <x:v>240</x:v>
      </x:c>
      <x:c r="C480" t="n">
        <x:v>35</x:v>
      </x:c>
      <x:c r="D480" t="str">
        <x:v>午餐</x:v>
      </x:c>
      <x:c r="E480" t="str">
        <x:v>海鲜</x:v>
      </x:c>
      <x:c r="F480" s="10" t="str">
        <x:v>蒜香虾仁配油麦菜口蘑｜杂粮饭</x:v>
      </x:c>
      <x:c r="G480" s="10" t="str">
        <x:v>虾仁175g、油麦菜140g、口蘑125g、杂粮饭135g、烹调油5g</x:v>
      </x:c>
      <x:c r="H480" t="str">
        <x:v>杂粮饭</x:v>
      </x:c>
      <x:c r="I480" s="10" t="str">
        <x:v>低主食需求可将主食减1/3，另加100g非淀粉蔬菜（营养值需重算）</x:v>
      </x:c>
      <x:c r="J480" s="10" t="str">
        <x:v>蒜末、白胡椒</x:v>
      </x:c>
      <x:c r="K480" t="str">
        <x:v>蒸</x:v>
      </x:c>
      <x:c r="L480" s="10" t="str">
        <x:v>食材切块，撒蒜末；上锅蒸熟，蔬菜另焯后拌匀；杂粮饭另煮熟或蒸好后同餐食用。</x:v>
      </x:c>
      <x:c r="M480" t="n">
        <x:v>25</x:v>
      </x:c>
      <x:c r="N480" t="n">
        <x:f>ROUND(SUM('食材明细'!H2870:H2875),0)</x:f>
        <x:v>410</x:v>
      </x:c>
      <x:c r="O480" t="n">
        <x:f>ROUND(SUM('食材明细'!J2870:J2875),1)</x:f>
        <x:v>43.3</x:v>
      </x:c>
      <x:c r="P480" t="n">
        <x:f>ROUND(SUM('食材明细'!L2870:L2875),1)</x:f>
        <x:v>40.9</x:v>
      </x:c>
      <x:c r="Q480" t="n">
        <x:f>ROUND(SUM('食材明细'!N2870:N2875),1)</x:f>
        <x:v>9.1</x:v>
      </x:c>
      <x:c r="R480" s="10" t="str">
        <x:v>调料尽量低盐，不加白砂糖；油重已计入热量。</x:v>
      </x:c>
    </x:row>
    <x:row r="481" ht="37" customHeight="1">
      <x:c r="A481" t="n">
        <x:v>480</x:v>
      </x:c>
      <x:c r="B481" t="n">
        <x:v>240</x:v>
      </x:c>
      <x:c r="C481" t="n">
        <x:v>35</x:v>
      </x:c>
      <x:c r="D481" t="str">
        <x:v>晚餐</x:v>
      </x:c>
      <x:c r="E481" t="str">
        <x:v>鱼类</x:v>
      </x:c>
      <x:c r="F481" s="10" t="str">
        <x:v>柠檬鲈鱼配黄瓜小白菜｜燕麦饭</x:v>
      </x:c>
      <x:c r="G481" s="10" t="str">
        <x:v>鲈鱼185g、黄瓜175g、小白菜125g、燕麦饭135g、烹调油6g</x:v>
      </x:c>
      <x:c r="H481" t="str">
        <x:v>燕麦饭</x:v>
      </x:c>
      <x:c r="I481" s="10" t="str">
        <x:v>低主食需求可将主食减1/3，另加100g非淀粉蔬菜（营养值需重算）</x:v>
      </x:c>
      <x:c r="J481" s="10" t="str">
        <x:v>柠檬片、白胡椒</x:v>
      </x:c>
      <x:c r="K481" t="str">
        <x:v>蒸</x:v>
      </x:c>
      <x:c r="L481" s="10" t="str">
        <x:v>鱼肉去刺，彻底做熟；柠檬片垫底，主食材蒸熟，蔬菜短焯后摆盘；燕麦饭另煮熟或蒸好后同餐食用。</x:v>
      </x:c>
      <x:c r="M481" t="n">
        <x:v>30</x:v>
      </x:c>
      <x:c r="N481" t="n">
        <x:f>ROUND(SUM('食材明细'!H2876:H2881),0)</x:f>
        <x:v>446</x:v>
      </x:c>
      <x:c r="O481" t="n">
        <x:f>ROUND(SUM('食材明细'!J2876:J2881),1)</x:f>
        <x:v>42.7</x:v>
      </x:c>
      <x:c r="P481" t="n">
        <x:f>ROUND(SUM('食材明细'!L2876:L2881),1)</x:f>
        <x:v>38.2</x:v>
      </x:c>
      <x:c r="Q481" t="n">
        <x:f>ROUND(SUM('食材明细'!N2876:N2881),1)</x:f>
        <x:v>14.4</x:v>
      </x:c>
      <x:c r="R481" s="10" t="str">
        <x:v>调料尽量低盐，不加白砂糖；油重已计入热量。</x:v>
      </x:c>
    </x:row>
    <x:row r="482" ht="37" customHeight="1">
      <x:c r="A482" t="n">
        <x:v>481</x:v>
      </x:c>
      <x:c r="B482" t="n">
        <x:v>241</x:v>
      </x:c>
      <x:c r="C482" t="n">
        <x:v>35</x:v>
      </x:c>
      <x:c r="D482" t="str">
        <x:v>午餐</x:v>
      </x:c>
      <x:c r="E482" t="str">
        <x:v>牛肉</x:v>
      </x:c>
      <x:c r="F482" s="10" t="str">
        <x:v>番茄牛腱子配白萝卜｜糙米饭</x:v>
      </x:c>
      <x:c r="G482" s="10" t="str">
        <x:v>牛腱子155g、番茄175g、白萝卜155g、糙米饭135g、烹调油6g</x:v>
      </x:c>
      <x:c r="H482" t="str">
        <x:v>糙米饭</x:v>
      </x:c>
      <x:c r="I482" s="10" t="str">
        <x:v>低主食需求可将主食减1/3，另加100g非淀粉蔬菜（营养值需重算）</x:v>
      </x:c>
      <x:c r="J482" s="10" t="str">
        <x:v>番茄丁、黑胡椒</x:v>
      </x:c>
      <x:c r="K482" t="str">
        <x:v>炖煮</x:v>
      </x:c>
      <x:c r="L482" s="10" t="str">
        <x:v>番茄出汁后加入主食材和少量水，轻炖至熟，再放配菜；糙米饭另煮熟或蒸好后同餐食用。</x:v>
      </x:c>
      <x:c r="M482" t="n">
        <x:v>30</x:v>
      </x:c>
      <x:c r="N482" t="n">
        <x:f>ROUND(SUM('食材明细'!H2882:H2887),0)</x:f>
        <x:v>485</x:v>
      </x:c>
      <x:c r="O482" t="n">
        <x:f>ROUND(SUM('食材明细'!J2882:J2887),1)</x:f>
        <x:v>38.6</x:v>
      </x:c>
      <x:c r="P482" t="n">
        <x:f>ROUND(SUM('食材明细'!L2882:L2887),1)</x:f>
        <x:v>44.9</x:v>
      </x:c>
      <x:c r="Q482" t="n">
        <x:f>ROUND(SUM('食材明细'!N2882:N2887),1)</x:f>
        <x:v>17</x:v>
      </x:c>
      <x:c r="R482" s="10" t="str">
        <x:v>调料尽量低盐，不加白砂糖；油重已计入热量。</x:v>
      </x:c>
    </x:row>
    <x:row r="483" ht="37" customHeight="1">
      <x:c r="A483" t="n">
        <x:v>482</x:v>
      </x:c>
      <x:c r="B483" t="n">
        <x:v>241</x:v>
      </x:c>
      <x:c r="C483" t="n">
        <x:v>35</x:v>
      </x:c>
      <x:c r="D483" t="str">
        <x:v>晚餐</x:v>
      </x:c>
      <x:c r="E483" t="str">
        <x:v>禽肉</x:v>
      </x:c>
      <x:c r="F483" s="10" t="str">
        <x:v>菌菇鸡胸肉配番茄香菇｜藜麦饭</x:v>
      </x:c>
      <x:c r="G483" s="10" t="str">
        <x:v>鸡胸肉145g、番茄140g、香菇155g、藜麦饭125g、烹调油5g</x:v>
      </x:c>
      <x:c r="H483" t="str">
        <x:v>藜麦饭</x:v>
      </x:c>
      <x:c r="I483" s="10" t="str">
        <x:v>低主食需求可将主食减1/3，另加100g非淀粉蔬菜（营养值需重算）</x:v>
      </x:c>
      <x:c r="J483" s="10" t="str">
        <x:v>姜片、香菇汁</x:v>
      </x:c>
      <x:c r="K483" t="str">
        <x:v>焖煮</x:v>
      </x:c>
      <x:c r="L483" s="10" t="str">
        <x:v>食材与菌菇加少量水焖熟，出锅前加少量低盐生抽；藜麦饭另煮熟或蒸好后同餐食用。</x:v>
      </x:c>
      <x:c r="M483" t="n">
        <x:v>30</x:v>
      </x:c>
      <x:c r="N483" t="n">
        <x:f>ROUND(SUM('食材明细'!H2888:H2893),0)</x:f>
        <x:v>435</x:v>
      </x:c>
      <x:c r="O483" t="n">
        <x:f>ROUND(SUM('食材明细'!J2888:J2893),1)</x:f>
        <x:v>43.5</x:v>
      </x:c>
      <x:c r="P483" t="n">
        <x:f>ROUND(SUM('食材明细'!L2888:L2893),1)</x:f>
        <x:v>42.8</x:v>
      </x:c>
      <x:c r="Q483" t="n">
        <x:f>ROUND(SUM('食材明细'!N2888:N2893),1)</x:f>
        <x:v>11.3</x:v>
      </x:c>
      <x:c r="R483" s="10" t="str">
        <x:v>调料尽量低盐，不加白砂糖；油重已计入热量。</x:v>
      </x:c>
    </x:row>
    <x:row r="484" ht="37" customHeight="1">
      <x:c r="A484" t="n">
        <x:v>483</x:v>
      </x:c>
      <x:c r="B484" t="n">
        <x:v>242</x:v>
      </x:c>
      <x:c r="C484" t="n">
        <x:v>35</x:v>
      </x:c>
      <x:c r="D484" t="str">
        <x:v>午餐</x:v>
      </x:c>
      <x:c r="E484" t="str">
        <x:v>禽肉</x:v>
      </x:c>
      <x:c r="F484" s="10" t="str">
        <x:v>豉汁鸡胸肉配四季豆莴笋｜藜麦饭</x:v>
      </x:c>
      <x:c r="G484" s="10" t="str">
        <x:v>鸡胸肉185g、熟毛豆仁50g、四季豆175g、莴笋155g、藜麦饭150g、烹调油6g</x:v>
      </x:c>
      <x:c r="H484" t="str">
        <x:v>藜麦饭</x:v>
      </x:c>
      <x:c r="I484" s="10" t="str">
        <x:v>低主食需求可将主食减1/3，另加100g非淀粉蔬菜（营养值需重算）</x:v>
      </x:c>
      <x:c r="J484" s="10" t="str">
        <x:v>少量豆豉、姜末</x:v>
      </x:c>
      <x:c r="K484" t="str">
        <x:v>蒸</x:v>
      </x:c>
      <x:c r="L484" s="10" t="str">
        <x:v>豆豉冲洗剁碎，与姜末拌主食材后蒸熟；蔬菜另煮；藜麦饭另煮熟或蒸好后同餐食用。四季豆必须充分煮熟，不要生脆。</x:v>
      </x:c>
      <x:c r="M484" t="n">
        <x:v>15</x:v>
      </x:c>
      <x:c r="N484" t="n">
        <x:f>ROUND(SUM('食材明细'!H2894:H2899),0)</x:f>
        <x:v>575</x:v>
      </x:c>
      <x:c r="O484" t="n">
        <x:f>ROUND(SUM('食材明细'!J2894:J2899),1)</x:f>
        <x:v>59.9</x:v>
      </x:c>
      <x:c r="P484" t="n">
        <x:f>ROUND(SUM('食材明细'!L2894:L2899),1)</x:f>
        <x:v>53</x:v>
      </x:c>
      <x:c r="Q484" t="n">
        <x:f>ROUND(SUM('食材明细'!N2894:N2899),1)</x:f>
        <x:v>15.4</x:v>
      </x:c>
      <x:c r="R484" s="10" t="str">
        <x:v>调料尽量低盐，不加白砂糖；油重已计入热量。</x:v>
      </x:c>
    </x:row>
    <x:row r="485" ht="37" customHeight="1">
      <x:c r="A485" t="n">
        <x:v>484</x:v>
      </x:c>
      <x:c r="B485" t="n">
        <x:v>242</x:v>
      </x:c>
      <x:c r="C485" t="n">
        <x:v>35</x:v>
      </x:c>
      <x:c r="D485" t="str">
        <x:v>晚餐</x:v>
      </x:c>
      <x:c r="E485" t="str">
        <x:v>禽肉</x:v>
      </x:c>
      <x:c r="F485" s="10" t="str">
        <x:v>香醋鸡里脊肉配娃娃菜绿豆芽｜杂粮饭</x:v>
      </x:c>
      <x:c r="G485" s="10" t="str">
        <x:v>鸡里脊肉180g、娃娃菜190g、绿豆芽155g、杂粮饭135g、烹调油5g</x:v>
      </x:c>
      <x:c r="H485" t="str">
        <x:v>杂粮饭</x:v>
      </x:c>
      <x:c r="I485" s="10" t="str">
        <x:v>低主食需求可将主食减1/3，另加100g非淀粉蔬菜（营养值需重算）</x:v>
      </x:c>
      <x:c r="J485" s="10" t="str">
        <x:v>香醋、蒜末、少量生抽</x:v>
      </x:c>
      <x:c r="K485" t="str">
        <x:v>水煮</x:v>
      </x:c>
      <x:c r="L485" s="10" t="str">
        <x:v>食材分别煮至熟，淋香醋蒜汁，拌匀即食；杂粮饭另煮熟或蒸好后同餐食用。</x:v>
      </x:c>
      <x:c r="M485" t="n">
        <x:v>30</x:v>
      </x:c>
      <x:c r="N485" t="n">
        <x:f>ROUND(SUM('食材明细'!H2900:H2905),0)</x:f>
        <x:v>479</x:v>
      </x:c>
      <x:c r="O485" t="n">
        <x:f>ROUND(SUM('食材明细'!J2900:J2905),1)</x:f>
        <x:v>52.7</x:v>
      </x:c>
      <x:c r="P485" t="n">
        <x:f>ROUND(SUM('食材明细'!L2900:L2905),1)</x:f>
        <x:v>46.7</x:v>
      </x:c>
      <x:c r="Q485" t="n">
        <x:f>ROUND(SUM('食材明细'!N2900:N2905),1)</x:f>
        <x:v>10.4</x:v>
      </x:c>
      <x:c r="R485" s="10" t="str">
        <x:v>调料尽量低盐，不加白砂糖；油重已计入热量。</x:v>
      </x:c>
    </x:row>
    <x:row r="486" ht="37" customHeight="1">
      <x:c r="A486" t="n">
        <x:v>485</x:v>
      </x:c>
      <x:c r="B486" t="n">
        <x:v>243</x:v>
      </x:c>
      <x:c r="C486" t="n">
        <x:v>35</x:v>
      </x:c>
      <x:c r="D486" t="str">
        <x:v>午餐</x:v>
      </x:c>
      <x:c r="E486" t="str">
        <x:v>海鲜</x:v>
      </x:c>
      <x:c r="F486" s="10" t="str">
        <x:v>葱姜清蒸鱿鱼配冬瓜荷兰豆｜藜麦饭</x:v>
      </x:c>
      <x:c r="G486" s="10" t="str">
        <x:v>鱿鱼160g、冬瓜140g、荷兰豆110g、藜麦饭165g、烹调油4g</x:v>
      </x:c>
      <x:c r="H486" t="str">
        <x:v>藜麦饭</x:v>
      </x:c>
      <x:c r="I486" s="10" t="str">
        <x:v>低主食需求可将主食减1/3，另加100g非淀粉蔬菜（营养值需重算）</x:v>
      </x:c>
      <x:c r="J486" s="10" t="str">
        <x:v>葱姜、少量低盐生抽</x:v>
      </x:c>
      <x:c r="K486" t="str">
        <x:v>蒸</x:v>
      </x:c>
      <x:c r="L486" s="10" t="str">
        <x:v>切片腌5分钟；肉和配菜入盘，蒸至熟透；淋葱姜汁；藜麦饭另煮熟或蒸好后同餐食用。</x:v>
      </x:c>
      <x:c r="M486" t="n">
        <x:v>20</x:v>
      </x:c>
      <x:c r="N486" t="n">
        <x:f>ROUND(SUM('食材明细'!H2906:H2911),0)</x:f>
        <x:v>450</x:v>
      </x:c>
      <x:c r="O486" t="n">
        <x:f>ROUND(SUM('食材明细'!J2906:J2911),1)</x:f>
        <x:v>38.1</x:v>
      </x:c>
      <x:c r="P486" t="n">
        <x:f>ROUND(SUM('食材明细'!L2906:L2911),1)</x:f>
        <x:v>50.8</x:v>
      </x:c>
      <x:c r="Q486" t="n">
        <x:f>ROUND(SUM('食材明细'!N2906:N2911),1)</x:f>
        <x:v>10</x:v>
      </x:c>
      <x:c r="R486" s="10" t="str">
        <x:v>调料尽量低盐，不加白砂糖；油重已计入热量。</x:v>
      </x:c>
    </x:row>
    <x:row r="487" ht="37" customHeight="1">
      <x:c r="A487" t="n">
        <x:v>486</x:v>
      </x:c>
      <x:c r="B487" t="n">
        <x:v>243</x:v>
      </x:c>
      <x:c r="C487" t="n">
        <x:v>35</x:v>
      </x:c>
      <x:c r="D487" t="str">
        <x:v>晚餐</x:v>
      </x:c>
      <x:c r="E487" t="str">
        <x:v>豆蛋</x:v>
      </x:c>
      <x:c r="F487" s="10" t="str">
        <x:v>蒜香北豆腐虾仁烩大白菜莴笋｜紫薯</x:v>
      </x:c>
      <x:c r="G487" s="10" t="str">
        <x:v>北豆腐300g、虾仁85g、大白菜190g、莴笋155g、紫薯135g、烹调油5g</x:v>
      </x:c>
      <x:c r="H487" t="str">
        <x:v>紫薯</x:v>
      </x:c>
      <x:c r="I487" s="10" t="str">
        <x:v>想减主食可减到原量2/3，另加100g绿叶菜</x:v>
      </x:c>
      <x:c r="J487" s="10" t="str">
        <x:v>蒜末、白胡椒</x:v>
      </x:c>
      <x:c r="K487" t="str">
        <x:v>蒸</x:v>
      </x:c>
      <x:c r="L487" s="10" t="str">
        <x:v>食材切块，撒蒜末；上锅蒸熟，蔬菜另焯后拌匀；紫薯另煮熟或蒸好后同餐食用。</x:v>
      </x:c>
      <x:c r="M487" t="n">
        <x:v>30</x:v>
      </x:c>
      <x:c r="N487" t="n">
        <x:f>ROUND(SUM('食材明细'!H2912:H2917),0)</x:f>
        <x:v>575</x:v>
      </x:c>
      <x:c r="O487" t="n">
        <x:f>ROUND(SUM('食材明细'!J2912:J2917),1)</x:f>
        <x:v>52.7</x:v>
      </x:c>
      <x:c r="P487" t="n">
        <x:f>ROUND(SUM('食材明细'!L2912:L2917),1)</x:f>
        <x:v>46.5</x:v>
      </x:c>
      <x:c r="Q487" t="n">
        <x:f>ROUND(SUM('食材明细'!N2912:N2917),1)</x:f>
        <x:v>21.4</x:v>
      </x:c>
      <x:c r="R487" s="10" t="str">
        <x:v>调料尽量低盐，不加白砂糖；油重已计入热量。</x:v>
      </x:c>
    </x:row>
    <x:row r="488" ht="37" customHeight="1">
      <x:c r="A488" t="n">
        <x:v>487</x:v>
      </x:c>
      <x:c r="B488" t="n">
        <x:v>244</x:v>
      </x:c>
      <x:c r="C488" t="n">
        <x:v>35</x:v>
      </x:c>
      <x:c r="D488" t="str">
        <x:v>午餐</x:v>
      </x:c>
      <x:c r="E488" t="str">
        <x:v>海鲜</x:v>
      </x:c>
      <x:c r="F488" s="10" t="str">
        <x:v>蒜香虾仁配竹笋绿豆芽｜土豆</x:v>
      </x:c>
      <x:c r="G488" s="10" t="str">
        <x:v>虾仁190g、熟毛豆仁50g、竹笋190g、绿豆芽155g、土豆125g、烹调油5g</x:v>
      </x:c>
      <x:c r="H488" t="str">
        <x:v>土豆</x:v>
      </x:c>
      <x:c r="I488" s="10" t="str">
        <x:v>想减主食可减到原量2/3，另加100g绿叶菜</x:v>
      </x:c>
      <x:c r="J488" s="10" t="str">
        <x:v>蒜末、白胡椒</x:v>
      </x:c>
      <x:c r="K488" t="str">
        <x:v>蒸</x:v>
      </x:c>
      <x:c r="L488" s="10" t="str">
        <x:v>食材切块，撒蒜末；上锅蒸熟，蔬菜另焯后拌匀；土豆另煮熟或蒸好后同餐食用。</x:v>
      </x:c>
      <x:c r="M488" t="n">
        <x:v>30</x:v>
      </x:c>
      <x:c r="N488" t="n">
        <x:f>ROUND(SUM('食材明细'!H2918:H2923),0)</x:f>
        <x:v>473</x:v>
      </x:c>
      <x:c r="O488" t="n">
        <x:f>ROUND(SUM('食材明细'!J2918:J2923),1)</x:f>
        <x:v>54.2</x:v>
      </x:c>
      <x:c r="P488" t="n">
        <x:f>ROUND(SUM('食材明细'!L2918:L2923),1)</x:f>
        <x:v>45.9</x:v>
      </x:c>
      <x:c r="Q488" t="n">
        <x:f>ROUND(SUM('食材明细'!N2918:N2923),1)</x:f>
        <x:v>10.6</x:v>
      </x:c>
      <x:c r="R488" s="10" t="str">
        <x:v>调料尽量低盐，不加白砂糖；油重已计入热量。</x:v>
      </x:c>
    </x:row>
    <x:row r="489" ht="37" customHeight="1">
      <x:c r="A489" t="n">
        <x:v>488</x:v>
      </x:c>
      <x:c r="B489" t="n">
        <x:v>244</x:v>
      </x:c>
      <x:c r="C489" t="n">
        <x:v>35</x:v>
      </x:c>
      <x:c r="D489" t="str">
        <x:v>晚餐</x:v>
      </x:c>
      <x:c r="E489" t="str">
        <x:v>鱼类</x:v>
      </x:c>
      <x:c r="F489" s="10" t="str">
        <x:v>酸汤巴沙鱼配四季豆泡发木耳｜乌冬面</x:v>
      </x:c>
      <x:c r="G489" s="10" t="str">
        <x:v>巴沙鱼200g、四季豆190g、泡发木耳125g、乌冬面110g、烹调油5g</x:v>
      </x:c>
      <x:c r="H489" t="str">
        <x:v>乌冬面</x:v>
      </x:c>
      <x:c r="I489" s="10" t="str">
        <x:v>低主食需求可将主食减1/3，另加100g非淀粉蔬菜（营养值需重算）</x:v>
      </x:c>
      <x:c r="J489" s="10" t="str">
        <x:v>米醋、番茄、少许辣椒</x:v>
      </x:c>
      <x:c r="K489" t="str">
        <x:v>水煮</x:v>
      </x:c>
      <x:c r="L489" s="10" t="str">
        <x:v>鱼肉去刺，彻底做熟；番茄煮成酸汤，主食材汆熟，加入蔬菜再煮2～5分钟；面/魔芋丝煮熟后与菜合碗。四季豆必须充分煮熟，不要生脆。</x:v>
      </x:c>
      <x:c r="M489" t="n">
        <x:v>30</x:v>
      </x:c>
      <x:c r="N489" t="n">
        <x:f>ROUND(SUM('食材明细'!H2924:H2929),0)</x:f>
        <x:v>447</x:v>
      </x:c>
      <x:c r="O489" t="n">
        <x:f>ROUND(SUM('食材明细'!J2924:J2929),1)</x:f>
        <x:v>42.1</x:v>
      </x:c>
      <x:c r="P489" t="n">
        <x:f>ROUND(SUM('食材明细'!L2924:L2929),1)</x:f>
        <x:v>48.3</x:v>
      </x:c>
      <x:c r="Q489" t="n">
        <x:f>ROUND(SUM('食材明细'!N2924:N2929),1)</x:f>
        <x:v>10.6</x:v>
      </x:c>
      <x:c r="R489" s="10" t="str">
        <x:v>调料尽量低盐，不加白砂糖；油重已计入热量。</x:v>
      </x:c>
    </x:row>
    <x:row r="490" ht="37" customHeight="1">
      <x:c r="A490" t="n">
        <x:v>489</x:v>
      </x:c>
      <x:c r="B490" t="n">
        <x:v>245</x:v>
      </x:c>
      <x:c r="C490" t="n">
        <x:v>35</x:v>
      </x:c>
      <x:c r="D490" t="str">
        <x:v>午餐</x:v>
      </x:c>
      <x:c r="E490" t="str">
        <x:v>牛肉</x:v>
      </x:c>
      <x:c r="F490" s="10" t="str">
        <x:v>椒麻瘦牛肉配花菜泡发木耳｜杂粮饭</x:v>
      </x:c>
      <x:c r="G490" s="10" t="str">
        <x:v>瘦牛肉175g、花菜175g、泡发木耳125g、杂粮饭150g、烹调油5g</x:v>
      </x:c>
      <x:c r="H490" t="str">
        <x:v>杂粮饭</x:v>
      </x:c>
      <x:c r="I490" s="10" t="str">
        <x:v>低主食需求可将主食减1/3，另加100g非淀粉蔬菜（营养值需重算）</x:v>
      </x:c>
      <x:c r="J490" s="10" t="str">
        <x:v>花椒、蒜、少量醋</x:v>
      </x:c>
      <x:c r="K490" t="str">
        <x:v>水煮</x:v>
      </x:c>
      <x:c r="L490" s="10" t="str">
        <x:v>花椒温水浸出味道，煮熟主食材和配菜，少油拌汁；杂粮饭另煮熟或蒸好后同餐食用。</x:v>
      </x:c>
      <x:c r="M490" t="n">
        <x:v>30</x:v>
      </x:c>
      <x:c r="N490" t="n">
        <x:f>ROUND(SUM('食材明细'!H2930:H2935),0)</x:f>
        <x:v>511</x:v>
      </x:c>
      <x:c r="O490" t="n">
        <x:f>ROUND(SUM('食材明细'!J2930:J2935),1)</x:f>
        <x:v>46.8</x:v>
      </x:c>
      <x:c r="P490" t="n">
        <x:f>ROUND(SUM('食材明细'!L2930:L2935),1)</x:f>
        <x:v>51.5</x:v>
      </x:c>
      <x:c r="Q490" t="n">
        <x:f>ROUND(SUM('食材明细'!N2930:N2935),1)</x:f>
        <x:v>14.3</x:v>
      </x:c>
      <x:c r="R490" s="10" t="str">
        <x:v>调料尽量低盐，不加白砂糖；油重已计入热量。</x:v>
      </x:c>
    </x:row>
    <x:row r="491" ht="37" customHeight="1">
      <x:c r="A491" t="n">
        <x:v>490</x:v>
      </x:c>
      <x:c r="B491" t="n">
        <x:v>245</x:v>
      </x:c>
      <x:c r="C491" t="n">
        <x:v>35</x:v>
      </x:c>
      <x:c r="D491" t="str">
        <x:v>晚餐</x:v>
      </x:c>
      <x:c r="E491" t="str">
        <x:v>牛肉</x:v>
      </x:c>
      <x:c r="F491" s="10" t="str">
        <x:v>椒麻牛里脊配茼蒿莴笋｜糙米饭</x:v>
      </x:c>
      <x:c r="G491" s="10" t="str">
        <x:v>牛里脊180g、茼蒿140g、莴笋125g、糙米饭95g、烹调油5g</x:v>
      </x:c>
      <x:c r="H491" t="str">
        <x:v>糙米饭</x:v>
      </x:c>
      <x:c r="I491" s="10" t="str">
        <x:v>低主食需求可将主食减1/3，另加100g非淀粉蔬菜（营养值需重算）</x:v>
      </x:c>
      <x:c r="J491" s="10" t="str">
        <x:v>花椒、蒜、少量醋</x:v>
      </x:c>
      <x:c r="K491" t="str">
        <x:v>水煮</x:v>
      </x:c>
      <x:c r="L491" s="10" t="str">
        <x:v>花椒温水浸出味道，煮熟主食材和配菜，少油拌汁；糙米饭另煮熟或蒸好后同餐食用。</x:v>
      </x:c>
      <x:c r="M491" t="n">
        <x:v>25</x:v>
      </x:c>
      <x:c r="N491" t="n">
        <x:f>ROUND(SUM('食材明细'!H2936:H2941),0)</x:f>
        <x:v>438</x:v>
      </x:c>
      <x:c r="O491" t="n">
        <x:f>ROUND(SUM('食材明细'!J2936:J2941),1)</x:f>
        <x:v>44.2</x:v>
      </x:c>
      <x:c r="P491" t="n">
        <x:f>ROUND(SUM('食材明细'!L2936:L2941),1)</x:f>
        <x:v>31.9</x:v>
      </x:c>
      <x:c r="Q491" t="n">
        <x:f>ROUND(SUM('食材明细'!N2936:N2941),1)</x:f>
        <x:v>15.1</x:v>
      </x:c>
      <x:c r="R491" s="10" t="str">
        <x:v>调料尽量低盐，不加白砂糖；油重已计入热量。</x:v>
      </x:c>
    </x:row>
    <x:row r="492" ht="37" customHeight="1">
      <x:c r="A492" t="n">
        <x:v>491</x:v>
      </x:c>
      <x:c r="B492" t="n">
        <x:v>246</x:v>
      </x:c>
      <x:c r="C492" t="n">
        <x:v>36</x:v>
      </x:c>
      <x:c r="D492" t="str">
        <x:v>午餐</x:v>
      </x:c>
      <x:c r="E492" t="str">
        <x:v>豆蛋</x:v>
      </x:c>
      <x:c r="F492" s="10" t="str">
        <x:v>剁椒北豆腐虾仁烩莴笋彩椒｜燕麦饭</x:v>
      </x:c>
      <x:c r="G492" s="10" t="str">
        <x:v>北豆腐240g、虾仁85g、莴笋190g、彩椒125g、燕麦饭150g、烹调油4g</x:v>
      </x:c>
      <x:c r="H492" t="str">
        <x:v>燕麦饭</x:v>
      </x:c>
      <x:c r="I492" s="10" t="str">
        <x:v>低主食需求可将主食减1/3，另加100g非淀粉蔬菜（营养值需重算）</x:v>
      </x:c>
      <x:c r="J492" s="10" t="str">
        <x:v>自制低盐剁椒、蒜</x:v>
      </x:c>
      <x:c r="K492" t="str">
        <x:v>蒸</x:v>
      </x:c>
      <x:c r="L492" s="10" t="str">
        <x:v>主食材铺少量低盐剁椒蒸熟，配菜焯熟后摆盘；燕麦饭另煮熟或蒸好后同餐食用。</x:v>
      </x:c>
      <x:c r="M492" t="n">
        <x:v>20</x:v>
      </x:c>
      <x:c r="N492" t="n">
        <x:f>ROUND(SUM('食材明细'!H2942:H2947),0)</x:f>
        <x:v>556</x:v>
      </x:c>
      <x:c r="O492" t="n">
        <x:f>ROUND(SUM('食材明细'!J2942:J2947),1)</x:f>
        <x:v>48.1</x:v>
      </x:c>
      <x:c r="P492" t="n">
        <x:f>ROUND(SUM('食材明细'!L2942:L2947),1)</x:f>
        <x:v>49.6</x:v>
      </x:c>
      <x:c r="Q492" t="n">
        <x:f>ROUND(SUM('食材明细'!N2942:N2947),1)</x:f>
        <x:v>20.1</x:v>
      </x:c>
      <x:c r="R492" s="10" t="str">
        <x:v>调料尽量低盐，不加白砂糖；油重已计入热量。</x:v>
      </x:c>
    </x:row>
    <x:row r="493" ht="37" customHeight="1">
      <x:c r="A493" t="n">
        <x:v>492</x:v>
      </x:c>
      <x:c r="B493" t="n">
        <x:v>246</x:v>
      </x:c>
      <x:c r="C493" t="n">
        <x:v>36</x:v>
      </x:c>
      <x:c r="D493" t="str">
        <x:v>晚餐</x:v>
      </x:c>
      <x:c r="E493" t="str">
        <x:v>牛肉</x:v>
      </x:c>
      <x:c r="F493" s="10" t="str">
        <x:v>番茄瘦牛肉配白萝卜｜糙米饭</x:v>
      </x:c>
      <x:c r="G493" s="10" t="str">
        <x:v>瘦牛肉160g、番茄190g、白萝卜125g、糙米饭125g、烹调油3g</x:v>
      </x:c>
      <x:c r="H493" t="str">
        <x:v>糙米饭</x:v>
      </x:c>
      <x:c r="I493" s="10" t="str">
        <x:v>低主食需求可将主食减1/3，另加100g非淀粉蔬菜（营养值需重算）</x:v>
      </x:c>
      <x:c r="J493" s="10" t="str">
        <x:v>番茄丁、黑胡椒</x:v>
      </x:c>
      <x:c r="K493" t="str">
        <x:v>炖煮</x:v>
      </x:c>
      <x:c r="L493" s="10" t="str">
        <x:v>番茄出汁后加入主食材和少量水，轻炖至熟，再放配菜；糙米饭另煮熟或蒸好后同餐食用。</x:v>
      </x:c>
      <x:c r="M493" t="n">
        <x:v>35</x:v>
      </x:c>
      <x:c r="N493" t="n">
        <x:f>ROUND(SUM('食材明细'!H2948:H2953),0)</x:f>
        <x:v>428</x:v>
      </x:c>
      <x:c r="O493" t="n">
        <x:f>ROUND(SUM('食材明细'!J2948:J2953),1)</x:f>
        <x:v>39.3</x:v>
      </x:c>
      <x:c r="P493" t="n">
        <x:f>ROUND(SUM('食材明细'!L2948:L2953),1)</x:f>
        <x:v>42</x:v>
      </x:c>
      <x:c r="Q493" t="n">
        <x:f>ROUND(SUM('食材明细'!N2948:N2953),1)</x:f>
        <x:v>11</x:v>
      </x:c>
      <x:c r="R493" s="10" t="str">
        <x:v>调料尽量低盐，不加白砂糖；油重已计入热量。</x:v>
      </x:c>
    </x:row>
    <x:row r="494" ht="37" customHeight="1">
      <x:c r="A494" t="n">
        <x:v>493</x:v>
      </x:c>
      <x:c r="B494" t="n">
        <x:v>247</x:v>
      </x:c>
      <x:c r="C494" t="n">
        <x:v>36</x:v>
      </x:c>
      <x:c r="D494" t="str">
        <x:v>午餐</x:v>
      </x:c>
      <x:c r="E494" t="str">
        <x:v>鱼类</x:v>
      </x:c>
      <x:c r="F494" s="10" t="str">
        <x:v>番茄鲈鱼配绿豆芽｜糙米饭</x:v>
      </x:c>
      <x:c r="G494" s="10" t="str">
        <x:v>鲈鱼175g、嫩豆腐110g、番茄175g、绿豆芽155g、糙米饭150g、烹调油3g</x:v>
      </x:c>
      <x:c r="H494" t="str">
        <x:v>糙米饭</x:v>
      </x:c>
      <x:c r="I494" s="10" t="str">
        <x:v>低主食需求可将主食减1/3，另加100g非淀粉蔬菜（营养值需重算）</x:v>
      </x:c>
      <x:c r="J494" s="10" t="str">
        <x:v>番茄丁、黑胡椒</x:v>
      </x:c>
      <x:c r="K494" t="str">
        <x:v>炖煮</x:v>
      </x:c>
      <x:c r="L494" s="10" t="str">
        <x:v>鱼肉去刺，彻底做熟；番茄出汁后加入主食材和少量水，轻炖至熟，再放配菜；糙米饭另煮熟或蒸好后同餐食用。</x:v>
      </x:c>
      <x:c r="M494" t="n">
        <x:v>30</x:v>
      </x:c>
      <x:c r="N494" t="n">
        <x:f>ROUND(SUM('食材明细'!H2954:H2959),0)</x:f>
        <x:v>522</x:v>
      </x:c>
      <x:c r="O494" t="n">
        <x:f>ROUND(SUM('食材明细'!J2954:J2959),1)</x:f>
        <x:v>48.9</x:v>
      </x:c>
      <x:c r="P494" t="n">
        <x:f>ROUND(SUM('食材明细'!L2954:L2959),1)</x:f>
        <x:v>53.8</x:v>
      </x:c>
      <x:c r="Q494" t="n">
        <x:f>ROUND(SUM('食材明细'!N2954:N2959),1)</x:f>
        <x:v>13.3</x:v>
      </x:c>
      <x:c r="R494" s="10" t="str">
        <x:v>调料尽量低盐，不加白砂糖；油重已计入热量。</x:v>
      </x:c>
    </x:row>
    <x:row r="495" ht="37" customHeight="1">
      <x:c r="A495" t="n">
        <x:v>494</x:v>
      </x:c>
      <x:c r="B495" t="n">
        <x:v>247</x:v>
      </x:c>
      <x:c r="C495" t="n">
        <x:v>36</x:v>
      </x:c>
      <x:c r="D495" t="str">
        <x:v>晚餐</x:v>
      </x:c>
      <x:c r="E495" t="str">
        <x:v>猪肉</x:v>
      </x:c>
      <x:c r="F495" s="10" t="str">
        <x:v>咖喱猪里脊配西葫芦番茄｜藜麦饭</x:v>
      </x:c>
      <x:c r="G495" s="10" t="str">
        <x:v>猪里脊170g、西葫芦175g、番茄155g、藜麦饭125g、烹调油6g</x:v>
      </x:c>
      <x:c r="H495" t="str">
        <x:v>藜麦饭</x:v>
      </x:c>
      <x:c r="I495" s="10" t="str">
        <x:v>低主食需求可将主食减1/3，另加100g非淀粉蔬菜（营养值需重算）</x:v>
      </x:c>
      <x:c r="J495" s="10" t="str">
        <x:v>无加糖咖喱粉、姜末</x:v>
      </x:c>
      <x:c r="K495" t="str">
        <x:v>炖煮</x:v>
      </x:c>
      <x:c r="L495" s="10" t="str">
        <x:v>用咖喱粉而非高脂咖喱块，加水轻炖主食材和蔬菜；藜麦饭另煮熟或蒸好后同餐食用。</x:v>
      </x:c>
      <x:c r="M495" t="n">
        <x:v>25</x:v>
      </x:c>
      <x:c r="N495" t="n">
        <x:f>ROUND(SUM('食材明细'!H2960:H2965),0)</x:f>
        <x:v>469</x:v>
      </x:c>
      <x:c r="O495" t="n">
        <x:f>ROUND(SUM('食材明细'!J2960:J2965),1)</x:f>
        <x:v>44.7</x:v>
      </x:c>
      <x:c r="P495" t="n">
        <x:f>ROUND(SUM('食材明细'!L2960:L2965),1)</x:f>
        <x:v>38.3</x:v>
      </x:c>
      <x:c r="Q495" t="n">
        <x:f>ROUND(SUM('食材明细'!N2960:N2965),1)</x:f>
        <x:v>15.2</x:v>
      </x:c>
      <x:c r="R495" s="10" t="str">
        <x:v>调料尽量低盐，不加白砂糖；油重已计入热量。</x:v>
      </x:c>
    </x:row>
    <x:row r="496" ht="37" customHeight="1">
      <x:c r="A496" t="n">
        <x:v>495</x:v>
      </x:c>
      <x:c r="B496" t="n">
        <x:v>248</x:v>
      </x:c>
      <x:c r="C496" t="n">
        <x:v>36</x:v>
      </x:c>
      <x:c r="D496" t="str">
        <x:v>午餐</x:v>
      </x:c>
      <x:c r="E496" t="str">
        <x:v>鱼类</x:v>
      </x:c>
      <x:c r="F496" s="10" t="str">
        <x:v>剁椒鳕鱼配大白菜口蘑｜乌冬面</x:v>
      </x:c>
      <x:c r="G496" s="10" t="str">
        <x:v>鳕鱼215g、大白菜175g、口蘑125g、乌冬面125g、烹调油3g</x:v>
      </x:c>
      <x:c r="H496" t="str">
        <x:v>乌冬面</x:v>
      </x:c>
      <x:c r="I496" s="10" t="str">
        <x:v>低主食需求可将主食减1/3，另加100g非淀粉蔬菜（营养值需重算）</x:v>
      </x:c>
      <x:c r="J496" s="10" t="str">
        <x:v>自制低盐剁椒、蒜</x:v>
      </x:c>
      <x:c r="K496" t="str">
        <x:v>蒸</x:v>
      </x:c>
      <x:c r="L496" s="10" t="str">
        <x:v>鱼肉去刺，彻底做熟；主食材铺少量低盐剁椒蒸熟，配菜焯熟后摆盘；面/魔芋丝煮熟后与菜合碗。</x:v>
      </x:c>
      <x:c r="M496" t="n">
        <x:v>20</x:v>
      </x:c>
      <x:c r="N496" t="n">
        <x:f>ROUND(SUM('食材明细'!H2966:H2971),0)</x:f>
        <x:v>417</x:v>
      </x:c>
      <x:c r="O496" t="n">
        <x:f>ROUND(SUM('食材明细'!J2966:J2971),1)</x:f>
        <x:v>48.3</x:v>
      </x:c>
      <x:c r="P496" t="n">
        <x:f>ROUND(SUM('食材明细'!L2966:L2971),1)</x:f>
        <x:v>41</x:v>
      </x:c>
      <x:c r="Q496" t="n">
        <x:f>ROUND(SUM('食材明细'!N2966:N2971),1)</x:f>
        <x:v>6</x:v>
      </x:c>
      <x:c r="R496" s="10" t="str">
        <x:v>调料尽量低盐，不加白砂糖；油重已计入热量。</x:v>
      </x:c>
    </x:row>
    <x:row r="497" ht="37" customHeight="1">
      <x:c r="A497" t="n">
        <x:v>496</x:v>
      </x:c>
      <x:c r="B497" t="n">
        <x:v>248</x:v>
      </x:c>
      <x:c r="C497" t="n">
        <x:v>36</x:v>
      </x:c>
      <x:c r="D497" t="str">
        <x:v>晚餐</x:v>
      </x:c>
      <x:c r="E497" t="str">
        <x:v>豆蛋</x:v>
      </x:c>
      <x:c r="F497" s="10" t="str">
        <x:v>椒麻北豆腐熟毛豆仁烩芹菜香菇｜杂粮饭</x:v>
      </x:c>
      <x:c r="G497" s="10" t="str">
        <x:v>北豆腐240g、熟毛豆仁50g、芹菜190g、香菇155g、杂粮饭110g、烹调油6g</x:v>
      </x:c>
      <x:c r="H497" t="str">
        <x:v>杂粮饭</x:v>
      </x:c>
      <x:c r="I497" s="10" t="str">
        <x:v>低主食需求可将主食减1/3，另加100g非淀粉蔬菜（营养值需重算）</x:v>
      </x:c>
      <x:c r="J497" s="10" t="str">
        <x:v>花椒、蒜、少量醋</x:v>
      </x:c>
      <x:c r="K497" t="str">
        <x:v>水煮</x:v>
      </x:c>
      <x:c r="L497" s="10" t="str">
        <x:v>花椒温水浸出味道，煮熟主食材和配菜，少油拌汁；杂粮饭另煮熟或蒸好后同餐食用。</x:v>
      </x:c>
      <x:c r="M497" t="n">
        <x:v>15</x:v>
      </x:c>
      <x:c r="N497" t="n">
        <x:f>ROUND(SUM('食材明细'!H2972:H2977),0)</x:f>
        <x:v>542</x:v>
      </x:c>
      <x:c r="O497" t="n">
        <x:f>ROUND(SUM('食材明细'!J2972:J2977),1)</x:f>
        <x:v>38.7</x:v>
      </x:c>
      <x:c r="P497" t="n">
        <x:f>ROUND(SUM('食材明细'!L2972:L2977),1)</x:f>
        <x:v>52.3</x:v>
      </x:c>
      <x:c r="Q497" t="n">
        <x:f>ROUND(SUM('食材明细'!N2972:N2977),1)</x:f>
        <x:v>22.7</x:v>
      </x:c>
      <x:c r="R497" s="10" t="str">
        <x:v>调料尽量低盐，不加白砂糖；油重已计入热量。</x:v>
      </x:c>
    </x:row>
    <x:row r="498" ht="37" customHeight="1">
      <x:c r="A498" t="n">
        <x:v>497</x:v>
      </x:c>
      <x:c r="B498" t="n">
        <x:v>249</x:v>
      </x:c>
      <x:c r="C498" t="n">
        <x:v>36</x:v>
      </x:c>
      <x:c r="D498" t="str">
        <x:v>午餐</x:v>
      </x:c>
      <x:c r="E498" t="str">
        <x:v>禽肉</x:v>
      </x:c>
      <x:c r="F498" s="10" t="str">
        <x:v>孜然鸡胸肉配秋葵紫甘蓝｜糙米饭</x:v>
      </x:c>
      <x:c r="G498" s="10" t="str">
        <x:v>鸡胸肉155g、秋葵175g、紫甘蓝140g、糙米饭150g、烹调油3g</x:v>
      </x:c>
      <x:c r="H498" t="str">
        <x:v>糙米饭</x:v>
      </x:c>
      <x:c r="I498" s="10" t="str">
        <x:v>低主食需求可将主食减1/3，另加100g非淀粉蔬菜（营养值需重算）</x:v>
      </x:c>
      <x:c r="J498" s="10" t="str">
        <x:v>孜然、辣椒粉、蒜末</x:v>
      </x:c>
      <x:c r="K498" t="str">
        <x:v>少油焖</x:v>
      </x:c>
      <x:c r="L498" s="10" t="str">
        <x:v>主食材用少量油和水焖熟，下蔬菜翻拌，撒孜然；糙米饭另煮熟或蒸好后同餐食用。</x:v>
      </x:c>
      <x:c r="M498" t="n">
        <x:v>30</x:v>
      </x:c>
      <x:c r="N498" t="n">
        <x:f>ROUND(SUM('食材明细'!H2978:H2983),0)</x:f>
        <x:v>467</x:v>
      </x:c>
      <x:c r="O498" t="n">
        <x:f>ROUND(SUM('食材明细'!J2978:J2983),1)</x:f>
        <x:v>44.8</x:v>
      </x:c>
      <x:c r="P498" t="n">
        <x:f>ROUND(SUM('食材明细'!L2978:L2983),1)</x:f>
        <x:v>58.6</x:v>
      </x:c>
      <x:c r="Q498" t="n">
        <x:f>ROUND(SUM('食材明细'!N2978:N2983),1)</x:f>
        <x:v>7.9</x:v>
      </x:c>
      <x:c r="R498" s="10" t="str">
        <x:v>调料尽量低盐，不加白砂糖；油重已计入热量。</x:v>
      </x:c>
    </x:row>
    <x:row r="499" ht="37" customHeight="1">
      <x:c r="A499" t="n">
        <x:v>498</x:v>
      </x:c>
      <x:c r="B499" t="n">
        <x:v>249</x:v>
      </x:c>
      <x:c r="C499" t="n">
        <x:v>36</x:v>
      </x:c>
      <x:c r="D499" t="str">
        <x:v>晚餐</x:v>
      </x:c>
      <x:c r="E499" t="str">
        <x:v>海鲜</x:v>
      </x:c>
      <x:c r="F499" s="10" t="str">
        <x:v>柠檬虾仁配白萝卜番茄｜玉米</x:v>
      </x:c>
      <x:c r="G499" s="10" t="str">
        <x:v>虾仁160g、熟毛豆仁50g、白萝卜140g、番茄140g、玉米125g、烹调油5g</x:v>
      </x:c>
      <x:c r="H499" t="str">
        <x:v>玉米</x:v>
      </x:c>
      <x:c r="I499" s="10" t="str">
        <x:v>想减主食可减到原量2/3，另加100g绿叶菜</x:v>
      </x:c>
      <x:c r="J499" s="10" t="str">
        <x:v>柠檬片、白胡椒</x:v>
      </x:c>
      <x:c r="K499" t="str">
        <x:v>蒸</x:v>
      </x:c>
      <x:c r="L499" s="10" t="str">
        <x:v>柠檬片垫底，主食材蒸熟，蔬菜短焯后摆盘；玉米另煮熟或蒸好后同餐食用。</x:v>
      </x:c>
      <x:c r="M499" t="n">
        <x:v>15</x:v>
      </x:c>
      <x:c r="N499" t="n">
        <x:f>ROUND(SUM('食材明细'!H2984:H2989),0)</x:f>
        <x:v>433</x:v>
      </x:c>
      <x:c r="O499" t="n">
        <x:f>ROUND(SUM('食材明细'!J2984:J2989),1)</x:f>
        <x:v>42.8</x:v>
      </x:c>
      <x:c r="P499" t="n">
        <x:f>ROUND(SUM('食材明细'!L2984:L2989),1)</x:f>
        <x:v>43.8</x:v>
      </x:c>
      <x:c r="Q499" t="n">
        <x:f>ROUND(SUM('食材明细'!N2984:N2989),1)</x:f>
        <x:v>11.6</x:v>
      </x:c>
      <x:c r="R499" s="10" t="str">
        <x:v>调料尽量低盐，不加白砂糖；油重已计入热量。</x:v>
      </x:c>
    </x:row>
    <x:row r="500" ht="37" customHeight="1">
      <x:c r="A500" t="n">
        <x:v>499</x:v>
      </x:c>
      <x:c r="B500" t="n">
        <x:v>250</x:v>
      </x:c>
      <x:c r="C500" t="n">
        <x:v>36</x:v>
      </x:c>
      <x:c r="D500" t="str">
        <x:v>午餐</x:v>
      </x:c>
      <x:c r="E500" t="str">
        <x:v>豆蛋</x:v>
      </x:c>
      <x:c r="F500" s="10" t="str">
        <x:v>剁椒北豆腐配彩椒荷兰豆｜杂粮饭</x:v>
      </x:c>
      <x:c r="G500" s="10" t="str">
        <x:v>北豆腐300g、彩椒175g、荷兰豆155g、杂粮饭135g、烹调油5g</x:v>
      </x:c>
      <x:c r="H500" t="str">
        <x:v>杂粮饭</x:v>
      </x:c>
      <x:c r="I500" s="10" t="str">
        <x:v>低主食需求可将主食减1/3，另加100g非淀粉蔬菜（营养值需重算）</x:v>
      </x:c>
      <x:c r="J500" s="10" t="str">
        <x:v>自制低盐剁椒、蒜</x:v>
      </x:c>
      <x:c r="K500" t="str">
        <x:v>蒸</x:v>
      </x:c>
      <x:c r="L500" s="10" t="str">
        <x:v>主食材铺少量低盐剁椒蒸熟，配菜焯熟后摆盘；杂粮饭另煮熟或蒸好后同餐食用。</x:v>
      </x:c>
      <x:c r="M500" t="n">
        <x:v>30</x:v>
      </x:c>
      <x:c r="N500" t="n">
        <x:f>ROUND(SUM('食材明细'!H2990:H2995),0)</x:f>
        <x:v>583</x:v>
      </x:c>
      <x:c r="O500" t="n">
        <x:f>ROUND(SUM('食材明细'!J2990:J2995),1)</x:f>
        <x:v>40.3</x:v>
      </x:c>
      <x:c r="P500" t="n">
        <x:f>ROUND(SUM('食材明细'!L2990:L2995),1)</x:f>
        <x:v>60</x:v>
      </x:c>
      <x:c r="Q500" t="n">
        <x:f>ROUND(SUM('食材明细'!N2990:N2995),1)</x:f>
        <x:v>22.3</x:v>
      </x:c>
      <x:c r="R500" s="10" t="str">
        <x:v>调料尽量低盐，不加白砂糖；油重已计入热量。</x:v>
      </x:c>
    </x:row>
    <x:row r="501" ht="37" customHeight="1">
      <x:c r="A501" t="n">
        <x:v>500</x:v>
      </x:c>
      <x:c r="B501" t="n">
        <x:v>250</x:v>
      </x:c>
      <x:c r="C501" t="n">
        <x:v>36</x:v>
      </x:c>
      <x:c r="D501" t="str">
        <x:v>晚餐</x:v>
      </x:c>
      <x:c r="E501" t="str">
        <x:v>禽肉</x:v>
      </x:c>
      <x:c r="F501" s="10" t="str">
        <x:v>剁椒去皮鸡腿肉配西葫芦菜心｜米粉</x:v>
      </x:c>
      <x:c r="G501" s="10" t="str">
        <x:v>去皮鸡腿肉145g、西葫芦190g、菜心110g、米粉95g、烹调油3g</x:v>
      </x:c>
      <x:c r="H501" t="str">
        <x:v>米粉</x:v>
      </x:c>
      <x:c r="I501" s="10" t="str">
        <x:v>低主食需求可将主食减1/3，另加100g非淀粉蔬菜（营养值需重算）</x:v>
      </x:c>
      <x:c r="J501" s="10" t="str">
        <x:v>自制低盐剁椒、蒜</x:v>
      </x:c>
      <x:c r="K501" t="str">
        <x:v>蒸</x:v>
      </x:c>
      <x:c r="L501" s="10" t="str">
        <x:v>先去皮去骨并切薄，充分加热；主食材铺少量低盐剁椒蒸熟，配菜焯熟后摆盘；面/魔芋丝煮熟后与菜合碗。</x:v>
      </x:c>
      <x:c r="M501" t="n">
        <x:v>15</x:v>
      </x:c>
      <x:c r="N501" t="n">
        <x:f>ROUND(SUM('食材明细'!H2996:H3001),0)</x:f>
        <x:v>367</x:v>
      </x:c>
      <x:c r="O501" t="n">
        <x:f>ROUND(SUM('食材明细'!J2996:J3001),1)</x:f>
        <x:v>35.4</x:v>
      </x:c>
      <x:c r="P501" t="n">
        <x:f>ROUND(SUM('食材明细'!L2996:L3001),1)</x:f>
        <x:v>32.5</x:v>
      </x:c>
      <x:c r="Q501" t="n">
        <x:f>ROUND(SUM('食材明细'!N2996:N3001),1)</x:f>
        <x:v>11.5</x:v>
      </x:c>
      <x:c r="R501" s="10" t="str">
        <x:v>调料尽量低盐，不加白砂糖；油重已计入热量。</x:v>
      </x:c>
    </x:row>
    <x:row r="502" ht="37" customHeight="1">
      <x:c r="A502" t="n">
        <x:v>501</x:v>
      </x:c>
      <x:c r="B502" t="n">
        <x:v>251</x:v>
      </x:c>
      <x:c r="C502" t="n">
        <x:v>36</x:v>
      </x:c>
      <x:c r="D502" t="str">
        <x:v>午餐</x:v>
      </x:c>
      <x:c r="E502" t="str">
        <x:v>鱼类</x:v>
      </x:c>
      <x:c r="F502" s="10" t="str">
        <x:v>酸汤鳕鱼配娃娃菜彩椒｜糙米饭</x:v>
      </x:c>
      <x:c r="G502" s="10" t="str">
        <x:v>鳕鱼200g、娃娃菜190g、彩椒155g、糙米饭110g、烹调油6g</x:v>
      </x:c>
      <x:c r="H502" t="str">
        <x:v>糙米饭</x:v>
      </x:c>
      <x:c r="I502" s="10" t="str">
        <x:v>低主食需求可将主食减1/3，另加100g非淀粉蔬菜（营养值需重算）</x:v>
      </x:c>
      <x:c r="J502" s="10" t="str">
        <x:v>米醋、番茄、少许辣椒</x:v>
      </x:c>
      <x:c r="K502" t="str">
        <x:v>水煮</x:v>
      </x:c>
      <x:c r="L502" s="10" t="str">
        <x:v>鱼肉去刺，彻底做熟；番茄煮成酸汤，主食材汆熟，加入蔬菜再煮2～5分钟；糙米饭另煮熟或蒸好后同餐食用。</x:v>
      </x:c>
      <x:c r="M502" t="n">
        <x:v>15</x:v>
      </x:c>
      <x:c r="N502" t="n">
        <x:f>ROUND(SUM('食材明细'!H3002:H3007),0)</x:f>
        <x:v>421</x:v>
      </x:c>
      <x:c r="O502" t="n">
        <x:f>ROUND(SUM('食材明细'!J3002:J3007),1)</x:f>
        <x:v>42.9</x:v>
      </x:c>
      <x:c r="P502" t="n">
        <x:f>ROUND(SUM('食材明细'!L3002:L3007),1)</x:f>
        <x:v>41</x:v>
      </x:c>
      <x:c r="Q502" t="n">
        <x:f>ROUND(SUM('食材明细'!N3002:N3007),1)</x:f>
        <x:v>9.3</x:v>
      </x:c>
      <x:c r="R502" s="10" t="str">
        <x:v>调料尽量低盐，不加白砂糖；油重已计入热量。</x:v>
      </x:c>
    </x:row>
    <x:row r="503" ht="37" customHeight="1">
      <x:c r="A503" t="n">
        <x:v>502</x:v>
      </x:c>
      <x:c r="B503" t="n">
        <x:v>251</x:v>
      </x:c>
      <x:c r="C503" t="n">
        <x:v>36</x:v>
      </x:c>
      <x:c r="D503" t="str">
        <x:v>晚餐</x:v>
      </x:c>
      <x:c r="E503" t="str">
        <x:v>豆蛋</x:v>
      </x:c>
      <x:c r="F503" s="10" t="str">
        <x:v>豉汁北豆腐熟毛豆仁烩芹菜黄瓜｜荞麦面</x:v>
      </x:c>
      <x:c r="G503" s="10" t="str">
        <x:v>北豆腐300g、熟毛豆仁50g、芹菜140g、黄瓜155g、荞麦面110g、烹调油5g</x:v>
      </x:c>
      <x:c r="H503" t="str">
        <x:v>荞麦面</x:v>
      </x:c>
      <x:c r="I503" s="10" t="str">
        <x:v>低主食需求可将主食减1/3，另加100g非淀粉蔬菜（营养值需重算）</x:v>
      </x:c>
      <x:c r="J503" s="10" t="str">
        <x:v>少量豆豉、姜末</x:v>
      </x:c>
      <x:c r="K503" t="str">
        <x:v>蒸</x:v>
      </x:c>
      <x:c r="L503" s="10" t="str">
        <x:v>豆豉冲洗剁碎，与姜末拌主食材后蒸熟；蔬菜另煮；面/魔芋丝煮熟后与菜合碗。</x:v>
      </x:c>
      <x:c r="M503" t="n">
        <x:v>25</x:v>
      </x:c>
      <x:c r="N503" t="n">
        <x:f>ROUND(SUM('食材明细'!H3008:H3013),0)</x:f>
        <x:v>539</x:v>
      </x:c>
      <x:c r="O503" t="n">
        <x:f>ROUND(SUM('食材明细'!J3008:J3013),1)</x:f>
        <x:v>42.9</x:v>
      </x:c>
      <x:c r="P503" t="n">
        <x:f>ROUND(SUM('食材明细'!L3008:L3013),1)</x:f>
        <x:v>44.1</x:v>
      </x:c>
      <x:c r="Q503" t="n">
        <x:f>ROUND(SUM('食材明细'!N3008:N3013),1)</x:f>
        <x:v>23.6</x:v>
      </x:c>
      <x:c r="R503" s="10" t="str">
        <x:v>调料尽量低盐，不加白砂糖；油重已计入热量。</x:v>
      </x:c>
    </x:row>
    <x:row r="504" ht="37" customHeight="1">
      <x:c r="A504" t="n">
        <x:v>503</x:v>
      </x:c>
      <x:c r="B504" t="n">
        <x:v>252</x:v>
      </x:c>
      <x:c r="C504" t="n">
        <x:v>36</x:v>
      </x:c>
      <x:c r="D504" t="str">
        <x:v>午餐</x:v>
      </x:c>
      <x:c r="E504" t="str">
        <x:v>鱼类</x:v>
      </x:c>
      <x:c r="F504" s="10" t="str">
        <x:v>花椒鲈鱼配荷兰豆西兰花｜紫薯</x:v>
      </x:c>
      <x:c r="G504" s="10" t="str">
        <x:v>鲈鱼175g、荷兰豆190g、西兰花140g、紫薯135g、烹调油4g</x:v>
      </x:c>
      <x:c r="H504" t="str">
        <x:v>紫薯</x:v>
      </x:c>
      <x:c r="I504" s="10" t="str">
        <x:v>想减主食可减到原量2/3，另加100g绿叶菜</x:v>
      </x:c>
      <x:c r="J504" s="10" t="str">
        <x:v>花椒粉、姜丝</x:v>
      </x:c>
      <x:c r="K504" t="str">
        <x:v>蒸</x:v>
      </x:c>
      <x:c r="L504" s="10" t="str">
        <x:v>鱼肉去刺，彻底做熟；薄薄撒花椒和姜丝，蒸至熟透，搭配焯青菜；紫薯另煮熟或蒸好后同餐食用。</x:v>
      </x:c>
      <x:c r="M504" t="n">
        <x:v>15</x:v>
      </x:c>
      <x:c r="N504" t="n">
        <x:f>ROUND(SUM('食材明细'!H3014:H3019),0)</x:f>
        <x:v>475</x:v>
      </x:c>
      <x:c r="O504" t="n">
        <x:f>ROUND(SUM('食材明细'!J3014:J3019),1)</x:f>
        <x:v>44.7</x:v>
      </x:c>
      <x:c r="P504" t="n">
        <x:f>ROUND(SUM('食材明细'!L3014:L3019),1)</x:f>
        <x:v>53.8</x:v>
      </x:c>
      <x:c r="Q504" t="n">
        <x:f>ROUND(SUM('食材明细'!N3014:N3019),1)</x:f>
        <x:v>10.5</x:v>
      </x:c>
      <x:c r="R504" s="10" t="str">
        <x:v>调料尽量低盐，不加白砂糖；油重已计入热量。</x:v>
      </x:c>
    </x:row>
    <x:row r="505" ht="37" customHeight="1">
      <x:c r="A505" t="n">
        <x:v>504</x:v>
      </x:c>
      <x:c r="B505" t="n">
        <x:v>252</x:v>
      </x:c>
      <x:c r="C505" t="n">
        <x:v>36</x:v>
      </x:c>
      <x:c r="D505" t="str">
        <x:v>晚餐</x:v>
      </x:c>
      <x:c r="E505" t="str">
        <x:v>海鲜</x:v>
      </x:c>
      <x:c r="F505" s="10" t="str">
        <x:v>葱姜清蒸花蛤肉配小白菜海带｜糙米饭</x:v>
      </x:c>
      <x:c r="G505" s="10" t="str">
        <x:v>花蛤肉170g、小白菜140g、海带140g、糙米饭120g、烹调油5g</x:v>
      </x:c>
      <x:c r="H505" t="str">
        <x:v>糙米饭</x:v>
      </x:c>
      <x:c r="I505" s="10" t="str">
        <x:v>低主食需求可将主食减1/3，另加100g非淀粉蔬菜（营养值需重算）</x:v>
      </x:c>
      <x:c r="J505" s="10" t="str">
        <x:v>葱姜、少量低盐生抽</x:v>
      </x:c>
      <x:c r="K505" t="str">
        <x:v>蒸</x:v>
      </x:c>
      <x:c r="L505" s="10" t="str">
        <x:v>切片腌5分钟；肉和配菜入盘，蒸至熟透；淋葱姜汁；糙米饭另煮熟或蒸好后同餐食用。</x:v>
      </x:c>
      <x:c r="M505" t="n">
        <x:v>30</x:v>
      </x:c>
      <x:c r="N505" t="n">
        <x:f>ROUND(SUM('食材明细'!H3020:H3025),0)</x:f>
        <x:v>366</x:v>
      </x:c>
      <x:c r="O505" t="n">
        <x:f>ROUND(SUM('食材明细'!J3020:J3025),1)</x:f>
        <x:v>28.9</x:v>
      </x:c>
      <x:c r="P505" t="n">
        <x:f>ROUND(SUM('食材明细'!L3020:L3025),1)</x:f>
        <x:v>45.1</x:v>
      </x:c>
      <x:c r="Q505" t="n">
        <x:f>ROUND(SUM('食材明细'!N3020:N3025),1)</x:f>
        <x:v>8.2</x:v>
      </x:c>
      <x:c r="R505" s="10" t="str">
        <x:v>调料尽量低盐，不加白砂糖；油重已计入热量。</x:v>
      </x:c>
    </x:row>
    <x:row r="506" ht="37" customHeight="1">
      <x:c r="A506" t="n">
        <x:v>505</x:v>
      </x:c>
      <x:c r="B506" t="n">
        <x:v>253</x:v>
      </x:c>
      <x:c r="C506" t="n">
        <x:v>37</x:v>
      </x:c>
      <x:c r="D506" t="str">
        <x:v>午餐</x:v>
      </x:c>
      <x:c r="E506" t="str">
        <x:v>豆蛋</x:v>
      </x:c>
      <x:c r="F506" s="10" t="str">
        <x:v>清汤鸡蛋北豆腐烩小白菜香菇｜燕麦饭</x:v>
      </x:c>
      <x:c r="G506" s="10" t="str">
        <x:v>鸡蛋100g、北豆腐110g、小白菜160g、香菇110g、燕麦饭150g、烹调油3g</x:v>
      </x:c>
      <x:c r="H506" t="str">
        <x:v>燕麦饭</x:v>
      </x:c>
      <x:c r="I506" s="10" t="str">
        <x:v>低主食需求可将主食减1/3，另加100g非淀粉蔬菜（营养值需重算）</x:v>
      </x:c>
      <x:c r="J506" s="10" t="str">
        <x:v>葱段、盐少量</x:v>
      </x:c>
      <x:c r="K506" t="str">
        <x:v>煮</x:v>
      </x:c>
      <x:c r="L506" s="10" t="str">
        <x:v>鸡蛋先打散成蛋液；清水煮开，按熟化时间下食材，最后放叶菜，清淡调味；燕麦饭另煮熟或蒸好后同餐食用。</x:v>
      </x:c>
      <x:c r="M506" t="n">
        <x:v>25</x:v>
      </x:c>
      <x:c r="N506" t="n">
        <x:f>ROUND(SUM('食材明细'!H3026:H3031),0)</x:f>
        <x:v>500</x:v>
      </x:c>
      <x:c r="O506" t="n">
        <x:f>ROUND(SUM('食材明细'!J3026:J3031),1)</x:f>
        <x:v>33.8</x:v>
      </x:c>
      <x:c r="P506" t="n">
        <x:f>ROUND(SUM('食材明细'!L3026:L3031),1)</x:f>
        <x:v>46.8</x:v>
      </x:c>
      <x:c r="Q506" t="n">
        <x:f>ROUND(SUM('食材明细'!N3026:N3031),1)</x:f>
        <x:v>22.1</x:v>
      </x:c>
      <x:c r="R506" s="10" t="str">
        <x:v>调料尽量低盐，不加白砂糖；油重已计入热量。</x:v>
      </x:c>
    </x:row>
    <x:row r="507" ht="37" customHeight="1">
      <x:c r="A507" t="n">
        <x:v>506</x:v>
      </x:c>
      <x:c r="B507" t="n">
        <x:v>253</x:v>
      </x:c>
      <x:c r="C507" t="n">
        <x:v>37</x:v>
      </x:c>
      <x:c r="D507" t="str">
        <x:v>晚餐</x:v>
      </x:c>
      <x:c r="E507" t="str">
        <x:v>豆蛋</x:v>
      </x:c>
      <x:c r="F507" s="10" t="str">
        <x:v>蚝香北豆腐熟毛豆仁烩西兰花泡发木耳｜糙米饭</x:v>
      </x:c>
      <x:c r="G507" s="10" t="str">
        <x:v>北豆腐260g、熟毛豆仁50g、西兰花140g、泡发木耳110g、糙米饭135g、烹调油5g</x:v>
      </x:c>
      <x:c r="H507" t="str">
        <x:v>糙米饭</x:v>
      </x:c>
      <x:c r="I507" s="10" t="str">
        <x:v>低主食需求可将主食减1/3，另加100g非淀粉蔬菜（营养值需重算）</x:v>
      </x:c>
      <x:c r="J507" s="10" t="str">
        <x:v>低钠蚝油少量、姜蒜</x:v>
      </x:c>
      <x:c r="K507" t="str">
        <x:v>少油烩</x:v>
      </x:c>
      <x:c r="L507" s="10" t="str">
        <x:v>主食材和蔬菜少油少水烩熟，起锅前点少量蚝油；糙米饭另煮熟或蒸好后同餐食用。</x:v>
      </x:c>
      <x:c r="M507" t="n">
        <x:v>25</x:v>
      </x:c>
      <x:c r="N507" t="n">
        <x:f>ROUND(SUM('食材明细'!H3032:H3037),0)</x:f>
        <x:v>565</x:v>
      </x:c>
      <x:c r="O507" t="n">
        <x:f>ROUND(SUM('食材明细'!J3032:J3037),1)</x:f>
        <x:v>41.1</x:v>
      </x:c>
      <x:c r="P507" t="n">
        <x:f>ROUND(SUM('食材明细'!L3032:L3037),1)</x:f>
        <x:v>57.8</x:v>
      </x:c>
      <x:c r="Q507" t="n">
        <x:f>ROUND(SUM('食材明细'!N3032:N3037),1)</x:f>
        <x:v>22.4</x:v>
      </x:c>
      <x:c r="R507" s="10" t="str">
        <x:v>调料尽量低盐，不加白砂糖；油重已计入热量。</x:v>
      </x:c>
    </x:row>
    <x:row r="508" ht="37" customHeight="1">
      <x:c r="A508" t="n">
        <x:v>507</x:v>
      </x:c>
      <x:c r="B508" t="n">
        <x:v>254</x:v>
      </x:c>
      <x:c r="C508" t="n">
        <x:v>37</x:v>
      </x:c>
      <x:c r="D508" t="str">
        <x:v>午餐</x:v>
      </x:c>
      <x:c r="E508" t="str">
        <x:v>海鲜</x:v>
      </x:c>
      <x:c r="F508" s="10" t="str">
        <x:v>葱姜清蒸虾仁配番茄莴笋｜糙米饭</x:v>
      </x:c>
      <x:c r="G508" s="10" t="str">
        <x:v>虾仁175g、北豆腐90g、番茄190g、莴笋155g、糙米饭110g、烹调油6g</x:v>
      </x:c>
      <x:c r="H508" t="str">
        <x:v>糙米饭</x:v>
      </x:c>
      <x:c r="I508" s="10" t="str">
        <x:v>低主食需求可将主食减1/3，另加100g非淀粉蔬菜（营养值需重算）</x:v>
      </x:c>
      <x:c r="J508" s="10" t="str">
        <x:v>葱姜、少量低盐生抽</x:v>
      </x:c>
      <x:c r="K508" t="str">
        <x:v>蒸</x:v>
      </x:c>
      <x:c r="L508" s="10" t="str">
        <x:v>切片腌5分钟；肉和配菜入盘，蒸至熟透；淋葱姜汁；糙米饭另煮熟或蒸好后同餐食用。</x:v>
      </x:c>
      <x:c r="M508" t="n">
        <x:v>15</x:v>
      </x:c>
      <x:c r="N508" t="n">
        <x:f>ROUND(SUM('食材明细'!H3038:H3043),0)</x:f>
        <x:v>477</x:v>
      </x:c>
      <x:c r="O508" t="n">
        <x:f>ROUND(SUM('食材明细'!J3038:J3043),1)</x:f>
        <x:v>48.4</x:v>
      </x:c>
      <x:c r="P508" t="n">
        <x:f>ROUND(SUM('食材明细'!L3038:L3043),1)</x:f>
        <x:v>40.3</x:v>
      </x:c>
      <x:c r="Q508" t="n">
        <x:f>ROUND(SUM('食材明细'!N3038:N3043),1)</x:f>
        <x:v>14</x:v>
      </x:c>
      <x:c r="R508" s="10" t="str">
        <x:v>调料尽量低盐，不加白砂糖；油重已计入热量。</x:v>
      </x:c>
    </x:row>
    <x:row r="509" ht="37" customHeight="1">
      <x:c r="A509" t="n">
        <x:v>508</x:v>
      </x:c>
      <x:c r="B509" t="n">
        <x:v>254</x:v>
      </x:c>
      <x:c r="C509" t="n">
        <x:v>37</x:v>
      </x:c>
      <x:c r="D509" t="str">
        <x:v>晚餐</x:v>
      </x:c>
      <x:c r="E509" t="str">
        <x:v>豆蛋</x:v>
      </x:c>
      <x:c r="F509" s="10" t="str">
        <x:v>葱姜清蒸鸡蛋北豆腐烩芦笋金针菇｜杂粮饭</x:v>
      </x:c>
      <x:c r="G509" s="10" t="str">
        <x:v>鸡蛋100g、北豆腐110g、芦笋175g、金针菇125g、杂粮饭135g、烹调油5g</x:v>
      </x:c>
      <x:c r="H509" t="str">
        <x:v>杂粮饭</x:v>
      </x:c>
      <x:c r="I509" s="10" t="str">
        <x:v>低主食需求可将主食减1/3，另加100g非淀粉蔬菜（营养值需重算）</x:v>
      </x:c>
      <x:c r="J509" s="10" t="str">
        <x:v>葱姜、少量低盐生抽</x:v>
      </x:c>
      <x:c r="K509" t="str">
        <x:v>蒸</x:v>
      </x:c>
      <x:c r="L509" s="10" t="str">
        <x:v>鸡蛋先打散成蛋液；切片腌5分钟；肉和配菜入盘，蒸至熟透；淋葱姜汁；杂粮饭另煮熟或蒸好后同餐食用。</x:v>
      </x:c>
      <x:c r="M509" t="n">
        <x:v>15</x:v>
      </x:c>
      <x:c r="N509" t="n">
        <x:f>ROUND(SUM('食材明细'!H3044:H3049),0)</x:f>
        <x:v>518</x:v>
      </x:c>
      <x:c r="O509" t="n">
        <x:f>ROUND(SUM('食材明细'!J3044:J3049),1)</x:f>
        <x:v>35</x:v>
      </x:c>
      <x:c r="P509" t="n">
        <x:f>ROUND(SUM('食材明细'!L3044:L3049),1)</x:f>
        <x:v>49.9</x:v>
      </x:c>
      <x:c r="Q509" t="n">
        <x:f>ROUND(SUM('食材明细'!N3044:N3049),1)</x:f>
        <x:v>22.4</x:v>
      </x:c>
      <x:c r="R509" s="10" t="str">
        <x:v>调料尽量低盐，不加白砂糖；油重已计入热量。</x:v>
      </x:c>
    </x:row>
    <x:row r="510" ht="37" customHeight="1">
      <x:c r="A510" t="n">
        <x:v>509</x:v>
      </x:c>
      <x:c r="B510" t="n">
        <x:v>255</x:v>
      </x:c>
      <x:c r="C510" t="n">
        <x:v>37</x:v>
      </x:c>
      <x:c r="D510" t="str">
        <x:v>午餐</x:v>
      </x:c>
      <x:c r="E510" t="str">
        <x:v>鱼类</x:v>
      </x:c>
      <x:c r="F510" s="10" t="str">
        <x:v>豉汁鳕鱼配荷兰豆彩椒｜糙米饭</x:v>
      </x:c>
      <x:c r="G510" s="10" t="str">
        <x:v>鳕鱼200g、荷兰豆190g、彩椒140g、糙米饭110g、烹调油5g</x:v>
      </x:c>
      <x:c r="H510" t="str">
        <x:v>糙米饭</x:v>
      </x:c>
      <x:c r="I510" s="10" t="str">
        <x:v>低主食需求可将主食减1/3，另加100g非淀粉蔬菜（营养值需重算）</x:v>
      </x:c>
      <x:c r="J510" s="10" t="str">
        <x:v>少量豆豉、姜末</x:v>
      </x:c>
      <x:c r="K510" t="str">
        <x:v>蒸</x:v>
      </x:c>
      <x:c r="L510" s="10" t="str">
        <x:v>鱼肉去刺，彻底做熟；豆豉冲洗剁碎，与姜末拌主食材后蒸熟；蔬菜另煮；糙米饭另煮熟或蒸好后同餐食用。</x:v>
      </x:c>
      <x:c r="M510" t="n">
        <x:v>30</x:v>
      </x:c>
      <x:c r="N510" t="n">
        <x:f>ROUND(SUM('食材明细'!H3050:H3055),0)</x:f>
        <x:v>456</x:v>
      </x:c>
      <x:c r="O510" t="n">
        <x:f>ROUND(SUM('食材明细'!J3050:J3055),1)</x:f>
        <x:v>45.6</x:v>
      </x:c>
      <x:c r="P510" t="n">
        <x:f>ROUND(SUM('食材明细'!L3050:L3055),1)</x:f>
        <x:v>48.6</x:v>
      </x:c>
      <x:c r="Q510" t="n">
        <x:f>ROUND(SUM('食材明细'!N3050:N3055),1)</x:f>
        <x:v>8.4</x:v>
      </x:c>
      <x:c r="R510" s="10" t="str">
        <x:v>调料尽量低盐，不加白砂糖；油重已计入热量。</x:v>
      </x:c>
    </x:row>
    <x:row r="511" ht="37" customHeight="1">
      <x:c r="A511" t="n">
        <x:v>510</x:v>
      </x:c>
      <x:c r="B511" t="n">
        <x:v>255</x:v>
      </x:c>
      <x:c r="C511" t="n">
        <x:v>37</x:v>
      </x:c>
      <x:c r="D511" t="str">
        <x:v>晚餐</x:v>
      </x:c>
      <x:c r="E511" t="str">
        <x:v>鱼类</x:v>
      </x:c>
      <x:c r="F511" s="10" t="str">
        <x:v>番茄三文鱼配荷兰豆｜白米饭</x:v>
      </x:c>
      <x:c r="G511" s="10" t="str">
        <x:v>三文鱼135g、番茄140g、荷兰豆140g、白米饭135g、烹调油4g</x:v>
      </x:c>
      <x:c r="H511" t="str">
        <x:v>白米饭</x:v>
      </x:c>
      <x:c r="I511" s="10" t="str">
        <x:v>低主食需求可将主食减1/3，另加100g非淀粉蔬菜（营养值需重算）</x:v>
      </x:c>
      <x:c r="J511" s="10" t="str">
        <x:v>番茄丁、黑胡椒</x:v>
      </x:c>
      <x:c r="K511" t="str">
        <x:v>炖煮</x:v>
      </x:c>
      <x:c r="L511" s="10" t="str">
        <x:v>鱼肉去刺，彻底做熟；番茄出汁后加入主食材和少量水，轻炖至熟，再放配菜；白米饭另煮熟或蒸好后同餐食用。</x:v>
      </x:c>
      <x:c r="M511" t="n">
        <x:v>35</x:v>
      </x:c>
      <x:c r="N511" t="n">
        <x:f>ROUND(SUM('食材明细'!H3056:H3061),0)</x:f>
        <x:v>556</x:v>
      </x:c>
      <x:c r="O511" t="n">
        <x:f>ROUND(SUM('食材明细'!J3056:J3061),1)</x:f>
        <x:v>35.7</x:v>
      </x:c>
      <x:c r="P511" t="n">
        <x:f>ROUND(SUM('食材明细'!L3056:L3061),1)</x:f>
        <x:v>50.7</x:v>
      </x:c>
      <x:c r="Q511" t="n">
        <x:f>ROUND(SUM('食材明细'!N3056:N3061),1)</x:f>
        <x:v>22.7</x:v>
      </x:c>
      <x:c r="R511" s="10" t="str">
        <x:v>调料尽量低盐，不加白砂糖；油重已计入热量。</x:v>
      </x:c>
    </x:row>
    <x:row r="512" ht="37" customHeight="1">
      <x:c r="A512" t="n">
        <x:v>511</x:v>
      </x:c>
      <x:c r="B512" t="n">
        <x:v>256</x:v>
      </x:c>
      <x:c r="C512" t="n">
        <x:v>37</x:v>
      </x:c>
      <x:c r="D512" t="str">
        <x:v>午餐</x:v>
      </x:c>
      <x:c r="E512" t="str">
        <x:v>鱼类</x:v>
      </x:c>
      <x:c r="F512" s="10" t="str">
        <x:v>葱姜清蒸鲈鱼配西兰花番茄｜藜麦饭</x:v>
      </x:c>
      <x:c r="G512" s="10" t="str">
        <x:v>鲈鱼215g、西兰花175g、番茄125g、藜麦饭150g、烹调油4g</x:v>
      </x:c>
      <x:c r="H512" t="str">
        <x:v>藜麦饭</x:v>
      </x:c>
      <x:c r="I512" s="10" t="str">
        <x:v>低主食需求可将主食减1/3，另加100g非淀粉蔬菜（营养值需重算）</x:v>
      </x:c>
      <x:c r="J512" s="10" t="str">
        <x:v>葱姜、少量低盐生抽</x:v>
      </x:c>
      <x:c r="K512" t="str">
        <x:v>蒸</x:v>
      </x:c>
      <x:c r="L512" s="10" t="str">
        <x:v>鱼肉去刺，彻底做熟；切片腌5分钟；肉和配菜入盘，蒸至熟透；淋葱姜汁；藜麦饭另煮熟或蒸好后同餐食用。</x:v>
      </x:c>
      <x:c r="M512" t="n">
        <x:v>30</x:v>
      </x:c>
      <x:c r="N512" t="n">
        <x:f>ROUND(SUM('食材明细'!H3062:H3067),0)</x:f>
        <x:v>526</x:v>
      </x:c>
      <x:c r="O512" t="n">
        <x:f>ROUND(SUM('食材明细'!J3062:J3067),1)</x:f>
        <x:v>53.5</x:v>
      </x:c>
      <x:c r="P512" t="n">
        <x:f>ROUND(SUM('食材明细'!L3062:L3067),1)</x:f>
        <x:v>49.2</x:v>
      </x:c>
      <x:c r="Q512" t="n">
        <x:f>ROUND(SUM('食材明细'!N3062:N3067),1)</x:f>
        <x:v>14.3</x:v>
      </x:c>
      <x:c r="R512" s="10" t="str">
        <x:v>调料尽量低盐，不加白砂糖；油重已计入热量。</x:v>
      </x:c>
    </x:row>
    <x:row r="513" ht="37" customHeight="1">
      <x:c r="A513" t="n">
        <x:v>512</x:v>
      </x:c>
      <x:c r="B513" t="n">
        <x:v>256</x:v>
      </x:c>
      <x:c r="C513" t="n">
        <x:v>37</x:v>
      </x:c>
      <x:c r="D513" t="str">
        <x:v>晚餐</x:v>
      </x:c>
      <x:c r="E513" t="str">
        <x:v>鱼类</x:v>
      </x:c>
      <x:c r="F513" s="10" t="str">
        <x:v>酸汤三文鱼配西兰花紫甘蓝｜杂粮饭</x:v>
      </x:c>
      <x:c r="G513" s="10" t="str">
        <x:v>三文鱼120g、西兰花140g、紫甘蓝125g、杂粮饭95g、烹调油2g</x:v>
      </x:c>
      <x:c r="H513" t="str">
        <x:v>杂粮饭</x:v>
      </x:c>
      <x:c r="I513" s="10" t="str">
        <x:v>低主食需求可将主食减1/3，另加100g非淀粉蔬菜（营养值需重算）</x:v>
      </x:c>
      <x:c r="J513" s="10" t="str">
        <x:v>米醋、番茄、少许辣椒</x:v>
      </x:c>
      <x:c r="K513" t="str">
        <x:v>水煮</x:v>
      </x:c>
      <x:c r="L513" s="10" t="str">
        <x:v>鱼肉去刺，彻底做熟；番茄煮成酸汤，主食材汆熟，加入蔬菜再煮2～5分钟；杂粮饭另煮熟或蒸好后同餐食用。</x:v>
      </x:c>
      <x:c r="M513" t="n">
        <x:v>25</x:v>
      </x:c>
      <x:c r="N513" t="n">
        <x:f>ROUND(SUM('食材明细'!H3068:H3073),0)</x:f>
        <x:v>460</x:v>
      </x:c>
      <x:c r="O513" t="n">
        <x:f>ROUND(SUM('食材明细'!J3068:J3073),1)</x:f>
        <x:v>32.6</x:v>
      </x:c>
      <x:c r="P513" t="n">
        <x:f>ROUND(SUM('食材明细'!L3068:L3073),1)</x:f>
        <x:v>41.3</x:v>
      </x:c>
      <x:c r="Q513" t="n">
        <x:f>ROUND(SUM('食材明细'!N3068:N3073),1)</x:f>
        <x:v>19.3</x:v>
      </x:c>
      <x:c r="R513" s="10" t="str">
        <x:v>调料尽量低盐，不加白砂糖；油重已计入热量。</x:v>
      </x:c>
    </x:row>
    <x:row r="514" ht="37" customHeight="1">
      <x:c r="A514" t="n">
        <x:v>513</x:v>
      </x:c>
      <x:c r="B514" t="n">
        <x:v>257</x:v>
      </x:c>
      <x:c r="C514" t="n">
        <x:v>37</x:v>
      </x:c>
      <x:c r="D514" t="str">
        <x:v>午餐</x:v>
      </x:c>
      <x:c r="E514" t="str">
        <x:v>猪肉</x:v>
      </x:c>
      <x:c r="F514" s="10" t="str">
        <x:v>番茄猪瘦肉配白萝卜｜杂粮饭</x:v>
      </x:c>
      <x:c r="G514" s="10" t="str">
        <x:v>猪瘦肉155g、番茄175g、白萝卜110g、杂粮饭150g、烹调油3g</x:v>
      </x:c>
      <x:c r="H514" t="str">
        <x:v>杂粮饭</x:v>
      </x:c>
      <x:c r="I514" s="10" t="str">
        <x:v>低主食需求可将主食减1/3，另加100g非淀粉蔬菜（营养值需重算）</x:v>
      </x:c>
      <x:c r="J514" s="10" t="str">
        <x:v>番茄丁、黑胡椒</x:v>
      </x:c>
      <x:c r="K514" t="str">
        <x:v>炖煮</x:v>
      </x:c>
      <x:c r="L514" s="10" t="str">
        <x:v>番茄出汁后加入主食材和少量水，轻炖至熟，再放配菜；杂粮饭另煮熟或蒸好后同餐食用。</x:v>
      </x:c>
      <x:c r="M514" t="n">
        <x:v>35</x:v>
      </x:c>
      <x:c r="N514" t="n">
        <x:f>ROUND(SUM('食材明细'!H3074:H3079),0)</x:f>
        <x:v>456</x:v>
      </x:c>
      <x:c r="O514" t="n">
        <x:f>ROUND(SUM('食材明细'!J3074:J3079),1)</x:f>
        <x:v>37.9</x:v>
      </x:c>
      <x:c r="P514" t="n">
        <x:f>ROUND(SUM('食材明细'!L3074:L3079),1)</x:f>
        <x:v>46.7</x:v>
      </x:c>
      <x:c r="Q514" t="n">
        <x:f>ROUND(SUM('食材明细'!N3074:N3079),1)</x:f>
        <x:v>13.6</x:v>
      </x:c>
      <x:c r="R514" s="10" t="str">
        <x:v>调料尽量低盐，不加白砂糖；油重已计入热量。</x:v>
      </x:c>
    </x:row>
    <x:row r="515" ht="37" customHeight="1">
      <x:c r="A515" t="n">
        <x:v>514</x:v>
      </x:c>
      <x:c r="B515" t="n">
        <x:v>257</x:v>
      </x:c>
      <x:c r="C515" t="n">
        <x:v>37</x:v>
      </x:c>
      <x:c r="D515" t="str">
        <x:v>晚餐</x:v>
      </x:c>
      <x:c r="E515" t="str">
        <x:v>豆蛋</x:v>
      </x:c>
      <x:c r="F515" s="10" t="str">
        <x:v>清汤鸡蛋北豆腐烩番茄金针菇｜紫薯</x:v>
      </x:c>
      <x:c r="G515" s="10" t="str">
        <x:v>鸡蛋120g、北豆腐90g、番茄160g、金针菇110g、紫薯110g、烹调油6g</x:v>
      </x:c>
      <x:c r="H515" t="str">
        <x:v>紫薯</x:v>
      </x:c>
      <x:c r="I515" s="10" t="str">
        <x:v>想减主食可减到原量2/3，另加100g绿叶菜</x:v>
      </x:c>
      <x:c r="J515" s="10" t="str">
        <x:v>葱段、盐少量</x:v>
      </x:c>
      <x:c r="K515" t="str">
        <x:v>煮</x:v>
      </x:c>
      <x:c r="L515" s="10" t="str">
        <x:v>鸡蛋先打散成蛋液；清水煮开，按熟化时间下食材，最后放叶菜，清淡调味；紫薯另煮熟或蒸好后同餐食用。</x:v>
      </x:c>
      <x:c r="M515" t="n">
        <x:v>20</x:v>
      </x:c>
      <x:c r="N515" t="n">
        <x:f>ROUND(SUM('食材明细'!H3080:H3085),0)</x:f>
        <x:v>480</x:v>
      </x:c>
      <x:c r="O515" t="n">
        <x:f>ROUND(SUM('食材明细'!J3080:J3085),1)</x:f>
        <x:v>30.4</x:v>
      </x:c>
      <x:c r="P515" t="n">
        <x:f>ROUND(SUM('食材明细'!L3080:L3085),1)</x:f>
        <x:v>40.8</x:v>
      </x:c>
      <x:c r="Q515" t="n">
        <x:f>ROUND(SUM('食材明细'!N3080:N3085),1)</x:f>
        <x:v>23.2</x:v>
      </x:c>
      <x:c r="R515" s="10" t="str">
        <x:v>调料尽量低盐，不加白砂糖；油重已计入热量。</x:v>
      </x:c>
    </x:row>
    <x:row r="516" ht="37" customHeight="1">
      <x:c r="A516" t="n">
        <x:v>515</x:v>
      </x:c>
      <x:c r="B516" t="n">
        <x:v>258</x:v>
      </x:c>
      <x:c r="C516" t="n">
        <x:v>37</x:v>
      </x:c>
      <x:c r="D516" t="str">
        <x:v>午餐</x:v>
      </x:c>
      <x:c r="E516" t="str">
        <x:v>猪肉</x:v>
      </x:c>
      <x:c r="F516" s="10" t="str">
        <x:v>无糖照烧猪瘦肉配娃娃菜洋葱｜乌冬面</x:v>
      </x:c>
      <x:c r="G516" s="10" t="str">
        <x:v>猪瘦肉175g、娃娃菜140g、洋葱140g、乌冬面165g、烹调油6g</x:v>
      </x:c>
      <x:c r="H516" t="str">
        <x:v>乌冬面</x:v>
      </x:c>
      <x:c r="I516" s="10" t="str">
        <x:v>低主食需求可将主食减1/3，另加100g非淀粉蔬菜（营养值需重算）</x:v>
      </x:c>
      <x:c r="J516" s="10" t="str">
        <x:v>低盐生抽、米醋、洋葱自然甜味</x:v>
      </x:c>
      <x:c r="K516" t="str">
        <x:v>少油煮</x:v>
      </x:c>
      <x:c r="L516" s="10" t="str">
        <x:v>生抽与米醋调汁，不加糖；肉菜加水煮熟后略收汁；面/魔芋丝煮熟后与菜合碗。</x:v>
      </x:c>
      <x:c r="M516" t="n">
        <x:v>20</x:v>
      </x:c>
      <x:c r="N516" t="n">
        <x:f>ROUND(SUM('食材明细'!H3086:H3091),0)</x:f>
        <x:v>559</x:v>
      </x:c>
      <x:c r="O516" t="n">
        <x:f>ROUND(SUM('食材明细'!J3086:J3091),1)</x:f>
        <x:v>42.5</x:v>
      </x:c>
      <x:c r="P516" t="n">
        <x:f>ROUND(SUM('食材明细'!L3086:L3091),1)</x:f>
        <x:v>58.5</x:v>
      </x:c>
      <x:c r="Q516" t="n">
        <x:f>ROUND(SUM('食材明细'!N3086:N3091),1)</x:f>
        <x:v>17</x:v>
      </x:c>
      <x:c r="R516" s="10" t="str">
        <x:v>调料尽量低盐，不加白砂糖；油重已计入热量。</x:v>
      </x:c>
    </x:row>
    <x:row r="517" ht="37" customHeight="1">
      <x:c r="A517" t="n">
        <x:v>516</x:v>
      </x:c>
      <x:c r="B517" t="n">
        <x:v>258</x:v>
      </x:c>
      <x:c r="C517" t="n">
        <x:v>37</x:v>
      </x:c>
      <x:c r="D517" t="str">
        <x:v>晚餐</x:v>
      </x:c>
      <x:c r="E517" t="str">
        <x:v>海鲜</x:v>
      </x:c>
      <x:c r="F517" s="10" t="str">
        <x:v>番茄虾仁配金针菇｜全麦面</x:v>
      </x:c>
      <x:c r="G517" s="10" t="str">
        <x:v>虾仁190g、熟毛豆仁70g、番茄175g、金针菇155g、全麦面110g、烹调油5g</x:v>
      </x:c>
      <x:c r="H517" t="str">
        <x:v>全麦面</x:v>
      </x:c>
      <x:c r="I517" s="10" t="str">
        <x:v>低主食需求可将主食减1/3，另加100g非淀粉蔬菜（营养值需重算）</x:v>
      </x:c>
      <x:c r="J517" s="10" t="str">
        <x:v>番茄丁、黑胡椒</x:v>
      </x:c>
      <x:c r="K517" t="str">
        <x:v>炖煮</x:v>
      </x:c>
      <x:c r="L517" s="10" t="str">
        <x:v>番茄出汁后加入主食材和少量水，轻炖至熟，再放配菜；面/魔芋丝煮熟后与菜合碗。</x:v>
      </x:c>
      <x:c r="M517" t="n">
        <x:v>30</x:v>
      </x:c>
      <x:c r="N517" t="n">
        <x:f>ROUND(SUM('食材明细'!H3092:H3097),0)</x:f>
        <x:v>521</x:v>
      </x:c>
      <x:c r="O517" t="n">
        <x:f>ROUND(SUM('食材明细'!J3092:J3097),1)</x:f>
        <x:v>55.3</x:v>
      </x:c>
      <x:c r="P517" t="n">
        <x:f>ROUND(SUM('食材明细'!L3092:L3097),1)</x:f>
        <x:v>51.5</x:v>
      </x:c>
      <x:c r="Q517" t="n">
        <x:f>ROUND(SUM('食材明细'!N3092:N3097),1)</x:f>
        <x:v>12.5</x:v>
      </x:c>
      <x:c r="R517" s="10" t="str">
        <x:v>调料尽量低盐，不加白砂糖；油重已计入热量。</x:v>
      </x:c>
    </x:row>
    <x:row r="518" ht="37" customHeight="1">
      <x:c r="A518" t="n">
        <x:v>517</x:v>
      </x:c>
      <x:c r="B518" t="n">
        <x:v>259</x:v>
      </x:c>
      <x:c r="C518" t="n">
        <x:v>37</x:v>
      </x:c>
      <x:c r="D518" t="str">
        <x:v>午餐</x:v>
      </x:c>
      <x:c r="E518" t="str">
        <x:v>禽肉</x:v>
      </x:c>
      <x:c r="F518" s="10" t="str">
        <x:v>无糖照烧鸡里脊肉配西兰花洋葱｜全麦面</x:v>
      </x:c>
      <x:c r="G518" s="10" t="str">
        <x:v>鸡里脊肉155g、西兰花190g、洋葱155g、全麦面165g、烹调油6g</x:v>
      </x:c>
      <x:c r="H518" t="str">
        <x:v>全麦面</x:v>
      </x:c>
      <x:c r="I518" s="10" t="str">
        <x:v>低主食需求可将主食减1/3，另加100g非淀粉蔬菜（营养值需重算）</x:v>
      </x:c>
      <x:c r="J518" s="10" t="str">
        <x:v>低盐生抽、米醋、洋葱自然甜味</x:v>
      </x:c>
      <x:c r="K518" t="str">
        <x:v>少油煮</x:v>
      </x:c>
      <x:c r="L518" s="10" t="str">
        <x:v>生抽与米醋调汁，不加糖；肉菜加水煮熟后略收汁；面/魔芋丝煮熟后与菜合碗。</x:v>
      </x:c>
      <x:c r="M518" t="n">
        <x:v>30</x:v>
      </x:c>
      <x:c r="N518" t="n">
        <x:f>ROUND(SUM('食材明细'!H3098:H3103),0)</x:f>
        <x:v>556</x:v>
      </x:c>
      <x:c r="O518" t="n">
        <x:f>ROUND(SUM('食材明细'!J3098:J3103),1)</x:f>
        <x:v>50.9</x:v>
      </x:c>
      <x:c r="P518" t="n">
        <x:f>ROUND(SUM('食材明细'!L3098:L3103),1)</x:f>
        <x:v>69</x:v>
      </x:c>
      <x:c r="Q518" t="n">
        <x:f>ROUND(SUM('食材明细'!N3098:N3103),1)</x:f>
        <x:v>11.5</x:v>
      </x:c>
      <x:c r="R518" s="10" t="str">
        <x:v>调料尽量低盐，不加白砂糖；油重已计入热量。</x:v>
      </x:c>
    </x:row>
    <x:row r="519" ht="37" customHeight="1">
      <x:c r="A519" t="n">
        <x:v>518</x:v>
      </x:c>
      <x:c r="B519" t="n">
        <x:v>259</x:v>
      </x:c>
      <x:c r="C519" t="n">
        <x:v>37</x:v>
      </x:c>
      <x:c r="D519" t="str">
        <x:v>晚餐</x:v>
      </x:c>
      <x:c r="E519" t="str">
        <x:v>海鲜</x:v>
      </x:c>
      <x:c r="F519" s="10" t="str">
        <x:v>葱姜清蒸虾仁配芦笋花菜｜红薯</x:v>
      </x:c>
      <x:c r="G519" s="10" t="str">
        <x:v>虾仁190g、芦笋140g、花菜155g、红薯110g、烹调油3g</x:v>
      </x:c>
      <x:c r="H519" t="str">
        <x:v>红薯</x:v>
      </x:c>
      <x:c r="I519" s="10" t="str">
        <x:v>想减主食可减到原量2/3，另加100g绿叶菜</x:v>
      </x:c>
      <x:c r="J519" s="10" t="str">
        <x:v>葱姜、少量低盐生抽</x:v>
      </x:c>
      <x:c r="K519" t="str">
        <x:v>蒸</x:v>
      </x:c>
      <x:c r="L519" s="10" t="str">
        <x:v>切片腌5分钟；肉和配菜入盘，蒸至熟透；淋葱姜汁；红薯另煮熟或蒸好后同餐食用。</x:v>
      </x:c>
      <x:c r="M519" t="n">
        <x:v>30</x:v>
      </x:c>
      <x:c r="N519" t="n">
        <x:f>ROUND(SUM('食材明细'!H3104:H3109),0)</x:f>
        <x:v>362</x:v>
      </x:c>
      <x:c r="O519" t="n">
        <x:f>ROUND(SUM('食材明细'!J3104:J3109),1)</x:f>
        <x:v>44</x:v>
      </x:c>
      <x:c r="P519" t="n">
        <x:f>ROUND(SUM('食材明细'!L3104:L3109),1)</x:f>
        <x:v>36.5</x:v>
      </x:c>
      <x:c r="Q519" t="n">
        <x:f>ROUND(SUM('食材明细'!N3104:N3109),1)</x:f>
        <x:v>5.8</x:v>
      </x:c>
      <x:c r="R519" s="10" t="str">
        <x:v>调料尽量低盐，不加白砂糖；油重已计入热量。</x:v>
      </x:c>
    </x:row>
    <x:row r="520" ht="37" customHeight="1">
      <x:c r="A520" t="n">
        <x:v>519</x:v>
      </x:c>
      <x:c r="B520" t="n">
        <x:v>260</x:v>
      </x:c>
      <x:c r="C520" t="n">
        <x:v>38</x:v>
      </x:c>
      <x:c r="D520" t="str">
        <x:v>午餐</x:v>
      </x:c>
      <x:c r="E520" t="str">
        <x:v>豆蛋</x:v>
      </x:c>
      <x:c r="F520" s="10" t="str">
        <x:v>葱姜清蒸嫩豆腐熟毛豆仁烩荷兰豆绿豆芽｜荞麦面</x:v>
      </x:c>
      <x:c r="G520" s="10" t="str">
        <x:v>嫩豆腐260g、熟毛豆仁50g、荷兰豆160g、绿豆芽140g、荞麦面110g、烹调油4g</x:v>
      </x:c>
      <x:c r="H520" t="str">
        <x:v>荞麦面</x:v>
      </x:c>
      <x:c r="I520" s="10" t="str">
        <x:v>低主食需求可将主食减1/3，另加100g非淀粉蔬菜（营养值需重算）</x:v>
      </x:c>
      <x:c r="J520" s="10" t="str">
        <x:v>葱姜、少量低盐生抽</x:v>
      </x:c>
      <x:c r="K520" t="str">
        <x:v>蒸</x:v>
      </x:c>
      <x:c r="L520" s="10" t="str">
        <x:v>切片腌5分钟；肉和配菜入盘，蒸至熟透；淋葱姜汁；面/魔芋丝煮熟后与菜合碗。</x:v>
      </x:c>
      <x:c r="M520" t="n">
        <x:v>20</x:v>
      </x:c>
      <x:c r="N520" t="n">
        <x:f>ROUND(SUM('食材明细'!H3110:H3115),0)</x:f>
        <x:v>465</x:v>
      </x:c>
      <x:c r="O520" t="n">
        <x:f>ROUND(SUM('食材明细'!J3110:J3115),1)</x:f>
        <x:v>32.1</x:v>
      </x:c>
      <x:c r="P520" t="n">
        <x:f>ROUND(SUM('食材明细'!L3110:L3115),1)</x:f>
        <x:v>53.2</x:v>
      </x:c>
      <x:c r="Q520" t="n">
        <x:f>ROUND(SUM('食材明细'!N3110:N3115),1)</x:f>
        <x:v>15.3</x:v>
      </x:c>
      <x:c r="R520" s="10" t="str">
        <x:v>调料尽量低盐，不加白砂糖；油重已计入热量。</x:v>
      </x:c>
    </x:row>
    <x:row r="521" ht="37" customHeight="1">
      <x:c r="A521" t="n">
        <x:v>520</x:v>
      </x:c>
      <x:c r="B521" t="n">
        <x:v>260</x:v>
      </x:c>
      <x:c r="C521" t="n">
        <x:v>38</x:v>
      </x:c>
      <x:c r="D521" t="str">
        <x:v>晚餐</x:v>
      </x:c>
      <x:c r="E521" t="str">
        <x:v>鱼类</x:v>
      </x:c>
      <x:c r="F521" s="10" t="str">
        <x:v>清汤鳕鱼配芹菜紫甘蓝｜糙米饭</x:v>
      </x:c>
      <x:c r="G521" s="10" t="str">
        <x:v>鳕鱼175g、芹菜190g、紫甘蓝155g、糙米饭135g、烹调油5g</x:v>
      </x:c>
      <x:c r="H521" t="str">
        <x:v>糙米饭</x:v>
      </x:c>
      <x:c r="I521" s="10" t="str">
        <x:v>低主食需求可将主食减1/3，另加100g非淀粉蔬菜（营养值需重算）</x:v>
      </x:c>
      <x:c r="J521" s="10" t="str">
        <x:v>葱段、盐少量</x:v>
      </x:c>
      <x:c r="K521" t="str">
        <x:v>煮</x:v>
      </x:c>
      <x:c r="L521" s="10" t="str">
        <x:v>鱼肉去刺，彻底做熟；清水煮开，按熟化时间下食材，最后放叶菜，清淡调味；糙米饭另煮熟或蒸好后同餐食用。</x:v>
      </x:c>
      <x:c r="M521" t="n">
        <x:v>25</x:v>
      </x:c>
      <x:c r="N521" t="n">
        <x:f>ROUND(SUM('食材明细'!H3116:H3121),0)</x:f>
        <x:v>425</x:v>
      </x:c>
      <x:c r="O521" t="n">
        <x:f>ROUND(SUM('食材明细'!J3116:J3121),1)</x:f>
        <x:v>39.1</x:v>
      </x:c>
      <x:c r="P521" t="n">
        <x:f>ROUND(SUM('食材明细'!L3116:L3121),1)</x:f>
        <x:v>49.7</x:v>
      </x:c>
      <x:c r="Q521" t="n">
        <x:f>ROUND(SUM('食材明细'!N3116:N3121),1)</x:f>
        <x:v>8</x:v>
      </x:c>
      <x:c r="R521" s="10" t="str">
        <x:v>调料尽量低盐，不加白砂糖；油重已计入热量。</x:v>
      </x:c>
    </x:row>
    <x:row r="522" ht="37" customHeight="1">
      <x:c r="A522" t="n">
        <x:v>521</x:v>
      </x:c>
      <x:c r="B522" t="n">
        <x:v>261</x:v>
      </x:c>
      <x:c r="C522" t="n">
        <x:v>38</x:v>
      </x:c>
      <x:c r="D522" t="str">
        <x:v>午餐</x:v>
      </x:c>
      <x:c r="E522" t="str">
        <x:v>鱼类</x:v>
      </x:c>
      <x:c r="F522" s="10" t="str">
        <x:v>豉汁巴沙鱼配彩椒莴笋｜燕麦饭</x:v>
      </x:c>
      <x:c r="G522" s="10" t="str">
        <x:v>巴沙鱼200g、彩椒160g、莴笋110g、燕麦饭110g、烹调油5g</x:v>
      </x:c>
      <x:c r="H522" t="str">
        <x:v>燕麦饭</x:v>
      </x:c>
      <x:c r="I522" s="10" t="str">
        <x:v>低主食需求可将主食减1/3，另加100g非淀粉蔬菜（营养值需重算）</x:v>
      </x:c>
      <x:c r="J522" s="10" t="str">
        <x:v>少量豆豉、姜末</x:v>
      </x:c>
      <x:c r="K522" t="str">
        <x:v>蒸</x:v>
      </x:c>
      <x:c r="L522" s="10" t="str">
        <x:v>鱼肉去刺，彻底做熟；豆豉冲洗剁碎，与姜末拌主食材后蒸熟；蔬菜另煮；燕麦饭另煮熟或蒸好后同餐食用。</x:v>
      </x:c>
      <x:c r="M522" t="n">
        <x:v>20</x:v>
      </x:c>
      <x:c r="N522" t="n">
        <x:f>ROUND(SUM('食材明细'!H3122:H3127),0)</x:f>
        <x:v>406</x:v>
      </x:c>
      <x:c r="O522" t="n">
        <x:f>ROUND(SUM('食材明细'!J3122:J3127),1)</x:f>
        <x:v>40.2</x:v>
      </x:c>
      <x:c r="P522" t="n">
        <x:f>ROUND(SUM('食材明细'!L3122:L3127),1)</x:f>
        <x:v>35.9</x:v>
      </x:c>
      <x:c r="Q522" t="n">
        <x:f>ROUND(SUM('食材明细'!N3122:N3127),1)</x:f>
        <x:v>12</x:v>
      </x:c>
      <x:c r="R522" s="10" t="str">
        <x:v>调料尽量低盐，不加白砂糖；油重已计入热量。</x:v>
      </x:c>
    </x:row>
    <x:row r="523" ht="37" customHeight="1">
      <x:c r="A523" t="n">
        <x:v>522</x:v>
      </x:c>
      <x:c r="B523" t="n">
        <x:v>261</x:v>
      </x:c>
      <x:c r="C523" t="n">
        <x:v>38</x:v>
      </x:c>
      <x:c r="D523" t="str">
        <x:v>晚餐</x:v>
      </x:c>
      <x:c r="E523" t="str">
        <x:v>牛肉</x:v>
      </x:c>
      <x:c r="F523" s="10" t="str">
        <x:v>蒜香牛腱子配菜心芦笋｜荞麦饭</x:v>
      </x:c>
      <x:c r="G523" s="10" t="str">
        <x:v>牛腱子160g、菜心140g、芦笋110g、荞麦饭125g、烹调油3g</x:v>
      </x:c>
      <x:c r="H523" t="str">
        <x:v>荞麦饭</x:v>
      </x:c>
      <x:c r="I523" s="10" t="str">
        <x:v>低主食需求可将主食减1/3，另加100g非淀粉蔬菜（营养值需重算）</x:v>
      </x:c>
      <x:c r="J523" s="10" t="str">
        <x:v>蒜末、白胡椒</x:v>
      </x:c>
      <x:c r="K523" t="str">
        <x:v>蒸</x:v>
      </x:c>
      <x:c r="L523" s="10" t="str">
        <x:v>食材切块，撒蒜末；上锅蒸熟，蔬菜另焯后拌匀；荞麦饭另煮熟或蒸好后同餐食用。</x:v>
      </x:c>
      <x:c r="M523" t="n">
        <x:v>20</x:v>
      </x:c>
      <x:c r="N523" t="n">
        <x:f>ROUND(SUM('食材明细'!H3128:H3133),0)</x:f>
        <x:v>439</x:v>
      </x:c>
      <x:c r="O523" t="n">
        <x:f>ROUND(SUM('食材明细'!J3128:J3133),1)</x:f>
        <x:v>43.1</x:v>
      </x:c>
      <x:c r="P523" t="n">
        <x:f>ROUND(SUM('食材明细'!L3128:L3133),1)</x:f>
        <x:v>36.7</x:v>
      </x:c>
      <x:c r="Q523" t="n">
        <x:f>ROUND(SUM('食材明细'!N3128:N3133),1)</x:f>
        <x:v>14.5</x:v>
      </x:c>
      <x:c r="R523" s="10" t="str">
        <x:v>调料尽量低盐，不加白砂糖；油重已计入热量。</x:v>
      </x:c>
    </x:row>
    <x:row r="524" ht="37" customHeight="1">
      <x:c r="A524" t="n">
        <x:v>523</x:v>
      </x:c>
      <x:c r="B524" t="n">
        <x:v>262</x:v>
      </x:c>
      <x:c r="C524" t="n">
        <x:v>38</x:v>
      </x:c>
      <x:c r="D524" t="str">
        <x:v>午餐</x:v>
      </x:c>
      <x:c r="E524" t="str">
        <x:v>豆蛋</x:v>
      </x:c>
      <x:c r="F524" s="10" t="str">
        <x:v>蒜香北豆腐熟毛豆仁烩芦笋黄瓜｜糙米饭</x:v>
      </x:c>
      <x:c r="G524" s="10" t="str">
        <x:v>北豆腐300g、熟毛豆仁70g、芦笋190g、黄瓜155g、糙米饭135g、烹调油3g</x:v>
      </x:c>
      <x:c r="H524" t="str">
        <x:v>糙米饭</x:v>
      </x:c>
      <x:c r="I524" s="10" t="str">
        <x:v>低主食需求可将主食减1/3，另加100g非淀粉蔬菜（营养值需重算）</x:v>
      </x:c>
      <x:c r="J524" s="10" t="str">
        <x:v>蒜末、白胡椒</x:v>
      </x:c>
      <x:c r="K524" t="str">
        <x:v>蒸</x:v>
      </x:c>
      <x:c r="L524" s="10" t="str">
        <x:v>食材切块，撒蒜末；上锅蒸熟，蔬菜另焯后拌匀；糙米饭另煮熟或蒸好后同餐食用。</x:v>
      </x:c>
      <x:c r="M524" t="n">
        <x:v>15</x:v>
      </x:c>
      <x:c r="N524" t="n">
        <x:f>ROUND(SUM('食材明细'!H3134:H3139),0)</x:f>
        <x:v>595</x:v>
      </x:c>
      <x:c r="O524" t="n">
        <x:f>ROUND(SUM('食材明细'!J3134:J3139),1)</x:f>
        <x:v>47.2</x:v>
      </x:c>
      <x:c r="P524" t="n">
        <x:f>ROUND(SUM('食材明细'!L3134:L3139),1)</x:f>
        <x:v>57</x:v>
      </x:c>
      <x:c r="Q524" t="n">
        <x:f>ROUND(SUM('食材明细'!N3134:N3139),1)</x:f>
        <x:v>23.1</x:v>
      </x:c>
      <x:c r="R524" s="10" t="str">
        <x:v>调料尽量低盐，不加白砂糖；油重已计入热量。</x:v>
      </x:c>
    </x:row>
    <x:row r="525" ht="37" customHeight="1">
      <x:c r="A525" t="n">
        <x:v>524</x:v>
      </x:c>
      <x:c r="B525" t="n">
        <x:v>262</x:v>
      </x:c>
      <x:c r="C525" t="n">
        <x:v>38</x:v>
      </x:c>
      <x:c r="D525" t="str">
        <x:v>晚餐</x:v>
      </x:c>
      <x:c r="E525" t="str">
        <x:v>猪肉</x:v>
      </x:c>
      <x:c r="F525" s="10" t="str">
        <x:v>剁椒猪里脊配竹笋黄瓜｜糙米饭</x:v>
      </x:c>
      <x:c r="G525" s="10" t="str">
        <x:v>猪里脊145g、竹笋190g、黄瓜125g、糙米饭95g、烹调油5g</x:v>
      </x:c>
      <x:c r="H525" t="str">
        <x:v>糙米饭</x:v>
      </x:c>
      <x:c r="I525" s="10" t="str">
        <x:v>低主食需求可将主食减1/3，另加100g非淀粉蔬菜（营养值需重算）</x:v>
      </x:c>
      <x:c r="J525" s="10" t="str">
        <x:v>自制低盐剁椒、蒜</x:v>
      </x:c>
      <x:c r="K525" t="str">
        <x:v>蒸</x:v>
      </x:c>
      <x:c r="L525" s="10" t="str">
        <x:v>主食材铺少量低盐剁椒蒸熟，配菜焯熟后摆盘；糙米饭另煮熟或蒸好后同餐食用。</x:v>
      </x:c>
      <x:c r="M525" t="n">
        <x:v>20</x:v>
      </x:c>
      <x:c r="N525" t="n">
        <x:f>ROUND(SUM('食材明细'!H3140:H3145),0)</x:f>
        <x:v>397</x:v>
      </x:c>
      <x:c r="O525" t="n">
        <x:f>ROUND(SUM('食材明细'!J3140:J3145),1)</x:f>
        <x:v>38.7</x:v>
      </x:c>
      <x:c r="P525" t="n">
        <x:f>ROUND(SUM('食材明细'!L3140:L3145),1)</x:f>
        <x:v>36.7</x:v>
      </x:c>
      <x:c r="Q525" t="n">
        <x:f>ROUND(SUM('食材明细'!N3140:N3145),1)</x:f>
        <x:v>11.6</x:v>
      </x:c>
      <x:c r="R525" s="10" t="str">
        <x:v>调料尽量低盐，不加白砂糖；油重已计入热量。</x:v>
      </x:c>
    </x:row>
    <x:row r="526" ht="37" customHeight="1">
      <x:c r="A526" t="n">
        <x:v>525</x:v>
      </x:c>
      <x:c r="B526" t="n">
        <x:v>263</x:v>
      </x:c>
      <x:c r="C526" t="n">
        <x:v>38</x:v>
      </x:c>
      <x:c r="D526" t="str">
        <x:v>午餐</x:v>
      </x:c>
      <x:c r="E526" t="str">
        <x:v>鱼类</x:v>
      </x:c>
      <x:c r="F526" s="10" t="str">
        <x:v>清汤巴沙鱼配生菜绿豆芽｜糙米饭</x:v>
      </x:c>
      <x:c r="G526" s="10" t="str">
        <x:v>巴沙鱼215g、生菜140g、绿豆芽140g、糙米饭135g、烹调油5g</x:v>
      </x:c>
      <x:c r="H526" t="str">
        <x:v>糙米饭</x:v>
      </x:c>
      <x:c r="I526" s="10" t="str">
        <x:v>低主食需求可将主食减1/3，另加100g非淀粉蔬菜（营养值需重算）</x:v>
      </x:c>
      <x:c r="J526" s="10" t="str">
        <x:v>葱段、盐少量</x:v>
      </x:c>
      <x:c r="K526" t="str">
        <x:v>煮</x:v>
      </x:c>
      <x:c r="L526" s="10" t="str">
        <x:v>鱼肉去刺，彻底做熟；清水煮开，按熟化时间下食材，最后放叶菜，清淡调味；糙米饭另煮熟或蒸好后同餐食用。</x:v>
      </x:c>
      <x:c r="M526" t="n">
        <x:v>20</x:v>
      </x:c>
      <x:c r="N526" t="n">
        <x:f>ROUND(SUM('食材明细'!H3146:H3151),0)</x:f>
        <x:v>456</x:v>
      </x:c>
      <x:c r="O526" t="n">
        <x:f>ROUND(SUM('食材明细'!J3146:J3151),1)</x:f>
        <x:v>46.2</x:v>
      </x:c>
      <x:c r="P526" t="n">
        <x:f>ROUND(SUM('食材明细'!L3146:L3151),1)</x:f>
        <x:v>44.2</x:v>
      </x:c>
      <x:c r="Q526" t="n">
        <x:f>ROUND(SUM('食材明细'!N3146:N3151),1)</x:f>
        <x:v>11.6</x:v>
      </x:c>
      <x:c r="R526" s="10" t="str">
        <x:v>调料尽量低盐，不加白砂糖；油重已计入热量。</x:v>
      </x:c>
    </x:row>
    <x:row r="527" ht="37" customHeight="1">
      <x:c r="A527" t="n">
        <x:v>526</x:v>
      </x:c>
      <x:c r="B527" t="n">
        <x:v>263</x:v>
      </x:c>
      <x:c r="C527" t="n">
        <x:v>38</x:v>
      </x:c>
      <x:c r="D527" t="str">
        <x:v>晚餐</x:v>
      </x:c>
      <x:c r="E527" t="str">
        <x:v>鱼类</x:v>
      </x:c>
      <x:c r="F527" s="10" t="str">
        <x:v>柠檬鳕鱼配彩椒丝瓜｜燕麦饭</x:v>
      </x:c>
      <x:c r="G527" s="10" t="str">
        <x:v>鳕鱼185g、彩椒140g、丝瓜110g、燕麦饭110g、烹调油3g</x:v>
      </x:c>
      <x:c r="H527" t="str">
        <x:v>燕麦饭</x:v>
      </x:c>
      <x:c r="I527" s="10" t="str">
        <x:v>低主食需求可将主食减1/3，另加100g非淀粉蔬菜（营养值需重算）</x:v>
      </x:c>
      <x:c r="J527" s="10" t="str">
        <x:v>柠檬片、白胡椒</x:v>
      </x:c>
      <x:c r="K527" t="str">
        <x:v>蒸</x:v>
      </x:c>
      <x:c r="L527" s="10" t="str">
        <x:v>鱼肉去刺，彻底做熟；柠檬片垫底，主食材蒸熟，蔬菜短焯后摆盘；燕麦饭另煮熟或蒸好后同餐食用。</x:v>
      </x:c>
      <x:c r="M527" t="n">
        <x:v>25</x:v>
      </x:c>
      <x:c r="N527" t="n">
        <x:f>ROUND(SUM('食材明细'!H3152:H3157),0)</x:f>
        <x:v>365</x:v>
      </x:c>
      <x:c r="O527" t="n">
        <x:f>ROUND(SUM('食材明细'!J3152:J3157),1)</x:f>
        <x:v>39.3</x:v>
      </x:c>
      <x:c r="P527" t="n">
        <x:f>ROUND(SUM('食材明细'!L3152:L3157),1)</x:f>
        <x:v>36</x:v>
      </x:c>
      <x:c r="Q527" t="n">
        <x:f>ROUND(SUM('食材明细'!N3152:N3157),1)</x:f>
        <x:v>7</x:v>
      </x:c>
      <x:c r="R527" s="10" t="str">
        <x:v>调料尽量低盐，不加白砂糖；油重已计入热量。</x:v>
      </x:c>
    </x:row>
    <x:row r="528" ht="37" customHeight="1">
      <x:c r="A528" t="n">
        <x:v>527</x:v>
      </x:c>
      <x:c r="B528" t="n">
        <x:v>264</x:v>
      </x:c>
      <x:c r="C528" t="n">
        <x:v>38</x:v>
      </x:c>
      <x:c r="D528" t="str">
        <x:v>午餐</x:v>
      </x:c>
      <x:c r="E528" t="str">
        <x:v>海鲜</x:v>
      </x:c>
      <x:c r="F528" s="10" t="str">
        <x:v>豉汁虾仁配四季豆金针菇｜乌冬面</x:v>
      </x:c>
      <x:c r="G528" s="10" t="str">
        <x:v>虾仁190g、四季豆160g、金针菇110g、乌冬面125g、烹调油5g</x:v>
      </x:c>
      <x:c r="H528" t="str">
        <x:v>乌冬面</x:v>
      </x:c>
      <x:c r="I528" s="10" t="str">
        <x:v>低主食需求可将主食减1/3，另加100g非淀粉蔬菜（营养值需重算）</x:v>
      </x:c>
      <x:c r="J528" s="10" t="str">
        <x:v>少量豆豉、姜末</x:v>
      </x:c>
      <x:c r="K528" t="str">
        <x:v>蒸</x:v>
      </x:c>
      <x:c r="L528" s="10" t="str">
        <x:v>豆豉冲洗剁碎，与姜末拌主食材后蒸熟；蔬菜另煮；面/魔芋丝煮熟后与菜合碗。四季豆必须充分煮熟，不要生脆。</x:v>
      </x:c>
      <x:c r="M528" t="n">
        <x:v>20</x:v>
      </x:c>
      <x:c r="N528" t="n">
        <x:f>ROUND(SUM('食材明细'!H3158:H3163),0)</x:f>
        <x:v>451</x:v>
      </x:c>
      <x:c r="O528" t="n">
        <x:f>ROUND(SUM('食材明细'!J3158:J3163),1)</x:f>
        <x:v>44.8</x:v>
      </x:c>
      <x:c r="P528" t="n">
        <x:f>ROUND(SUM('食材明细'!L3158:L3163),1)</x:f>
        <x:v>50.3</x:v>
      </x:c>
      <x:c r="Q528" t="n">
        <x:f>ROUND(SUM('食材明细'!N3158:N3163),1)</x:f>
        <x:v>8.2</x:v>
      </x:c>
      <x:c r="R528" s="10" t="str">
        <x:v>调料尽量低盐，不加白砂糖；油重已计入热量。</x:v>
      </x:c>
    </x:row>
    <x:row r="529" ht="37" customHeight="1">
      <x:c r="A529" t="n">
        <x:v>528</x:v>
      </x:c>
      <x:c r="B529" t="n">
        <x:v>264</x:v>
      </x:c>
      <x:c r="C529" t="n">
        <x:v>38</x:v>
      </x:c>
      <x:c r="D529" t="str">
        <x:v>晚餐</x:v>
      </x:c>
      <x:c r="E529" t="str">
        <x:v>鱼类</x:v>
      </x:c>
      <x:c r="F529" s="10" t="str">
        <x:v>葱姜清蒸鲈鱼配莴笋口蘑｜杂粮饭</x:v>
      </x:c>
      <x:c r="G529" s="10" t="str">
        <x:v>鲈鱼185g、莴笋190g、口蘑125g、杂粮饭80g、烹调油5g</x:v>
      </x:c>
      <x:c r="H529" t="str">
        <x:v>杂粮饭</x:v>
      </x:c>
      <x:c r="I529" s="10" t="str">
        <x:v>低主食需求可将主食减1/3，另加100g非淀粉蔬菜（营养值需重算）</x:v>
      </x:c>
      <x:c r="J529" s="10" t="str">
        <x:v>葱姜、少量低盐生抽</x:v>
      </x:c>
      <x:c r="K529" t="str">
        <x:v>蒸</x:v>
      </x:c>
      <x:c r="L529" s="10" t="str">
        <x:v>鱼肉去刺，彻底做熟；切片腌5分钟；肉和配菜入盘，蒸至熟透；淋葱姜汁；杂粮饭另煮熟或蒸好后同餐食用。</x:v>
      </x:c>
      <x:c r="M529" t="n">
        <x:v>25</x:v>
      </x:c>
      <x:c r="N529" t="n">
        <x:f>ROUND(SUM('食材明细'!H3164:H3169),0)</x:f>
        <x:v>387</x:v>
      </x:c>
      <x:c r="O529" t="n">
        <x:f>ROUND(SUM('食材明细'!J3164:J3169),1)</x:f>
        <x:v>43.4</x:v>
      </x:c>
      <x:c r="P529" t="n">
        <x:f>ROUND(SUM('食材明细'!L3164:L3169),1)</x:f>
        <x:v>28.3</x:v>
      </x:c>
      <x:c r="Q529" t="n">
        <x:f>ROUND(SUM('食材明细'!N3164:N3169),1)</x:f>
        <x:v>12</x:v>
      </x:c>
      <x:c r="R529" s="10" t="str">
        <x:v>调料尽量低盐，不加白砂糖；油重已计入热量。</x:v>
      </x:c>
    </x:row>
    <x:row r="530" ht="37" customHeight="1">
      <x:c r="A530" t="n">
        <x:v>529</x:v>
      </x:c>
      <x:c r="B530" t="n">
        <x:v>265</x:v>
      </x:c>
      <x:c r="C530" t="n">
        <x:v>38</x:v>
      </x:c>
      <x:c r="D530" t="str">
        <x:v>午餐</x:v>
      </x:c>
      <x:c r="E530" t="str">
        <x:v>鱼类</x:v>
      </x:c>
      <x:c r="F530" s="10" t="str">
        <x:v>葱姜清蒸鳕鱼配荷兰豆香菇｜全麦面</x:v>
      </x:c>
      <x:c r="G530" s="10" t="str">
        <x:v>鳕鱼215g、熟毛豆仁50g、荷兰豆140g、香菇125g、全麦面135g、烹调油6g</x:v>
      </x:c>
      <x:c r="H530" t="str">
        <x:v>全麦面</x:v>
      </x:c>
      <x:c r="I530" s="10" t="str">
        <x:v>低主食需求可将主食减1/3，另加100g非淀粉蔬菜（营养值需重算）</x:v>
      </x:c>
      <x:c r="J530" s="10" t="str">
        <x:v>葱姜、少量低盐生抽</x:v>
      </x:c>
      <x:c r="K530" t="str">
        <x:v>蒸</x:v>
      </x:c>
      <x:c r="L530" s="10" t="str">
        <x:v>鱼肉去刺，彻底做熟；切片腌5分钟；肉和配菜入盘，蒸至熟透；淋葱姜汁；面/魔芋丝煮熟后与菜合碗。</x:v>
      </x:c>
      <x:c r="M530" t="n">
        <x:v>25</x:v>
      </x:c>
      <x:c r="N530" t="n">
        <x:f>ROUND(SUM('食材明细'!H3170:H3175),0)</x:f>
        <x:v>565</x:v>
      </x:c>
      <x:c r="O530" t="n">
        <x:f>ROUND(SUM('食材明细'!J3170:J3175),1)</x:f>
        <x:v>58.1</x:v>
      </x:c>
      <x:c r="P530" t="n">
        <x:f>ROUND(SUM('食材明细'!L3170:L3175),1)</x:f>
        <x:v>57.3</x:v>
      </x:c>
      <x:c r="Q530" t="n">
        <x:f>ROUND(SUM('食材明细'!N3170:N3175),1)</x:f>
        <x:v>12.8</x:v>
      </x:c>
      <x:c r="R530" s="10" t="str">
        <x:v>调料尽量低盐，不加白砂糖；油重已计入热量。</x:v>
      </x:c>
    </x:row>
    <x:row r="531" ht="37" customHeight="1">
      <x:c r="A531" t="n">
        <x:v>530</x:v>
      </x:c>
      <x:c r="B531" t="n">
        <x:v>265</x:v>
      </x:c>
      <x:c r="C531" t="n">
        <x:v>38</x:v>
      </x:c>
      <x:c r="D531" t="str">
        <x:v>晚餐</x:v>
      </x:c>
      <x:c r="E531" t="str">
        <x:v>豆蛋</x:v>
      </x:c>
      <x:c r="F531" s="10" t="str">
        <x:v>番茄嫩豆腐鸡蛋烩番茄胡萝卜｜荞麦饭</x:v>
      </x:c>
      <x:c r="G531" s="10" t="str">
        <x:v>嫩豆腐300g、鸡蛋60g、番茄190g、胡萝卜110g、荞麦饭110g、烹调油4g</x:v>
      </x:c>
      <x:c r="H531" t="str">
        <x:v>荞麦饭</x:v>
      </x:c>
      <x:c r="I531" s="10" t="str">
        <x:v>低主食需求可将主食减1/3，另加100g非淀粉蔬菜（营养值需重算）</x:v>
      </x:c>
      <x:c r="J531" s="10" t="str">
        <x:v>番茄丁、黑胡椒</x:v>
      </x:c>
      <x:c r="K531" t="str">
        <x:v>炖煮</x:v>
      </x:c>
      <x:c r="L531" s="10" t="str">
        <x:v>番茄出汁后加入主食材和少量水，轻炖至熟，再放配菜；荞麦饭另煮熟或蒸好后同餐食用。</x:v>
      </x:c>
      <x:c r="M531" t="n">
        <x:v>25</x:v>
      </x:c>
      <x:c r="N531" t="n">
        <x:f>ROUND(SUM('食材明细'!H3176:H3181),0)</x:f>
        <x:v>492</x:v>
      </x:c>
      <x:c r="O531" t="n">
        <x:f>ROUND(SUM('食材明细'!J3176:J3181),1)</x:f>
        <x:v>29.2</x:v>
      </x:c>
      <x:c r="P531" t="n">
        <x:f>ROUND(SUM('食材明细'!L3176:L3181),1)</x:f>
        <x:v>49.5</x:v>
      </x:c>
      <x:c r="Q531" t="n">
        <x:f>ROUND(SUM('食材明细'!N3176:N3181),1)</x:f>
        <x:v>20.2</x:v>
      </x:c>
      <x:c r="R531" s="10" t="str">
        <x:v>调料尽量低盐，不加白砂糖；油重已计入热量。</x:v>
      </x:c>
    </x:row>
    <x:row r="532" ht="37" customHeight="1">
      <x:c r="A532" t="n">
        <x:v>531</x:v>
      </x:c>
      <x:c r="B532" t="n">
        <x:v>266</x:v>
      </x:c>
      <x:c r="C532" t="n">
        <x:v>38</x:v>
      </x:c>
      <x:c r="D532" t="str">
        <x:v>午餐</x:v>
      </x:c>
      <x:c r="E532" t="str">
        <x:v>猪肉</x:v>
      </x:c>
      <x:c r="F532" s="10" t="str">
        <x:v>菌菇猪里脊配莴笋杏鲍菇｜杂粮饭</x:v>
      </x:c>
      <x:c r="G532" s="10" t="str">
        <x:v>猪里脊155g、熟毛豆仁70g、莴笋160g、杏鲍菇140g、杂粮饭135g、烹调油3g</x:v>
      </x:c>
      <x:c r="H532" t="str">
        <x:v>杂粮饭</x:v>
      </x:c>
      <x:c r="I532" s="10" t="str">
        <x:v>低主食需求可将主食减1/3，另加100g非淀粉蔬菜（营养值需重算）</x:v>
      </x:c>
      <x:c r="J532" s="10" t="str">
        <x:v>姜片、香菇汁</x:v>
      </x:c>
      <x:c r="K532" t="str">
        <x:v>焖煮</x:v>
      </x:c>
      <x:c r="L532" s="10" t="str">
        <x:v>食材与菌菇加少量水焖熟，出锅前加少量低盐生抽；杂粮饭另煮熟或蒸好后同餐食用。</x:v>
      </x:c>
      <x:c r="M532" t="n">
        <x:v>35</x:v>
      </x:c>
      <x:c r="N532" t="n">
        <x:f>ROUND(SUM('食材明细'!H3182:H3187),0)</x:f>
        <x:v>525</x:v>
      </x:c>
      <x:c r="O532" t="n">
        <x:f>ROUND(SUM('食材明细'!J3182:J3187),1)</x:f>
        <x:v>49.5</x:v>
      </x:c>
      <x:c r="P532" t="n">
        <x:f>ROUND(SUM('食材明细'!L3182:L3187),1)</x:f>
        <x:v>52.9</x:v>
      </x:c>
      <x:c r="Q532" t="n">
        <x:f>ROUND(SUM('食材明细'!N3182:N3187),1)</x:f>
        <x:v>14</x:v>
      </x:c>
      <x:c r="R532" s="10" t="str">
        <x:v>调料尽量低盐，不加白砂糖；油重已计入热量。</x:v>
      </x:c>
    </x:row>
    <x:row r="533" ht="37" customHeight="1">
      <x:c r="A533" t="n">
        <x:v>532</x:v>
      </x:c>
      <x:c r="B533" t="n">
        <x:v>266</x:v>
      </x:c>
      <x:c r="C533" t="n">
        <x:v>38</x:v>
      </x:c>
      <x:c r="D533" t="str">
        <x:v>晚餐</x:v>
      </x:c>
      <x:c r="E533" t="str">
        <x:v>海鲜</x:v>
      </x:c>
      <x:c r="F533" s="10" t="str">
        <x:v>酸汤花蛤肉配冬瓜白萝卜｜全麦面</x:v>
      </x:c>
      <x:c r="G533" s="10" t="str">
        <x:v>花蛤肉190g、冬瓜175g、白萝卜140g、全麦面135g、烹调油6g</x:v>
      </x:c>
      <x:c r="H533" t="str">
        <x:v>全麦面</x:v>
      </x:c>
      <x:c r="I533" s="10" t="str">
        <x:v>低主食需求可将主食减1/3，另加100g非淀粉蔬菜（营养值需重算）</x:v>
      </x:c>
      <x:c r="J533" s="10" t="str">
        <x:v>米醋、番茄、少许辣椒</x:v>
      </x:c>
      <x:c r="K533" t="str">
        <x:v>水煮</x:v>
      </x:c>
      <x:c r="L533" s="10" t="str">
        <x:v>番茄煮成酸汤，主食材汆熟，加入蔬菜再煮2～5分钟；面/魔芋丝煮熟后与菜合碗。</x:v>
      </x:c>
      <x:c r="M533" t="n">
        <x:v>20</x:v>
      </x:c>
      <x:c r="N533" t="n">
        <x:f>ROUND(SUM('食材明细'!H3188:H3193),0)</x:f>
        <x:v>412</x:v>
      </x:c>
      <x:c r="O533" t="n">
        <x:f>ROUND(SUM('食材明细'!J3188:J3193),1)</x:f>
        <x:v>33</x:v>
      </x:c>
      <x:c r="P533" t="n">
        <x:f>ROUND(SUM('食材明细'!L3188:L3193),1)</x:f>
        <x:v>51.3</x:v>
      </x:c>
      <x:c r="Q533" t="n">
        <x:f>ROUND(SUM('食材明细'!N3188:N3193),1)</x:f>
        <x:v>9.9</x:v>
      </x:c>
      <x:c r="R533" s="10" t="str">
        <x:v>调料尽量低盐，不加白砂糖；油重已计入热量。</x:v>
      </x:c>
    </x:row>
    <x:row r="534" ht="37" customHeight="1">
      <x:c r="A534" t="n">
        <x:v>533</x:v>
      </x:c>
      <x:c r="B534" t="n">
        <x:v>267</x:v>
      </x:c>
      <x:c r="C534" t="n">
        <x:v>39</x:v>
      </x:c>
      <x:c r="D534" t="str">
        <x:v>午餐</x:v>
      </x:c>
      <x:c r="E534" t="str">
        <x:v>海鲜</x:v>
      </x:c>
      <x:c r="F534" s="10" t="str">
        <x:v>酸汤虾仁配四季豆泡发木耳｜土豆</x:v>
      </x:c>
      <x:c r="G534" s="10" t="str">
        <x:v>虾仁160g、四季豆175g、泡发木耳125g、土豆130g、烹调油4g</x:v>
      </x:c>
      <x:c r="H534" t="str">
        <x:v>土豆</x:v>
      </x:c>
      <x:c r="I534" s="10" t="str">
        <x:v>想减主食可减到原量2/3，另加100g绿叶菜</x:v>
      </x:c>
      <x:c r="J534" s="10" t="str">
        <x:v>米醋、番茄、少许辣椒</x:v>
      </x:c>
      <x:c r="K534" t="str">
        <x:v>水煮</x:v>
      </x:c>
      <x:c r="L534" s="10" t="str">
        <x:v>番茄煮成酸汤，主食材汆熟，加入蔬菜再煮2～5分钟；土豆另煮熟或蒸好后同餐食用。四季豆必须充分煮熟，不要生脆。</x:v>
      </x:c>
      <x:c r="M534" t="n">
        <x:v>30</x:v>
      </x:c>
      <x:c r="N534" t="n">
        <x:f>ROUND(SUM('食材明细'!H3194:H3199),0)</x:f>
        <x:v>367</x:v>
      </x:c>
      <x:c r="O534" t="n">
        <x:f>ROUND(SUM('食材明细'!J3194:J3199),1)</x:f>
        <x:v>38</x:v>
      </x:c>
      <x:c r="P534" t="n">
        <x:f>ROUND(SUM('食材明细'!L3194:L3199),1)</x:f>
        <x:v>42.8</x:v>
      </x:c>
      <x:c r="Q534" t="n">
        <x:f>ROUND(SUM('食材明细'!N3194:N3199),1)</x:f>
        <x:v>6.2</x:v>
      </x:c>
      <x:c r="R534" s="10" t="str">
        <x:v>调料尽量低盐，不加白砂糖；油重已计入热量。</x:v>
      </x:c>
    </x:row>
    <x:row r="535" ht="37" customHeight="1">
      <x:c r="A535" t="n">
        <x:v>534</x:v>
      </x:c>
      <x:c r="B535" t="n">
        <x:v>267</x:v>
      </x:c>
      <x:c r="C535" t="n">
        <x:v>39</x:v>
      </x:c>
      <x:c r="D535" t="str">
        <x:v>晚餐</x:v>
      </x:c>
      <x:c r="E535" t="str">
        <x:v>豆蛋</x:v>
      </x:c>
      <x:c r="F535" s="10" t="str">
        <x:v>香醋北豆腐配菜心彩椒｜燕麦饭</x:v>
      </x:c>
      <x:c r="G535" s="10" t="str">
        <x:v>北豆腐280g、菜心140g、彩椒155g、燕麦饭125g、烹调油4g</x:v>
      </x:c>
      <x:c r="H535" t="str">
        <x:v>燕麦饭</x:v>
      </x:c>
      <x:c r="I535" s="10" t="str">
        <x:v>低主食需求可将主食减1/3，另加100g非淀粉蔬菜（营养值需重算）</x:v>
      </x:c>
      <x:c r="J535" s="10" t="str">
        <x:v>香醋、蒜末、少量生抽</x:v>
      </x:c>
      <x:c r="K535" t="str">
        <x:v>水煮</x:v>
      </x:c>
      <x:c r="L535" s="10" t="str">
        <x:v>食材分别煮至熟，淋香醋蒜汁，拌匀即食；燕麦饭另煮熟或蒸好后同餐食用。</x:v>
      </x:c>
      <x:c r="M535" t="n">
        <x:v>30</x:v>
      </x:c>
      <x:c r="N535" t="n">
        <x:f>ROUND(SUM('食材明细'!H3200:H3205),0)</x:f>
        <x:v>495</x:v>
      </x:c>
      <x:c r="O535" t="n">
        <x:f>ROUND(SUM('食材明细'!J3200:J3205),1)</x:f>
        <x:v>36.4</x:v>
      </x:c>
      <x:c r="P535" t="n">
        <x:f>ROUND(SUM('食材明细'!L3200:L3205),1)</x:f>
        <x:v>46.2</x:v>
      </x:c>
      <x:c r="Q535" t="n">
        <x:f>ROUND(SUM('食材明细'!N3200:N3205),1)</x:f>
        <x:v>21</x:v>
      </x:c>
      <x:c r="R535" s="10" t="str">
        <x:v>调料尽量低盐，不加白砂糖；油重已计入热量。</x:v>
      </x:c>
    </x:row>
    <x:row r="536" ht="37" customHeight="1">
      <x:c r="A536" t="n">
        <x:v>535</x:v>
      </x:c>
      <x:c r="B536" t="n">
        <x:v>268</x:v>
      </x:c>
      <x:c r="C536" t="n">
        <x:v>39</x:v>
      </x:c>
      <x:c r="D536" t="str">
        <x:v>午餐</x:v>
      </x:c>
      <x:c r="E536" t="str">
        <x:v>海鲜</x:v>
      </x:c>
      <x:c r="F536" s="10" t="str">
        <x:v>酸汤虾仁配秋葵白萝卜｜山药</x:v>
      </x:c>
      <x:c r="G536" s="10" t="str">
        <x:v>虾仁160g、秋葵160g、白萝卜140g、山药150g、烹调油6g</x:v>
      </x:c>
      <x:c r="H536" t="str">
        <x:v>山药</x:v>
      </x:c>
      <x:c r="I536" s="10" t="str">
        <x:v>想减主食可减到原量2/3，另加100g绿叶菜</x:v>
      </x:c>
      <x:c r="J536" s="10" t="str">
        <x:v>米醋、番茄、少许辣椒</x:v>
      </x:c>
      <x:c r="K536" t="str">
        <x:v>水煮</x:v>
      </x:c>
      <x:c r="L536" s="10" t="str">
        <x:v>番茄煮成酸汤，主食材汆熟，加入蔬菜再煮2～5分钟；山药另煮熟或蒸好后同餐食用。</x:v>
      </x:c>
      <x:c r="M536" t="n">
        <x:v>15</x:v>
      </x:c>
      <x:c r="N536" t="n">
        <x:f>ROUND(SUM('食材明细'!H3206:H3211),0)</x:f>
        <x:v>369</x:v>
      </x:c>
      <x:c r="O536" t="n">
        <x:f>ROUND(SUM('食材明细'!J3206:J3211),1)</x:f>
        <x:v>36.5</x:v>
      </x:c>
      <x:c r="P536" t="n">
        <x:f>ROUND(SUM('食材明细'!L3206:L3211),1)</x:f>
        <x:v>39.4</x:v>
      </x:c>
      <x:c r="Q536" t="n">
        <x:f>ROUND(SUM('食材明细'!N3206:N3211),1)</x:f>
        <x:v>8.4</x:v>
      </x:c>
      <x:c r="R536" s="10" t="str">
        <x:v>调料尽量低盐，不加白砂糖；油重已计入热量。</x:v>
      </x:c>
    </x:row>
    <x:row r="537" ht="37" customHeight="1">
      <x:c r="A537" t="n">
        <x:v>536</x:v>
      </x:c>
      <x:c r="B537" t="n">
        <x:v>268</x:v>
      </x:c>
      <x:c r="C537" t="n">
        <x:v>39</x:v>
      </x:c>
      <x:c r="D537" t="str">
        <x:v>晚餐</x:v>
      </x:c>
      <x:c r="E537" t="str">
        <x:v>豆蛋</x:v>
      </x:c>
      <x:c r="F537" s="10" t="str">
        <x:v>蒜香北豆腐鸡蛋烩小白菜冬瓜｜山药</x:v>
      </x:c>
      <x:c r="G537" s="10" t="str">
        <x:v>北豆腐260g、鸡蛋85g、小白菜175g、冬瓜125g、山药95g、烹调油3g</x:v>
      </x:c>
      <x:c r="H537" t="str">
        <x:v>山药</x:v>
      </x:c>
      <x:c r="I537" s="10" t="str">
        <x:v>想减主食可减到原量2/3，另加100g绿叶菜</x:v>
      </x:c>
      <x:c r="J537" s="10" t="str">
        <x:v>蒜末、白胡椒</x:v>
      </x:c>
      <x:c r="K537" t="str">
        <x:v>蒸</x:v>
      </x:c>
      <x:c r="L537" s="10" t="str">
        <x:v>食材切块，撒蒜末；上锅蒸熟，蔬菜另焯后拌匀；山药另煮熟或蒸好后同餐食用。</x:v>
      </x:c>
      <x:c r="M537" t="n">
        <x:v>20</x:v>
      </x:c>
      <x:c r="N537" t="n">
        <x:f>ROUND(SUM('食材明细'!H3212:H3217),0)</x:f>
        <x:v>488</x:v>
      </x:c>
      <x:c r="O537" t="n">
        <x:f>ROUND(SUM('食材明细'!J3212:J3217),1)</x:f>
        <x:v>41.8</x:v>
      </x:c>
      <x:c r="P537" t="n">
        <x:f>ROUND(SUM('食材明细'!L3212:L3217),1)</x:f>
        <x:v>28.2</x:v>
      </x:c>
      <x:c r="Q537" t="n">
        <x:f>ROUND(SUM('食材明细'!N3212:N3217),1)</x:f>
        <x:v>25.2</x:v>
      </x:c>
      <x:c r="R537" s="10" t="str">
        <x:v>调料尽量低盐，不加白砂糖；油重已计入热量。</x:v>
      </x:c>
    </x:row>
    <x:row r="538" ht="37" customHeight="1">
      <x:c r="A538" t="n">
        <x:v>537</x:v>
      </x:c>
      <x:c r="B538" t="n">
        <x:v>269</x:v>
      </x:c>
      <x:c r="C538" t="n">
        <x:v>39</x:v>
      </x:c>
      <x:c r="D538" t="str">
        <x:v>午餐</x:v>
      </x:c>
      <x:c r="E538" t="str">
        <x:v>鱼类</x:v>
      </x:c>
      <x:c r="F538" s="10" t="str">
        <x:v>菌菇鲈鱼配四季豆金针菇｜荞麦饭</x:v>
      </x:c>
      <x:c r="G538" s="10" t="str">
        <x:v>鲈鱼175g、四季豆175g、金针菇140g、荞麦饭110g、烹调油4g</x:v>
      </x:c>
      <x:c r="H538" t="str">
        <x:v>荞麦饭</x:v>
      </x:c>
      <x:c r="I538" s="10" t="str">
        <x:v>低主食需求可将主食减1/3，另加100g非淀粉蔬菜（营养值需重算）</x:v>
      </x:c>
      <x:c r="J538" s="10" t="str">
        <x:v>姜片、香菇汁</x:v>
      </x:c>
      <x:c r="K538" t="str">
        <x:v>焖煮</x:v>
      </x:c>
      <x:c r="L538" s="10" t="str">
        <x:v>鱼肉去刺，彻底做熟；食材与菌菇加少量水焖熟，出锅前加少量低盐生抽；荞麦饭另煮熟或蒸好后同餐食用。四季豆必须充分煮熟，不要生脆。</x:v>
      </x:c>
      <x:c r="M538" t="n">
        <x:v>25</x:v>
      </x:c>
      <x:c r="N538" t="n">
        <x:f>ROUND(SUM('食材明细'!H3218:H3223),0)</x:f>
        <x:v>440</x:v>
      </x:c>
      <x:c r="O538" t="n">
        <x:f>ROUND(SUM('食材明细'!J3218:J3223),1)</x:f>
        <x:v>43.5</x:v>
      </x:c>
      <x:c r="P538" t="n">
        <x:f>ROUND(SUM('食材明细'!L3218:L3223),1)</x:f>
        <x:v>45.4</x:v>
      </x:c>
      <x:c r="Q538" t="n">
        <x:f>ROUND(SUM('食材明细'!N3218:N3223),1)</x:f>
        <x:v>10.9</x:v>
      </x:c>
      <x:c r="R538" s="10" t="str">
        <x:v>调料尽量低盐，不加白砂糖；油重已计入热量。</x:v>
      </x:c>
    </x:row>
    <x:row r="539" ht="37" customHeight="1">
      <x:c r="A539" t="n">
        <x:v>538</x:v>
      </x:c>
      <x:c r="B539" t="n">
        <x:v>269</x:v>
      </x:c>
      <x:c r="C539" t="n">
        <x:v>39</x:v>
      </x:c>
      <x:c r="D539" t="str">
        <x:v>晚餐</x:v>
      </x:c>
      <x:c r="E539" t="str">
        <x:v>禽肉</x:v>
      </x:c>
      <x:c r="F539" s="10" t="str">
        <x:v>椒麻去皮鸭胸肉配芹菜小白菜｜杂粮饭</x:v>
      </x:c>
      <x:c r="G539" s="10" t="str">
        <x:v>去皮鸭胸肉145g、芹菜140g、小白菜155g、杂粮饭125g、烹调油3g</x:v>
      </x:c>
      <x:c r="H539" t="str">
        <x:v>杂粮饭</x:v>
      </x:c>
      <x:c r="I539" s="10" t="str">
        <x:v>低主食需求可将主食减1/3，另加100g非淀粉蔬菜（营养值需重算）</x:v>
      </x:c>
      <x:c r="J539" s="10" t="str">
        <x:v>花椒、蒜、少量醋</x:v>
      </x:c>
      <x:c r="K539" t="str">
        <x:v>水煮</x:v>
      </x:c>
      <x:c r="L539" s="10" t="str">
        <x:v>花椒温水浸出味道，煮熟主食材和配菜，少油拌汁；杂粮饭另煮熟或蒸好后同餐食用。</x:v>
      </x:c>
      <x:c r="M539" t="n">
        <x:v>15</x:v>
      </x:c>
      <x:c r="N539" t="n">
        <x:f>ROUND(SUM('食材明细'!H3224:H3229),0)</x:f>
        <x:v>424</x:v>
      </x:c>
      <x:c r="O539" t="n">
        <x:f>ROUND(SUM('食材明细'!J3224:J3229),1)</x:f>
        <x:v>35.3</x:v>
      </x:c>
      <x:c r="P539" t="n">
        <x:f>ROUND(SUM('食材明细'!L3224:L3229),1)</x:f>
        <x:v>38.6</x:v>
      </x:c>
      <x:c r="Q539" t="n">
        <x:f>ROUND(SUM('食材明细'!N3224:N3229),1)</x:f>
        <x:v>15</x:v>
      </x:c>
      <x:c r="R539" s="10" t="str">
        <x:v>调料尽量低盐，不加白砂糖；油重已计入热量。</x:v>
      </x:c>
    </x:row>
    <x:row r="540" ht="37" customHeight="1">
      <x:c r="A540" t="n">
        <x:v>539</x:v>
      </x:c>
      <x:c r="B540" t="n">
        <x:v>270</x:v>
      </x:c>
      <x:c r="C540" t="n">
        <x:v>39</x:v>
      </x:c>
      <x:c r="D540" t="str">
        <x:v>午餐</x:v>
      </x:c>
      <x:c r="E540" t="str">
        <x:v>牛肉</x:v>
      </x:c>
      <x:c r="F540" s="10" t="str">
        <x:v>番茄瘦牛肉配芦笋｜杂粮饭</x:v>
      </x:c>
      <x:c r="G540" s="10" t="str">
        <x:v>瘦牛肉155g、北豆腐110g、番茄175g、芦笋110g、杂粮饭125g、烹调油4g</x:v>
      </x:c>
      <x:c r="H540" t="str">
        <x:v>杂粮饭</x:v>
      </x:c>
      <x:c r="I540" s="10" t="str">
        <x:v>低主食需求可将主食减1/3，另加100g非淀粉蔬菜（营养值需重算）</x:v>
      </x:c>
      <x:c r="J540" s="10" t="str">
        <x:v>番茄丁、黑胡椒</x:v>
      </x:c>
      <x:c r="K540" t="str">
        <x:v>炖煮</x:v>
      </x:c>
      <x:c r="L540" s="10" t="str">
        <x:v>番茄出汁后加入主食材和少量水，轻炖至熟，再放配菜；杂粮饭另煮熟或蒸好后同餐食用。</x:v>
      </x:c>
      <x:c r="M540" t="n">
        <x:v>35</x:v>
      </x:c>
      <x:c r="N540" t="n">
        <x:f>ROUND(SUM('食材明细'!H3230:H3235),0)</x:f>
        <x:v>530</x:v>
      </x:c>
      <x:c r="O540" t="n">
        <x:f>ROUND(SUM('食材明细'!J3230:J3235),1)</x:f>
        <x:v>51.4</x:v>
      </x:c>
      <x:c r="P540" t="n">
        <x:f>ROUND(SUM('食材明细'!L3230:L3235),1)</x:f>
        <x:v>42.9</x:v>
      </x:c>
      <x:c r="Q540" t="n">
        <x:f>ROUND(SUM('食材明细'!N3230:N3235),1)</x:f>
        <x:v>17.5</x:v>
      </x:c>
      <x:c r="R540" s="10" t="str">
        <x:v>调料尽量低盐，不加白砂糖；油重已计入热量。</x:v>
      </x:c>
    </x:row>
    <x:row r="541" ht="37" customHeight="1">
      <x:c r="A541" t="n">
        <x:v>540</x:v>
      </x:c>
      <x:c r="B541" t="n">
        <x:v>270</x:v>
      </x:c>
      <x:c r="C541" t="n">
        <x:v>39</x:v>
      </x:c>
      <x:c r="D541" t="str">
        <x:v>晚餐</x:v>
      </x:c>
      <x:c r="E541" t="str">
        <x:v>豆蛋</x:v>
      </x:c>
      <x:c r="F541" s="10" t="str">
        <x:v>剁椒北豆腐配芦笋胡萝卜｜藜麦饭</x:v>
      </x:c>
      <x:c r="G541" s="10" t="str">
        <x:v>北豆腐240g、芦笋190g、胡萝卜125g、藜麦饭95g、烹调油3g</x:v>
      </x:c>
      <x:c r="H541" t="str">
        <x:v>藜麦饭</x:v>
      </x:c>
      <x:c r="I541" s="10" t="str">
        <x:v>低主食需求可将主食减1/3，另加100g非淀粉蔬菜（营养值需重算）</x:v>
      </x:c>
      <x:c r="J541" s="10" t="str">
        <x:v>自制低盐剁椒、蒜</x:v>
      </x:c>
      <x:c r="K541" t="str">
        <x:v>蒸</x:v>
      </x:c>
      <x:c r="L541" s="10" t="str">
        <x:v>主食材铺少量低盐剁椒蒸熟，配菜焯熟后摆盘；藜麦饭另煮熟或蒸好后同餐食用。</x:v>
      </x:c>
      <x:c r="M541" t="n">
        <x:v>25</x:v>
      </x:c>
      <x:c r="N541" t="n">
        <x:f>ROUND(SUM('食材明细'!H3236:H3241),0)</x:f>
        <x:v>446</x:v>
      </x:c>
      <x:c r="O541" t="n">
        <x:f>ROUND(SUM('食材明细'!J3236:J3241),1)</x:f>
        <x:v>33.5</x:v>
      </x:c>
      <x:c r="P541" t="n">
        <x:f>ROUND(SUM('食材明细'!L3236:L3241),1)</x:f>
        <x:v>45</x:v>
      </x:c>
      <x:c r="Q541" t="n">
        <x:f>ROUND(SUM('食材明细'!N3236:N3241),1)</x:f>
        <x:v>17.3</x:v>
      </x:c>
      <x:c r="R541" s="10" t="str">
        <x:v>调料尽量低盐，不加白砂糖；油重已计入热量。</x:v>
      </x:c>
    </x:row>
    <x:row r="542" ht="37" customHeight="1">
      <x:c r="A542" t="n">
        <x:v>541</x:v>
      </x:c>
      <x:c r="B542" t="n">
        <x:v>271</x:v>
      </x:c>
      <x:c r="C542" t="n">
        <x:v>39</x:v>
      </x:c>
      <x:c r="D542" t="str">
        <x:v>午餐</x:v>
      </x:c>
      <x:c r="E542" t="str">
        <x:v>牛肉</x:v>
      </x:c>
      <x:c r="F542" s="10" t="str">
        <x:v>咖喱牛里脊配丝瓜香菇｜杂粮饭</x:v>
      </x:c>
      <x:c r="G542" s="10" t="str">
        <x:v>牛里脊185g、丝瓜190g、香菇140g、杂粮饭125g、烹调油3g</x:v>
      </x:c>
      <x:c r="H542" t="str">
        <x:v>杂粮饭</x:v>
      </x:c>
      <x:c r="I542" s="10" t="str">
        <x:v>低主食需求可将主食减1/3，另加100g非淀粉蔬菜（营养值需重算）</x:v>
      </x:c>
      <x:c r="J542" s="10" t="str">
        <x:v>无加糖咖喱粉、姜末</x:v>
      </x:c>
      <x:c r="K542" t="str">
        <x:v>炖煮</x:v>
      </x:c>
      <x:c r="L542" s="10" t="str">
        <x:v>用咖喱粉而非高脂咖喱块，加水轻炖主食材和蔬菜；杂粮饭另煮熟或蒸好后同餐食用。</x:v>
      </x:c>
      <x:c r="M542" t="n">
        <x:v>25</x:v>
      </x:c>
      <x:c r="N542" t="n">
        <x:f>ROUND(SUM('食材明细'!H3242:H3247),0)</x:f>
        <x:v>497</x:v>
      </x:c>
      <x:c r="O542" t="n">
        <x:f>ROUND(SUM('食材明细'!J3242:J3247),1)</x:f>
        <x:v>47.7</x:v>
      </x:c>
      <x:c r="P542" t="n">
        <x:f>ROUND(SUM('食材明细'!L3242:L3247),1)</x:f>
        <x:v>46.5</x:v>
      </x:c>
      <x:c r="Q542" t="n">
        <x:f>ROUND(SUM('食材明细'!N3242:N3247),1)</x:f>
        <x:v>14.3</x:v>
      </x:c>
      <x:c r="R542" s="10" t="str">
        <x:v>调料尽量低盐，不加白砂糖；油重已计入热量。</x:v>
      </x:c>
    </x:row>
    <x:row r="543" ht="37" customHeight="1">
      <x:c r="A543" t="n">
        <x:v>542</x:v>
      </x:c>
      <x:c r="B543" t="n">
        <x:v>271</x:v>
      </x:c>
      <x:c r="C543" t="n">
        <x:v>39</x:v>
      </x:c>
      <x:c r="D543" t="str">
        <x:v>晚餐</x:v>
      </x:c>
      <x:c r="E543" t="str">
        <x:v>海鲜</x:v>
      </x:c>
      <x:c r="F543" s="10" t="str">
        <x:v>酸汤虾仁配菠菜花菜｜杂粮饭</x:v>
      </x:c>
      <x:c r="G543" s="10" t="str">
        <x:v>虾仁175g、菠菜160g、花菜110g、杂粮饭80g、烹调油5g</x:v>
      </x:c>
      <x:c r="H543" t="str">
        <x:v>杂粮饭</x:v>
      </x:c>
      <x:c r="I543" s="10" t="str">
        <x:v>低主食需求可将主食减1/3，另加100g非淀粉蔬菜（营养值需重算）</x:v>
      </x:c>
      <x:c r="J543" s="10" t="str">
        <x:v>米醋、番茄、少许辣椒</x:v>
      </x:c>
      <x:c r="K543" t="str">
        <x:v>水煮</x:v>
      </x:c>
      <x:c r="L543" s="10" t="str">
        <x:v>番茄煮成酸汤，主食材汆熟，加入蔬菜再煮2～5分钟；杂粮饭另煮熟或蒸好后同餐食用。</x:v>
      </x:c>
      <x:c r="M543" t="n">
        <x:v>20</x:v>
      </x:c>
      <x:c r="N543" t="n">
        <x:f>ROUND(SUM('食材明细'!H3248:H3253),0)</x:f>
        <x:v>359</x:v>
      </x:c>
      <x:c r="O543" t="n">
        <x:f>ROUND(SUM('食材明细'!J3248:J3253),1)</x:f>
        <x:v>42.6</x:v>
      </x:c>
      <x:c r="P543" t="n">
        <x:f>ROUND(SUM('食材明细'!L3248:L3253),1)</x:f>
        <x:v>30.8</x:v>
      </x:c>
      <x:c r="Q543" t="n">
        <x:f>ROUND(SUM('食材明细'!N3248:N3253),1)</x:f>
        <x:v>8.8</x:v>
      </x:c>
      <x:c r="R543" s="10" t="str">
        <x:v>调料尽量低盐，不加白砂糖；油重已计入热量。</x:v>
      </x:c>
    </x:row>
    <x:row r="544" ht="37" customHeight="1">
      <x:c r="A544" t="n">
        <x:v>543</x:v>
      </x:c>
      <x:c r="B544" t="n">
        <x:v>272</x:v>
      </x:c>
      <x:c r="C544" t="n">
        <x:v>39</x:v>
      </x:c>
      <x:c r="D544" t="str">
        <x:v>午餐</x:v>
      </x:c>
      <x:c r="E544" t="str">
        <x:v>豆蛋</x:v>
      </x:c>
      <x:c r="F544" s="10" t="str">
        <x:v>椒麻北豆腐虾仁烩冬瓜杏鲍菇｜糙米饭</x:v>
      </x:c>
      <x:c r="G544" s="10" t="str">
        <x:v>北豆腐300g、虾仁85g、冬瓜160g、杏鲍菇155g、糙米饭125g、烹调油4g</x:v>
      </x:c>
      <x:c r="H544" t="str">
        <x:v>糙米饭</x:v>
      </x:c>
      <x:c r="I544" s="10" t="str">
        <x:v>低主食需求可将主食减1/3，另加100g非淀粉蔬菜（营养值需重算）</x:v>
      </x:c>
      <x:c r="J544" s="10" t="str">
        <x:v>花椒、蒜、少量醋</x:v>
      </x:c>
      <x:c r="K544" t="str">
        <x:v>水煮</x:v>
      </x:c>
      <x:c r="L544" s="10" t="str">
        <x:v>花椒温水浸出味道，煮熟主食材和配菜，少油拌汁；糙米饭另煮熟或蒸好后同餐食用。</x:v>
      </x:c>
      <x:c r="M544" t="n">
        <x:v>15</x:v>
      </x:c>
      <x:c r="N544" t="n">
        <x:f>ROUND(SUM('食材明细'!H3254:H3259),0)</x:f>
        <x:v>598</x:v>
      </x:c>
      <x:c r="O544" t="n">
        <x:f>ROUND(SUM('食材明细'!J3254:J3259),1)</x:f>
        <x:v>53.1</x:v>
      </x:c>
      <x:c r="P544" t="n">
        <x:f>ROUND(SUM('食材明细'!L3254:L3259),1)</x:f>
        <x:v>52</x:v>
      </x:c>
      <x:c r="Q544" t="n">
        <x:f>ROUND(SUM('食材明细'!N3254:N3259),1)</x:f>
        <x:v>21.9</x:v>
      </x:c>
      <x:c r="R544" s="10" t="str">
        <x:v>调料尽量低盐，不加白砂糖；油重已计入热量。</x:v>
      </x:c>
    </x:row>
    <x:row r="545" ht="37" customHeight="1">
      <x:c r="A545" t="n">
        <x:v>544</x:v>
      </x:c>
      <x:c r="B545" t="n">
        <x:v>272</x:v>
      </x:c>
      <x:c r="C545" t="n">
        <x:v>39</x:v>
      </x:c>
      <x:c r="D545" t="str">
        <x:v>晚餐</x:v>
      </x:c>
      <x:c r="E545" t="str">
        <x:v>鱼类</x:v>
      </x:c>
      <x:c r="F545" s="10" t="str">
        <x:v>酸汤三文鱼配菜心花菜｜玉米</x:v>
      </x:c>
      <x:c r="G545" s="10" t="str">
        <x:v>三文鱼145g、菜心160g、花菜125g、玉米125g、烹调油3g</x:v>
      </x:c>
      <x:c r="H545" t="str">
        <x:v>玉米</x:v>
      </x:c>
      <x:c r="I545" s="10" t="str">
        <x:v>想减主食可减到原量2/3，另加100g绿叶菜</x:v>
      </x:c>
      <x:c r="J545" s="10" t="str">
        <x:v>米醋、番茄、少许辣椒</x:v>
      </x:c>
      <x:c r="K545" t="str">
        <x:v>水煮</x:v>
      </x:c>
      <x:c r="L545" s="10" t="str">
        <x:v>鱼肉去刺，彻底做熟；番茄煮成酸汤，主食材汆熟，加入蔬菜再煮2～5分钟；玉米另煮熟或蒸好后同餐食用。</x:v>
      </x:c>
      <x:c r="M545" t="n">
        <x:v>25</x:v>
      </x:c>
      <x:c r="N545" t="n">
        <x:f>ROUND(SUM('食材明细'!H3260:H3265),0)</x:f>
        <x:v>519</x:v>
      </x:c>
      <x:c r="O545" t="n">
        <x:f>ROUND(SUM('食材明细'!J3260:J3265),1)</x:f>
        <x:v>39</x:v>
      </x:c>
      <x:c r="P545" t="n">
        <x:f>ROUND(SUM('食材明细'!L3260:L3265),1)</x:f>
        <x:v>39.4</x:v>
      </x:c>
      <x:c r="Q545" t="n">
        <x:f>ROUND(SUM('食材明细'!N3260:N3265),1)</x:f>
        <x:v>24.6</x:v>
      </x:c>
      <x:c r="R545" s="10" t="str">
        <x:v>调料尽量低盐，不加白砂糖；油重已计入热量。</x:v>
      </x:c>
    </x:row>
    <x:row r="546" ht="37" customHeight="1">
      <x:c r="A546" t="n">
        <x:v>545</x:v>
      </x:c>
      <x:c r="B546" t="n">
        <x:v>273</x:v>
      </x:c>
      <x:c r="C546" t="n">
        <x:v>39</x:v>
      </x:c>
      <x:c r="D546" t="str">
        <x:v>午餐</x:v>
      </x:c>
      <x:c r="E546" t="str">
        <x:v>禽肉</x:v>
      </x:c>
      <x:c r="F546" s="10" t="str">
        <x:v>酸汤鸡胸肉配丝瓜香菇｜燕麦饭</x:v>
      </x:c>
      <x:c r="G546" s="10" t="str">
        <x:v>鸡胸肉165g、丝瓜175g、香菇110g、燕麦饭110g、烹调油6g</x:v>
      </x:c>
      <x:c r="H546" t="str">
        <x:v>燕麦饭</x:v>
      </x:c>
      <x:c r="I546" s="10" t="str">
        <x:v>低主食需求可将主食减1/3，另加100g非淀粉蔬菜（营养值需重算）</x:v>
      </x:c>
      <x:c r="J546" s="10" t="str">
        <x:v>米醋、番茄、少许辣椒</x:v>
      </x:c>
      <x:c r="K546" t="str">
        <x:v>水煮</x:v>
      </x:c>
      <x:c r="L546" s="10" t="str">
        <x:v>番茄煮成酸汤，主食材汆熟，加入蔬菜再煮2～5分钟；燕麦饭另煮熟或蒸好后同餐食用。</x:v>
      </x:c>
      <x:c r="M546" t="n">
        <x:v>30</x:v>
      </x:c>
      <x:c r="N546" t="n">
        <x:f>ROUND(SUM('食材明细'!H3266:H3271),0)</x:f>
        <x:v>429</x:v>
      </x:c>
      <x:c r="O546" t="n">
        <x:f>ROUND(SUM('食材明细'!J3266:J3271),1)</x:f>
        <x:v>45.6</x:v>
      </x:c>
      <x:c r="P546" t="n">
        <x:f>ROUND(SUM('食材明细'!L3266:L3271),1)</x:f>
        <x:v>37.6</x:v>
      </x:c>
      <x:c r="Q546" t="n">
        <x:f>ROUND(SUM('食材明细'!N3266:N3271),1)</x:f>
        <x:v>12.2</x:v>
      </x:c>
      <x:c r="R546" s="10" t="str">
        <x:v>调料尽量低盐，不加白砂糖；油重已计入热量。</x:v>
      </x:c>
    </x:row>
    <x:row r="547" ht="37" customHeight="1">
      <x:c r="A547" t="n">
        <x:v>546</x:v>
      </x:c>
      <x:c r="B547" t="n">
        <x:v>273</x:v>
      </x:c>
      <x:c r="C547" t="n">
        <x:v>39</x:v>
      </x:c>
      <x:c r="D547" t="str">
        <x:v>晚餐</x:v>
      </x:c>
      <x:c r="E547" t="str">
        <x:v>豆蛋</x:v>
      </x:c>
      <x:c r="F547" s="10" t="str">
        <x:v>清汤嫩豆腐鸡蛋烩白萝卜小白菜｜土豆</x:v>
      </x:c>
      <x:c r="G547" s="10" t="str">
        <x:v>嫩豆腐300g、鸡蛋50g、白萝卜140g、小白菜140g、土豆80g、烹调油6g</x:v>
      </x:c>
      <x:c r="H547" t="str">
        <x:v>土豆</x:v>
      </x:c>
      <x:c r="I547" s="10" t="str">
        <x:v>想减主食可减到原量2/3，另加100g绿叶菜</x:v>
      </x:c>
      <x:c r="J547" s="10" t="str">
        <x:v>葱段、盐少量</x:v>
      </x:c>
      <x:c r="K547" t="str">
        <x:v>煮</x:v>
      </x:c>
      <x:c r="L547" s="10" t="str">
        <x:v>清水煮开，按熟化时间下食材，最后放叶菜，清淡调味；土豆另煮熟或蒸好后同餐食用。</x:v>
      </x:c>
      <x:c r="M547" t="n">
        <x:v>20</x:v>
      </x:c>
      <x:c r="N547" t="n">
        <x:f>ROUND(SUM('食材明细'!H3272:H3277),0)</x:f>
        <x:v>402</x:v>
      </x:c>
      <x:c r="O547" t="n">
        <x:f>ROUND(SUM('食材明细'!J3272:J3277),1)</x:f>
        <x:v>26.2</x:v>
      </x:c>
      <x:c r="P547" t="n">
        <x:f>ROUND(SUM('食材明细'!L3272:L3277),1)</x:f>
        <x:v>29.8</x:v>
      </x:c>
      <x:c r="Q547" t="n">
        <x:f>ROUND(SUM('食材明细'!N3272:N3277),1)</x:f>
        <x:v>19.9</x:v>
      </x:c>
      <x:c r="R547" s="10" t="str">
        <x:v>调料尽量低盐，不加白砂糖；油重已计入热量。</x:v>
      </x:c>
    </x:row>
    <x:row r="548" ht="37" customHeight="1">
      <x:c r="A548" t="n">
        <x:v>547</x:v>
      </x:c>
      <x:c r="B548" t="n">
        <x:v>274</x:v>
      </x:c>
      <x:c r="C548" t="n">
        <x:v>40</x:v>
      </x:c>
      <x:c r="D548" t="str">
        <x:v>午餐</x:v>
      </x:c>
      <x:c r="E548" t="str">
        <x:v>鱼类</x:v>
      </x:c>
      <x:c r="F548" s="10" t="str">
        <x:v>菌菇鲈鱼配菠菜杏鲍菇｜糙米饭</x:v>
      </x:c>
      <x:c r="G548" s="10" t="str">
        <x:v>鲈鱼175g、菠菜140g、杏鲍菇140g、糙米饭125g、烹调油3g</x:v>
      </x:c>
      <x:c r="H548" t="str">
        <x:v>糙米饭</x:v>
      </x:c>
      <x:c r="I548" s="10" t="str">
        <x:v>低主食需求可将主食减1/3，另加100g非淀粉蔬菜（营养值需重算）</x:v>
      </x:c>
      <x:c r="J548" s="10" t="str">
        <x:v>姜片、香菇汁</x:v>
      </x:c>
      <x:c r="K548" t="str">
        <x:v>焖煮</x:v>
      </x:c>
      <x:c r="L548" s="10" t="str">
        <x:v>鱼肉去刺，彻底做熟；食材与菌菇加少量水焖熟，出锅前加少量低盐生抽；糙米饭另煮熟或蒸好后同餐食用。</x:v>
      </x:c>
      <x:c r="M548" t="n">
        <x:v>20</x:v>
      </x:c>
      <x:c r="N548" t="n">
        <x:f>ROUND(SUM('食材明细'!H3278:H3283),0)</x:f>
        <x:v>432</x:v>
      </x:c>
      <x:c r="O548" t="n">
        <x:f>ROUND(SUM('食材明细'!J3278:J3283),1)</x:f>
        <x:v>43.4</x:v>
      </x:c>
      <x:c r="P548" t="n">
        <x:f>ROUND(SUM('食材明细'!L3278:L3283),1)</x:f>
        <x:v>44.8</x:v>
      </x:c>
      <x:c r="Q548" t="n">
        <x:f>ROUND(SUM('食材明细'!N3278:N3283),1)</x:f>
        <x:v>10.4</x:v>
      </x:c>
      <x:c r="R548" s="10" t="str">
        <x:v>调料尽量低盐，不加白砂糖；油重已计入热量。</x:v>
      </x:c>
    </x:row>
    <x:row r="549" ht="37" customHeight="1">
      <x:c r="A549" t="n">
        <x:v>548</x:v>
      </x:c>
      <x:c r="B549" t="n">
        <x:v>274</x:v>
      </x:c>
      <x:c r="C549" t="n">
        <x:v>40</x:v>
      </x:c>
      <x:c r="D549" t="str">
        <x:v>晚餐</x:v>
      </x:c>
      <x:c r="E549" t="str">
        <x:v>禽肉</x:v>
      </x:c>
      <x:c r="F549" s="10" t="str">
        <x:v>蒜香去皮鸭胸肉配油麦菜海带｜藜麦饭</x:v>
      </x:c>
      <x:c r="G549" s="10" t="str">
        <x:v>去皮鸭胸肉145g、油麦菜160g、海带110g、藜麦饭95g、烹调油3g</x:v>
      </x:c>
      <x:c r="H549" t="str">
        <x:v>藜麦饭</x:v>
      </x:c>
      <x:c r="I549" s="10" t="str">
        <x:v>低主食需求可将主食减1/3，另加100g非淀粉蔬菜（营养值需重算）</x:v>
      </x:c>
      <x:c r="J549" s="10" t="str">
        <x:v>蒜末、白胡椒</x:v>
      </x:c>
      <x:c r="K549" t="str">
        <x:v>蒸</x:v>
      </x:c>
      <x:c r="L549" s="10" t="str">
        <x:v>食材切块，撒蒜末；上锅蒸熟，蔬菜另焯后拌匀；藜麦饭另煮熟或蒸好后同餐食用。</x:v>
      </x:c>
      <x:c r="M549" t="n">
        <x:v>30</x:v>
      </x:c>
      <x:c r="N549" t="n">
        <x:f>ROUND(SUM('食材明细'!H3284:H3289),0)</x:f>
        <x:v>400</x:v>
      </x:c>
      <x:c r="O549" t="n">
        <x:f>ROUND(SUM('食材明细'!J3284:J3289),1)</x:f>
        <x:v>35.1</x:v>
      </x:c>
      <x:c r="P549" t="n">
        <x:f>ROUND(SUM('食材明细'!L3284:L3289),1)</x:f>
        <x:v>30.7</x:v>
      </x:c>
      <x:c r="Q549" t="n">
        <x:f>ROUND(SUM('食材明细'!N3284:N3289),1)</x:f>
        <x:v>15.4</x:v>
      </x:c>
      <x:c r="R549" s="10" t="str">
        <x:v>调料尽量低盐，不加白砂糖；油重已计入热量。</x:v>
      </x:c>
    </x:row>
    <x:row r="550" ht="37" customHeight="1">
      <x:c r="A550" t="n">
        <x:v>549</x:v>
      </x:c>
      <x:c r="B550" t="n">
        <x:v>275</x:v>
      </x:c>
      <x:c r="C550" t="n">
        <x:v>40</x:v>
      </x:c>
      <x:c r="D550" t="str">
        <x:v>午餐</x:v>
      </x:c>
      <x:c r="E550" t="str">
        <x:v>豆蛋</x:v>
      </x:c>
      <x:c r="F550" s="10" t="str">
        <x:v>蒜香嫩豆腐鸡蛋烩芹菜西兰花｜燕麦饭</x:v>
      </x:c>
      <x:c r="G550" s="10" t="str">
        <x:v>嫩豆腐300g、鸡蛋85g、芹菜160g、西兰花110g、燕麦饭165g、烹调油6g</x:v>
      </x:c>
      <x:c r="H550" t="str">
        <x:v>燕麦饭</x:v>
      </x:c>
      <x:c r="I550" s="10" t="str">
        <x:v>低主食需求可将主食减1/3，另加100g非淀粉蔬菜（营养值需重算）</x:v>
      </x:c>
      <x:c r="J550" s="10" t="str">
        <x:v>蒜末、白胡椒</x:v>
      </x:c>
      <x:c r="K550" t="str">
        <x:v>蒸</x:v>
      </x:c>
      <x:c r="L550" s="10" t="str">
        <x:v>食材切块，撒蒜末；上锅蒸熟，蔬菜另焯后拌匀；燕麦饭另煮熟或蒸好后同餐食用。</x:v>
      </x:c>
      <x:c r="M550" t="n">
        <x:v>30</x:v>
      </x:c>
      <x:c r="N550" t="n">
        <x:f>ROUND(SUM('食材明细'!H3290:H3295),0)</x:f>
        <x:v>588</x:v>
      </x:c>
      <x:c r="O550" t="n">
        <x:f>ROUND(SUM('食材明细'!J3290:J3295),1)</x:f>
        <x:v>36</x:v>
      </x:c>
      <x:c r="P550" t="n">
        <x:f>ROUND(SUM('食材明细'!L3290:L3295),1)</x:f>
        <x:v>54.9</x:v>
      </x:c>
      <x:c r="Q550" t="n">
        <x:f>ROUND(SUM('食材明细'!N3290:N3295),1)</x:f>
        <x:v>26.5</x:v>
      </x:c>
      <x:c r="R550" s="10" t="str">
        <x:v>调料尽量低盐，不加白砂糖；油重已计入热量。</x:v>
      </x:c>
    </x:row>
    <x:row r="551" ht="37" customHeight="1">
      <x:c r="A551" t="n">
        <x:v>550</x:v>
      </x:c>
      <x:c r="B551" t="n">
        <x:v>275</x:v>
      </x:c>
      <x:c r="C551" t="n">
        <x:v>40</x:v>
      </x:c>
      <x:c r="D551" t="str">
        <x:v>晚餐</x:v>
      </x:c>
      <x:c r="E551" t="str">
        <x:v>鱼类</x:v>
      </x:c>
      <x:c r="F551" s="10" t="str">
        <x:v>清汤鳕鱼配大白菜番茄｜玉米</x:v>
      </x:c>
      <x:c r="G551" s="10" t="str">
        <x:v>鳕鱼215g、大白菜160g、番茄125g、玉米110g、烹调油5g</x:v>
      </x:c>
      <x:c r="H551" t="str">
        <x:v>玉米</x:v>
      </x:c>
      <x:c r="I551" s="10" t="str">
        <x:v>想减主食可减到原量2/3，另加100g绿叶菜</x:v>
      </x:c>
      <x:c r="J551" s="10" t="str">
        <x:v>葱段、盐少量</x:v>
      </x:c>
      <x:c r="K551" t="str">
        <x:v>煮</x:v>
      </x:c>
      <x:c r="L551" s="10" t="str">
        <x:v>鱼肉去刺，彻底做熟；清水煮开，按熟化时间下食材，最后放叶菜，清淡调味；玉米另煮熟或蒸好后同餐食用。</x:v>
      </x:c>
      <x:c r="M551" t="n">
        <x:v>30</x:v>
      </x:c>
      <x:c r="N551" t="n">
        <x:f>ROUND(SUM('食材明细'!H3296:H3301),0)</x:f>
        <x:v>395</x:v>
      </x:c>
      <x:c r="O551" t="n">
        <x:f>ROUND(SUM('食材明细'!J3296:J3301),1)</x:f>
        <x:v>46</x:v>
      </x:c>
      <x:c r="P551" t="n">
        <x:f>ROUND(SUM('食材明细'!L3296:L3301),1)</x:f>
        <x:v>34.3</x:v>
      </x:c>
      <x:c r="Q551" t="n">
        <x:f>ROUND(SUM('食材明细'!N3296:N3301),1)</x:f>
        <x:v>8.8</x:v>
      </x:c>
      <x:c r="R551" s="10" t="str">
        <x:v>调料尽量低盐，不加白砂糖；油重已计入热量。</x:v>
      </x:c>
    </x:row>
    <x:row r="552" ht="37" customHeight="1">
      <x:c r="A552" t="n">
        <x:v>551</x:v>
      </x:c>
      <x:c r="B552" t="n">
        <x:v>276</x:v>
      </x:c>
      <x:c r="C552" t="n">
        <x:v>40</x:v>
      </x:c>
      <x:c r="D552" t="str">
        <x:v>午餐</x:v>
      </x:c>
      <x:c r="E552" t="str">
        <x:v>豆蛋</x:v>
      </x:c>
      <x:c r="F552" s="10" t="str">
        <x:v>豉汁鸡蛋北豆腐烩小白菜香菇｜藜麦饭</x:v>
      </x:c>
      <x:c r="G552" s="10" t="str">
        <x:v>鸡蛋110g、北豆腐90g、小白菜140g、香菇125g、藜麦饭110g、烹调油6g</x:v>
      </x:c>
      <x:c r="H552" t="str">
        <x:v>藜麦饭</x:v>
      </x:c>
      <x:c r="I552" s="10" t="str">
        <x:v>低主食需求可将主食减1/3，另加100g非淀粉蔬菜（营养值需重算）</x:v>
      </x:c>
      <x:c r="J552" s="10" t="str">
        <x:v>少量豆豉、姜末</x:v>
      </x:c>
      <x:c r="K552" t="str">
        <x:v>蒸</x:v>
      </x:c>
      <x:c r="L552" s="10" t="str">
        <x:v>鸡蛋先打散成蛋液；豆豉冲洗剁碎，与姜末拌主食材后蒸熟；蔬菜另煮；藜麦饭另煮熟或蒸好后同餐食用。</x:v>
      </x:c>
      <x:c r="M552" t="n">
        <x:v>25</x:v>
      </x:c>
      <x:c r="N552" t="n">
        <x:f>ROUND(SUM('食材明细'!H3302:H3307),0)</x:f>
        <x:v>492</x:v>
      </x:c>
      <x:c r="O552" t="n">
        <x:f>ROUND(SUM('食材明细'!J3302:J3307),1)</x:f>
        <x:v>33.1</x:v>
      </x:c>
      <x:c r="P552" t="n">
        <x:f>ROUND(SUM('食材明细'!L3302:L3307),1)</x:f>
        <x:v>38.9</x:v>
      </x:c>
      <x:c r="Q552" t="n">
        <x:f>ROUND(SUM('食材明细'!N3302:N3307),1)</x:f>
        <x:v>24.5</x:v>
      </x:c>
      <x:c r="R552" s="10" t="str">
        <x:v>调料尽量低盐，不加白砂糖；油重已计入热量。</x:v>
      </x:c>
    </x:row>
    <x:row r="553" ht="37" customHeight="1">
      <x:c r="A553" t="n">
        <x:v>552</x:v>
      </x:c>
      <x:c r="B553" t="n">
        <x:v>276</x:v>
      </x:c>
      <x:c r="C553" t="n">
        <x:v>40</x:v>
      </x:c>
      <x:c r="D553" t="str">
        <x:v>晚餐</x:v>
      </x:c>
      <x:c r="E553" t="str">
        <x:v>牛肉</x:v>
      </x:c>
      <x:c r="F553" s="10" t="str">
        <x:v>孜然瘦牛肉配莴笋西兰花｜糙米饭</x:v>
      </x:c>
      <x:c r="G553" s="10" t="str">
        <x:v>瘦牛肉180g、莴笋160g、西兰花155g、糙米饭135g、烹调油3g</x:v>
      </x:c>
      <x:c r="H553" t="str">
        <x:v>糙米饭</x:v>
      </x:c>
      <x:c r="I553" s="10" t="str">
        <x:v>低主食需求可将主食减1/3，另加100g非淀粉蔬菜（营养值需重算）</x:v>
      </x:c>
      <x:c r="J553" s="10" t="str">
        <x:v>孜然、辣椒粉、蒜末</x:v>
      </x:c>
      <x:c r="K553" t="str">
        <x:v>少油焖</x:v>
      </x:c>
      <x:c r="L553" s="10" t="str">
        <x:v>主食材用少量油和水焖熟，下蔬菜翻拌，撒孜然；糙米饭另煮熟或蒸好后同餐食用。</x:v>
      </x:c>
      <x:c r="M553" t="n">
        <x:v>20</x:v>
      </x:c>
      <x:c r="N553" t="n">
        <x:f>ROUND(SUM('食材明细'!H3308:H3313),0)</x:f>
        <x:v>480</x:v>
      </x:c>
      <x:c r="O553" t="n">
        <x:f>ROUND(SUM('食材明细'!J3308:J3313),1)</x:f>
        <x:v>47.2</x:v>
      </x:c>
      <x:c r="P553" t="n">
        <x:f>ROUND(SUM('食材明细'!L3308:L3313),1)</x:f>
        <x:v>47.1</x:v>
      </x:c>
      <x:c r="Q553" t="n">
        <x:f>ROUND(SUM('食材明细'!N3308:N3313),1)</x:f>
        <x:v>12.2</x:v>
      </x:c>
      <x:c r="R553" s="10" t="str">
        <x:v>调料尽量低盐，不加白砂糖；油重已计入热量。</x:v>
      </x:c>
    </x:row>
    <x:row r="554" ht="37" customHeight="1">
      <x:c r="A554" t="n">
        <x:v>553</x:v>
      </x:c>
      <x:c r="B554" t="n">
        <x:v>277</x:v>
      </x:c>
      <x:c r="C554" t="n">
        <x:v>40</x:v>
      </x:c>
      <x:c r="D554" t="str">
        <x:v>午餐</x:v>
      </x:c>
      <x:c r="E554" t="str">
        <x:v>禽肉</x:v>
      </x:c>
      <x:c r="F554" s="10" t="str">
        <x:v>孜然去皮鸭胸肉配茼蒿黄瓜｜糙米饭</x:v>
      </x:c>
      <x:c r="G554" s="10" t="str">
        <x:v>去皮鸭胸肉185g、茼蒿160g、黄瓜110g、糙米饭110g、烹调油3g</x:v>
      </x:c>
      <x:c r="H554" t="str">
        <x:v>糙米饭</x:v>
      </x:c>
      <x:c r="I554" s="10" t="str">
        <x:v>低主食需求可将主食减1/3，另加100g非淀粉蔬菜（营养值需重算）</x:v>
      </x:c>
      <x:c r="J554" s="10" t="str">
        <x:v>孜然、辣椒粉、蒜末</x:v>
      </x:c>
      <x:c r="K554" t="str">
        <x:v>少油焖</x:v>
      </x:c>
      <x:c r="L554" s="10" t="str">
        <x:v>主食材用少量油和水焖熟，下蔬菜翻拌，撒孜然；糙米饭另煮熟或蒸好后同餐食用。</x:v>
      </x:c>
      <x:c r="M554" t="n">
        <x:v>25</x:v>
      </x:c>
      <x:c r="N554" t="n">
        <x:f>ROUND(SUM('食材明细'!H3314:H3319),0)</x:f>
        <x:v>465</x:v>
      </x:c>
      <x:c r="O554" t="n">
        <x:f>ROUND(SUM('食材明细'!J3314:J3319),1)</x:f>
        <x:v>41.8</x:v>
      </x:c>
      <x:c r="P554" t="n">
        <x:f>ROUND(SUM('食材明细'!L3314:L3319),1)</x:f>
        <x:v>36.7</x:v>
      </x:c>
      <x:c r="Q554" t="n">
        <x:f>ROUND(SUM('食材明细'!N3314:N3319),1)</x:f>
        <x:v>17.5</x:v>
      </x:c>
      <x:c r="R554" s="10" t="str">
        <x:v>调料尽量低盐，不加白砂糖；油重已计入热量。</x:v>
      </x:c>
    </x:row>
    <x:row r="555" ht="37" customHeight="1">
      <x:c r="A555" t="n">
        <x:v>554</x:v>
      </x:c>
      <x:c r="B555" t="n">
        <x:v>277</x:v>
      </x:c>
      <x:c r="C555" t="n">
        <x:v>40</x:v>
      </x:c>
      <x:c r="D555" t="str">
        <x:v>晚餐</x:v>
      </x:c>
      <x:c r="E555" t="str">
        <x:v>海鲜</x:v>
      </x:c>
      <x:c r="F555" s="10" t="str">
        <x:v>椒麻鱿鱼配西兰花海带｜玉米</x:v>
      </x:c>
      <x:c r="G555" s="10" t="str">
        <x:v>鱿鱼190g、西兰花190g、海带125g、玉米80g、烹调油6g</x:v>
      </x:c>
      <x:c r="H555" t="str">
        <x:v>玉米</x:v>
      </x:c>
      <x:c r="I555" s="10" t="str">
        <x:v>想减主食可减到原量2/3，另加100g绿叶菜</x:v>
      </x:c>
      <x:c r="J555" s="10" t="str">
        <x:v>花椒、蒜、少量醋</x:v>
      </x:c>
      <x:c r="K555" t="str">
        <x:v>水煮</x:v>
      </x:c>
      <x:c r="L555" s="10" t="str">
        <x:v>花椒温水浸出味道，煮熟主食材和配菜，少油拌汁；玉米另煮熟或蒸好后同餐食用。</x:v>
      </x:c>
      <x:c r="M555" t="n">
        <x:v>15</x:v>
      </x:c>
      <x:c r="N555" t="n">
        <x:f>ROUND(SUM('食材明细'!H3320:H3325),0)</x:f>
        <x:v>414</x:v>
      </x:c>
      <x:c r="O555" t="n">
        <x:f>ROUND(SUM('食材明细'!J3320:J3325),1)</x:f>
        <x:v>41.6</x:v>
      </x:c>
      <x:c r="P555" t="n">
        <x:f>ROUND(SUM('食材明细'!L3320:L3325),1)</x:f>
        <x:v>41</x:v>
      </x:c>
      <x:c r="Q555" t="n">
        <x:f>ROUND(SUM('食材明细'!N3320:N3325),1)</x:f>
        <x:v>10.8</x:v>
      </x:c>
      <x:c r="R555" s="10" t="str">
        <x:v>调料尽量低盐，不加白砂糖；油重已计入热量。</x:v>
      </x:c>
    </x:row>
    <x:row r="556" ht="37" customHeight="1">
      <x:c r="A556" t="n">
        <x:v>555</x:v>
      </x:c>
      <x:c r="B556" t="n">
        <x:v>278</x:v>
      </x:c>
      <x:c r="C556" t="n">
        <x:v>40</x:v>
      </x:c>
      <x:c r="D556" t="str">
        <x:v>午餐</x:v>
      </x:c>
      <x:c r="E556" t="str">
        <x:v>鱼类</x:v>
      </x:c>
      <x:c r="F556" s="10" t="str">
        <x:v>花椒鲈鱼配番茄西兰花｜白米饭</x:v>
      </x:c>
      <x:c r="G556" s="10" t="str">
        <x:v>鲈鱼200g、番茄175g、西兰花140g、白米饭125g、烹调油6g</x:v>
      </x:c>
      <x:c r="H556" t="str">
        <x:v>白米饭</x:v>
      </x:c>
      <x:c r="I556" s="10" t="str">
        <x:v>低主食需求可将主食减1/3，另加100g非淀粉蔬菜（营养值需重算）</x:v>
      </x:c>
      <x:c r="J556" s="10" t="str">
        <x:v>花椒粉、姜丝</x:v>
      </x:c>
      <x:c r="K556" t="str">
        <x:v>蒸</x:v>
      </x:c>
      <x:c r="L556" s="10" t="str">
        <x:v>鱼肉去刺，彻底做熟；薄薄撒花椒和姜丝，蒸至熟透，搭配焯青菜；白米饭另煮熟或蒸好后同餐食用。</x:v>
      </x:c>
      <x:c r="M556" t="n">
        <x:v>15</x:v>
      </x:c>
      <x:c r="N556" t="n">
        <x:f>ROUND(SUM('食材明细'!H3326:H3331),0)</x:f>
        <x:v>492</x:v>
      </x:c>
      <x:c r="O556" t="n">
        <x:f>ROUND(SUM('食材明细'!J3326:J3331),1)</x:f>
        <x:v>46.8</x:v>
      </x:c>
      <x:c r="P556" t="n">
        <x:f>ROUND(SUM('食材明细'!L3326:L3331),1)</x:f>
        <x:v>48.8</x:v>
      </x:c>
      <x:c r="Q556" t="n">
        <x:f>ROUND(SUM('食材明细'!N3326:N3331),1)</x:f>
        <x:v>13.3</x:v>
      </x:c>
      <x:c r="R556" s="10" t="str">
        <x:v>调料尽量低盐，不加白砂糖；油重已计入热量。</x:v>
      </x:c>
    </x:row>
    <x:row r="557" ht="37" customHeight="1">
      <x:c r="A557" t="n">
        <x:v>556</x:v>
      </x:c>
      <x:c r="B557" t="n">
        <x:v>278</x:v>
      </x:c>
      <x:c r="C557" t="n">
        <x:v>40</x:v>
      </x:c>
      <x:c r="D557" t="str">
        <x:v>晚餐</x:v>
      </x:c>
      <x:c r="E557" t="str">
        <x:v>禽肉</x:v>
      </x:c>
      <x:c r="F557" s="10" t="str">
        <x:v>黑椒鸡胸肉配白萝卜绿豆芽｜燕麦饭</x:v>
      </x:c>
      <x:c r="G557" s="10" t="str">
        <x:v>鸡胸肉170g、白萝卜160g、绿豆芽140g、燕麦饭95g、烹调油5g</x:v>
      </x:c>
      <x:c r="H557" t="str">
        <x:v>燕麦饭</x:v>
      </x:c>
      <x:c r="I557" s="10" t="str">
        <x:v>低主食需求可将主食减1/3，另加100g非淀粉蔬菜（营养值需重算）</x:v>
      </x:c>
      <x:c r="J557" s="10" t="str">
        <x:v>黑胡椒、蒜末</x:v>
      </x:c>
      <x:c r="K557" t="str">
        <x:v>少油烩</x:v>
      </x:c>
      <x:c r="L557" s="10" t="str">
        <x:v>锅加少量水和油，先把主食材煮熟，再烩两种蔬菜，收汁撒黑椒；燕麦饭另煮熟或蒸好后同餐食用。</x:v>
      </x:c>
      <x:c r="M557" t="n">
        <x:v>20</x:v>
      </x:c>
      <x:c r="N557" t="n">
        <x:f>ROUND(SUM('食材明细'!H3332:H3337),0)</x:f>
        <x:v>409</x:v>
      </x:c>
      <x:c r="O557" t="n">
        <x:f>ROUND(SUM('食材明细'!J3332:J3337),1)</x:f>
        <x:v>47.3</x:v>
      </x:c>
      <x:c r="P557" t="n">
        <x:f>ROUND(SUM('食材明细'!L3332:L3337),1)</x:f>
        <x:v>34.8</x:v>
      </x:c>
      <x:c r="Q557" t="n">
        <x:f>ROUND(SUM('食材明细'!N3332:N3337),1)</x:f>
        <x:v>10.6</x:v>
      </x:c>
      <x:c r="R557" s="10" t="str">
        <x:v>调料尽量低盐，不加白砂糖；油重已计入热量。</x:v>
      </x:c>
    </x:row>
    <x:row r="558" ht="37" customHeight="1">
      <x:c r="A558" t="n">
        <x:v>557</x:v>
      </x:c>
      <x:c r="B558" t="n">
        <x:v>279</x:v>
      </x:c>
      <x:c r="C558" t="n">
        <x:v>40</x:v>
      </x:c>
      <x:c r="D558" t="str">
        <x:v>午餐</x:v>
      </x:c>
      <x:c r="E558" t="str">
        <x:v>加工肉</x:v>
      </x:c>
      <x:c r="F558" s="10" t="str">
        <x:v>菌菇低盐火腿鸡蛋烩生菜口蘑｜杂粮饭</x:v>
      </x:c>
      <x:c r="G558" s="10" t="str">
        <x:v>低盐火腿45g、鸡蛋60g、生菜140g、口蘑125g、杂粮饭125g、烹调油6g</x:v>
      </x:c>
      <x:c r="H558" t="str">
        <x:v>杂粮饭</x:v>
      </x:c>
      <x:c r="I558" s="10" t="str">
        <x:v>低主食需求可将主食减1/3，另加100g非淀粉蔬菜（营养值需重算）</x:v>
      </x:c>
      <x:c r="J558" s="10" t="str">
        <x:v>姜片、香菇汁</x:v>
      </x:c>
      <x:c r="K558" t="str">
        <x:v>焖煮</x:v>
      </x:c>
      <x:c r="L558" s="10" t="str">
        <x:v>火腿仅用于提味，另用蛋或豆腐提供蛋白；食材与菌菇加少量水焖熟，出锅前加少量低盐生抽；杂粮饭另煮熟或蒸好后同餐食用。</x:v>
      </x:c>
      <x:c r="M558" t="n">
        <x:v>25</x:v>
      </x:c>
      <x:c r="N558" t="n">
        <x:f>ROUND(SUM('食材明细'!H3338:H3343),0)</x:f>
        <x:v>406</x:v>
      </x:c>
      <x:c r="O558" t="n">
        <x:f>ROUND(SUM('食材明细'!J3338:J3343),1)</x:f>
        <x:v>23.8</x:v>
      </x:c>
      <x:c r="P558" t="n">
        <x:f>ROUND(SUM('食材明细'!L3338:L3343),1)</x:f>
        <x:v>40.5</x:v>
      </x:c>
      <x:c r="Q558" t="n">
        <x:f>ROUND(SUM('食材明细'!N3338:N3343),1)</x:f>
        <x:v>18</x:v>
      </x:c>
      <x:c r="R558" s="10" t="str">
        <x:v>加工肉少量点缀；留意包装钠和添加糖。</x:v>
      </x:c>
    </x:row>
    <x:row r="559" ht="37" customHeight="1">
      <x:c r="A559" t="n">
        <x:v>558</x:v>
      </x:c>
      <x:c r="B559" t="n">
        <x:v>279</x:v>
      </x:c>
      <x:c r="C559" t="n">
        <x:v>40</x:v>
      </x:c>
      <x:c r="D559" t="str">
        <x:v>晚餐</x:v>
      </x:c>
      <x:c r="E559" t="str">
        <x:v>牛肉</x:v>
      </x:c>
      <x:c r="F559" s="10" t="str">
        <x:v>清汤瘦牛肉配黄瓜彩椒｜荞麦饭</x:v>
      </x:c>
      <x:c r="G559" s="10" t="str">
        <x:v>瘦牛肉180g、黄瓜140g、彩椒155g、荞麦饭95g、烹调油6g</x:v>
      </x:c>
      <x:c r="H559" t="str">
        <x:v>荞麦饭</x:v>
      </x:c>
      <x:c r="I559" s="10" t="str">
        <x:v>低主食需求可将主食减1/3，另加100g非淀粉蔬菜（营养值需重算）</x:v>
      </x:c>
      <x:c r="J559" s="10" t="str">
        <x:v>葱段、盐少量</x:v>
      </x:c>
      <x:c r="K559" t="str">
        <x:v>煮</x:v>
      </x:c>
      <x:c r="L559" s="10" t="str">
        <x:v>清水煮开，按熟化时间下食材，最后放叶菜，清淡调味；荞麦饭另煮熟或蒸好后同餐食用。</x:v>
      </x:c>
      <x:c r="M559" t="n">
        <x:v>20</x:v>
      </x:c>
      <x:c r="N559" t="n">
        <x:f>ROUND(SUM('食材明细'!H3344:H3349),0)</x:f>
        <x:v>448</x:v>
      </x:c>
      <x:c r="O559" t="n">
        <x:f>ROUND(SUM('食材明细'!J3344:J3349),1)</x:f>
        <x:v>43.6</x:v>
      </x:c>
      <x:c r="P559" t="n">
        <x:f>ROUND(SUM('食材明细'!L3344:L3349),1)</x:f>
        <x:v>35.4</x:v>
      </x:c>
      <x:c r="Q559" t="n">
        <x:f>ROUND(SUM('食材明细'!N3344:N3349),1)</x:f>
        <x:v>14.7</x:v>
      </x:c>
      <x:c r="R559" s="10" t="str">
        <x:v>调料尽量低盐，不加白砂糖；油重已计入热量。</x:v>
      </x:c>
    </x:row>
    <x:row r="560" ht="37" customHeight="1">
      <x:c r="A560" t="n">
        <x:v>559</x:v>
      </x:c>
      <x:c r="B560" t="n">
        <x:v>280</x:v>
      </x:c>
      <x:c r="C560" t="n">
        <x:v>40</x:v>
      </x:c>
      <x:c r="D560" t="str">
        <x:v>午餐</x:v>
      </x:c>
      <x:c r="E560" t="str">
        <x:v>禽肉</x:v>
      </x:c>
      <x:c r="F560" s="10" t="str">
        <x:v>番茄去皮鸡腿肉配西兰花｜杂粮饭</x:v>
      </x:c>
      <x:c r="G560" s="10" t="str">
        <x:v>去皮鸡腿肉165g、番茄190g、西兰花125g、杂粮饭125g、烹调油3g</x:v>
      </x:c>
      <x:c r="H560" t="str">
        <x:v>杂粮饭</x:v>
      </x:c>
      <x:c r="I560" s="10" t="str">
        <x:v>低主食需求可将主食减1/3，另加100g非淀粉蔬菜（营养值需重算）</x:v>
      </x:c>
      <x:c r="J560" s="10" t="str">
        <x:v>番茄丁、黑胡椒</x:v>
      </x:c>
      <x:c r="K560" t="str">
        <x:v>炖煮</x:v>
      </x:c>
      <x:c r="L560" s="10" t="str">
        <x:v>先去皮去骨并切薄，充分加热；番茄出汁后加入主食材和少量水，轻炖至熟，再放配菜；杂粮饭另煮熟或蒸好后同餐食用。</x:v>
      </x:c>
      <x:c r="M560" t="n">
        <x:v>25</x:v>
      </x:c>
      <x:c r="N560" t="n">
        <x:f>ROUND(SUM('食材明细'!H3350:H3355),0)</x:f>
        <x:v>458</x:v>
      </x:c>
      <x:c r="O560" t="n">
        <x:f>ROUND(SUM('食材明细'!J3350:J3355),1)</x:f>
        <x:v>42.1</x:v>
      </x:c>
      <x:c r="P560" t="n">
        <x:f>ROUND(SUM('食材明细'!L3350:L3355),1)</x:f>
        <x:v>45.7</x:v>
      </x:c>
      <x:c r="Q560" t="n">
        <x:f>ROUND(SUM('食材明细'!N3350:N3355),1)</x:f>
        <x:v>13.5</x:v>
      </x:c>
      <x:c r="R560" s="10" t="str">
        <x:v>调料尽量低盐，不加白砂糖；油重已计入热量。</x:v>
      </x:c>
    </x:row>
    <x:row r="561" ht="37" customHeight="1">
      <x:c r="A561" t="n">
        <x:v>560</x:v>
      </x:c>
      <x:c r="B561" t="n">
        <x:v>280</x:v>
      </x:c>
      <x:c r="C561" t="n">
        <x:v>40</x:v>
      </x:c>
      <x:c r="D561" t="str">
        <x:v>晚餐</x:v>
      </x:c>
      <x:c r="E561" t="str">
        <x:v>豆蛋</x:v>
      </x:c>
      <x:c r="F561" s="10" t="str">
        <x:v>菌菇鸡蛋虾仁烩彩椒香菇｜藜麦饭</x:v>
      </x:c>
      <x:c r="G561" s="10" t="str">
        <x:v>鸡蛋100g、虾仁65g、彩椒160g、香菇155g、藜麦饭135g、烹调油5g</x:v>
      </x:c>
      <x:c r="H561" t="str">
        <x:v>藜麦饭</x:v>
      </x:c>
      <x:c r="I561" s="10" t="str">
        <x:v>低主食需求可将主食减1/3，另加100g非淀粉蔬菜（营养值需重算）</x:v>
      </x:c>
      <x:c r="J561" s="10" t="str">
        <x:v>姜片、香菇汁</x:v>
      </x:c>
      <x:c r="K561" t="str">
        <x:v>焖煮</x:v>
      </x:c>
      <x:c r="L561" s="10" t="str">
        <x:v>鸡蛋先打散成蛋液；食材与菌菇加少量水焖熟，出锅前加少量低盐生抽；藜麦饭另煮熟或蒸好后同餐食用。</x:v>
      </x:c>
      <x:c r="M561" t="n">
        <x:v>35</x:v>
      </x:c>
      <x:c r="N561" t="n">
        <x:f>ROUND(SUM('食材明细'!H3356:H3361),0)</x:f>
        <x:v>505</x:v>
      </x:c>
      <x:c r="O561" t="n">
        <x:f>ROUND(SUM('食材明细'!J3356:J3361),1)</x:f>
        <x:v>36.3</x:v>
      </x:c>
      <x:c r="P561" t="n">
        <x:f>ROUND(SUM('食材明细'!L3356:L3361),1)</x:f>
        <x:v>50.4</x:v>
      </x:c>
      <x:c r="Q561" t="n">
        <x:f>ROUND(SUM('食材明细'!N3356:N3361),1)</x:f>
        <x:v>19.4</x:v>
      </x:c>
      <x:c r="R561" s="10" t="str">
        <x:v>调料尽量低盐，不加白砂糖；油重已计入热量。</x:v>
      </x:c>
    </x:row>
    <x:row r="562" ht="37" customHeight="1">
      <x:c r="A562" t="n">
        <x:v>561</x:v>
      </x:c>
      <x:c r="B562" t="n">
        <x:v>281</x:v>
      </x:c>
      <x:c r="C562" t="n">
        <x:v>41</x:v>
      </x:c>
      <x:c r="D562" t="str">
        <x:v>午餐</x:v>
      </x:c>
      <x:c r="E562" t="str">
        <x:v>禽肉</x:v>
      </x:c>
      <x:c r="F562" s="10" t="str">
        <x:v>无糖照烧鸡胸肉配西兰花洋葱｜糙米饭</x:v>
      </x:c>
      <x:c r="G562" s="10" t="str">
        <x:v>鸡胸肉175g、北豆腐90g、西兰花175g、洋葱140g、糙米饭135g、烹调油4g</x:v>
      </x:c>
      <x:c r="H562" t="str">
        <x:v>糙米饭</x:v>
      </x:c>
      <x:c r="I562" s="10" t="str">
        <x:v>低主食需求可将主食减1/3，另加100g非淀粉蔬菜（营养值需重算）</x:v>
      </x:c>
      <x:c r="J562" s="10" t="str">
        <x:v>低盐生抽、米醋、洋葱自然甜味</x:v>
      </x:c>
      <x:c r="K562" t="str">
        <x:v>少油煮</x:v>
      </x:c>
      <x:c r="L562" s="10" t="str">
        <x:v>生抽与米醋调汁，不加糖；肉菜加水煮熟后略收汁；糙米饭另煮熟或蒸好后同餐食用。</x:v>
      </x:c>
      <x:c r="M562" t="n">
        <x:v>25</x:v>
      </x:c>
      <x:c r="N562" t="n">
        <x:f>ROUND(SUM('食材明细'!H3362:H3367),0)</x:f>
        <x:v>576</x:v>
      </x:c>
      <x:c r="O562" t="n">
        <x:f>ROUND(SUM('食材明细'!J3362:J3367),1)</x:f>
        <x:v>59.2</x:v>
      </x:c>
      <x:c r="P562" t="n">
        <x:f>ROUND(SUM('食材明细'!L3362:L3367),1)</x:f>
        <x:v>58.8</x:v>
      </x:c>
      <x:c r="Q562" t="n">
        <x:f>ROUND(SUM('食材明细'!N3362:N3367),1)</x:f>
        <x:v>14.1</x:v>
      </x:c>
      <x:c r="R562" s="10" t="str">
        <x:v>调料尽量低盐，不加白砂糖；油重已计入热量。</x:v>
      </x:c>
    </x:row>
    <x:row r="563" ht="37" customHeight="1">
      <x:c r="A563" t="n">
        <x:v>562</x:v>
      </x:c>
      <x:c r="B563" t="n">
        <x:v>281</x:v>
      </x:c>
      <x:c r="C563" t="n">
        <x:v>41</x:v>
      </x:c>
      <x:c r="D563" t="str">
        <x:v>晚餐</x:v>
      </x:c>
      <x:c r="E563" t="str">
        <x:v>禽肉</x:v>
      </x:c>
      <x:c r="F563" s="10" t="str">
        <x:v>花椒鸡里脊肉配紫甘蓝西兰花｜荞麦面</x:v>
      </x:c>
      <x:c r="G563" s="10" t="str">
        <x:v>鸡里脊肉145g、紫甘蓝140g、西兰花110g、荞麦面100g、烹调油3g</x:v>
      </x:c>
      <x:c r="H563" t="str">
        <x:v>荞麦面</x:v>
      </x:c>
      <x:c r="I563" s="10" t="str">
        <x:v>低主食需求可将主食减1/3，另加100g非淀粉蔬菜（营养值需重算）</x:v>
      </x:c>
      <x:c r="J563" s="10" t="str">
        <x:v>花椒粉、姜丝</x:v>
      </x:c>
      <x:c r="K563" t="str">
        <x:v>蒸</x:v>
      </x:c>
      <x:c r="L563" s="10" t="str">
        <x:v>薄薄撒花椒和姜丝，蒸至熟透，搭配焯青菜；面/魔芋丝煮熟后与菜合碗。</x:v>
      </x:c>
      <x:c r="M563" t="n">
        <x:v>25</x:v>
      </x:c>
      <x:c r="N563" t="n">
        <x:f>ROUND(SUM('食材明细'!H3368:H3373),0)</x:f>
        <x:v>372</x:v>
      </x:c>
      <x:c r="O563" t="n">
        <x:f>ROUND(SUM('食材明细'!J3368:J3373),1)</x:f>
        <x:v>42.4</x:v>
      </x:c>
      <x:c r="P563" t="n">
        <x:f>ROUND(SUM('食材明细'!L3368:L3373),1)</x:f>
        <x:v>38.9</x:v>
      </x:c>
      <x:c r="Q563" t="n">
        <x:f>ROUND(SUM('食材明细'!N3368:N3373),1)</x:f>
        <x:v>6.9</x:v>
      </x:c>
      <x:c r="R563" s="10" t="str">
        <x:v>调料尽量低盐，不加白砂糖；油重已计入热量。</x:v>
      </x:c>
    </x:row>
    <x:row r="564" ht="37" customHeight="1">
      <x:c r="A564" t="n">
        <x:v>563</x:v>
      </x:c>
      <x:c r="B564" t="n">
        <x:v>282</x:v>
      </x:c>
      <x:c r="C564" t="n">
        <x:v>41</x:v>
      </x:c>
      <x:c r="D564" t="str">
        <x:v>午餐</x:v>
      </x:c>
      <x:c r="E564" t="str">
        <x:v>加工肉</x:v>
      </x:c>
      <x:c r="F564" s="10" t="str">
        <x:v>清汤低盐火腿鸡蛋烩冬瓜芦笋｜全麦面</x:v>
      </x:c>
      <x:c r="G564" s="10" t="str">
        <x:v>低盐火腿45g、鸡蛋60g、冬瓜190g、芦笋110g、全麦面125g、烹调油3g</x:v>
      </x:c>
      <x:c r="H564" t="str">
        <x:v>全麦面</x:v>
      </x:c>
      <x:c r="I564" s="10" t="str">
        <x:v>低主食需求可将主食减1/3，另加100g非淀粉蔬菜（营养值需重算）</x:v>
      </x:c>
      <x:c r="J564" s="10" t="str">
        <x:v>葱段、盐少量</x:v>
      </x:c>
      <x:c r="K564" t="str">
        <x:v>煮</x:v>
      </x:c>
      <x:c r="L564" s="10" t="str">
        <x:v>火腿仅用于提味，另用蛋或豆腐提供蛋白；清水煮开，按熟化时间下食材，最后放叶菜，清淡调味；面/魔芋丝煮熟后与菜合碗。</x:v>
      </x:c>
      <x:c r="M564" t="n">
        <x:v>25</x:v>
      </x:c>
      <x:c r="N564" t="n">
        <x:f>ROUND(SUM('食材明细'!H3374:H3379),0)</x:f>
        <x:v>387</x:v>
      </x:c>
      <x:c r="O564" t="n">
        <x:f>ROUND(SUM('食材明细'!J3374:J3379),1)</x:f>
        <x:v>23.5</x:v>
      </x:c>
      <x:c r="P564" t="n">
        <x:f>ROUND(SUM('食材明细'!L3374:L3379),1)</x:f>
        <x:v>44.2</x:v>
      </x:c>
      <x:c r="Q564" t="n">
        <x:f>ROUND(SUM('食材明细'!N3374:N3379),1)</x:f>
        <x:v>14.9</x:v>
      </x:c>
      <x:c r="R564" s="10" t="str">
        <x:v>加工肉少量点缀；留意包装钠和添加糖。</x:v>
      </x:c>
    </x:row>
    <x:row r="565" ht="37" customHeight="1">
      <x:c r="A565" t="n">
        <x:v>564</x:v>
      </x:c>
      <x:c r="B565" t="n">
        <x:v>282</x:v>
      </x:c>
      <x:c r="C565" t="n">
        <x:v>41</x:v>
      </x:c>
      <x:c r="D565" t="str">
        <x:v>晚餐</x:v>
      </x:c>
      <x:c r="E565" t="str">
        <x:v>豆蛋</x:v>
      </x:c>
      <x:c r="F565" s="10" t="str">
        <x:v>菌菇鸡蛋北豆腐烩苦瓜口蘑｜全麦面</x:v>
      </x:c>
      <x:c r="G565" s="10" t="str">
        <x:v>鸡蛋100g、北豆腐110g、苦瓜140g、口蘑125g、全麦面135g、烹调油5g</x:v>
      </x:c>
      <x:c r="H565" t="str">
        <x:v>全麦面</x:v>
      </x:c>
      <x:c r="I565" s="10" t="str">
        <x:v>低主食需求可将主食减1/3，另加100g非淀粉蔬菜（营养值需重算）</x:v>
      </x:c>
      <x:c r="J565" s="10" t="str">
        <x:v>姜片、香菇汁</x:v>
      </x:c>
      <x:c r="K565" t="str">
        <x:v>焖煮</x:v>
      </x:c>
      <x:c r="L565" s="10" t="str">
        <x:v>鸡蛋先打散成蛋液；食材与菌菇加少量水焖熟，出锅前加少量低盐生抽；面/魔芋丝煮熟后与菜合碗。</x:v>
      </x:c>
      <x:c r="M565" t="n">
        <x:v>30</x:v>
      </x:c>
      <x:c r="N565" t="n">
        <x:f>ROUND(SUM('食材明细'!H3380:H3385),0)</x:f>
        <x:v>510</x:v>
      </x:c>
      <x:c r="O565" t="n">
        <x:f>ROUND(SUM('食材明细'!J3380:J3385),1)</x:f>
        <x:v>36</x:v>
      </x:c>
      <x:c r="P565" t="n">
        <x:f>ROUND(SUM('食材明细'!L3380:L3385),1)</x:f>
        <x:v>46.9</x:v>
      </x:c>
      <x:c r="Q565" t="n">
        <x:f>ROUND(SUM('食材明细'!N3380:N3385),1)</x:f>
        <x:v>22.7</x:v>
      </x:c>
      <x:c r="R565" s="10" t="str">
        <x:v>调料尽量低盐，不加白砂糖；油重已计入热量。</x:v>
      </x:c>
    </x:row>
    <x:row r="566" ht="37" customHeight="1">
      <x:c r="A566" t="n">
        <x:v>565</x:v>
      </x:c>
      <x:c r="B566" t="n">
        <x:v>283</x:v>
      </x:c>
      <x:c r="C566" t="n">
        <x:v>41</x:v>
      </x:c>
      <x:c r="D566" t="str">
        <x:v>午餐</x:v>
      </x:c>
      <x:c r="E566" t="str">
        <x:v>海鲜</x:v>
      </x:c>
      <x:c r="F566" s="10" t="str">
        <x:v>蒜香扇贝肉配小白菜香菇｜乌冬面</x:v>
      </x:c>
      <x:c r="G566" s="10" t="str">
        <x:v>扇贝肉210g、小白菜190g、香菇110g、乌冬面135g、烹调油3g</x:v>
      </x:c>
      <x:c r="H566" t="str">
        <x:v>乌冬面</x:v>
      </x:c>
      <x:c r="I566" s="10" t="str">
        <x:v>低主食需求可将主食减1/3，另加100g非淀粉蔬菜（营养值需重算）</x:v>
      </x:c>
      <x:c r="J566" s="10" t="str">
        <x:v>蒜末、白胡椒</x:v>
      </x:c>
      <x:c r="K566" t="str">
        <x:v>蒸</x:v>
      </x:c>
      <x:c r="L566" s="10" t="str">
        <x:v>食材切块，撒蒜末；上锅蒸熟，蔬菜另焯后拌匀；面/魔芋丝煮熟后与菜合碗。</x:v>
      </x:c>
      <x:c r="M566" t="n">
        <x:v>25</x:v>
      </x:c>
      <x:c r="N566" t="n">
        <x:f>ROUND(SUM('食材明细'!H3386:H3391),0)</x:f>
        <x:v>448</x:v>
      </x:c>
      <x:c r="O566" t="n">
        <x:f>ROUND(SUM('食材明细'!J3386:J3391),1)</x:f>
        <x:v>44.5</x:v>
      </x:c>
      <x:c r="P566" t="n">
        <x:f>ROUND(SUM('食材明细'!L3386:L3391),1)</x:f>
        <x:v>52.9</x:v>
      </x:c>
      <x:c r="Q566" t="n">
        <x:f>ROUND(SUM('食材明细'!N3386:N3391),1)</x:f>
        <x:v>6.4</x:v>
      </x:c>
      <x:c r="R566" s="10" t="str">
        <x:v>调料尽量低盐，不加白砂糖；油重已计入热量。</x:v>
      </x:c>
    </x:row>
    <x:row r="567" ht="37" customHeight="1">
      <x:c r="A567" t="n">
        <x:v>566</x:v>
      </x:c>
      <x:c r="B567" t="n">
        <x:v>283</x:v>
      </x:c>
      <x:c r="C567" t="n">
        <x:v>41</x:v>
      </x:c>
      <x:c r="D567" t="str">
        <x:v>晚餐</x:v>
      </x:c>
      <x:c r="E567" t="str">
        <x:v>禽肉</x:v>
      </x:c>
      <x:c r="F567" s="10" t="str">
        <x:v>菌菇去皮鸡腿肉配彩椒香菇｜白米饭</x:v>
      </x:c>
      <x:c r="G567" s="10" t="str">
        <x:v>去皮鸡腿肉170g、彩椒175g、香菇140g、白米饭80g、烹调油4g</x:v>
      </x:c>
      <x:c r="H567" t="str">
        <x:v>白米饭</x:v>
      </x:c>
      <x:c r="I567" s="10" t="str">
        <x:v>低主食需求可将主食减1/3，另加100g非淀粉蔬菜（营养值需重算）</x:v>
      </x:c>
      <x:c r="J567" s="10" t="str">
        <x:v>姜片、香菇汁</x:v>
      </x:c>
      <x:c r="K567" t="str">
        <x:v>焖煮</x:v>
      </x:c>
      <x:c r="L567" s="10" t="str">
        <x:v>先去皮去骨并切薄，充分加热；食材与菌菇加少量水焖熟，出锅前加少量低盐生抽；白米饭另煮熟或蒸好后同餐食用。</x:v>
      </x:c>
      <x:c r="M567" t="n">
        <x:v>25</x:v>
      </x:c>
      <x:c r="N567" t="n">
        <x:f>ROUND(SUM('食材明细'!H3392:H3397),0)</x:f>
        <x:v>436</x:v>
      </x:c>
      <x:c r="O567" t="n">
        <x:f>ROUND(SUM('食材明细'!J3392:J3397),1)</x:f>
        <x:v>40.9</x:v>
      </x:c>
      <x:c r="P567" t="n">
        <x:f>ROUND(SUM('食材明细'!L3392:L3397),1)</x:f>
        <x:v>40.7</x:v>
      </x:c>
      <x:c r="Q567" t="n">
        <x:f>ROUND(SUM('食材明细'!N3392:N3397),1)</x:f>
        <x:v>13.8</x:v>
      </x:c>
      <x:c r="R567" s="10" t="str">
        <x:v>调料尽量低盐，不加白砂糖；油重已计入热量。</x:v>
      </x:c>
    </x:row>
    <x:row r="568" ht="37" customHeight="1">
      <x:c r="A568" t="n">
        <x:v>567</x:v>
      </x:c>
      <x:c r="B568" t="n">
        <x:v>284</x:v>
      </x:c>
      <x:c r="C568" t="n">
        <x:v>41</x:v>
      </x:c>
      <x:c r="D568" t="str">
        <x:v>午餐</x:v>
      </x:c>
      <x:c r="E568" t="str">
        <x:v>海鲜</x:v>
      </x:c>
      <x:c r="F568" s="10" t="str">
        <x:v>蒜香虾仁配黄瓜玉米笋｜土豆</x:v>
      </x:c>
      <x:c r="G568" s="10" t="str">
        <x:v>虾仁190g、黄瓜175g、玉米笋155g、土豆130g、烹调油3g</x:v>
      </x:c>
      <x:c r="H568" t="str">
        <x:v>土豆</x:v>
      </x:c>
      <x:c r="I568" s="10" t="str">
        <x:v>想减主食可减到原量2/3，另加100g绿叶菜</x:v>
      </x:c>
      <x:c r="J568" s="10" t="str">
        <x:v>蒜末、白胡椒</x:v>
      </x:c>
      <x:c r="K568" t="str">
        <x:v>蒸</x:v>
      </x:c>
      <x:c r="L568" s="10" t="str">
        <x:v>食材切块，撒蒜末；上锅蒸熟，蔬菜另焯后拌匀；土豆另煮熟或蒸好后同餐食用。</x:v>
      </x:c>
      <x:c r="M568" t="n">
        <x:v>30</x:v>
      </x:c>
      <x:c r="N568" t="n">
        <x:f>ROUND(SUM('食材明细'!H3398:H3403),0)</x:f>
        <x:v>368</x:v>
      </x:c>
      <x:c r="O568" t="n">
        <x:f>ROUND(SUM('食材明细'!J3398:J3403),1)</x:f>
        <x:v>43</x:v>
      </x:c>
      <x:c r="P568" t="n">
        <x:f>ROUND(SUM('食材明细'!L3398:L3403),1)</x:f>
        <x:v>37</x:v>
      </x:c>
      <x:c r="Q568" t="n">
        <x:f>ROUND(SUM('食材明细'!N3398:N3403),1)</x:f>
        <x:v>5.6</x:v>
      </x:c>
      <x:c r="R568" s="10" t="str">
        <x:v>调料尽量低盐，不加白砂糖；油重已计入热量。</x:v>
      </x:c>
    </x:row>
    <x:row r="569" ht="37" customHeight="1">
      <x:c r="A569" t="n">
        <x:v>568</x:v>
      </x:c>
      <x:c r="B569" t="n">
        <x:v>284</x:v>
      </x:c>
      <x:c r="C569" t="n">
        <x:v>41</x:v>
      </x:c>
      <x:c r="D569" t="str">
        <x:v>晚餐</x:v>
      </x:c>
      <x:c r="E569" t="str">
        <x:v>豆蛋</x:v>
      </x:c>
      <x:c r="F569" s="10" t="str">
        <x:v>香醋北豆腐配花菜洋葱｜燕麦饭</x:v>
      </x:c>
      <x:c r="G569" s="10" t="str">
        <x:v>北豆腐300g、花菜190g、洋葱140g、燕麦饭125g、烹调油6g</x:v>
      </x:c>
      <x:c r="H569" t="str">
        <x:v>燕麦饭</x:v>
      </x:c>
      <x:c r="I569" s="10" t="str">
        <x:v>低主食需求可将主食减1/3，另加100g非淀粉蔬菜（营养值需重算）</x:v>
      </x:c>
      <x:c r="J569" s="10" t="str">
        <x:v>香醋、蒜末、少量生抽</x:v>
      </x:c>
      <x:c r="K569" t="str">
        <x:v>水煮</x:v>
      </x:c>
      <x:c r="L569" s="10" t="str">
        <x:v>食材分别煮至熟，淋香醋蒜汁，拌匀即食；燕麦饭另煮熟或蒸好后同餐食用。</x:v>
      </x:c>
      <x:c r="M569" t="n">
        <x:v>30</x:v>
      </x:c>
      <x:c r="N569" t="n">
        <x:f>ROUND(SUM('食材明细'!H3404:H3409),0)</x:f>
        <x:v>565</x:v>
      </x:c>
      <x:c r="O569" t="n">
        <x:f>ROUND(SUM('食材明细'!J3404:J3409),1)</x:f>
        <x:v>39.3</x:v>
      </x:c>
      <x:c r="P569" t="n">
        <x:f>ROUND(SUM('食材明细'!L3404:L3409),1)</x:f>
        <x:v>54.8</x:v>
      </x:c>
      <x:c r="Q569" t="n">
        <x:f>ROUND(SUM('食材明细'!N3404:N3409),1)</x:f>
        <x:v>24</x:v>
      </x:c>
      <x:c r="R569" s="10" t="str">
        <x:v>调料尽量低盐，不加白砂糖；油重已计入热量。</x:v>
      </x:c>
    </x:row>
    <x:row r="570" ht="37" customHeight="1">
      <x:c r="A570" t="n">
        <x:v>569</x:v>
      </x:c>
      <x:c r="B570" t="n">
        <x:v>285</x:v>
      </x:c>
      <x:c r="C570" t="n">
        <x:v>41</x:v>
      </x:c>
      <x:c r="D570" t="str">
        <x:v>午餐</x:v>
      </x:c>
      <x:c r="E570" t="str">
        <x:v>豆蛋</x:v>
      </x:c>
      <x:c r="F570" s="10" t="str">
        <x:v>清汤北豆腐鸡蛋烩丝瓜番茄｜杂粮饭</x:v>
      </x:c>
      <x:c r="G570" s="10" t="str">
        <x:v>北豆腐240g、鸡蛋50g、丝瓜140g、番茄155g、杂粮饭150g、烹调油3g</x:v>
      </x:c>
      <x:c r="H570" t="str">
        <x:v>杂粮饭</x:v>
      </x:c>
      <x:c r="I570" s="10" t="str">
        <x:v>低主食需求可将主食减1/3，另加100g非淀粉蔬菜（营养值需重算）</x:v>
      </x:c>
      <x:c r="J570" s="10" t="str">
        <x:v>葱段、盐少量</x:v>
      </x:c>
      <x:c r="K570" t="str">
        <x:v>煮</x:v>
      </x:c>
      <x:c r="L570" s="10" t="str">
        <x:v>清水煮开，按熟化时间下食材，最后放叶菜，清淡调味；杂粮饭另煮熟或蒸好后同餐食用。</x:v>
      </x:c>
      <x:c r="M570" t="n">
        <x:v>25</x:v>
      </x:c>
      <x:c r="N570" t="n">
        <x:f>ROUND(SUM('食材明细'!H3410:H3415),0)</x:f>
        <x:v>547</x:v>
      </x:c>
      <x:c r="O570" t="n">
        <x:f>ROUND(SUM('食材明细'!J3410:J3415),1)</x:f>
        <x:v>37.9</x:v>
      </x:c>
      <x:c r="P570" t="n">
        <x:f>ROUND(SUM('食材明细'!L3410:L3415),1)</x:f>
        <x:v>52.4</x:v>
      </x:c>
      <x:c r="Q570" t="n">
        <x:f>ROUND(SUM('食材明细'!N3410:N3415),1)</x:f>
        <x:v>22.2</x:v>
      </x:c>
      <x:c r="R570" s="10" t="str">
        <x:v>调料尽量低盐，不加白砂糖；油重已计入热量。</x:v>
      </x:c>
    </x:row>
    <x:row r="571" ht="37" customHeight="1">
      <x:c r="A571" t="n">
        <x:v>570</x:v>
      </x:c>
      <x:c r="B571" t="n">
        <x:v>285</x:v>
      </x:c>
      <x:c r="C571" t="n">
        <x:v>41</x:v>
      </x:c>
      <x:c r="D571" t="str">
        <x:v>晚餐</x:v>
      </x:c>
      <x:c r="E571" t="str">
        <x:v>鱼类</x:v>
      </x:c>
      <x:c r="F571" s="10" t="str">
        <x:v>葱姜清蒸鳕鱼配荷兰豆芦笋｜红薯</x:v>
      </x:c>
      <x:c r="G571" s="10" t="str">
        <x:v>鳕鱼185g、荷兰豆175g、芦笋125g、红薯135g、烹调油5g</x:v>
      </x:c>
      <x:c r="H571" t="str">
        <x:v>红薯</x:v>
      </x:c>
      <x:c r="I571" s="10" t="str">
        <x:v>想减主食可减到原量2/3，另加100g绿叶菜</x:v>
      </x:c>
      <x:c r="J571" s="10" t="str">
        <x:v>葱姜、少量低盐生抽</x:v>
      </x:c>
      <x:c r="K571" t="str">
        <x:v>蒸</x:v>
      </x:c>
      <x:c r="L571" s="10" t="str">
        <x:v>鱼肉去刺，彻底做熟；切片腌5分钟；肉和配菜入盘，蒸至熟透；淋葱姜汁；红薯另煮熟或蒸好后同餐食用。</x:v>
      </x:c>
      <x:c r="M571" t="n">
        <x:v>15</x:v>
      </x:c>
      <x:c r="N571" t="n">
        <x:f>ROUND(SUM('食材明细'!H3416:H3421),0)</x:f>
        <x:v>420</x:v>
      </x:c>
      <x:c r="O571" t="n">
        <x:f>ROUND(SUM('食材明细'!J3416:J3421),1)</x:f>
        <x:v>43.1</x:v>
      </x:c>
      <x:c r="P571" t="n">
        <x:f>ROUND(SUM('食材明细'!L3416:L3421),1)</x:f>
        <x:v>45.7</x:v>
      </x:c>
      <x:c r="Q571" t="n">
        <x:f>ROUND(SUM('食材明细'!N3416:N3421),1)</x:f>
        <x:v>7.3</x:v>
      </x:c>
      <x:c r="R571" s="10" t="str">
        <x:v>调料尽量低盐，不加白砂糖；油重已计入热量。</x:v>
      </x:c>
    </x:row>
    <x:row r="572" ht="37" customHeight="1">
      <x:c r="A572" t="n">
        <x:v>571</x:v>
      </x:c>
      <x:c r="B572" t="n">
        <x:v>286</x:v>
      </x:c>
      <x:c r="C572" t="n">
        <x:v>41</x:v>
      </x:c>
      <x:c r="D572" t="str">
        <x:v>午餐</x:v>
      </x:c>
      <x:c r="E572" t="str">
        <x:v>猪肉</x:v>
      </x:c>
      <x:c r="F572" s="10" t="str">
        <x:v>剁椒猪瘦肉配黄瓜海带｜紫薯</x:v>
      </x:c>
      <x:c r="G572" s="10" t="str">
        <x:v>猪瘦肉165g、黄瓜190g、海带140g、紫薯125g、烹调油5g</x:v>
      </x:c>
      <x:c r="H572" t="str">
        <x:v>紫薯</x:v>
      </x:c>
      <x:c r="I572" s="10" t="str">
        <x:v>想减主食可减到原量2/3，另加100g绿叶菜</x:v>
      </x:c>
      <x:c r="J572" s="10" t="str">
        <x:v>自制低盐剁椒、蒜</x:v>
      </x:c>
      <x:c r="K572" t="str">
        <x:v>蒸</x:v>
      </x:c>
      <x:c r="L572" s="10" t="str">
        <x:v>主食材铺少量低盐剁椒蒸熟，配菜焯熟后摆盘；紫薯另煮熟或蒸好后同餐食用。</x:v>
      </x:c>
      <x:c r="M572" t="n">
        <x:v>25</x:v>
      </x:c>
      <x:c r="N572" t="n">
        <x:f>ROUND(SUM('食材明细'!H3422:H3427),0)</x:f>
        <x:v>444</x:v>
      </x:c>
      <x:c r="O572" t="n">
        <x:f>ROUND(SUM('食材明细'!J3422:J3427),1)</x:f>
        <x:v>37.7</x:v>
      </x:c>
      <x:c r="P572" t="n">
        <x:f>ROUND(SUM('食材明细'!L3422:L3427),1)</x:f>
        <x:v>41.3</x:v>
      </x:c>
      <x:c r="Q572" t="n">
        <x:f>ROUND(SUM('食材明细'!N3422:N3427),1)</x:f>
        <x:v>14.5</x:v>
      </x:c>
      <x:c r="R572" s="10" t="str">
        <x:v>调料尽量低盐，不加白砂糖；油重已计入热量。</x:v>
      </x:c>
    </x:row>
    <x:row r="573" ht="37" customHeight="1">
      <x:c r="A573" t="n">
        <x:v>572</x:v>
      </x:c>
      <x:c r="B573" t="n">
        <x:v>286</x:v>
      </x:c>
      <x:c r="C573" t="n">
        <x:v>41</x:v>
      </x:c>
      <x:c r="D573" t="str">
        <x:v>晚餐</x:v>
      </x:c>
      <x:c r="E573" t="str">
        <x:v>牛肉</x:v>
      </x:c>
      <x:c r="F573" s="10" t="str">
        <x:v>椒麻牛里脊配菜心番茄｜红薯</x:v>
      </x:c>
      <x:c r="G573" s="10" t="str">
        <x:v>牛里脊180g、菜心160g、番茄155g、红薯110g、烹调油4g</x:v>
      </x:c>
      <x:c r="H573" t="str">
        <x:v>红薯</x:v>
      </x:c>
      <x:c r="I573" s="10" t="str">
        <x:v>想减主食可减到原量2/3，另加100g绿叶菜</x:v>
      </x:c>
      <x:c r="J573" s="10" t="str">
        <x:v>花椒、蒜、少量醋</x:v>
      </x:c>
      <x:c r="K573" t="str">
        <x:v>水煮</x:v>
      </x:c>
      <x:c r="L573" s="10" t="str">
        <x:v>花椒温水浸出味道，煮熟主食材和配菜，少油拌汁；红薯另煮熟或蒸好后同餐食用。</x:v>
      </x:c>
      <x:c r="M573" t="n">
        <x:v>15</x:v>
      </x:c>
      <x:c r="N573" t="n">
        <x:f>ROUND(SUM('食材明细'!H3428:H3433),0)</x:f>
        <x:v>430</x:v>
      </x:c>
      <x:c r="O573" t="n">
        <x:f>ROUND(SUM('食材明细'!J3428:J3433),1)</x:f>
        <x:v>44.2</x:v>
      </x:c>
      <x:c r="P573" t="n">
        <x:f>ROUND(SUM('食材明细'!L3428:L3433),1)</x:f>
        <x:v>34.4</x:v>
      </x:c>
      <x:c r="Q573" t="n">
        <x:f>ROUND(SUM('食材明细'!N3428:N3433),1)</x:f>
        <x:v>13.5</x:v>
      </x:c>
      <x:c r="R573" s="10" t="str">
        <x:v>调料尽量低盐，不加白砂糖；油重已计入热量。</x:v>
      </x:c>
    </x:row>
    <x:row r="574" ht="37" customHeight="1">
      <x:c r="A574" t="n">
        <x:v>573</x:v>
      </x:c>
      <x:c r="B574" t="n">
        <x:v>287</x:v>
      </x:c>
      <x:c r="C574" t="n">
        <x:v>41</x:v>
      </x:c>
      <x:c r="D574" t="str">
        <x:v>午餐</x:v>
      </x:c>
      <x:c r="E574" t="str">
        <x:v>海鲜</x:v>
      </x:c>
      <x:c r="F574" s="10" t="str">
        <x:v>菌菇虾仁配荷兰豆香菇｜土豆</x:v>
      </x:c>
      <x:c r="G574" s="10" t="str">
        <x:v>虾仁160g、嫩豆腐160g、荷兰豆140g、香菇155g、土豆150g、烹调油5g</x:v>
      </x:c>
      <x:c r="H574" t="str">
        <x:v>土豆</x:v>
      </x:c>
      <x:c r="I574" s="10" t="str">
        <x:v>想减主食可减到原量2/3，另加100g绿叶菜</x:v>
      </x:c>
      <x:c r="J574" s="10" t="str">
        <x:v>姜片、香菇汁</x:v>
      </x:c>
      <x:c r="K574" t="str">
        <x:v>焖煮</x:v>
      </x:c>
      <x:c r="L574" s="10" t="str">
        <x:v>食材与菌菇加少量水焖熟，出锅前加少量低盐生抽；土豆另煮熟或蒸好后同餐食用。</x:v>
      </x:c>
      <x:c r="M574" t="n">
        <x:v>30</x:v>
      </x:c>
      <x:c r="N574" t="n">
        <x:f>ROUND(SUM('食材明细'!H3434:H3439),0)</x:f>
        <x:v>506</x:v>
      </x:c>
      <x:c r="O574" t="n">
        <x:f>ROUND(SUM('食材明细'!J3434:J3439),1)</x:f>
        <x:v>48.7</x:v>
      </x:c>
      <x:c r="P574" t="n">
        <x:f>ROUND(SUM('食材明细'!L3434:L3439),1)</x:f>
        <x:v>50.7</x:v>
      </x:c>
      <x:c r="Q574" t="n">
        <x:f>ROUND(SUM('食材明细'!N3434:N3439),1)</x:f>
        <x:v>12.6</x:v>
      </x:c>
      <x:c r="R574" s="10" t="str">
        <x:v>调料尽量低盐，不加白砂糖；油重已计入热量。</x:v>
      </x:c>
    </x:row>
    <x:row r="575" ht="37" customHeight="1">
      <x:c r="A575" t="n">
        <x:v>574</x:v>
      </x:c>
      <x:c r="B575" t="n">
        <x:v>287</x:v>
      </x:c>
      <x:c r="C575" t="n">
        <x:v>41</x:v>
      </x:c>
      <x:c r="D575" t="str">
        <x:v>晚餐</x:v>
      </x:c>
      <x:c r="E575" t="str">
        <x:v>豆蛋</x:v>
      </x:c>
      <x:c r="F575" s="10" t="str">
        <x:v>蚝香北豆腐虾仁烩苦瓜小白菜｜荞麦饭</x:v>
      </x:c>
      <x:c r="G575" s="10" t="str">
        <x:v>北豆腐240g、虾仁85g、苦瓜190g、小白菜110g、荞麦饭110g、烹调油4g</x:v>
      </x:c>
      <x:c r="H575" t="str">
        <x:v>荞麦饭</x:v>
      </x:c>
      <x:c r="I575" s="10" t="str">
        <x:v>低主食需求可将主食减1/3，另加100g非淀粉蔬菜（营养值需重算）</x:v>
      </x:c>
      <x:c r="J575" s="10" t="str">
        <x:v>低钠蚝油少量、姜蒜</x:v>
      </x:c>
      <x:c r="K575" t="str">
        <x:v>少油烩</x:v>
      </x:c>
      <x:c r="L575" s="10" t="str">
        <x:v>主食材和蔬菜少油少水烩熟，起锅前点少量蚝油；荞麦饭另煮熟或蒸好后同餐食用。</x:v>
      </x:c>
      <x:c r="M575" t="n">
        <x:v>15</x:v>
      </x:c>
      <x:c r="N575" t="n">
        <x:f>ROUND(SUM('食材明细'!H3440:H3445),0)</x:f>
        <x:v>504</x:v>
      </x:c>
      <x:c r="O575" t="n">
        <x:f>ROUND(SUM('食材明细'!J3440:J3445),1)</x:f>
        <x:v>47.6</x:v>
      </x:c>
      <x:c r="P575" t="n">
        <x:f>ROUND(SUM('食材明细'!L3440:L3445),1)</x:f>
        <x:v>40.2</x:v>
      </x:c>
      <x:c r="Q575" t="n">
        <x:f>ROUND(SUM('食材明细'!N3440:N3445),1)</x:f>
        <x:v>18.8</x:v>
      </x:c>
      <x:c r="R575" s="10" t="str">
        <x:v>调料尽量低盐，不加白砂糖；油重已计入热量。</x:v>
      </x:c>
    </x:row>
    <x:row r="576" ht="37" customHeight="1">
      <x:c r="A576" t="n">
        <x:v>575</x:v>
      </x:c>
      <x:c r="B576" t="n">
        <x:v>288</x:v>
      </x:c>
      <x:c r="C576" t="n">
        <x:v>42</x:v>
      </x:c>
      <x:c r="D576" t="str">
        <x:v>午餐</x:v>
      </x:c>
      <x:c r="E576" t="str">
        <x:v>禽肉</x:v>
      </x:c>
      <x:c r="F576" s="10" t="str">
        <x:v>酸汤鸡胸肉配菜心绿豆芽｜乌冬面</x:v>
      </x:c>
      <x:c r="G576" s="10" t="str">
        <x:v>鸡胸肉165g、菜心160g、绿豆芽140g、乌冬面165g、烹调油3g</x:v>
      </x:c>
      <x:c r="H576" t="str">
        <x:v>乌冬面</x:v>
      </x:c>
      <x:c r="I576" s="10" t="str">
        <x:v>低主食需求可将主食减1/3，另加100g非淀粉蔬菜（营养值需重算）</x:v>
      </x:c>
      <x:c r="J576" s="10" t="str">
        <x:v>米醋、番茄、少许辣椒</x:v>
      </x:c>
      <x:c r="K576" t="str">
        <x:v>水煮</x:v>
      </x:c>
      <x:c r="L576" s="10" t="str">
        <x:v>番茄煮成酸汤，主食材汆熟，加入蔬菜再煮2～5分钟；面/魔芋丝煮熟后与菜合碗。</x:v>
      </x:c>
      <x:c r="M576" t="n">
        <x:v>20</x:v>
      </x:c>
      <x:c r="N576" t="n">
        <x:f>ROUND(SUM('食材明细'!H3446:H3451),0)</x:f>
        <x:v>482</x:v>
      </x:c>
      <x:c r="O576" t="n">
        <x:f>ROUND(SUM('食材明细'!J3446:J3451),1)</x:f>
        <x:v>49.5</x:v>
      </x:c>
      <x:c r="P576" t="n">
        <x:f>ROUND(SUM('食材明细'!L3446:L3451),1)</x:f>
        <x:v>55.3</x:v>
      </x:c>
      <x:c r="Q576" t="n">
        <x:f>ROUND(SUM('食材明细'!N3446:N3451),1)</x:f>
        <x:v>8.1</x:v>
      </x:c>
      <x:c r="R576" s="10" t="str">
        <x:v>调料尽量低盐，不加白砂糖；油重已计入热量。</x:v>
      </x:c>
    </x:row>
    <x:row r="577" ht="37" customHeight="1">
      <x:c r="A577" t="n">
        <x:v>576</x:v>
      </x:c>
      <x:c r="B577" t="n">
        <x:v>288</x:v>
      </x:c>
      <x:c r="C577" t="n">
        <x:v>42</x:v>
      </x:c>
      <x:c r="D577" t="str">
        <x:v>晚餐</x:v>
      </x:c>
      <x:c r="E577" t="str">
        <x:v>海鲜</x:v>
      </x:c>
      <x:c r="F577" s="10" t="str">
        <x:v>豉汁虾仁配黄瓜菜心｜乌冬面</x:v>
      </x:c>
      <x:c r="G577" s="10" t="str">
        <x:v>虾仁190g、黄瓜160g、菜心140g、乌冬面80g、烹调油6g</x:v>
      </x:c>
      <x:c r="H577" t="str">
        <x:v>乌冬面</x:v>
      </x:c>
      <x:c r="I577" s="10" t="str">
        <x:v>低主食需求可将主食减1/3，另加100g非淀粉蔬菜（营养值需重算）</x:v>
      </x:c>
      <x:c r="J577" s="10" t="str">
        <x:v>少量豆豉、姜末</x:v>
      </x:c>
      <x:c r="K577" t="str">
        <x:v>蒸</x:v>
      </x:c>
      <x:c r="L577" s="10" t="str">
        <x:v>豆豉冲洗剁碎，与姜末拌主食材后蒸熟；蔬菜另煮；面/魔芋丝煮熟后与菜合碗。</x:v>
      </x:c>
      <x:c r="M577" t="n">
        <x:v>25</x:v>
      </x:c>
      <x:c r="N577" t="n">
        <x:f>ROUND(SUM('食材明细'!H3452:H3457),0)</x:f>
        <x:v>375</x:v>
      </x:c>
      <x:c r="O577" t="n">
        <x:f>ROUND(SUM('食材明细'!J3452:J3457),1)</x:f>
        <x:v>42</x:v>
      </x:c>
      <x:c r="P577" t="n">
        <x:f>ROUND(SUM('食材明细'!L3452:L3457),1)</x:f>
        <x:v>31.4</x:v>
      </x:c>
      <x:c r="Q577" t="n">
        <x:f>ROUND(SUM('食材明细'!N3452:N3457),1)</x:f>
        <x:v>9.2</x:v>
      </x:c>
      <x:c r="R577" s="10" t="str">
        <x:v>调料尽量低盐，不加白砂糖；油重已计入热量。</x:v>
      </x:c>
    </x:row>
    <x:row r="578" ht="37" customHeight="1">
      <x:c r="A578" t="n">
        <x:v>577</x:v>
      </x:c>
      <x:c r="B578" t="n">
        <x:v>289</x:v>
      </x:c>
      <x:c r="C578" t="n">
        <x:v>42</x:v>
      </x:c>
      <x:c r="D578" t="str">
        <x:v>午餐</x:v>
      </x:c>
      <x:c r="E578" t="str">
        <x:v>豆蛋</x:v>
      </x:c>
      <x:c r="F578" s="10" t="str">
        <x:v>菌菇北豆腐熟毛豆仁烩生菜金针菇｜荞麦饭</x:v>
      </x:c>
      <x:c r="G578" s="10" t="str">
        <x:v>北豆腐240g、熟毛豆仁70g、生菜190g、金针菇125g、荞麦饭135g、烹调油5g</x:v>
      </x:c>
      <x:c r="H578" t="str">
        <x:v>荞麦饭</x:v>
      </x:c>
      <x:c r="I578" s="10" t="str">
        <x:v>低主食需求可将主食减1/3，另加100g非淀粉蔬菜（营养值需重算）</x:v>
      </x:c>
      <x:c r="J578" s="10" t="str">
        <x:v>姜片、香菇汁</x:v>
      </x:c>
      <x:c r="K578" t="str">
        <x:v>焖煮</x:v>
      </x:c>
      <x:c r="L578" s="10" t="str">
        <x:v>食材与菌菇加少量水焖熟，出锅前加少量低盐生抽；荞麦饭另煮熟或蒸好后同餐食用。</x:v>
      </x:c>
      <x:c r="M578" t="n">
        <x:v>30</x:v>
      </x:c>
      <x:c r="N578" t="n">
        <x:f>ROUND(SUM('食材明细'!H3458:H3463),0)</x:f>
        <x:v>564</x:v>
      </x:c>
      <x:c r="O578" t="n">
        <x:f>ROUND(SUM('食材明细'!J3458:J3463),1)</x:f>
        <x:v>42.7</x:v>
      </x:c>
      <x:c r="P578" t="n">
        <x:f>ROUND(SUM('食材明细'!L3458:L3463),1)</x:f>
        <x:v>54.3</x:v>
      </x:c>
      <x:c r="Q578" t="n">
        <x:f>ROUND(SUM('食材明细'!N3458:N3463),1)</x:f>
        <x:v>22.4</x:v>
      </x:c>
      <x:c r="R578" s="10" t="str">
        <x:v>调料尽量低盐，不加白砂糖；油重已计入热量。</x:v>
      </x:c>
    </x:row>
    <x:row r="579" ht="37" customHeight="1">
      <x:c r="A579" t="n">
        <x:v>578</x:v>
      </x:c>
      <x:c r="B579" t="n">
        <x:v>289</x:v>
      </x:c>
      <x:c r="C579" t="n">
        <x:v>42</x:v>
      </x:c>
      <x:c r="D579" t="str">
        <x:v>晚餐</x:v>
      </x:c>
      <x:c r="E579" t="str">
        <x:v>禽肉</x:v>
      </x:c>
      <x:c r="F579" s="10" t="str">
        <x:v>咖喱去皮鸡腿肉配紫甘蓝西兰花｜荞麦面</x:v>
      </x:c>
      <x:c r="G579" s="10" t="str">
        <x:v>去皮鸡腿肉180g、熟毛豆仁70g、紫甘蓝160g、西兰花155g、荞麦面110g、烹调油4g</x:v>
      </x:c>
      <x:c r="H579" t="str">
        <x:v>荞麦面</x:v>
      </x:c>
      <x:c r="I579" s="10" t="str">
        <x:v>低主食需求可将主食减1/3，另加100g非淀粉蔬菜（营养值需重算）</x:v>
      </x:c>
      <x:c r="J579" s="10" t="str">
        <x:v>无加糖咖喱粉、姜末</x:v>
      </x:c>
      <x:c r="K579" t="str">
        <x:v>炖煮</x:v>
      </x:c>
      <x:c r="L579" s="10" t="str">
        <x:v>先去皮去骨并切薄，充分加热；用咖喱粉而非高脂咖喱块，加水轻炖主食材和蔬菜；面/魔芋丝煮熟后与菜合碗。</x:v>
      </x:c>
      <x:c r="M579" t="n">
        <x:v>30</x:v>
      </x:c>
      <x:c r="N579" t="n">
        <x:f>ROUND(SUM('食材明细'!H3464:H3469),0)</x:f>
        <x:v>563</x:v>
      </x:c>
      <x:c r="O579" t="n">
        <x:f>ROUND(SUM('食材明细'!J3464:J3469),1)</x:f>
        <x:v>55.4</x:v>
      </x:c>
      <x:c r="P579" t="n">
        <x:f>ROUND(SUM('食材明细'!L3464:L3469),1)</x:f>
        <x:v>51.9</x:v>
      </x:c>
      <x:c r="Q579" t="n">
        <x:f>ROUND(SUM('食材明细'!N3464:N3469),1)</x:f>
        <x:v>18</x:v>
      </x:c>
      <x:c r="R579" s="10" t="str">
        <x:v>调料尽量低盐，不加白砂糖；油重已计入热量。</x:v>
      </x:c>
    </x:row>
    <x:row r="580" ht="37" customHeight="1">
      <x:c r="A580" t="n">
        <x:v>579</x:v>
      </x:c>
      <x:c r="B580" t="n">
        <x:v>290</x:v>
      </x:c>
      <x:c r="C580" t="n">
        <x:v>42</x:v>
      </x:c>
      <x:c r="D580" t="str">
        <x:v>午餐</x:v>
      </x:c>
      <x:c r="E580" t="str">
        <x:v>牛肉</x:v>
      </x:c>
      <x:c r="F580" s="10" t="str">
        <x:v>花椒牛里脊配茼蒿丝瓜｜玉米</x:v>
      </x:c>
      <x:c r="G580" s="10" t="str">
        <x:v>牛里脊175g、茼蒿190g、丝瓜140g、玉米125g、烹调油5g</x:v>
      </x:c>
      <x:c r="H580" t="str">
        <x:v>玉米</x:v>
      </x:c>
      <x:c r="I580" s="10" t="str">
        <x:v>想减主食可减到原量2/3，另加100g绿叶菜</x:v>
      </x:c>
      <x:c r="J580" s="10" t="str">
        <x:v>花椒粉、姜丝</x:v>
      </x:c>
      <x:c r="K580" t="str">
        <x:v>蒸</x:v>
      </x:c>
      <x:c r="L580" s="10" t="str">
        <x:v>薄薄撒花椒和姜丝，蒸至熟透，搭配焯青菜；玉米另煮熟或蒸好后同餐食用。</x:v>
      </x:c>
      <x:c r="M580" t="n">
        <x:v>15</x:v>
      </x:c>
      <x:c r="N580" t="n">
        <x:f>ROUND(SUM('食材明细'!H3470:H3475),0)</x:f>
        <x:v>477</x:v>
      </x:c>
      <x:c r="O580" t="n">
        <x:f>ROUND(SUM('食材明细'!J3470:J3475),1)</x:f>
        <x:v>46</x:v>
      </x:c>
      <x:c r="P580" t="n">
        <x:f>ROUND(SUM('食材明细'!L3470:L3475),1)</x:f>
        <x:v>41.3</x:v>
      </x:c>
      <x:c r="Q580" t="n">
        <x:f>ROUND(SUM('食材明细'!N3470:N3475),1)</x:f>
        <x:v>16.1</x:v>
      </x:c>
      <x:c r="R580" s="10" t="str">
        <x:v>调料尽量低盐，不加白砂糖；油重已计入热量。</x:v>
      </x:c>
    </x:row>
    <x:row r="581" ht="37" customHeight="1">
      <x:c r="A581" t="n">
        <x:v>580</x:v>
      </x:c>
      <x:c r="B581" t="n">
        <x:v>290</x:v>
      </x:c>
      <x:c r="C581" t="n">
        <x:v>42</x:v>
      </x:c>
      <x:c r="D581" t="str">
        <x:v>晚餐</x:v>
      </x:c>
      <x:c r="E581" t="str">
        <x:v>豆蛋</x:v>
      </x:c>
      <x:c r="F581" s="10" t="str">
        <x:v>豉汁北豆腐鸡蛋烩芹菜杏鲍菇｜糙米饭</x:v>
      </x:c>
      <x:c r="G581" s="10" t="str">
        <x:v>北豆腐280g、鸡蛋60g、芹菜140g、杏鲍菇140g、糙米饭125g、烹调油4g</x:v>
      </x:c>
      <x:c r="H581" t="str">
        <x:v>糙米饭</x:v>
      </x:c>
      <x:c r="I581" s="10" t="str">
        <x:v>低主食需求可将主食减1/3，另加100g非淀粉蔬菜（营养值需重算）</x:v>
      </x:c>
      <x:c r="J581" s="10" t="str">
        <x:v>少量豆豉、姜末</x:v>
      </x:c>
      <x:c r="K581" t="str">
        <x:v>蒸</x:v>
      </x:c>
      <x:c r="L581" s="10" t="str">
        <x:v>豆豉冲洗剁碎，与姜末拌主食材后蒸熟；蔬菜另煮；糙米饭另煮熟或蒸好后同餐食用。</x:v>
      </x:c>
      <x:c r="M581" t="n">
        <x:v>20</x:v>
      </x:c>
      <x:c r="N581" t="n">
        <x:f>ROUND(SUM('食材明细'!H3476:H3481),0)</x:f>
        <x:v>587</x:v>
      </x:c>
      <x:c r="O581" t="n">
        <x:f>ROUND(SUM('食材明细'!J3476:J3481),1)</x:f>
        <x:v>43.2</x:v>
      </x:c>
      <x:c r="P581" t="n">
        <x:f>ROUND(SUM('食材明细'!L3476:L3481),1)</x:f>
        <x:v>50.9</x:v>
      </x:c>
      <x:c r="Q581" t="n">
        <x:f>ROUND(SUM('食材明细'!N3476:N3481),1)</x:f>
        <x:v>25.7</x:v>
      </x:c>
      <x:c r="R581" s="10" t="str">
        <x:v>调料尽量低盐，不加白砂糖；油重已计入热量。</x:v>
      </x:c>
    </x:row>
    <x:row r="582" ht="37" customHeight="1">
      <x:c r="A582" t="n">
        <x:v>581</x:v>
      </x:c>
      <x:c r="B582" t="n">
        <x:v>291</x:v>
      </x:c>
      <x:c r="C582" t="n">
        <x:v>42</x:v>
      </x:c>
      <x:c r="D582" t="str">
        <x:v>午餐</x:v>
      </x:c>
      <x:c r="E582" t="str">
        <x:v>豆蛋</x:v>
      </x:c>
      <x:c r="F582" s="10" t="str">
        <x:v>番茄嫩豆腐虾仁烩番茄香菇｜杂粮饭</x:v>
      </x:c>
      <x:c r="G582" s="10" t="str">
        <x:v>嫩豆腐300g、虾仁85g、番茄190g、香菇140g、杂粮饭125g、烹调油5g</x:v>
      </x:c>
      <x:c r="H582" t="str">
        <x:v>杂粮饭</x:v>
      </x:c>
      <x:c r="I582" s="10" t="str">
        <x:v>低主食需求可将主食减1/3，另加100g非淀粉蔬菜（营养值需重算）</x:v>
      </x:c>
      <x:c r="J582" s="10" t="str">
        <x:v>番茄丁、黑胡椒</x:v>
      </x:c>
      <x:c r="K582" t="str">
        <x:v>炖煮</x:v>
      </x:c>
      <x:c r="L582" s="10" t="str">
        <x:v>番茄出汁后加入主食材和少量水，轻炖至熟，再放配菜；杂粮饭另煮熟或蒸好后同餐食用。</x:v>
      </x:c>
      <x:c r="M582" t="n">
        <x:v>20</x:v>
      </x:c>
      <x:c r="N582" t="n">
        <x:f>ROUND(SUM('食材明细'!H3482:H3487),0)</x:f>
        <x:v>516</x:v>
      </x:c>
      <x:c r="O582" t="n">
        <x:f>ROUND(SUM('食材明细'!J3482:J3487),1)</x:f>
        <x:v>39.8</x:v>
      </x:c>
      <x:c r="P582" t="n">
        <x:f>ROUND(SUM('食材明细'!L3482:L3487),1)</x:f>
        <x:v>52.8</x:v>
      </x:c>
      <x:c r="Q582" t="n">
        <x:f>ROUND(SUM('食材明细'!N3482:N3487),1)</x:f>
        <x:v>16.8</x:v>
      </x:c>
      <x:c r="R582" s="10" t="str">
        <x:v>调料尽量低盐，不加白砂糖；油重已计入热量。</x:v>
      </x:c>
    </x:row>
    <x:row r="583" ht="37" customHeight="1">
      <x:c r="A583" t="n">
        <x:v>582</x:v>
      </x:c>
      <x:c r="B583" t="n">
        <x:v>291</x:v>
      </x:c>
      <x:c r="C583" t="n">
        <x:v>42</x:v>
      </x:c>
      <x:c r="D583" t="str">
        <x:v>晚餐</x:v>
      </x:c>
      <x:c r="E583" t="str">
        <x:v>猪肉</x:v>
      </x:c>
      <x:c r="F583" s="10" t="str">
        <x:v>柠檬猪瘦肉配大白菜金针菇｜全麦面</x:v>
      </x:c>
      <x:c r="G583" s="10" t="str">
        <x:v>猪瘦肉180g、大白菜175g、金针菇110g、全麦面95g、烹调油6g</x:v>
      </x:c>
      <x:c r="H583" t="str">
        <x:v>全麦面</x:v>
      </x:c>
      <x:c r="I583" s="10" t="str">
        <x:v>低主食需求可将主食减1/3，另加100g非淀粉蔬菜（营养值需重算）</x:v>
      </x:c>
      <x:c r="J583" s="10" t="str">
        <x:v>柠檬片、白胡椒</x:v>
      </x:c>
      <x:c r="K583" t="str">
        <x:v>蒸</x:v>
      </x:c>
      <x:c r="L583" s="10" t="str">
        <x:v>柠檬片垫底，主食材蒸熟，蔬菜短焯后摆盘；面/魔芋丝煮熟后与菜合碗。</x:v>
      </x:c>
      <x:c r="M583" t="n">
        <x:v>20</x:v>
      </x:c>
      <x:c r="N583" t="n">
        <x:f>ROUND(SUM('食材明细'!H3488:H3493),0)</x:f>
        <x:v>471</x:v>
      </x:c>
      <x:c r="O583" t="n">
        <x:f>ROUND(SUM('食材明细'!J3488:J3493),1)</x:f>
        <x:v>46</x:v>
      </x:c>
      <x:c r="P583" t="n">
        <x:f>ROUND(SUM('食材明细'!L3488:L3493),1)</x:f>
        <x:v>36.4</x:v>
      </x:c>
      <x:c r="Q583" t="n">
        <x:f>ROUND(SUM('食材明细'!N3488:N3493),1)</x:f>
        <x:v>17.4</x:v>
      </x:c>
      <x:c r="R583" s="10" t="str">
        <x:v>调料尽量低盐，不加白砂糖；油重已计入热量。</x:v>
      </x:c>
    </x:row>
    <x:row r="584" ht="37" customHeight="1">
      <x:c r="A584" t="n">
        <x:v>583</x:v>
      </x:c>
      <x:c r="B584" t="n">
        <x:v>292</x:v>
      </x:c>
      <x:c r="C584" t="n">
        <x:v>42</x:v>
      </x:c>
      <x:c r="D584" t="str">
        <x:v>午餐</x:v>
      </x:c>
      <x:c r="E584" t="str">
        <x:v>禽肉</x:v>
      </x:c>
      <x:c r="F584" s="10" t="str">
        <x:v>剁椒鸡里脊肉配竹笋西兰花｜玉米</x:v>
      </x:c>
      <x:c r="G584" s="10" t="str">
        <x:v>鸡里脊肉185g、嫩豆腐135g、竹笋175g、西兰花125g、玉米135g、烹调油5g</x:v>
      </x:c>
      <x:c r="H584" t="str">
        <x:v>玉米</x:v>
      </x:c>
      <x:c r="I584" s="10" t="str">
        <x:v>想减主食可减到原量2/3，另加100g绿叶菜</x:v>
      </x:c>
      <x:c r="J584" s="10" t="str">
        <x:v>自制低盐剁椒、蒜</x:v>
      </x:c>
      <x:c r="K584" t="str">
        <x:v>蒸</x:v>
      </x:c>
      <x:c r="L584" s="10" t="str">
        <x:v>主食材铺少量低盐剁椒蒸熟，配菜焯熟后摆盘；玉米另煮熟或蒸好后同餐食用。</x:v>
      </x:c>
      <x:c r="M584" t="n">
        <x:v>15</x:v>
      </x:c>
      <x:c r="N584" t="n">
        <x:f>ROUND(SUM('食材明细'!H3494:H3499),0)</x:f>
        <x:v>554</x:v>
      </x:c>
      <x:c r="O584" t="n">
        <x:f>ROUND(SUM('食材明细'!J3494:J3499),1)</x:f>
        <x:v>61.9</x:v>
      </x:c>
      <x:c r="P584" t="n">
        <x:f>ROUND(SUM('食材明细'!L3494:L3499),1)</x:f>
        <x:v>50.3</x:v>
      </x:c>
      <x:c r="Q584" t="n">
        <x:f>ROUND(SUM('食材明细'!N3494:N3499),1)</x:f>
        <x:v>15.2</x:v>
      </x:c>
      <x:c r="R584" s="10" t="str">
        <x:v>调料尽量低盐，不加白砂糖；油重已计入热量。</x:v>
      </x:c>
    </x:row>
    <x:row r="585" ht="37" customHeight="1">
      <x:c r="A585" t="n">
        <x:v>584</x:v>
      </x:c>
      <x:c r="B585" t="n">
        <x:v>292</x:v>
      </x:c>
      <x:c r="C585" t="n">
        <x:v>42</x:v>
      </x:c>
      <x:c r="D585" t="str">
        <x:v>晚餐</x:v>
      </x:c>
      <x:c r="E585" t="str">
        <x:v>猪肉</x:v>
      </x:c>
      <x:c r="F585" s="10" t="str">
        <x:v>柠檬猪里脊配菜心花菜｜玉米</x:v>
      </x:c>
      <x:c r="G585" s="10" t="str">
        <x:v>猪里脊180g、北豆腐110g、菜心160g、花菜140g、玉米135g、烹调油5g</x:v>
      </x:c>
      <x:c r="H585" t="str">
        <x:v>玉米</x:v>
      </x:c>
      <x:c r="I585" s="10" t="str">
        <x:v>想减主食可减到原量2/3，另加100g绿叶菜</x:v>
      </x:c>
      <x:c r="J585" s="10" t="str">
        <x:v>柠檬片、白胡椒</x:v>
      </x:c>
      <x:c r="K585" t="str">
        <x:v>蒸</x:v>
      </x:c>
      <x:c r="L585" s="10" t="str">
        <x:v>柠檬片垫底，主食材蒸熟，蔬菜短焯后摆盘；玉米另煮熟或蒸好后同餐食用。</x:v>
      </x:c>
      <x:c r="M585" t="n">
        <x:v>15</x:v>
      </x:c>
      <x:c r="N585" t="n">
        <x:f>ROUND(SUM('食材明细'!H3500:H3505),0)</x:f>
        <x:v>569</x:v>
      </x:c>
      <x:c r="O585" t="n">
        <x:f>ROUND(SUM('食材明细'!J3500:J3505),1)</x:f>
        <x:v>59.4</x:v>
      </x:c>
      <x:c r="P585" t="n">
        <x:f>ROUND(SUM('食材明细'!L3500:L3505),1)</x:f>
        <x:v>44.5</x:v>
      </x:c>
      <x:c r="Q585" t="n">
        <x:f>ROUND(SUM('食材明细'!N3500:N3505),1)</x:f>
        <x:v>19.7</x:v>
      </x:c>
      <x:c r="R585" s="10" t="str">
        <x:v>调料尽量低盐，不加白砂糖；油重已计入热量。</x:v>
      </x:c>
    </x:row>
    <x:row r="586" ht="37" customHeight="1">
      <x:c r="A586" t="n">
        <x:v>585</x:v>
      </x:c>
      <x:c r="B586" t="n">
        <x:v>293</x:v>
      </x:c>
      <x:c r="C586" t="n">
        <x:v>42</x:v>
      </x:c>
      <x:c r="D586" t="str">
        <x:v>午餐</x:v>
      </x:c>
      <x:c r="E586" t="str">
        <x:v>海鲜</x:v>
      </x:c>
      <x:c r="F586" s="10" t="str">
        <x:v>葱姜清蒸鱿鱼配菜心杏鲍菇｜燕麦饭</x:v>
      </x:c>
      <x:c r="G586" s="10" t="str">
        <x:v>鱿鱼190g、菜心140g、杏鲍菇125g、燕麦饭135g、烹调油3g</x:v>
      </x:c>
      <x:c r="H586" t="str">
        <x:v>燕麦饭</x:v>
      </x:c>
      <x:c r="I586" s="10" t="str">
        <x:v>低主食需求可将主食减1/3，另加100g非淀粉蔬菜（营养值需重算）</x:v>
      </x:c>
      <x:c r="J586" s="10" t="str">
        <x:v>葱姜、少量低盐生抽</x:v>
      </x:c>
      <x:c r="K586" t="str">
        <x:v>蒸</x:v>
      </x:c>
      <x:c r="L586" s="10" t="str">
        <x:v>切片腌5分钟；肉和配菜入盘，蒸至熟透；淋葱姜汁；燕麦饭另煮熟或蒸好后同餐食用。</x:v>
      </x:c>
      <x:c r="M586" t="n">
        <x:v>30</x:v>
      </x:c>
      <x:c r="N586" t="n">
        <x:f>ROUND(SUM('食材明细'!H3506:H3511),0)</x:f>
        <x:v>428</x:v>
      </x:c>
      <x:c r="O586" t="n">
        <x:f>ROUND(SUM('食材明细'!J3506:J3511),1)</x:f>
        <x:v>41.9</x:v>
      </x:c>
      <x:c r="P586" t="n">
        <x:f>ROUND(SUM('食材明细'!L3506:L3511),1)</x:f>
        <x:v>46.3</x:v>
      </x:c>
      <x:c r="Q586" t="n">
        <x:f>ROUND(SUM('食材明细'!N3506:N3511),1)</x:f>
        <x:v>8.9</x:v>
      </x:c>
      <x:c r="R586" s="10" t="str">
        <x:v>调料尽量低盐，不加白砂糖；油重已计入热量。</x:v>
      </x:c>
    </x:row>
    <x:row r="587" ht="37" customHeight="1">
      <x:c r="A587" t="n">
        <x:v>586</x:v>
      </x:c>
      <x:c r="B587" t="n">
        <x:v>293</x:v>
      </x:c>
      <x:c r="C587" t="n">
        <x:v>42</x:v>
      </x:c>
      <x:c r="D587" t="str">
        <x:v>晚餐</x:v>
      </x:c>
      <x:c r="E587" t="str">
        <x:v>禽肉</x:v>
      </x:c>
      <x:c r="F587" s="10" t="str">
        <x:v>菌菇去皮鸡腿肉配茼蒿口蘑｜紫薯</x:v>
      </x:c>
      <x:c r="G587" s="10" t="str">
        <x:v>去皮鸡腿肉145g、熟毛豆仁50g、茼蒿140g、口蘑125g、紫薯80g、烹调油5g</x:v>
      </x:c>
      <x:c r="H587" t="str">
        <x:v>紫薯</x:v>
      </x:c>
      <x:c r="I587" s="10" t="str">
        <x:v>想减主食可减到原量2/3，另加100g绿叶菜</x:v>
      </x:c>
      <x:c r="J587" s="10" t="str">
        <x:v>姜片、香菇汁</x:v>
      </x:c>
      <x:c r="K587" t="str">
        <x:v>焖煮</x:v>
      </x:c>
      <x:c r="L587" s="10" t="str">
        <x:v>先去皮去骨并切薄，充分加热；食材与菌菇加少量水焖熟，出锅前加少量低盐生抽；紫薯另煮熟或蒸好后同餐食用。</x:v>
      </x:c>
      <x:c r="M587" t="n">
        <x:v>25</x:v>
      </x:c>
      <x:c r="N587" t="n">
        <x:f>ROUND(SUM('食材明细'!H3512:H3517),0)</x:f>
        <x:v>423</x:v>
      </x:c>
      <x:c r="O587" t="n">
        <x:f>ROUND(SUM('食材明细'!J3512:J3517),1)</x:f>
        <x:v>42.8</x:v>
      </x:c>
      <x:c r="P587" t="n">
        <x:f>ROUND(SUM('食材明细'!L3512:L3517),1)</x:f>
        <x:v>32.3</x:v>
      </x:c>
      <x:c r="Q587" t="n">
        <x:f>ROUND(SUM('食材明细'!N3512:N3517),1)</x:f>
        <x:v>15.6</x:v>
      </x:c>
      <x:c r="R587" s="10" t="str">
        <x:v>调料尽量低盐，不加白砂糖；油重已计入热量。</x:v>
      </x:c>
    </x:row>
    <x:row r="588" ht="37" customHeight="1">
      <x:c r="A588" t="n">
        <x:v>587</x:v>
      </x:c>
      <x:c r="B588" t="n">
        <x:v>294</x:v>
      </x:c>
      <x:c r="C588" t="n">
        <x:v>42</x:v>
      </x:c>
      <x:c r="D588" t="str">
        <x:v>午餐</x:v>
      </x:c>
      <x:c r="E588" t="str">
        <x:v>牛肉</x:v>
      </x:c>
      <x:c r="F588" s="10" t="str">
        <x:v>花椒瘦牛肉配苦瓜香菇｜糙米饭</x:v>
      </x:c>
      <x:c r="G588" s="10" t="str">
        <x:v>瘦牛肉165g、北豆腐110g、苦瓜175g、香菇140g、糙米饭125g、烹调油3g</x:v>
      </x:c>
      <x:c r="H588" t="str">
        <x:v>糙米饭</x:v>
      </x:c>
      <x:c r="I588" s="10" t="str">
        <x:v>低主食需求可将主食减1/3，另加100g非淀粉蔬菜（营养值需重算）</x:v>
      </x:c>
      <x:c r="J588" s="10" t="str">
        <x:v>花椒粉、姜丝</x:v>
      </x:c>
      <x:c r="K588" t="str">
        <x:v>蒸</x:v>
      </x:c>
      <x:c r="L588" s="10" t="str">
        <x:v>薄薄撒花椒和姜丝，蒸至熟透，搭配焯青菜；糙米饭另煮熟或蒸好后同餐食用。</x:v>
      </x:c>
      <x:c r="M588" t="n">
        <x:v>30</x:v>
      </x:c>
      <x:c r="N588" t="n">
        <x:f>ROUND(SUM('食材明细'!H3518:H3523),0)</x:f>
        <x:v>553</x:v>
      </x:c>
      <x:c r="O588" t="n">
        <x:f>ROUND(SUM('食材明细'!J3518:J3523),1)</x:f>
        <x:v>53.7</x:v>
      </x:c>
      <x:c r="P588" t="n">
        <x:f>ROUND(SUM('食材明细'!L3518:L3523),1)</x:f>
        <x:v>48.3</x:v>
      </x:c>
      <x:c r="Q588" t="n">
        <x:f>ROUND(SUM('食材明细'!N3518:N3523),1)</x:f>
        <x:v>17.3</x:v>
      </x:c>
      <x:c r="R588" s="10" t="str">
        <x:v>调料尽量低盐，不加白砂糖；油重已计入热量。</x:v>
      </x:c>
    </x:row>
    <x:row r="589" ht="37" customHeight="1">
      <x:c r="A589" t="n">
        <x:v>588</x:v>
      </x:c>
      <x:c r="B589" t="n">
        <x:v>294</x:v>
      </x:c>
      <x:c r="C589" t="n">
        <x:v>42</x:v>
      </x:c>
      <x:c r="D589" t="str">
        <x:v>晚餐</x:v>
      </x:c>
      <x:c r="E589" t="str">
        <x:v>豆蛋</x:v>
      </x:c>
      <x:c r="F589" s="10" t="str">
        <x:v>蚝香北豆腐虾仁烩西兰花泡发木耳｜米粉</x:v>
      </x:c>
      <x:c r="G589" s="10" t="str">
        <x:v>北豆腐280g、虾仁65g、西兰花175g、泡发木耳140g、米粉110g、烹调油5g</x:v>
      </x:c>
      <x:c r="H589" t="str">
        <x:v>米粉</x:v>
      </x:c>
      <x:c r="I589" s="10" t="str">
        <x:v>低主食需求可将主食减1/3，另加100g非淀粉蔬菜（营养值需重算）</x:v>
      </x:c>
      <x:c r="J589" s="10" t="str">
        <x:v>低钠蚝油少量、姜蒜</x:v>
      </x:c>
      <x:c r="K589" t="str">
        <x:v>少油烩</x:v>
      </x:c>
      <x:c r="L589" s="10" t="str">
        <x:v>主食材和蔬菜少油少水烩熟，起锅前点少量蚝油；面/魔芋丝煮熟后与菜合碗。</x:v>
      </x:c>
      <x:c r="M589" t="n">
        <x:v>30</x:v>
      </x:c>
      <x:c r="N589" t="n">
        <x:f>ROUND(SUM('食材明细'!H3524:H3529),0)</x:f>
        <x:v>571</x:v>
      </x:c>
      <x:c r="O589" t="n">
        <x:f>ROUND(SUM('食材明细'!J3524:J3529),1)</x:f>
        <x:v>49.6</x:v>
      </x:c>
      <x:c r="P589" t="n">
        <x:f>ROUND(SUM('食材明细'!L3524:L3529),1)</x:f>
        <x:v>52.9</x:v>
      </x:c>
      <x:c r="Q589" t="n">
        <x:f>ROUND(SUM('食材明细'!N3524:N3529),1)</x:f>
        <x:v>21</x:v>
      </x:c>
      <x:c r="R589" s="10" t="str">
        <x:v>调料尽量低盐，不加白砂糖；油重已计入热量。</x:v>
      </x:c>
    </x:row>
    <x:row r="590" ht="37" customHeight="1">
      <x:c r="A590" t="n">
        <x:v>589</x:v>
      </x:c>
      <x:c r="B590" t="n">
        <x:v>295</x:v>
      </x:c>
      <x:c r="C590" t="n">
        <x:v>43</x:v>
      </x:c>
      <x:c r="D590" t="str">
        <x:v>午餐</x:v>
      </x:c>
      <x:c r="E590" t="str">
        <x:v>禽肉</x:v>
      </x:c>
      <x:c r="F590" s="10" t="str">
        <x:v>剁椒去皮鸡腿肉配大白菜胡萝卜｜紫薯</x:v>
      </x:c>
      <x:c r="G590" s="10" t="str">
        <x:v>去皮鸡腿肉165g、大白菜190g、胡萝卜140g、紫薯110g、烹调油6g</x:v>
      </x:c>
      <x:c r="H590" t="str">
        <x:v>紫薯</x:v>
      </x:c>
      <x:c r="I590" s="10" t="str">
        <x:v>想减主食可减到原量2/3，另加100g绿叶菜</x:v>
      </x:c>
      <x:c r="J590" s="10" t="str">
        <x:v>自制低盐剁椒、蒜</x:v>
      </x:c>
      <x:c r="K590" t="str">
        <x:v>蒸</x:v>
      </x:c>
      <x:c r="L590" s="10" t="str">
        <x:v>先去皮去骨并切薄，充分加热；主食材铺少量低盐剁椒蒸熟，配菜焯熟后摆盘；紫薯另煮熟或蒸好后同餐食用。</x:v>
      </x:c>
      <x:c r="M590" t="n">
        <x:v>25</x:v>
      </x:c>
      <x:c r="N590" t="n">
        <x:f>ROUND(SUM('食材明细'!H3530:H3535),0)</x:f>
        <x:v>454</x:v>
      </x:c>
      <x:c r="O590" t="n">
        <x:f>ROUND(SUM('食材明细'!J3530:J3535),1)</x:f>
        <x:v>38.9</x:v>
      </x:c>
      <x:c r="P590" t="n">
        <x:f>ROUND(SUM('食材明细'!L3530:L3535),1)</x:f>
        <x:v>44.3</x:v>
      </x:c>
      <x:c r="Q590" t="n">
        <x:f>ROUND(SUM('食材明细'!N3530:N3535),1)</x:f>
        <x:v>14.8</x:v>
      </x:c>
      <x:c r="R590" s="10" t="str">
        <x:v>调料尽量低盐，不加白砂糖；油重已计入热量。</x:v>
      </x:c>
    </x:row>
    <x:row r="591" ht="37" customHeight="1">
      <x:c r="A591" t="n">
        <x:v>590</x:v>
      </x:c>
      <x:c r="B591" t="n">
        <x:v>295</x:v>
      </x:c>
      <x:c r="C591" t="n">
        <x:v>43</x:v>
      </x:c>
      <x:c r="D591" t="str">
        <x:v>晚餐</x:v>
      </x:c>
      <x:c r="E591" t="str">
        <x:v>鱼类</x:v>
      </x:c>
      <x:c r="F591" s="10" t="str">
        <x:v>清汤巴沙鱼配茼蒿菜心｜藜麦饭</x:v>
      </x:c>
      <x:c r="G591" s="10" t="str">
        <x:v>巴沙鱼200g、茼蒿190g、菜心110g、藜麦饭125g、烹调油6g</x:v>
      </x:c>
      <x:c r="H591" t="str">
        <x:v>藜麦饭</x:v>
      </x:c>
      <x:c r="I591" s="10" t="str">
        <x:v>低主食需求可将主食减1/3，另加100g非淀粉蔬菜（营养值需重算）</x:v>
      </x:c>
      <x:c r="J591" s="10" t="str">
        <x:v>葱段、盐少量</x:v>
      </x:c>
      <x:c r="K591" t="str">
        <x:v>煮</x:v>
      </x:c>
      <x:c r="L591" s="10" t="str">
        <x:v>鱼肉去刺，彻底做熟；清水煮开，按熟化时间下食材，最后放叶菜，清淡调味；藜麦饭另煮熟或蒸好后同餐食用。</x:v>
      </x:c>
      <x:c r="M591" t="n">
        <x:v>15</x:v>
      </x:c>
      <x:c r="N591" t="n">
        <x:f>ROUND(SUM('食材明细'!H3536:H3541),0)</x:f>
        <x:v>452</x:v>
      </x:c>
      <x:c r="O591" t="n">
        <x:f>ROUND(SUM('食材明细'!J3536:J3541),1)</x:f>
        <x:v>45.3</x:v>
      </x:c>
      <x:c r="P591" t="n">
        <x:f>ROUND(SUM('食材明细'!L3536:L3541),1)</x:f>
        <x:v>38.7</x:v>
      </x:c>
      <x:c r="Q591" t="n">
        <x:f>ROUND(SUM('食材明细'!N3536:N3541),1)</x:f>
        <x:v>13.9</x:v>
      </x:c>
      <x:c r="R591" s="10" t="str">
        <x:v>调料尽量低盐，不加白砂糖；油重已计入热量。</x:v>
      </x:c>
    </x:row>
    <x:row r="592" ht="37" customHeight="1">
      <x:c r="A592" t="n">
        <x:v>591</x:v>
      </x:c>
      <x:c r="B592" t="n">
        <x:v>296</x:v>
      </x:c>
      <x:c r="C592" t="n">
        <x:v>43</x:v>
      </x:c>
      <x:c r="D592" t="str">
        <x:v>午餐</x:v>
      </x:c>
      <x:c r="E592" t="str">
        <x:v>鱼类</x:v>
      </x:c>
      <x:c r="F592" s="10" t="str">
        <x:v>剁椒鳕鱼配芦笋荷兰豆｜紫薯</x:v>
      </x:c>
      <x:c r="G592" s="10" t="str">
        <x:v>鳕鱼175g、嫩豆腐110g、芦笋140g、荷兰豆140g、紫薯135g、烹调油5g</x:v>
      </x:c>
      <x:c r="H592" t="str">
        <x:v>紫薯</x:v>
      </x:c>
      <x:c r="I592" s="10" t="str">
        <x:v>想减主食可减到原量2/3，另加100g绿叶菜</x:v>
      </x:c>
      <x:c r="J592" s="10" t="str">
        <x:v>自制低盐剁椒、蒜</x:v>
      </x:c>
      <x:c r="K592" t="str">
        <x:v>蒸</x:v>
      </x:c>
      <x:c r="L592" s="10" t="str">
        <x:v>鱼肉去刺，彻底做熟；主食材铺少量低盐剁椒蒸熟，配菜焯熟后摆盘；紫薯另煮熟或蒸好后同餐食用。</x:v>
      </x:c>
      <x:c r="M592" t="n">
        <x:v>15</x:v>
      </x:c>
      <x:c r="N592" t="n">
        <x:f>ROUND(SUM('食材明细'!H3542:H3547),0)</x:f>
        <x:v>469</x:v>
      </x:c>
      <x:c r="O592" t="n">
        <x:f>ROUND(SUM('食材明细'!J3542:J3547),1)</x:f>
        <x:v>46.2</x:v>
      </x:c>
      <x:c r="P592" t="n">
        <x:f>ROUND(SUM('食材明细'!L3542:L3547),1)</x:f>
        <x:v>47.9</x:v>
      </x:c>
      <x:c r="Q592" t="n">
        <x:f>ROUND(SUM('食材明细'!N3542:N3547),1)</x:f>
        <x:v>10.2</x:v>
      </x:c>
      <x:c r="R592" s="10" t="str">
        <x:v>调料尽量低盐，不加白砂糖；油重已计入热量。</x:v>
      </x:c>
    </x:row>
    <x:row r="593" ht="37" customHeight="1">
      <x:c r="A593" t="n">
        <x:v>592</x:v>
      </x:c>
      <x:c r="B593" t="n">
        <x:v>296</x:v>
      </x:c>
      <x:c r="C593" t="n">
        <x:v>43</x:v>
      </x:c>
      <x:c r="D593" t="str">
        <x:v>晚餐</x:v>
      </x:c>
      <x:c r="E593" t="str">
        <x:v>猪肉</x:v>
      </x:c>
      <x:c r="F593" s="10" t="str">
        <x:v>柠檬猪里脊配小白菜胡萝卜｜白米饭</x:v>
      </x:c>
      <x:c r="G593" s="10" t="str">
        <x:v>猪里脊180g、小白菜175g、胡萝卜110g、白米饭95g、烹调油4g</x:v>
      </x:c>
      <x:c r="H593" t="str">
        <x:v>白米饭</x:v>
      </x:c>
      <x:c r="I593" s="10" t="str">
        <x:v>低主食需求可将主食减1/3，另加100g非淀粉蔬菜（营养值需重算）</x:v>
      </x:c>
      <x:c r="J593" s="10" t="str">
        <x:v>柠檬片、白胡椒</x:v>
      </x:c>
      <x:c r="K593" t="str">
        <x:v>蒸</x:v>
      </x:c>
      <x:c r="L593" s="10" t="str">
        <x:v>柠檬片垫底，主食材蒸熟，蔬菜短焯后摆盘；白米饭另煮熟或蒸好后同餐食用。</x:v>
      </x:c>
      <x:c r="M593" t="n">
        <x:v>15</x:v>
      </x:c>
      <x:c r="N593" t="n">
        <x:f>ROUND(SUM('食材明细'!H3548:H3553),0)</x:f>
        <x:v>437</x:v>
      </x:c>
      <x:c r="O593" t="n">
        <x:f>ROUND(SUM('食材明细'!J3548:J3553),1)</x:f>
        <x:v>44.1</x:v>
      </x:c>
      <x:c r="P593" t="n">
        <x:f>ROUND(SUM('食材明细'!L3548:L3553),1)</x:f>
        <x:v>40.2</x:v>
      </x:c>
      <x:c r="Q593" t="n">
        <x:f>ROUND(SUM('食材明细'!N3548:N3553),1)</x:f>
        <x:v>11.1</x:v>
      </x:c>
      <x:c r="R593" s="10" t="str">
        <x:v>调料尽量低盐，不加白砂糖；油重已计入热量。</x:v>
      </x:c>
    </x:row>
    <x:row r="594" ht="37" customHeight="1">
      <x:c r="A594" t="n">
        <x:v>593</x:v>
      </x:c>
      <x:c r="B594" t="n">
        <x:v>297</x:v>
      </x:c>
      <x:c r="C594" t="n">
        <x:v>43</x:v>
      </x:c>
      <x:c r="D594" t="str">
        <x:v>午餐</x:v>
      </x:c>
      <x:c r="E594" t="str">
        <x:v>海鲜</x:v>
      </x:c>
      <x:c r="F594" s="10" t="str">
        <x:v>柠檬扇贝肉配娃娃菜口蘑｜白米饭</x:v>
      </x:c>
      <x:c r="G594" s="10" t="str">
        <x:v>扇贝肉190g、娃娃菜160g、口蘑140g、白米饭150g、烹调油6g</x:v>
      </x:c>
      <x:c r="H594" t="str">
        <x:v>白米饭</x:v>
      </x:c>
      <x:c r="I594" s="10" t="str">
        <x:v>低主食需求可将主食减1/3，另加100g非淀粉蔬菜（营养值需重算）</x:v>
      </x:c>
      <x:c r="J594" s="10" t="str">
        <x:v>柠檬片、白胡椒</x:v>
      </x:c>
      <x:c r="K594" t="str">
        <x:v>蒸</x:v>
      </x:c>
      <x:c r="L594" s="10" t="str">
        <x:v>柠檬片垫底，主食材蒸熟，蔬菜短焯后摆盘；白米饭另煮熟或蒸好后同餐食用。</x:v>
      </x:c>
      <x:c r="M594" t="n">
        <x:v>30</x:v>
      </x:c>
      <x:c r="N594" t="n">
        <x:f>ROUND(SUM('食材明细'!H3554:H3559),0)</x:f>
        <x:v>457</x:v>
      </x:c>
      <x:c r="O594" t="n">
        <x:f>ROUND(SUM('食材明细'!J3554:J3559),1)</x:f>
        <x:v>42.6</x:v>
      </x:c>
      <x:c r="P594" t="n">
        <x:f>ROUND(SUM('食材明细'!L3554:L3559),1)</x:f>
        <x:v>53.5</x:v>
      </x:c>
      <x:c r="Q594" t="n">
        <x:f>ROUND(SUM('食材明细'!N3554:N3559),1)</x:f>
        <x:v>8.7</x:v>
      </x:c>
      <x:c r="R594" s="10" t="str">
        <x:v>调料尽量低盐，不加白砂糖；油重已计入热量。</x:v>
      </x:c>
    </x:row>
    <x:row r="595" ht="37" customHeight="1">
      <x:c r="A595" t="n">
        <x:v>594</x:v>
      </x:c>
      <x:c r="B595" t="n">
        <x:v>297</x:v>
      </x:c>
      <x:c r="C595" t="n">
        <x:v>43</x:v>
      </x:c>
      <x:c r="D595" t="str">
        <x:v>晚餐</x:v>
      </x:c>
      <x:c r="E595" t="str">
        <x:v>牛肉</x:v>
      </x:c>
      <x:c r="F595" s="10" t="str">
        <x:v>剁椒牛腱子配番茄西兰花｜红薯</x:v>
      </x:c>
      <x:c r="G595" s="10" t="str">
        <x:v>牛腱子160g、番茄140g、西兰花125g、红薯95g、烹调油5g</x:v>
      </x:c>
      <x:c r="H595" t="str">
        <x:v>红薯</x:v>
      </x:c>
      <x:c r="I595" s="10" t="str">
        <x:v>想减主食可减到原量2/3，另加100g绿叶菜</x:v>
      </x:c>
      <x:c r="J595" s="10" t="str">
        <x:v>自制低盐剁椒、蒜</x:v>
      </x:c>
      <x:c r="K595" t="str">
        <x:v>蒸</x:v>
      </x:c>
      <x:c r="L595" s="10" t="str">
        <x:v>主食材铺少量低盐剁椒蒸熟，配菜焯熟后摆盘；红薯另煮熟或蒸好后同餐食用。</x:v>
      </x:c>
      <x:c r="M595" t="n">
        <x:v>20</x:v>
      </x:c>
      <x:c r="N595" t="n">
        <x:f>ROUND(SUM('食材明细'!H3560:H3565),0)</x:f>
        <x:v>423</x:v>
      </x:c>
      <x:c r="O595" t="n">
        <x:f>ROUND(SUM('食材明细'!J3560:J3565),1)</x:f>
        <x:v>39.9</x:v>
      </x:c>
      <x:c r="P595" t="n">
        <x:f>ROUND(SUM('食材明细'!L3560:L3565),1)</x:f>
        <x:v>33.8</x:v>
      </x:c>
      <x:c r="Q595" t="n">
        <x:f>ROUND(SUM('食材明细'!N3560:N3565),1)</x:f>
        <x:v>15.5</x:v>
      </x:c>
      <x:c r="R595" s="10" t="str">
        <x:v>调料尽量低盐，不加白砂糖；油重已计入热量。</x:v>
      </x:c>
    </x:row>
    <x:row r="596" ht="37" customHeight="1">
      <x:c r="A596" t="n">
        <x:v>595</x:v>
      </x:c>
      <x:c r="B596" t="n">
        <x:v>298</x:v>
      </x:c>
      <x:c r="C596" t="n">
        <x:v>43</x:v>
      </x:c>
      <x:c r="D596" t="str">
        <x:v>午餐</x:v>
      </x:c>
      <x:c r="E596" t="str">
        <x:v>豆蛋</x:v>
      </x:c>
      <x:c r="F596" s="10" t="str">
        <x:v>酸汤鸡蛋北豆腐烩芦笋彩椒｜燕麦饭</x:v>
      </x:c>
      <x:c r="G596" s="10" t="str">
        <x:v>鸡蛋100g、北豆腐110g、芦笋160g、彩椒155g、燕麦饭110g、烹调油6g</x:v>
      </x:c>
      <x:c r="H596" t="str">
        <x:v>燕麦饭</x:v>
      </x:c>
      <x:c r="I596" s="10" t="str">
        <x:v>低主食需求可将主食减1/3，另加100g非淀粉蔬菜（营养值需重算）</x:v>
      </x:c>
      <x:c r="J596" s="10" t="str">
        <x:v>米醋、番茄、少许辣椒</x:v>
      </x:c>
      <x:c r="K596" t="str">
        <x:v>水煮</x:v>
      </x:c>
      <x:c r="L596" s="10" t="str">
        <x:v>鸡蛋先打散成蛋液；番茄煮成酸汤，主食材汆熟，加入蔬菜再煮2～5分钟；燕麦饭另煮熟或蒸好后同餐食用。</x:v>
      </x:c>
      <x:c r="M596" t="n">
        <x:v>15</x:v>
      </x:c>
      <x:c r="N596" t="n">
        <x:f>ROUND(SUM('食材明细'!H3566:H3571),0)</x:f>
        <x:v>492</x:v>
      </x:c>
      <x:c r="O596" t="n">
        <x:f>ROUND(SUM('食材明细'!J3566:J3571),1)</x:f>
        <x:v>32.6</x:v>
      </x:c>
      <x:c r="P596" t="n">
        <x:f>ROUND(SUM('食材明细'!L3566:L3571),1)</x:f>
        <x:v>42.1</x:v>
      </x:c>
      <x:c r="Q596" t="n">
        <x:f>ROUND(SUM('食材明细'!N3566:N3571),1)</x:f>
        <x:v>24</x:v>
      </x:c>
      <x:c r="R596" s="10" t="str">
        <x:v>调料尽量低盐，不加白砂糖；油重已计入热量。</x:v>
      </x:c>
    </x:row>
    <x:row r="597" ht="37" customHeight="1">
      <x:c r="A597" t="n">
        <x:v>596</x:v>
      </x:c>
      <x:c r="B597" t="n">
        <x:v>298</x:v>
      </x:c>
      <x:c r="C597" t="n">
        <x:v>43</x:v>
      </x:c>
      <x:c r="D597" t="str">
        <x:v>晚餐</x:v>
      </x:c>
      <x:c r="E597" t="str">
        <x:v>海鲜</x:v>
      </x:c>
      <x:c r="F597" s="10" t="str">
        <x:v>黑椒鱿鱼配冬瓜丝瓜｜藜麦饭</x:v>
      </x:c>
      <x:c r="G597" s="10" t="str">
        <x:v>鱿鱼160g、冬瓜175g、丝瓜110g、藜麦饭110g、烹调油5g</x:v>
      </x:c>
      <x:c r="H597" t="str">
        <x:v>藜麦饭</x:v>
      </x:c>
      <x:c r="I597" s="10" t="str">
        <x:v>低主食需求可将主食减1/3，另加100g非淀粉蔬菜（营养值需重算）</x:v>
      </x:c>
      <x:c r="J597" s="10" t="str">
        <x:v>黑胡椒、蒜末</x:v>
      </x:c>
      <x:c r="K597" t="str">
        <x:v>少油烩</x:v>
      </x:c>
      <x:c r="L597" s="10" t="str">
        <x:v>锅加少量水和油，先把主食材煮熟，再烩两种蔬菜，收汁撒黑椒；藜麦饭另煮熟或蒸好后同餐食用。</x:v>
      </x:c>
      <x:c r="M597" t="n">
        <x:v>30</x:v>
      </x:c>
      <x:c r="N597" t="n">
        <x:f>ROUND(SUM('食材明细'!H3572:H3577),0)</x:f>
        <x:v>374</x:v>
      </x:c>
      <x:c r="O597" t="n">
        <x:f>ROUND(SUM('食材明细'!J3572:J3577),1)</x:f>
        <x:v>33.8</x:v>
      </x:c>
      <x:c r="P597" t="n">
        <x:f>ROUND(SUM('食材明细'!L3572:L3577),1)</x:f>
        <x:v>36.3</x:v>
      </x:c>
      <x:c r="Q597" t="n">
        <x:f>ROUND(SUM('食材明细'!N3572:N3577),1)</x:f>
        <x:v>9.9</x:v>
      </x:c>
      <x:c r="R597" s="10" t="str">
        <x:v>调料尽量低盐，不加白砂糖；油重已计入热量。</x:v>
      </x:c>
    </x:row>
    <x:row r="598" ht="37" customHeight="1">
      <x:c r="A598" t="n">
        <x:v>597</x:v>
      </x:c>
      <x:c r="B598" t="n">
        <x:v>299</x:v>
      </x:c>
      <x:c r="C598" t="n">
        <x:v>43</x:v>
      </x:c>
      <x:c r="D598" t="str">
        <x:v>午餐</x:v>
      </x:c>
      <x:c r="E598" t="str">
        <x:v>海鲜</x:v>
      </x:c>
      <x:c r="F598" s="10" t="str">
        <x:v>黑椒虾仁配西兰花泡发木耳｜乌冬面</x:v>
      </x:c>
      <x:c r="G598" s="10" t="str">
        <x:v>虾仁190g、北豆腐90g、西兰花175g、泡发木耳140g、乌冬面110g、烹调油6g</x:v>
      </x:c>
      <x:c r="H598" t="str">
        <x:v>乌冬面</x:v>
      </x:c>
      <x:c r="I598" s="10" t="str">
        <x:v>低主食需求可将主食减1/3，另加100g非淀粉蔬菜（营养值需重算）</x:v>
      </x:c>
      <x:c r="J598" s="10" t="str">
        <x:v>黑胡椒、蒜末</x:v>
      </x:c>
      <x:c r="K598" t="str">
        <x:v>少油烩</x:v>
      </x:c>
      <x:c r="L598" s="10" t="str">
        <x:v>锅加少量水和油，先把主食材煮熟，再烩两种蔬菜，收汁撒黑椒；面/魔芋丝煮熟后与菜合碗。</x:v>
      </x:c>
      <x:c r="M598" t="n">
        <x:v>20</x:v>
      </x:c>
      <x:c r="N598" t="n">
        <x:f>ROUND(SUM('食材明细'!H3578:H3583),0)</x:f>
        <x:v>533</x:v>
      </x:c>
      <x:c r="O598" t="n">
        <x:f>ROUND(SUM('食材明细'!J3578:J3583),1)</x:f>
        <x:v>54.9</x:v>
      </x:c>
      <x:c r="P598" t="n">
        <x:f>ROUND(SUM('食材明细'!L3578:L3583),1)</x:f>
        <x:v>50.7</x:v>
      </x:c>
      <x:c r="Q598" t="n">
        <x:f>ROUND(SUM('食材明细'!N3578:N3583),1)</x:f>
        <x:v>14.1</x:v>
      </x:c>
      <x:c r="R598" s="10" t="str">
        <x:v>调料尽量低盐，不加白砂糖；油重已计入热量。</x:v>
      </x:c>
    </x:row>
    <x:row r="599" ht="37" customHeight="1">
      <x:c r="A599" t="n">
        <x:v>598</x:v>
      </x:c>
      <x:c r="B599" t="n">
        <x:v>299</x:v>
      </x:c>
      <x:c r="C599" t="n">
        <x:v>43</x:v>
      </x:c>
      <x:c r="D599" t="str">
        <x:v>晚餐</x:v>
      </x:c>
      <x:c r="E599" t="str">
        <x:v>禽肉</x:v>
      </x:c>
      <x:c r="F599" s="10" t="str">
        <x:v>蒜香鸡里脊肉配冬瓜小白菜｜燕麦饭</x:v>
      </x:c>
      <x:c r="G599" s="10" t="str">
        <x:v>鸡里脊肉170g、冬瓜140g、小白菜140g、燕麦饭100g、烹调油4g</x:v>
      </x:c>
      <x:c r="H599" t="str">
        <x:v>燕麦饭</x:v>
      </x:c>
      <x:c r="I599" s="10" t="str">
        <x:v>低主食需求可将主食减1/3，另加100g非淀粉蔬菜（营养值需重算）</x:v>
      </x:c>
      <x:c r="J599" s="10" t="str">
        <x:v>蒜末、白胡椒</x:v>
      </x:c>
      <x:c r="K599" t="str">
        <x:v>蒸</x:v>
      </x:c>
      <x:c r="L599" s="10" t="str">
        <x:v>食材切块，撒蒜末；上锅蒸熟，蔬菜另焯后拌匀；燕麦饭另煮熟或蒸好后同餐食用。</x:v>
      </x:c>
      <x:c r="M599" t="n">
        <x:v>30</x:v>
      </x:c>
      <x:c r="N599" t="n">
        <x:f>ROUND(SUM('食材明细'!H3584:H3589),0)</x:f>
        <x:v>375</x:v>
      </x:c>
      <x:c r="O599" t="n">
        <x:f>ROUND(SUM('食材明细'!J3584:J3589),1)</x:f>
        <x:v>45.1</x:v>
      </x:c>
      <x:c r="P599" t="n">
        <x:f>ROUND(SUM('食材明细'!L3584:L3589),1)</x:f>
        <x:v>29.1</x:v>
      </x:c>
      <x:c r="Q599" t="n">
        <x:f>ROUND(SUM('食材明细'!N3584:N3589),1)</x:f>
        <x:v>9.4</x:v>
      </x:c>
      <x:c r="R599" s="10" t="str">
        <x:v>调料尽量低盐，不加白砂糖；油重已计入热量。</x:v>
      </x:c>
    </x:row>
    <x:row r="600" ht="37" customHeight="1">
      <x:c r="A600" t="n">
        <x:v>599</x:v>
      </x:c>
      <x:c r="B600" t="n">
        <x:v>300</x:v>
      </x:c>
      <x:c r="C600" t="n">
        <x:v>43</x:v>
      </x:c>
      <x:c r="D600" t="str">
        <x:v>午餐</x:v>
      </x:c>
      <x:c r="E600" t="str">
        <x:v>禽肉</x:v>
      </x:c>
      <x:c r="F600" s="10" t="str">
        <x:v>咖喱去皮鸡腿肉配芹菜杏鲍菇｜玉米</x:v>
      </x:c>
      <x:c r="G600" s="10" t="str">
        <x:v>去皮鸡腿肉165g、熟毛豆仁70g、芹菜190g、杏鲍菇155g、玉米165g、烹调油6g</x:v>
      </x:c>
      <x:c r="H600" t="str">
        <x:v>玉米</x:v>
      </x:c>
      <x:c r="I600" s="10" t="str">
        <x:v>想减主食可减到原量2/3，另加100g绿叶菜</x:v>
      </x:c>
      <x:c r="J600" s="10" t="str">
        <x:v>无加糖咖喱粉、姜末</x:v>
      </x:c>
      <x:c r="K600" t="str">
        <x:v>炖煮</x:v>
      </x:c>
      <x:c r="L600" s="10" t="str">
        <x:v>先去皮去骨并切薄，充分加热；用咖喱粉而非高脂咖喱块，加水轻炖主食材和蔬菜；玉米另煮熟或蒸好后同餐食用。</x:v>
      </x:c>
      <x:c r="M600" t="n">
        <x:v>20</x:v>
      </x:c>
      <x:c r="N600" t="n">
        <x:f>ROUND(SUM('食材明细'!H3590:H3595),0)</x:f>
        <x:v>604</x:v>
      </x:c>
      <x:c r="O600" t="n">
        <x:f>ROUND(SUM('食材明细'!J3590:J3595),1)</x:f>
        <x:v>52</x:v>
      </x:c>
      <x:c r="P600" t="n">
        <x:f>ROUND(SUM('食材明细'!L3590:L3595),1)</x:f>
        <x:v>60.7</x:v>
      </x:c>
      <x:c r="Q600" t="n">
        <x:f>ROUND(SUM('食材明细'!N3590:N3595),1)</x:f>
        <x:v>20.9</x:v>
      </x:c>
      <x:c r="R600" s="10" t="str">
        <x:v>调料尽量低盐，不加白砂糖；油重已计入热量。</x:v>
      </x:c>
    </x:row>
    <x:row r="601" ht="37" customHeight="1">
      <x:c r="A601" t="n">
        <x:v>600</x:v>
      </x:c>
      <x:c r="B601" t="n">
        <x:v>300</x:v>
      </x:c>
      <x:c r="C601" t="n">
        <x:v>43</x:v>
      </x:c>
      <x:c r="D601" t="str">
        <x:v>晚餐</x:v>
      </x:c>
      <x:c r="E601" t="str">
        <x:v>鱼类</x:v>
      </x:c>
      <x:c r="F601" s="10" t="str">
        <x:v>菌菇鲈鱼配花菜口蘑｜藜麦饭</x:v>
      </x:c>
      <x:c r="G601" s="10" t="str">
        <x:v>鲈鱼175g、花菜160g、口蘑155g、藜麦饭80g、烹调油5g</x:v>
      </x:c>
      <x:c r="H601" t="str">
        <x:v>藜麦饭</x:v>
      </x:c>
      <x:c r="I601" s="10" t="str">
        <x:v>低主食需求可将主食减1/3，另加100g非淀粉蔬菜（营养值需重算）</x:v>
      </x:c>
      <x:c r="J601" s="10" t="str">
        <x:v>姜片、香菇汁</x:v>
      </x:c>
      <x:c r="K601" t="str">
        <x:v>焖煮</x:v>
      </x:c>
      <x:c r="L601" s="10" t="str">
        <x:v>鱼肉去刺，彻底做熟；食材与菌菇加少量水焖熟，出锅前加少量低盐生抽；藜麦饭另煮熟或蒸好后同餐食用。</x:v>
      </x:c>
      <x:c r="M601" t="n">
        <x:v>35</x:v>
      </x:c>
      <x:c r="N601" t="n">
        <x:f>ROUND(SUM('食材明细'!H3596:H3601),0)</x:f>
        <x:v>399</x:v>
      </x:c>
      <x:c r="O601" t="n">
        <x:f>ROUND(SUM('食材明细'!J3596:J3601),1)</x:f>
        <x:v>44.8</x:v>
      </x:c>
      <x:c r="P601" t="n">
        <x:f>ROUND(SUM('食材明细'!L3596:L3601),1)</x:f>
        <x:v>30.2</x:v>
      </x:c>
      <x:c r="Q601" t="n">
        <x:f>ROUND(SUM('食材明细'!N3596:N3601),1)</x:f>
        <x:v>12.7</x:v>
      </x:c>
      <x:c r="R601" s="10" t="str">
        <x:v>调料尽量低盐，不加白砂糖；油重已计入热量。</x:v>
      </x:c>
    </x:row>
    <x:row r="602" ht="37" customHeight="1">
      <x:c r="A602" t="n">
        <x:v>601</x:v>
      </x:c>
      <x:c r="B602" t="n">
        <x:v>301</x:v>
      </x:c>
      <x:c r="C602" t="n">
        <x:v>43</x:v>
      </x:c>
      <x:c r="D602" t="str">
        <x:v>午餐</x:v>
      </x:c>
      <x:c r="E602" t="str">
        <x:v>猪肉</x:v>
      </x:c>
      <x:c r="F602" s="10" t="str">
        <x:v>椒麻猪里脊配生菜小白菜｜红薯</x:v>
      </x:c>
      <x:c r="G602" s="10" t="str">
        <x:v>猪里脊185g、生菜160g、小白菜125g、红薯125g、烹调油4g</x:v>
      </x:c>
      <x:c r="H602" t="str">
        <x:v>红薯</x:v>
      </x:c>
      <x:c r="I602" s="10" t="str">
        <x:v>想减主食可减到原量2/3，另加100g绿叶菜</x:v>
      </x:c>
      <x:c r="J602" s="10" t="str">
        <x:v>花椒、蒜、少量醋</x:v>
      </x:c>
      <x:c r="K602" t="str">
        <x:v>水煮</x:v>
      </x:c>
      <x:c r="L602" s="10" t="str">
        <x:v>花椒温水浸出味道，煮熟主食材和配菜，少油拌汁；红薯另煮熟或蒸好后同餐食用。</x:v>
      </x:c>
      <x:c r="M602" t="n">
        <x:v>15</x:v>
      </x:c>
      <x:c r="N602" t="n">
        <x:f>ROUND(SUM('食材明细'!H3602:H3607),0)</x:f>
        <x:v>415</x:v>
      </x:c>
      <x:c r="O602" t="n">
        <x:f>ROUND(SUM('食材明细'!J3602:J3607),1)</x:f>
        <x:v>45.1</x:v>
      </x:c>
      <x:c r="P602" t="n">
        <x:f>ROUND(SUM('食材明细'!L3602:L3607),1)</x:f>
        <x:v>33.8</x:v>
      </x:c>
      <x:c r="Q602" t="n">
        <x:f>ROUND(SUM('食材明细'!N3602:N3607),1)</x:f>
        <x:v>11</x:v>
      </x:c>
      <x:c r="R602" s="10" t="str">
        <x:v>调料尽量低盐，不加白砂糖；油重已计入热量。</x:v>
      </x:c>
    </x:row>
    <x:row r="603" ht="37" customHeight="1">
      <x:c r="A603" t="n">
        <x:v>602</x:v>
      </x:c>
      <x:c r="B603" t="n">
        <x:v>301</x:v>
      </x:c>
      <x:c r="C603" t="n">
        <x:v>43</x:v>
      </x:c>
      <x:c r="D603" t="str">
        <x:v>晚餐</x:v>
      </x:c>
      <x:c r="E603" t="str">
        <x:v>鱼类</x:v>
      </x:c>
      <x:c r="F603" s="10" t="str">
        <x:v>菌菇鲈鱼配秋葵杏鲍菇｜土豆</x:v>
      </x:c>
      <x:c r="G603" s="10" t="str">
        <x:v>鲈鱼185g、北豆腐110g、秋葵140g、杏鲍菇140g、土豆95g、烹调油6g</x:v>
      </x:c>
      <x:c r="H603" t="str">
        <x:v>土豆</x:v>
      </x:c>
      <x:c r="I603" s="10" t="str">
        <x:v>想减主食可减到原量2/3，另加100g绿叶菜</x:v>
      </x:c>
      <x:c r="J603" s="10" t="str">
        <x:v>姜片、香菇汁</x:v>
      </x:c>
      <x:c r="K603" t="str">
        <x:v>焖煮</x:v>
      </x:c>
      <x:c r="L603" s="10" t="str">
        <x:v>鱼肉去刺，彻底做熟；食材与菌菇加少量水焖熟，出锅前加少量低盐生抽；土豆另煮熟或蒸好后同餐食用。</x:v>
      </x:c>
      <x:c r="M603" t="n">
        <x:v>30</x:v>
      </x:c>
      <x:c r="N603" t="n">
        <x:f>ROUND(SUM('食材明细'!H3608:H3613),0)</x:f>
        <x:v>517</x:v>
      </x:c>
      <x:c r="O603" t="n">
        <x:f>ROUND(SUM('食材明细'!J3608:J3613),1)</x:f>
        <x:v>53.5</x:v>
      </x:c>
      <x:c r="P603" t="n">
        <x:f>ROUND(SUM('食材明细'!L3608:L3613),1)</x:f>
        <x:v>39.4</x:v>
      </x:c>
      <x:c r="Q603" t="n">
        <x:f>ROUND(SUM('食材明细'!N3608:N3613),1)</x:f>
        <x:v>17.9</x:v>
      </x:c>
      <x:c r="R603" s="10" t="str">
        <x:v>调料尽量低盐，不加白砂糖；油重已计入热量。</x:v>
      </x:c>
    </x:row>
    <x:row r="604" ht="37" customHeight="1">
      <x:c r="A604" t="n">
        <x:v>603</x:v>
      </x:c>
      <x:c r="B604" t="n">
        <x:v>302</x:v>
      </x:c>
      <x:c r="C604" t="n">
        <x:v>44</x:v>
      </x:c>
      <x:c r="D604" t="str">
        <x:v>午餐</x:v>
      </x:c>
      <x:c r="E604" t="str">
        <x:v>禽肉</x:v>
      </x:c>
      <x:c r="F604" s="10" t="str">
        <x:v>香醋鸡胸肉配小白菜胡萝卜｜红薯</x:v>
      </x:c>
      <x:c r="G604" s="10" t="str">
        <x:v>鸡胸肉185g、北豆腐110g、小白菜140g、胡萝卜110g、红薯125g、烹调油6g</x:v>
      </x:c>
      <x:c r="H604" t="str">
        <x:v>红薯</x:v>
      </x:c>
      <x:c r="I604" s="10" t="str">
        <x:v>想减主食可减到原量2/3，另加100g绿叶菜</x:v>
      </x:c>
      <x:c r="J604" s="10" t="str">
        <x:v>香醋、蒜末、少量生抽</x:v>
      </x:c>
      <x:c r="K604" t="str">
        <x:v>水煮</x:v>
      </x:c>
      <x:c r="L604" s="10" t="str">
        <x:v>食材分别煮至熟，淋香醋蒜汁，拌匀即食；红薯另煮熟或蒸好后同餐食用。</x:v>
      </x:c>
      <x:c r="M604" t="n">
        <x:v>25</x:v>
      </x:c>
      <x:c r="N604" t="n">
        <x:f>ROUND(SUM('食材明细'!H3614:H3619),0)</x:f>
        <x:v>535</x:v>
      </x:c>
      <x:c r="O604" t="n">
        <x:f>ROUND(SUM('食材明细'!J3614:J3619),1)</x:f>
        <x:v>58.8</x:v>
      </x:c>
      <x:c r="P604" t="n">
        <x:f>ROUND(SUM('食材明细'!L3614:L3619),1)</x:f>
        <x:v>42.8</x:v>
      </x:c>
      <x:c r="Q604" t="n">
        <x:f>ROUND(SUM('食材明细'!N3614:N3619),1)</x:f>
        <x:v>15.8</x:v>
      </x:c>
      <x:c r="R604" s="10" t="str">
        <x:v>调料尽量低盐，不加白砂糖；油重已计入热量。</x:v>
      </x:c>
    </x:row>
    <x:row r="605" ht="37" customHeight="1">
      <x:c r="A605" t="n">
        <x:v>604</x:v>
      </x:c>
      <x:c r="B605" t="n">
        <x:v>302</x:v>
      </x:c>
      <x:c r="C605" t="n">
        <x:v>44</x:v>
      </x:c>
      <x:c r="D605" t="str">
        <x:v>晚餐</x:v>
      </x:c>
      <x:c r="E605" t="str">
        <x:v>牛肉</x:v>
      </x:c>
      <x:c r="F605" s="10" t="str">
        <x:v>黑椒瘦牛肉配竹笋冬瓜｜荞麦饭</x:v>
      </x:c>
      <x:c r="G605" s="10" t="str">
        <x:v>瘦牛肉160g、熟毛豆仁70g、竹笋175g、冬瓜140g、荞麦饭135g、烹调油5g</x:v>
      </x:c>
      <x:c r="H605" t="str">
        <x:v>荞麦饭</x:v>
      </x:c>
      <x:c r="I605" s="10" t="str">
        <x:v>低主食需求可将主食减1/3，另加100g非淀粉蔬菜（营养值需重算）</x:v>
      </x:c>
      <x:c r="J605" s="10" t="str">
        <x:v>黑胡椒、蒜末</x:v>
      </x:c>
      <x:c r="K605" t="str">
        <x:v>少油烩</x:v>
      </x:c>
      <x:c r="L605" s="10" t="str">
        <x:v>锅加少量水和油，先把主食材煮熟，再烩两种蔬菜，收汁撒黑椒；荞麦饭另煮熟或蒸好后同餐食用。</x:v>
      </x:c>
      <x:c r="M605" t="n">
        <x:v>30</x:v>
      </x:c>
      <x:c r="N605" t="n">
        <x:f>ROUND(SUM('食材明细'!H3620:H3625),0)</x:f>
        <x:v>543</x:v>
      </x:c>
      <x:c r="O605" t="n">
        <x:f>ROUND(SUM('食材明细'!J3620:J3625),1)</x:f>
        <x:v>51.7</x:v>
      </x:c>
      <x:c r="P605" t="n">
        <x:f>ROUND(SUM('食材明细'!L3620:L3625),1)</x:f>
        <x:v>49.3</x:v>
      </x:c>
      <x:c r="Q605" t="n">
        <x:f>ROUND(SUM('食材明细'!N3620:N3625),1)</x:f>
        <x:v>17.2</x:v>
      </x:c>
      <x:c r="R605" s="10" t="str">
        <x:v>调料尽量低盐，不加白砂糖；油重已计入热量。</x:v>
      </x:c>
    </x:row>
    <x:row r="606" ht="37" customHeight="1">
      <x:c r="A606" t="n">
        <x:v>605</x:v>
      </x:c>
      <x:c r="B606" t="n">
        <x:v>303</x:v>
      </x:c>
      <x:c r="C606" t="n">
        <x:v>44</x:v>
      </x:c>
      <x:c r="D606" t="str">
        <x:v>午餐</x:v>
      </x:c>
      <x:c r="E606" t="str">
        <x:v>豆蛋</x:v>
      </x:c>
      <x:c r="F606" s="10" t="str">
        <x:v>椒麻北豆腐熟毛豆仁烩苦瓜丝瓜｜玉米</x:v>
      </x:c>
      <x:c r="G606" s="10" t="str">
        <x:v>北豆腐260g、熟毛豆仁50g、苦瓜190g、丝瓜110g、玉米110g、烹调油3g</x:v>
      </x:c>
      <x:c r="H606" t="str">
        <x:v>玉米</x:v>
      </x:c>
      <x:c r="I606" s="10" t="str">
        <x:v>想减主食可减到原量2/3，另加100g绿叶菜</x:v>
      </x:c>
      <x:c r="J606" s="10" t="str">
        <x:v>花椒、蒜、少量醋</x:v>
      </x:c>
      <x:c r="K606" t="str">
        <x:v>水煮</x:v>
      </x:c>
      <x:c r="L606" s="10" t="str">
        <x:v>花椒温水浸出味道，煮熟主食材和配菜，少油拌汁；玉米另煮熟或蒸好后同餐食用。</x:v>
      </x:c>
      <x:c r="M606" t="n">
        <x:v>20</x:v>
      </x:c>
      <x:c r="N606" t="n">
        <x:f>ROUND(SUM('食材明细'!H3626:H3631),0)</x:f>
        <x:v>495</x:v>
      </x:c>
      <x:c r="O606" t="n">
        <x:f>ROUND(SUM('食材明细'!J3626:J3631),1)</x:f>
        <x:v>38.7</x:v>
      </x:c>
      <x:c r="P606" t="n">
        <x:f>ROUND(SUM('食材明细'!L3626:L3631),1)</x:f>
        <x:v>46.1</x:v>
      </x:c>
      <x:c r="Q606" t="n">
        <x:f>ROUND(SUM('食材明细'!N3626:N3631),1)</x:f>
        <x:v>20.8</x:v>
      </x:c>
      <x:c r="R606" s="10" t="str">
        <x:v>调料尽量低盐，不加白砂糖；油重已计入热量。</x:v>
      </x:c>
    </x:row>
    <x:row r="607" ht="37" customHeight="1">
      <x:c r="A607" t="n">
        <x:v>606</x:v>
      </x:c>
      <x:c r="B607" t="n">
        <x:v>303</x:v>
      </x:c>
      <x:c r="C607" t="n">
        <x:v>44</x:v>
      </x:c>
      <x:c r="D607" t="str">
        <x:v>晚餐</x:v>
      </x:c>
      <x:c r="E607" t="str">
        <x:v>豆蛋</x:v>
      </x:c>
      <x:c r="F607" s="10" t="str">
        <x:v>菌菇鸡蛋北豆腐烩茼蒿口蘑｜土豆</x:v>
      </x:c>
      <x:c r="G607" s="10" t="str">
        <x:v>鸡蛋120g、北豆腐90g、茼蒿160g、口蘑155g、土豆95g、烹调油4g</x:v>
      </x:c>
      <x:c r="H607" t="str">
        <x:v>土豆</x:v>
      </x:c>
      <x:c r="I607" s="10" t="str">
        <x:v>想减主食可减到原量2/3，另加100g绿叶菜</x:v>
      </x:c>
      <x:c r="J607" s="10" t="str">
        <x:v>姜片、香菇汁</x:v>
      </x:c>
      <x:c r="K607" t="str">
        <x:v>焖煮</x:v>
      </x:c>
      <x:c r="L607" s="10" t="str">
        <x:v>鸡蛋先打散成蛋液；食材与菌菇加少量水焖熟，出锅前加少量低盐生抽；土豆另煮熟或蒸好后同餐食用。</x:v>
      </x:c>
      <x:c r="M607" t="n">
        <x:v>35</x:v>
      </x:c>
      <x:c r="N607" t="n">
        <x:f>ROUND(SUM('食材明细'!H3632:H3637),0)</x:f>
        <x:v>436</x:v>
      </x:c>
      <x:c r="O607" t="n">
        <x:f>ROUND(SUM('食材明细'!J3632:J3637),1)</x:f>
        <x:v>34.4</x:v>
      </x:c>
      <x:c r="P607" t="n">
        <x:f>ROUND(SUM('食材明细'!L3632:L3637),1)</x:f>
        <x:v>31.5</x:v>
      </x:c>
      <x:c r="Q607" t="n">
        <x:f>ROUND(SUM('食材明细'!N3632:N3637),1)</x:f>
        <x:v>21.6</x:v>
      </x:c>
      <x:c r="R607" s="10" t="str">
        <x:v>调料尽量低盐，不加白砂糖；油重已计入热量。</x:v>
      </x:c>
    </x:row>
    <x:row r="608" ht="37" customHeight="1">
      <x:c r="A608" t="n">
        <x:v>607</x:v>
      </x:c>
      <x:c r="B608" t="n">
        <x:v>304</x:v>
      </x:c>
      <x:c r="C608" t="n">
        <x:v>44</x:v>
      </x:c>
      <x:c r="D608" t="str">
        <x:v>午餐</x:v>
      </x:c>
      <x:c r="E608" t="str">
        <x:v>禽肉</x:v>
      </x:c>
      <x:c r="F608" s="10" t="str">
        <x:v>孜然去皮鸡腿肉配生菜绿豆芽｜燕麦饭</x:v>
      </x:c>
      <x:c r="G608" s="10" t="str">
        <x:v>去皮鸡腿肉175g、生菜160g、绿豆芽155g、燕麦饭125g、烹调油4g</x:v>
      </x:c>
      <x:c r="H608" t="str">
        <x:v>燕麦饭</x:v>
      </x:c>
      <x:c r="I608" s="10" t="str">
        <x:v>低主食需求可将主食减1/3，另加100g非淀粉蔬菜（营养值需重算）</x:v>
      </x:c>
      <x:c r="J608" s="10" t="str">
        <x:v>孜然、辣椒粉、蒜末</x:v>
      </x:c>
      <x:c r="K608" t="str">
        <x:v>少油焖</x:v>
      </x:c>
      <x:c r="L608" s="10" t="str">
        <x:v>先去皮去骨并切薄，充分加热；主食材用少量油和水焖熟，下蔬菜翻拌，撒孜然；燕麦饭另煮熟或蒸好后同餐食用。</x:v>
      </x:c>
      <x:c r="M608" t="n">
        <x:v>15</x:v>
      </x:c>
      <x:c r="N608" t="n">
        <x:f>ROUND(SUM('食材明细'!H3638:H3643),0)</x:f>
        <x:v>466</x:v>
      </x:c>
      <x:c r="O608" t="n">
        <x:f>ROUND(SUM('食材明细'!J3638:J3643),1)</x:f>
        <x:v>45.9</x:v>
      </x:c>
      <x:c r="P608" t="n">
        <x:f>ROUND(SUM('食材明细'!L3638:L3643),1)</x:f>
        <x:v>40.2</x:v>
      </x:c>
      <x:c r="Q608" t="n">
        <x:f>ROUND(SUM('食材明细'!N3638:N3643),1)</x:f>
        <x:v>15.5</x:v>
      </x:c>
      <x:c r="R608" s="10" t="str">
        <x:v>调料尽量低盐，不加白砂糖；油重已计入热量。</x:v>
      </x:c>
    </x:row>
    <x:row r="609" ht="37" customHeight="1">
      <x:c r="A609" t="n">
        <x:v>608</x:v>
      </x:c>
      <x:c r="B609" t="n">
        <x:v>304</x:v>
      </x:c>
      <x:c r="C609" t="n">
        <x:v>44</x:v>
      </x:c>
      <x:c r="D609" t="str">
        <x:v>晚餐</x:v>
      </x:c>
      <x:c r="E609" t="str">
        <x:v>鱼类</x:v>
      </x:c>
      <x:c r="F609" s="10" t="str">
        <x:v>剁椒鲈鱼配莴笋口蘑｜燕麦饭</x:v>
      </x:c>
      <x:c r="G609" s="10" t="str">
        <x:v>鲈鱼215g、熟毛豆仁50g、莴笋175g、口蘑110g、燕麦饭125g、烹调油6g</x:v>
      </x:c>
      <x:c r="H609" t="str">
        <x:v>燕麦饭</x:v>
      </x:c>
      <x:c r="I609" s="10" t="str">
        <x:v>低主食需求可将主食减1/3，另加100g非淀粉蔬菜（营养值需重算）</x:v>
      </x:c>
      <x:c r="J609" s="10" t="str">
        <x:v>自制低盐剁椒、蒜</x:v>
      </x:c>
      <x:c r="K609" t="str">
        <x:v>蒸</x:v>
      </x:c>
      <x:c r="L609" s="10" t="str">
        <x:v>鱼肉去刺，彻底做熟；主食材铺少量低盐剁椒蒸熟，配菜焯熟后摆盘；燕麦饭另煮熟或蒸好后同餐食用。</x:v>
      </x:c>
      <x:c r="M609" t="n">
        <x:v>30</x:v>
      </x:c>
      <x:c r="N609" t="n">
        <x:f>ROUND(SUM('食材明细'!H3644:H3649),0)</x:f>
        <x:v>528</x:v>
      </x:c>
      <x:c r="O609" t="n">
        <x:f>ROUND(SUM('食材明细'!J3644:J3649),1)</x:f>
        <x:v>56</x:v>
      </x:c>
      <x:c r="P609" t="n">
        <x:f>ROUND(SUM('食材明细'!L3644:L3649),1)</x:f>
        <x:v>39.3</x:v>
      </x:c>
      <x:c r="Q609" t="n">
        <x:f>ROUND(SUM('食材明细'!N3644:N3649),1)</x:f>
        <x:v>17.7</x:v>
      </x:c>
      <x:c r="R609" s="10" t="str">
        <x:v>调料尽量低盐，不加白砂糖；油重已计入热量。</x:v>
      </x:c>
    </x:row>
    <x:row r="610" ht="37" customHeight="1">
      <x:c r="A610" t="n">
        <x:v>609</x:v>
      </x:c>
      <x:c r="B610" t="n">
        <x:v>305</x:v>
      </x:c>
      <x:c r="C610" t="n">
        <x:v>44</x:v>
      </x:c>
      <x:c r="D610" t="str">
        <x:v>午餐</x:v>
      </x:c>
      <x:c r="E610" t="str">
        <x:v>豆蛋</x:v>
      </x:c>
      <x:c r="F610" s="10" t="str">
        <x:v>清汤北豆腐熟毛豆仁烩黄瓜西兰花｜燕麦饭</x:v>
      </x:c>
      <x:c r="G610" s="10" t="str">
        <x:v>北豆腐280g、熟毛豆仁50g、黄瓜175g、西兰花140g、燕麦饭110g、烹调油6g</x:v>
      </x:c>
      <x:c r="H610" t="str">
        <x:v>燕麦饭</x:v>
      </x:c>
      <x:c r="I610" s="10" t="str">
        <x:v>低主食需求可将主食减1/3，另加100g非淀粉蔬菜（营养值需重算）</x:v>
      </x:c>
      <x:c r="J610" s="10" t="str">
        <x:v>葱段、盐少量</x:v>
      </x:c>
      <x:c r="K610" t="str">
        <x:v>煮</x:v>
      </x:c>
      <x:c r="L610" s="10" t="str">
        <x:v>清水煮开，按熟化时间下食材，最后放叶菜，清淡调味；燕麦饭另煮熟或蒸好后同餐食用。</x:v>
      </x:c>
      <x:c r="M610" t="n">
        <x:v>30</x:v>
      </x:c>
      <x:c r="N610" t="n">
        <x:f>ROUND(SUM('食材明细'!H3650:H3655),0)</x:f>
        <x:v>563</x:v>
      </x:c>
      <x:c r="O610" t="n">
        <x:f>ROUND(SUM('食材明细'!J3650:J3655),1)</x:f>
        <x:v>42.7</x:v>
      </x:c>
      <x:c r="P610" t="n">
        <x:f>ROUND(SUM('食材明细'!L3650:L3655),1)</x:f>
        <x:v>49.3</x:v>
      </x:c>
      <x:c r="Q610" t="n">
        <x:f>ROUND(SUM('食材明细'!N3650:N3655),1)</x:f>
        <x:v>25.2</x:v>
      </x:c>
      <x:c r="R610" s="10" t="str">
        <x:v>调料尽量低盐，不加白砂糖；油重已计入热量。</x:v>
      </x:c>
    </x:row>
    <x:row r="611" ht="37" customHeight="1">
      <x:c r="A611" t="n">
        <x:v>610</x:v>
      </x:c>
      <x:c r="B611" t="n">
        <x:v>305</x:v>
      </x:c>
      <x:c r="C611" t="n">
        <x:v>44</x:v>
      </x:c>
      <x:c r="D611" t="str">
        <x:v>晚餐</x:v>
      </x:c>
      <x:c r="E611" t="str">
        <x:v>豆蛋</x:v>
      </x:c>
      <x:c r="F611" s="10" t="str">
        <x:v>清汤嫩豆腐鸡蛋烩芦笋杏鲍菇｜山药</x:v>
      </x:c>
      <x:c r="G611" s="10" t="str">
        <x:v>嫩豆腐240g、鸡蛋60g、芦笋140g、杏鲍菇155g、山药80g、烹调油5g</x:v>
      </x:c>
      <x:c r="H611" t="str">
        <x:v>山药</x:v>
      </x:c>
      <x:c r="I611" s="10" t="str">
        <x:v>想减主食可减到原量2/3，另加100g绿叶菜</x:v>
      </x:c>
      <x:c r="J611" s="10" t="str">
        <x:v>葱段、盐少量</x:v>
      </x:c>
      <x:c r="K611" t="str">
        <x:v>煮</x:v>
      </x:c>
      <x:c r="L611" s="10" t="str">
        <x:v>清水煮开，按熟化时间下食材，最后放叶菜，清淡调味；山药另煮熟或蒸好后同餐食用。</x:v>
      </x:c>
      <x:c r="M611" t="n">
        <x:v>15</x:v>
      </x:c>
      <x:c r="N611" t="n">
        <x:f>ROUND(SUM('食材明细'!H3656:H3661),0)</x:f>
        <x:v>395</x:v>
      </x:c>
      <x:c r="O611" t="n">
        <x:f>ROUND(SUM('食材明细'!J3656:J3661),1)</x:f>
        <x:v>27.2</x:v>
      </x:c>
      <x:c r="P611" t="n">
        <x:f>ROUND(SUM('食材明细'!L3656:L3661),1)</x:f>
        <x:v>33.7</x:v>
      </x:c>
      <x:c r="Q611" t="n">
        <x:f>ROUND(SUM('食材明细'!N3656:N3661),1)</x:f>
        <x:v>18.4</x:v>
      </x:c>
      <x:c r="R611" s="10" t="str">
        <x:v>调料尽量低盐，不加白砂糖；油重已计入热量。</x:v>
      </x:c>
    </x:row>
    <x:row r="612" ht="37" customHeight="1">
      <x:c r="A612" t="n">
        <x:v>611</x:v>
      </x:c>
      <x:c r="B612" t="n">
        <x:v>306</x:v>
      </x:c>
      <x:c r="C612" t="n">
        <x:v>44</x:v>
      </x:c>
      <x:c r="D612" t="str">
        <x:v>午餐</x:v>
      </x:c>
      <x:c r="E612" t="str">
        <x:v>鱼类</x:v>
      </x:c>
      <x:c r="F612" s="10" t="str">
        <x:v>蒜香鲈鱼配芦笋口蘑｜乌冬面</x:v>
      </x:c>
      <x:c r="G612" s="10" t="str">
        <x:v>鲈鱼185g、芦笋190g、口蘑140g、乌冬面165g、烹调油4g</x:v>
      </x:c>
      <x:c r="H612" t="str">
        <x:v>乌冬面</x:v>
      </x:c>
      <x:c r="I612" s="10" t="str">
        <x:v>低主食需求可将主食减1/3，另加100g非淀粉蔬菜（营养值需重算）</x:v>
      </x:c>
      <x:c r="J612" s="10" t="str">
        <x:v>蒜末、白胡椒</x:v>
      </x:c>
      <x:c r="K612" t="str">
        <x:v>蒸</x:v>
      </x:c>
      <x:c r="L612" s="10" t="str">
        <x:v>鱼肉去刺，彻底做熟；食材切块，撒蒜末；上锅蒸熟，蔬菜另焯后拌匀；面/魔芋丝煮熟后与菜合碗。</x:v>
      </x:c>
      <x:c r="M612" t="n">
        <x:v>30</x:v>
      </x:c>
      <x:c r="N612" t="n">
        <x:f>ROUND(SUM('食材明细'!H3662:H3667),0)</x:f>
        <x:v>497</x:v>
      </x:c>
      <x:c r="O612" t="n">
        <x:f>ROUND(SUM('食材明细'!J3662:J3667),1)</x:f>
        <x:v>47.8</x:v>
      </x:c>
      <x:c r="P612" t="n">
        <x:f>ROUND(SUM('食材明细'!L3662:L3667),1)</x:f>
        <x:v>53.3</x:v>
      </x:c>
      <x:c r="Q612" t="n">
        <x:f>ROUND(SUM('食材明细'!N3662:N3667),1)</x:f>
        <x:v>11.2</x:v>
      </x:c>
      <x:c r="R612" s="10" t="str">
        <x:v>调料尽量低盐，不加白砂糖；油重已计入热量。</x:v>
      </x:c>
    </x:row>
    <x:row r="613" ht="37" customHeight="1">
      <x:c r="A613" t="n">
        <x:v>612</x:v>
      </x:c>
      <x:c r="B613" t="n">
        <x:v>306</x:v>
      </x:c>
      <x:c r="C613" t="n">
        <x:v>44</x:v>
      </x:c>
      <x:c r="D613" t="str">
        <x:v>晚餐</x:v>
      </x:c>
      <x:c r="E613" t="str">
        <x:v>海鲜</x:v>
      </x:c>
      <x:c r="F613" s="10" t="str">
        <x:v>清汤扇贝肉配冬瓜口蘑｜杂粮饭</x:v>
      </x:c>
      <x:c r="G613" s="10" t="str">
        <x:v>扇贝肉190g、冬瓜160g、口蘑125g、杂粮饭110g、烹调油6g</x:v>
      </x:c>
      <x:c r="H613" t="str">
        <x:v>杂粮饭</x:v>
      </x:c>
      <x:c r="I613" s="10" t="str">
        <x:v>低主食需求可将主食减1/3，另加100g非淀粉蔬菜（营养值需重算）</x:v>
      </x:c>
      <x:c r="J613" s="10" t="str">
        <x:v>葱段、盐少量</x:v>
      </x:c>
      <x:c r="K613" t="str">
        <x:v>煮</x:v>
      </x:c>
      <x:c r="L613" s="10" t="str">
        <x:v>清水煮开，按熟化时间下食材，最后放叶菜，清淡调味；杂粮饭另煮熟或蒸好后同餐食用。</x:v>
      </x:c>
      <x:c r="M613" t="n">
        <x:v>20</x:v>
      </x:c>
      <x:c r="N613" t="n">
        <x:f>ROUND(SUM('食材明细'!H3668:H3673),0)</x:f>
        <x:v>400</x:v>
      </x:c>
      <x:c r="O613" t="n">
        <x:f>ROUND(SUM('食材明细'!J3668:J3673),1)</x:f>
        <x:v>40.2</x:v>
      </x:c>
      <x:c r="P613" t="n">
        <x:f>ROUND(SUM('食材明细'!L3668:L3673),1)</x:f>
        <x:v>40.5</x:v>
      </x:c>
      <x:c r="Q613" t="n">
        <x:f>ROUND(SUM('食材明细'!N3668:N3673),1)</x:f>
        <x:v>9.4</x:v>
      </x:c>
      <x:c r="R613" s="10" t="str">
        <x:v>调料尽量低盐，不加白砂糖；油重已计入热量。</x:v>
      </x:c>
    </x:row>
    <x:row r="614" ht="37" customHeight="1">
      <x:c r="A614" t="n">
        <x:v>613</x:v>
      </x:c>
      <x:c r="B614" t="n">
        <x:v>307</x:v>
      </x:c>
      <x:c r="C614" t="n">
        <x:v>44</x:v>
      </x:c>
      <x:c r="D614" t="str">
        <x:v>午餐</x:v>
      </x:c>
      <x:c r="E614" t="str">
        <x:v>豆蛋</x:v>
      </x:c>
      <x:c r="F614" s="10" t="str">
        <x:v>蒜香北豆腐鸡蛋烩油麦菜玉米笋｜红薯</x:v>
      </x:c>
      <x:c r="G614" s="10" t="str">
        <x:v>北豆腐300g、鸡蛋50g、油麦菜190g、玉米笋125g、红薯165g、烹调油6g</x:v>
      </x:c>
      <x:c r="H614" t="str">
        <x:v>红薯</x:v>
      </x:c>
      <x:c r="I614" s="10" t="str">
        <x:v>想减主食可减到原量2/3，另加100g绿叶菜</x:v>
      </x:c>
      <x:c r="J614" s="10" t="str">
        <x:v>蒜末、白胡椒</x:v>
      </x:c>
      <x:c r="K614" t="str">
        <x:v>蒸</x:v>
      </x:c>
      <x:c r="L614" s="10" t="str">
        <x:v>食材切块，撒蒜末；上锅蒸熟，蔬菜另焯后拌匀；红薯另煮熟或蒸好后同餐食用。</x:v>
      </x:c>
      <x:c r="M614" t="n">
        <x:v>25</x:v>
      </x:c>
      <x:c r="N614" t="n">
        <x:f>ROUND(SUM('食材明细'!H3674:H3679),0)</x:f>
        <x:v>608</x:v>
      </x:c>
      <x:c r="O614" t="n">
        <x:f>ROUND(SUM('食材明细'!J3674:J3679),1)</x:f>
        <x:v>44.3</x:v>
      </x:c>
      <x:c r="P614" t="n">
        <x:f>ROUND(SUM('食材明细'!L3674:L3679),1)</x:f>
        <x:v>52.4</x:v>
      </x:c>
      <x:c r="Q614" t="n">
        <x:f>ROUND(SUM('食材明细'!N3674:N3679),1)</x:f>
        <x:v>26.7</x:v>
      </x:c>
      <x:c r="R614" s="10" t="str">
        <x:v>调料尽量低盐，不加白砂糖；油重已计入热量。</x:v>
      </x:c>
    </x:row>
    <x:row r="615" ht="37" customHeight="1">
      <x:c r="A615" t="n">
        <x:v>614</x:v>
      </x:c>
      <x:c r="B615" t="n">
        <x:v>307</x:v>
      </x:c>
      <x:c r="C615" t="n">
        <x:v>44</x:v>
      </x:c>
      <x:c r="D615" t="str">
        <x:v>晚餐</x:v>
      </x:c>
      <x:c r="E615" t="str">
        <x:v>海鲜</x:v>
      </x:c>
      <x:c r="F615" s="10" t="str">
        <x:v>香醋鱿鱼配竹笋冬瓜｜紫薯</x:v>
      </x:c>
      <x:c r="G615" s="10" t="str">
        <x:v>鱿鱼160g、竹笋175g、冬瓜110g、紫薯135g、烹调油3g</x:v>
      </x:c>
      <x:c r="H615" t="str">
        <x:v>紫薯</x:v>
      </x:c>
      <x:c r="I615" s="10" t="str">
        <x:v>想减主食可减到原量2/3，另加100g绿叶菜</x:v>
      </x:c>
      <x:c r="J615" s="10" t="str">
        <x:v>香醋、蒜末、少量生抽</x:v>
      </x:c>
      <x:c r="K615" t="str">
        <x:v>水煮</x:v>
      </x:c>
      <x:c r="L615" s="10" t="str">
        <x:v>食材分别煮至熟，淋香醋蒜汁，拌匀即食；紫薯另煮熟或蒸好后同餐食用。</x:v>
      </x:c>
      <x:c r="M615" t="n">
        <x:v>15</x:v>
      </x:c>
      <x:c r="N615" t="n">
        <x:f>ROUND(SUM('食材明细'!H3680:H3685),0)</x:f>
        <x:v>369</x:v>
      </x:c>
      <x:c r="O615" t="n">
        <x:f>ROUND(SUM('食材明细'!J3680:J3685),1)</x:f>
        <x:v>34.3</x:v>
      </x:c>
      <x:c r="P615" t="n">
        <x:f>ROUND(SUM('食材明细'!L3680:L3685),1)</x:f>
        <x:v>45.3</x:v>
      </x:c>
      <x:c r="Q615" t="n">
        <x:f>ROUND(SUM('食材明细'!N3680:N3685),1)</x:f>
        <x:v>6.1</x:v>
      </x:c>
      <x:c r="R615" s="10" t="str">
        <x:v>调料尽量低盐，不加白砂糖；油重已计入热量。</x:v>
      </x:c>
    </x:row>
    <x:row r="616" ht="37" customHeight="1">
      <x:c r="A616" t="n">
        <x:v>615</x:v>
      </x:c>
      <x:c r="B616" t="n">
        <x:v>308</x:v>
      </x:c>
      <x:c r="C616" t="n">
        <x:v>44</x:v>
      </x:c>
      <x:c r="D616" t="str">
        <x:v>午餐</x:v>
      </x:c>
      <x:c r="E616" t="str">
        <x:v>海鲜</x:v>
      </x:c>
      <x:c r="F616" s="10" t="str">
        <x:v>清汤虾仁配西兰花玉米笋｜红薯</x:v>
      </x:c>
      <x:c r="G616" s="10" t="str">
        <x:v>虾仁160g、西兰花190g、玉米笋155g、红薯135g、烹调油5g</x:v>
      </x:c>
      <x:c r="H616" t="str">
        <x:v>红薯</x:v>
      </x:c>
      <x:c r="I616" s="10" t="str">
        <x:v>想减主食可减到原量2/3，另加100g绿叶菜</x:v>
      </x:c>
      <x:c r="J616" s="10" t="str">
        <x:v>葱段、盐少量</x:v>
      </x:c>
      <x:c r="K616" t="str">
        <x:v>煮</x:v>
      </x:c>
      <x:c r="L616" s="10" t="str">
        <x:v>清水煮开，按熟化时间下食材，最后放叶菜，清淡调味；红薯另煮熟或蒸好后同餐食用。</x:v>
      </x:c>
      <x:c r="M616" t="n">
        <x:v>20</x:v>
      </x:c>
      <x:c r="N616" t="n">
        <x:f>ROUND(SUM('食材明细'!H3686:H3691),0)</x:f>
        <x:v>413</x:v>
      </x:c>
      <x:c r="O616" t="n">
        <x:f>ROUND(SUM('食材明细'!J3686:J3691),1)</x:f>
        <x:v>41</x:v>
      </x:c>
      <x:c r="P616" t="n">
        <x:f>ROUND(SUM('食材明细'!L3686:L3691),1)</x:f>
        <x:v>49.2</x:v>
      </x:c>
      <x:c r="Q616" t="n">
        <x:f>ROUND(SUM('食材明细'!N3686:N3691),1)</x:f>
        <x:v>7.8</x:v>
      </x:c>
      <x:c r="R616" s="10" t="str">
        <x:v>调料尽量低盐，不加白砂糖；油重已计入热量。</x:v>
      </x:c>
    </x:row>
    <x:row r="617" ht="37" customHeight="1">
      <x:c r="A617" t="n">
        <x:v>616</x:v>
      </x:c>
      <x:c r="B617" t="n">
        <x:v>308</x:v>
      </x:c>
      <x:c r="C617" t="n">
        <x:v>44</x:v>
      </x:c>
      <x:c r="D617" t="str">
        <x:v>晚餐</x:v>
      </x:c>
      <x:c r="E617" t="str">
        <x:v>海鲜</x:v>
      </x:c>
      <x:c r="F617" s="10" t="str">
        <x:v>清汤花蛤肉配丝瓜口蘑｜土豆</x:v>
      </x:c>
      <x:c r="G617" s="10" t="str">
        <x:v>花蛤肉210g、丝瓜140g、口蘑155g、土豆125g、烹调油6g</x:v>
      </x:c>
      <x:c r="H617" t="str">
        <x:v>土豆</x:v>
      </x:c>
      <x:c r="I617" s="10" t="str">
        <x:v>想减主食可减到原量2/3，另加100g绿叶菜</x:v>
      </x:c>
      <x:c r="J617" s="10" t="str">
        <x:v>葱段、盐少量</x:v>
      </x:c>
      <x:c r="K617" t="str">
        <x:v>煮</x:v>
      </x:c>
      <x:c r="L617" s="10" t="str">
        <x:v>清水煮开，按熟化时间下食材，最后放叶菜，清淡调味；土豆另煮熟或蒸好后同餐食用。</x:v>
      </x:c>
      <x:c r="M617" t="n">
        <x:v>20</x:v>
      </x:c>
      <x:c r="N617" t="n">
        <x:f>ROUND(SUM('食材明细'!H3692:H3697),0)</x:f>
        <x:v>371</x:v>
      </x:c>
      <x:c r="O617" t="n">
        <x:f>ROUND(SUM('食材明细'!J3692:J3697),1)</x:f>
        <x:v>36</x:v>
      </x:c>
      <x:c r="P617" t="n">
        <x:f>ROUND(SUM('食材明细'!L3692:L3697),1)</x:f>
        <x:v>39.6</x:v>
      </x:c>
      <x:c r="Q617" t="n">
        <x:f>ROUND(SUM('食材明细'!N3692:N3697),1)</x:f>
        <x:v>9</x:v>
      </x:c>
      <x:c r="R617" s="10" t="str">
        <x:v>调料尽量低盐，不加白砂糖；油重已计入热量。</x:v>
      </x:c>
    </x:row>
    <x:row r="618" ht="37" customHeight="1">
      <x:c r="A618" t="n">
        <x:v>617</x:v>
      </x:c>
      <x:c r="B618" t="n">
        <x:v>309</x:v>
      </x:c>
      <x:c r="C618" t="n">
        <x:v>45</x:v>
      </x:c>
      <x:c r="D618" t="str">
        <x:v>午餐</x:v>
      </x:c>
      <x:c r="E618" t="str">
        <x:v>牛肉</x:v>
      </x:c>
      <x:c r="F618" s="10" t="str">
        <x:v>无糖照烧瘦牛肉配小白菜洋葱｜糙米饭</x:v>
      </x:c>
      <x:c r="G618" s="10" t="str">
        <x:v>瘦牛肉185g、小白菜140g、洋葱125g、糙米饭135g、烹调油3g</x:v>
      </x:c>
      <x:c r="H618" t="str">
        <x:v>糙米饭</x:v>
      </x:c>
      <x:c r="I618" s="10" t="str">
        <x:v>低主食需求可将主食减1/3，另加100g非淀粉蔬菜（营养值需重算）</x:v>
      </x:c>
      <x:c r="J618" s="10" t="str">
        <x:v>低盐生抽、米醋、洋葱自然甜味</x:v>
      </x:c>
      <x:c r="K618" t="str">
        <x:v>少油煮</x:v>
      </x:c>
      <x:c r="L618" s="10" t="str">
        <x:v>生抽与米醋调汁，不加糖；肉菜加水煮熟后略收汁；糙米饭另煮熟或蒸好后同餐食用。</x:v>
      </x:c>
      <x:c r="M618" t="n">
        <x:v>20</x:v>
      </x:c>
      <x:c r="N618" t="n">
        <x:f>ROUND(SUM('食材明细'!H3698:H3703),0)</x:f>
        <x:v>483</x:v>
      </x:c>
      <x:c r="O618" t="n">
        <x:f>ROUND(SUM('食材明细'!J3698:J3703),1)</x:f>
        <x:v>46</x:v>
      </x:c>
      <x:c r="P618" t="n">
        <x:f>ROUND(SUM('食材明细'!L3698:L3703),1)</x:f>
        <x:v>47.3</x:v>
      </x:c>
      <x:c r="Q618" t="n">
        <x:f>ROUND(SUM('食材明细'!N3698:N3703),1)</x:f>
        <x:v>12</x:v>
      </x:c>
      <x:c r="R618" s="10" t="str">
        <x:v>调料尽量低盐，不加白砂糖；油重已计入热量。</x:v>
      </x:c>
    </x:row>
    <x:row r="619" ht="37" customHeight="1">
      <x:c r="A619" t="n">
        <x:v>618</x:v>
      </x:c>
      <x:c r="B619" t="n">
        <x:v>309</x:v>
      </x:c>
      <x:c r="C619" t="n">
        <x:v>45</x:v>
      </x:c>
      <x:c r="D619" t="str">
        <x:v>晚餐</x:v>
      </x:c>
      <x:c r="E619" t="str">
        <x:v>海鲜</x:v>
      </x:c>
      <x:c r="F619" s="10" t="str">
        <x:v>柠檬虾仁配菠菜丝瓜｜米粉</x:v>
      </x:c>
      <x:c r="G619" s="10" t="str">
        <x:v>虾仁190g、熟毛豆仁70g、菠菜190g、丝瓜140g、米粉95g、烹调油5g</x:v>
      </x:c>
      <x:c r="H619" t="str">
        <x:v>米粉</x:v>
      </x:c>
      <x:c r="I619" s="10" t="str">
        <x:v>低主食需求可将主食减1/3，另加100g非淀粉蔬菜（营养值需重算）</x:v>
      </x:c>
      <x:c r="J619" s="10" t="str">
        <x:v>柠檬片、白胡椒</x:v>
      </x:c>
      <x:c r="K619" t="str">
        <x:v>蒸</x:v>
      </x:c>
      <x:c r="L619" s="10" t="str">
        <x:v>柠檬片垫底，主食材蒸熟，蔬菜短焯后摆盘；面/魔芋丝煮熟后与菜合碗。</x:v>
      </x:c>
      <x:c r="M619" t="n">
        <x:v>30</x:v>
      </x:c>
      <x:c r="N619" t="n">
        <x:f>ROUND(SUM('食材明细'!H3704:H3709),0)</x:f>
        <x:v>476</x:v>
      </x:c>
      <x:c r="O619" t="n">
        <x:f>ROUND(SUM('食材明细'!J3704:J3709),1)</x:f>
        <x:v>53.3</x:v>
      </x:c>
      <x:c r="P619" t="n">
        <x:f>ROUND(SUM('食材明细'!L3704:L3709),1)</x:f>
        <x:v>42.3</x:v>
      </x:c>
      <x:c r="Q619" t="n">
        <x:f>ROUND(SUM('食材明细'!N3704:N3709),1)</x:f>
        <x:v>12</x:v>
      </x:c>
      <x:c r="R619" s="10" t="str">
        <x:v>调料尽量低盐，不加白砂糖；油重已计入热量。</x:v>
      </x:c>
    </x:row>
    <x:row r="620" ht="37" customHeight="1">
      <x:c r="A620" t="n">
        <x:v>619</x:v>
      </x:c>
      <x:c r="B620" t="n">
        <x:v>310</x:v>
      </x:c>
      <x:c r="C620" t="n">
        <x:v>45</x:v>
      </x:c>
      <x:c r="D620" t="str">
        <x:v>午餐</x:v>
      </x:c>
      <x:c r="E620" t="str">
        <x:v>海鲜</x:v>
      </x:c>
      <x:c r="F620" s="10" t="str">
        <x:v>番茄花蛤肉配口蘑｜杂粮饭</x:v>
      </x:c>
      <x:c r="G620" s="10" t="str">
        <x:v>花蛤肉190g、番茄190g、口蘑125g、杂粮饭135g、烹调油6g</x:v>
      </x:c>
      <x:c r="H620" t="str">
        <x:v>杂粮饭</x:v>
      </x:c>
      <x:c r="I620" s="10" t="str">
        <x:v>低主食需求可将主食减1/3，另加100g非淀粉蔬菜（营养值需重算）</x:v>
      </x:c>
      <x:c r="J620" s="10" t="str">
        <x:v>番茄丁、黑胡椒</x:v>
      </x:c>
      <x:c r="K620" t="str">
        <x:v>炖煮</x:v>
      </x:c>
      <x:c r="L620" s="10" t="str">
        <x:v>番茄出汁后加入主食材和少量水，轻炖至熟，再放配菜；杂粮饭另煮熟或蒸好后同餐食用。</x:v>
      </x:c>
      <x:c r="M620" t="n">
        <x:v>35</x:v>
      </x:c>
      <x:c r="N620" t="n">
        <x:f>ROUND(SUM('食材明细'!H3710:H3715),0)</x:f>
        <x:v>417</x:v>
      </x:c>
      <x:c r="O620" t="n">
        <x:f>ROUND(SUM('食材明细'!J3710:J3715),1)</x:f>
        <x:v>34.5</x:v>
      </x:c>
      <x:c r="P620" t="n">
        <x:f>ROUND(SUM('食材明细'!L3710:L3715),1)</x:f>
        <x:v>50.1</x:v>
      </x:c>
      <x:c r="Q620" t="n">
        <x:f>ROUND(SUM('食材明细'!N3710:N3715),1)</x:f>
        <x:v>10.1</x:v>
      </x:c>
      <x:c r="R620" s="10" t="str">
        <x:v>调料尽量低盐，不加白砂糖；油重已计入热量。</x:v>
      </x:c>
    </x:row>
    <x:row r="621" ht="37" customHeight="1">
      <x:c r="A621" t="n">
        <x:v>620</x:v>
      </x:c>
      <x:c r="B621" t="n">
        <x:v>310</x:v>
      </x:c>
      <x:c r="C621" t="n">
        <x:v>45</x:v>
      </x:c>
      <x:c r="D621" t="str">
        <x:v>晚餐</x:v>
      </x:c>
      <x:c r="E621" t="str">
        <x:v>禽肉</x:v>
      </x:c>
      <x:c r="F621" s="10" t="str">
        <x:v>孜然去皮鸭胸肉配芹菜芦笋｜糙米饭</x:v>
      </x:c>
      <x:c r="G621" s="10" t="str">
        <x:v>去皮鸭胸肉145g、芹菜190g、芦笋155g、糙米饭110g、烹调油5g</x:v>
      </x:c>
      <x:c r="H621" t="str">
        <x:v>糙米饭</x:v>
      </x:c>
      <x:c r="I621" s="10" t="str">
        <x:v>低主食需求可将主食减1/3，另加100g非淀粉蔬菜（营养值需重算）</x:v>
      </x:c>
      <x:c r="J621" s="10" t="str">
        <x:v>孜然、辣椒粉、蒜末</x:v>
      </x:c>
      <x:c r="K621" t="str">
        <x:v>少油焖</x:v>
      </x:c>
      <x:c r="L621" s="10" t="str">
        <x:v>主食材用少量油和水焖熟，下蔬菜翻拌，撒孜然；糙米饭另煮熟或蒸好后同餐食用。</x:v>
      </x:c>
      <x:c r="M621" t="n">
        <x:v>30</x:v>
      </x:c>
      <x:c r="N621" t="n">
        <x:f>ROUND(SUM('食材明细'!H3716:H3721),0)</x:f>
        <x:v>435</x:v>
      </x:c>
      <x:c r="O621" t="n">
        <x:f>ROUND(SUM('食材明细'!J3716:J3721),1)</x:f>
        <x:v>35.7</x:v>
      </x:c>
      <x:c r="P621" t="n">
        <x:f>ROUND(SUM('食材明细'!L3716:L3721),1)</x:f>
        <x:v>38.6</x:v>
      </x:c>
      <x:c r="Q621" t="n">
        <x:f>ROUND(SUM('食材明细'!N3716:N3721),1)</x:f>
        <x:v>16.5</x:v>
      </x:c>
      <x:c r="R621" s="10" t="str">
        <x:v>调料尽量低盐，不加白砂糖；油重已计入热量。</x:v>
      </x:c>
    </x:row>
    <x:row r="622" ht="37" customHeight="1">
      <x:c r="A622" t="n">
        <x:v>621</x:v>
      </x:c>
      <x:c r="B622" t="n">
        <x:v>311</x:v>
      </x:c>
      <x:c r="C622" t="n">
        <x:v>45</x:v>
      </x:c>
      <x:c r="D622" t="str">
        <x:v>午餐</x:v>
      </x:c>
      <x:c r="E622" t="str">
        <x:v>豆蛋</x:v>
      </x:c>
      <x:c r="F622" s="10" t="str">
        <x:v>清汤北豆腐配小白菜胡萝卜｜糙米饭</x:v>
      </x:c>
      <x:c r="G622" s="10" t="str">
        <x:v>北豆腐300g、小白菜140g、胡萝卜125g、糙米饭110g、烹调油6g</x:v>
      </x:c>
      <x:c r="H622" t="str">
        <x:v>糙米饭</x:v>
      </x:c>
      <x:c r="I622" s="10" t="str">
        <x:v>低主食需求可将主食减1/3，另加100g非淀粉蔬菜（营养值需重算）</x:v>
      </x:c>
      <x:c r="J622" s="10" t="str">
        <x:v>葱段、盐少量</x:v>
      </x:c>
      <x:c r="K622" t="str">
        <x:v>煮</x:v>
      </x:c>
      <x:c r="L622" s="10" t="str">
        <x:v>清水煮开，按熟化时间下食材，最后放叶菜，清淡调味；糙米饭另煮熟或蒸好后同餐食用。</x:v>
      </x:c>
      <x:c r="M622" t="n">
        <x:v>30</x:v>
      </x:c>
      <x:c r="N622" t="n">
        <x:f>ROUND(SUM('食材明细'!H3722:H3727),0)</x:f>
        <x:v>522</x:v>
      </x:c>
      <x:c r="O622" t="n">
        <x:f>ROUND(SUM('食材明细'!J3722:J3727),1)</x:f>
        <x:v>36.2</x:v>
      </x:c>
      <x:c r="P622" t="n">
        <x:f>ROUND(SUM('食材明细'!L3722:L3727),1)</x:f>
        <x:v>48.3</x:v>
      </x:c>
      <x:c r="Q622" t="n">
        <x:f>ROUND(SUM('食材明细'!N3722:N3727),1)</x:f>
        <x:v>22.5</x:v>
      </x:c>
      <x:c r="R622" s="10" t="str">
        <x:v>调料尽量低盐，不加白砂糖；油重已计入热量。</x:v>
      </x:c>
    </x:row>
    <x:row r="623" ht="37" customHeight="1">
      <x:c r="A623" t="n">
        <x:v>622</x:v>
      </x:c>
      <x:c r="B623" t="n">
        <x:v>311</x:v>
      </x:c>
      <x:c r="C623" t="n">
        <x:v>45</x:v>
      </x:c>
      <x:c r="D623" t="str">
        <x:v>晚餐</x:v>
      </x:c>
      <x:c r="E623" t="str">
        <x:v>豆蛋</x:v>
      </x:c>
      <x:c r="F623" s="10" t="str">
        <x:v>椒麻鸡蛋北豆腐烩菠菜香菇｜燕麦饭</x:v>
      </x:c>
      <x:c r="G623" s="10" t="str">
        <x:v>鸡蛋100g、北豆腐130g、菠菜190g、香菇155g、燕麦饭125g、烹调油5g</x:v>
      </x:c>
      <x:c r="H623" t="str">
        <x:v>燕麦饭</x:v>
      </x:c>
      <x:c r="I623" s="10" t="str">
        <x:v>低主食需求可将主食减1/3，另加100g非淀粉蔬菜（营养值需重算）</x:v>
      </x:c>
      <x:c r="J623" s="10" t="str">
        <x:v>花椒、蒜、少量醋</x:v>
      </x:c>
      <x:c r="K623" t="str">
        <x:v>水煮</x:v>
      </x:c>
      <x:c r="L623" s="10" t="str">
        <x:v>鸡蛋先打散成蛋液；花椒温水浸出味道，煮熟主食材和配菜，少油拌汁；燕麦饭另煮熟或蒸好后同餐食用。</x:v>
      </x:c>
      <x:c r="M623" t="n">
        <x:v>20</x:v>
      </x:c>
      <x:c r="N623" t="n">
        <x:f>ROUND(SUM('食材明细'!H3728:H3733),0)</x:f>
        <x:v>540</x:v>
      </x:c>
      <x:c r="O623" t="n">
        <x:f>ROUND(SUM('食材明细'!J3728:J3733),1)</x:f>
        <x:v>38.9</x:v>
      </x:c>
      <x:c r="P623" t="n">
        <x:f>ROUND(SUM('食材明细'!L3728:L3733),1)</x:f>
        <x:v>47.3</x:v>
      </x:c>
      <x:c r="Q623" t="n">
        <x:f>ROUND(SUM('食材明细'!N3728:N3733),1)</x:f>
        <x:v>25.3</x:v>
      </x:c>
      <x:c r="R623" s="10" t="str">
        <x:v>调料尽量低盐，不加白砂糖；油重已计入热量。</x:v>
      </x:c>
    </x:row>
    <x:row r="624" ht="37" customHeight="1">
      <x:c r="A624" t="n">
        <x:v>623</x:v>
      </x:c>
      <x:c r="B624" t="n">
        <x:v>312</x:v>
      </x:c>
      <x:c r="C624" t="n">
        <x:v>45</x:v>
      </x:c>
      <x:c r="D624" t="str">
        <x:v>午餐</x:v>
      </x:c>
      <x:c r="E624" t="str">
        <x:v>鱼类</x:v>
      </x:c>
      <x:c r="F624" s="10" t="str">
        <x:v>菌菇鳕鱼配茼蒿金针菇｜糙米饭</x:v>
      </x:c>
      <x:c r="G624" s="10" t="str">
        <x:v>鳕鱼185g、茼蒿190g、金针菇125g、糙米饭110g、烹调油5g</x:v>
      </x:c>
      <x:c r="H624" t="str">
        <x:v>糙米饭</x:v>
      </x:c>
      <x:c r="I624" s="10" t="str">
        <x:v>低主食需求可将主食减1/3，另加100g非淀粉蔬菜（营养值需重算）</x:v>
      </x:c>
      <x:c r="J624" s="10" t="str">
        <x:v>姜片、香菇汁</x:v>
      </x:c>
      <x:c r="K624" t="str">
        <x:v>焖煮</x:v>
      </x:c>
      <x:c r="L624" s="10" t="str">
        <x:v>鱼肉去刺，彻底做熟；食材与菌菇加少量水焖熟，出锅前加少量低盐生抽；糙米饭另煮熟或蒸好后同餐食用。</x:v>
      </x:c>
      <x:c r="M624" t="n">
        <x:v>30</x:v>
      </x:c>
      <x:c r="N624" t="n">
        <x:f>ROUND(SUM('食材明细'!H3734:H3739),0)</x:f>
        <x:v>411</x:v>
      </x:c>
      <x:c r="O624" t="n">
        <x:f>ROUND(SUM('食材明细'!J3734:J3739),1)</x:f>
        <x:v>42.8</x:v>
      </x:c>
      <x:c r="P624" t="n">
        <x:f>ROUND(SUM('食材明细'!L3734:L3739),1)</x:f>
        <x:v>42</x:v>
      </x:c>
      <x:c r="Q624" t="n">
        <x:f>ROUND(SUM('食材明细'!N3734:N3739),1)</x:f>
        <x:v>8.3</x:v>
      </x:c>
      <x:c r="R624" s="10" t="str">
        <x:v>调料尽量低盐，不加白砂糖；油重已计入热量。</x:v>
      </x:c>
    </x:row>
    <x:row r="625" ht="37" customHeight="1">
      <x:c r="A625" t="n">
        <x:v>624</x:v>
      </x:c>
      <x:c r="B625" t="n">
        <x:v>312</x:v>
      </x:c>
      <x:c r="C625" t="n">
        <x:v>45</x:v>
      </x:c>
      <x:c r="D625" t="str">
        <x:v>晚餐</x:v>
      </x:c>
      <x:c r="E625" t="str">
        <x:v>豆蛋</x:v>
      </x:c>
      <x:c r="F625" s="10" t="str">
        <x:v>清汤鸡蛋虾仁烩西葫芦口蘑｜藜麦饭</x:v>
      </x:c>
      <x:c r="G625" s="10" t="str">
        <x:v>鸡蛋120g、虾仁65g、西葫芦160g、口蘑155g、藜麦饭80g、烹调油5g</x:v>
      </x:c>
      <x:c r="H625" t="str">
        <x:v>藜麦饭</x:v>
      </x:c>
      <x:c r="I625" s="10" t="str">
        <x:v>低主食需求可将主食减1/3，另加100g非淀粉蔬菜（营养值需重算）</x:v>
      </x:c>
      <x:c r="J625" s="10" t="str">
        <x:v>葱段、盐少量</x:v>
      </x:c>
      <x:c r="K625" t="str">
        <x:v>煮</x:v>
      </x:c>
      <x:c r="L625" s="10" t="str">
        <x:v>鸡蛋先打散成蛋液；清水煮开，按熟化时间下食材，最后放叶菜，清淡调味；藜麦饭另煮熟或蒸好后同餐食用。</x:v>
      </x:c>
      <x:c r="M625" t="n">
        <x:v>25</x:v>
      </x:c>
      <x:c r="N625" t="n">
        <x:f>ROUND(SUM('食材明细'!H3740:H3745),0)</x:f>
        <x:v>434</x:v>
      </x:c>
      <x:c r="O625" t="n">
        <x:f>ROUND(SUM('食材明细'!J3740:J3745),1)</x:f>
        <x:v>38.2</x:v>
      </x:c>
      <x:c r="P625" t="n">
        <x:f>ROUND(SUM('食材明细'!L3740:L3745),1)</x:f>
        <x:v>28.7</x:v>
      </x:c>
      <x:c r="Q625" t="n">
        <x:f>ROUND(SUM('食材明细'!N3740:N3745),1)</x:f>
        <x:v>20.2</x:v>
      </x:c>
      <x:c r="R625" s="10" t="str">
        <x:v>调料尽量低盐，不加白砂糖；油重已计入热量。</x:v>
      </x:c>
    </x:row>
    <x:row r="626" ht="37" customHeight="1">
      <x:c r="A626" t="n">
        <x:v>625</x:v>
      </x:c>
      <x:c r="B626" t="n">
        <x:v>313</x:v>
      </x:c>
      <x:c r="C626" t="n">
        <x:v>45</x:v>
      </x:c>
      <x:c r="D626" t="str">
        <x:v>午餐</x:v>
      </x:c>
      <x:c r="E626" t="str">
        <x:v>禽肉</x:v>
      </x:c>
      <x:c r="F626" s="10" t="str">
        <x:v>孜然鸡里脊肉配黄瓜小白菜｜藜麦饭</x:v>
      </x:c>
      <x:c r="G626" s="10" t="str">
        <x:v>鸡里脊肉165g、黄瓜175g、小白菜140g、藜麦饭110g、烹调油4g</x:v>
      </x:c>
      <x:c r="H626" t="str">
        <x:v>藜麦饭</x:v>
      </x:c>
      <x:c r="I626" s="10" t="str">
        <x:v>低主食需求可将主食减1/3，另加100g非淀粉蔬菜（营养值需重算）</x:v>
      </x:c>
      <x:c r="J626" s="10" t="str">
        <x:v>孜然、辣椒粉、蒜末</x:v>
      </x:c>
      <x:c r="K626" t="str">
        <x:v>少油焖</x:v>
      </x:c>
      <x:c r="L626" s="10" t="str">
        <x:v>主食材用少量油和水焖熟，下蔬菜翻拌，撒孜然；藜麦饭另煮熟或蒸好后同餐食用。</x:v>
      </x:c>
      <x:c r="M626" t="n">
        <x:v>30</x:v>
      </x:c>
      <x:c r="N626" t="n">
        <x:f>ROUND(SUM('食材明细'!H3746:H3751),0)</x:f>
        <x:v>401</x:v>
      </x:c>
      <x:c r="O626" t="n">
        <x:f>ROUND(SUM('食材明细'!J3746:J3751),1)</x:f>
        <x:v>46.3</x:v>
      </x:c>
      <x:c r="P626" t="n">
        <x:f>ROUND(SUM('食材明细'!L3746:L3751),1)</x:f>
        <x:v>33.7</x:v>
      </x:c>
      <x:c r="Q626" t="n">
        <x:f>ROUND(SUM('食材明细'!N3746:N3751),1)</x:f>
        <x:v>9.5</x:v>
      </x:c>
      <x:c r="R626" s="10" t="str">
        <x:v>调料尽量低盐，不加白砂糖；油重已计入热量。</x:v>
      </x:c>
    </x:row>
    <x:row r="627" ht="37" customHeight="1">
      <x:c r="A627" t="n">
        <x:v>626</x:v>
      </x:c>
      <x:c r="B627" t="n">
        <x:v>313</x:v>
      </x:c>
      <x:c r="C627" t="n">
        <x:v>45</x:v>
      </x:c>
      <x:c r="D627" t="str">
        <x:v>晚餐</x:v>
      </x:c>
      <x:c r="E627" t="str">
        <x:v>鱼类</x:v>
      </x:c>
      <x:c r="F627" s="10" t="str">
        <x:v>菌菇鳕鱼配冬瓜杏鲍菇｜米粉</x:v>
      </x:c>
      <x:c r="G627" s="10" t="str">
        <x:v>鳕鱼200g、冬瓜175g、杏鲍菇110g、米粉125g、烹调油5g</x:v>
      </x:c>
      <x:c r="H627" t="str">
        <x:v>米粉</x:v>
      </x:c>
      <x:c r="I627" s="10" t="str">
        <x:v>低主食需求可将主食减1/3，另加100g非淀粉蔬菜（营养值需重算）</x:v>
      </x:c>
      <x:c r="J627" s="10" t="str">
        <x:v>姜片、香菇汁</x:v>
      </x:c>
      <x:c r="K627" t="str">
        <x:v>焖煮</x:v>
      </x:c>
      <x:c r="L627" s="10" t="str">
        <x:v>鱼肉去刺，彻底做熟；食材与菌菇加少量水焖熟，出锅前加少量低盐生抽；面/魔芋丝煮熟后与菜合碗。</x:v>
      </x:c>
      <x:c r="M627" t="n">
        <x:v>20</x:v>
      </x:c>
      <x:c r="N627" t="n">
        <x:f>ROUND(SUM('食材明细'!H3752:H3757),0)</x:f>
        <x:v>414</x:v>
      </x:c>
      <x:c r="O627" t="n">
        <x:f>ROUND(SUM('食材明细'!J3752:J3757),1)</x:f>
        <x:v>41.4</x:v>
      </x:c>
      <x:c r="P627" t="n">
        <x:f>ROUND(SUM('食材明细'!L3752:L3757),1)</x:f>
        <x:v>43.4</x:v>
      </x:c>
      <x:c r="Q627" t="n">
        <x:f>ROUND(SUM('食材明细'!N3752:N3757),1)</x:f>
        <x:v>7.8</x:v>
      </x:c>
      <x:c r="R627" s="10" t="str">
        <x:v>调料尽量低盐，不加白砂糖；油重已计入热量。</x:v>
      </x:c>
    </x:row>
    <x:row r="628" ht="37" customHeight="1">
      <x:c r="A628" t="n">
        <x:v>627</x:v>
      </x:c>
      <x:c r="B628" t="n">
        <x:v>314</x:v>
      </x:c>
      <x:c r="C628" t="n">
        <x:v>45</x:v>
      </x:c>
      <x:c r="D628" t="str">
        <x:v>午餐</x:v>
      </x:c>
      <x:c r="E628" t="str">
        <x:v>牛肉</x:v>
      </x:c>
      <x:c r="F628" s="10" t="str">
        <x:v>花椒牛里脊配小白菜菜心｜燕麦饭</x:v>
      </x:c>
      <x:c r="G628" s="10" t="str">
        <x:v>牛里脊175g、小白菜190g、菜心125g、燕麦饭135g、烹调油5g</x:v>
      </x:c>
      <x:c r="H628" t="str">
        <x:v>燕麦饭</x:v>
      </x:c>
      <x:c r="I628" s="10" t="str">
        <x:v>低主食需求可将主食减1/3，另加100g非淀粉蔬菜（营养值需重算）</x:v>
      </x:c>
      <x:c r="J628" s="10" t="str">
        <x:v>花椒粉、姜丝</x:v>
      </x:c>
      <x:c r="K628" t="str">
        <x:v>蒸</x:v>
      </x:c>
      <x:c r="L628" s="10" t="str">
        <x:v>薄薄撒花椒和姜丝，蒸至熟透，搭配焯青菜；燕麦饭另煮熟或蒸好后同餐食用。</x:v>
      </x:c>
      <x:c r="M628" t="n">
        <x:v>30</x:v>
      </x:c>
      <x:c r="N628" t="n">
        <x:f>ROUND(SUM('食材明细'!H3758:H3763),0)</x:f>
        <x:v>478</x:v>
      </x:c>
      <x:c r="O628" t="n">
        <x:f>ROUND(SUM('食材明细'!J3758:J3763),1)</x:f>
        <x:v>46.6</x:v>
      </x:c>
      <x:c r="P628" t="n">
        <x:f>ROUND(SUM('食材明细'!L3758:L3763),1)</x:f>
        <x:v>38.1</x:v>
      </x:c>
      <x:c r="Q628" t="n">
        <x:f>ROUND(SUM('食材明细'!N3758:N3763),1)</x:f>
        <x:v>16.6</x:v>
      </x:c>
      <x:c r="R628" s="10" t="str">
        <x:v>调料尽量低盐，不加白砂糖；油重已计入热量。</x:v>
      </x:c>
    </x:row>
    <x:row r="629" ht="37" customHeight="1">
      <x:c r="A629" t="n">
        <x:v>628</x:v>
      </x:c>
      <x:c r="B629" t="n">
        <x:v>314</x:v>
      </x:c>
      <x:c r="C629" t="n">
        <x:v>45</x:v>
      </x:c>
      <x:c r="D629" t="str">
        <x:v>晚餐</x:v>
      </x:c>
      <x:c r="E629" t="str">
        <x:v>海鲜</x:v>
      </x:c>
      <x:c r="F629" s="10" t="str">
        <x:v>黑椒扇贝肉配番茄金针菇｜藜麦饭</x:v>
      </x:c>
      <x:c r="G629" s="10" t="str">
        <x:v>扇贝肉210g、番茄160g、金针菇110g、藜麦饭80g、烹调油5g</x:v>
      </x:c>
      <x:c r="H629" t="str">
        <x:v>藜麦饭</x:v>
      </x:c>
      <x:c r="I629" s="10" t="str">
        <x:v>低主食需求可将主食减1/3，另加100g非淀粉蔬菜（营养值需重算）</x:v>
      </x:c>
      <x:c r="J629" s="10" t="str">
        <x:v>黑胡椒、蒜末</x:v>
      </x:c>
      <x:c r="K629" t="str">
        <x:v>少油烩</x:v>
      </x:c>
      <x:c r="L629" s="10" t="str">
        <x:v>锅加少量水和油，先把主食材煮熟，再烩两种蔬菜，收汁撒黑椒；藜麦饭另煮熟或蒸好后同餐食用。</x:v>
      </x:c>
      <x:c r="M629" t="n">
        <x:v>15</x:v>
      </x:c>
      <x:c r="N629" t="n">
        <x:f>ROUND(SUM('食材明细'!H3764:H3769),0)</x:f>
        <x:v>397</x:v>
      </x:c>
      <x:c r="O629" t="n">
        <x:f>ROUND(SUM('食材明细'!J3764:J3769),1)</x:f>
        <x:v>43.3</x:v>
      </x:c>
      <x:c r="P629" t="n">
        <x:f>ROUND(SUM('食材明细'!L3764:L3769),1)</x:f>
        <x:v>36.8</x:v>
      </x:c>
      <x:c r="Q629" t="n">
        <x:f>ROUND(SUM('食材明细'!N3764:N3769),1)</x:f>
        <x:v>8.7</x:v>
      </x:c>
      <x:c r="R629" s="10" t="str">
        <x:v>调料尽量低盐，不加白砂糖；油重已计入热量。</x:v>
      </x:c>
    </x:row>
    <x:row r="630" ht="37" customHeight="1">
      <x:c r="A630" t="n">
        <x:v>629</x:v>
      </x:c>
      <x:c r="B630" t="n">
        <x:v>315</x:v>
      </x:c>
      <x:c r="C630" t="n">
        <x:v>45</x:v>
      </x:c>
      <x:c r="D630" t="str">
        <x:v>午餐</x:v>
      </x:c>
      <x:c r="E630" t="str">
        <x:v>海鲜</x:v>
      </x:c>
      <x:c r="F630" s="10" t="str">
        <x:v>香醋虾仁配黄瓜白萝卜｜荞麦饭</x:v>
      </x:c>
      <x:c r="G630" s="10" t="str">
        <x:v>虾仁160g、黄瓜160g、白萝卜110g、荞麦饭125g、烹调油5g</x:v>
      </x:c>
      <x:c r="H630" t="str">
        <x:v>荞麦饭</x:v>
      </x:c>
      <x:c r="I630" s="10" t="str">
        <x:v>低主食需求可将主食减1/3，另加100g非淀粉蔬菜（营养值需重算）</x:v>
      </x:c>
      <x:c r="J630" s="10" t="str">
        <x:v>香醋、蒜末、少量生抽</x:v>
      </x:c>
      <x:c r="K630" t="str">
        <x:v>水煮</x:v>
      </x:c>
      <x:c r="L630" s="10" t="str">
        <x:v>食材分别煮至熟，淋香醋蒜汁，拌匀即食；荞麦饭另煮熟或蒸好后同餐食用。</x:v>
      </x:c>
      <x:c r="M630" t="n">
        <x:v>20</x:v>
      </x:c>
      <x:c r="N630" t="n">
        <x:f>ROUND(SUM('食材明细'!H3770:H3775),0)</x:f>
        <x:v>372</x:v>
      </x:c>
      <x:c r="O630" t="n">
        <x:f>ROUND(SUM('食材明细'!J3770:J3775),1)</x:f>
        <x:v>36.4</x:v>
      </x:c>
      <x:c r="P630" t="n">
        <x:f>ROUND(SUM('食材明细'!L3770:L3775),1)</x:f>
        <x:v>38.3</x:v>
      </x:c>
      <x:c r="Q630" t="n">
        <x:f>ROUND(SUM('食材明细'!N3770:N3775),1)</x:f>
        <x:v>8.4</x:v>
      </x:c>
      <x:c r="R630" s="10" t="str">
        <x:v>调料尽量低盐，不加白砂糖；油重已计入热量。</x:v>
      </x:c>
    </x:row>
    <x:row r="631" ht="37" customHeight="1">
      <x:c r="A631" t="n">
        <x:v>630</x:v>
      </x:c>
      <x:c r="B631" t="n">
        <x:v>315</x:v>
      </x:c>
      <x:c r="C631" t="n">
        <x:v>45</x:v>
      </x:c>
      <x:c r="D631" t="str">
        <x:v>晚餐</x:v>
      </x:c>
      <x:c r="E631" t="str">
        <x:v>豆蛋</x:v>
      </x:c>
      <x:c r="F631" s="10" t="str">
        <x:v>番茄嫩豆腐鸡蛋烩番茄绿豆芽｜糙米饭</x:v>
      </x:c>
      <x:c r="G631" s="10" t="str">
        <x:v>嫩豆腐260g、鸡蛋60g、番茄140g、绿豆芽140g、糙米饭125g、烹调油5g</x:v>
      </x:c>
      <x:c r="H631" t="str">
        <x:v>糙米饭</x:v>
      </x:c>
      <x:c r="I631" s="10" t="str">
        <x:v>低主食需求可将主食减1/3，另加100g非淀粉蔬菜（营养值需重算）</x:v>
      </x:c>
      <x:c r="J631" s="10" t="str">
        <x:v>番茄丁、黑胡椒</x:v>
      </x:c>
      <x:c r="K631" t="str">
        <x:v>炖煮</x:v>
      </x:c>
      <x:c r="L631" s="10" t="str">
        <x:v>番茄出汁后加入主食材和少量水，轻炖至熟，再放配菜；糙米饭另煮熟或蒸好后同餐食用。</x:v>
      </x:c>
      <x:c r="M631" t="n">
        <x:v>35</x:v>
      </x:c>
      <x:c r="N631" t="n">
        <x:f>ROUND(SUM('食材明细'!H3776:H3781),0)</x:f>
        <x:v>486</x:v>
      </x:c>
      <x:c r="O631" t="n">
        <x:f>ROUND(SUM('食材明细'!J3776:J3781),1)</x:f>
        <x:v>29.5</x:v>
      </x:c>
      <x:c r="P631" t="n">
        <x:f>ROUND(SUM('食材明细'!L3776:L3781),1)</x:f>
        <x:v>49.2</x:v>
      </x:c>
      <x:c r="Q631" t="n">
        <x:f>ROUND(SUM('食材明细'!N3776:N3781),1)</x:f>
        <x:v>20</x:v>
      </x:c>
      <x:c r="R631" s="10" t="str">
        <x:v>调料尽量低盐，不加白砂糖；油重已计入热量。</x:v>
      </x:c>
    </x:row>
    <x:row r="632" ht="37" customHeight="1">
      <x:c r="A632" t="n">
        <x:v>631</x:v>
      </x:c>
      <x:c r="B632" t="n">
        <x:v>316</x:v>
      </x:c>
      <x:c r="C632" t="n">
        <x:v>46</x:v>
      </x:c>
      <x:c r="D632" t="str">
        <x:v>午餐</x:v>
      </x:c>
      <x:c r="E632" t="str">
        <x:v>鱼类</x:v>
      </x:c>
      <x:c r="F632" s="10" t="str">
        <x:v>葱姜清蒸鳕鱼配大白菜白萝卜｜糙米饭</x:v>
      </x:c>
      <x:c r="G632" s="10" t="str">
        <x:v>鳕鱼200g、大白菜160g、白萝卜125g、糙米饭125g、烹调油5g</x:v>
      </x:c>
      <x:c r="H632" t="str">
        <x:v>糙米饭</x:v>
      </x:c>
      <x:c r="I632" s="10" t="str">
        <x:v>低主食需求可将主食减1/3，另加100g非淀粉蔬菜（营养值需重算）</x:v>
      </x:c>
      <x:c r="J632" s="10" t="str">
        <x:v>葱姜、少量低盐生抽</x:v>
      </x:c>
      <x:c r="K632" t="str">
        <x:v>蒸</x:v>
      </x:c>
      <x:c r="L632" s="10" t="str">
        <x:v>鱼肉去刺，彻底做熟；切片腌5分钟；肉和配菜入盘，蒸至熟透；淋葱姜汁；糙米饭另煮熟或蒸好后同餐食用。</x:v>
      </x:c>
      <x:c r="M632" t="n">
        <x:v>30</x:v>
      </x:c>
      <x:c r="N632" t="n">
        <x:f>ROUND(SUM('食材明细'!H3782:H3787),0)</x:f>
        <x:v>405</x:v>
      </x:c>
      <x:c r="O632" t="n">
        <x:f>ROUND(SUM('食材明细'!J3782:J3787),1)</x:f>
        <x:v>42.4</x:v>
      </x:c>
      <x:c r="P632" t="n">
        <x:f>ROUND(SUM('食材明细'!L3782:L3787),1)</x:f>
        <x:v>39.5</x:v>
      </x:c>
      <x:c r="Q632" t="n">
        <x:f>ROUND(SUM('食材明细'!N3782:N3787),1)</x:f>
        <x:v>8</x:v>
      </x:c>
      <x:c r="R632" s="10" t="str">
        <x:v>调料尽量低盐，不加白砂糖；油重已计入热量。</x:v>
      </x:c>
    </x:row>
    <x:row r="633" ht="37" customHeight="1">
      <x:c r="A633" t="n">
        <x:v>632</x:v>
      </x:c>
      <x:c r="B633" t="n">
        <x:v>316</x:v>
      </x:c>
      <x:c r="C633" t="n">
        <x:v>46</x:v>
      </x:c>
      <x:c r="D633" t="str">
        <x:v>晚餐</x:v>
      </x:c>
      <x:c r="E633" t="str">
        <x:v>海鲜</x:v>
      </x:c>
      <x:c r="F633" s="10" t="str">
        <x:v>酸汤虾仁配生菜杏鲍菇｜藜麦饭</x:v>
      </x:c>
      <x:c r="G633" s="10" t="str">
        <x:v>虾仁190g、生菜190g、杏鲍菇110g、藜麦饭135g、烹调油5g</x:v>
      </x:c>
      <x:c r="H633" t="str">
        <x:v>藜麦饭</x:v>
      </x:c>
      <x:c r="I633" s="10" t="str">
        <x:v>低主食需求可将主食减1/3，另加100g非淀粉蔬菜（营养值需重算）</x:v>
      </x:c>
      <x:c r="J633" s="10" t="str">
        <x:v>米醋、番茄、少许辣椒</x:v>
      </x:c>
      <x:c r="K633" t="str">
        <x:v>水煮</x:v>
      </x:c>
      <x:c r="L633" s="10" t="str">
        <x:v>番茄煮成酸汤，主食材汆熟，加入蔬菜再煮2～5分钟；藜麦饭另煮熟或蒸好后同餐食用。</x:v>
      </x:c>
      <x:c r="M633" t="n">
        <x:v>30</x:v>
      </x:c>
      <x:c r="N633" t="n">
        <x:f>ROUND(SUM('食材明细'!H3788:H3793),0)</x:f>
        <x:v>447</x:v>
      </x:c>
      <x:c r="O633" t="n">
        <x:f>ROUND(SUM('食材明细'!J3788:J3793),1)</x:f>
        <x:v>46.9</x:v>
      </x:c>
      <x:c r="P633" t="n">
        <x:f>ROUND(SUM('食材明细'!L3788:L3793),1)</x:f>
        <x:v>43.2</x:v>
      </x:c>
      <x:c r="Q633" t="n">
        <x:f>ROUND(SUM('食材明细'!N3788:N3793),1)</x:f>
        <x:v>10.2</x:v>
      </x:c>
      <x:c r="R633" s="10" t="str">
        <x:v>调料尽量低盐，不加白砂糖；油重已计入热量。</x:v>
      </x:c>
    </x:row>
    <x:row r="634" ht="37" customHeight="1">
      <x:c r="A634" t="n">
        <x:v>633</x:v>
      </x:c>
      <x:c r="B634" t="n">
        <x:v>317</x:v>
      </x:c>
      <x:c r="C634" t="n">
        <x:v>46</x:v>
      </x:c>
      <x:c r="D634" t="str">
        <x:v>午餐</x:v>
      </x:c>
      <x:c r="E634" t="str">
        <x:v>海鲜</x:v>
      </x:c>
      <x:c r="F634" s="10" t="str">
        <x:v>番茄花蛤肉配菜心｜白米饭</x:v>
      </x:c>
      <x:c r="G634" s="10" t="str">
        <x:v>花蛤肉210g、番茄175g、菜心125g、白米饭165g、烹调油3g</x:v>
      </x:c>
      <x:c r="H634" t="str">
        <x:v>白米饭</x:v>
      </x:c>
      <x:c r="I634" s="10" t="str">
        <x:v>低主食需求可将主食减1/3，另加100g非淀粉蔬菜（营养值需重算）</x:v>
      </x:c>
      <x:c r="J634" s="10" t="str">
        <x:v>番茄丁、黑胡椒</x:v>
      </x:c>
      <x:c r="K634" t="str">
        <x:v>炖煮</x:v>
      </x:c>
      <x:c r="L634" s="10" t="str">
        <x:v>番茄出汁后加入主食材和少量水，轻炖至熟，再放配菜；白米饭另煮熟或蒸好后同餐食用。</x:v>
      </x:c>
      <x:c r="M634" t="n">
        <x:v>25</x:v>
      </x:c>
      <x:c r="N634" t="n">
        <x:f>ROUND(SUM('食材明细'!H3794:H3799),0)</x:f>
        <x:v>436</x:v>
      </x:c>
      <x:c r="O634" t="n">
        <x:f>ROUND(SUM('食材明细'!J3794:J3799),1)</x:f>
        <x:v>35.7</x:v>
      </x:c>
      <x:c r="P634" t="n">
        <x:f>ROUND(SUM('食材明细'!L3794:L3799),1)</x:f>
        <x:v>61</x:v>
      </x:c>
      <x:c r="Q634" t="n">
        <x:f>ROUND(SUM('食材明细'!N3794:N3799),1)</x:f>
        <x:v>6.3</x:v>
      </x:c>
      <x:c r="R634" s="10" t="str">
        <x:v>调料尽量低盐，不加白砂糖；油重已计入热量。</x:v>
      </x:c>
    </x:row>
    <x:row r="635" ht="37" customHeight="1">
      <x:c r="A635" t="n">
        <x:v>634</x:v>
      </x:c>
      <x:c r="B635" t="n">
        <x:v>317</x:v>
      </x:c>
      <x:c r="C635" t="n">
        <x:v>46</x:v>
      </x:c>
      <x:c r="D635" t="str">
        <x:v>晚餐</x:v>
      </x:c>
      <x:c r="E635" t="str">
        <x:v>鱼类</x:v>
      </x:c>
      <x:c r="F635" s="10" t="str">
        <x:v>酸汤巴沙鱼配丝瓜菜心｜红薯</x:v>
      </x:c>
      <x:c r="G635" s="10" t="str">
        <x:v>巴沙鱼215g、丝瓜190g、菜心155g、红薯135g、烹调油6g</x:v>
      </x:c>
      <x:c r="H635" t="str">
        <x:v>红薯</x:v>
      </x:c>
      <x:c r="I635" s="10" t="str">
        <x:v>想减主食可减到原量2/3，另加100g绿叶菜</x:v>
      </x:c>
      <x:c r="J635" s="10" t="str">
        <x:v>米醋、番茄、少许辣椒</x:v>
      </x:c>
      <x:c r="K635" t="str">
        <x:v>水煮</x:v>
      </x:c>
      <x:c r="L635" s="10" t="str">
        <x:v>鱼肉去刺，彻底做熟；番茄煮成酸汤，主食材汆熟，加入蔬菜再煮2～5分钟；红薯另煮熟或蒸好后同餐食用。</x:v>
      </x:c>
      <x:c r="M635" t="n">
        <x:v>20</x:v>
      </x:c>
      <x:c r="N635" t="n">
        <x:f>ROUND(SUM('食材明细'!H3800:H3805),0)</x:f>
        <x:v>435</x:v>
      </x:c>
      <x:c r="O635" t="n">
        <x:f>ROUND(SUM('食材明细'!J3800:J3805),1)</x:f>
        <x:v>43.7</x:v>
      </x:c>
      <x:c r="P635" t="n">
        <x:f>ROUND(SUM('食材明细'!L3800:L3805),1)</x:f>
        <x:v>40.7</x:v>
      </x:c>
      <x:c r="Q635" t="n">
        <x:f>ROUND(SUM('食材明细'!N3800:N3805),1)</x:f>
        <x:v>11.9</x:v>
      </x:c>
      <x:c r="R635" s="10" t="str">
        <x:v>调料尽量低盐，不加白砂糖；油重已计入热量。</x:v>
      </x:c>
    </x:row>
    <x:row r="636" ht="37" customHeight="1">
      <x:c r="A636" t="n">
        <x:v>635</x:v>
      </x:c>
      <x:c r="B636" t="n">
        <x:v>318</x:v>
      </x:c>
      <x:c r="C636" t="n">
        <x:v>46</x:v>
      </x:c>
      <x:c r="D636" t="str">
        <x:v>午餐</x:v>
      </x:c>
      <x:c r="E636" t="str">
        <x:v>禽肉</x:v>
      </x:c>
      <x:c r="F636" s="10" t="str">
        <x:v>奥尔良风味鸡胸肉配彩椒口蘑｜杂粮饭</x:v>
      </x:c>
      <x:c r="G636" s="10" t="str">
        <x:v>鸡胸肉185g、彩椒160g、口蘑155g、杂粮饭135g、烹调油4g</x:v>
      </x:c>
      <x:c r="H636" t="str">
        <x:v>杂粮饭</x:v>
      </x:c>
      <x:c r="I636" s="10" t="str">
        <x:v>低主食需求可将主食减1/3，另加100g非淀粉蔬菜（营养值需重算）</x:v>
      </x:c>
      <x:c r="J636" s="10" t="str">
        <x:v>无糖辣椒粉、蒜粉、洋葱粉</x:v>
      </x:c>
      <x:c r="K636" t="str">
        <x:v>蒸/焖</x:v>
      </x:c>
      <x:c r="L636" s="10" t="str">
        <x:v>鸡胸肉拍薄成鸡排；用无糖香辛料腌肉15分钟，蒸或少油焖熟，配菜煮熟；杂粮饭另煮熟或蒸好后同餐食用。</x:v>
      </x:c>
      <x:c r="M636" t="n">
        <x:v>30</x:v>
      </x:c>
      <x:c r="N636" t="n">
        <x:f>ROUND(SUM('食材明细'!H3806:H3811),0)</x:f>
        <x:v>472</x:v>
      </x:c>
      <x:c r="O636" t="n">
        <x:f>ROUND(SUM('食材明细'!J3806:J3811),1)</x:f>
        <x:v>53.1</x:v>
      </x:c>
      <x:c r="P636" t="n">
        <x:f>ROUND(SUM('食材明细'!L3806:L3811),1)</x:f>
        <x:v>46.6</x:v>
      </x:c>
      <x:c r="Q636" t="n">
        <x:f>ROUND(SUM('食材明细'!N3806:N3811),1)</x:f>
        <x:v>10</x:v>
      </x:c>
      <x:c r="R636" s="10" t="str">
        <x:v>调料尽量低盐，不加白砂糖；油重已计入热量。</x:v>
      </x:c>
    </x:row>
    <x:row r="637" ht="37" customHeight="1">
      <x:c r="A637" t="n">
        <x:v>636</x:v>
      </x:c>
      <x:c r="B637" t="n">
        <x:v>318</x:v>
      </x:c>
      <x:c r="C637" t="n">
        <x:v>46</x:v>
      </x:c>
      <x:c r="D637" t="str">
        <x:v>晚餐</x:v>
      </x:c>
      <x:c r="E637" t="str">
        <x:v>豆蛋</x:v>
      </x:c>
      <x:c r="F637" s="10" t="str">
        <x:v>菌菇北豆腐虾仁烩彩椒金针菇｜乌冬面</x:v>
      </x:c>
      <x:c r="G637" s="10" t="str">
        <x:v>北豆腐300g、虾仁85g、彩椒190g、金针菇125g、乌冬面95g、烹调油6g</x:v>
      </x:c>
      <x:c r="H637" t="str">
        <x:v>乌冬面</x:v>
      </x:c>
      <x:c r="I637" s="10" t="str">
        <x:v>低主食需求可将主食减1/3，另加100g非淀粉蔬菜（营养值需重算）</x:v>
      </x:c>
      <x:c r="J637" s="10" t="str">
        <x:v>姜片、香菇汁</x:v>
      </x:c>
      <x:c r="K637" t="str">
        <x:v>焖煮</x:v>
      </x:c>
      <x:c r="L637" s="10" t="str">
        <x:v>食材与菌菇加少量水焖熟，出锅前加少量低盐生抽；面/魔芋丝煮熟后与菜合碗。</x:v>
      </x:c>
      <x:c r="M637" t="n">
        <x:v>30</x:v>
      </x:c>
      <x:c r="N637" t="n">
        <x:f>ROUND(SUM('食材明细'!H3812:H3817),0)</x:f>
        <x:v>606</x:v>
      </x:c>
      <x:c r="O637" t="n">
        <x:f>ROUND(SUM('食材明细'!J3812:J3817),1)</x:f>
        <x:v>53.4</x:v>
      </x:c>
      <x:c r="P637" t="n">
        <x:f>ROUND(SUM('食材明细'!L3812:L3817),1)</x:f>
        <x:v>49.7</x:v>
      </x:c>
      <x:c r="Q637" t="n">
        <x:f>ROUND(SUM('食材明细'!N3812:N3817),1)</x:f>
        <x:v>23.1</x:v>
      </x:c>
      <x:c r="R637" s="10" t="str">
        <x:v>调料尽量低盐，不加白砂糖；油重已计入热量。</x:v>
      </x:c>
    </x:row>
    <x:row r="638" ht="37" customHeight="1">
      <x:c r="A638" t="n">
        <x:v>637</x:v>
      </x:c>
      <x:c r="B638" t="n">
        <x:v>319</x:v>
      </x:c>
      <x:c r="C638" t="n">
        <x:v>46</x:v>
      </x:c>
      <x:c r="D638" t="str">
        <x:v>午餐</x:v>
      </x:c>
      <x:c r="E638" t="str">
        <x:v>猪肉</x:v>
      </x:c>
      <x:c r="F638" s="10" t="str">
        <x:v>蚝香猪瘦肉配茼蒿小白菜｜白米饭</x:v>
      </x:c>
      <x:c r="G638" s="10" t="str">
        <x:v>猪瘦肉155g、茼蒿175g、小白菜125g、白米饭135g、烹调油5g</x:v>
      </x:c>
      <x:c r="H638" t="str">
        <x:v>白米饭</x:v>
      </x:c>
      <x:c r="I638" s="10" t="str">
        <x:v>低主食需求可将主食减1/3，另加100g非淀粉蔬菜（营养值需重算）</x:v>
      </x:c>
      <x:c r="J638" s="10" t="str">
        <x:v>低钠蚝油少量、姜蒜</x:v>
      </x:c>
      <x:c r="K638" t="str">
        <x:v>少油烩</x:v>
      </x:c>
      <x:c r="L638" s="10" t="str">
        <x:v>主食材和蔬菜少油少水烩熟，起锅前点少量蚝油；白米饭另煮熟或蒸好后同餐食用。</x:v>
      </x:c>
      <x:c r="M638" t="n">
        <x:v>25</x:v>
      </x:c>
      <x:c r="N638" t="n">
        <x:f>ROUND(SUM('食材明细'!H3818:H3823),0)</x:f>
        <x:v>466</x:v>
      </x:c>
      <x:c r="O638" t="n">
        <x:f>ROUND(SUM('食材明细'!J3818:J3823),1)</x:f>
        <x:v>39.8</x:v>
      </x:c>
      <x:c r="P638" t="n">
        <x:f>ROUND(SUM('食材明细'!L3818:L3823),1)</x:f>
        <x:v>45.6</x:v>
      </x:c>
      <x:c r="Q638" t="n">
        <x:f>ROUND(SUM('食材明细'!N3818:N3823),1)</x:f>
        <x:v>14.7</x:v>
      </x:c>
      <x:c r="R638" s="10" t="str">
        <x:v>调料尽量低盐，不加白砂糖；油重已计入热量。</x:v>
      </x:c>
    </x:row>
    <x:row r="639" ht="37" customHeight="1">
      <x:c r="A639" t="n">
        <x:v>638</x:v>
      </x:c>
      <x:c r="B639" t="n">
        <x:v>319</x:v>
      </x:c>
      <x:c r="C639" t="n">
        <x:v>46</x:v>
      </x:c>
      <x:c r="D639" t="str">
        <x:v>晚餐</x:v>
      </x:c>
      <x:c r="E639" t="str">
        <x:v>禽肉</x:v>
      </x:c>
      <x:c r="F639" s="10" t="str">
        <x:v>菌菇鸡胸肉配紫甘蓝香菇｜米粉</x:v>
      </x:c>
      <x:c r="G639" s="10" t="str">
        <x:v>鸡胸肉180g、紫甘蓝190g、香菇110g、米粉95g、烹调油4g</x:v>
      </x:c>
      <x:c r="H639" t="str">
        <x:v>米粉</x:v>
      </x:c>
      <x:c r="I639" s="10" t="str">
        <x:v>低主食需求可将主食减1/3，另加100g非淀粉蔬菜（营养值需重算）</x:v>
      </x:c>
      <x:c r="J639" s="10" t="str">
        <x:v>姜片、香菇汁</x:v>
      </x:c>
      <x:c r="K639" t="str">
        <x:v>焖煮</x:v>
      </x:c>
      <x:c r="L639" s="10" t="str">
        <x:v>食材与菌菇加少量水焖熟，出锅前加少量低盐生抽；面/魔芋丝煮熟后与菜合碗。</x:v>
      </x:c>
      <x:c r="M639" t="n">
        <x:v>20</x:v>
      </x:c>
      <x:c r="N639" t="n">
        <x:f>ROUND(SUM('食材明细'!H3824:H3829),0)</x:f>
        <x:v>435</x:v>
      </x:c>
      <x:c r="O639" t="n">
        <x:f>ROUND(SUM('食材明细'!J3824:J3829),1)</x:f>
        <x:v>48.4</x:v>
      </x:c>
      <x:c r="P639" t="n">
        <x:f>ROUND(SUM('食材明细'!L3824:L3829),1)</x:f>
        <x:v>44.2</x:v>
      </x:c>
      <x:c r="Q639" t="n">
        <x:f>ROUND(SUM('食材明细'!N3824:N3829),1)</x:f>
        <x:v>8.7</x:v>
      </x:c>
      <x:c r="R639" s="10" t="str">
        <x:v>调料尽量低盐，不加白砂糖；油重已计入热量。</x:v>
      </x:c>
    </x:row>
    <x:row r="640" ht="37" customHeight="1">
      <x:c r="A640" t="n">
        <x:v>639</x:v>
      </x:c>
      <x:c r="B640" t="n">
        <x:v>320</x:v>
      </x:c>
      <x:c r="C640" t="n">
        <x:v>46</x:v>
      </x:c>
      <x:c r="D640" t="str">
        <x:v>午餐</x:v>
      </x:c>
      <x:c r="E640" t="str">
        <x:v>牛肉</x:v>
      </x:c>
      <x:c r="F640" s="10" t="str">
        <x:v>柠檬牛里脊配芹菜胡萝卜｜荞麦面</x:v>
      </x:c>
      <x:c r="G640" s="10" t="str">
        <x:v>牛里脊165g、芹菜190g、胡萝卜140g、荞麦面165g、烹调油5g</x:v>
      </x:c>
      <x:c r="H640" t="str">
        <x:v>荞麦面</x:v>
      </x:c>
      <x:c r="I640" s="10" t="str">
        <x:v>低主食需求可将主食减1/3，另加100g非淀粉蔬菜（营养值需重算）</x:v>
      </x:c>
      <x:c r="J640" s="10" t="str">
        <x:v>柠檬片、白胡椒</x:v>
      </x:c>
      <x:c r="K640" t="str">
        <x:v>蒸</x:v>
      </x:c>
      <x:c r="L640" s="10" t="str">
        <x:v>柠檬片垫底，主食材蒸熟，蔬菜短焯后摆盘；面/魔芋丝煮熟后与菜合碗。</x:v>
      </x:c>
      <x:c r="M640" t="n">
        <x:v>30</x:v>
      </x:c>
      <x:c r="N640" t="n">
        <x:f>ROUND(SUM('食材明细'!H3830:H3835),0)</x:f>
        <x:v>522</x:v>
      </x:c>
      <x:c r="O640" t="n">
        <x:f>ROUND(SUM('食材明细'!J3830:J3835),1)</x:f>
        <x:v>44.4</x:v>
      </x:c>
      <x:c r="P640" t="n">
        <x:f>ROUND(SUM('食材明细'!L3830:L3835),1)</x:f>
        <x:v>55.3</x:v>
      </x:c>
      <x:c r="Q640" t="n">
        <x:f>ROUND(SUM('食材明细'!N3830:N3835),1)</x:f>
        <x:v>14.5</x:v>
      </x:c>
      <x:c r="R640" s="10" t="str">
        <x:v>调料尽量低盐，不加白砂糖；油重已计入热量。</x:v>
      </x:c>
    </x:row>
    <x:row r="641" ht="37" customHeight="1">
      <x:c r="A641" t="n">
        <x:v>640</x:v>
      </x:c>
      <x:c r="B641" t="n">
        <x:v>320</x:v>
      </x:c>
      <x:c r="C641" t="n">
        <x:v>46</x:v>
      </x:c>
      <x:c r="D641" t="str">
        <x:v>晚餐</x:v>
      </x:c>
      <x:c r="E641" t="str">
        <x:v>禽肉</x:v>
      </x:c>
      <x:c r="F641" s="10" t="str">
        <x:v>无糖照烧鸡胸肉配西兰花洋葱｜乌冬面</x:v>
      </x:c>
      <x:c r="G641" s="10" t="str">
        <x:v>鸡胸肉160g、西兰花140g、洋葱140g、乌冬面95g、烹调油3g</x:v>
      </x:c>
      <x:c r="H641" t="str">
        <x:v>乌冬面</x:v>
      </x:c>
      <x:c r="I641" s="10" t="str">
        <x:v>低主食需求可将主食减1/3，另加100g非淀粉蔬菜（营养值需重算）</x:v>
      </x:c>
      <x:c r="J641" s="10" t="str">
        <x:v>低盐生抽、米醋、洋葱自然甜味</x:v>
      </x:c>
      <x:c r="K641" t="str">
        <x:v>少油煮</x:v>
      </x:c>
      <x:c r="L641" s="10" t="str">
        <x:v>生抽与米醋调汁，不加糖；肉菜加水煮熟后略收汁；面/魔芋丝煮熟后与菜合碗。</x:v>
      </x:c>
      <x:c r="M641" t="n">
        <x:v>25</x:v>
      </x:c>
      <x:c r="N641" t="n">
        <x:f>ROUND(SUM('食材明细'!H3836:H3841),0)</x:f>
        <x:v>421</x:v>
      </x:c>
      <x:c r="O641" t="n">
        <x:f>ROUND(SUM('食材明细'!J3836:J3841),1)</x:f>
        <x:v>44.6</x:v>
      </x:c>
      <x:c r="P641" t="n">
        <x:f>ROUND(SUM('食材明细'!L3836:L3841),1)</x:f>
        <x:v>46.6</x:v>
      </x:c>
      <x:c r="Q641" t="n">
        <x:f>ROUND(SUM('食材明细'!N3836:N3841),1)</x:f>
        <x:v>7.5</x:v>
      </x:c>
      <x:c r="R641" s="10" t="str">
        <x:v>调料尽量低盐，不加白砂糖；油重已计入热量。</x:v>
      </x:c>
    </x:row>
    <x:row r="642" ht="37" customHeight="1">
      <x:c r="A642" t="n">
        <x:v>641</x:v>
      </x:c>
      <x:c r="B642" t="n">
        <x:v>321</x:v>
      </x:c>
      <x:c r="C642" t="n">
        <x:v>46</x:v>
      </x:c>
      <x:c r="D642" t="str">
        <x:v>午餐</x:v>
      </x:c>
      <x:c r="E642" t="str">
        <x:v>猪肉</x:v>
      </x:c>
      <x:c r="F642" s="10" t="str">
        <x:v>清汤猪里脊配生菜口蘑｜米粉</x:v>
      </x:c>
      <x:c r="G642" s="10" t="str">
        <x:v>猪里脊175g、生菜190g、口蘑125g、米粉150g、烹调油5g</x:v>
      </x:c>
      <x:c r="H642" t="str">
        <x:v>米粉</x:v>
      </x:c>
      <x:c r="I642" s="10" t="str">
        <x:v>低主食需求可将主食减1/3，另加100g非淀粉蔬菜（营养值需重算）</x:v>
      </x:c>
      <x:c r="J642" s="10" t="str">
        <x:v>葱段、盐少量</x:v>
      </x:c>
      <x:c r="K642" t="str">
        <x:v>煮</x:v>
      </x:c>
      <x:c r="L642" s="10" t="str">
        <x:v>清水煮开，按熟化时间下食材，最后放叶菜，清淡调味；面/魔芋丝煮熟后与菜合碗。</x:v>
      </x:c>
      <x:c r="M642" t="n">
        <x:v>30</x:v>
      </x:c>
      <x:c r="N642" t="n">
        <x:f>ROUND(SUM('食材明细'!H3842:H3847),0)</x:f>
        <x:v>478</x:v>
      </x:c>
      <x:c r="O642" t="n">
        <x:f>ROUND(SUM('食材明细'!J3842:J3847),1)</x:f>
        <x:v>46.3</x:v>
      </x:c>
      <x:c r="P642" t="n">
        <x:f>ROUND(SUM('食材明细'!L3842:L3847),1)</x:f>
        <x:v>45.6</x:v>
      </x:c>
      <x:c r="Q642" t="n">
        <x:f>ROUND(SUM('食材明细'!N3842:N3847),1)</x:f>
        <x:v>12.3</x:v>
      </x:c>
      <x:c r="R642" s="10" t="str">
        <x:v>调料尽量低盐，不加白砂糖；油重已计入热量。</x:v>
      </x:c>
    </x:row>
    <x:row r="643" ht="37" customHeight="1">
      <x:c r="A643" t="n">
        <x:v>642</x:v>
      </x:c>
      <x:c r="B643" t="n">
        <x:v>321</x:v>
      </x:c>
      <x:c r="C643" t="n">
        <x:v>46</x:v>
      </x:c>
      <x:c r="D643" t="str">
        <x:v>晚餐</x:v>
      </x:c>
      <x:c r="E643" t="str">
        <x:v>鱼类</x:v>
      </x:c>
      <x:c r="F643" s="10" t="str">
        <x:v>葱姜清蒸三文鱼配小白菜口蘑｜米粉</x:v>
      </x:c>
      <x:c r="G643" s="10" t="str">
        <x:v>三文鱼120g、小白菜160g、口蘑155g、米粉135g、烹调油4g</x:v>
      </x:c>
      <x:c r="H643" t="str">
        <x:v>米粉</x:v>
      </x:c>
      <x:c r="I643" s="10" t="str">
        <x:v>低主食需求可将主食减1/3，另加100g非淀粉蔬菜（营养值需重算）</x:v>
      </x:c>
      <x:c r="J643" s="10" t="str">
        <x:v>葱姜、少量低盐生抽</x:v>
      </x:c>
      <x:c r="K643" t="str">
        <x:v>蒸</x:v>
      </x:c>
      <x:c r="L643" s="10" t="str">
        <x:v>鱼肉去刺，彻底做熟；切片腌5分钟；肉和配菜入盘，蒸至熟透；淋葱姜汁；面/魔芋丝煮熟后与菜合碗。</x:v>
      </x:c>
      <x:c r="M643" t="n">
        <x:v>15</x:v>
      </x:c>
      <x:c r="N643" t="n">
        <x:f>ROUND(SUM('食材明细'!H3848:H3853),0)</x:f>
        <x:v>492</x:v>
      </x:c>
      <x:c r="O643" t="n">
        <x:f>ROUND(SUM('食材明细'!J3848:J3853),1)</x:f>
        <x:v>34.1</x:v>
      </x:c>
      <x:c r="P643" t="n">
        <x:f>ROUND(SUM('食材明细'!L3848:L3853),1)</x:f>
        <x:v>42</x:v>
      </x:c>
      <x:c r="Q643" t="n">
        <x:f>ROUND(SUM('食材明细'!N3848:N3853),1)</x:f>
        <x:v>20.9</x:v>
      </x:c>
      <x:c r="R643" s="10" t="str">
        <x:v>调料尽量低盐，不加白砂糖；油重已计入热量。</x:v>
      </x:c>
    </x:row>
    <x:row r="644" ht="37" customHeight="1">
      <x:c r="A644" t="n">
        <x:v>643</x:v>
      </x:c>
      <x:c r="B644" t="n">
        <x:v>322</x:v>
      </x:c>
      <x:c r="C644" t="n">
        <x:v>46</x:v>
      </x:c>
      <x:c r="D644" t="str">
        <x:v>午餐</x:v>
      </x:c>
      <x:c r="E644" t="str">
        <x:v>海鲜</x:v>
      </x:c>
      <x:c r="F644" s="10" t="str">
        <x:v>蒜香鱿鱼配黄瓜泡发木耳｜杂粮饭</x:v>
      </x:c>
      <x:c r="G644" s="10" t="str">
        <x:v>鱿鱼175g、黄瓜140g、泡发木耳125g、杂粮饭150g、烹调油5g</x:v>
      </x:c>
      <x:c r="H644" t="str">
        <x:v>杂粮饭</x:v>
      </x:c>
      <x:c r="I644" s="10" t="str">
        <x:v>低主食需求可将主食减1/3，另加100g非淀粉蔬菜（营养值需重算）</x:v>
      </x:c>
      <x:c r="J644" s="10" t="str">
        <x:v>蒜末、白胡椒</x:v>
      </x:c>
      <x:c r="K644" t="str">
        <x:v>蒸</x:v>
      </x:c>
      <x:c r="L644" s="10" t="str">
        <x:v>食材切块，撒蒜末；上锅蒸熟，蔬菜另焯后拌匀；杂粮饭另煮熟或蒸好后同餐食用。</x:v>
      </x:c>
      <x:c r="M644" t="n">
        <x:v>25</x:v>
      </x:c>
      <x:c r="N644" t="n">
        <x:f>ROUND(SUM('食材明细'!H3854:H3859),0)</x:f>
        <x:v>437</x:v>
      </x:c>
      <x:c r="O644" t="n">
        <x:f>ROUND(SUM('食材明细'!J3854:J3859),1)</x:f>
        <x:v>37.3</x:v>
      </x:c>
      <x:c r="P644" t="n">
        <x:f>ROUND(SUM('食材明细'!L3854:L3859),1)</x:f>
        <x:v>51.3</x:v>
      </x:c>
      <x:c r="Q644" t="n">
        <x:f>ROUND(SUM('食材明细'!N3854:N3859),1)</x:f>
        <x:v>9.4</x:v>
      </x:c>
      <x:c r="R644" s="10" t="str">
        <x:v>调料尽量低盐，不加白砂糖；油重已计入热量。</x:v>
      </x:c>
    </x:row>
    <x:row r="645" ht="37" customHeight="1">
      <x:c r="A645" t="n">
        <x:v>644</x:v>
      </x:c>
      <x:c r="B645" t="n">
        <x:v>322</x:v>
      </x:c>
      <x:c r="C645" t="n">
        <x:v>46</x:v>
      </x:c>
      <x:c r="D645" t="str">
        <x:v>晚餐</x:v>
      </x:c>
      <x:c r="E645" t="str">
        <x:v>豆蛋</x:v>
      </x:c>
      <x:c r="F645" s="10" t="str">
        <x:v>剁椒鸡蛋北豆腐烩菠菜娃娃菜｜土豆</x:v>
      </x:c>
      <x:c r="G645" s="10" t="str">
        <x:v>鸡蛋120g、北豆腐90g、菠菜190g、娃娃菜140g、土豆135g、烹调油5g</x:v>
      </x:c>
      <x:c r="H645" t="str">
        <x:v>土豆</x:v>
      </x:c>
      <x:c r="I645" s="10" t="str">
        <x:v>想减主食可减到原量2/3，另加100g绿叶菜</x:v>
      </x:c>
      <x:c r="J645" s="10" t="str">
        <x:v>自制低盐剁椒、蒜</x:v>
      </x:c>
      <x:c r="K645" t="str">
        <x:v>蒸</x:v>
      </x:c>
      <x:c r="L645" s="10" t="str">
        <x:v>鸡蛋先打散成蛋液；主食材铺少量低盐剁椒蒸熟，配菜焯熟后摆盘；土豆另煮熟或蒸好后同餐食用。</x:v>
      </x:c>
      <x:c r="M645" t="n">
        <x:v>20</x:v>
      </x:c>
      <x:c r="N645" t="n">
        <x:f>ROUND(SUM('食材明细'!H3860:H3865),0)</x:f>
        <x:v>472</x:v>
      </x:c>
      <x:c r="O645" t="n">
        <x:f>ROUND(SUM('食材明细'!J3860:J3865),1)</x:f>
        <x:v>34.6</x:v>
      </x:c>
      <x:c r="P645" t="n">
        <x:f>ROUND(SUM('食材明细'!L3860:L3865),1)</x:f>
        <x:v>37.4</x:v>
      </x:c>
      <x:c r="Q645" t="n">
        <x:f>ROUND(SUM('食材明细'!N3860:N3865),1)</x:f>
        <x:v>22.7</x:v>
      </x:c>
      <x:c r="R645" s="10" t="str">
        <x:v>调料尽量低盐，不加白砂糖；油重已计入热量。</x:v>
      </x:c>
    </x:row>
    <x:row r="646" ht="37" customHeight="1">
      <x:c r="A646" t="n">
        <x:v>645</x:v>
      </x:c>
      <x:c r="B646" t="n">
        <x:v>323</x:v>
      </x:c>
      <x:c r="C646" t="n">
        <x:v>47</x:v>
      </x:c>
      <x:c r="D646" t="str">
        <x:v>午餐</x:v>
      </x:c>
      <x:c r="E646" t="str">
        <x:v>豆蛋</x:v>
      </x:c>
      <x:c r="F646" s="10" t="str">
        <x:v>菌菇嫩豆腐鸡蛋烩茼蒿香菇｜杂粮饭</x:v>
      </x:c>
      <x:c r="G646" s="10" t="str">
        <x:v>嫩豆腐280g、鸡蛋85g、茼蒿160g、香菇125g、杂粮饭110g、烹调油4g</x:v>
      </x:c>
      <x:c r="H646" t="str">
        <x:v>杂粮饭</x:v>
      </x:c>
      <x:c r="I646" s="10" t="str">
        <x:v>低主食需求可将主食减1/3，另加100g非淀粉蔬菜（营养值需重算）</x:v>
      </x:c>
      <x:c r="J646" s="10" t="str">
        <x:v>姜片、香菇汁</x:v>
      </x:c>
      <x:c r="K646" t="str">
        <x:v>焖煮</x:v>
      </x:c>
      <x:c r="L646" s="10" t="str">
        <x:v>食材与菌菇加少量水焖熟，出锅前加少量低盐生抽；杂粮饭另煮熟或蒸好后同餐食用。</x:v>
      </x:c>
      <x:c r="M646" t="n">
        <x:v>35</x:v>
      </x:c>
      <x:c r="N646" t="n">
        <x:f>ROUND(SUM('食材明细'!H3866:H3871),0)</x:f>
        <x:v>520</x:v>
      </x:c>
      <x:c r="O646" t="n">
        <x:f>ROUND(SUM('食材明细'!J3866:J3871),1)</x:f>
        <x:v>34.3</x:v>
      </x:c>
      <x:c r="P646" t="n">
        <x:f>ROUND(SUM('食材明细'!L3866:L3871),1)</x:f>
        <x:v>47.8</x:v>
      </x:c>
      <x:c r="Q646" t="n">
        <x:f>ROUND(SUM('食材明细'!N3866:N3871),1)</x:f>
        <x:v>22.7</x:v>
      </x:c>
      <x:c r="R646" s="10" t="str">
        <x:v>调料尽量低盐，不加白砂糖；油重已计入热量。</x:v>
      </x:c>
    </x:row>
    <x:row r="647" ht="37" customHeight="1">
      <x:c r="A647" t="n">
        <x:v>646</x:v>
      </x:c>
      <x:c r="B647" t="n">
        <x:v>323</x:v>
      </x:c>
      <x:c r="C647" t="n">
        <x:v>47</x:v>
      </x:c>
      <x:c r="D647" t="str">
        <x:v>晚餐</x:v>
      </x:c>
      <x:c r="E647" t="str">
        <x:v>禽肉</x:v>
      </x:c>
      <x:c r="F647" s="10" t="str">
        <x:v>孜然鸡胸肉配娃娃菜杏鲍菇｜荞麦饭</x:v>
      </x:c>
      <x:c r="G647" s="10" t="str">
        <x:v>鸡胸肉180g、娃娃菜190g、杏鲍菇140g、荞麦饭110g、烹调油5g</x:v>
      </x:c>
      <x:c r="H647" t="str">
        <x:v>荞麦饭</x:v>
      </x:c>
      <x:c r="I647" s="10" t="str">
        <x:v>低主食需求可将主食减1/3，另加100g非淀粉蔬菜（营养值需重算）</x:v>
      </x:c>
      <x:c r="J647" s="10" t="str">
        <x:v>孜然、辣椒粉、蒜末</x:v>
      </x:c>
      <x:c r="K647" t="str">
        <x:v>少油焖</x:v>
      </x:c>
      <x:c r="L647" s="10" t="str">
        <x:v>主食材用少量油和水焖熟，下蔬菜翻拌，撒孜然；荞麦饭另煮熟或蒸好后同餐食用。</x:v>
      </x:c>
      <x:c r="M647" t="n">
        <x:v>30</x:v>
      </x:c>
      <x:c r="N647" t="n">
        <x:f>ROUND(SUM('食材明细'!H3872:H3877),0)</x:f>
        <x:v>445</x:v>
      </x:c>
      <x:c r="O647" t="n">
        <x:f>ROUND(SUM('食材明细'!J3872:J3877),1)</x:f>
        <x:v>50.4</x:v>
      </x:c>
      <x:c r="P647" t="n">
        <x:f>ROUND(SUM('食材明细'!L3872:L3877),1)</x:f>
        <x:v>40.3</x:v>
      </x:c>
      <x:c r="Q647" t="n">
        <x:f>ROUND(SUM('食材明细'!N3872:N3877),1)</x:f>
        <x:v>10.6</x:v>
      </x:c>
      <x:c r="R647" s="10" t="str">
        <x:v>调料尽量低盐，不加白砂糖；油重已计入热量。</x:v>
      </x:c>
    </x:row>
    <x:row r="648" ht="37" customHeight="1">
      <x:c r="A648" t="n">
        <x:v>647</x:v>
      </x:c>
      <x:c r="B648" t="n">
        <x:v>324</x:v>
      </x:c>
      <x:c r="C648" t="n">
        <x:v>47</x:v>
      </x:c>
      <x:c r="D648" t="str">
        <x:v>午餐</x:v>
      </x:c>
      <x:c r="E648" t="str">
        <x:v>鱼类</x:v>
      </x:c>
      <x:c r="F648" s="10" t="str">
        <x:v>豉汁三文鱼配秋葵泡发木耳｜燕麦饭</x:v>
      </x:c>
      <x:c r="G648" s="10" t="str">
        <x:v>三文鱼120g、秋葵160g、泡发木耳125g、燕麦饭125g、烹调油3g</x:v>
      </x:c>
      <x:c r="H648" t="str">
        <x:v>燕麦饭</x:v>
      </x:c>
      <x:c r="I648" s="10" t="str">
        <x:v>低主食需求可将主食减1/3，另加100g非淀粉蔬菜（营养值需重算）</x:v>
      </x:c>
      <x:c r="J648" s="10" t="str">
        <x:v>少量豆豉、姜末</x:v>
      </x:c>
      <x:c r="K648" t="str">
        <x:v>蒸</x:v>
      </x:c>
      <x:c r="L648" s="10" t="str">
        <x:v>鱼肉去刺，彻底做熟；豆豉冲洗剁碎，与姜末拌主食材后蒸熟；蔬菜另煮；燕麦饭另煮熟或蒸好后同餐食用。</x:v>
      </x:c>
      <x:c r="M648" t="n">
        <x:v>20</x:v>
      </x:c>
      <x:c r="N648" t="n">
        <x:f>ROUND(SUM('食材明细'!H3878:H3883),0)</x:f>
        <x:v>495</x:v>
      </x:c>
      <x:c r="O648" t="n">
        <x:f>ROUND(SUM('食材明细'!J3878:J3883),1)</x:f>
        <x:v>32.9</x:v>
      </x:c>
      <x:c r="P648" t="n">
        <x:f>ROUND(SUM('食材明细'!L3878:L3883),1)</x:f>
        <x:v>45.8</x:v>
      </x:c>
      <x:c r="Q648" t="n">
        <x:f>ROUND(SUM('食材明细'!N3878:N3883),1)</x:f>
        <x:v>21.3</x:v>
      </x:c>
      <x:c r="R648" s="10" t="str">
        <x:v>调料尽量低盐，不加白砂糖；油重已计入热量。</x:v>
      </x:c>
    </x:row>
    <x:row r="649" ht="37" customHeight="1">
      <x:c r="A649" t="n">
        <x:v>648</x:v>
      </x:c>
      <x:c r="B649" t="n">
        <x:v>324</x:v>
      </x:c>
      <x:c r="C649" t="n">
        <x:v>47</x:v>
      </x:c>
      <x:c r="D649" t="str">
        <x:v>晚餐</x:v>
      </x:c>
      <x:c r="E649" t="str">
        <x:v>牛肉</x:v>
      </x:c>
      <x:c r="F649" s="10" t="str">
        <x:v>椒麻瘦牛肉配荷兰豆玉米笋｜红薯</x:v>
      </x:c>
      <x:c r="G649" s="10" t="str">
        <x:v>瘦牛肉170g、荷兰豆175g、玉米笋140g、红薯135g、烹调油3g</x:v>
      </x:c>
      <x:c r="H649" t="str">
        <x:v>红薯</x:v>
      </x:c>
      <x:c r="I649" s="10" t="str">
        <x:v>想减主食可减到原量2/3，另加100g绿叶菜</x:v>
      </x:c>
      <x:c r="J649" s="10" t="str">
        <x:v>花椒、蒜、少量醋</x:v>
      </x:c>
      <x:c r="K649" t="str">
        <x:v>水煮</x:v>
      </x:c>
      <x:c r="L649" s="10" t="str">
        <x:v>花椒温水浸出味道，煮熟主食材和配菜，少油拌汁；红薯另煮熟或蒸好后同餐食用。</x:v>
      </x:c>
      <x:c r="M649" t="n">
        <x:v>20</x:v>
      </x:c>
      <x:c r="N649" t="n">
        <x:f>ROUND(SUM('食材明细'!H3884:H3889),0)</x:f>
        <x:v>468</x:v>
      </x:c>
      <x:c r="O649" t="n">
        <x:f>ROUND(SUM('食材明细'!J3884:J3889),1)</x:f>
        <x:v>45.6</x:v>
      </x:c>
      <x:c r="P649" t="n">
        <x:f>ROUND(SUM('食材明细'!L3884:L3889),1)</x:f>
        <x:v>47.7</x:v>
      </x:c>
      <x:c r="Q649" t="n">
        <x:f>ROUND(SUM('食材明细'!N3884:N3889),1)</x:f>
        <x:v>10.6</x:v>
      </x:c>
      <x:c r="R649" s="10" t="str">
        <x:v>调料尽量低盐，不加白砂糖；油重已计入热量。</x:v>
      </x:c>
    </x:row>
    <x:row r="650" ht="37" customHeight="1">
      <x:c r="A650" t="n">
        <x:v>649</x:v>
      </x:c>
      <x:c r="B650" t="n">
        <x:v>325</x:v>
      </x:c>
      <x:c r="C650" t="n">
        <x:v>47</x:v>
      </x:c>
      <x:c r="D650" t="str">
        <x:v>午餐</x:v>
      </x:c>
      <x:c r="E650" t="str">
        <x:v>牛肉</x:v>
      </x:c>
      <x:c r="F650" s="10" t="str">
        <x:v>黑椒牛里脊配苦瓜杏鲍菇｜燕麦饭</x:v>
      </x:c>
      <x:c r="G650" s="10" t="str">
        <x:v>牛里脊185g、苦瓜160g、杏鲍菇110g、燕麦饭150g、烹调油3g</x:v>
      </x:c>
      <x:c r="H650" t="str">
        <x:v>燕麦饭</x:v>
      </x:c>
      <x:c r="I650" s="10" t="str">
        <x:v>低主食需求可将主食减1/3，另加100g非淀粉蔬菜（营养值需重算）</x:v>
      </x:c>
      <x:c r="J650" s="10" t="str">
        <x:v>黑胡椒、蒜末</x:v>
      </x:c>
      <x:c r="K650" t="str">
        <x:v>少油烩</x:v>
      </x:c>
      <x:c r="L650" s="10" t="str">
        <x:v>锅加少量水和油，先把主食材煮熟，再烩两种蔬菜，收汁撒黑椒；燕麦饭另煮熟或蒸好后同餐食用。</x:v>
      </x:c>
      <x:c r="M650" t="n">
        <x:v>15</x:v>
      </x:c>
      <x:c r="N650" t="n">
        <x:f>ROUND(SUM('食材明细'!H3890:H3895),0)</x:f>
        <x:v>501</x:v>
      </x:c>
      <x:c r="O650" t="n">
        <x:f>ROUND(SUM('食材明细'!J3890:J3895),1)</x:f>
        <x:v>47.5</x:v>
      </x:c>
      <x:c r="P650" t="n">
        <x:f>ROUND(SUM('食材明细'!L3890:L3895),1)</x:f>
        <x:v>46.2</x:v>
      </x:c>
      <x:c r="Q650" t="n">
        <x:f>ROUND(SUM('食材明细'!N3890:N3895),1)</x:f>
        <x:v>15.2</x:v>
      </x:c>
      <x:c r="R650" s="10" t="str">
        <x:v>调料尽量低盐，不加白砂糖；油重已计入热量。</x:v>
      </x:c>
    </x:row>
    <x:row r="651" ht="37" customHeight="1">
      <x:c r="A651" t="n">
        <x:v>650</x:v>
      </x:c>
      <x:c r="B651" t="n">
        <x:v>325</x:v>
      </x:c>
      <x:c r="C651" t="n">
        <x:v>47</x:v>
      </x:c>
      <x:c r="D651" t="str">
        <x:v>晚餐</x:v>
      </x:c>
      <x:c r="E651" t="str">
        <x:v>海鲜</x:v>
      </x:c>
      <x:c r="F651" s="10" t="str">
        <x:v>椒麻虾仁配菠菜芦笋｜红薯</x:v>
      </x:c>
      <x:c r="G651" s="10" t="str">
        <x:v>虾仁160g、北豆腐130g、菠菜175g、芦笋110g、红薯110g、烹调油6g</x:v>
      </x:c>
      <x:c r="H651" t="str">
        <x:v>红薯</x:v>
      </x:c>
      <x:c r="I651" s="10" t="str">
        <x:v>想减主食可减到原量2/3，另加100g绿叶菜</x:v>
      </x:c>
      <x:c r="J651" s="10" t="str">
        <x:v>花椒、蒜、少量醋</x:v>
      </x:c>
      <x:c r="K651" t="str">
        <x:v>水煮</x:v>
      </x:c>
      <x:c r="L651" s="10" t="str">
        <x:v>花椒温水浸出味道，煮熟主食材和配菜，少油拌汁；红薯另煮熟或蒸好后同餐食用。</x:v>
      </x:c>
      <x:c r="M651" t="n">
        <x:v>25</x:v>
      </x:c>
      <x:c r="N651" t="n">
        <x:f>ROUND(SUM('食材明细'!H3896:H3901),0)</x:f>
        <x:v>474</x:v>
      </x:c>
      <x:c r="O651" t="n">
        <x:f>ROUND(SUM('食材明细'!J3896:J3901),1)</x:f>
        <x:v>52.7</x:v>
      </x:c>
      <x:c r="P651" t="n">
        <x:f>ROUND(SUM('食材明细'!L3896:L3901),1)</x:f>
        <x:v>36.4</x:v>
      </x:c>
      <x:c r="Q651" t="n">
        <x:f>ROUND(SUM('食材明细'!N3896:N3901),1)</x:f>
        <x:v>15.2</x:v>
      </x:c>
      <x:c r="R651" s="10" t="str">
        <x:v>调料尽量低盐，不加白砂糖；油重已计入热量。</x:v>
      </x:c>
    </x:row>
    <x:row r="652" ht="37" customHeight="1">
      <x:c r="A652" t="n">
        <x:v>651</x:v>
      </x:c>
      <x:c r="B652" t="n">
        <x:v>326</x:v>
      </x:c>
      <x:c r="C652" t="n">
        <x:v>47</x:v>
      </x:c>
      <x:c r="D652" t="str">
        <x:v>午餐</x:v>
      </x:c>
      <x:c r="E652" t="str">
        <x:v>豆蛋</x:v>
      </x:c>
      <x:c r="F652" s="10" t="str">
        <x:v>豉汁北豆腐鸡蛋烩大白菜洋葱｜红薯</x:v>
      </x:c>
      <x:c r="G652" s="10" t="str">
        <x:v>北豆腐300g、鸡蛋60g、大白菜140g、洋葱110g、红薯135g、烹调油3g</x:v>
      </x:c>
      <x:c r="H652" t="str">
        <x:v>红薯</x:v>
      </x:c>
      <x:c r="I652" s="10" t="str">
        <x:v>想减主食可减到原量2/3，另加100g绿叶菜</x:v>
      </x:c>
      <x:c r="J652" s="10" t="str">
        <x:v>少量豆豉、姜末</x:v>
      </x:c>
      <x:c r="K652" t="str">
        <x:v>蒸</x:v>
      </x:c>
      <x:c r="L652" s="10" t="str">
        <x:v>豆豉冲洗剁碎，与姜末拌主食材后蒸熟；蔬菜另煮；红薯另煮熟或蒸好后同餐食用。</x:v>
      </x:c>
      <x:c r="M652" t="n">
        <x:v>30</x:v>
      </x:c>
      <x:c r="N652" t="n">
        <x:f>ROUND(SUM('食材明细'!H3902:H3907),0)</x:f>
        <x:v>570</x:v>
      </x:c>
      <x:c r="O652" t="n">
        <x:f>ROUND(SUM('食材明细'!J3902:J3907),1)</x:f>
        <x:v>43.3</x:v>
      </x:c>
      <x:c r="P652" t="n">
        <x:f>ROUND(SUM('食材明细'!L3902:L3907),1)</x:f>
        <x:v>49.1</x:v>
      </x:c>
      <x:c r="Q652" t="n">
        <x:f>ROUND(SUM('食材明细'!N3902:N3907),1)</x:f>
        <x:v>24.4</x:v>
      </x:c>
      <x:c r="R652" s="10" t="str">
        <x:v>调料尽量低盐，不加白砂糖；油重已计入热量。</x:v>
      </x:c>
    </x:row>
    <x:row r="653" ht="37" customHeight="1">
      <x:c r="A653" t="n">
        <x:v>652</x:v>
      </x:c>
      <x:c r="B653" t="n">
        <x:v>326</x:v>
      </x:c>
      <x:c r="C653" t="n">
        <x:v>47</x:v>
      </x:c>
      <x:c r="D653" t="str">
        <x:v>晚餐</x:v>
      </x:c>
      <x:c r="E653" t="str">
        <x:v>猪肉</x:v>
      </x:c>
      <x:c r="F653" s="10" t="str">
        <x:v>清汤猪瘦肉配番茄丝瓜｜藜麦饭</x:v>
      </x:c>
      <x:c r="G653" s="10" t="str">
        <x:v>猪瘦肉145g、番茄190g、丝瓜125g、藜麦饭125g、烹调油3g</x:v>
      </x:c>
      <x:c r="H653" t="str">
        <x:v>藜麦饭</x:v>
      </x:c>
      <x:c r="I653" s="10" t="str">
        <x:v>低主食需求可将主食减1/3，另加100g非淀粉蔬菜（营养值需重算）</x:v>
      </x:c>
      <x:c r="J653" s="10" t="str">
        <x:v>葱段、盐少量</x:v>
      </x:c>
      <x:c r="K653" t="str">
        <x:v>煮</x:v>
      </x:c>
      <x:c r="L653" s="10" t="str">
        <x:v>清水煮开，按熟化时间下食材，最后放叶菜，清淡调味；藜麦饭另煮熟或蒸好后同餐食用。</x:v>
      </x:c>
      <x:c r="M653" t="n">
        <x:v>15</x:v>
      </x:c>
      <x:c r="N653" t="n">
        <x:f>ROUND(SUM('食材明细'!H3908:H3913),0)</x:f>
        <x:v>429</x:v>
      </x:c>
      <x:c r="O653" t="n">
        <x:f>ROUND(SUM('食材明细'!J3908:J3913),1)</x:f>
        <x:v>37.5</x:v>
      </x:c>
      <x:c r="P653" t="n">
        <x:f>ROUND(SUM('食材明细'!L3908:L3913),1)</x:f>
        <x:v>39.2</x:v>
      </x:c>
      <x:c r="Q653" t="n">
        <x:f>ROUND(SUM('食材明细'!N3908:N3913),1)</x:f>
        <x:v>14</x:v>
      </x:c>
      <x:c r="R653" s="10" t="str">
        <x:v>调料尽量低盐，不加白砂糖；油重已计入热量。</x:v>
      </x:c>
    </x:row>
    <x:row r="654" ht="37" customHeight="1">
      <x:c r="A654" t="n">
        <x:v>653</x:v>
      </x:c>
      <x:c r="B654" t="n">
        <x:v>327</x:v>
      </x:c>
      <x:c r="C654" t="n">
        <x:v>47</x:v>
      </x:c>
      <x:c r="D654" t="str">
        <x:v>午餐</x:v>
      </x:c>
      <x:c r="E654" t="str">
        <x:v>牛肉</x:v>
      </x:c>
      <x:c r="F654" s="10" t="str">
        <x:v>咖喱瘦牛肉配丝瓜口蘑｜杂粮饭</x:v>
      </x:c>
      <x:c r="G654" s="10" t="str">
        <x:v>瘦牛肉185g、丝瓜140g、口蘑155g、杂粮饭150g、烹调油3g</x:v>
      </x:c>
      <x:c r="H654" t="str">
        <x:v>杂粮饭</x:v>
      </x:c>
      <x:c r="I654" s="10" t="str">
        <x:v>低主食需求可将主食减1/3，另加100g非淀粉蔬菜（营养值需重算）</x:v>
      </x:c>
      <x:c r="J654" s="10" t="str">
        <x:v>无加糖咖喱粉、姜末</x:v>
      </x:c>
      <x:c r="K654" t="str">
        <x:v>炖煮</x:v>
      </x:c>
      <x:c r="L654" s="10" t="str">
        <x:v>用咖喱粉而非高脂咖喱块，加水轻炖主食材和蔬菜；杂粮饭另煮熟或蒸好后同餐食用。</x:v>
      </x:c>
      <x:c r="M654" t="n">
        <x:v>20</x:v>
      </x:c>
      <x:c r="N654" t="n">
        <x:f>ROUND(SUM('食材明细'!H3914:H3919),0)</x:f>
        <x:v>493</x:v>
      </x:c>
      <x:c r="O654" t="n">
        <x:f>ROUND(SUM('食材明细'!J3914:J3919),1)</x:f>
        <x:v>49.7</x:v>
      </x:c>
      <x:c r="P654" t="n">
        <x:f>ROUND(SUM('食材明细'!L3914:L3919),1)</x:f>
        <x:v>46</x:v>
      </x:c>
      <x:c r="Q654" t="n">
        <x:f>ROUND(SUM('食材明细'!N3914:N3919),1)</x:f>
        <x:v>12.8</x:v>
      </x:c>
      <x:c r="R654" s="10" t="str">
        <x:v>调料尽量低盐，不加白砂糖；油重已计入热量。</x:v>
      </x:c>
    </x:row>
    <x:row r="655" ht="37" customHeight="1">
      <x:c r="A655" t="n">
        <x:v>654</x:v>
      </x:c>
      <x:c r="B655" t="n">
        <x:v>327</x:v>
      </x:c>
      <x:c r="C655" t="n">
        <x:v>47</x:v>
      </x:c>
      <x:c r="D655" t="str">
        <x:v>晚餐</x:v>
      </x:c>
      <x:c r="E655" t="str">
        <x:v>禽肉</x:v>
      </x:c>
      <x:c r="F655" s="10" t="str">
        <x:v>香醋鸡里脊肉配荷兰豆莴笋｜糙米饭</x:v>
      </x:c>
      <x:c r="G655" s="10" t="str">
        <x:v>鸡里脊肉170g、荷兰豆160g、莴笋110g、糙米饭95g、烹调油3g</x:v>
      </x:c>
      <x:c r="H655" t="str">
        <x:v>糙米饭</x:v>
      </x:c>
      <x:c r="I655" s="10" t="str">
        <x:v>低主食需求可将主食减1/3，另加100g非淀粉蔬菜（营养值需重算）</x:v>
      </x:c>
      <x:c r="J655" s="10" t="str">
        <x:v>香醋、蒜末、少量生抽</x:v>
      </x:c>
      <x:c r="K655" t="str">
        <x:v>水煮</x:v>
      </x:c>
      <x:c r="L655" s="10" t="str">
        <x:v>食材分别煮至熟，淋香醋蒜汁，拌匀即食；糙米饭另煮熟或蒸好后同餐食用。</x:v>
      </x:c>
      <x:c r="M655" t="n">
        <x:v>25</x:v>
      </x:c>
      <x:c r="N655" t="n">
        <x:f>ROUND(SUM('食材明细'!H3920:H3925),0)</x:f>
        <x:v>404</x:v>
      </x:c>
      <x:c r="O655" t="n">
        <x:f>ROUND(SUM('食材明细'!J3920:J3925),1)</x:f>
        <x:v>47.2</x:v>
      </x:c>
      <x:c r="P655" t="n">
        <x:f>ROUND(SUM('食材明细'!L3920:L3925),1)</x:f>
        <x:v>37.4</x:v>
      </x:c>
      <x:c r="Q655" t="n">
        <x:f>ROUND(SUM('食材明细'!N3920:N3925),1)</x:f>
        <x:v>7.5</x:v>
      </x:c>
      <x:c r="R655" s="10" t="str">
        <x:v>调料尽量低盐，不加白砂糖；油重已计入热量。</x:v>
      </x:c>
    </x:row>
    <x:row r="656" ht="37" customHeight="1">
      <x:c r="A656" t="n">
        <x:v>655</x:v>
      </x:c>
      <x:c r="B656" t="n">
        <x:v>328</x:v>
      </x:c>
      <x:c r="C656" t="n">
        <x:v>47</x:v>
      </x:c>
      <x:c r="D656" t="str">
        <x:v>午餐</x:v>
      </x:c>
      <x:c r="E656" t="str">
        <x:v>海鲜</x:v>
      </x:c>
      <x:c r="F656" s="10" t="str">
        <x:v>葱姜清蒸虾仁配菠菜口蘑｜燕麦饭</x:v>
      </x:c>
      <x:c r="G656" s="10" t="str">
        <x:v>虾仁175g、菠菜190g、口蘑140g、燕麦饭110g、烹调油5g</x:v>
      </x:c>
      <x:c r="H656" t="str">
        <x:v>燕麦饭</x:v>
      </x:c>
      <x:c r="I656" s="10" t="str">
        <x:v>低主食需求可将主食减1/3，另加100g非淀粉蔬菜（营养值需重算）</x:v>
      </x:c>
      <x:c r="J656" s="10" t="str">
        <x:v>葱姜、少量低盐生抽</x:v>
      </x:c>
      <x:c r="K656" t="str">
        <x:v>蒸</x:v>
      </x:c>
      <x:c r="L656" s="10" t="str">
        <x:v>切片腌5分钟；肉和配菜入盘，蒸至熟透；淋葱姜汁；燕麦饭另煮熟或蒸好后同餐食用。</x:v>
      </x:c>
      <x:c r="M656" t="n">
        <x:v>25</x:v>
      </x:c>
      <x:c r="N656" t="n">
        <x:f>ROUND(SUM('食材明细'!H3926:H3931),0)</x:f>
        <x:v>398</x:v>
      </x:c>
      <x:c r="O656" t="n">
        <x:f>ROUND(SUM('食材明细'!J3926:J3931),1)</x:f>
        <x:v>46.6</x:v>
      </x:c>
      <x:c r="P656" t="n">
        <x:f>ROUND(SUM('食材明细'!L3926:L3931),1)</x:f>
        <x:v>35.3</x:v>
      </x:c>
      <x:c r="Q656" t="n">
        <x:f>ROUND(SUM('食材明细'!N3926:N3931),1)</x:f>
        <x:v>10.1</x:v>
      </x:c>
      <x:c r="R656" s="10" t="str">
        <x:v>调料尽量低盐，不加白砂糖；油重已计入热量。</x:v>
      </x:c>
    </x:row>
    <x:row r="657" ht="37" customHeight="1">
      <x:c r="A657" t="n">
        <x:v>656</x:v>
      </x:c>
      <x:c r="B657" t="n">
        <x:v>328</x:v>
      </x:c>
      <x:c r="C657" t="n">
        <x:v>47</x:v>
      </x:c>
      <x:c r="D657" t="str">
        <x:v>晚餐</x:v>
      </x:c>
      <x:c r="E657" t="str">
        <x:v>禽肉</x:v>
      </x:c>
      <x:c r="F657" s="10" t="str">
        <x:v>椒麻鸡胸肉配娃娃菜海带｜杂粮饭</x:v>
      </x:c>
      <x:c r="G657" s="10" t="str">
        <x:v>鸡胸肉170g、娃娃菜160g、海带140g、杂粮饭125g、烹调油5g</x:v>
      </x:c>
      <x:c r="H657" t="str">
        <x:v>杂粮饭</x:v>
      </x:c>
      <x:c r="I657" s="10" t="str">
        <x:v>低主食需求可将主食减1/3，另加100g非淀粉蔬菜（营养值需重算）</x:v>
      </x:c>
      <x:c r="J657" s="10" t="str">
        <x:v>花椒、蒜、少量醋</x:v>
      </x:c>
      <x:c r="K657" t="str">
        <x:v>水煮</x:v>
      </x:c>
      <x:c r="L657" s="10" t="str">
        <x:v>花椒温水浸出味道，煮熟主食材和配菜，少油拌汁；杂粮饭另煮熟或蒸好后同餐食用。</x:v>
      </x:c>
      <x:c r="M657" t="n">
        <x:v>30</x:v>
      </x:c>
      <x:c r="N657" t="n">
        <x:f>ROUND(SUM('食材明细'!H3932:H3937),0)</x:f>
        <x:v>438</x:v>
      </x:c>
      <x:c r="O657" t="n">
        <x:f>ROUND(SUM('食材明细'!J3932:J3937),1)</x:f>
        <x:v>46.5</x:v>
      </x:c>
      <x:c r="P657" t="n">
        <x:f>ROUND(SUM('食材明细'!L3932:L3937),1)</x:f>
        <x:v>41.2</x:v>
      </x:c>
      <x:c r="Q657" t="n">
        <x:f>ROUND(SUM('食材明细'!N3932:N3937),1)</x:f>
        <x:v>10.2</x:v>
      </x:c>
      <x:c r="R657" s="10" t="str">
        <x:v>调料尽量低盐，不加白砂糖；油重已计入热量。</x:v>
      </x:c>
    </x:row>
    <x:row r="658" ht="37" customHeight="1">
      <x:c r="A658" t="n">
        <x:v>657</x:v>
      </x:c>
      <x:c r="B658" t="n">
        <x:v>329</x:v>
      </x:c>
      <x:c r="C658" t="n">
        <x:v>47</x:v>
      </x:c>
      <x:c r="D658" t="str">
        <x:v>午餐</x:v>
      </x:c>
      <x:c r="E658" t="str">
        <x:v>牛肉</x:v>
      </x:c>
      <x:c r="F658" s="10" t="str">
        <x:v>蚝香瘦牛肉配荷兰豆绿豆芽｜藜麦饭</x:v>
      </x:c>
      <x:c r="G658" s="10" t="str">
        <x:v>瘦牛肉165g、荷兰豆175g、绿豆芽110g、藜麦饭110g、烹调油5g</x:v>
      </x:c>
      <x:c r="H658" t="str">
        <x:v>藜麦饭</x:v>
      </x:c>
      <x:c r="I658" s="10" t="str">
        <x:v>低主食需求可将主食减1/3，另加100g非淀粉蔬菜（营养值需重算）</x:v>
      </x:c>
      <x:c r="J658" s="10" t="str">
        <x:v>低钠蚝油少量、姜蒜</x:v>
      </x:c>
      <x:c r="K658" t="str">
        <x:v>少油烩</x:v>
      </x:c>
      <x:c r="L658" s="10" t="str">
        <x:v>主食材和蔬菜少油少水烩熟，起锅前点少量蚝油；藜麦饭另煮熟或蒸好后同餐食用。</x:v>
      </x:c>
      <x:c r="M658" t="n">
        <x:v>30</x:v>
      </x:c>
      <x:c r="N658" t="n">
        <x:f>ROUND(SUM('食材明细'!H3938:H3943),0)</x:f>
        <x:v>491</x:v>
      </x:c>
      <x:c r="O658" t="n">
        <x:f>ROUND(SUM('食材明细'!J3938:J3943),1)</x:f>
        <x:v>47.7</x:v>
      </x:c>
      <x:c r="P658" t="n">
        <x:f>ROUND(SUM('食材明细'!L3938:L3943),1)</x:f>
        <x:v>43.2</x:v>
      </x:c>
      <x:c r="Q658" t="n">
        <x:f>ROUND(SUM('食材明细'!N3938:N3943),1)</x:f>
        <x:v>14.4</x:v>
      </x:c>
      <x:c r="R658" s="10" t="str">
        <x:v>调料尽量低盐，不加白砂糖；油重已计入热量。</x:v>
      </x:c>
    </x:row>
    <x:row r="659" ht="37" customHeight="1">
      <x:c r="A659" t="n">
        <x:v>658</x:v>
      </x:c>
      <x:c r="B659" t="n">
        <x:v>329</x:v>
      </x:c>
      <x:c r="C659" t="n">
        <x:v>47</x:v>
      </x:c>
      <x:c r="D659" t="str">
        <x:v>晚餐</x:v>
      </x:c>
      <x:c r="E659" t="str">
        <x:v>海鲜</x:v>
      </x:c>
      <x:c r="F659" s="10" t="str">
        <x:v>黑椒鱿鱼配菠菜冬瓜｜荞麦面</x:v>
      </x:c>
      <x:c r="G659" s="10" t="str">
        <x:v>鱿鱼160g、菠菜140g、冬瓜110g、荞麦面125g、烹调油5g</x:v>
      </x:c>
      <x:c r="H659" t="str">
        <x:v>荞麦面</x:v>
      </x:c>
      <x:c r="I659" s="10" t="str">
        <x:v>低主食需求可将主食减1/3，另加100g非淀粉蔬菜（营养值需重算）</x:v>
      </x:c>
      <x:c r="J659" s="10" t="str">
        <x:v>黑胡椒、蒜末</x:v>
      </x:c>
      <x:c r="K659" t="str">
        <x:v>少油烩</x:v>
      </x:c>
      <x:c r="L659" s="10" t="str">
        <x:v>锅加少量水和油，先把主食材煮熟，再烩两种蔬菜，收汁撒黑椒；面/魔芋丝煮熟后与菜合碗。</x:v>
      </x:c>
      <x:c r="M659" t="n">
        <x:v>20</x:v>
      </x:c>
      <x:c r="N659" t="n">
        <x:f>ROUND(SUM('食材明细'!H3944:H3949),0)</x:f>
        <x:v>375</x:v>
      </x:c>
      <x:c r="O659" t="n">
        <x:f>ROUND(SUM('食材明细'!J3944:J3949),1)</x:f>
        <x:v>36.7</x:v>
      </x:c>
      <x:c r="P659" t="n">
        <x:f>ROUND(SUM('食材明细'!L3944:L3949),1)</x:f>
        <x:v>37.8</x:v>
      </x:c>
      <x:c r="Q659" t="n">
        <x:f>ROUND(SUM('食材明细'!N3944:N3949),1)</x:f>
        <x:v>8.9</x:v>
      </x:c>
      <x:c r="R659" s="10" t="str">
        <x:v>调料尽量低盐，不加白砂糖；油重已计入热量。</x:v>
      </x:c>
    </x:row>
    <x:row r="660" ht="37" customHeight="1">
      <x:c r="A660" t="n">
        <x:v>659</x:v>
      </x:c>
      <x:c r="B660" t="n">
        <x:v>330</x:v>
      </x:c>
      <x:c r="C660" t="n">
        <x:v>48</x:v>
      </x:c>
      <x:c r="D660" t="str">
        <x:v>午餐</x:v>
      </x:c>
      <x:c r="E660" t="str">
        <x:v>鱼类</x:v>
      </x:c>
      <x:c r="F660" s="10" t="str">
        <x:v>番茄巴沙鱼配金针菇｜糙米饭</x:v>
      </x:c>
      <x:c r="G660" s="10" t="str">
        <x:v>巴沙鱼200g、番茄175g、金针菇110g、糙米饭150g、烹调油5g</x:v>
      </x:c>
      <x:c r="H660" t="str">
        <x:v>糙米饭</x:v>
      </x:c>
      <x:c r="I660" s="10" t="str">
        <x:v>低主食需求可将主食减1/3，另加100g非淀粉蔬菜（营养值需重算）</x:v>
      </x:c>
      <x:c r="J660" s="10" t="str">
        <x:v>番茄丁、黑胡椒</x:v>
      </x:c>
      <x:c r="K660" t="str">
        <x:v>炖煮</x:v>
      </x:c>
      <x:c r="L660" s="10" t="str">
        <x:v>鱼肉去刺，彻底做熟；番茄出汁后加入主食材和少量水，轻炖至熟，再放配菜；糙米饭另煮熟或蒸好后同餐食用。</x:v>
      </x:c>
      <x:c r="M660" t="n">
        <x:v>30</x:v>
      </x:c>
      <x:c r="N660" t="n">
        <x:f>ROUND(SUM('食材明细'!H3950:H3955),0)</x:f>
        <x:v>463</x:v>
      </x:c>
      <x:c r="O660" t="n">
        <x:f>ROUND(SUM('食材明细'!J3950:J3955),1)</x:f>
        <x:v>42.1</x:v>
      </x:c>
      <x:c r="P660" t="n">
        <x:f>ROUND(SUM('食材明细'!L3950:L3955),1)</x:f>
        <x:v>49.3</x:v>
      </x:c>
      <x:c r="Q660" t="n">
        <x:f>ROUND(SUM('食材明细'!N3950:N3955),1)</x:f>
        <x:v>11.5</x:v>
      </x:c>
      <x:c r="R660" s="10" t="str">
        <x:v>调料尽量低盐，不加白砂糖；油重已计入热量。</x:v>
      </x:c>
    </x:row>
    <x:row r="661" ht="37" customHeight="1">
      <x:c r="A661" t="n">
        <x:v>660</x:v>
      </x:c>
      <x:c r="B661" t="n">
        <x:v>330</x:v>
      </x:c>
      <x:c r="C661" t="n">
        <x:v>48</x:v>
      </x:c>
      <x:c r="D661" t="str">
        <x:v>晚餐</x:v>
      </x:c>
      <x:c r="E661" t="str">
        <x:v>豆蛋</x:v>
      </x:c>
      <x:c r="F661" s="10" t="str">
        <x:v>蚝香鸡蛋北豆腐烩番茄金针菇｜糙米饭</x:v>
      </x:c>
      <x:c r="G661" s="10" t="str">
        <x:v>鸡蛋110g、北豆腐130g、番茄140g、金针菇110g、糙米饭80g、烹调油3g</x:v>
      </x:c>
      <x:c r="H661" t="str">
        <x:v>糙米饭</x:v>
      </x:c>
      <x:c r="I661" s="10" t="str">
        <x:v>低主食需求可将主食减1/3，另加100g非淀粉蔬菜（营养值需重算）</x:v>
      </x:c>
      <x:c r="J661" s="10" t="str">
        <x:v>低钠蚝油少量、姜蒜</x:v>
      </x:c>
      <x:c r="K661" t="str">
        <x:v>少油烩</x:v>
      </x:c>
      <x:c r="L661" s="10" t="str">
        <x:v>鸡蛋先打散成蛋液；主食材和蔬菜少油少水烩熟，起锅前点少量蚝油；糙米饭另煮熟或蒸好后同餐食用。</x:v>
      </x:c>
      <x:c r="M661" t="n">
        <x:v>15</x:v>
      </x:c>
      <x:c r="N661" t="n">
        <x:f>ROUND(SUM('食材明细'!H3956:H3961),0)</x:f>
        <x:v>455</x:v>
      </x:c>
      <x:c r="O661" t="n">
        <x:f>ROUND(SUM('食材明细'!J3956:J3961),1)</x:f>
        <x:v>33.3</x:v>
      </x:c>
      <x:c r="P661" t="n">
        <x:f>ROUND(SUM('食材明细'!L3956:L3961),1)</x:f>
        <x:v>35.3</x:v>
      </x:c>
      <x:c r="Q661" t="n">
        <x:f>ROUND(SUM('食材明细'!N3956:N3961),1)</x:f>
        <x:v>21.7</x:v>
      </x:c>
      <x:c r="R661" s="10" t="str">
        <x:v>调料尽量低盐，不加白砂糖；油重已计入热量。</x:v>
      </x:c>
    </x:row>
    <x:row r="662" ht="37" customHeight="1">
      <x:c r="A662" t="n">
        <x:v>661</x:v>
      </x:c>
      <x:c r="B662" t="n">
        <x:v>331</x:v>
      </x:c>
      <x:c r="C662" t="n">
        <x:v>48</x:v>
      </x:c>
      <x:c r="D662" t="str">
        <x:v>午餐</x:v>
      </x:c>
      <x:c r="E662" t="str">
        <x:v>海鲜</x:v>
      </x:c>
      <x:c r="F662" s="10" t="str">
        <x:v>葱姜清蒸鱿鱼配芹菜白萝卜｜糙米饭</x:v>
      </x:c>
      <x:c r="G662" s="10" t="str">
        <x:v>鱿鱼190g、芹菜175g、白萝卜155g、糙米饭135g、烹调油4g</x:v>
      </x:c>
      <x:c r="H662" t="str">
        <x:v>糙米饭</x:v>
      </x:c>
      <x:c r="I662" s="10" t="str">
        <x:v>低主食需求可将主食减1/3，另加100g非淀粉蔬菜（营养值需重算）</x:v>
      </x:c>
      <x:c r="J662" s="10" t="str">
        <x:v>葱姜、少量低盐生抽</x:v>
      </x:c>
      <x:c r="K662" t="str">
        <x:v>蒸</x:v>
      </x:c>
      <x:c r="L662" s="10" t="str">
        <x:v>切片腌5分钟；肉和配菜入盘，蒸至熟透；淋葱姜汁；糙米饭另煮熟或蒸好后同餐食用。</x:v>
      </x:c>
      <x:c r="M662" t="n">
        <x:v>25</x:v>
      </x:c>
      <x:c r="N662" t="n">
        <x:f>ROUND(SUM('食材明细'!H3962:H3967),0)</x:f>
        <x:v>425</x:v>
      </x:c>
      <x:c r="O662" t="n">
        <x:f>ROUND(SUM('食材明细'!J3962:J3967),1)</x:f>
        <x:v>38.5</x:v>
      </x:c>
      <x:c r="P662" t="n">
        <x:f>ROUND(SUM('食材明细'!L3962:L3967),1)</x:f>
        <x:v>47.9</x:v>
      </x:c>
      <x:c r="Q662" t="n">
        <x:f>ROUND(SUM('食材明细'!N3962:N3967),1)</x:f>
        <x:v>8.2</x:v>
      </x:c>
      <x:c r="R662" s="10" t="str">
        <x:v>调料尽量低盐，不加白砂糖；油重已计入热量。</x:v>
      </x:c>
    </x:row>
    <x:row r="663" ht="37" customHeight="1">
      <x:c r="A663" t="n">
        <x:v>662</x:v>
      </x:c>
      <x:c r="B663" t="n">
        <x:v>331</x:v>
      </x:c>
      <x:c r="C663" t="n">
        <x:v>48</x:v>
      </x:c>
      <x:c r="D663" t="str">
        <x:v>晚餐</x:v>
      </x:c>
      <x:c r="E663" t="str">
        <x:v>豆蛋</x:v>
      </x:c>
      <x:c r="F663" s="10" t="str">
        <x:v>菌菇嫩豆腐虾仁烩竹笋口蘑｜白米饭</x:v>
      </x:c>
      <x:c r="G663" s="10" t="str">
        <x:v>嫩豆腐260g、虾仁85g、竹笋140g、口蘑155g、白米饭80g、烹调油5g</x:v>
      </x:c>
      <x:c r="H663" t="str">
        <x:v>白米饭</x:v>
      </x:c>
      <x:c r="I663" s="10" t="str">
        <x:v>低主食需求可将主食减1/3，另加100g非淀粉蔬菜（营养值需重算）</x:v>
      </x:c>
      <x:c r="J663" s="10" t="str">
        <x:v>姜片、香菇汁</x:v>
      </x:c>
      <x:c r="K663" t="str">
        <x:v>焖煮</x:v>
      </x:c>
      <x:c r="L663" s="10" t="str">
        <x:v>食材与菌菇加少量水焖熟，出锅前加少量低盐生抽；白米饭另煮熟或蒸好后同餐食用。</x:v>
      </x:c>
      <x:c r="M663" t="n">
        <x:v>30</x:v>
      </x:c>
      <x:c r="N663" t="n">
        <x:f>ROUND(SUM('食材明细'!H3968:H3973),0)</x:f>
        <x:v>429</x:v>
      </x:c>
      <x:c r="O663" t="n">
        <x:f>ROUND(SUM('食材明细'!J3968:J3973),1)</x:f>
        <x:v>39.7</x:v>
      </x:c>
      <x:c r="P663" t="n">
        <x:f>ROUND(SUM('食材明细'!L3968:L3973),1)</x:f>
        <x:v>38.4</x:v>
      </x:c>
      <x:c r="Q663" t="n">
        <x:f>ROUND(SUM('食材明细'!N3968:N3973),1)</x:f>
        <x:v>14.4</x:v>
      </x:c>
      <x:c r="R663" s="10" t="str">
        <x:v>调料尽量低盐，不加白砂糖；油重已计入热量。</x:v>
      </x:c>
    </x:row>
    <x:row r="664" ht="37" customHeight="1">
      <x:c r="A664" t="n">
        <x:v>663</x:v>
      </x:c>
      <x:c r="B664" t="n">
        <x:v>332</x:v>
      </x:c>
      <x:c r="C664" t="n">
        <x:v>48</x:v>
      </x:c>
      <x:c r="D664" t="str">
        <x:v>午餐</x:v>
      </x:c>
      <x:c r="E664" t="str">
        <x:v>豆蛋</x:v>
      </x:c>
      <x:c r="F664" s="10" t="str">
        <x:v>清汤北豆腐鸡蛋烩紫甘蓝金针菇｜魔芋丝</x:v>
      </x:c>
      <x:c r="G664" s="10" t="str">
        <x:v>北豆腐240g、鸡蛋60g、紫甘蓝190g、金针菇155g、魔芋丝130g、烹调油5g</x:v>
      </x:c>
      <x:c r="H664" t="str">
        <x:v>魔芋丝</x:v>
      </x:c>
      <x:c r="I664" s="10" t="str">
        <x:v>魔芋丝不是完整主食；饥饿可补杂粮饭或蒸薯类</x:v>
      </x:c>
      <x:c r="J664" s="10" t="str">
        <x:v>葱段、盐少量</x:v>
      </x:c>
      <x:c r="K664" t="str">
        <x:v>煮</x:v>
      </x:c>
      <x:c r="L664" s="10" t="str">
        <x:v>清水煮开，按熟化时间下食材，最后放叶菜，清淡调味；面/魔芋丝煮熟后与菜合碗。</x:v>
      </x:c>
      <x:c r="M664" t="n">
        <x:v>30</x:v>
      </x:c>
      <x:c r="N664" t="n">
        <x:f>ROUND(SUM('食材明细'!H3974:H3979),0)</x:f>
        <x:v>468</x:v>
      </x:c>
      <x:c r="O664" t="n">
        <x:f>ROUND(SUM('食材明细'!J3974:J3979),1)</x:f>
        <x:v>38.6</x:v>
      </x:c>
      <x:c r="P664" t="n">
        <x:f>ROUND(SUM('食材明细'!L3974:L3979),1)</x:f>
        <x:v>31.9</x:v>
      </x:c>
      <x:c r="Q664" t="n">
        <x:f>ROUND(SUM('食材明细'!N3974:N3979),1)</x:f>
        <x:v>23.5</x:v>
      </x:c>
      <x:c r="R664" s="10" t="str">
        <x:v>调料尽量低盐，不加白砂糖；油重已计入热量。魔芋丝低能量，不等于一份主食。</x:v>
      </x:c>
    </x:row>
    <x:row r="665" ht="37" customHeight="1">
      <x:c r="A665" t="n">
        <x:v>664</x:v>
      </x:c>
      <x:c r="B665" t="n">
        <x:v>332</x:v>
      </x:c>
      <x:c r="C665" t="n">
        <x:v>48</x:v>
      </x:c>
      <x:c r="D665" t="str">
        <x:v>晚餐</x:v>
      </x:c>
      <x:c r="E665" t="str">
        <x:v>海鲜</x:v>
      </x:c>
      <x:c r="F665" s="10" t="str">
        <x:v>黑椒扇贝肉配娃娃菜香菇｜燕麦饭</x:v>
      </x:c>
      <x:c r="G665" s="10" t="str">
        <x:v>扇贝肉170g、娃娃菜160g、香菇110g、燕麦饭95g、烹调油5g</x:v>
      </x:c>
      <x:c r="H665" t="str">
        <x:v>燕麦饭</x:v>
      </x:c>
      <x:c r="I665" s="10" t="str">
        <x:v>低主食需求可将主食减1/3，另加100g非淀粉蔬菜（营养值需重算）</x:v>
      </x:c>
      <x:c r="J665" s="10" t="str">
        <x:v>黑胡椒、蒜末</x:v>
      </x:c>
      <x:c r="K665" t="str">
        <x:v>少油烩</x:v>
      </x:c>
      <x:c r="L665" s="10" t="str">
        <x:v>锅加少量水和油，先把主食材煮熟，再烩两种蔬菜，收汁撒黑椒；燕麦饭另煮熟或蒸好后同餐食用。</x:v>
      </x:c>
      <x:c r="M665" t="n">
        <x:v>20</x:v>
      </x:c>
      <x:c r="N665" t="n">
        <x:f>ROUND(SUM('食材明细'!H3980:H3985),0)</x:f>
        <x:v>367</x:v>
      </x:c>
      <x:c r="O665" t="n">
        <x:f>ROUND(SUM('食材明细'!J3980:J3985),1)</x:f>
        <x:v>36.4</x:v>
      </x:c>
      <x:c r="P665" t="n">
        <x:f>ROUND(SUM('食材明细'!L3980:L3985),1)</x:f>
        <x:v>37.3</x:v>
      </x:c>
      <x:c r="Q665" t="n">
        <x:f>ROUND(SUM('食材明细'!N3980:N3985),1)</x:f>
        <x:v>8.9</x:v>
      </x:c>
      <x:c r="R665" s="10" t="str">
        <x:v>调料尽量低盐，不加白砂糖；油重已计入热量。</x:v>
      </x:c>
    </x:row>
    <x:row r="666" ht="37" customHeight="1">
      <x:c r="A666" t="n">
        <x:v>665</x:v>
      </x:c>
      <x:c r="B666" t="n">
        <x:v>333</x:v>
      </x:c>
      <x:c r="C666" t="n">
        <x:v>48</x:v>
      </x:c>
      <x:c r="D666" t="str">
        <x:v>午餐</x:v>
      </x:c>
      <x:c r="E666" t="str">
        <x:v>牛肉</x:v>
      </x:c>
      <x:c r="F666" s="10" t="str">
        <x:v>豉汁瘦牛肉配莴笋口蘑｜糙米饭</x:v>
      </x:c>
      <x:c r="G666" s="10" t="str">
        <x:v>瘦牛肉155g、莴笋140g、口蘑110g、糙米饭125g、烹调油4g</x:v>
      </x:c>
      <x:c r="H666" t="str">
        <x:v>糙米饭</x:v>
      </x:c>
      <x:c r="I666" s="10" t="str">
        <x:v>低主食需求可将主食减1/3，另加100g非淀粉蔬菜（营养值需重算）</x:v>
      </x:c>
      <x:c r="J666" s="10" t="str">
        <x:v>少量豆豉、姜末</x:v>
      </x:c>
      <x:c r="K666" t="str">
        <x:v>蒸</x:v>
      </x:c>
      <x:c r="L666" s="10" t="str">
        <x:v>豆豉冲洗剁碎，与姜末拌主食材后蒸熟；蔬菜另煮；糙米饭另煮熟或蒸好后同餐食用。</x:v>
      </x:c>
      <x:c r="M666" t="n">
        <x:v>15</x:v>
      </x:c>
      <x:c r="N666" t="n">
        <x:f>ROUND(SUM('食材明细'!H3986:H3991),0)</x:f>
        <x:v>415</x:v>
      </x:c>
      <x:c r="O666" t="n">
        <x:f>ROUND(SUM('食材明细'!J3986:J3991),1)</x:f>
        <x:v>40.6</x:v>
      </x:c>
      <x:c r="P666" t="n">
        <x:f>ROUND(SUM('食材明细'!L3986:L3991),1)</x:f>
        <x:v>36.9</x:v>
      </x:c>
      <x:c r="Q666" t="n">
        <x:f>ROUND(SUM('食材明细'!N3986:N3991),1)</x:f>
        <x:v>11.8</x:v>
      </x:c>
      <x:c r="R666" s="10" t="str">
        <x:v>调料尽量低盐，不加白砂糖；油重已计入热量。</x:v>
      </x:c>
    </x:row>
    <x:row r="667" ht="37" customHeight="1">
      <x:c r="A667" t="n">
        <x:v>666</x:v>
      </x:c>
      <x:c r="B667" t="n">
        <x:v>333</x:v>
      </x:c>
      <x:c r="C667" t="n">
        <x:v>48</x:v>
      </x:c>
      <x:c r="D667" t="str">
        <x:v>晚餐</x:v>
      </x:c>
      <x:c r="E667" t="str">
        <x:v>牛肉</x:v>
      </x:c>
      <x:c r="F667" s="10" t="str">
        <x:v>无糖照烧牛腱子配娃娃菜洋葱｜乌冬面</x:v>
      </x:c>
      <x:c r="G667" s="10" t="str">
        <x:v>牛腱子160g、娃娃菜160g、洋葱140g、乌冬面125g、烹调油6g</x:v>
      </x:c>
      <x:c r="H667" t="str">
        <x:v>乌冬面</x:v>
      </x:c>
      <x:c r="I667" s="10" t="str">
        <x:v>低主食需求可将主食减1/3，另加100g非淀粉蔬菜（营养值需重算）</x:v>
      </x:c>
      <x:c r="J667" s="10" t="str">
        <x:v>低盐生抽、米醋、洋葱自然甜味</x:v>
      </x:c>
      <x:c r="K667" t="str">
        <x:v>少油煮</x:v>
      </x:c>
      <x:c r="L667" s="10" t="str">
        <x:v>生抽与米醋调汁，不加糖；肉菜加水煮熟后略收汁；面/魔芋丝煮熟后与菜合碗。</x:v>
      </x:c>
      <x:c r="M667" t="n">
        <x:v>25</x:v>
      </x:c>
      <x:c r="N667" t="n">
        <x:f>ROUND(SUM('食材明细'!H3992:H3997),0)</x:f>
        <x:v>511</x:v>
      </x:c>
      <x:c r="O667" t="n">
        <x:f>ROUND(SUM('食材明细'!J3992:J3997),1)</x:f>
        <x:v>40.4</x:v>
      </x:c>
      <x:c r="P667" t="n">
        <x:f>ROUND(SUM('食材明细'!L3992:L3997),1)</x:f>
        <x:v>49.1</x:v>
      </x:c>
      <x:c r="Q667" t="n">
        <x:f>ROUND(SUM('食材明细'!N3992:N3997),1)</x:f>
        <x:v>16.8</x:v>
      </x:c>
      <x:c r="R667" s="10" t="str">
        <x:v>调料尽量低盐，不加白砂糖；油重已计入热量。</x:v>
      </x:c>
    </x:row>
    <x:row r="668" ht="37" customHeight="1">
      <x:c r="A668" t="n">
        <x:v>667</x:v>
      </x:c>
      <x:c r="B668" t="n">
        <x:v>334</x:v>
      </x:c>
      <x:c r="C668" t="n">
        <x:v>48</x:v>
      </x:c>
      <x:c r="D668" t="str">
        <x:v>午餐</x:v>
      </x:c>
      <x:c r="E668" t="str">
        <x:v>牛肉</x:v>
      </x:c>
      <x:c r="F668" s="10" t="str">
        <x:v>孜然瘦牛肉配油麦菜彩椒｜山药</x:v>
      </x:c>
      <x:c r="G668" s="10" t="str">
        <x:v>瘦牛肉175g、油麦菜160g、彩椒125g、山药165g、烹调油5g</x:v>
      </x:c>
      <x:c r="H668" t="str">
        <x:v>山药</x:v>
      </x:c>
      <x:c r="I668" s="10" t="str">
        <x:v>想减主食可减到原量2/3，另加100g绿叶菜</x:v>
      </x:c>
      <x:c r="J668" s="10" t="str">
        <x:v>孜然、辣椒粉、蒜末</x:v>
      </x:c>
      <x:c r="K668" t="str">
        <x:v>少油焖</x:v>
      </x:c>
      <x:c r="L668" s="10" t="str">
        <x:v>主食材用少量油和水焖熟，下蔬菜翻拌，撒孜然；山药另煮熟或蒸好后同餐食用。</x:v>
      </x:c>
      <x:c r="M668" t="n">
        <x:v>25</x:v>
      </x:c>
      <x:c r="N668" t="n">
        <x:f>ROUND(SUM('食材明细'!H3998:H4003),0)</x:f>
        <x:v>429</x:v>
      </x:c>
      <x:c r="O668" t="n">
        <x:f>ROUND(SUM('食材明细'!J3998:J4003),1)</x:f>
        <x:v>42.7</x:v>
      </x:c>
      <x:c r="P668" t="n">
        <x:f>ROUND(SUM('食材明细'!L3998:L4003),1)</x:f>
        <x:v>35.9</x:v>
      </x:c>
      <x:c r="Q668" t="n">
        <x:f>ROUND(SUM('食材明细'!N3998:N4003),1)</x:f>
        <x:v>12.7</x:v>
      </x:c>
      <x:c r="R668" s="10" t="str">
        <x:v>调料尽量低盐，不加白砂糖；油重已计入热量。</x:v>
      </x:c>
    </x:row>
    <x:row r="669" ht="37" customHeight="1">
      <x:c r="A669" t="n">
        <x:v>668</x:v>
      </x:c>
      <x:c r="B669" t="n">
        <x:v>334</x:v>
      </x:c>
      <x:c r="C669" t="n">
        <x:v>48</x:v>
      </x:c>
      <x:c r="D669" t="str">
        <x:v>晚餐</x:v>
      </x:c>
      <x:c r="E669" t="str">
        <x:v>鱼类</x:v>
      </x:c>
      <x:c r="F669" s="10" t="str">
        <x:v>花椒鲈鱼配冬瓜彩椒｜燕麦饭</x:v>
      </x:c>
      <x:c r="G669" s="10" t="str">
        <x:v>鲈鱼200g、冬瓜160g、彩椒110g、燕麦饭95g、烹调油6g</x:v>
      </x:c>
      <x:c r="H669" t="str">
        <x:v>燕麦饭</x:v>
      </x:c>
      <x:c r="I669" s="10" t="str">
        <x:v>低主食需求可将主食减1/3，另加100g非淀粉蔬菜（营养值需重算）</x:v>
      </x:c>
      <x:c r="J669" s="10" t="str">
        <x:v>花椒粉、姜丝</x:v>
      </x:c>
      <x:c r="K669" t="str">
        <x:v>蒸</x:v>
      </x:c>
      <x:c r="L669" s="10" t="str">
        <x:v>鱼肉去刺，彻底做熟；薄薄撒花椒和姜丝，蒸至熟透，搭配焯青菜；燕麦饭另煮熟或蒸好后同餐食用。</x:v>
      </x:c>
      <x:c r="M669" t="n">
        <x:v>25</x:v>
      </x:c>
      <x:c r="N669" t="n">
        <x:f>ROUND(SUM('食材明细'!H4004:H4009),0)</x:f>
        <x:v>419</x:v>
      </x:c>
      <x:c r="O669" t="n">
        <x:f>ROUND(SUM('食材明细'!J4004:J4009),1)</x:f>
        <x:v>42.8</x:v>
      </x:c>
      <x:c r="P669" t="n">
        <x:f>ROUND(SUM('食材明细'!L4004:L4009),1)</x:f>
        <x:v>31.5</x:v>
      </x:c>
      <x:c r="Q669" t="n">
        <x:f>ROUND(SUM('食材明细'!N4004:N4009),1)</x:f>
        <x:v>14.3</x:v>
      </x:c>
      <x:c r="R669" s="10" t="str">
        <x:v>调料尽量低盐，不加白砂糖；油重已计入热量。</x:v>
      </x:c>
    </x:row>
    <x:row r="670" ht="37" customHeight="1">
      <x:c r="A670" t="n">
        <x:v>669</x:v>
      </x:c>
      <x:c r="B670" t="n">
        <x:v>335</x:v>
      </x:c>
      <x:c r="C670" t="n">
        <x:v>48</x:v>
      </x:c>
      <x:c r="D670" t="str">
        <x:v>午餐</x:v>
      </x:c>
      <x:c r="E670" t="str">
        <x:v>海鲜</x:v>
      </x:c>
      <x:c r="F670" s="10" t="str">
        <x:v>柠檬扇贝肉配冬瓜香菇｜全麦面</x:v>
      </x:c>
      <x:c r="G670" s="10" t="str">
        <x:v>扇贝肉190g、冬瓜140g、香菇155g、全麦面165g、烹调油5g</x:v>
      </x:c>
      <x:c r="H670" t="str">
        <x:v>全麦面</x:v>
      </x:c>
      <x:c r="I670" s="10" t="str">
        <x:v>低主食需求可将主食减1/3，另加100g非淀粉蔬菜（营养值需重算）</x:v>
      </x:c>
      <x:c r="J670" s="10" t="str">
        <x:v>柠檬片、白胡椒</x:v>
      </x:c>
      <x:c r="K670" t="str">
        <x:v>蒸</x:v>
      </x:c>
      <x:c r="L670" s="10" t="str">
        <x:v>柠檬片垫底，主食材蒸熟，蔬菜短焯后摆盘；面/魔芋丝煮熟后与菜合碗。</x:v>
      </x:c>
      <x:c r="M670" t="n">
        <x:v>20</x:v>
      </x:c>
      <x:c r="N670" t="n">
        <x:f>ROUND(SUM('食材明细'!H4010:H4015),0)</x:f>
        <x:v>492</x:v>
      </x:c>
      <x:c r="O670" t="n">
        <x:f>ROUND(SUM('食材明细'!J4010:J4015),1)</x:f>
        <x:v>44.5</x:v>
      </x:c>
      <x:c r="P670" t="n">
        <x:f>ROUND(SUM('食材明细'!L4010:L4015),1)</x:f>
        <x:v>61.7</x:v>
      </x:c>
      <x:c r="Q670" t="n">
        <x:f>ROUND(SUM('食材明细'!N4010:N4015),1)</x:f>
        <x:v>9.4</x:v>
      </x:c>
      <x:c r="R670" s="10" t="str">
        <x:v>调料尽量低盐，不加白砂糖；油重已计入热量。</x:v>
      </x:c>
    </x:row>
    <x:row r="671" ht="37" customHeight="1">
      <x:c r="A671" t="n">
        <x:v>670</x:v>
      </x:c>
      <x:c r="B671" t="n">
        <x:v>335</x:v>
      </x:c>
      <x:c r="C671" t="n">
        <x:v>48</x:v>
      </x:c>
      <x:c r="D671" t="str">
        <x:v>晚餐</x:v>
      </x:c>
      <x:c r="E671" t="str">
        <x:v>牛肉</x:v>
      </x:c>
      <x:c r="F671" s="10" t="str">
        <x:v>香醋牛里脊配番茄泡发木耳｜玉米</x:v>
      </x:c>
      <x:c r="G671" s="10" t="str">
        <x:v>牛里脊170g、番茄175g、泡发木耳125g、玉米80g、烹调油3g</x:v>
      </x:c>
      <x:c r="H671" t="str">
        <x:v>玉米</x:v>
      </x:c>
      <x:c r="I671" s="10" t="str">
        <x:v>想减主食可减到原量2/3，另加100g绿叶菜</x:v>
      </x:c>
      <x:c r="J671" s="10" t="str">
        <x:v>香醋、蒜末、少量生抽</x:v>
      </x:c>
      <x:c r="K671" t="str">
        <x:v>水煮</x:v>
      </x:c>
      <x:c r="L671" s="10" t="str">
        <x:v>食材分别煮至熟，淋香醋蒜汁，拌匀即食；玉米另煮熟或蒸好后同餐食用。</x:v>
      </x:c>
      <x:c r="M671" t="n">
        <x:v>25</x:v>
      </x:c>
      <x:c r="N671" t="n">
        <x:f>ROUND(SUM('食材明细'!H4016:H4021),0)</x:f>
        <x:v>398</x:v>
      </x:c>
      <x:c r="O671" t="n">
        <x:f>ROUND(SUM('食材明细'!J4016:J4021),1)</x:f>
        <x:v>41.9</x:v>
      </x:c>
      <x:c r="P671" t="n">
        <x:f>ROUND(SUM('食材明细'!L4016:L4021),1)</x:f>
        <x:v>32.1</x:v>
      </x:c>
      <x:c r="Q671" t="n">
        <x:f>ROUND(SUM('食材明细'!N4016:N4021),1)</x:f>
        <x:v>12.8</x:v>
      </x:c>
      <x:c r="R671" s="10" t="str">
        <x:v>调料尽量低盐，不加白砂糖；油重已计入热量。</x:v>
      </x:c>
    </x:row>
    <x:row r="672" ht="37" customHeight="1">
      <x:c r="A672" t="n">
        <x:v>671</x:v>
      </x:c>
      <x:c r="B672" t="n">
        <x:v>336</x:v>
      </x:c>
      <x:c r="C672" t="n">
        <x:v>48</x:v>
      </x:c>
      <x:c r="D672" t="str">
        <x:v>午餐</x:v>
      </x:c>
      <x:c r="E672" t="str">
        <x:v>猪肉</x:v>
      </x:c>
      <x:c r="F672" s="10" t="str">
        <x:v>蒜香猪里脊配莴笋番茄｜白米饭</x:v>
      </x:c>
      <x:c r="G672" s="10" t="str">
        <x:v>猪里脊185g、莴笋190g、番茄125g、白米饭135g、烹调油5g</x:v>
      </x:c>
      <x:c r="H672" t="str">
        <x:v>白米饭</x:v>
      </x:c>
      <x:c r="I672" s="10" t="str">
        <x:v>低主食需求可将主食减1/3，另加100g非淀粉蔬菜（营养值需重算）</x:v>
      </x:c>
      <x:c r="J672" s="10" t="str">
        <x:v>蒜末、白胡椒</x:v>
      </x:c>
      <x:c r="K672" t="str">
        <x:v>蒸</x:v>
      </x:c>
      <x:c r="L672" s="10" t="str">
        <x:v>食材切块，撒蒜末；上锅蒸熟，蔬菜另焯后拌匀；白米饭另煮熟或蒸好后同餐食用。</x:v>
      </x:c>
      <x:c r="M672" t="n">
        <x:v>30</x:v>
      </x:c>
      <x:c r="N672" t="n">
        <x:f>ROUND(SUM('食材明细'!H4022:H4027),0)</x:f>
        <x:v>477</x:v>
      </x:c>
      <x:c r="O672" t="n">
        <x:f>ROUND(SUM('食材明细'!J4022:J4027),1)</x:f>
        <x:v>45.4</x:v>
      </x:c>
      <x:c r="P672" t="n">
        <x:f>ROUND(SUM('食材明细'!L4022:L4027),1)</x:f>
        <x:v>44.9</x:v>
      </x:c>
      <x:c r="Q672" t="n">
        <x:f>ROUND(SUM('食材明细'!N4022:N4027),1)</x:f>
        <x:v>12.3</x:v>
      </x:c>
      <x:c r="R672" s="10" t="str">
        <x:v>调料尽量低盐，不加白砂糖；油重已计入热量。</x:v>
      </x:c>
    </x:row>
    <x:row r="673" ht="37" customHeight="1">
      <x:c r="A673" t="n">
        <x:v>672</x:v>
      </x:c>
      <x:c r="B673" t="n">
        <x:v>336</x:v>
      </x:c>
      <x:c r="C673" t="n">
        <x:v>48</x:v>
      </x:c>
      <x:c r="D673" t="str">
        <x:v>晚餐</x:v>
      </x:c>
      <x:c r="E673" t="str">
        <x:v>禽肉</x:v>
      </x:c>
      <x:c r="F673" s="10" t="str">
        <x:v>椒麻去皮鸡腿肉配菜心丝瓜｜燕麦饭</x:v>
      </x:c>
      <x:c r="G673" s="10" t="str">
        <x:v>去皮鸡腿肉145g、菜心190g、丝瓜110g、燕麦饭80g、烹调油3g</x:v>
      </x:c>
      <x:c r="H673" t="str">
        <x:v>燕麦饭</x:v>
      </x:c>
      <x:c r="I673" s="10" t="str">
        <x:v>低主食需求可将主食减1/3，另加100g非淀粉蔬菜（营养值需重算）</x:v>
      </x:c>
      <x:c r="J673" s="10" t="str">
        <x:v>花椒、蒜、少量醋</x:v>
      </x:c>
      <x:c r="K673" t="str">
        <x:v>水煮</x:v>
      </x:c>
      <x:c r="L673" s="10" t="str">
        <x:v>先去皮去骨并切薄，充分加热；花椒温水浸出味道，煮熟主食材和配菜，少油拌汁；燕麦饭另煮熟或蒸好后同餐食用。</x:v>
      </x:c>
      <x:c r="M673" t="n">
        <x:v>20</x:v>
      </x:c>
      <x:c r="N673" t="n">
        <x:f>ROUND(SUM('食材明细'!H4028:H4033),0)</x:f>
        <x:v>356</x:v>
      </x:c>
      <x:c r="O673" t="n">
        <x:f>ROUND(SUM('食材明细'!J4028:J4033),1)</x:f>
        <x:v>36.5</x:v>
      </x:c>
      <x:c r="P673" t="n">
        <x:f>ROUND(SUM('食材明细'!L4028:L4033),1)</x:f>
        <x:v>27.9</x:v>
      </x:c>
      <x:c r="Q673" t="n">
        <x:f>ROUND(SUM('食材明细'!N4028:N4033),1)</x:f>
        <x:v>12.5</x:v>
      </x:c>
      <x:c r="R673" s="10" t="str">
        <x:v>调料尽量低盐，不加白砂糖；油重已计入热量。</x:v>
      </x:c>
    </x:row>
    <x:row r="674" ht="37" customHeight="1">
      <x:c r="A674" t="n">
        <x:v>673</x:v>
      </x:c>
      <x:c r="B674" t="n">
        <x:v>337</x:v>
      </x:c>
      <x:c r="C674" t="n">
        <x:v>49</x:v>
      </x:c>
      <x:c r="D674" t="str">
        <x:v>午餐</x:v>
      </x:c>
      <x:c r="E674" t="str">
        <x:v>豆蛋</x:v>
      </x:c>
      <x:c r="F674" s="10" t="str">
        <x:v>剁椒嫩豆腐鸡蛋烩油麦菜花菜｜杂粮饭</x:v>
      </x:c>
      <x:c r="G674" s="10" t="str">
        <x:v>嫩豆腐260g、鸡蛋85g、油麦菜140g、花菜140g、杂粮饭150g、烹调油5g</x:v>
      </x:c>
      <x:c r="H674" t="str">
        <x:v>杂粮饭</x:v>
      </x:c>
      <x:c r="I674" s="10" t="str">
        <x:v>低主食需求可将主食减1/3，另加100g非淀粉蔬菜（营养值需重算）</x:v>
      </x:c>
      <x:c r="J674" s="10" t="str">
        <x:v>自制低盐剁椒、蒜</x:v>
      </x:c>
      <x:c r="K674" t="str">
        <x:v>蒸</x:v>
      </x:c>
      <x:c r="L674" s="10" t="str">
        <x:v>主食材铺少量低盐剁椒蒸熟，配菜焯熟后摆盘；杂粮饭另煮熟或蒸好后同餐食用。</x:v>
      </x:c>
      <x:c r="M674" t="n">
        <x:v>15</x:v>
      </x:c>
      <x:c r="N674" t="n">
        <x:f>ROUND(SUM('食材明细'!H4034:H4039),0)</x:f>
        <x:v>543</x:v>
      </x:c>
      <x:c r="O674" t="n">
        <x:f>ROUND(SUM('食材明细'!J4034:J4039),1)</x:f>
        <x:v>33.5</x:v>
      </x:c>
      <x:c r="P674" t="n">
        <x:f>ROUND(SUM('食材明细'!L4034:L4039),1)</x:f>
        <x:v>52.7</x:v>
      </x:c>
      <x:c r="Q674" t="n">
        <x:f>ROUND(SUM('食材明细'!N4034:N4039),1)</x:f>
        <x:v>23.1</x:v>
      </x:c>
      <x:c r="R674" s="10" t="str">
        <x:v>调料尽量低盐，不加白砂糖；油重已计入热量。</x:v>
      </x:c>
    </x:row>
    <x:row r="675" ht="37" customHeight="1">
      <x:c r="A675" t="n">
        <x:v>674</x:v>
      </x:c>
      <x:c r="B675" t="n">
        <x:v>337</x:v>
      </x:c>
      <x:c r="C675" t="n">
        <x:v>49</x:v>
      </x:c>
      <x:c r="D675" t="str">
        <x:v>晚餐</x:v>
      </x:c>
      <x:c r="E675" t="str">
        <x:v>禽肉</x:v>
      </x:c>
      <x:c r="F675" s="10" t="str">
        <x:v>番茄去皮鸡腿肉配西兰花｜糙米饭</x:v>
      </x:c>
      <x:c r="G675" s="10" t="str">
        <x:v>去皮鸡腿肉180g、番茄140g、西兰花125g、糙米饭95g、烹调油4g</x:v>
      </x:c>
      <x:c r="H675" t="str">
        <x:v>糙米饭</x:v>
      </x:c>
      <x:c r="I675" s="10" t="str">
        <x:v>低主食需求可将主食减1/3，另加100g非淀粉蔬菜（营养值需重算）</x:v>
      </x:c>
      <x:c r="J675" s="10" t="str">
        <x:v>番茄丁、黑胡椒</x:v>
      </x:c>
      <x:c r="K675" t="str">
        <x:v>炖煮</x:v>
      </x:c>
      <x:c r="L675" s="10" t="str">
        <x:v>先去皮去骨并切薄，充分加热；番茄出汁后加入主食材和少量水，轻炖至熟，再放配菜；糙米饭另煮熟或蒸好后同餐食用。</x:v>
      </x:c>
      <x:c r="M675" t="n">
        <x:v>35</x:v>
      </x:c>
      <x:c r="N675" t="n">
        <x:f>ROUND(SUM('食材明细'!H4040:H4045),0)</x:f>
        <x:v>438</x:v>
      </x:c>
      <x:c r="O675" t="n">
        <x:f>ROUND(SUM('食材明细'!J4040:J4045),1)</x:f>
        <x:v>43.2</x:v>
      </x:c>
      <x:c r="P675" t="n">
        <x:f>ROUND(SUM('食材明细'!L4040:L4045),1)</x:f>
        <x:v>36.7</x:v>
      </x:c>
      <x:c r="Q675" t="n">
        <x:f>ROUND(SUM('食材明细'!N4040:N4045),1)</x:f>
        <x:v>14.6</x:v>
      </x:c>
      <x:c r="R675" s="10" t="str">
        <x:v>调料尽量低盐，不加白砂糖；油重已计入热量。</x:v>
      </x:c>
    </x:row>
    <x:row r="676" ht="37" customHeight="1">
      <x:c r="A676" t="n">
        <x:v>675</x:v>
      </x:c>
      <x:c r="B676" t="n">
        <x:v>338</x:v>
      </x:c>
      <x:c r="C676" t="n">
        <x:v>49</x:v>
      </x:c>
      <x:c r="D676" t="str">
        <x:v>午餐</x:v>
      </x:c>
      <x:c r="E676" t="str">
        <x:v>禽肉</x:v>
      </x:c>
      <x:c r="F676" s="10" t="str">
        <x:v>菌菇鸡胸肉配紫甘蓝杏鲍菇｜糙米饭</x:v>
      </x:c>
      <x:c r="G676" s="10" t="str">
        <x:v>鸡胸肉175g、嫩豆腐160g、紫甘蓝160g、杏鲍菇155g、糙米饭125g、烹调油3g</x:v>
      </x:c>
      <x:c r="H676" t="str">
        <x:v>糙米饭</x:v>
      </x:c>
      <x:c r="I676" s="10" t="str">
        <x:v>低主食需求可将主食减1/3，另加100g非淀粉蔬菜（营养值需重算）</x:v>
      </x:c>
      <x:c r="J676" s="10" t="str">
        <x:v>姜片、香菇汁</x:v>
      </x:c>
      <x:c r="K676" t="str">
        <x:v>焖煮</x:v>
      </x:c>
      <x:c r="L676" s="10" t="str">
        <x:v>食材与菌菇加少量水焖熟，出锅前加少量低盐生抽；糙米饭另煮熟或蒸好后同餐食用。</x:v>
      </x:c>
      <x:c r="M676" t="n">
        <x:v>20</x:v>
      </x:c>
      <x:c r="N676" t="n">
        <x:f>ROUND(SUM('食材明细'!H4046:H4051),0)</x:f>
        <x:v>551</x:v>
      </x:c>
      <x:c r="O676" t="n">
        <x:f>ROUND(SUM('食材明细'!J4046:J4051),1)</x:f>
        <x:v>56.8</x:v>
      </x:c>
      <x:c r="P676" t="n">
        <x:f>ROUND(SUM('食材明细'!L4046:L4051),1)</x:f>
        <x:v>55.7</x:v>
      </x:c>
      <x:c r="Q676" t="n">
        <x:f>ROUND(SUM('食材明细'!N4046:N4051),1)</x:f>
        <x:v>12.7</x:v>
      </x:c>
      <x:c r="R676" s="10" t="str">
        <x:v>调料尽量低盐，不加白砂糖；油重已计入热量。</x:v>
      </x:c>
    </x:row>
    <x:row r="677" ht="37" customHeight="1">
      <x:c r="A677" t="n">
        <x:v>676</x:v>
      </x:c>
      <x:c r="B677" t="n">
        <x:v>338</x:v>
      </x:c>
      <x:c r="C677" t="n">
        <x:v>49</x:v>
      </x:c>
      <x:c r="D677" t="str">
        <x:v>晚餐</x:v>
      </x:c>
      <x:c r="E677" t="str">
        <x:v>猪肉</x:v>
      </x:c>
      <x:c r="F677" s="10" t="str">
        <x:v>黑椒猪里脊配芹菜口蘑｜紫薯</x:v>
      </x:c>
      <x:c r="G677" s="10" t="str">
        <x:v>猪里脊145g、芹菜175g、口蘑155g、紫薯125g、烹调油4g</x:v>
      </x:c>
      <x:c r="H677" t="str">
        <x:v>紫薯</x:v>
      </x:c>
      <x:c r="I677" s="10" t="str">
        <x:v>想减主食可减到原量2/3，另加100g绿叶菜</x:v>
      </x:c>
      <x:c r="J677" s="10" t="str">
        <x:v>黑胡椒、蒜末</x:v>
      </x:c>
      <x:c r="K677" t="str">
        <x:v>少油烩</x:v>
      </x:c>
      <x:c r="L677" s="10" t="str">
        <x:v>锅加少量水和油，先把主食材煮熟，再烩两种蔬菜，收汁撒黑椒；紫薯另煮熟或蒸好后同餐食用。</x:v>
      </x:c>
      <x:c r="M677" t="n">
        <x:v>25</x:v>
      </x:c>
      <x:c r="N677" t="n">
        <x:f>ROUND(SUM('食材明细'!H4052:H4057),0)</x:f>
        <x:v>393</x:v>
      </x:c>
      <x:c r="O677" t="n">
        <x:f>ROUND(SUM('食材明细'!J4052:J4057),1)</x:f>
        <x:v>39</x:v>
      </x:c>
      <x:c r="P677" t="n">
        <x:f>ROUND(SUM('食材明细'!L4052:L4057),1)</x:f>
        <x:v>38.8</x:v>
      </x:c>
      <x:c r="Q677" t="n">
        <x:f>ROUND(SUM('食材明细'!N4052:N4057),1)</x:f>
        <x:v>9.9</x:v>
      </x:c>
      <x:c r="R677" s="10" t="str">
        <x:v>调料尽量低盐，不加白砂糖；油重已计入热量。</x:v>
      </x:c>
    </x:row>
    <x:row r="678" ht="37" customHeight="1">
      <x:c r="A678" t="n">
        <x:v>677</x:v>
      </x:c>
      <x:c r="B678" t="n">
        <x:v>339</x:v>
      </x:c>
      <x:c r="C678" t="n">
        <x:v>49</x:v>
      </x:c>
      <x:c r="D678" t="str">
        <x:v>午餐</x:v>
      </x:c>
      <x:c r="E678" t="str">
        <x:v>猪肉</x:v>
      </x:c>
      <x:c r="F678" s="10" t="str">
        <x:v>花椒猪里脊配苦瓜泡发木耳｜杂粮饭</x:v>
      </x:c>
      <x:c r="G678" s="10" t="str">
        <x:v>猪里脊155g、苦瓜175g、泡发木耳140g、杂粮饭125g、烹调油5g</x:v>
      </x:c>
      <x:c r="H678" t="str">
        <x:v>杂粮饭</x:v>
      </x:c>
      <x:c r="I678" s="10" t="str">
        <x:v>低主食需求可将主食减1/3，另加100g非淀粉蔬菜（营养值需重算）</x:v>
      </x:c>
      <x:c r="J678" s="10" t="str">
        <x:v>花椒粉、姜丝</x:v>
      </x:c>
      <x:c r="K678" t="str">
        <x:v>蒸</x:v>
      </x:c>
      <x:c r="L678" s="10" t="str">
        <x:v>薄薄撒花椒和姜丝，蒸至熟透，搭配焯青菜；杂粮饭另煮熟或蒸好后同餐食用。</x:v>
      </x:c>
      <x:c r="M678" t="n">
        <x:v>20</x:v>
      </x:c>
      <x:c r="N678" t="n">
        <x:f>ROUND(SUM('食材明细'!H4058:H4063),0)</x:f>
        <x:v>443</x:v>
      </x:c>
      <x:c r="O678" t="n">
        <x:f>ROUND(SUM('食材明细'!J4058:J4063),1)</x:f>
        <x:v>40.3</x:v>
      </x:c>
      <x:c r="P678" t="n">
        <x:f>ROUND(SUM('食材明细'!L4058:L4063),1)</x:f>
        <x:v>45</x:v>
      </x:c>
      <x:c r="Q678" t="n">
        <x:f>ROUND(SUM('食材明细'!N4058:N4063),1)</x:f>
        <x:v>12.3</x:v>
      </x:c>
      <x:c r="R678" s="10" t="str">
        <x:v>调料尽量低盐，不加白砂糖；油重已计入热量。</x:v>
      </x:c>
    </x:row>
    <x:row r="679" ht="37" customHeight="1">
      <x:c r="A679" t="n">
        <x:v>678</x:v>
      </x:c>
      <x:c r="B679" t="n">
        <x:v>339</x:v>
      </x:c>
      <x:c r="C679" t="n">
        <x:v>49</x:v>
      </x:c>
      <x:c r="D679" t="str">
        <x:v>晚餐</x:v>
      </x:c>
      <x:c r="E679" t="str">
        <x:v>鱼类</x:v>
      </x:c>
      <x:c r="F679" s="10" t="str">
        <x:v>蒜香巴沙鱼配芹菜小白菜｜土豆</x:v>
      </x:c>
      <x:c r="G679" s="10" t="str">
        <x:v>巴沙鱼175g、芹菜190g、小白菜125g、土豆170g、烹调油3g</x:v>
      </x:c>
      <x:c r="H679" t="str">
        <x:v>土豆</x:v>
      </x:c>
      <x:c r="I679" s="10" t="str">
        <x:v>想减主食可减到原量2/3，另加100g绿叶菜</x:v>
      </x:c>
      <x:c r="J679" s="10" t="str">
        <x:v>蒜末、白胡椒</x:v>
      </x:c>
      <x:c r="K679" t="str">
        <x:v>蒸</x:v>
      </x:c>
      <x:c r="L679" s="10" t="str">
        <x:v>鱼肉去刺，彻底做熟；食材切块，撒蒜末；上锅蒸熟，蔬菜另焯后拌匀；土豆另煮熟或蒸好后同餐食用。</x:v>
      </x:c>
      <x:c r="M679" t="n">
        <x:v>30</x:v>
      </x:c>
      <x:c r="N679" t="n">
        <x:f>ROUND(SUM('食材明细'!H4064:H4069),0)</x:f>
        <x:v>371</x:v>
      </x:c>
      <x:c r="O679" t="n">
        <x:f>ROUND(SUM('食材明细'!J4064:J4069),1)</x:f>
        <x:v>37.1</x:v>
      </x:c>
      <x:c r="P679" t="n">
        <x:f>ROUND(SUM('食材明细'!L4064:L4069),1)</x:f>
        <x:v>39.4</x:v>
      </x:c>
      <x:c r="Q679" t="n">
        <x:f>ROUND(SUM('食材明细'!N4064:N4069),1)</x:f>
        <x:v>7.6</x:v>
      </x:c>
      <x:c r="R679" s="10" t="str">
        <x:v>调料尽量低盐，不加白砂糖；油重已计入热量。</x:v>
      </x:c>
    </x:row>
    <x:row r="680" ht="37" customHeight="1">
      <x:c r="A680" t="n">
        <x:v>679</x:v>
      </x:c>
      <x:c r="B680" t="n">
        <x:v>340</x:v>
      </x:c>
      <x:c r="C680" t="n">
        <x:v>49</x:v>
      </x:c>
      <x:c r="D680" t="str">
        <x:v>午餐</x:v>
      </x:c>
      <x:c r="E680" t="str">
        <x:v>猪肉</x:v>
      </x:c>
      <x:c r="F680" s="10" t="str">
        <x:v>花椒猪瘦肉配大白菜绿豆芽｜糙米饭</x:v>
      </x:c>
      <x:c r="G680" s="10" t="str">
        <x:v>猪瘦肉175g、大白菜140g、绿豆芽125g、糙米饭125g、烹调油6g</x:v>
      </x:c>
      <x:c r="H680" t="str">
        <x:v>糙米饭</x:v>
      </x:c>
      <x:c r="I680" s="10" t="str">
        <x:v>低主食需求可将主食减1/3，另加100g非淀粉蔬菜（营养值需重算）</x:v>
      </x:c>
      <x:c r="J680" s="10" t="str">
        <x:v>花椒粉、姜丝</x:v>
      </x:c>
      <x:c r="K680" t="str">
        <x:v>蒸</x:v>
      </x:c>
      <x:c r="L680" s="10" t="str">
        <x:v>薄薄撒花椒和姜丝，蒸至熟透，搭配焯青菜；糙米饭另煮熟或蒸好后同餐食用。</x:v>
      </x:c>
      <x:c r="M680" t="n">
        <x:v>30</x:v>
      </x:c>
      <x:c r="N680" t="n">
        <x:f>ROUND(SUM('食材明细'!H4070:H4075),0)</x:f>
        <x:v>484</x:v>
      </x:c>
      <x:c r="O680" t="n">
        <x:f>ROUND(SUM('食材明细'!J4070:J4075),1)</x:f>
        <x:v>44.1</x:v>
      </x:c>
      <x:c r="P680" t="n">
        <x:f>ROUND(SUM('食材明细'!L4070:L4075),1)</x:f>
        <x:v>41.4</x:v>
      </x:c>
      <x:c r="Q680" t="n">
        <x:f>ROUND(SUM('食材明细'!N4070:N4075),1)</x:f>
        <x:v>17.2</x:v>
      </x:c>
      <x:c r="R680" s="10" t="str">
        <x:v>调料尽量低盐，不加白砂糖；油重已计入热量。</x:v>
      </x:c>
    </x:row>
    <x:row r="681" ht="37" customHeight="1">
      <x:c r="A681" t="n">
        <x:v>680</x:v>
      </x:c>
      <x:c r="B681" t="n">
        <x:v>340</x:v>
      </x:c>
      <x:c r="C681" t="n">
        <x:v>49</x:v>
      </x:c>
      <x:c r="D681" t="str">
        <x:v>晚餐</x:v>
      </x:c>
      <x:c r="E681" t="str">
        <x:v>牛肉</x:v>
      </x:c>
      <x:c r="F681" s="10" t="str">
        <x:v>清汤瘦牛肉配荷兰豆芦笋｜米粉</x:v>
      </x:c>
      <x:c r="G681" s="10" t="str">
        <x:v>瘦牛肉145g、荷兰豆160g、芦笋110g、米粉95g、烹调油6g</x:v>
      </x:c>
      <x:c r="H681" t="str">
        <x:v>米粉</x:v>
      </x:c>
      <x:c r="I681" s="10" t="str">
        <x:v>低主食需求可将主食减1/3，另加100g非淀粉蔬菜（营养值需重算）</x:v>
      </x:c>
      <x:c r="J681" s="10" t="str">
        <x:v>葱段、盐少量</x:v>
      </x:c>
      <x:c r="K681" t="str">
        <x:v>煮</x:v>
      </x:c>
      <x:c r="L681" s="10" t="str">
        <x:v>清水煮开，按熟化时间下食材，最后放叶菜，清淡调味；面/魔芋丝煮熟后与菜合碗。</x:v>
      </x:c>
      <x:c r="M681" t="n">
        <x:v>25</x:v>
      </x:c>
      <x:c r="N681" t="n">
        <x:f>ROUND(SUM('食材明细'!H4076:H4081),0)</x:f>
        <x:v>429</x:v>
      </x:c>
      <x:c r="O681" t="n">
        <x:f>ROUND(SUM('食材明细'!J4076:J4081),1)</x:f>
        <x:v>39.3</x:v>
      </x:c>
      <x:c r="P681" t="n">
        <x:f>ROUND(SUM('食材明细'!L4076:L4081),1)</x:f>
        <x:v>39.1</x:v>
      </x:c>
      <x:c r="Q681" t="n">
        <x:f>ROUND(SUM('食材明细'!N4076:N4081),1)</x:f>
        <x:v>12.8</x:v>
      </x:c>
      <x:c r="R681" s="10" t="str">
        <x:v>调料尽量低盐，不加白砂糖；油重已计入热量。</x:v>
      </x:c>
    </x:row>
    <x:row r="682" ht="37" customHeight="1">
      <x:c r="A682" t="n">
        <x:v>681</x:v>
      </x:c>
      <x:c r="B682" t="n">
        <x:v>341</x:v>
      </x:c>
      <x:c r="C682" t="n">
        <x:v>49</x:v>
      </x:c>
      <x:c r="D682" t="str">
        <x:v>午餐</x:v>
      </x:c>
      <x:c r="E682" t="str">
        <x:v>猪肉</x:v>
      </x:c>
      <x:c r="F682" s="10" t="str">
        <x:v>咖喱猪里脊配荷兰豆杏鲍菇｜山药</x:v>
      </x:c>
      <x:c r="G682" s="10" t="str">
        <x:v>猪里脊165g、荷兰豆160g、杏鲍菇125g、山药110g、烹调油5g</x:v>
      </x:c>
      <x:c r="H682" t="str">
        <x:v>山药</x:v>
      </x:c>
      <x:c r="I682" s="10" t="str">
        <x:v>想减主食可减到原量2/3，另加100g绿叶菜</x:v>
      </x:c>
      <x:c r="J682" s="10" t="str">
        <x:v>无加糖咖喱粉、姜末</x:v>
      </x:c>
      <x:c r="K682" t="str">
        <x:v>炖煮</x:v>
      </x:c>
      <x:c r="L682" s="10" t="str">
        <x:v>用咖喱粉而非高脂咖喱块，加水轻炖主食材和蔬菜；山药另煮熟或蒸好后同餐食用。</x:v>
      </x:c>
      <x:c r="M682" t="n">
        <x:v>30</x:v>
      </x:c>
      <x:c r="N682" t="n">
        <x:f>ROUND(SUM('食材明细'!H4082:H4087),0)</x:f>
        <x:v>422</x:v>
      </x:c>
      <x:c r="O682" t="n">
        <x:f>ROUND(SUM('食材明细'!J4082:J4087),1)</x:f>
        <x:v>43.3</x:v>
      </x:c>
      <x:c r="P682" t="n">
        <x:f>ROUND(SUM('食材明细'!L4082:L4087),1)</x:f>
        <x:v>36.8</x:v>
      </x:c>
      <x:c r="Q682" t="n">
        <x:f>ROUND(SUM('食材明细'!N4082:N4087),1)</x:f>
        <x:v>11.8</x:v>
      </x:c>
      <x:c r="R682" s="10" t="str">
        <x:v>调料尽量低盐，不加白砂糖；油重已计入热量。</x:v>
      </x:c>
    </x:row>
    <x:row r="683" ht="37" customHeight="1">
      <x:c r="A683" t="n">
        <x:v>682</x:v>
      </x:c>
      <x:c r="B683" t="n">
        <x:v>341</x:v>
      </x:c>
      <x:c r="C683" t="n">
        <x:v>49</x:v>
      </x:c>
      <x:c r="D683" t="str">
        <x:v>晚餐</x:v>
      </x:c>
      <x:c r="E683" t="str">
        <x:v>禽肉</x:v>
      </x:c>
      <x:c r="F683" s="10" t="str">
        <x:v>孜然鸡胸肉配小白菜口蘑｜藜麦饭</x:v>
      </x:c>
      <x:c r="G683" s="10" t="str">
        <x:v>鸡胸肉170g、小白菜175g、口蘑125g、藜麦饭135g、烹调油4g</x:v>
      </x:c>
      <x:c r="H683" t="str">
        <x:v>藜麦饭</x:v>
      </x:c>
      <x:c r="I683" s="10" t="str">
        <x:v>低主食需求可将主食减1/3，另加100g非淀粉蔬菜（营养值需重算）</x:v>
      </x:c>
      <x:c r="J683" s="10" t="str">
        <x:v>孜然、辣椒粉、蒜末</x:v>
      </x:c>
      <x:c r="K683" t="str">
        <x:v>少油焖</x:v>
      </x:c>
      <x:c r="L683" s="10" t="str">
        <x:v>主食材用少量油和水焖熟，下蔬菜翻拌，撒孜然；藜麦饭另煮熟或蒸好后同餐食用。</x:v>
      </x:c>
      <x:c r="M683" t="n">
        <x:v>15</x:v>
      </x:c>
      <x:c r="N683" t="n">
        <x:f>ROUND(SUM('食材明细'!H4088:H4093),0)</x:f>
        <x:v>442</x:v>
      </x:c>
      <x:c r="O683" t="n">
        <x:f>ROUND(SUM('食材明细'!J4088:J4093),1)</x:f>
        <x:v>51.7</x:v>
      </x:c>
      <x:c r="P683" t="n">
        <x:f>ROUND(SUM('食材明细'!L4088:L4093),1)</x:f>
        <x:v>37.8</x:v>
      </x:c>
      <x:c r="Q683" t="n">
        <x:f>ROUND(SUM('食材明细'!N4088:N4093),1)</x:f>
        <x:v>10.7</x:v>
      </x:c>
      <x:c r="R683" s="10" t="str">
        <x:v>调料尽量低盐，不加白砂糖；油重已计入热量。</x:v>
      </x:c>
    </x:row>
    <x:row r="684" ht="37" customHeight="1">
      <x:c r="A684" t="n">
        <x:v>683</x:v>
      </x:c>
      <x:c r="B684" t="n">
        <x:v>342</x:v>
      </x:c>
      <x:c r="C684" t="n">
        <x:v>49</x:v>
      </x:c>
      <x:c r="D684" t="str">
        <x:v>午餐</x:v>
      </x:c>
      <x:c r="E684" t="str">
        <x:v>海鲜</x:v>
      </x:c>
      <x:c r="F684" s="10" t="str">
        <x:v>蒜香虾仁配花菜小白菜｜荞麦面</x:v>
      </x:c>
      <x:c r="G684" s="10" t="str">
        <x:v>虾仁190g、花菜190g、小白菜140g、荞麦面165g、烹调油5g</x:v>
      </x:c>
      <x:c r="H684" t="str">
        <x:v>荞麦面</x:v>
      </x:c>
      <x:c r="I684" s="10" t="str">
        <x:v>低主食需求可将主食减1/3，另加100g非淀粉蔬菜（营养值需重算）</x:v>
      </x:c>
      <x:c r="J684" s="10" t="str">
        <x:v>蒜末、白胡椒</x:v>
      </x:c>
      <x:c r="K684" t="str">
        <x:v>蒸</x:v>
      </x:c>
      <x:c r="L684" s="10" t="str">
        <x:v>食材切块，撒蒜末；上锅蒸熟，蔬菜另焯后拌匀；面/魔芋丝煮熟后与菜合碗。</x:v>
      </x:c>
      <x:c r="M684" t="n">
        <x:v>25</x:v>
      </x:c>
      <x:c r="N684" t="n">
        <x:f>ROUND(SUM('食材明细'!H4094:H4099),0)</x:f>
        <x:v>461</x:v>
      </x:c>
      <x:c r="O684" t="n">
        <x:f>ROUND(SUM('食材明细'!J4094:J4099),1)</x:f>
        <x:v>48.7</x:v>
      </x:c>
      <x:c r="P684" t="n">
        <x:f>ROUND(SUM('食材明细'!L4094:L4099),1)</x:f>
        <x:v>48.8</x:v>
      </x:c>
      <x:c r="Q684" t="n">
        <x:f>ROUND(SUM('食材明细'!N4094:N4099),1)</x:f>
        <x:v>9.1</x:v>
      </x:c>
      <x:c r="R684" s="10" t="str">
        <x:v>调料尽量低盐，不加白砂糖；油重已计入热量。</x:v>
      </x:c>
    </x:row>
    <x:row r="685" ht="37" customHeight="1">
      <x:c r="A685" t="n">
        <x:v>684</x:v>
      </x:c>
      <x:c r="B685" t="n">
        <x:v>342</x:v>
      </x:c>
      <x:c r="C685" t="n">
        <x:v>49</x:v>
      </x:c>
      <x:c r="D685" t="str">
        <x:v>晚餐</x:v>
      </x:c>
      <x:c r="E685" t="str">
        <x:v>禽肉</x:v>
      </x:c>
      <x:c r="F685" s="10" t="str">
        <x:v>黑椒去皮鸡腿肉配秋葵口蘑｜杂粮饭</x:v>
      </x:c>
      <x:c r="G685" s="10" t="str">
        <x:v>去皮鸡腿肉180g、秋葵190g、口蘑125g、杂粮饭110g、烹调油3g</x:v>
      </x:c>
      <x:c r="H685" t="str">
        <x:v>杂粮饭</x:v>
      </x:c>
      <x:c r="I685" s="10" t="str">
        <x:v>低主食需求可将主食减1/3，另加100g非淀粉蔬菜（营养值需重算）</x:v>
      </x:c>
      <x:c r="J685" s="10" t="str">
        <x:v>黑胡椒、蒜末</x:v>
      </x:c>
      <x:c r="K685" t="str">
        <x:v>少油烩</x:v>
      </x:c>
      <x:c r="L685" s="10" t="str">
        <x:v>先去皮去骨并切薄，充分加热；锅加少量水和油，先把主食材煮熟，再烩两种蔬菜，收汁撒黑椒；杂粮饭另煮熟或蒸好后同餐食用。</x:v>
      </x:c>
      <x:c r="M685" t="n">
        <x:v>30</x:v>
      </x:c>
      <x:c r="N685" t="n">
        <x:f>ROUND(SUM('食材明细'!H4100:H4105),0)</x:f>
        <x:v>469</x:v>
      </x:c>
      <x:c r="O685" t="n">
        <x:f>ROUND(SUM('食材明细'!J4100:J4105),1)</x:f>
        <x:v>46.9</x:v>
      </x:c>
      <x:c r="P685" t="n">
        <x:f>ROUND(SUM('食材明细'!L4100:L4105),1)</x:f>
        <x:v>44.2</x:v>
      </x:c>
      <x:c r="Q685" t="n">
        <x:f>ROUND(SUM('食材明细'!N4100:N4105),1)</x:f>
        <x:v>14</x:v>
      </x:c>
      <x:c r="R685" s="10" t="str">
        <x:v>调料尽量低盐，不加白砂糖；油重已计入热量。</x:v>
      </x:c>
    </x:row>
    <x:row r="686" ht="37" customHeight="1">
      <x:c r="A686" t="n">
        <x:v>685</x:v>
      </x:c>
      <x:c r="B686" t="n">
        <x:v>343</x:v>
      </x:c>
      <x:c r="C686" t="n">
        <x:v>49</x:v>
      </x:c>
      <x:c r="D686" t="str">
        <x:v>午餐</x:v>
      </x:c>
      <x:c r="E686" t="str">
        <x:v>禽肉</x:v>
      </x:c>
      <x:c r="F686" s="10" t="str">
        <x:v>咖喱去皮鸡腿肉配芹菜彩椒｜杂粮饭</x:v>
      </x:c>
      <x:c r="G686" s="10" t="str">
        <x:v>去皮鸡腿肉155g、熟毛豆仁50g、芹菜140g、彩椒155g、杂粮饭135g、烹调油3g</x:v>
      </x:c>
      <x:c r="H686" t="str">
        <x:v>杂粮饭</x:v>
      </x:c>
      <x:c r="I686" s="10" t="str">
        <x:v>低主食需求可将主食减1/3，另加100g非淀粉蔬菜（营养值需重算）</x:v>
      </x:c>
      <x:c r="J686" s="10" t="str">
        <x:v>无加糖咖喱粉、姜末</x:v>
      </x:c>
      <x:c r="K686" t="str">
        <x:v>炖煮</x:v>
      </x:c>
      <x:c r="L686" s="10" t="str">
        <x:v>先去皮去骨并切薄，充分加热；用咖喱粉而非高脂咖喱块，加水轻炖主食材和蔬菜；杂粮饭另煮熟或蒸好后同餐食用。</x:v>
      </x:c>
      <x:c r="M686" t="n">
        <x:v>25</x:v>
      </x:c>
      <x:c r="N686" t="n">
        <x:f>ROUND(SUM('食材明细'!H4106:H4111),0)</x:f>
        <x:v>502</x:v>
      </x:c>
      <x:c r="O686" t="n">
        <x:f>ROUND(SUM('食材明细'!J4106:J4111),1)</x:f>
        <x:v>44.1</x:v>
      </x:c>
      <x:c r="P686" t="n">
        <x:f>ROUND(SUM('食材明细'!L4106:L4111),1)</x:f>
        <x:v>50.6</x:v>
      </x:c>
      <x:c r="Q686" t="n">
        <x:f>ROUND(SUM('食材明细'!N4106:N4111),1)</x:f>
        <x:v>15.2</x:v>
      </x:c>
      <x:c r="R686" s="10" t="str">
        <x:v>调料尽量低盐，不加白砂糖；油重已计入热量。</x:v>
      </x:c>
    </x:row>
    <x:row r="687" ht="37" customHeight="1">
      <x:c r="A687" t="n">
        <x:v>686</x:v>
      </x:c>
      <x:c r="B687" t="n">
        <x:v>343</x:v>
      </x:c>
      <x:c r="C687" t="n">
        <x:v>49</x:v>
      </x:c>
      <x:c r="D687" t="str">
        <x:v>晚餐</x:v>
      </x:c>
      <x:c r="E687" t="str">
        <x:v>海鲜</x:v>
      </x:c>
      <x:c r="F687" s="10" t="str">
        <x:v>黑椒虾仁配紫甘蓝莴笋｜荞麦饭</x:v>
      </x:c>
      <x:c r="G687" s="10" t="str">
        <x:v>虾仁175g、紫甘蓝175g、莴笋140g、荞麦饭135g、烹调油6g</x:v>
      </x:c>
      <x:c r="H687" t="str">
        <x:v>荞麦饭</x:v>
      </x:c>
      <x:c r="I687" s="10" t="str">
        <x:v>低主食需求可将主食减1/3，另加100g非淀粉蔬菜（营养值需重算）</x:v>
      </x:c>
      <x:c r="J687" s="10" t="str">
        <x:v>黑胡椒、蒜末</x:v>
      </x:c>
      <x:c r="K687" t="str">
        <x:v>少油烩</x:v>
      </x:c>
      <x:c r="L687" s="10" t="str">
        <x:v>锅加少量水和油，先把主食材煮熟，再烩两种蔬菜，收汁撒黑椒；荞麦饭另煮熟或蒸好后同餐食用。</x:v>
      </x:c>
      <x:c r="M687" t="n">
        <x:v>20</x:v>
      </x:c>
      <x:c r="N687" t="n">
        <x:f>ROUND(SUM('食材明细'!H4112:H4117),0)</x:f>
        <x:v>435</x:v>
      </x:c>
      <x:c r="O687" t="n">
        <x:f>ROUND(SUM('食材明细'!J4112:J4117),1)</x:f>
        <x:v>41.7</x:v>
      </x:c>
      <x:c r="P687" t="n">
        <x:f>ROUND(SUM('食材明细'!L4112:L4117),1)</x:f>
        <x:v>47.1</x:v>
      </x:c>
      <x:c r="Q687" t="n">
        <x:f>ROUND(SUM('食材明细'!N4112:N4117),1)</x:f>
        <x:v>9.7</x:v>
      </x:c>
      <x:c r="R687" s="10" t="str">
        <x:v>调料尽量低盐，不加白砂糖；油重已计入热量。</x:v>
      </x:c>
    </x:row>
    <x:row r="688" ht="37" customHeight="1">
      <x:c r="A688" t="n">
        <x:v>687</x:v>
      </x:c>
      <x:c r="B688" t="n">
        <x:v>344</x:v>
      </x:c>
      <x:c r="C688" t="n">
        <x:v>50</x:v>
      </x:c>
      <x:c r="D688" t="str">
        <x:v>午餐</x:v>
      </x:c>
      <x:c r="E688" t="str">
        <x:v>鱼类</x:v>
      </x:c>
      <x:c r="F688" s="10" t="str">
        <x:v>剁椒巴沙鱼配紫甘蓝小白菜｜杂粮饭</x:v>
      </x:c>
      <x:c r="G688" s="10" t="str">
        <x:v>巴沙鱼215g、紫甘蓝175g、小白菜155g、杂粮饭110g、烹调油5g</x:v>
      </x:c>
      <x:c r="H688" t="str">
        <x:v>杂粮饭</x:v>
      </x:c>
      <x:c r="I688" s="10" t="str">
        <x:v>低主食需求可将主食减1/3，另加100g非淀粉蔬菜（营养值需重算）</x:v>
      </x:c>
      <x:c r="J688" s="10" t="str">
        <x:v>自制低盐剁椒、蒜</x:v>
      </x:c>
      <x:c r="K688" t="str">
        <x:v>蒸</x:v>
      </x:c>
      <x:c r="L688" s="10" t="str">
        <x:v>鱼肉去刺，彻底做熟；主食材铺少量低盐剁椒蒸熟，配菜焯熟后摆盘；杂粮饭另煮熟或蒸好后同餐食用。</x:v>
      </x:c>
      <x:c r="M688" t="n">
        <x:v>20</x:v>
      </x:c>
      <x:c r="N688" t="n">
        <x:f>ROUND(SUM('食材明细'!H4118:H4123),0)</x:f>
        <x:v>446</x:v>
      </x:c>
      <x:c r="O688" t="n">
        <x:f>ROUND(SUM('食材明细'!J4118:J4123),1)</x:f>
        <x:v>44.9</x:v>
      </x:c>
      <x:c r="P688" t="n">
        <x:f>ROUND(SUM('食材明细'!L4118:L4123),1)</x:f>
        <x:v>43</x:v>
      </x:c>
      <x:c r="Q688" t="n">
        <x:f>ROUND(SUM('食材明细'!N4118:N4123),1)</x:f>
        <x:v>11.6</x:v>
      </x:c>
      <x:c r="R688" s="10" t="str">
        <x:v>调料尽量低盐，不加白砂糖；油重已计入热量。</x:v>
      </x:c>
    </x:row>
    <x:row r="689" ht="37" customHeight="1">
      <x:c r="A689" t="n">
        <x:v>688</x:v>
      </x:c>
      <x:c r="B689" t="n">
        <x:v>344</x:v>
      </x:c>
      <x:c r="C689" t="n">
        <x:v>50</x:v>
      </x:c>
      <x:c r="D689" t="str">
        <x:v>晚餐</x:v>
      </x:c>
      <x:c r="E689" t="str">
        <x:v>禽肉</x:v>
      </x:c>
      <x:c r="F689" s="10" t="str">
        <x:v>番茄去皮鸭胸肉配海带｜土豆</x:v>
      </x:c>
      <x:c r="G689" s="10" t="str">
        <x:v>去皮鸭胸肉145g、番茄190g、海带155g、土豆135g、烹调油6g</x:v>
      </x:c>
      <x:c r="H689" t="str">
        <x:v>土豆</x:v>
      </x:c>
      <x:c r="I689" s="10" t="str">
        <x:v>想减主食可减到原量2/3，另加100g绿叶菜</x:v>
      </x:c>
      <x:c r="J689" s="10" t="str">
        <x:v>番茄丁、黑胡椒</x:v>
      </x:c>
      <x:c r="K689" t="str">
        <x:v>炖煮</x:v>
      </x:c>
      <x:c r="L689" s="10" t="str">
        <x:v>番茄出汁后加入主食材和少量水，轻炖至熟，再放配菜；土豆另煮熟或蒸好后同餐食用。</x:v>
      </x:c>
      <x:c r="M689" t="n">
        <x:v>30</x:v>
      </x:c>
      <x:c r="N689" t="n">
        <x:f>ROUND(SUM('食材明细'!H4124:H4129),0)</x:f>
        <x:v>439</x:v>
      </x:c>
      <x:c r="O689" t="n">
        <x:f>ROUND(SUM('食材明细'!J4124:J4129),1)</x:f>
        <x:v>33.5</x:v>
      </x:c>
      <x:c r="P689" t="n">
        <x:f>ROUND(SUM('食材明细'!L4124:L4129),1)</x:f>
        <x:v>38.6</x:v>
      </x:c>
      <x:c r="Q689" t="n">
        <x:f>ROUND(SUM('食材明细'!N4124:N4129),1)</x:f>
        <x:v>16.8</x:v>
      </x:c>
      <x:c r="R689" s="10" t="str">
        <x:v>调料尽量低盐，不加白砂糖；油重已计入热量。</x:v>
      </x:c>
    </x:row>
    <x:row r="690" ht="37" customHeight="1">
      <x:c r="A690" t="n">
        <x:v>689</x:v>
      </x:c>
      <x:c r="B690" t="n">
        <x:v>345</x:v>
      </x:c>
      <x:c r="C690" t="n">
        <x:v>50</x:v>
      </x:c>
      <x:c r="D690" t="str">
        <x:v>午餐</x:v>
      </x:c>
      <x:c r="E690" t="str">
        <x:v>鱼类</x:v>
      </x:c>
      <x:c r="F690" s="10" t="str">
        <x:v>豉汁鲈鱼配西兰花金针菇｜白米饭</x:v>
      </x:c>
      <x:c r="G690" s="10" t="str">
        <x:v>鲈鱼215g、西兰花175g、金针菇155g、白米饭135g、烹调油5g</x:v>
      </x:c>
      <x:c r="H690" t="str">
        <x:v>白米饭</x:v>
      </x:c>
      <x:c r="I690" s="10" t="str">
        <x:v>低主食需求可将主食减1/3，另加100g非淀粉蔬菜（营养值需重算）</x:v>
      </x:c>
      <x:c r="J690" s="10" t="str">
        <x:v>少量豆豉、姜末</x:v>
      </x:c>
      <x:c r="K690" t="str">
        <x:v>蒸</x:v>
      </x:c>
      <x:c r="L690" s="10" t="str">
        <x:v>鱼肉去刺，彻底做熟；豆豉冲洗剁碎，与姜末拌主食材后蒸熟；蔬菜另煮；白米饭另煮熟或蒸好后同餐食用。</x:v>
      </x:c>
      <x:c r="M690" t="n">
        <x:v>25</x:v>
      </x:c>
      <x:c r="N690" t="n">
        <x:f>ROUND(SUM('食材明细'!H4130:H4135),0)</x:f>
        <x:v>536</x:v>
      </x:c>
      <x:c r="O690" t="n">
        <x:f>ROUND(SUM('食材明细'!J4130:J4135),1)</x:f>
        <x:v>53</x:v>
      </x:c>
      <x:c r="P690" t="n">
        <x:f>ROUND(SUM('食材明细'!L4130:L4135),1)</x:f>
        <x:v>56.7</x:v>
      </x:c>
      <x:c r="Q690" t="n">
        <x:f>ROUND(SUM('食材明细'!N4130:N4135),1)</x:f>
        <x:v>12.9</x:v>
      </x:c>
      <x:c r="R690" s="10" t="str">
        <x:v>调料尽量低盐，不加白砂糖；油重已计入热量。</x:v>
      </x:c>
    </x:row>
    <x:row r="691" ht="37" customHeight="1">
      <x:c r="A691" t="n">
        <x:v>690</x:v>
      </x:c>
      <x:c r="B691" t="n">
        <x:v>345</x:v>
      </x:c>
      <x:c r="C691" t="n">
        <x:v>50</x:v>
      </x:c>
      <x:c r="D691" t="str">
        <x:v>晚餐</x:v>
      </x:c>
      <x:c r="E691" t="str">
        <x:v>禽肉</x:v>
      </x:c>
      <x:c r="F691" s="10" t="str">
        <x:v>黑椒去皮鸡腿肉配四季豆胡萝卜｜荞麦饭</x:v>
      </x:c>
      <x:c r="G691" s="10" t="str">
        <x:v>去皮鸡腿肉180g、四季豆140g、胡萝卜155g、荞麦饭110g、烹调油6g</x:v>
      </x:c>
      <x:c r="H691" t="str">
        <x:v>荞麦饭</x:v>
      </x:c>
      <x:c r="I691" s="10" t="str">
        <x:v>低主食需求可将主食减1/3，另加100g非淀粉蔬菜（营养值需重算）</x:v>
      </x:c>
      <x:c r="J691" s="10" t="str">
        <x:v>黑胡椒、蒜末</x:v>
      </x:c>
      <x:c r="K691" t="str">
        <x:v>少油烩</x:v>
      </x:c>
      <x:c r="L691" s="10" t="str">
        <x:v>先去皮去骨并切薄，充分加热；锅加少量水和油，先把主食材煮熟，再烩两种蔬菜，收汁撒黑椒；荞麦饭另煮熟或蒸好后同餐食用。四季豆必须充分煮熟，不要生脆。</x:v>
      </x:c>
      <x:c r="M691" t="n">
        <x:v>25</x:v>
      </x:c>
      <x:c r="N691" t="n">
        <x:f>ROUND(SUM('食材明细'!H4136:H4141),0)</x:f>
        <x:v>507</x:v>
      </x:c>
      <x:c r="O691" t="n">
        <x:f>ROUND(SUM('食材明细'!J4136:J4141),1)</x:f>
        <x:v>43.7</x:v>
      </x:c>
      <x:c r="P691" t="n">
        <x:f>ROUND(SUM('食材明细'!L4136:L4141),1)</x:f>
        <x:v>49.5</x:v>
      </x:c>
      <x:c r="Q691" t="n">
        <x:f>ROUND(SUM('食材明细'!N4136:N4141),1)</x:f>
        <x:v>16.7</x:v>
      </x:c>
      <x:c r="R691" s="10" t="str">
        <x:v>调料尽量低盐，不加白砂糖；油重已计入热量。</x:v>
      </x:c>
    </x:row>
    <x:row r="692" ht="37" customHeight="1">
      <x:c r="A692" t="n">
        <x:v>691</x:v>
      </x:c>
      <x:c r="B692" t="n">
        <x:v>346</x:v>
      </x:c>
      <x:c r="C692" t="n">
        <x:v>50</x:v>
      </x:c>
      <x:c r="D692" t="str">
        <x:v>午餐</x:v>
      </x:c>
      <x:c r="E692" t="str">
        <x:v>海鲜</x:v>
      </x:c>
      <x:c r="F692" s="10" t="str">
        <x:v>豉汁虾仁配西兰花紫甘蓝｜土豆</x:v>
      </x:c>
      <x:c r="G692" s="10" t="str">
        <x:v>虾仁175g、西兰花140g、紫甘蓝140g、土豆110g、烹调油5g</x:v>
      </x:c>
      <x:c r="H692" t="str">
        <x:v>土豆</x:v>
      </x:c>
      <x:c r="I692" s="10" t="str">
        <x:v>想减主食可减到原量2/3，另加100g绿叶菜</x:v>
      </x:c>
      <x:c r="J692" s="10" t="str">
        <x:v>少量豆豉、姜末</x:v>
      </x:c>
      <x:c r="K692" t="str">
        <x:v>蒸</x:v>
      </x:c>
      <x:c r="L692" s="10" t="str">
        <x:v>豆豉冲洗剁碎，与姜末拌主食材后蒸熟；蔬菜另煮；土豆另煮熟或蒸好后同餐食用。</x:v>
      </x:c>
      <x:c r="M692" t="n">
        <x:v>15</x:v>
      </x:c>
      <x:c r="N692" t="n">
        <x:f>ROUND(SUM('食材明细'!H4142:H4147),0)</x:f>
        <x:v>379</x:v>
      </x:c>
      <x:c r="O692" t="n">
        <x:f>ROUND(SUM('食材明细'!J4142:J4147),1)</x:f>
        <x:v>41.3</x:v>
      </x:c>
      <x:c r="P692" t="n">
        <x:f>ROUND(SUM('食材明细'!L4142:L4147),1)</x:f>
        <x:v>39.6</x:v>
      </x:c>
      <x:c r="Q692" t="n">
        <x:f>ROUND(SUM('食材明细'!N4142:N4147),1)</x:f>
        <x:v>7.7</x:v>
      </x:c>
      <x:c r="R692" s="10" t="str">
        <x:v>调料尽量低盐，不加白砂糖；油重已计入热量。</x:v>
      </x:c>
    </x:row>
    <x:row r="693" ht="37" customHeight="1">
      <x:c r="A693" t="n">
        <x:v>692</x:v>
      </x:c>
      <x:c r="B693" t="n">
        <x:v>346</x:v>
      </x:c>
      <x:c r="C693" t="n">
        <x:v>50</x:v>
      </x:c>
      <x:c r="D693" t="str">
        <x:v>晚餐</x:v>
      </x:c>
      <x:c r="E693" t="str">
        <x:v>禽肉</x:v>
      </x:c>
      <x:c r="F693" s="10" t="str">
        <x:v>清汤去皮鸡腿肉配芦笋西兰花｜白米饭</x:v>
      </x:c>
      <x:c r="G693" s="10" t="str">
        <x:v>去皮鸡腿肉160g、芦笋175g、西兰花140g、白米饭135g、烹调油5g</x:v>
      </x:c>
      <x:c r="H693" t="str">
        <x:v>白米饭</x:v>
      </x:c>
      <x:c r="I693" s="10" t="str">
        <x:v>低主食需求可将主食减1/3，另加100g非淀粉蔬菜（营养值需重算）</x:v>
      </x:c>
      <x:c r="J693" s="10" t="str">
        <x:v>葱段、盐少量</x:v>
      </x:c>
      <x:c r="K693" t="str">
        <x:v>煮</x:v>
      </x:c>
      <x:c r="L693" s="10" t="str">
        <x:v>先去皮去骨并切薄，充分加热；清水煮开，按熟化时间下食材，最后放叶菜，清淡调味；白米饭另煮熟或蒸好后同餐食用。</x:v>
      </x:c>
      <x:c r="M693" t="n">
        <x:v>30</x:v>
      </x:c>
      <x:c r="N693" t="n">
        <x:f>ROUND(SUM('食材明细'!H4148:H4153),0)</x:f>
        <x:v>484</x:v>
      </x:c>
      <x:c r="O693" t="n">
        <x:f>ROUND(SUM('食材明细'!J4148:J4153),1)</x:f>
        <x:v>43.3</x:v>
      </x:c>
      <x:c r="P693" t="n">
        <x:f>ROUND(SUM('食材明细'!L4148:L4153),1)</x:f>
        <x:v>51.2</x:v>
      </x:c>
      <x:c r="Q693" t="n">
        <x:f>ROUND(SUM('食材明细'!N4148:N4153),1)</x:f>
        <x:v>14.2</x:v>
      </x:c>
      <x:c r="R693" s="10" t="str">
        <x:v>调料尽量低盐，不加白砂糖；油重已计入热量。</x:v>
      </x:c>
    </x:row>
    <x:row r="694" ht="37" customHeight="1">
      <x:c r="A694" t="n">
        <x:v>693</x:v>
      </x:c>
      <x:c r="B694" t="n">
        <x:v>347</x:v>
      </x:c>
      <x:c r="C694" t="n">
        <x:v>50</x:v>
      </x:c>
      <x:c r="D694" t="str">
        <x:v>午餐</x:v>
      </x:c>
      <x:c r="E694" t="str">
        <x:v>禽肉</x:v>
      </x:c>
      <x:c r="F694" s="10" t="str">
        <x:v>蚝香去皮鸡腿肉配竹笋冬瓜｜白米饭</x:v>
      </x:c>
      <x:c r="G694" s="10" t="str">
        <x:v>去皮鸡腿肉175g、竹笋140g、冬瓜125g、白米饭165g、烹调油4g</x:v>
      </x:c>
      <x:c r="H694" t="str">
        <x:v>白米饭</x:v>
      </x:c>
      <x:c r="I694" s="10" t="str">
        <x:v>低主食需求可将主食减1/3，另加100g非淀粉蔬菜（营养值需重算）</x:v>
      </x:c>
      <x:c r="J694" s="10" t="str">
        <x:v>低钠蚝油少量、姜蒜</x:v>
      </x:c>
      <x:c r="K694" t="str">
        <x:v>少油烩</x:v>
      </x:c>
      <x:c r="L694" s="10" t="str">
        <x:v>先去皮去骨并切薄，充分加热；主食材和蔬菜少油少水烩熟，起锅前点少量蚝油；白米饭另煮熟或蒸好后同餐食用。</x:v>
      </x:c>
      <x:c r="M694" t="n">
        <x:v>30</x:v>
      </x:c>
      <x:c r="N694" t="n">
        <x:f>ROUND(SUM('食材明细'!H4154:H4159),0)</x:f>
        <x:v>500</x:v>
      </x:c>
      <x:c r="O694" t="n">
        <x:f>ROUND(SUM('食材明细'!J4154:J4159),1)</x:f>
        <x:v>43.4</x:v>
      </x:c>
      <x:c r="P694" t="n">
        <x:f>ROUND(SUM('食材明细'!L4154:L4159),1)</x:f>
        <x:v>53.3</x:v>
      </x:c>
      <x:c r="Q694" t="n">
        <x:f>ROUND(SUM('食材明细'!N4154:N4159),1)</x:f>
        <x:v>13.9</x:v>
      </x:c>
      <x:c r="R694" s="10" t="str">
        <x:v>调料尽量低盐，不加白砂糖；油重已计入热量。</x:v>
      </x:c>
    </x:row>
    <x:row r="695" ht="37" customHeight="1">
      <x:c r="A695" t="n">
        <x:v>694</x:v>
      </x:c>
      <x:c r="B695" t="n">
        <x:v>347</x:v>
      </x:c>
      <x:c r="C695" t="n">
        <x:v>50</x:v>
      </x:c>
      <x:c r="D695" t="str">
        <x:v>晚餐</x:v>
      </x:c>
      <x:c r="E695" t="str">
        <x:v>禽肉</x:v>
      </x:c>
      <x:c r="F695" s="10" t="str">
        <x:v>葱姜清蒸鸡里脊肉配娃娃菜海带｜燕麦饭</x:v>
      </x:c>
      <x:c r="G695" s="10" t="str">
        <x:v>鸡里脊肉145g、熟毛豆仁50g、娃娃菜160g、海带140g、燕麦饭110g、烹调油3g</x:v>
      </x:c>
      <x:c r="H695" t="str">
        <x:v>燕麦饭</x:v>
      </x:c>
      <x:c r="I695" s="10" t="str">
        <x:v>低主食需求可将主食减1/3，另加100g非淀粉蔬菜（营养值需重算）</x:v>
      </x:c>
      <x:c r="J695" s="10" t="str">
        <x:v>葱姜、少量低盐生抽</x:v>
      </x:c>
      <x:c r="K695" t="str">
        <x:v>蒸</x:v>
      </x:c>
      <x:c r="L695" s="10" t="str">
        <x:v>切片腌5分钟；肉和配菜入盘，蒸至熟透；淋葱姜汁；燕麦饭另煮熟或蒸好后同餐食用。</x:v>
      </x:c>
      <x:c r="M695" t="n">
        <x:v>25</x:v>
      </x:c>
      <x:c r="N695" t="n">
        <x:f>ROUND(SUM('食材明细'!H4160:H4165),0)</x:f>
        <x:v>430</x:v>
      </x:c>
      <x:c r="O695" t="n">
        <x:f>ROUND(SUM('食材明细'!J4160:J4165),1)</x:f>
        <x:v>46.4</x:v>
      </x:c>
      <x:c r="P695" t="n">
        <x:f>ROUND(SUM('食材明细'!L4160:L4165),1)</x:f>
        <x:v>39.4</x:v>
      </x:c>
      <x:c r="Q695" t="n">
        <x:f>ROUND(SUM('食材明细'!N4160:N4165),1)</x:f>
        <x:v>10.5</x:v>
      </x:c>
      <x:c r="R695" s="10" t="str">
        <x:v>调料尽量低盐，不加白砂糖；油重已计入热量。</x:v>
      </x:c>
    </x:row>
    <x:row r="696" ht="37" customHeight="1">
      <x:c r="A696" t="n">
        <x:v>695</x:v>
      </x:c>
      <x:c r="B696" t="n">
        <x:v>348</x:v>
      </x:c>
      <x:c r="C696" t="n">
        <x:v>50</x:v>
      </x:c>
      <x:c r="D696" t="str">
        <x:v>午餐</x:v>
      </x:c>
      <x:c r="E696" t="str">
        <x:v>禽肉</x:v>
      </x:c>
      <x:c r="F696" s="10" t="str">
        <x:v>葱姜清蒸去皮鸡腿肉配冬瓜洋葱｜荞麦饭</x:v>
      </x:c>
      <x:c r="G696" s="10" t="str">
        <x:v>去皮鸡腿肉175g、冬瓜160g、洋葱110g、荞麦饭125g、烹调油4g</x:v>
      </x:c>
      <x:c r="H696" t="str">
        <x:v>荞麦饭</x:v>
      </x:c>
      <x:c r="I696" s="10" t="str">
        <x:v>低主食需求可将主食减1/3，另加100g非淀粉蔬菜（营养值需重算）</x:v>
      </x:c>
      <x:c r="J696" s="10" t="str">
        <x:v>葱姜、少量低盐生抽</x:v>
      </x:c>
      <x:c r="K696" t="str">
        <x:v>蒸</x:v>
      </x:c>
      <x:c r="L696" s="10" t="str">
        <x:v>先去皮去骨并切薄，充分加热；切片腌5分钟；肉和配菜入盘，蒸至熟透；淋葱姜汁；荞麦饭另煮熟或蒸好后同餐食用。</x:v>
      </x:c>
      <x:c r="M696" t="n">
        <x:v>25</x:v>
      </x:c>
      <x:c r="N696" t="n">
        <x:f>ROUND(SUM('食材明细'!H4166:H4171),0)</x:f>
        <x:v>457</x:v>
      </x:c>
      <x:c r="O696" t="n">
        <x:f>ROUND(SUM('食材明细'!J4166:J4171),1)</x:f>
        <x:v>41.1</x:v>
      </x:c>
      <x:c r="P696" t="n">
        <x:f>ROUND(SUM('食材明细'!L4166:L4171),1)</x:f>
        <x:v>42.5</x:v>
      </x:c>
      <x:c r="Q696" t="n">
        <x:f>ROUND(SUM('食材明细'!N4166:N4171),1)</x:f>
        <x:v>14.6</x:v>
      </x:c>
      <x:c r="R696" s="10" t="str">
        <x:v>调料尽量低盐，不加白砂糖；油重已计入热量。</x:v>
      </x:c>
    </x:row>
    <x:row r="697" ht="37" customHeight="1">
      <x:c r="A697" t="n">
        <x:v>696</x:v>
      </x:c>
      <x:c r="B697" t="n">
        <x:v>348</x:v>
      </x:c>
      <x:c r="C697" t="n">
        <x:v>50</x:v>
      </x:c>
      <x:c r="D697" t="str">
        <x:v>晚餐</x:v>
      </x:c>
      <x:c r="E697" t="str">
        <x:v>豆蛋</x:v>
      </x:c>
      <x:c r="F697" s="10" t="str">
        <x:v>蚝香嫩豆腐熟毛豆仁烩大白菜泡发木耳｜藜麦饭</x:v>
      </x:c>
      <x:c r="G697" s="10" t="str">
        <x:v>嫩豆腐260g、熟毛豆仁50g、大白菜175g、泡发木耳110g、藜麦饭110g、烹调油3g</x:v>
      </x:c>
      <x:c r="H697" t="str">
        <x:v>藜麦饭</x:v>
      </x:c>
      <x:c r="I697" s="10" t="str">
        <x:v>低主食需求可将主食减1/3，另加100g非淀粉蔬菜（营养值需重算）</x:v>
      </x:c>
      <x:c r="J697" s="10" t="str">
        <x:v>低钠蚝油少量、姜蒜</x:v>
      </x:c>
      <x:c r="K697" t="str">
        <x:v>少油烩</x:v>
      </x:c>
      <x:c r="L697" s="10" t="str">
        <x:v>主食材和蔬菜少油少水烩熟，起锅前点少量蚝油；藜麦饭另煮熟或蒸好后同餐食用。</x:v>
      </x:c>
      <x:c r="M697" t="n">
        <x:v>15</x:v>
      </x:c>
      <x:c r="N697" t="n">
        <x:f>ROUND(SUM('食材明细'!H4172:H4177),0)</x:f>
        <x:v>419</x:v>
      </x:c>
      <x:c r="O697" t="n">
        <x:f>ROUND(SUM('食材明细'!J4172:J4177),1)</x:f>
        <x:v>28.1</x:v>
      </x:c>
      <x:c r="P697" t="n">
        <x:f>ROUND(SUM('食材明细'!L4172:L4177),1)</x:f>
        <x:v>45.3</x:v>
      </x:c>
      <x:c r="Q697" t="n">
        <x:f>ROUND(SUM('食材明细'!N4172:N4177),1)</x:f>
        <x:v>15.2</x:v>
      </x:c>
      <x:c r="R697" s="10" t="str">
        <x:v>调料尽量低盐，不加白砂糖；油重已计入热量。</x:v>
      </x:c>
    </x:row>
    <x:row r="698" ht="37" customHeight="1">
      <x:c r="A698" t="n">
        <x:v>697</x:v>
      </x:c>
      <x:c r="B698" t="n">
        <x:v>349</x:v>
      </x:c>
      <x:c r="C698" t="n">
        <x:v>50</x:v>
      </x:c>
      <x:c r="D698" t="str">
        <x:v>午餐</x:v>
      </x:c>
      <x:c r="E698" t="str">
        <x:v>海鲜</x:v>
      </x:c>
      <x:c r="F698" s="10" t="str">
        <x:v>蒜香鱿鱼配菜心香菇｜土豆</x:v>
      </x:c>
      <x:c r="G698" s="10" t="str">
        <x:v>鱿鱼160g、菜心140g、香菇110g、土豆165g、烹调油6g</x:v>
      </x:c>
      <x:c r="H698" t="str">
        <x:v>土豆</x:v>
      </x:c>
      <x:c r="I698" s="10" t="str">
        <x:v>想减主食可减到原量2/3，另加100g绿叶菜</x:v>
      </x:c>
      <x:c r="J698" s="10" t="str">
        <x:v>蒜末、白胡椒</x:v>
      </x:c>
      <x:c r="K698" t="str">
        <x:v>蒸</x:v>
      </x:c>
      <x:c r="L698" s="10" t="str">
        <x:v>食材切块，撒蒜末；上锅蒸熟，蔬菜另焯后拌匀；土豆另煮熟或蒸好后同餐食用。</x:v>
      </x:c>
      <x:c r="M698" t="n">
        <x:v>15</x:v>
      </x:c>
      <x:c r="N698" t="n">
        <x:f>ROUND(SUM('食材明细'!H4178:H4183),0)</x:f>
        <x:v>400</x:v>
      </x:c>
      <x:c r="O698" t="n">
        <x:f>ROUND(SUM('食材明细'!J4178:J4183),1)</x:f>
        <x:v>35.7</x:v>
      </x:c>
      <x:c r="P698" t="n">
        <x:f>ROUND(SUM('食材明细'!L4178:L4183),1)</x:f>
        <x:v>44</x:v>
      </x:c>
      <x:c r="Q698" t="n">
        <x:f>ROUND(SUM('食材明细'!N4178:N4183),1)</x:f>
        <x:v>9.4</x:v>
      </x:c>
      <x:c r="R698" s="10" t="str">
        <x:v>调料尽量低盐，不加白砂糖；油重已计入热量。</x:v>
      </x:c>
    </x:row>
    <x:row r="699" ht="37" customHeight="1">
      <x:c r="A699" t="n">
        <x:v>698</x:v>
      </x:c>
      <x:c r="B699" t="n">
        <x:v>349</x:v>
      </x:c>
      <x:c r="C699" t="n">
        <x:v>50</x:v>
      </x:c>
      <x:c r="D699" t="str">
        <x:v>晚餐</x:v>
      </x:c>
      <x:c r="E699" t="str">
        <x:v>鱼类</x:v>
      </x:c>
      <x:c r="F699" s="10" t="str">
        <x:v>花椒鲈鱼配菠菜西兰花｜荞麦面</x:v>
      </x:c>
      <x:c r="G699" s="10" t="str">
        <x:v>鲈鱼215g、菠菜160g、西兰花110g、荞麦面135g、烹调油4g</x:v>
      </x:c>
      <x:c r="H699" t="str">
        <x:v>荞麦面</x:v>
      </x:c>
      <x:c r="I699" s="10" t="str">
        <x:v>低主食需求可将主食减1/3，另加100g非淀粉蔬菜（营养值需重算）</x:v>
      </x:c>
      <x:c r="J699" s="10" t="str">
        <x:v>花椒粉、姜丝</x:v>
      </x:c>
      <x:c r="K699" t="str">
        <x:v>蒸</x:v>
      </x:c>
      <x:c r="L699" s="10" t="str">
        <x:v>鱼肉去刺，彻底做熟；薄薄撒花椒和姜丝，蒸至熟透，搭配焯青菜；面/魔芋丝煮熟后与菜合碗。</x:v>
      </x:c>
      <x:c r="M699" t="n">
        <x:v>30</x:v>
      </x:c>
      <x:c r="N699" t="n">
        <x:f>ROUND(SUM('食材明细'!H4184:H4189),0)</x:f>
        <x:v>478</x:v>
      </x:c>
      <x:c r="O699" t="n">
        <x:f>ROUND(SUM('食材明细'!J4184:J4189),1)</x:f>
        <x:v>54</x:v>
      </x:c>
      <x:c r="P699" t="n">
        <x:f>ROUND(SUM('食材明细'!L4184:L4189),1)</x:f>
        <x:v>41.8</x:v>
      </x:c>
      <x:c r="Q699" t="n">
        <x:f>ROUND(SUM('食材明细'!N4184:N4189),1)</x:f>
        <x:v>12.5</x:v>
      </x:c>
      <x:c r="R699" s="10" t="str">
        <x:v>调料尽量低盐，不加白砂糖；油重已计入热量。</x:v>
      </x:c>
    </x:row>
    <x:row r="700" ht="37" customHeight="1">
      <x:c r="A700" t="n">
        <x:v>699</x:v>
      </x:c>
      <x:c r="B700" t="n">
        <x:v>350</x:v>
      </x:c>
      <x:c r="C700" t="n">
        <x:v>50</x:v>
      </x:c>
      <x:c r="D700" t="str">
        <x:v>午餐</x:v>
      </x:c>
      <x:c r="E700" t="str">
        <x:v>禽肉</x:v>
      </x:c>
      <x:c r="F700" s="10" t="str">
        <x:v>蒜香去皮鸡腿肉配秋葵丝瓜｜红薯</x:v>
      </x:c>
      <x:c r="G700" s="10" t="str">
        <x:v>去皮鸡腿肉185g、秋葵140g、丝瓜125g、红薯110g、烹调油3g</x:v>
      </x:c>
      <x:c r="H700" t="str">
        <x:v>红薯</x:v>
      </x:c>
      <x:c r="I700" s="10" t="str">
        <x:v>想减主食可减到原量2/3，另加100g绿叶菜</x:v>
      </x:c>
      <x:c r="J700" s="10" t="str">
        <x:v>蒜末、白胡椒</x:v>
      </x:c>
      <x:c r="K700" t="str">
        <x:v>蒸</x:v>
      </x:c>
      <x:c r="L700" s="10" t="str">
        <x:v>先去皮去骨并切薄，充分加热；食材切块，撒蒜末；上锅蒸熟，蔬菜另焯后拌匀；红薯另煮熟或蒸好后同餐食用。</x:v>
      </x:c>
      <x:c r="M700" t="n">
        <x:v>15</x:v>
      </x:c>
      <x:c r="N700" t="n">
        <x:f>ROUND(SUM('食材明细'!H4190:H4195),0)</x:f>
        <x:v>426</x:v>
      </x:c>
      <x:c r="O700" t="n">
        <x:f>ROUND(SUM('食材明细'!J4190:J4195),1)</x:f>
        <x:v>42.7</x:v>
      </x:c>
      <x:c r="P700" t="n">
        <x:f>ROUND(SUM('食材明细'!L4190:L4195),1)</x:f>
        <x:v>38.1</x:v>
      </x:c>
      <x:c r="Q700" t="n">
        <x:f>ROUND(SUM('食材明细'!N4190:N4195),1)</x:f>
        <x:v>12.9</x:v>
      </x:c>
      <x:c r="R700" s="10" t="str">
        <x:v>调料尽量低盐，不加白砂糖；油重已计入热量。</x:v>
      </x:c>
    </x:row>
    <x:row r="701" ht="37" customHeight="1">
      <x:c r="A701" t="n">
        <x:v>700</x:v>
      </x:c>
      <x:c r="B701" t="n">
        <x:v>350</x:v>
      </x:c>
      <x:c r="C701" t="n">
        <x:v>50</x:v>
      </x:c>
      <x:c r="D701" t="str">
        <x:v>晚餐</x:v>
      </x:c>
      <x:c r="E701" t="str">
        <x:v>牛肉</x:v>
      </x:c>
      <x:c r="F701" s="10" t="str">
        <x:v>蒜香牛腱子配娃娃菜玉米笋｜红薯</x:v>
      </x:c>
      <x:c r="G701" s="10" t="str">
        <x:v>牛腱子160g、娃娃菜175g、玉米笋140g、红薯135g、烹调油5g</x:v>
      </x:c>
      <x:c r="H701" t="str">
        <x:v>红薯</x:v>
      </x:c>
      <x:c r="I701" s="10" t="str">
        <x:v>想减主食可减到原量2/3，另加100g绿叶菜</x:v>
      </x:c>
      <x:c r="J701" s="10" t="str">
        <x:v>蒜末、白胡椒</x:v>
      </x:c>
      <x:c r="K701" t="str">
        <x:v>蒸</x:v>
      </x:c>
      <x:c r="L701" s="10" t="str">
        <x:v>食材切块，撒蒜末；上锅蒸熟，蔬菜另焯后拌匀；红薯另煮熟或蒸好后同餐食用。</x:v>
      </x:c>
      <x:c r="M701" t="n">
        <x:v>30</x:v>
      </x:c>
      <x:c r="N701" t="n">
        <x:f>ROUND(SUM('食材明细'!H4196:H4201),0)</x:f>
        <x:v>454</x:v>
      </x:c>
      <x:c r="O701" t="n">
        <x:f>ROUND(SUM('食材明细'!J4196:J4201),1)</x:f>
        <x:v>40.8</x:v>
      </x:c>
      <x:c r="P701" t="n">
        <x:f>ROUND(SUM('食材明细'!L4196:L4201),1)</x:f>
        <x:v>39.8</x:v>
      </x:c>
      <x:c r="Q701" t="n">
        <x:f>ROUND(SUM('食材明细'!N4196:N4201),1)</x:f>
        <x:v>15.2</x:v>
      </x:c>
      <x:c r="R701" s="10" t="str">
        <x:v>调料尽量低盐，不加白砂糖；油重已计入热量。</x:v>
      </x:c>
    </x:row>
    <x:row r="702" ht="37" customHeight="1">
      <x:c r="A702" t="n">
        <x:v>701</x:v>
      </x:c>
      <x:c r="B702" t="n">
        <x:v>351</x:v>
      </x:c>
      <x:c r="C702" t="n">
        <x:v>51</x:v>
      </x:c>
      <x:c r="D702" t="str">
        <x:v>午餐</x:v>
      </x:c>
      <x:c r="E702" t="str">
        <x:v>鱼类</x:v>
      </x:c>
      <x:c r="F702" s="10" t="str">
        <x:v>菌菇鳕鱼配荷兰豆口蘑｜杂粮饭</x:v>
      </x:c>
      <x:c r="G702" s="10" t="str">
        <x:v>鳕鱼200g、荷兰豆140g、口蘑125g、杂粮饭150g、烹调油3g</x:v>
      </x:c>
      <x:c r="H702" t="str">
        <x:v>杂粮饭</x:v>
      </x:c>
      <x:c r="I702" s="10" t="str">
        <x:v>低主食需求可将主食减1/3，另加100g非淀粉蔬菜（营养值需重算）</x:v>
      </x:c>
      <x:c r="J702" s="10" t="str">
        <x:v>姜片、香菇汁</x:v>
      </x:c>
      <x:c r="K702" t="str">
        <x:v>焖煮</x:v>
      </x:c>
      <x:c r="L702" s="10" t="str">
        <x:v>鱼肉去刺，彻底做熟；食材与菌菇加少量水焖熟，出锅前加少量低盐生抽；杂粮饭另煮熟或蒸好后同餐食用。</x:v>
      </x:c>
      <x:c r="M702" t="n">
        <x:v>35</x:v>
      </x:c>
      <x:c r="N702" t="n">
        <x:f>ROUND(SUM('食材明细'!H4202:H4207),0)</x:f>
        <x:v>456</x:v>
      </x:c>
      <x:c r="O702" t="n">
        <x:f>ROUND(SUM('食材明细'!J4202:J4207),1)</x:f>
        <x:v>48.5</x:v>
      </x:c>
      <x:c r="P702" t="n">
        <x:f>ROUND(SUM('食材明细'!L4202:L4207),1)</x:f>
        <x:v>49.9</x:v>
      </x:c>
      <x:c r="Q702" t="n">
        <x:f>ROUND(SUM('食材明细'!N4202:N4207),1)</x:f>
        <x:v>7.1</x:v>
      </x:c>
      <x:c r="R702" s="10" t="str">
        <x:v>调料尽量低盐，不加白砂糖；油重已计入热量。</x:v>
      </x:c>
    </x:row>
    <x:row r="703" ht="37" customHeight="1">
      <x:c r="A703" t="n">
        <x:v>702</x:v>
      </x:c>
      <x:c r="B703" t="n">
        <x:v>351</x:v>
      </x:c>
      <x:c r="C703" t="n">
        <x:v>51</x:v>
      </x:c>
      <x:c r="D703" t="str">
        <x:v>晚餐</x:v>
      </x:c>
      <x:c r="E703" t="str">
        <x:v>牛肉</x:v>
      </x:c>
      <x:c r="F703" s="10" t="str">
        <x:v>豉汁牛里脊配番茄花菜｜乌冬面</x:v>
      </x:c>
      <x:c r="G703" s="10" t="str">
        <x:v>牛里脊145g、番茄175g、花菜155g、乌冬面110g、烹调油5g</x:v>
      </x:c>
      <x:c r="H703" t="str">
        <x:v>乌冬面</x:v>
      </x:c>
      <x:c r="I703" s="10" t="str">
        <x:v>低主食需求可将主食减1/3，另加100g非淀粉蔬菜（营养值需重算）</x:v>
      </x:c>
      <x:c r="J703" s="10" t="str">
        <x:v>少量豆豉、姜末</x:v>
      </x:c>
      <x:c r="K703" t="str">
        <x:v>蒸</x:v>
      </x:c>
      <x:c r="L703" s="10" t="str">
        <x:v>豆豉冲洗剁碎，与姜末拌主食材后蒸熟；蔬菜另煮；面/魔芋丝煮熟后与菜合碗。</x:v>
      </x:c>
      <x:c r="M703" t="n">
        <x:v>15</x:v>
      </x:c>
      <x:c r="N703" t="n">
        <x:f>ROUND(SUM('食材明细'!H4208:H4213),0)</x:f>
        <x:v>439</x:v>
      </x:c>
      <x:c r="O703" t="n">
        <x:f>ROUND(SUM('食材明细'!J4208:J4213),1)</x:f>
        <x:v>37.9</x:v>
      </x:c>
      <x:c r="P703" t="n">
        <x:f>ROUND(SUM('食材明细'!L4208:L4213),1)</x:f>
        <x:v>42.3</x:v>
      </x:c>
      <x:c r="Q703" t="n">
        <x:f>ROUND(SUM('食材明细'!N4208:N4213),1)</x:f>
        <x:v>13.4</x:v>
      </x:c>
      <x:c r="R703" s="10" t="str">
        <x:v>调料尽量低盐，不加白砂糖；油重已计入热量。</x:v>
      </x:c>
    </x:row>
    <x:row r="704" ht="37" customHeight="1">
      <x:c r="A704" t="n">
        <x:v>703</x:v>
      </x:c>
      <x:c r="B704" t="n">
        <x:v>352</x:v>
      </x:c>
      <x:c r="C704" t="n">
        <x:v>51</x:v>
      </x:c>
      <x:c r="D704" t="str">
        <x:v>午餐</x:v>
      </x:c>
      <x:c r="E704" t="str">
        <x:v>猪肉</x:v>
      </x:c>
      <x:c r="F704" s="10" t="str">
        <x:v>黑椒猪里脊配彩椒丝瓜｜糙米饭</x:v>
      </x:c>
      <x:c r="G704" s="10" t="str">
        <x:v>猪里脊175g、彩椒160g、丝瓜140g、糙米饭135g、烹调油5g</x:v>
      </x:c>
      <x:c r="H704" t="str">
        <x:v>糙米饭</x:v>
      </x:c>
      <x:c r="I704" s="10" t="str">
        <x:v>低主食需求可将主食减1/3，另加100g非淀粉蔬菜（营养值需重算）</x:v>
      </x:c>
      <x:c r="J704" s="10" t="str">
        <x:v>黑胡椒、蒜末</x:v>
      </x:c>
      <x:c r="K704" t="str">
        <x:v>少油烩</x:v>
      </x:c>
      <x:c r="L704" s="10" t="str">
        <x:v>锅加少量水和油，先把主食材煮熟，再烩两种蔬菜，收汁撒黑椒；糙米饭另煮熟或蒸好后同餐食用。</x:v>
      </x:c>
      <x:c r="M704" t="n">
        <x:v>25</x:v>
      </x:c>
      <x:c r="N704" t="n">
        <x:f>ROUND(SUM('食材明细'!H4214:H4219),0)</x:f>
        <x:v>477</x:v>
      </x:c>
      <x:c r="O704" t="n">
        <x:f>ROUND(SUM('食材明细'!J4214:J4219),1)</x:f>
        <x:v>43.3</x:v>
      </x:c>
      <x:c r="P704" t="n">
        <x:f>ROUND(SUM('食材明细'!L4214:L4219),1)</x:f>
        <x:v>47.1</x:v>
      </x:c>
      <x:c r="Q704" t="n">
        <x:f>ROUND(SUM('食材明细'!N4214:N4219),1)</x:f>
        <x:v>13</x:v>
      </x:c>
      <x:c r="R704" s="10" t="str">
        <x:v>调料尽量低盐，不加白砂糖；油重已计入热量。</x:v>
      </x:c>
    </x:row>
    <x:row r="705" ht="37" customHeight="1">
      <x:c r="A705" t="n">
        <x:v>704</x:v>
      </x:c>
      <x:c r="B705" t="n">
        <x:v>352</x:v>
      </x:c>
      <x:c r="C705" t="n">
        <x:v>51</x:v>
      </x:c>
      <x:c r="D705" t="str">
        <x:v>晚餐</x:v>
      </x:c>
      <x:c r="E705" t="str">
        <x:v>海鲜</x:v>
      </x:c>
      <x:c r="F705" s="10" t="str">
        <x:v>菌菇虾仁配竹笋金针菇｜藜麦饭</x:v>
      </x:c>
      <x:c r="G705" s="10" t="str">
        <x:v>虾仁160g、竹笋175g、金针菇125g、藜麦饭80g、烹调油5g</x:v>
      </x:c>
      <x:c r="H705" t="str">
        <x:v>藜麦饭</x:v>
      </x:c>
      <x:c r="I705" s="10" t="str">
        <x:v>低主食需求可将主食减1/3，另加100g非淀粉蔬菜（营养值需重算）</x:v>
      </x:c>
      <x:c r="J705" s="10" t="str">
        <x:v>姜片、香菇汁</x:v>
      </x:c>
      <x:c r="K705" t="str">
        <x:v>焖煮</x:v>
      </x:c>
      <x:c r="L705" s="10" t="str">
        <x:v>食材与菌菇加少量水焖熟，出锅前加少量低盐生抽；藜麦饭另煮熟或蒸好后同餐食用。</x:v>
      </x:c>
      <x:c r="M705" t="n">
        <x:v>25</x:v>
      </x:c>
      <x:c r="N705" t="n">
        <x:f>ROUND(SUM('食材明细'!H4220:H4225),0)</x:f>
        <x:v>372</x:v>
      </x:c>
      <x:c r="O705" t="n">
        <x:f>ROUND(SUM('食材明细'!J4220:J4225),1)</x:f>
        <x:v>41.5</x:v>
      </x:c>
      <x:c r="P705" t="n">
        <x:f>ROUND(SUM('食材明细'!L4220:L4225),1)</x:f>
        <x:v>34.8</x:v>
      </x:c>
      <x:c r="Q705" t="n">
        <x:f>ROUND(SUM('食材明细'!N4220:N4225),1)</x:f>
        <x:v>9.1</x:v>
      </x:c>
      <x:c r="R705" s="10" t="str">
        <x:v>调料尽量低盐，不加白砂糖；油重已计入热量。</x:v>
      </x:c>
    </x:row>
    <x:row r="706" ht="37" customHeight="1">
      <x:c r="A706" t="n">
        <x:v>705</x:v>
      </x:c>
      <x:c r="B706" t="n">
        <x:v>353</x:v>
      </x:c>
      <x:c r="C706" t="n">
        <x:v>51</x:v>
      </x:c>
      <x:c r="D706" t="str">
        <x:v>午餐</x:v>
      </x:c>
      <x:c r="E706" t="str">
        <x:v>海鲜</x:v>
      </x:c>
      <x:c r="F706" s="10" t="str">
        <x:v>蒜香虾仁配秋葵杏鲍菇｜荞麦面</x:v>
      </x:c>
      <x:c r="G706" s="10" t="str">
        <x:v>虾仁160g、秋葵175g、杏鲍菇125g、荞麦面110g、烹调油5g</x:v>
      </x:c>
      <x:c r="H706" t="str">
        <x:v>荞麦面</x:v>
      </x:c>
      <x:c r="I706" s="10" t="str">
        <x:v>低主食需求可将主食减1/3，另加100g非淀粉蔬菜（营养值需重算）</x:v>
      </x:c>
      <x:c r="J706" s="10" t="str">
        <x:v>蒜末、白胡椒</x:v>
      </x:c>
      <x:c r="K706" t="str">
        <x:v>蒸</x:v>
      </x:c>
      <x:c r="L706" s="10" t="str">
        <x:v>食材切块，撒蒜末；上锅蒸熟，蔬菜另焯后拌匀；面/魔芋丝煮熟后与菜合碗。</x:v>
      </x:c>
      <x:c r="M706" t="n">
        <x:v>30</x:v>
      </x:c>
      <x:c r="N706" t="n">
        <x:f>ROUND(SUM('食材明细'!H4226:H4231),0)</x:f>
        <x:v>406</x:v>
      </x:c>
      <x:c r="O706" t="n">
        <x:f>ROUND(SUM('食材明细'!J4226:J4231),1)</x:f>
        <x:v>40.6</x:v>
      </x:c>
      <x:c r="P706" t="n">
        <x:f>ROUND(SUM('食材明细'!L4226:L4231),1)</x:f>
        <x:v>46.1</x:v>
      </x:c>
      <x:c r="Q706" t="n">
        <x:f>ROUND(SUM('食材明细'!N4226:N4231),1)</x:f>
        <x:v>8.3</x:v>
      </x:c>
      <x:c r="R706" s="10" t="str">
        <x:v>调料尽量低盐，不加白砂糖；油重已计入热量。</x:v>
      </x:c>
    </x:row>
    <x:row r="707" ht="37" customHeight="1">
      <x:c r="A707" t="n">
        <x:v>706</x:v>
      </x:c>
      <x:c r="B707" t="n">
        <x:v>353</x:v>
      </x:c>
      <x:c r="C707" t="n">
        <x:v>51</x:v>
      </x:c>
      <x:c r="D707" t="str">
        <x:v>晚餐</x:v>
      </x:c>
      <x:c r="E707" t="str">
        <x:v>牛肉</x:v>
      </x:c>
      <x:c r="F707" s="10" t="str">
        <x:v>无糖照烧瘦牛肉配西兰花洋葱｜乌冬面</x:v>
      </x:c>
      <x:c r="G707" s="10" t="str">
        <x:v>瘦牛肉160g、西兰花190g、洋葱155g、乌冬面95g、烹调油5g</x:v>
      </x:c>
      <x:c r="H707" t="str">
        <x:v>乌冬面</x:v>
      </x:c>
      <x:c r="I707" s="10" t="str">
        <x:v>低主食需求可将主食减1/3，另加100g非淀粉蔬菜（营养值需重算）</x:v>
      </x:c>
      <x:c r="J707" s="10" t="str">
        <x:v>低盐生抽、米醋、洋葱自然甜味</x:v>
      </x:c>
      <x:c r="K707" t="str">
        <x:v>少油煮</x:v>
      </x:c>
      <x:c r="L707" s="10" t="str">
        <x:v>生抽与米醋调汁，不加糖；肉菜加水煮熟后略收汁；面/魔芋丝煮熟后与菜合碗。</x:v>
      </x:c>
      <x:c r="M707" t="n">
        <x:v>30</x:v>
      </x:c>
      <x:c r="N707" t="n">
        <x:f>ROUND(SUM('食材明细'!H4232:H4237),0)</x:f>
        <x:v>486</x:v>
      </x:c>
      <x:c r="O707" t="n">
        <x:f>ROUND(SUM('食材明细'!J4232:J4237),1)</x:f>
        <x:v>43</x:v>
      </x:c>
      <x:c r="P707" t="n">
        <x:f>ROUND(SUM('食材明细'!L4232:L4237),1)</x:f>
        <x:v>51.5</x:v>
      </x:c>
      <x:c r="Q707" t="n">
        <x:f>ROUND(SUM('食材明细'!N4232:N4237),1)</x:f>
        <x:v>12.9</x:v>
      </x:c>
      <x:c r="R707" s="10" t="str">
        <x:v>调料尽量低盐，不加白砂糖；油重已计入热量。</x:v>
      </x:c>
    </x:row>
    <x:row r="708" ht="37" customHeight="1">
      <x:c r="A708" t="n">
        <x:v>707</x:v>
      </x:c>
      <x:c r="B708" t="n">
        <x:v>354</x:v>
      </x:c>
      <x:c r="C708" t="n">
        <x:v>51</x:v>
      </x:c>
      <x:c r="D708" t="str">
        <x:v>午餐</x:v>
      </x:c>
      <x:c r="E708" t="str">
        <x:v>牛肉</x:v>
      </x:c>
      <x:c r="F708" s="10" t="str">
        <x:v>无糖照烧瘦牛肉配彩椒洋葱｜全麦面</x:v>
      </x:c>
      <x:c r="G708" s="10" t="str">
        <x:v>瘦牛肉165g、彩椒140g、洋葱125g、全麦面150g、烹调油6g</x:v>
      </x:c>
      <x:c r="H708" t="str">
        <x:v>全麦面</x:v>
      </x:c>
      <x:c r="I708" s="10" t="str">
        <x:v>低主食需求可将主食减1/3，另加100g非淀粉蔬菜（营养值需重算）</x:v>
      </x:c>
      <x:c r="J708" s="10" t="str">
        <x:v>低盐生抽、米醋、洋葱自然甜味</x:v>
      </x:c>
      <x:c r="K708" t="str">
        <x:v>少油煮</x:v>
      </x:c>
      <x:c r="L708" s="10" t="str">
        <x:v>生抽与米醋调汁，不加糖；肉菜加水煮熟后略收汁；面/魔芋丝煮熟后与菜合碗。</x:v>
      </x:c>
      <x:c r="M708" t="n">
        <x:v>15</x:v>
      </x:c>
      <x:c r="N708" t="n">
        <x:f>ROUND(SUM('食材明细'!H4238:H4243),0)</x:f>
        <x:v>534</x:v>
      </x:c>
      <x:c r="O708" t="n">
        <x:f>ROUND(SUM('食材明细'!J4238:J4243),1)</x:f>
        <x:v>44.9</x:v>
      </x:c>
      <x:c r="P708" t="n">
        <x:f>ROUND(SUM('食材明细'!L4238:L4243),1)</x:f>
        <x:v>57.7</x:v>
      </x:c>
      <x:c r="Q708" t="n">
        <x:f>ROUND(SUM('食材明细'!N4238:N4243),1)</x:f>
        <x:v>14.7</x:v>
      </x:c>
      <x:c r="R708" s="10" t="str">
        <x:v>调料尽量低盐，不加白砂糖；油重已计入热量。</x:v>
      </x:c>
    </x:row>
    <x:row r="709" ht="37" customHeight="1">
      <x:c r="A709" t="n">
        <x:v>708</x:v>
      </x:c>
      <x:c r="B709" t="n">
        <x:v>354</x:v>
      </x:c>
      <x:c r="C709" t="n">
        <x:v>51</x:v>
      </x:c>
      <x:c r="D709" t="str">
        <x:v>晚餐</x:v>
      </x:c>
      <x:c r="E709" t="str">
        <x:v>禽肉</x:v>
      </x:c>
      <x:c r="F709" s="10" t="str">
        <x:v>黑椒鸡里脊肉配荷兰豆金针菇｜糙米饭</x:v>
      </x:c>
      <x:c r="G709" s="10" t="str">
        <x:v>鸡里脊肉145g、荷兰豆140g、金针菇110g、糙米饭135g、烹调油6g</x:v>
      </x:c>
      <x:c r="H709" t="str">
        <x:v>糙米饭</x:v>
      </x:c>
      <x:c r="I709" s="10" t="str">
        <x:v>低主食需求可将主食减1/3，另加100g非淀粉蔬菜（营养值需重算）</x:v>
      </x:c>
      <x:c r="J709" s="10" t="str">
        <x:v>黑胡椒、蒜末</x:v>
      </x:c>
      <x:c r="K709" t="str">
        <x:v>少油烩</x:v>
      </x:c>
      <x:c r="L709" s="10" t="str">
        <x:v>锅加少量水和油，先把主食材煮熟，再烩两种蔬菜，收汁撒黑椒；糙米饭另煮熟或蒸好后同餐食用。</x:v>
      </x:c>
      <x:c r="M709" t="n">
        <x:v>20</x:v>
      </x:c>
      <x:c r="N709" t="n">
        <x:f>ROUND(SUM('食材明细'!H4244:H4249),0)</x:f>
        <x:v>459</x:v>
      </x:c>
      <x:c r="O709" t="n">
        <x:f>ROUND(SUM('食材明细'!J4244:J4249),1)</x:f>
        <x:v>43.4</x:v>
      </x:c>
      <x:c r="P709" t="n">
        <x:f>ROUND(SUM('食材明细'!L4244:L4249),1)</x:f>
        <x:v>49.3</x:v>
      </x:c>
      <x:c r="Q709" t="n">
        <x:f>ROUND(SUM('食材明细'!N4244:N4249),1)</x:f>
        <x:v>10.5</x:v>
      </x:c>
      <x:c r="R709" s="10" t="str">
        <x:v>调料尽量低盐，不加白砂糖；油重已计入热量。</x:v>
      </x:c>
    </x:row>
    <x:row r="710" ht="37" customHeight="1">
      <x:c r="A710" t="n">
        <x:v>709</x:v>
      </x:c>
      <x:c r="B710" t="n">
        <x:v>355</x:v>
      </x:c>
      <x:c r="C710" t="n">
        <x:v>51</x:v>
      </x:c>
      <x:c r="D710" t="str">
        <x:v>午餐</x:v>
      </x:c>
      <x:c r="E710" t="str">
        <x:v>牛肉</x:v>
      </x:c>
      <x:c r="F710" s="10" t="str">
        <x:v>椒麻瘦牛肉配菠菜黄瓜｜土豆</x:v>
      </x:c>
      <x:c r="G710" s="10" t="str">
        <x:v>瘦牛肉155g、菠菜175g、黄瓜155g、土豆165g、烹调油5g</x:v>
      </x:c>
      <x:c r="H710" t="str">
        <x:v>土豆</x:v>
      </x:c>
      <x:c r="I710" s="10" t="str">
        <x:v>想减主食可减到原量2/3，另加100g绿叶菜</x:v>
      </x:c>
      <x:c r="J710" s="10" t="str">
        <x:v>花椒、蒜、少量醋</x:v>
      </x:c>
      <x:c r="K710" t="str">
        <x:v>水煮</x:v>
      </x:c>
      <x:c r="L710" s="10" t="str">
        <x:v>花椒温水浸出味道，煮熟主食材和配菜，少油拌汁；土豆另煮熟或蒸好后同餐食用。</x:v>
      </x:c>
      <x:c r="M710" t="n">
        <x:v>25</x:v>
      </x:c>
      <x:c r="N710" t="n">
        <x:f>ROUND(SUM('食材明细'!H4250:H4255),0)</x:f>
        <x:v>433</x:v>
      </x:c>
      <x:c r="O710" t="n">
        <x:f>ROUND(SUM('食材明细'!J4250:J4255),1)</x:f>
        <x:v>42</x:v>
      </x:c>
      <x:c r="P710" t="n">
        <x:f>ROUND(SUM('食材明细'!L4250:L4255),1)</x:f>
        <x:v>40.3</x:v>
      </x:c>
      <x:c r="Q710" t="n">
        <x:f>ROUND(SUM('食材明细'!N4250:N4255),1)</x:f>
        <x:v>12.2</x:v>
      </x:c>
      <x:c r="R710" s="10" t="str">
        <x:v>调料尽量低盐，不加白砂糖；油重已计入热量。</x:v>
      </x:c>
    </x:row>
    <x:row r="711" ht="37" customHeight="1">
      <x:c r="A711" t="n">
        <x:v>710</x:v>
      </x:c>
      <x:c r="B711" t="n">
        <x:v>355</x:v>
      </x:c>
      <x:c r="C711" t="n">
        <x:v>51</x:v>
      </x:c>
      <x:c r="D711" t="str">
        <x:v>晚餐</x:v>
      </x:c>
      <x:c r="E711" t="str">
        <x:v>豆蛋</x:v>
      </x:c>
      <x:c r="F711" s="10" t="str">
        <x:v>豉汁鸡蛋嫩豆腐烩芦笋彩椒｜乌冬面</x:v>
      </x:c>
      <x:c r="G711" s="10" t="str">
        <x:v>鸡蛋120g、嫩豆腐135g、芦笋140g、彩椒140g、乌冬面95g、烹调油6g</x:v>
      </x:c>
      <x:c r="H711" t="str">
        <x:v>乌冬面</x:v>
      </x:c>
      <x:c r="I711" s="10" t="str">
        <x:v>低主食需求可将主食减1/3，另加100g非淀粉蔬菜（营养值需重算）</x:v>
      </x:c>
      <x:c r="J711" s="10" t="str">
        <x:v>少量豆豉、姜末</x:v>
      </x:c>
      <x:c r="K711" t="str">
        <x:v>蒸</x:v>
      </x:c>
      <x:c r="L711" s="10" t="str">
        <x:v>鸡蛋先打散成蛋液；豆豉冲洗剁碎，与姜末拌主食材后蒸熟；蔬菜另煮；面/魔芋丝煮熟后与菜合碗。</x:v>
      </x:c>
      <x:c r="M711" t="n">
        <x:v>30</x:v>
      </x:c>
      <x:c r="N711" t="n">
        <x:f>ROUND(SUM('食材明细'!H4256:H4261),0)</x:f>
        <x:v>481</x:v>
      </x:c>
      <x:c r="O711" t="n">
        <x:f>ROUND(SUM('食材明细'!J4256:J4261),1)</x:f>
        <x:v>29.2</x:v>
      </x:c>
      <x:c r="P711" t="n">
        <x:f>ROUND(SUM('食材明细'!L4256:L4261),1)</x:f>
        <x:v>41.8</x:v>
      </x:c>
      <x:c r="Q711" t="n">
        <x:f>ROUND(SUM('食材明细'!N4256:N4261),1)</x:f>
        <x:v>22.8</x:v>
      </x:c>
      <x:c r="R711" s="10" t="str">
        <x:v>调料尽量低盐，不加白砂糖；油重已计入热量。</x:v>
      </x:c>
    </x:row>
    <x:row r="712" ht="37" customHeight="1">
      <x:c r="A712" t="n">
        <x:v>711</x:v>
      </x:c>
      <x:c r="B712" t="n">
        <x:v>356</x:v>
      </x:c>
      <x:c r="C712" t="n">
        <x:v>51</x:v>
      </x:c>
      <x:c r="D712" t="str">
        <x:v>午餐</x:v>
      </x:c>
      <x:c r="E712" t="str">
        <x:v>禽肉</x:v>
      </x:c>
      <x:c r="F712" s="10" t="str">
        <x:v>番茄鸡里脊肉配芦笋｜杂粮饭</x:v>
      </x:c>
      <x:c r="G712" s="10" t="str">
        <x:v>鸡里脊肉175g、番茄160g、芦笋140g、杂粮饭135g、烹调油4g</x:v>
      </x:c>
      <x:c r="H712" t="str">
        <x:v>杂粮饭</x:v>
      </x:c>
      <x:c r="I712" s="10" t="str">
        <x:v>低主食需求可将主食减1/3，另加100g非淀粉蔬菜（营养值需重算）</x:v>
      </x:c>
      <x:c r="J712" s="10" t="str">
        <x:v>番茄丁、黑胡椒</x:v>
      </x:c>
      <x:c r="K712" t="str">
        <x:v>炖煮</x:v>
      </x:c>
      <x:c r="L712" s="10" t="str">
        <x:v>番茄出汁后加入主食材和少量水，轻炖至熟，再放配菜；杂粮饭另煮熟或蒸好后同餐食用。</x:v>
      </x:c>
      <x:c r="M712" t="n">
        <x:v>20</x:v>
      </x:c>
      <x:c r="N712" t="n">
        <x:f>ROUND(SUM('食材明细'!H4262:H4267),0)</x:f>
        <x:v>444</x:v>
      </x:c>
      <x:c r="O712" t="n">
        <x:f>ROUND(SUM('食材明细'!J4262:J4267),1)</x:f>
        <x:v>48.9</x:v>
      </x:c>
      <x:c r="P712" t="n">
        <x:f>ROUND(SUM('食材明细'!L4262:L4267),1)</x:f>
        <x:v>43.6</x:v>
      </x:c>
      <x:c r="Q712" t="n">
        <x:f>ROUND(SUM('食材明细'!N4262:N4267),1)</x:f>
        <x:v>9.1</x:v>
      </x:c>
      <x:c r="R712" s="10" t="str">
        <x:v>调料尽量低盐，不加白砂糖；油重已计入热量。</x:v>
      </x:c>
    </x:row>
    <x:row r="713" ht="37" customHeight="1">
      <x:c r="A713" t="n">
        <x:v>712</x:v>
      </x:c>
      <x:c r="B713" t="n">
        <x:v>356</x:v>
      </x:c>
      <x:c r="C713" t="n">
        <x:v>51</x:v>
      </x:c>
      <x:c r="D713" t="str">
        <x:v>晚餐</x:v>
      </x:c>
      <x:c r="E713" t="str">
        <x:v>豆蛋</x:v>
      </x:c>
      <x:c r="F713" s="10" t="str">
        <x:v>菌菇北豆腐配西兰花杏鲍菇｜紫薯</x:v>
      </x:c>
      <x:c r="G713" s="10" t="str">
        <x:v>北豆腐260g、西兰花190g、杏鲍菇125g、紫薯110g、烹调油5g</x:v>
      </x:c>
      <x:c r="H713" t="str">
        <x:v>紫薯</x:v>
      </x:c>
      <x:c r="I713" s="10" t="str">
        <x:v>想减主食可减到原量2/3，另加100g绿叶菜</x:v>
      </x:c>
      <x:c r="J713" s="10" t="str">
        <x:v>姜片、香菇汁</x:v>
      </x:c>
      <x:c r="K713" t="str">
        <x:v>焖煮</x:v>
      </x:c>
      <x:c r="L713" s="10" t="str">
        <x:v>食材与菌菇加少量水焖熟，出锅前加少量低盐生抽；紫薯另煮熟或蒸好后同餐食用。</x:v>
      </x:c>
      <x:c r="M713" t="n">
        <x:v>30</x:v>
      </x:c>
      <x:c r="N713" t="n">
        <x:f>ROUND(SUM('食材明细'!H4268:H4273),0)</x:f>
        <x:v>492</x:v>
      </x:c>
      <x:c r="O713" t="n">
        <x:f>ROUND(SUM('食材明细'!J4268:J4273),1)</x:f>
        <x:v>35.6</x:v>
      </x:c>
      <x:c r="P713" t="n">
        <x:f>ROUND(SUM('食材明细'!L4268:L4273),1)</x:f>
        <x:v>52</x:v>
      </x:c>
      <x:c r="Q713" t="n">
        <x:f>ROUND(SUM('食材明细'!N4268:N4273),1)</x:f>
        <x:v>19.3</x:v>
      </x:c>
      <x:c r="R713" s="10" t="str">
        <x:v>调料尽量低盐，不加白砂糖；油重已计入热量。</x:v>
      </x:c>
    </x:row>
    <x:row r="714" ht="37" customHeight="1">
      <x:c r="A714" t="n">
        <x:v>713</x:v>
      </x:c>
      <x:c r="B714" t="n">
        <x:v>357</x:v>
      </x:c>
      <x:c r="C714" t="n">
        <x:v>51</x:v>
      </x:c>
      <x:c r="D714" t="str">
        <x:v>午餐</x:v>
      </x:c>
      <x:c r="E714" t="str">
        <x:v>鱼类</x:v>
      </x:c>
      <x:c r="F714" s="10" t="str">
        <x:v>剁椒三文鱼配西兰花玉米笋｜白米饭</x:v>
      </x:c>
      <x:c r="G714" s="10" t="str">
        <x:v>三文鱼135g、西兰花175g、玉米笋140g、白米饭125g、烹调油2g</x:v>
      </x:c>
      <x:c r="H714" t="str">
        <x:v>白米饭</x:v>
      </x:c>
      <x:c r="I714" s="10" t="str">
        <x:v>低主食需求可将主食减1/3，另加100g非淀粉蔬菜（营养值需重算）</x:v>
      </x:c>
      <x:c r="J714" s="10" t="str">
        <x:v>自制低盐剁椒、蒜</x:v>
      </x:c>
      <x:c r="K714" t="str">
        <x:v>蒸</x:v>
      </x:c>
      <x:c r="L714" s="10" t="str">
        <x:v>鱼肉去刺，彻底做熟；主食材铺少量低盐剁椒蒸熟，配菜焯熟后摆盘；白米饭另煮熟或蒸好后同餐食用。</x:v>
      </x:c>
      <x:c r="M714" t="n">
        <x:v>20</x:v>
      </x:c>
      <x:c r="N714" t="n">
        <x:f>ROUND(SUM('食材明细'!H4274:H4279),0)</x:f>
        <x:v>536</x:v>
      </x:c>
      <x:c r="O714" t="n">
        <x:f>ROUND(SUM('食材明细'!J4274:J4279),1)</x:f>
        <x:v>37.9</x:v>
      </x:c>
      <x:c r="P714" t="n">
        <x:f>ROUND(SUM('食材明细'!L4274:L4279),1)</x:f>
        <x:v>51.1</x:v>
      </x:c>
      <x:c r="Q714" t="n">
        <x:f>ROUND(SUM('食材明细'!N4274:N4279),1)</x:f>
        <x:v>20.8</x:v>
      </x:c>
      <x:c r="R714" s="10" t="str">
        <x:v>调料尽量低盐，不加白砂糖；油重已计入热量。</x:v>
      </x:c>
    </x:row>
    <x:row r="715" ht="37" customHeight="1">
      <x:c r="A715" t="n">
        <x:v>714</x:v>
      </x:c>
      <x:c r="B715" t="n">
        <x:v>357</x:v>
      </x:c>
      <x:c r="C715" t="n">
        <x:v>51</x:v>
      </x:c>
      <x:c r="D715" t="str">
        <x:v>晚餐</x:v>
      </x:c>
      <x:c r="E715" t="str">
        <x:v>海鲜</x:v>
      </x:c>
      <x:c r="F715" s="10" t="str">
        <x:v>柠檬虾仁配彩椒黄瓜｜全麦面</x:v>
      </x:c>
      <x:c r="G715" s="10" t="str">
        <x:v>虾仁175g、彩椒140g、黄瓜155g、全麦面95g、烹调油3g</x:v>
      </x:c>
      <x:c r="H715" t="str">
        <x:v>全麦面</x:v>
      </x:c>
      <x:c r="I715" s="10" t="str">
        <x:v>低主食需求可将主食减1/3，另加100g非淀粉蔬菜（营养值需重算）</x:v>
      </x:c>
      <x:c r="J715" s="10" t="str">
        <x:v>柠檬片、白胡椒</x:v>
      </x:c>
      <x:c r="K715" t="str">
        <x:v>蒸</x:v>
      </x:c>
      <x:c r="L715" s="10" t="str">
        <x:v>柠檬片垫底，主食材蒸熟，蔬菜短焯后摆盘；面/魔芋丝煮熟后与菜合碗。</x:v>
      </x:c>
      <x:c r="M715" t="n">
        <x:v>30</x:v>
      </x:c>
      <x:c r="N715" t="n">
        <x:f>ROUND(SUM('食材明细'!H4280:H4285),0)</x:f>
        <x:v>365</x:v>
      </x:c>
      <x:c r="O715" t="n">
        <x:f>ROUND(SUM('食材明细'!J4280:J4285),1)</x:f>
        <x:v>40.5</x:v>
      </x:c>
      <x:c r="P715" t="n">
        <x:f>ROUND(SUM('食材明细'!L4280:L4285),1)</x:f>
        <x:v>38.6</x:v>
      </x:c>
      <x:c r="Q715" t="n">
        <x:f>ROUND(SUM('食材明细'!N4280:N4285),1)</x:f>
        <x:v>6.4</x:v>
      </x:c>
      <x:c r="R715" s="10" t="str">
        <x:v>调料尽量低盐，不加白砂糖；油重已计入热量。</x:v>
      </x:c>
    </x:row>
    <x:row r="716" ht="37" customHeight="1">
      <x:c r="A716" t="n">
        <x:v>715</x:v>
      </x:c>
      <x:c r="B716" t="n">
        <x:v>358</x:v>
      </x:c>
      <x:c r="C716" t="n">
        <x:v>52</x:v>
      </x:c>
      <x:c r="D716" t="str">
        <x:v>午餐</x:v>
      </x:c>
      <x:c r="E716" t="str">
        <x:v>海鲜</x:v>
      </x:c>
      <x:c r="F716" s="10" t="str">
        <x:v>酸汤虾仁配花菜绿豆芽｜燕麦饭</x:v>
      </x:c>
      <x:c r="G716" s="10" t="str">
        <x:v>虾仁160g、花菜175g、绿豆芽140g、燕麦饭110g、烹调油3g</x:v>
      </x:c>
      <x:c r="H716" t="str">
        <x:v>燕麦饭</x:v>
      </x:c>
      <x:c r="I716" s="10" t="str">
        <x:v>低主食需求可将主食减1/3，另加100g非淀粉蔬菜（营养值需重算）</x:v>
      </x:c>
      <x:c r="J716" s="10" t="str">
        <x:v>米醋、番茄、少许辣椒</x:v>
      </x:c>
      <x:c r="K716" t="str">
        <x:v>水煮</x:v>
      </x:c>
      <x:c r="L716" s="10" t="str">
        <x:v>番茄煮成酸汤，主食材汆熟，加入蔬菜再煮2～5分钟；燕麦饭另煮熟或蒸好后同餐食用。</x:v>
      </x:c>
      <x:c r="M716" t="n">
        <x:v>15</x:v>
      </x:c>
      <x:c r="N716" t="n">
        <x:f>ROUND(SUM('食材明细'!H4286:H4291),0)</x:f>
        <x:v>379</x:v>
      </x:c>
      <x:c r="O716" t="n">
        <x:f>ROUND(SUM('食材明细'!J4286:J4291),1)</x:f>
        <x:v>41.6</x:v>
      </x:c>
      <x:c r="P716" t="n">
        <x:f>ROUND(SUM('食材明细'!L4286:L4291),1)</x:f>
        <x:v>40.9</x:v>
      </x:c>
      <x:c r="Q716" t="n">
        <x:f>ROUND(SUM('食材明细'!N4286:N4291),1)</x:f>
        <x:v>7.6</x:v>
      </x:c>
      <x:c r="R716" s="10" t="str">
        <x:v>调料尽量低盐，不加白砂糖；油重已计入热量。</x:v>
      </x:c>
    </x:row>
    <x:row r="717" ht="37" customHeight="1">
      <x:c r="A717" t="n">
        <x:v>716</x:v>
      </x:c>
      <x:c r="B717" t="n">
        <x:v>358</x:v>
      </x:c>
      <x:c r="C717" t="n">
        <x:v>52</x:v>
      </x:c>
      <x:c r="D717" t="str">
        <x:v>晚餐</x:v>
      </x:c>
      <x:c r="E717" t="str">
        <x:v>鱼类</x:v>
      </x:c>
      <x:c r="F717" s="10" t="str">
        <x:v>清汤巴沙鱼配花菜口蘑｜红薯</x:v>
      </x:c>
      <x:c r="G717" s="10" t="str">
        <x:v>巴沙鱼200g、花菜160g、口蘑155g、红薯125g、烹调油6g</x:v>
      </x:c>
      <x:c r="H717" t="str">
        <x:v>红薯</x:v>
      </x:c>
      <x:c r="I717" s="10" t="str">
        <x:v>想减主食可减到原量2/3，另加100g绿叶菜</x:v>
      </x:c>
      <x:c r="J717" s="10" t="str">
        <x:v>葱段、盐少量</x:v>
      </x:c>
      <x:c r="K717" t="str">
        <x:v>煮</x:v>
      </x:c>
      <x:c r="L717" s="10" t="str">
        <x:v>鱼肉去刺，彻底做熟；清水煮开，按熟化时间下食材，最后放叶菜，清淡调味；红薯另煮熟或蒸好后同餐食用。</x:v>
      </x:c>
      <x:c r="M717" t="n">
        <x:v>30</x:v>
      </x:c>
      <x:c r="N717" t="n">
        <x:f>ROUND(SUM('食材明细'!H4292:H4297),0)</x:f>
        <x:v>418</x:v>
      </x:c>
      <x:c r="O717" t="n">
        <x:f>ROUND(SUM('食材明细'!J4292:J4297),1)</x:f>
        <x:v>44</x:v>
      </x:c>
      <x:c r="P717" t="n">
        <x:f>ROUND(SUM('食材明细'!L4292:L4297),1)</x:f>
        <x:v>38.8</x:v>
      </x:c>
      <x:c r="Q717" t="n">
        <x:f>ROUND(SUM('食材明细'!N4292:N4297),1)</x:f>
        <x:v>11.7</x:v>
      </x:c>
      <x:c r="R717" s="10" t="str">
        <x:v>调料尽量低盐，不加白砂糖；油重已计入热量。</x:v>
      </x:c>
    </x:row>
    <x:row r="718" ht="37" customHeight="1">
      <x:c r="A718" t="n">
        <x:v>717</x:v>
      </x:c>
      <x:c r="B718" t="n">
        <x:v>359</x:v>
      </x:c>
      <x:c r="C718" t="n">
        <x:v>52</x:v>
      </x:c>
      <x:c r="D718" t="str">
        <x:v>午餐</x:v>
      </x:c>
      <x:c r="E718" t="str">
        <x:v>海鲜</x:v>
      </x:c>
      <x:c r="F718" s="10" t="str">
        <x:v>蒜香虾仁配黄瓜芦笋｜白米饭</x:v>
      </x:c>
      <x:c r="G718" s="10" t="str">
        <x:v>虾仁190g、黄瓜140g、芦笋155g、白米饭125g、烹调油3g</x:v>
      </x:c>
      <x:c r="H718" t="str">
        <x:v>白米饭</x:v>
      </x:c>
      <x:c r="I718" s="10" t="str">
        <x:v>低主食需求可将主食减1/3，另加100g非淀粉蔬菜（营养值需重算）</x:v>
      </x:c>
      <x:c r="J718" s="10" t="str">
        <x:v>蒜末、白胡椒</x:v>
      </x:c>
      <x:c r="K718" t="str">
        <x:v>蒸</x:v>
      </x:c>
      <x:c r="L718" s="10" t="str">
        <x:v>食材切块，撒蒜末；上锅蒸熟，蔬菜另焯后拌匀；白米饭另煮熟或蒸好后同餐食用。</x:v>
      </x:c>
      <x:c r="M718" t="n">
        <x:v>30</x:v>
      </x:c>
      <x:c r="N718" t="n">
        <x:f>ROUND(SUM('食材明细'!H4298:H4303),0)</x:f>
        <x:v>396</x:v>
      </x:c>
      <x:c r="O718" t="n">
        <x:f>ROUND(SUM('食材明细'!J4298:J4303),1)</x:f>
        <x:v>43.7</x:v>
      </x:c>
      <x:c r="P718" t="n">
        <x:f>ROUND(SUM('食材明细'!L4298:L4303),1)</x:f>
        <x:v>43.9</x:v>
      </x:c>
      <x:c r="Q718" t="n">
        <x:f>ROUND(SUM('食材明细'!N4298:N4303),1)</x:f>
        <x:v>5.8</x:v>
      </x:c>
      <x:c r="R718" s="10" t="str">
        <x:v>调料尽量低盐，不加白砂糖；油重已计入热量。</x:v>
      </x:c>
    </x:row>
    <x:row r="719" ht="37" customHeight="1">
      <x:c r="A719" t="n">
        <x:v>718</x:v>
      </x:c>
      <x:c r="B719" t="n">
        <x:v>359</x:v>
      </x:c>
      <x:c r="C719" t="n">
        <x:v>52</x:v>
      </x:c>
      <x:c r="D719" t="str">
        <x:v>晚餐</x:v>
      </x:c>
      <x:c r="E719" t="str">
        <x:v>豆蛋</x:v>
      </x:c>
      <x:c r="F719" s="10" t="str">
        <x:v>番茄嫩豆腐鸡蛋烩番茄冬瓜｜杂粮饭</x:v>
      </x:c>
      <x:c r="G719" s="10" t="str">
        <x:v>嫩豆腐260g、鸡蛋50g、番茄160g、冬瓜125g、杂粮饭125g、烹调油5g</x:v>
      </x:c>
      <x:c r="H719" t="str">
        <x:v>杂粮饭</x:v>
      </x:c>
      <x:c r="I719" s="10" t="str">
        <x:v>低主食需求可将主食减1/3，另加100g非淀粉蔬菜（营养值需重算）</x:v>
      </x:c>
      <x:c r="J719" s="10" t="str">
        <x:v>番茄丁、黑胡椒</x:v>
      </x:c>
      <x:c r="K719" t="str">
        <x:v>炖煮</x:v>
      </x:c>
      <x:c r="L719" s="10" t="str">
        <x:v>番茄出汁后加入主食材和少量水，轻炖至熟，再放配菜；杂粮饭另煮熟或蒸好后同餐食用。</x:v>
      </x:c>
      <x:c r="M719" t="n">
        <x:v>20</x:v>
      </x:c>
      <x:c r="N719" t="n">
        <x:f>ROUND(SUM('食材明细'!H4304:H4309),0)</x:f>
        <x:v>452</x:v>
      </x:c>
      <x:c r="O719" t="n">
        <x:f>ROUND(SUM('食材明细'!J4304:J4309),1)</x:f>
        <x:v>25.3</x:v>
      </x:c>
      <x:c r="P719" t="n">
        <x:f>ROUND(SUM('食材明细'!L4304:L4309),1)</x:f>
        <x:v>45.3</x:v>
      </x:c>
      <x:c r="Q719" t="n">
        <x:f>ROUND(SUM('食材明细'!N4304:N4309),1)</x:f>
        <x:v>19.2</x:v>
      </x:c>
      <x:c r="R719" s="10" t="str">
        <x:v>调料尽量低盐，不加白砂糖；油重已计入热量。</x:v>
      </x:c>
    </x:row>
    <x:row r="720" ht="37" customHeight="1">
      <x:c r="A720" t="n">
        <x:v>719</x:v>
      </x:c>
      <x:c r="B720" t="n">
        <x:v>360</x:v>
      </x:c>
      <x:c r="C720" t="n">
        <x:v>52</x:v>
      </x:c>
      <x:c r="D720" t="str">
        <x:v>午餐</x:v>
      </x:c>
      <x:c r="E720" t="str">
        <x:v>禽肉</x:v>
      </x:c>
      <x:c r="F720" s="10" t="str">
        <x:v>柠檬去皮鸡腿肉配冬瓜荷兰豆｜红薯</x:v>
      </x:c>
      <x:c r="G720" s="10" t="str">
        <x:v>去皮鸡腿肉175g、冬瓜175g、荷兰豆125g、红薯110g、烹调油4g</x:v>
      </x:c>
      <x:c r="H720" t="str">
        <x:v>红薯</x:v>
      </x:c>
      <x:c r="I720" s="10" t="str">
        <x:v>想减主食可减到原量2/3，另加100g绿叶菜</x:v>
      </x:c>
      <x:c r="J720" s="10" t="str">
        <x:v>柠檬片、白胡椒</x:v>
      </x:c>
      <x:c r="K720" t="str">
        <x:v>蒸</x:v>
      </x:c>
      <x:c r="L720" s="10" t="str">
        <x:v>先去皮去骨并切薄，充分加热；柠檬片垫底，主食材蒸熟，蔬菜短焯后摆盘；红薯另煮熟或蒸好后同餐食用。</x:v>
      </x:c>
      <x:c r="M720" t="n">
        <x:v>25</x:v>
      </x:c>
      <x:c r="N720" t="n">
        <x:f>ROUND(SUM('食材明细'!H4310:H4315),0)</x:f>
        <x:v>427</x:v>
      </x:c>
      <x:c r="O720" t="n">
        <x:f>ROUND(SUM('食材明细'!J4310:J4315),1)</x:f>
        <x:v>41</x:v>
      </x:c>
      <x:c r="P720" t="n">
        <x:f>ROUND(SUM('食材明细'!L4310:L4315),1)</x:f>
        <x:v>37.2</x:v>
      </x:c>
      <x:c r="Q720" t="n">
        <x:f>ROUND(SUM('食材明细'!N4310:N4315),1)</x:f>
        <x:v>13.6</x:v>
      </x:c>
      <x:c r="R720" s="10" t="str">
        <x:v>调料尽量低盐，不加白砂糖；油重已计入热量。</x:v>
      </x:c>
    </x:row>
    <x:row r="721" ht="37" customHeight="1">
      <x:c r="A721" t="n">
        <x:v>720</x:v>
      </x:c>
      <x:c r="B721" t="n">
        <x:v>360</x:v>
      </x:c>
      <x:c r="C721" t="n">
        <x:v>52</x:v>
      </x:c>
      <x:c r="D721" t="str">
        <x:v>晚餐</x:v>
      </x:c>
      <x:c r="E721" t="str">
        <x:v>牛肉</x:v>
      </x:c>
      <x:c r="F721" s="10" t="str">
        <x:v>花椒牛里脊配黄瓜泡发木耳｜藜麦饭</x:v>
      </x:c>
      <x:c r="G721" s="10" t="str">
        <x:v>牛里脊170g、黄瓜160g、泡发木耳110g、藜麦饭125g、烹调油6g</x:v>
      </x:c>
      <x:c r="H721" t="str">
        <x:v>藜麦饭</x:v>
      </x:c>
      <x:c r="I721" s="10" t="str">
        <x:v>低主食需求可将主食减1/3，另加100g非淀粉蔬菜（营养值需重算）</x:v>
      </x:c>
      <x:c r="J721" s="10" t="str">
        <x:v>花椒粉、姜丝</x:v>
      </x:c>
      <x:c r="K721" t="str">
        <x:v>蒸</x:v>
      </x:c>
      <x:c r="L721" s="10" t="str">
        <x:v>薄薄撒花椒和姜丝，蒸至熟透，搭配焯青菜；藜麦饭另煮熟或蒸好后同餐食用。</x:v>
      </x:c>
      <x:c r="M721" t="n">
        <x:v>30</x:v>
      </x:c>
      <x:c r="N721" t="n">
        <x:f>ROUND(SUM('食材明细'!H4316:H4321),0)</x:f>
        <x:v>478</x:v>
      </x:c>
      <x:c r="O721" t="n">
        <x:f>ROUND(SUM('食材明细'!J4316:J4321),1)</x:f>
        <x:v>44</x:v>
      </x:c>
      <x:c r="P721" t="n">
        <x:f>ROUND(SUM('食材明细'!L4316:L4321),1)</x:f>
        <x:v>39</x:v>
      </x:c>
      <x:c r="Q721" t="n">
        <x:f>ROUND(SUM('食材明细'!N4316:N4321),1)</x:f>
        <x:v>16.8</x:v>
      </x:c>
      <x:c r="R721" s="10" t="str">
        <x:v>调料尽量低盐，不加白砂糖；油重已计入热量。</x:v>
      </x:c>
    </x:row>
    <x:row r="722" ht="37" customHeight="1">
      <x:c r="A722" t="n">
        <x:v>721</x:v>
      </x:c>
      <x:c r="B722" t="n">
        <x:v>361</x:v>
      </x:c>
      <x:c r="C722" t="n">
        <x:v>52</x:v>
      </x:c>
      <x:c r="D722" t="str">
        <x:v>午餐</x:v>
      </x:c>
      <x:c r="E722" t="str">
        <x:v>禽肉</x:v>
      </x:c>
      <x:c r="F722" s="10" t="str">
        <x:v>番茄去皮鸡腿肉配西兰花｜荞麦饭</x:v>
      </x:c>
      <x:c r="G722" s="10" t="str">
        <x:v>去皮鸡腿肉185g、番茄175g、西兰花110g、荞麦饭165g、烹调油5g</x:v>
      </x:c>
      <x:c r="H722" t="str">
        <x:v>荞麦饭</x:v>
      </x:c>
      <x:c r="I722" s="10" t="str">
        <x:v>低主食需求可将主食减1/3，另加100g非淀粉蔬菜（营养值需重算）</x:v>
      </x:c>
      <x:c r="J722" s="10" t="str">
        <x:v>番茄丁、黑胡椒</x:v>
      </x:c>
      <x:c r="K722" t="str">
        <x:v>炖煮</x:v>
      </x:c>
      <x:c r="L722" s="10" t="str">
        <x:v>先去皮去骨并切薄，充分加热；番茄出汁后加入主食材和少量水，轻炖至熟，再放配菜；荞麦饭另煮熟或蒸好后同餐食用。</x:v>
      </x:c>
      <x:c r="M722" t="n">
        <x:v>35</x:v>
      </x:c>
      <x:c r="N722" t="n">
        <x:f>ROUND(SUM('食材明细'!H4322:H4327),0)</x:f>
        <x:v>530</x:v>
      </x:c>
      <x:c r="O722" t="n">
        <x:f>ROUND(SUM('食材明细'!J4322:J4327),1)</x:f>
        <x:v>47.3</x:v>
      </x:c>
      <x:c r="P722" t="n">
        <x:f>ROUND(SUM('食材明细'!L4322:L4327),1)</x:f>
        <x:v>51</x:v>
      </x:c>
      <x:c r="Q722" t="n">
        <x:f>ROUND(SUM('食材明细'!N4322:N4327),1)</x:f>
        <x:v>16.9</x:v>
      </x:c>
      <x:c r="R722" s="10" t="str">
        <x:v>调料尽量低盐，不加白砂糖；油重已计入热量。</x:v>
      </x:c>
    </x:row>
    <x:row r="723" ht="37" customHeight="1">
      <x:c r="A723" t="n">
        <x:v>722</x:v>
      </x:c>
      <x:c r="B723" t="n">
        <x:v>361</x:v>
      </x:c>
      <x:c r="C723" t="n">
        <x:v>52</x:v>
      </x:c>
      <x:c r="D723" t="str">
        <x:v>晚餐</x:v>
      </x:c>
      <x:c r="E723" t="str">
        <x:v>牛肉</x:v>
      </x:c>
      <x:c r="F723" s="10" t="str">
        <x:v>咖喱牛里脊配西葫芦冬瓜｜荞麦饭</x:v>
      </x:c>
      <x:c r="G723" s="10" t="str">
        <x:v>牛里脊145g、西葫芦160g、冬瓜110g、荞麦饭110g、烹调油5g</x:v>
      </x:c>
      <x:c r="H723" t="str">
        <x:v>荞麦饭</x:v>
      </x:c>
      <x:c r="I723" s="10" t="str">
        <x:v>低主食需求可将主食减1/3，另加100g非淀粉蔬菜（营养值需重算）</x:v>
      </x:c>
      <x:c r="J723" s="10" t="str">
        <x:v>无加糖咖喱粉、姜末</x:v>
      </x:c>
      <x:c r="K723" t="str">
        <x:v>炖煮</x:v>
      </x:c>
      <x:c r="L723" s="10" t="str">
        <x:v>用咖喱粉而非高脂咖喱块，加水轻炖主食材和蔬菜；荞麦饭另煮熟或蒸好后同餐食用。</x:v>
      </x:c>
      <x:c r="M723" t="n">
        <x:v>20</x:v>
      </x:c>
      <x:c r="N723" t="n">
        <x:f>ROUND(SUM('食材明细'!H4328:H4333),0)</x:f>
        <x:v>396</x:v>
      </x:c>
      <x:c r="O723" t="n">
        <x:f>ROUND(SUM('食材明细'!J4328:J4333),1)</x:f>
        <x:v>36.6</x:v>
      </x:c>
      <x:c r="P723" t="n">
        <x:f>ROUND(SUM('食材明细'!L4328:L4333),1)</x:f>
        <x:v>32.5</x:v>
      </x:c>
      <x:c r="Q723" t="n">
        <x:f>ROUND(SUM('食材明细'!N4328:N4333),1)</x:f>
        <x:v>13.9</x:v>
      </x:c>
      <x:c r="R723" s="10" t="str">
        <x:v>调料尽量低盐，不加白砂糖；油重已计入热量。</x:v>
      </x:c>
    </x:row>
    <x:row r="724" ht="37" customHeight="1">
      <x:c r="A724" t="n">
        <x:v>723</x:v>
      </x:c>
      <x:c r="B724" t="n">
        <x:v>362</x:v>
      </x:c>
      <x:c r="C724" t="n">
        <x:v>52</x:v>
      </x:c>
      <x:c r="D724" t="str">
        <x:v>午餐</x:v>
      </x:c>
      <x:c r="E724" t="str">
        <x:v>海鲜</x:v>
      </x:c>
      <x:c r="F724" s="10" t="str">
        <x:v>柠檬鱿鱼配四季豆小白菜｜玉米</x:v>
      </x:c>
      <x:c r="G724" s="10" t="str">
        <x:v>鱿鱼190g、四季豆175g、小白菜125g、玉米135g、烹调油4g</x:v>
      </x:c>
      <x:c r="H724" t="str">
        <x:v>玉米</x:v>
      </x:c>
      <x:c r="I724" s="10" t="str">
        <x:v>想减主食可减到原量2/3，另加100g绿叶菜</x:v>
      </x:c>
      <x:c r="J724" s="10" t="str">
        <x:v>柠檬片、白胡椒</x:v>
      </x:c>
      <x:c r="K724" t="str">
        <x:v>蒸</x:v>
      </x:c>
      <x:c r="L724" s="10" t="str">
        <x:v>柠檬片垫底，主食材蒸熟，蔬菜短焯后摆盘；玉米另煮熟或蒸好后同餐食用。四季豆必须充分煮熟，不要生脆。</x:v>
      </x:c>
      <x:c r="M724" t="n">
        <x:v>20</x:v>
      </x:c>
      <x:c r="N724" t="n">
        <x:f>ROUND(SUM('食材明细'!H4334:H4339),0)</x:f>
        <x:v>434</x:v>
      </x:c>
      <x:c r="O724" t="n">
        <x:f>ROUND(SUM('食材明细'!J4334:J4339),1)</x:f>
        <x:v>42</x:v>
      </x:c>
      <x:c r="P724" t="n">
        <x:f>ROUND(SUM('食材明细'!L4334:L4339),1)</x:f>
        <x:v>49.3</x:v>
      </x:c>
      <x:c r="Q724" t="n">
        <x:f>ROUND(SUM('食材明细'!N4334:N4339),1)</x:f>
        <x:v>9.1</x:v>
      </x:c>
      <x:c r="R724" s="10" t="str">
        <x:v>调料尽量低盐，不加白砂糖；油重已计入热量。</x:v>
      </x:c>
    </x:row>
    <x:row r="725" ht="37" customHeight="1">
      <x:c r="A725" t="n">
        <x:v>724</x:v>
      </x:c>
      <x:c r="B725" t="n">
        <x:v>362</x:v>
      </x:c>
      <x:c r="C725" t="n">
        <x:v>52</x:v>
      </x:c>
      <x:c r="D725" t="str">
        <x:v>晚餐</x:v>
      </x:c>
      <x:c r="E725" t="str">
        <x:v>豆蛋</x:v>
      </x:c>
      <x:c r="F725" s="10" t="str">
        <x:v>香醋鸡蛋嫩豆腐烩芦笋娃娃菜｜藜麦饭</x:v>
      </x:c>
      <x:c r="G725" s="10" t="str">
        <x:v>鸡蛋120g、嫩豆腐110g、芦笋140g、娃娃菜110g、藜麦饭110g、烹调油6g</x:v>
      </x:c>
      <x:c r="H725" t="str">
        <x:v>藜麦饭</x:v>
      </x:c>
      <x:c r="I725" s="10" t="str">
        <x:v>低主食需求可将主食减1/3，另加100g非淀粉蔬菜（营养值需重算）</x:v>
      </x:c>
      <x:c r="J725" s="10" t="str">
        <x:v>香醋、蒜末、少量生抽</x:v>
      </x:c>
      <x:c r="K725" t="str">
        <x:v>水煮</x:v>
      </x:c>
      <x:c r="L725" s="10" t="str">
        <x:v>鸡蛋先打散成蛋液；食材分别煮至熟，淋香醋蒜汁，拌匀即食；藜麦饭另煮熟或蒸好后同餐食用。</x:v>
      </x:c>
      <x:c r="M725" t="n">
        <x:v>20</x:v>
      </x:c>
      <x:c r="N725" t="n">
        <x:f>ROUND(SUM('食材明细'!H4340:H4345),0)</x:f>
        <x:v>466</x:v>
      </x:c>
      <x:c r="O725" t="n">
        <x:f>ROUND(SUM('食材明细'!J4340:J4345),1)</x:f>
        <x:v>30.5</x:v>
      </x:c>
      <x:c r="P725" t="n">
        <x:f>ROUND(SUM('食材明细'!L4340:L4345),1)</x:f>
        <x:v>35.7</x:v>
      </x:c>
      <x:c r="Q725" t="n">
        <x:f>ROUND(SUM('食材明细'!N4340:N4345),1)</x:f>
        <x:v>23.5</x:v>
      </x:c>
      <x:c r="R725" s="10" t="str">
        <x:v>调料尽量低盐，不加白砂糖；油重已计入热量。</x:v>
      </x:c>
    </x:row>
    <x:row r="726" ht="37" customHeight="1">
      <x:c r="A726" t="n">
        <x:v>725</x:v>
      </x:c>
      <x:c r="B726" t="n">
        <x:v>363</x:v>
      </x:c>
      <x:c r="C726" t="n">
        <x:v>52</x:v>
      </x:c>
      <x:c r="D726" t="str">
        <x:v>午餐</x:v>
      </x:c>
      <x:c r="E726" t="str">
        <x:v>豆蛋</x:v>
      </x:c>
      <x:c r="F726" s="10" t="str">
        <x:v>番茄北豆腐熟毛豆仁烩番茄玉米笋｜土豆</x:v>
      </x:c>
      <x:c r="G726" s="10" t="str">
        <x:v>北豆腐300g、熟毛豆仁70g、番茄140g、玉米笋155g、土豆110g、烹调油4g</x:v>
      </x:c>
      <x:c r="H726" t="str">
        <x:v>土豆</x:v>
      </x:c>
      <x:c r="I726" s="10" t="str">
        <x:v>想减主食可减到原量2/3，另加100g绿叶菜</x:v>
      </x:c>
      <x:c r="J726" s="10" t="str">
        <x:v>番茄丁、黑胡椒</x:v>
      </x:c>
      <x:c r="K726" t="str">
        <x:v>炖煮</x:v>
      </x:c>
      <x:c r="L726" s="10" t="str">
        <x:v>番茄出汁后加入主食材和少量水，轻炖至熟，再放配菜；土豆另煮熟或蒸好后同餐食用。</x:v>
      </x:c>
      <x:c r="M726" t="n">
        <x:v>35</x:v>
      </x:c>
      <x:c r="N726" t="n">
        <x:f>ROUND(SUM('食材明细'!H4346:H4351),0)</x:f>
        <x:v>544</x:v>
      </x:c>
      <x:c r="O726" t="n">
        <x:f>ROUND(SUM('食材明细'!J4346:J4351),1)</x:f>
        <x:v>45</x:v>
      </x:c>
      <x:c r="P726" t="n">
        <x:f>ROUND(SUM('食材明细'!L4346:L4351),1)</x:f>
        <x:v>44.4</x:v>
      </x:c>
      <x:c r="Q726" t="n">
        <x:f>ROUND(SUM('食材明细'!N4346:N4351),1)</x:f>
        <x:v>23.1</x:v>
      </x:c>
      <x:c r="R726" s="10" t="str">
        <x:v>调料尽量低盐，不加白砂糖；油重已计入热量。</x:v>
      </x:c>
    </x:row>
    <x:row r="727" ht="37" customHeight="1">
      <x:c r="A727" t="n">
        <x:v>726</x:v>
      </x:c>
      <x:c r="B727" t="n">
        <x:v>363</x:v>
      </x:c>
      <x:c r="C727" t="n">
        <x:v>52</x:v>
      </x:c>
      <x:c r="D727" t="str">
        <x:v>晚餐</x:v>
      </x:c>
      <x:c r="E727" t="str">
        <x:v>禽肉</x:v>
      </x:c>
      <x:c r="F727" s="10" t="str">
        <x:v>奥尔良风味鸡里脊肉配西兰花洋葱｜荞麦饭</x:v>
      </x:c>
      <x:c r="G727" s="10" t="str">
        <x:v>鸡里脊肉170g、嫩豆腐135g、西兰花160g、洋葱155g、荞麦饭80g、烹调油6g</x:v>
      </x:c>
      <x:c r="H727" t="str">
        <x:v>荞麦饭</x:v>
      </x:c>
      <x:c r="I727" s="10" t="str">
        <x:v>低主食需求可将主食减1/3，另加100g非淀粉蔬菜（营养值需重算）</x:v>
      </x:c>
      <x:c r="J727" s="10" t="str">
        <x:v>无糖辣椒粉、蒜粉、洋葱粉</x:v>
      </x:c>
      <x:c r="K727" t="str">
        <x:v>蒸/焖</x:v>
      </x:c>
      <x:c r="L727" s="10" t="str">
        <x:v>用无糖香辛料腌肉15分钟，蒸或少油焖熟，配菜煮熟；荞麦饭另煮熟或蒸好后同餐食用。</x:v>
      </x:c>
      <x:c r="M727" t="n">
        <x:v>25</x:v>
      </x:c>
      <x:c r="N727" t="n">
        <x:f>ROUND(SUM('食材明细'!H4352:H4357),0)</x:f>
        <x:v>520</x:v>
      </x:c>
      <x:c r="O727" t="n">
        <x:f>ROUND(SUM('食材明细'!J4352:J4357),1)</x:f>
        <x:v>54.8</x:v>
      </x:c>
      <x:c r="P727" t="n">
        <x:f>ROUND(SUM('食材明细'!L4352:L4357),1)</x:f>
        <x:v>45.9</x:v>
      </x:c>
      <x:c r="Q727" t="n">
        <x:f>ROUND(SUM('食材明细'!N4352:N4357),1)</x:f>
        <x:v>14.5</x:v>
      </x:c>
      <x:c r="R727" s="10" t="str">
        <x:v>调料尽量低盐，不加白砂糖；油重已计入热量。</x:v>
      </x:c>
    </x:row>
    <x:row r="728" ht="37" customHeight="1">
      <x:c r="A728" t="n">
        <x:v>727</x:v>
      </x:c>
      <x:c r="B728" t="n">
        <x:v>364</x:v>
      </x:c>
      <x:c r="C728" t="n">
        <x:v>52</x:v>
      </x:c>
      <x:c r="D728" t="str">
        <x:v>午餐</x:v>
      </x:c>
      <x:c r="E728" t="str">
        <x:v>禽肉</x:v>
      </x:c>
      <x:c r="F728" s="10" t="str">
        <x:v>菌菇去皮鸡腿肉配紫甘蓝杏鲍菇｜荞麦饭</x:v>
      </x:c>
      <x:c r="G728" s="10" t="str">
        <x:v>去皮鸡腿肉165g、嫩豆腐110g、紫甘蓝190g、杏鲍菇140g、荞麦饭125g、烹调油4g</x:v>
      </x:c>
      <x:c r="H728" t="str">
        <x:v>荞麦饭</x:v>
      </x:c>
      <x:c r="I728" s="10" t="str">
        <x:v>低主食需求可将主食减1/3，另加100g非淀粉蔬菜（营养值需重算）</x:v>
      </x:c>
      <x:c r="J728" s="10" t="str">
        <x:v>姜片、香菇汁</x:v>
      </x:c>
      <x:c r="K728" t="str">
        <x:v>焖煮</x:v>
      </x:c>
      <x:c r="L728" s="10" t="str">
        <x:v>先去皮去骨并切薄，充分加热；食材与菌菇加少量水焖熟，出锅前加少量低盐生抽；荞麦饭另煮熟或蒸好后同餐食用。</x:v>
      </x:c>
      <x:c r="M728" t="n">
        <x:v>30</x:v>
      </x:c>
      <x:c r="N728" t="n">
        <x:f>ROUND(SUM('食材明细'!H4358:H4363),0)</x:f>
        <x:v>548</x:v>
      </x:c>
      <x:c r="O728" t="n">
        <x:f>ROUND(SUM('食材明细'!J4358:J4363),1)</x:f>
        <x:v>48.2</x:v>
      </x:c>
      <x:c r="P728" t="n">
        <x:f>ROUND(SUM('食材明细'!L4358:L4363),1)</x:f>
        <x:v>53.9</x:v>
      </x:c>
      <x:c r="Q728" t="n">
        <x:f>ROUND(SUM('食材明细'!N4358:N4363),1)</x:f>
        <x:v>17.3</x:v>
      </x:c>
      <x:c r="R728" s="10" t="str">
        <x:v>调料尽量低盐，不加白砂糖；油重已计入热量。</x:v>
      </x:c>
    </x:row>
    <x:row r="729" ht="37" customHeight="1">
      <x:c r="A729" t="n">
        <x:v>728</x:v>
      </x:c>
      <x:c r="B729" t="n">
        <x:v>364</x:v>
      </x:c>
      <x:c r="C729" t="n">
        <x:v>52</x:v>
      </x:c>
      <x:c r="D729" t="str">
        <x:v>晚餐</x:v>
      </x:c>
      <x:c r="E729" t="str">
        <x:v>牛肉</x:v>
      </x:c>
      <x:c r="F729" s="10" t="str">
        <x:v>葱姜清蒸牛里脊配茼蒿洋葱｜荞麦面</x:v>
      </x:c>
      <x:c r="G729" s="10" t="str">
        <x:v>牛里脊180g、茼蒿160g、洋葱140g、荞麦面125g、烹调油6g</x:v>
      </x:c>
      <x:c r="H729" t="str">
        <x:v>荞麦面</x:v>
      </x:c>
      <x:c r="I729" s="10" t="str">
        <x:v>低主食需求可将主食减1/3，另加100g非淀粉蔬菜（营养值需重算）</x:v>
      </x:c>
      <x:c r="J729" s="10" t="str">
        <x:v>葱姜、少量低盐生抽</x:v>
      </x:c>
      <x:c r="K729" t="str">
        <x:v>蒸</x:v>
      </x:c>
      <x:c r="L729" s="10" t="str">
        <x:v>切片腌5分钟；肉和配菜入盘，蒸至熟透；淋葱姜汁；面/魔芋丝煮熟后与菜合碗。</x:v>
      </x:c>
      <x:c r="M729" t="n">
        <x:v>25</x:v>
      </x:c>
      <x:c r="N729" t="n">
        <x:f>ROUND(SUM('食材明细'!H4364:H4369),0)</x:f>
        <x:v>514</x:v>
      </x:c>
      <x:c r="O729" t="n">
        <x:f>ROUND(SUM('食材明细'!J4364:J4369),1)</x:f>
        <x:v>47.4</x:v>
      </x:c>
      <x:c r="P729" t="n">
        <x:f>ROUND(SUM('食材明细'!L4364:L4369),1)</x:f>
        <x:v>46.2</x:v>
      </x:c>
      <x:c r="Q729" t="n">
        <x:f>ROUND(SUM('食材明细'!N4364:N4369),1)</x:f>
        <x:v>16.1</x:v>
      </x:c>
      <x:c r="R729" s="10" t="str">
        <x:v>调料尽量低盐，不加白砂糖；油重已计入热量。</x:v>
      </x:c>
    </x:row>
    <x:row r="730" ht="37" customHeight="1">
      <x:c r="A730" t="n">
        <x:v>729</x:v>
      </x:c>
      <x:c r="B730" t="n">
        <x:v>365</x:v>
      </x:c>
      <x:c r="C730" t="n">
        <x:v>53</x:v>
      </x:c>
      <x:c r="D730" t="str">
        <x:v>午餐</x:v>
      </x:c>
      <x:c r="E730" t="str">
        <x:v>海鲜</x:v>
      </x:c>
      <x:c r="F730" s="10" t="str">
        <x:v>清汤虾仁配冬瓜紫甘蓝｜糙米饭</x:v>
      </x:c>
      <x:c r="G730" s="10" t="str">
        <x:v>虾仁160g、冬瓜175g、紫甘蓝125g、糙米饭150g、烹调油6g</x:v>
      </x:c>
      <x:c r="H730" t="str">
        <x:v>糙米饭</x:v>
      </x:c>
      <x:c r="I730" s="10" t="str">
        <x:v>低主食需求可将主食减1/3，另加100g非淀粉蔬菜（营养值需重算）</x:v>
      </x:c>
      <x:c r="J730" s="10" t="str">
        <x:v>葱段、盐少量</x:v>
      </x:c>
      <x:c r="K730" t="str">
        <x:v>煮</x:v>
      </x:c>
      <x:c r="L730" s="10" t="str">
        <x:v>清水煮开，按熟化时间下食材，最后放叶菜，清淡调味；糙米饭另煮熟或蒸好后同餐食用。</x:v>
      </x:c>
      <x:c r="M730" t="n">
        <x:v>25</x:v>
      </x:c>
      <x:c r="N730" t="n">
        <x:f>ROUND(SUM('食材明细'!H4370:H4375),0)</x:f>
        <x:v>428</x:v>
      </x:c>
      <x:c r="O730" t="n">
        <x:f>ROUND(SUM('食材明细'!J4370:J4375),1)</x:f>
        <x:v>36.7</x:v>
      </x:c>
      <x:c r="P730" t="n">
        <x:f>ROUND(SUM('食材明细'!L4370:L4375),1)</x:f>
        <x:v>50.3</x:v>
      </x:c>
      <x:c r="Q730" t="n">
        <x:f>ROUND(SUM('食材明细'!N4370:N4375),1)</x:f>
        <x:v>9.6</x:v>
      </x:c>
      <x:c r="R730" s="10" t="str">
        <x:v>调料尽量低盐，不加白砂糖；油重已计入热量。</x:v>
      </x:c>
    </x:row>
    <x:row r="731" ht="37" customHeight="1">
      <x:c r="A731" t="n">
        <x:v>730</x:v>
      </x:c>
      <x:c r="B731" t="n">
        <x:v>365</x:v>
      </x:c>
      <x:c r="C731" t="n">
        <x:v>53</x:v>
      </x:c>
      <x:c r="D731" t="str">
        <x:v>晚餐</x:v>
      </x:c>
      <x:c r="E731" t="str">
        <x:v>鱼类</x:v>
      </x:c>
      <x:c r="F731" s="10" t="str">
        <x:v>椒麻三文鱼配西葫芦荷兰豆｜糙米饭</x:v>
      </x:c>
      <x:c r="G731" s="10" t="str">
        <x:v>三文鱼145g、西葫芦175g、荷兰豆125g、糙米饭110g、烹调油4g</x:v>
      </x:c>
      <x:c r="H731" t="str">
        <x:v>糙米饭</x:v>
      </x:c>
      <x:c r="I731" s="10" t="str">
        <x:v>低主食需求可将主食减1/3，另加100g非淀粉蔬菜（营养值需重算）</x:v>
      </x:c>
      <x:c r="J731" s="10" t="str">
        <x:v>花椒、蒜、少量醋</x:v>
      </x:c>
      <x:c r="K731" t="str">
        <x:v>水煮</x:v>
      </x:c>
      <x:c r="L731" s="10" t="str">
        <x:v>鱼肉去刺，彻底做熟；花椒温水浸出味道，煮熟主食材和配菜，少油拌汁；糙米饭另煮熟或蒸好后同餐食用。</x:v>
      </x:c>
      <x:c r="M731" t="n">
        <x:v>25</x:v>
      </x:c>
      <x:c r="N731" t="n">
        <x:f>ROUND(SUM('食材明细'!H4376:H4381),0)</x:f>
        <x:v>539</x:v>
      </x:c>
      <x:c r="O731" t="n">
        <x:f>ROUND(SUM('食材明细'!J4376:J4381),1)</x:f>
        <x:v>37.5</x:v>
      </x:c>
      <x:c r="P731" t="n">
        <x:f>ROUND(SUM('食材明细'!L4376:L4381),1)</x:f>
        <x:v>40.7</x:v>
      </x:c>
      <x:c r="Q731" t="n">
        <x:f>ROUND(SUM('食材明细'!N4376:N4381),1)</x:f>
        <x:v>24.8</x:v>
      </x:c>
      <x:c r="R731" s="10" t="str">
        <x:v>调料尽量低盐，不加白砂糖；油重已计入热量。</x:v>
      </x:c>
    </x:row>
  </x:sheetData>
  <x:pageMargins left="0.7" right="0.7" top="0.75" bottom="0.75" header="0.3" footer="0.3"/>
  <x:tableParts count="1">
    <x:tablePart xmlns:r="http://schemas.openxmlformats.org/officeDocument/2006/relationships" r:id="R2441fab8bdd348f5"/>
  </x:tableParts>
</x:worksheet>
</file>

<file path=xl/worksheets/sheet3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10" hidden="0" customWidth="1"/>
    <x:col min="2" max="2" width="9" hidden="0" customWidth="1"/>
    <x:col min="3" max="3" width="42" hidden="0" customWidth="1"/>
    <x:col min="4" max="4" width="42" hidden="0" customWidth="1"/>
    <x:col min="5" max="5" width="15" hidden="0" customWidth="1"/>
    <x:col min="6" max="6" width="15" hidden="0" customWidth="1"/>
    <x:col min="7" max="7" width="19" hidden="0" customWidth="1"/>
    <x:col min="8" max="8" width="17" hidden="0" customWidth="1"/>
    <x:col min="9" max="9" width="17" hidden="0" customWidth="1"/>
    <x:col min="10" max="10" width="16" hidden="0" customWidth="1"/>
    <x:col min="11" max="11" width="17" hidden="0" customWidth="1"/>
    <x:col min="12" max="12" width="40" hidden="0" customWidth="1"/>
  </x:cols>
  <x:sheetData>
    <x:row r="1" ht="29" customHeight="1">
      <x:c r="A1" s="5" t="str">
        <x:v>第几天</x:v>
      </x:c>
      <x:c r="B1" s="5" t="str">
        <x:v>周次</x:v>
      </x:c>
      <x:c r="C1" s="5" t="str">
        <x:v>午餐</x:v>
      </x:c>
      <x:c r="D1" s="5" t="str">
        <x:v>晚餐</x:v>
      </x:c>
      <x:c r="E1" s="5" t="str">
        <x:v>午餐千卡</x:v>
      </x:c>
      <x:c r="F1" s="5" t="str">
        <x:v>晚餐千卡</x:v>
      </x:c>
      <x:c r="G1" s="5" t="str">
        <x:v>两餐合计千卡</x:v>
      </x:c>
      <x:c r="H1" s="5" t="str">
        <x:v>两餐蛋白 g</x:v>
      </x:c>
      <x:c r="I1" s="5" t="str">
        <x:v>两餐碳水 g</x:v>
      </x:c>
      <x:c r="J1" s="5" t="str">
        <x:v>两餐脂肪 g</x:v>
      </x:c>
      <x:c r="K1" s="5" t="str">
        <x:v>两餐蔬菜 g</x:v>
      </x:c>
      <x:c r="L1" s="5" t="str">
        <x:v>说明</x:v>
      </x:c>
    </x:row>
    <x:row r="2" ht="23" customHeight="1">
      <x:c r="A2" t="n">
        <x:v>1</x:v>
      </x:c>
      <x:c r="B2" t="n">
        <x:v>1</x:v>
      </x:c>
      <x:c r="C2" t="str">
        <x:v>西兰花牛肉口蘑｜糙米饭</x:v>
      </x:c>
      <x:c r="D2" t="str">
        <x:v>无糖奥尔良鸡排口蘑西兰花｜玉米</x:v>
      </x:c>
      <x:c r="E2" t="n">
        <x:f>'730餐菜单'!N2</x:f>
        <x:v>505</x:v>
      </x:c>
      <x:c r="F2" t="n">
        <x:f>'730餐菜单'!N3</x:f>
        <x:v>451</x:v>
      </x:c>
      <x:c r="G2" t="n">
        <x:f>E2+F2</x:f>
        <x:v>956</x:v>
      </x:c>
      <x:c r="H2" t="n">
        <x:f>'730餐菜单'!O2+'730餐菜单'!O3</x:f>
        <x:v>103.8</x:v>
      </x:c>
      <x:c r="I2" t="n">
        <x:f>'730餐菜单'!P2+'730餐菜单'!P3</x:f>
        <x:v>92.1</x:v>
      </x:c>
      <x:c r="J2" t="n">
        <x:f>'730餐菜单'!Q2+'730餐菜单'!Q3</x:f>
        <x:v>24.9</x:v>
      </x:c>
      <x:c r="K2" t="n">
        <x:f>SUM('食材明细'!F4:F5)+SUM('食材明细'!F10:F11)</x:f>
        <x:v>610</x:v>
      </x:c>
      <x:c r="L2" t="str">
        <x:v>仅午餐+晚餐；早餐、饮奶、水果、零食未计入</x:v>
      </x:c>
    </x:row>
    <x:row r="3" ht="23" customHeight="1">
      <x:c r="A3" t="n">
        <x:v>2</x:v>
      </x:c>
      <x:c r="B3" t="n">
        <x:v>1</x:v>
      </x:c>
      <x:c r="C3" t="str">
        <x:v>洋葱鸡腿香菇焖饭｜燕麦饭</x:v>
      </x:c>
      <x:c r="D3" t="str">
        <x:v>彩椒牛肉西兰花｜藜麦饭</x:v>
      </x:c>
      <x:c r="E3" t="n">
        <x:f>'730餐菜单'!N4</x:f>
        <x:v>517</x:v>
      </x:c>
      <x:c r="F3" t="n">
        <x:f>'730餐菜单'!N5</x:f>
        <x:v>540</x:v>
      </x:c>
      <x:c r="G3" t="n">
        <x:f>E3+F3</x:f>
        <x:v>1057</x:v>
      </x:c>
      <x:c r="H3" t="n">
        <x:f>'730餐菜单'!O4+'730餐菜单'!O5</x:f>
        <x:v>94.30000000000001</x:v>
      </x:c>
      <x:c r="I3" t="n">
        <x:f>'730餐菜单'!P4+'730餐菜单'!P5</x:f>
        <x:v>103</x:v>
      </x:c>
      <x:c r="J3" t="n">
        <x:f>'730餐菜单'!Q4+'730餐菜单'!Q5</x:f>
        <x:v>33.400000000000006</x:v>
      </x:c>
      <x:c r="K3" t="n">
        <x:f>SUM('食材明细'!F16:F17)+SUM('食材明细'!F22:F23)</x:f>
        <x:v>615</x:v>
      </x:c>
      <x:c r="L3" t="str">
        <x:v>仅午餐+晚餐；早餐、饮奶、水果、零食未计入</x:v>
      </x:c>
    </x:row>
    <x:row r="4" ht="23" customHeight="1">
      <x:c r="A4" t="n">
        <x:v>3</x:v>
      </x:c>
      <x:c r="B4" t="n">
        <x:v>1</x:v>
      </x:c>
      <x:c r="C4" t="str">
        <x:v>无糖番茄鸡蛋牛肉烩杂粮饭</x:v>
      </x:c>
      <x:c r="D4" t="str">
        <x:v>无糖照烧肥牛豆腐乌冬面</x:v>
      </x:c>
      <x:c r="E4" t="n">
        <x:f>'730餐菜单'!N6</x:f>
        <x:v>568</x:v>
      </x:c>
      <x:c r="F4" t="n">
        <x:f>'730餐菜单'!N7</x:f>
        <x:v>588</x:v>
      </x:c>
      <x:c r="G4" t="n">
        <x:f>E4+F4</x:f>
        <x:v>1156</x:v>
      </x:c>
      <x:c r="H4" t="n">
        <x:f>'730餐菜单'!O6+'730餐菜单'!O7</x:f>
        <x:v>80.9</x:v>
      </x:c>
      <x:c r="I4" t="n">
        <x:f>'730餐菜单'!P6+'730餐菜单'!P7</x:f>
        <x:v>102.80000000000001</x:v>
      </x:c>
      <x:c r="J4" t="n">
        <x:f>'730餐菜单'!Q6+'730餐菜单'!Q7</x:f>
        <x:v>48</x:v>
      </x:c>
      <x:c r="K4" t="n">
        <x:f>SUM('食材明细'!F28:F29)+SUM('食材明细'!F34:F35)</x:f>
        <x:v>610</x:v>
      </x:c>
      <x:c r="L4" t="str">
        <x:v>仅午餐+晚餐；早餐、饮奶、水果、零食未计入</x:v>
      </x:c>
    </x:row>
    <x:row r="5" ht="23" customHeight="1">
      <x:c r="A5" t="n">
        <x:v>4</x:v>
      </x:c>
      <x:c r="B5" t="n">
        <x:v>1</x:v>
      </x:c>
      <x:c r="C5" t="str">
        <x:v>什锦火腿鸡蛋彩椒口蘑蒸碗｜糙米饭</x:v>
      </x:c>
      <x:c r="D5" t="str">
        <x:v>豉汁清蒸鲈鱼娃娃菜香菇｜紫薯</x:v>
      </x:c>
      <x:c r="E5" t="n">
        <x:f>'730餐菜单'!N8</x:f>
        <x:v>460</x:v>
      </x:c>
      <x:c r="F5" t="n">
        <x:f>'730餐菜单'!N9</x:f>
        <x:v>427</x:v>
      </x:c>
      <x:c r="G5" t="n">
        <x:f>E5+F5</x:f>
        <x:v>887</x:v>
      </x:c>
      <x:c r="H5" t="n">
        <x:f>'730餐菜单'!O8+'730餐菜单'!O9</x:f>
        <x:v>74.5</x:v>
      </x:c>
      <x:c r="I5" t="n">
        <x:f>'730餐菜单'!P8+'730餐菜单'!P9</x:f>
        <x:v>87</x:v>
      </x:c>
      <x:c r="J5" t="n">
        <x:f>'730餐菜单'!Q8+'730餐菜单'!Q9</x:f>
        <x:v>29.7</x:v>
      </x:c>
      <x:c r="K5" t="n">
        <x:f>SUM('食材明细'!F40:F41)+SUM('食材明细'!F46:F47)</x:f>
        <x:v>615</x:v>
      </x:c>
      <x:c r="L5" t="str">
        <x:v>仅午餐+晚餐；早餐、饮奶、水果、零食未计入</x:v>
      </x:c>
    </x:row>
    <x:row r="6" ht="23" customHeight="1">
      <x:c r="A6" t="n">
        <x:v>5</x:v>
      </x:c>
      <x:c r="B6" t="n">
        <x:v>1</x:v>
      </x:c>
      <x:c r="C6" t="str">
        <x:v>番茄虾仁嫩豆腐小白菜汤｜玉米</x:v>
      </x:c>
      <x:c r="D6" t="str">
        <x:v>蒜香鸡丝黄瓜木耳｜杂粮饭</x:v>
      </x:c>
      <x:c r="E6" t="n">
        <x:f>'730餐菜单'!N10</x:f>
        <x:v>451</x:v>
      </x:c>
      <x:c r="F6" t="n">
        <x:f>'730餐菜单'!N11</x:f>
        <x:v>433</x:v>
      </x:c>
      <x:c r="G6" t="n">
        <x:f>E6+F6</x:f>
        <x:v>884</x:v>
      </x:c>
      <x:c r="H6" t="n">
        <x:f>'730餐菜单'!O10+'730餐菜单'!O11</x:f>
        <x:v>92.9</x:v>
      </x:c>
      <x:c r="I6" t="n">
        <x:f>'730餐菜单'!P10+'730餐菜单'!P11</x:f>
        <x:v>85.6</x:v>
      </x:c>
      <x:c r="J6" t="n">
        <x:f>'730餐菜单'!Q10+'730餐菜单'!Q11</x:f>
        <x:v>21.8</x:v>
      </x:c>
      <x:c r="K6" t="n">
        <x:f>SUM('食材明细'!F52:F53)+SUM('食材明细'!F58:F59)</x:f>
        <x:v>640</x:v>
      </x:c>
      <x:c r="L6" t="str">
        <x:v>仅午餐+晚餐；早餐、饮奶、水果、零食未计入</x:v>
      </x:c>
    </x:row>
    <x:row r="7" ht="23" customHeight="1">
      <x:c r="A7" t="n">
        <x:v>6</x:v>
      </x:c>
      <x:c r="B7" t="n">
        <x:v>1</x:v>
      </x:c>
      <x:c r="C7" t="str">
        <x:v>清蒸鳕鱼西兰花口蘑｜紫薯</x:v>
      </x:c>
      <x:c r="D7" t="str">
        <x:v>丝瓜鸡蛋虾仁蒸碗｜荞麦饭</x:v>
      </x:c>
      <x:c r="E7" t="n">
        <x:f>'730餐菜单'!N12</x:f>
        <x:v>440</x:v>
      </x:c>
      <x:c r="F7" t="n">
        <x:f>'730餐菜单'!N13</x:f>
        <x:v>495</x:v>
      </x:c>
      <x:c r="G7" t="n">
        <x:f>E7+F7</x:f>
        <x:v>935</x:v>
      </x:c>
      <x:c r="H7" t="n">
        <x:f>'730餐菜单'!O12+'730餐菜单'!O13</x:f>
        <x:v>90.9</x:v>
      </x:c>
      <x:c r="I7" t="n">
        <x:f>'730餐菜单'!P12+'730餐菜单'!P13</x:f>
        <x:v>93.9</x:v>
      </x:c>
      <x:c r="J7" t="n">
        <x:f>'730餐菜单'!Q12+'730餐菜单'!Q13</x:f>
        <x:v>24.9</x:v>
      </x:c>
      <x:c r="K7" t="n">
        <x:f>SUM('食材明细'!F64:F65)+SUM('食材明细'!F70:F71)</x:f>
        <x:v>640</x:v>
      </x:c>
      <x:c r="L7" t="str">
        <x:v>仅午餐+晚餐；早餐、饮奶、水果、零食未计入</x:v>
      </x:c>
    </x:row>
    <x:row r="8" ht="23" customHeight="1">
      <x:c r="A8" t="n">
        <x:v>7</x:v>
      </x:c>
      <x:c r="B8" t="n">
        <x:v>1</x:v>
      </x:c>
      <x:c r="C8" t="str">
        <x:v>柠檬花蛤肉配冬瓜海带｜全麦面</x:v>
      </x:c>
      <x:c r="D8" t="str">
        <x:v>椒麻巴沙鱼配彩椒香菇｜藜麦饭</x:v>
      </x:c>
      <x:c r="E8" t="n">
        <x:f>'730餐菜单'!N14</x:f>
        <x:v>367</x:v>
      </x:c>
      <x:c r="F8" t="n">
        <x:f>'730餐菜单'!N15</x:f>
        <x:v>380</x:v>
      </x:c>
      <x:c r="G8" t="n">
        <x:f>E8+F8</x:f>
        <x:v>747</x:v>
      </x:c>
      <x:c r="H8" t="n">
        <x:f>'730餐菜单'!O14+'730餐菜单'!O15</x:f>
        <x:v>67.8</x:v>
      </x:c>
      <x:c r="I8" t="n">
        <x:f>'730餐菜单'!P14+'730餐菜单'!P15</x:f>
        <x:v>81.80000000000001</x:v>
      </x:c>
      <x:c r="J8" t="n">
        <x:f>'730餐菜单'!Q14+'730餐菜单'!Q15</x:f>
        <x:v>19</x:v>
      </x:c>
      <x:c r="K8" t="n">
        <x:f>SUM('食材明细'!F76:F77)+SUM('食材明细'!F82:F83)</x:f>
        <x:v>610</x:v>
      </x:c>
      <x:c r="L8" t="str">
        <x:v>仅午餐+晚餐；早餐、饮奶、水果、零食未计入</x:v>
      </x:c>
    </x:row>
    <x:row r="9" ht="23" customHeight="1">
      <x:c r="A9" t="n">
        <x:v>8</x:v>
      </x:c>
      <x:c r="B9" t="n">
        <x:v>2</x:v>
      </x:c>
      <x:c r="C9" t="str">
        <x:v>蒜香鸡蛋北豆腐烩丝瓜洋葱｜白米饭</x:v>
      </x:c>
      <x:c r="D9" t="str">
        <x:v>黑椒猪瘦肉配莴笋冬瓜｜糙米饭</x:v>
      </x:c>
      <x:c r="E9" t="n">
        <x:f>'730餐菜单'!N16</x:f>
        <x:v>574</x:v>
      </x:c>
      <x:c r="F9" t="n">
        <x:f>'730餐菜单'!N17</x:f>
        <x:v>449</x:v>
      </x:c>
      <x:c r="G9" t="n">
        <x:f>E9+F9</x:f>
        <x:v>1023</x:v>
      </x:c>
      <x:c r="H9" t="n">
        <x:f>'730餐菜单'!O16+'730餐菜单'!O17</x:f>
        <x:v>74.9</x:v>
      </x:c>
      <x:c r="I9" t="n">
        <x:f>'730餐菜单'!P16+'730餐菜单'!P17</x:f>
        <x:v>94.5</x:v>
      </x:c>
      <x:c r="J9" t="n">
        <x:f>'730餐菜单'!Q16+'730餐菜单'!Q17</x:f>
        <x:v>40.3</x:v>
      </x:c>
      <x:c r="K9" t="n">
        <x:f>SUM('食材明细'!F88:F89)+SUM('食材明细'!F94:F95)</x:f>
        <x:v>630</x:v>
      </x:c>
      <x:c r="L9" t="str">
        <x:v>仅午餐+晚餐；早餐、饮奶、水果、零食未计入</x:v>
      </x:c>
    </x:row>
    <x:row r="10" ht="23" customHeight="1">
      <x:c r="A10" t="n">
        <x:v>9</x:v>
      </x:c>
      <x:c r="B10" t="n">
        <x:v>2</x:v>
      </x:c>
      <x:c r="C10" t="str">
        <x:v>剁椒鸡蛋嫩豆腐烩小白菜香菇｜荞麦面</x:v>
      </x:c>
      <x:c r="D10" t="str">
        <x:v>剁椒巴沙鱼配紫甘蓝彩椒｜玉米</x:v>
      </x:c>
      <x:c r="E10" t="n">
        <x:f>'730餐菜单'!N18</x:f>
        <x:v>447</x:v>
      </x:c>
      <x:c r="F10" t="n">
        <x:f>'730餐菜单'!N19</x:f>
        <x:v>391</x:v>
      </x:c>
      <x:c r="G10" t="n">
        <x:f>E10+F10</x:f>
        <x:v>838</x:v>
      </x:c>
      <x:c r="H10" t="n">
        <x:f>'730餐菜单'!O18+'730餐菜单'!O19</x:f>
        <x:v>70.4</x:v>
      </x:c>
      <x:c r="I10" t="n">
        <x:f>'730餐菜单'!P18+'730餐菜单'!P19</x:f>
        <x:v>79.7</x:v>
      </x:c>
      <x:c r="J10" t="n">
        <x:f>'730餐菜单'!Q18+'730餐菜单'!Q19</x:f>
        <x:v>30.2</x:v>
      </x:c>
      <x:c r="K10" t="n">
        <x:f>SUM('食材明细'!F100:F101)+SUM('食材明细'!F106:F107)</x:f>
        <x:v>610</x:v>
      </x:c>
      <x:c r="L10" t="str">
        <x:v>仅午餐+晚餐；早餐、饮奶、水果、零食未计入</x:v>
      </x:c>
    </x:row>
    <x:row r="11" ht="23" customHeight="1">
      <x:c r="A11" t="n">
        <x:v>10</x:v>
      </x:c>
      <x:c r="B11" t="n">
        <x:v>2</x:v>
      </x:c>
      <x:c r="C11" t="str">
        <x:v>柠檬鸡胸肉配苦瓜胡萝卜｜山药</x:v>
      </x:c>
      <x:c r="D11" t="str">
        <x:v>番茄鸡里脊肉配西兰花｜全麦面</x:v>
      </x:c>
      <x:c r="E11" t="n">
        <x:f>'730餐菜单'!N20</x:f>
        <x:v>398</x:v>
      </x:c>
      <x:c r="F11" t="n">
        <x:f>'730餐菜单'!N21</x:f>
        <x:v>395</x:v>
      </x:c>
      <x:c r="G11" t="n">
        <x:f>E11+F11</x:f>
        <x:v>793</x:v>
      </x:c>
      <x:c r="H11" t="n">
        <x:f>'730餐菜单'!O20+'730餐菜单'!O21</x:f>
        <x:v>92.69999999999999</x:v>
      </x:c>
      <x:c r="I11" t="n">
        <x:f>'730餐菜单'!P20+'730餐菜单'!P21</x:f>
        <x:v>71.5</x:v>
      </x:c>
      <x:c r="J11" t="n">
        <x:f>'730餐菜单'!Q20+'730餐菜单'!Q21</x:f>
        <x:v>18</x:v>
      </x:c>
      <x:c r="K11" t="n">
        <x:f>SUM('食材明细'!F112:F113)+SUM('食材明细'!F118:F119)</x:f>
        <x:v>500</x:v>
      </x:c>
      <x:c r="L11" t="str">
        <x:v>仅午餐+晚餐；早餐、饮奶、水果、零食未计入</x:v>
      </x:c>
    </x:row>
    <x:row r="12" ht="23" customHeight="1">
      <x:c r="A12" t="n">
        <x:v>11</x:v>
      </x:c>
      <x:c r="B12" t="n">
        <x:v>2</x:v>
      </x:c>
      <x:c r="C12" t="str">
        <x:v>柠檬扇贝肉配娃娃菜白萝卜｜红薯</x:v>
      </x:c>
      <x:c r="D12" t="str">
        <x:v>菌菇肥牛卷北豆腐烩荷兰豆香菇｜燕麦饭</x:v>
      </x:c>
      <x:c r="E12" t="n">
        <x:f>'730餐菜单'!N22</x:f>
        <x:v>427</x:v>
      </x:c>
      <x:c r="F12" t="n">
        <x:f>'730餐菜单'!N23</x:f>
        <x:v>653</x:v>
      </x:c>
      <x:c r="G12" t="n">
        <x:f>E12+F12</x:f>
        <x:v>1080</x:v>
      </x:c>
      <x:c r="H12" t="n">
        <x:f>'730餐菜单'!O22+'730餐菜单'!O23</x:f>
        <x:v>81.2</x:v>
      </x:c>
      <x:c r="I12" t="n">
        <x:f>'730餐菜单'!P22+'730餐菜单'!P23</x:f>
        <x:v>100.8</x:v>
      </x:c>
      <x:c r="J12" t="n">
        <x:f>'730餐菜单'!Q22+'730餐菜单'!Q23</x:f>
        <x:v>41.3</x:v>
      </x:c>
      <x:c r="K12" t="n">
        <x:f>SUM('食材明细'!F124:F125)+SUM('食材明细'!F130:F131)</x:f>
        <x:v>630</x:v>
      </x:c>
      <x:c r="L12" t="str">
        <x:v>仅午餐+晚餐；早餐、饮奶、水果、零食未计入</x:v>
      </x:c>
    </x:row>
    <x:row r="13" ht="23" customHeight="1">
      <x:c r="A13" t="n">
        <x:v>12</x:v>
      </x:c>
      <x:c r="B13" t="n">
        <x:v>2</x:v>
      </x:c>
      <x:c r="C13" t="str">
        <x:v>豉汁鲈鱼配荷兰豆杏鲍菇｜红薯</x:v>
      </x:c>
      <x:c r="D13" t="str">
        <x:v>椒麻三文鱼配彩椒香菇｜糙米饭</x:v>
      </x:c>
      <x:c r="E13" t="n">
        <x:f>'730餐菜单'!N24</x:f>
        <x:v>445</x:v>
      </x:c>
      <x:c r="F13" t="n">
        <x:f>'730餐菜单'!N25</x:f>
        <x:v>519</x:v>
      </x:c>
      <x:c r="G13" t="n">
        <x:f>E13+F13</x:f>
        <x:v>964</x:v>
      </x:c>
      <x:c r="H13" t="n">
        <x:f>'730餐菜单'!O24+'730餐菜单'!O25</x:f>
        <x:v>74.4</x:v>
      </x:c>
      <x:c r="I13" t="n">
        <x:f>'730餐菜单'!P24+'730餐菜单'!P25</x:f>
        <x:v>102.4</x:v>
      </x:c>
      <x:c r="J13" t="n">
        <x:f>'730餐菜单'!Q24+'730餐菜单'!Q25</x:f>
        <x:v>30.099999999999998</x:v>
      </x:c>
      <x:c r="K13" t="n">
        <x:f>SUM('食材明细'!F136:F137)+SUM('食材明细'!F142:F143)</x:f>
        <x:v>580</x:v>
      </x:c>
      <x:c r="L13" t="str">
        <x:v>仅午餐+晚餐；早餐、饮奶、水果、零食未计入</x:v>
      </x:c>
    </x:row>
    <x:row r="14" ht="23" customHeight="1">
      <x:c r="A14" t="n">
        <x:v>13</x:v>
      </x:c>
      <x:c r="B14" t="n">
        <x:v>2</x:v>
      </x:c>
      <x:c r="C14" t="str">
        <x:v>番茄瘦牛肉配泡发木耳｜杂粮饭</x:v>
      </x:c>
      <x:c r="D14" t="str">
        <x:v>剁椒去皮鸡腿肉配白萝卜绿豆芽｜糙米饭</x:v>
      </x:c>
      <x:c r="E14" t="n">
        <x:f>'730餐菜单'!N26</x:f>
        <x:v>467</x:v>
      </x:c>
      <x:c r="F14" t="n">
        <x:f>'730餐菜单'!N27</x:f>
        <x:v>503</x:v>
      </x:c>
      <x:c r="G14" t="n">
        <x:f>E14+F14</x:f>
        <x:v>970</x:v>
      </x:c>
      <x:c r="H14" t="n">
        <x:f>'730餐菜单'!O26+'730餐菜单'!O27</x:f>
        <x:v>88.6</x:v>
      </x:c>
      <x:c r="I14" t="n">
        <x:f>'730餐菜单'!P26+'730餐菜单'!P27</x:f>
        <x:v>89.6</x:v>
      </x:c>
      <x:c r="J14" t="n">
        <x:f>'730餐菜单'!Q26+'730餐菜单'!Q27</x:f>
        <x:v>30.5</x:v>
      </x:c>
      <x:c r="K14" t="n">
        <x:f>SUM('食材明细'!F148:F149)+SUM('食材明细'!F154:F155)</x:f>
        <x:v>660</x:v>
      </x:c>
      <x:c r="L14" t="str">
        <x:v>仅午餐+晚餐；早餐、饮奶、水果、零食未计入</x:v>
      </x:c>
    </x:row>
    <x:row r="15" ht="23" customHeight="1">
      <x:c r="A15" t="n">
        <x:v>14</x:v>
      </x:c>
      <x:c r="B15" t="n">
        <x:v>2</x:v>
      </x:c>
      <x:c r="C15" t="str">
        <x:v>椒麻肥牛卷北豆腐烩芹菜香菇｜土豆</x:v>
      </x:c>
      <x:c r="D15" t="str">
        <x:v>酸汤鸡蛋嫩豆腐烩小白菜洋葱｜燕麦饭</x:v>
      </x:c>
      <x:c r="E15" t="n">
        <x:f>'730餐菜单'!N28</x:f>
        <x:v>543</x:v>
      </x:c>
      <x:c r="F15" t="n">
        <x:f>'730餐菜单'!N29</x:f>
        <x:v>516</x:v>
      </x:c>
      <x:c r="G15" t="n">
        <x:f>E15+F15</x:f>
        <x:v>1059</x:v>
      </x:c>
      <x:c r="H15" t="n">
        <x:f>'730餐菜单'!O28+'730餐菜单'!O29</x:f>
        <x:v>61.5</x:v>
      </x:c>
      <x:c r="I15" t="n">
        <x:f>'730餐菜单'!P28+'730餐菜单'!P29</x:f>
        <x:v>89.3</x:v>
      </x:c>
      <x:c r="J15" t="n">
        <x:f>'730餐菜单'!Q28+'730餐菜单'!Q29</x:f>
        <x:v>53.6</x:v>
      </x:c>
      <x:c r="K15" t="n">
        <x:f>SUM('食材明细'!F160:F161)+SUM('食材明细'!F166:F167)</x:f>
        <x:v>630</x:v>
      </x:c>
      <x:c r="L15" t="str">
        <x:v>仅午餐+晚餐；早餐、饮奶、水果、零食未计入</x:v>
      </x:c>
    </x:row>
    <x:row r="16" ht="23" customHeight="1">
      <x:c r="A16" t="n">
        <x:v>15</x:v>
      </x:c>
      <x:c r="B16" t="n">
        <x:v>3</x:v>
      </x:c>
      <x:c r="C16" t="str">
        <x:v>葱姜清蒸猪里脊配番茄胡萝卜｜紫薯</x:v>
      </x:c>
      <x:c r="D16" t="str">
        <x:v>豉汁牛里脊配小白菜香菇｜燕麦饭</x:v>
      </x:c>
      <x:c r="E16" t="n">
        <x:f>'730餐菜单'!N30</x:f>
        <x:v>513</x:v>
      </x:c>
      <x:c r="F16" t="n">
        <x:f>'730餐菜单'!N31</x:f>
        <x:v>414</x:v>
      </x:c>
      <x:c r="G16" t="n">
        <x:f>E16+F16</x:f>
        <x:v>927</x:v>
      </x:c>
      <x:c r="H16" t="n">
        <x:f>'730餐菜单'!O30+'730餐菜单'!O31</x:f>
        <x:v>84.1</x:v>
      </x:c>
      <x:c r="I16" t="n">
        <x:f>'730餐菜单'!P30+'730餐菜单'!P31</x:f>
        <x:v>94.2</x:v>
      </x:c>
      <x:c r="J16" t="n">
        <x:f>'730餐菜单'!Q30+'730餐菜单'!Q31</x:f>
        <x:v>25.3</x:v>
      </x:c>
      <x:c r="K16" t="n">
        <x:f>SUM('食材明细'!F172:F173)+SUM('食材明细'!F178:F179)</x:f>
        <x:v>615</x:v>
      </x:c>
      <x:c r="L16" t="str">
        <x:v>仅午餐+晚餐；早餐、饮奶、水果、零食未计入</x:v>
      </x:c>
    </x:row>
    <x:row r="17" ht="23" customHeight="1">
      <x:c r="A17" t="n">
        <x:v>16</x:v>
      </x:c>
      <x:c r="B17" t="n">
        <x:v>3</x:v>
      </x:c>
      <x:c r="C17" t="str">
        <x:v>黑椒虾仁配彩椒小白菜｜玉米</x:v>
      </x:c>
      <x:c r="D17" t="str">
        <x:v>蚝香鸡胸肉配花菜胡萝卜｜紫薯</x:v>
      </x:c>
      <x:c r="E17" t="n">
        <x:f>'730餐菜单'!N32</x:f>
        <x:v>492</x:v>
      </x:c>
      <x:c r="F17" t="n">
        <x:f>'730餐菜单'!N33</x:f>
        <x:v>419</x:v>
      </x:c>
      <x:c r="G17" t="n">
        <x:f>E17+F17</x:f>
        <x:v>911</x:v>
      </x:c>
      <x:c r="H17" t="n">
        <x:f>'730餐菜单'!O32+'730餐菜单'!O33</x:f>
        <x:v>92.5</x:v>
      </x:c>
      <x:c r="I17" t="n">
        <x:f>'730餐菜单'!P32+'730餐菜单'!P33</x:f>
        <x:v>97.5</x:v>
      </x:c>
      <x:c r="J17" t="n">
        <x:f>'730餐菜单'!Q32+'730餐菜单'!Q33</x:f>
        <x:v>21.299999999999997</x:v>
      </x:c>
      <x:c r="K17" t="n">
        <x:f>SUM('食材明细'!F184:F185)+SUM('食材明细'!F190:F191)</x:f>
        <x:v>555</x:v>
      </x:c>
      <x:c r="L17" t="str">
        <x:v>仅午餐+晚餐；早餐、饮奶、水果、零食未计入</x:v>
      </x:c>
    </x:row>
    <x:row r="18" ht="23" customHeight="1">
      <x:c r="A18" t="n">
        <x:v>17</x:v>
      </x:c>
      <x:c r="B18" t="n">
        <x:v>3</x:v>
      </x:c>
      <x:c r="C18" t="str">
        <x:v>清汤鸡蛋北豆腐烩番茄金针菇｜燕麦饭</x:v>
      </x:c>
      <x:c r="D18" t="str">
        <x:v>豉汁鸡胸肉配秋葵泡发木耳｜杂粮饭</x:v>
      </x:c>
      <x:c r="E18" t="n">
        <x:f>'730餐菜单'!N34</x:f>
        <x:v>584</x:v>
      </x:c>
      <x:c r="F18" t="n">
        <x:f>'730餐菜单'!N35</x:f>
        <x:v>435</x:v>
      </x:c>
      <x:c r="G18" t="n">
        <x:f>E18+F18</x:f>
        <x:v>1019</x:v>
      </x:c>
      <x:c r="H18" t="n">
        <x:f>'730餐菜单'!O34+'730餐菜单'!O35</x:f>
        <x:v>84</x:v>
      </x:c>
      <x:c r="I18" t="n">
        <x:f>'730餐菜单'!P34+'730餐菜单'!P35</x:f>
        <x:v>98.6</x:v>
      </x:c>
      <x:c r="J18" t="n">
        <x:f>'730餐菜单'!Q34+'730餐菜单'!Q35</x:f>
        <x:v>36.8</x:v>
      </x:c>
      <x:c r="K18" t="n">
        <x:f>SUM('食材明细'!F196:F197)+SUM('食材明细'!F202:F203)</x:f>
        <x:v>630</x:v>
      </x:c>
      <x:c r="L18" t="str">
        <x:v>仅午餐+晚餐；早餐、饮奶、水果、零食未计入</x:v>
      </x:c>
    </x:row>
    <x:row r="19" ht="23" customHeight="1">
      <x:c r="A19" t="n">
        <x:v>18</x:v>
      </x:c>
      <x:c r="B19" t="n">
        <x:v>3</x:v>
      </x:c>
      <x:c r="C19" t="str">
        <x:v>椒麻鸡胸肉配四季豆彩椒｜玉米</x:v>
      </x:c>
      <x:c r="D19" t="str">
        <x:v>豉汁猪瘦肉配大白菜洋葱｜杂粮饭</x:v>
      </x:c>
      <x:c r="E19" t="n">
        <x:f>'730餐菜单'!N36</x:f>
        <x:v>434</x:v>
      </x:c>
      <x:c r="F19" t="n">
        <x:f>'730餐菜单'!N37</x:f>
        <x:v>414</x:v>
      </x:c>
      <x:c r="G19" t="n">
        <x:f>E19+F19</x:f>
        <x:v>848</x:v>
      </x:c>
      <x:c r="H19" t="n">
        <x:f>'730餐菜单'!O36+'730餐菜单'!O37</x:f>
        <x:v>79.1</x:v>
      </x:c>
      <x:c r="I19" t="n">
        <x:f>'730餐菜单'!P36+'730餐菜单'!P37</x:f>
        <x:v>83.4</x:v>
      </x:c>
      <x:c r="J19" t="n">
        <x:f>'730餐菜单'!Q36+'730餐菜单'!Q37</x:f>
        <x:v>25.6</x:v>
      </x:c>
      <x:c r="K19" t="n">
        <x:f>SUM('食材明细'!F208:F209)+SUM('食材明细'!F214:F215)</x:f>
        <x:v>545</x:v>
      </x:c>
      <x:c r="L19" t="str">
        <x:v>仅午餐+晚餐；早餐、饮奶、水果、零食未计入</x:v>
      </x:c>
    </x:row>
    <x:row r="20" ht="23" customHeight="1">
      <x:c r="A20" t="n">
        <x:v>19</x:v>
      </x:c>
      <x:c r="B20" t="n">
        <x:v>3</x:v>
      </x:c>
      <x:c r="C20" t="str">
        <x:v>无糖照烧猪瘦肉配彩椒洋葱｜荞麦面</x:v>
      </x:c>
      <x:c r="D20" t="str">
        <x:v>清汤鸡胸肉配白萝卜香菇｜杂粮饭</x:v>
      </x:c>
      <x:c r="E20" t="n">
        <x:f>'730餐菜单'!N38</x:f>
        <x:v>500</x:v>
      </x:c>
      <x:c r="F20" t="n">
        <x:f>'730餐菜单'!N39</x:f>
        <x:v>397</x:v>
      </x:c>
      <x:c r="G20" t="n">
        <x:f>E20+F20</x:f>
        <x:v>897</x:v>
      </x:c>
      <x:c r="H20" t="n">
        <x:f>'730餐菜单'!O38+'730餐菜单'!O39</x:f>
        <x:v>83.5</x:v>
      </x:c>
      <x:c r="I20" t="n">
        <x:f>'730餐菜单'!P38+'730餐菜单'!P39</x:f>
        <x:v>87.8</x:v>
      </x:c>
      <x:c r="J20" t="n">
        <x:f>'730餐菜单'!Q38+'730餐菜单'!Q39</x:f>
        <x:v>26</x:v>
      </x:c>
      <x:c r="K20" t="n">
        <x:f>SUM('食材明细'!F220:F221)+SUM('食材明细'!F226:F227)</x:f>
        <x:v>600</x:v>
      </x:c>
      <x:c r="L20" t="str">
        <x:v>仅午餐+晚餐；早餐、饮奶、水果、零食未计入</x:v>
      </x:c>
    </x:row>
    <x:row r="21" ht="23" customHeight="1">
      <x:c r="A21" t="n">
        <x:v>20</x:v>
      </x:c>
      <x:c r="B21" t="n">
        <x:v>3</x:v>
      </x:c>
      <x:c r="C21" t="str">
        <x:v>柠檬瘦牛肉配冬瓜金针菇｜荞麦面</x:v>
      </x:c>
      <x:c r="D21" t="str">
        <x:v>剁椒北豆腐配白萝卜荷兰豆｜杂粮饭</x:v>
      </x:c>
      <x:c r="E21" t="n">
        <x:f>'730餐菜单'!N40</x:f>
        <x:v>455</x:v>
      </x:c>
      <x:c r="F21" t="n">
        <x:f>'730餐菜单'!N41</x:f>
        <x:v>503</x:v>
      </x:c>
      <x:c r="G21" t="n">
        <x:f>E21+F21</x:f>
        <x:v>958</x:v>
      </x:c>
      <x:c r="H21" t="n">
        <x:f>'730餐菜单'!O40+'730餐菜单'!O41</x:f>
        <x:v>84</x:v>
      </x:c>
      <x:c r="I21" t="n">
        <x:f>'730餐菜单'!P40+'730餐菜单'!P41</x:f>
        <x:v>87.80000000000001</x:v>
      </x:c>
      <x:c r="J21" t="n">
        <x:f>'730餐菜单'!Q40+'730餐菜单'!Q41</x:f>
        <x:v>32.2</x:v>
      </x:c>
      <x:c r="K21" t="n">
        <x:f>SUM('食材明细'!F232:F233)+SUM('食材明细'!F238:F239)</x:f>
        <x:v>615</x:v>
      </x:c>
      <x:c r="L21" t="str">
        <x:v>仅午餐+晚餐；早餐、饮奶、水果、零食未计入</x:v>
      </x:c>
    </x:row>
    <x:row r="22" ht="23" customHeight="1">
      <x:c r="A22" t="n">
        <x:v>21</x:v>
      </x:c>
      <x:c r="B22" t="n">
        <x:v>3</x:v>
      </x:c>
      <x:c r="C22" t="str">
        <x:v>蒜香鲈鱼配西兰花荷兰豆｜杂粮饭</x:v>
      </x:c>
      <x:c r="D22" t="str">
        <x:v>葱姜清蒸虾仁配冬瓜泡发木耳｜杂粮饭</x:v>
      </x:c>
      <x:c r="E22" t="n">
        <x:f>'730餐菜单'!N42</x:f>
        <x:v>534</x:v>
      </x:c>
      <x:c r="F22" t="n">
        <x:f>'730餐菜单'!N43</x:f>
        <x:v>395</x:v>
      </x:c>
      <x:c r="G22" t="n">
        <x:f>E22+F22</x:f>
        <x:v>929</x:v>
      </x:c>
      <x:c r="H22" t="n">
        <x:f>'730餐菜单'!O42+'730餐菜单'!O43</x:f>
        <x:v>95.7</x:v>
      </x:c>
      <x:c r="I22" t="n">
        <x:f>'730餐菜单'!P42+'730餐菜单'!P43</x:f>
        <x:v>93.6</x:v>
      </x:c>
      <x:c r="J22" t="n">
        <x:f>'730餐菜单'!Q42+'730餐菜单'!Q43</x:f>
        <x:v>21.8</x:v>
      </x:c>
      <x:c r="K22" t="n">
        <x:f>SUM('食材明细'!F244:F245)+SUM('食材明细'!F250:F251)</x:f>
        <x:v>580</x:v>
      </x:c>
      <x:c r="L22" t="str">
        <x:v>仅午餐+晚餐；早餐、饮奶、水果、零食未计入</x:v>
      </x:c>
    </x:row>
    <x:row r="23" ht="23" customHeight="1">
      <x:c r="A23" t="n">
        <x:v>22</x:v>
      </x:c>
      <x:c r="B23" t="n">
        <x:v>4</x:v>
      </x:c>
      <x:c r="C23" t="str">
        <x:v>清汤鸡胸肉配菠菜海带｜土豆</x:v>
      </x:c>
      <x:c r="D23" t="str">
        <x:v>蒜香三文鱼配小白菜荷兰豆｜红薯</x:v>
      </x:c>
      <x:c r="E23" t="n">
        <x:f>'730餐菜单'!N44</x:f>
        <x:v>359</x:v>
      </x:c>
      <x:c r="F23" t="n">
        <x:f>'730餐菜单'!N45</x:f>
        <x:v>476</x:v>
      </x:c>
      <x:c r="G23" t="n">
        <x:f>E23+F23</x:f>
        <x:v>835</x:v>
      </x:c>
      <x:c r="H23" t="n">
        <x:f>'730餐菜单'!O44+'730餐菜单'!O45</x:f>
        <x:v>79</x:v>
      </x:c>
      <x:c r="I23" t="n">
        <x:f>'730餐菜单'!P44+'730餐菜单'!P45</x:f>
        <x:v>67.8</x:v>
      </x:c>
      <x:c r="J23" t="n">
        <x:f>'730餐菜单'!Q44+'730餐菜单'!Q45</x:f>
        <x:v>28.4</x:v>
      </x:c>
      <x:c r="K23" t="n">
        <x:f>SUM('食材明细'!F256:F257)+SUM('食材明细'!F262:F263)</x:f>
        <x:v>565</x:v>
      </x:c>
      <x:c r="L23" t="str">
        <x:v>仅午餐+晚餐；早餐、饮奶、水果、零食未计入</x:v>
      </x:c>
    </x:row>
    <x:row r="24" ht="23" customHeight="1">
      <x:c r="A24" t="n">
        <x:v>23</x:v>
      </x:c>
      <x:c r="B24" t="n">
        <x:v>4</x:v>
      </x:c>
      <x:c r="C24" t="str">
        <x:v>豉汁花蛤肉配小白菜金针菇｜玉米</x:v>
      </x:c>
      <x:c r="D24" t="str">
        <x:v>蚝香猪瘦肉配冬瓜菜心｜燕麦饭</x:v>
      </x:c>
      <x:c r="E24" t="n">
        <x:f>'730餐菜单'!N46</x:f>
        <x:v>481</x:v>
      </x:c>
      <x:c r="F24" t="n">
        <x:f>'730餐菜单'!N47</x:f>
        <x:v>397</x:v>
      </x:c>
      <x:c r="G24" t="n">
        <x:f>E24+F24</x:f>
        <x:v>878</x:v>
      </x:c>
      <x:c r="H24" t="n">
        <x:f>'730餐菜单'!O46+'730餐菜单'!O47</x:f>
        <x:v>81</x:v>
      </x:c>
      <x:c r="I24" t="n">
        <x:f>'730餐菜单'!P46+'730餐菜单'!P47</x:f>
        <x:v>79.3</x:v>
      </x:c>
      <x:c r="J24" t="n">
        <x:f>'730餐菜单'!Q46+'730餐菜单'!Q47</x:f>
        <x:v>30.099999999999998</x:v>
      </x:c>
      <x:c r="K24" t="n">
        <x:f>SUM('食材明细'!F268:F269)+SUM('食材明细'!F274:F275)</x:f>
        <x:v>615</x:v>
      </x:c>
      <x:c r="L24" t="str">
        <x:v>仅午餐+晚餐；早餐、饮奶、水果、零食未计入</x:v>
      </x:c>
    </x:row>
    <x:row r="25" ht="23" customHeight="1">
      <x:c r="A25" t="n">
        <x:v>24</x:v>
      </x:c>
      <x:c r="B25" t="n">
        <x:v>4</x:v>
      </x:c>
      <x:c r="C25" t="str">
        <x:v>咖喱猪里脊配苦瓜杏鲍菇｜藜麦饭</x:v>
      </x:c>
      <x:c r="D25" t="str">
        <x:v>柠檬巴沙鱼配四季豆番茄｜燕麦饭</x:v>
      </x:c>
      <x:c r="E25" t="n">
        <x:f>'730餐菜单'!N48</x:f>
        <x:v>496</x:v>
      </x:c>
      <x:c r="F25" t="n">
        <x:f>'730餐菜单'!N49</x:f>
        <x:v>431</x:v>
      </x:c>
      <x:c r="G25" t="n">
        <x:f>E25+F25</x:f>
        <x:v>927</x:v>
      </x:c>
      <x:c r="H25" t="n">
        <x:f>'730餐菜单'!O48+'730餐菜单'!O49</x:f>
        <x:v>91.3</x:v>
      </x:c>
      <x:c r="I25" t="n">
        <x:f>'730餐菜单'!P48+'730餐菜单'!P49</x:f>
        <x:v>85</x:v>
      </x:c>
      <x:c r="J25" t="n">
        <x:f>'730餐菜单'!Q48+'730餐菜单'!Q49</x:f>
        <x:v>26.6</x:v>
      </x:c>
      <x:c r="K25" t="n">
        <x:f>SUM('食材明细'!F280:F281)+SUM('食材明细'!F286:F287)</x:f>
        <x:v>615</x:v>
      </x:c>
      <x:c r="L25" t="str">
        <x:v>仅午餐+晚餐；早餐、饮奶、水果、零食未计入</x:v>
      </x:c>
    </x:row>
    <x:row r="26" ht="23" customHeight="1">
      <x:c r="A26" t="n">
        <x:v>25</x:v>
      </x:c>
      <x:c r="B26" t="n">
        <x:v>4</x:v>
      </x:c>
      <x:c r="C26" t="str">
        <x:v>菌菇去皮鸡腿肉配大白菜香菇｜山药</x:v>
      </x:c>
      <x:c r="D26" t="str">
        <x:v>蚝香北豆腐鸡蛋烩竹笋花菜｜杂粮饭</x:v>
      </x:c>
      <x:c r="E26" t="n">
        <x:f>'730餐菜单'!N50</x:f>
        <x:v>453</x:v>
      </x:c>
      <x:c r="F26" t="n">
        <x:f>'730餐菜单'!N51</x:f>
        <x:v>574</x:v>
      </x:c>
      <x:c r="G26" t="n">
        <x:f>E26+F26</x:f>
        <x:v>1027</x:v>
      </x:c>
      <x:c r="H26" t="n">
        <x:f>'730餐菜单'!O50+'730餐菜单'!O51</x:f>
        <x:v>89.1</x:v>
      </x:c>
      <x:c r="I26" t="n">
        <x:f>'730餐菜单'!P50+'730餐菜单'!P51</x:f>
        <x:v>83.4</x:v>
      </x:c>
      <x:c r="J26" t="n">
        <x:f>'730餐菜单'!Q50+'730餐菜单'!Q51</x:f>
        <x:v>42.3</x:v>
      </x:c>
      <x:c r="K26" t="n">
        <x:f>SUM('食材明细'!F292:F293)+SUM('食材明细'!F298:F299)</x:f>
        <x:v>565</x:v>
      </x:c>
      <x:c r="L26" t="str">
        <x:v>仅午餐+晚餐；早餐、饮奶、水果、零食未计入</x:v>
      </x:c>
    </x:row>
    <x:row r="27" ht="23" customHeight="1">
      <x:c r="A27" t="n">
        <x:v>26</x:v>
      </x:c>
      <x:c r="B27" t="n">
        <x:v>4</x:v>
      </x:c>
      <x:c r="C27" t="str">
        <x:v>柠檬鲈鱼配丝瓜白萝卜｜紫薯</x:v>
      </x:c>
      <x:c r="D27" t="str">
        <x:v>孜然瘦牛肉配小白菜香菇｜玉米</x:v>
      </x:c>
      <x:c r="E27" t="n">
        <x:f>'730餐菜单'!N52</x:f>
        <x:v>451</x:v>
      </x:c>
      <x:c r="F27" t="n">
        <x:f>'730餐菜单'!N53</x:f>
        <x:v>426</x:v>
      </x:c>
      <x:c r="G27" t="n">
        <x:f>E27+F27</x:f>
        <x:v>877</x:v>
      </x:c>
      <x:c r="H27" t="n">
        <x:f>'730餐菜单'!O52+'730餐菜单'!O53</x:f>
        <x:v>84</x:v>
      </x:c>
      <x:c r="I27" t="n">
        <x:f>'730餐菜单'!P52+'730餐菜单'!P53</x:f>
        <x:v>87.1</x:v>
      </x:c>
      <x:c r="J27" t="n">
        <x:f>'730餐菜单'!Q52+'730餐菜单'!Q53</x:f>
        <x:v>24</x:v>
      </x:c>
      <x:c r="K27" t="n">
        <x:f>SUM('食材明细'!F304:F305)+SUM('食材明细'!F310:F311)</x:f>
        <x:v>555</x:v>
      </x:c>
      <x:c r="L27" t="str">
        <x:v>仅午餐+晚餐；早餐、饮奶、水果、零食未计入</x:v>
      </x:c>
    </x:row>
    <x:row r="28" ht="23" customHeight="1">
      <x:c r="A28" t="n">
        <x:v>27</x:v>
      </x:c>
      <x:c r="B28" t="n">
        <x:v>4</x:v>
      </x:c>
      <x:c r="C28" t="str">
        <x:v>葱姜清蒸鸡里脊肉配荷兰豆紫甘蓝｜杂粮饭</x:v>
      </x:c>
      <x:c r="D28" t="str">
        <x:v>葱姜清蒸虾仁配竹笋胡萝卜｜杂粮饭</x:v>
      </x:c>
      <x:c r="E28" t="n">
        <x:f>'730餐菜单'!N54</x:f>
        <x:v>432</x:v>
      </x:c>
      <x:c r="F28" t="n">
        <x:f>'730餐菜单'!N55</x:f>
        <x:v>371</x:v>
      </x:c>
      <x:c r="G28" t="n">
        <x:f>E28+F28</x:f>
        <x:v>803</x:v>
      </x:c>
      <x:c r="H28" t="n">
        <x:f>'730餐菜单'!O54+'730餐菜单'!O55</x:f>
        <x:v>84.1</x:v>
      </x:c>
      <x:c r="I28" t="n">
        <x:f>'730餐菜单'!P54+'730餐菜单'!P55</x:f>
        <x:v>88</x:v>
      </x:c>
      <x:c r="J28" t="n">
        <x:f>'730餐菜单'!Q54+'730餐菜单'!Q55</x:f>
        <x:v>15</x:v>
      </x:c>
      <x:c r="K28" t="n">
        <x:f>SUM('食材明细'!F316:F317)+SUM('食材明细'!F322:F323)</x:f>
        <x:v>585</x:v>
      </x:c>
      <x:c r="L28" t="str">
        <x:v>仅午餐+晚餐；早餐、饮奶、水果、零食未计入</x:v>
      </x:c>
    </x:row>
    <x:row r="29" ht="23" customHeight="1">
      <x:c r="A29" t="n">
        <x:v>28</x:v>
      </x:c>
      <x:c r="B29" t="n">
        <x:v>4</x:v>
      </x:c>
      <x:c r="C29" t="str">
        <x:v>豉汁巴沙鱼配花菜彩椒｜燕麦饭</x:v>
      </x:c>
      <x:c r="D29" t="str">
        <x:v>葱姜清蒸北豆腐熟毛豆仁烩番茄海带｜白米饭</x:v>
      </x:c>
      <x:c r="E29" t="n">
        <x:f>'730餐菜单'!N56</x:f>
        <x:v>481</x:v>
      </x:c>
      <x:c r="F29" t="n">
        <x:f>'730餐菜单'!N57</x:f>
        <x:v>547</x:v>
      </x:c>
      <x:c r="G29" t="n">
        <x:f>E29+F29</x:f>
        <x:v>1028</x:v>
      </x:c>
      <x:c r="H29" t="n">
        <x:f>'730餐菜单'!O56+'730餐菜单'!O57</x:f>
        <x:v>86.1</x:v>
      </x:c>
      <x:c r="I29" t="n">
        <x:f>'730餐菜单'!P56+'730餐菜单'!P57</x:f>
        <x:v>102.30000000000001</x:v>
      </x:c>
      <x:c r="J29" t="n">
        <x:f>'730餐菜单'!Q56+'730餐菜单'!Q57</x:f>
        <x:v>33.7</x:v>
      </x:c>
      <x:c r="K29" t="n">
        <x:f>SUM('食材明细'!F328:F329)+SUM('食材明细'!F334:F335)</x:f>
        <x:v>585</x:v>
      </x:c>
      <x:c r="L29" t="str">
        <x:v>仅午餐+晚餐；早餐、饮奶、水果、零食未计入</x:v>
      </x:c>
    </x:row>
    <x:row r="30" ht="23" customHeight="1">
      <x:c r="A30" t="n">
        <x:v>29</x:v>
      </x:c>
      <x:c r="B30" t="n">
        <x:v>5</x:v>
      </x:c>
      <x:c r="C30" t="str">
        <x:v>菌菇牛里脊配白萝卜香菇｜紫薯</x:v>
      </x:c>
      <x:c r="D30" t="str">
        <x:v>酸汤虾仁配丝瓜白萝卜｜藜麦饭</x:v>
      </x:c>
      <x:c r="E30" t="n">
        <x:f>'730餐菜单'!N58</x:f>
        <x:v>419</x:v>
      </x:c>
      <x:c r="F30" t="n">
        <x:f>'730餐菜单'!N59</x:f>
        <x:v>413</x:v>
      </x:c>
      <x:c r="G30" t="n">
        <x:f>E30+F30</x:f>
        <x:v>832</x:v>
      </x:c>
      <x:c r="H30" t="n">
        <x:f>'730餐菜单'!O58+'730餐菜单'!O59</x:f>
        <x:v>79.3</x:v>
      </x:c>
      <x:c r="I30" t="n">
        <x:f>'730餐菜单'!P58+'730餐菜单'!P59</x:f>
        <x:v>82.69999999999999</x:v>
      </x:c>
      <x:c r="J30" t="n">
        <x:f>'730餐菜单'!Q58+'730餐菜单'!Q59</x:f>
        <x:v>21.1</x:v>
      </x:c>
      <x:c r="K30" t="n">
        <x:f>SUM('食材明细'!F340:F341)+SUM('食材明细'!F346:F347)</x:f>
        <x:v>565</x:v>
      </x:c>
      <x:c r="L30" t="str">
        <x:v>仅午餐+晚餐；早餐、饮奶、水果、零食未计入</x:v>
      </x:c>
    </x:row>
    <x:row r="31" ht="23" customHeight="1">
      <x:c r="A31" t="n">
        <x:v>30</x:v>
      </x:c>
      <x:c r="B31" t="n">
        <x:v>5</x:v>
      </x:c>
      <x:c r="C31" t="str">
        <x:v>咖喱瘦牛肉配竹笋菜心｜米粉</x:v>
      </x:c>
      <x:c r="D31" t="str">
        <x:v>柠檬鲈鱼配西兰花紫甘蓝｜杂粮饭</x:v>
      </x:c>
      <x:c r="E31" t="n">
        <x:f>'730餐菜单'!N60</x:f>
        <x:v>603</x:v>
      </x:c>
      <x:c r="F31" t="n">
        <x:f>'730餐菜单'!N61</x:f>
        <x:v>492</x:v>
      </x:c>
      <x:c r="G31" t="n">
        <x:f>E31+F31</x:f>
        <x:v>1095</x:v>
      </x:c>
      <x:c r="H31" t="n">
        <x:f>'730餐菜单'!O60+'730餐菜单'!O61</x:f>
        <x:v>108.8</x:v>
      </x:c>
      <x:c r="I31" t="n">
        <x:f>'730餐菜单'!P60+'730餐菜单'!P61</x:f>
        <x:v>99.3</x:v>
      </x:c>
      <x:c r="J31" t="n">
        <x:f>'730餐菜单'!Q60+'730餐菜单'!Q61</x:f>
        <x:v>31.9</x:v>
      </x:c>
      <x:c r="K31" t="n">
        <x:f>SUM('食材明细'!F352:F353)+SUM('食材明细'!F358:F359)</x:f>
        <x:v>660</x:v>
      </x:c>
      <x:c r="L31" t="str">
        <x:v>仅午餐+晚餐；早餐、饮奶、水果、零食未计入</x:v>
      </x:c>
    </x:row>
    <x:row r="32" ht="23" customHeight="1">
      <x:c r="A32" t="n">
        <x:v>31</x:v>
      </x:c>
      <x:c r="B32" t="n">
        <x:v>5</x:v>
      </x:c>
      <x:c r="C32" t="str">
        <x:v>葱姜清蒸低盐火腿鸡蛋烩芦笋彩椒｜红薯</x:v>
      </x:c>
      <x:c r="D32" t="str">
        <x:v>奥尔良风味鸡里脊肉配彩椒香菇｜红薯</x:v>
      </x:c>
      <x:c r="E32" t="n">
        <x:f>'730餐菜单'!N62</x:f>
        <x:v>452</x:v>
      </x:c>
      <x:c r="F32" t="n">
        <x:f>'730餐菜单'!N63</x:f>
        <x:v>368</x:v>
      </x:c>
      <x:c r="G32" t="n">
        <x:f>E32+F32</x:f>
        <x:v>820</x:v>
      </x:c>
      <x:c r="H32" t="n">
        <x:f>'730餐菜单'!O62+'730餐菜单'!O63</x:f>
        <x:v>64.4</x:v>
      </x:c>
      <x:c r="I32" t="n">
        <x:f>'730餐菜单'!P62+'730餐菜单'!P63</x:f>
        <x:v>89.8</x:v>
      </x:c>
      <x:c r="J32" t="n">
        <x:f>'730餐菜单'!Q62+'730餐菜单'!Q63</x:f>
        <x:v>25.700000000000003</x:v>
      </x:c>
      <x:c r="K32" t="n">
        <x:f>SUM('食材明细'!F364:F365)+SUM('食材明细'!F370:F371)</x:f>
        <x:v>585</x:v>
      </x:c>
      <x:c r="L32" t="str">
        <x:v>仅午餐+晚餐；早餐、饮奶、水果、零食未计入</x:v>
      </x:c>
    </x:row>
    <x:row r="33" ht="23" customHeight="1">
      <x:c r="A33" t="n">
        <x:v>32</x:v>
      </x:c>
      <x:c r="B33" t="n">
        <x:v>5</x:v>
      </x:c>
      <x:c r="C33" t="str">
        <x:v>柠檬瘦牛肉配大白菜洋葱｜糙米饭</x:v>
      </x:c>
      <x:c r="D33" t="str">
        <x:v>蒜香巴沙鱼配番茄口蘑｜藜麦饭</x:v>
      </x:c>
      <x:c r="E33" t="n">
        <x:f>'730餐菜单'!N64</x:f>
        <x:v>526</x:v>
      </x:c>
      <x:c r="F33" t="n">
        <x:f>'730餐菜单'!N65</x:f>
        <x:v>418</x:v>
      </x:c>
      <x:c r="G33" t="n">
        <x:f>E33+F33</x:f>
        <x:v>944</x:v>
      </x:c>
      <x:c r="H33" t="n">
        <x:f>'730餐菜单'!O64+'730餐菜单'!O65</x:f>
        <x:v>88.5</x:v>
      </x:c>
      <x:c r="I33" t="n">
        <x:f>'730餐菜单'!P64+'730餐菜单'!P65</x:f>
        <x:v>88.1</x:v>
      </x:c>
      <x:c r="J33" t="n">
        <x:f>'730餐菜单'!Q64+'730餐菜单'!Q65</x:f>
        <x:v>27.7</x:v>
      </x:c>
      <x:c r="K33" t="n">
        <x:f>SUM('食材明细'!F376:F377)+SUM('食材明细'!F382:F383)</x:f>
        <x:v>615</x:v>
      </x:c>
      <x:c r="L33" t="str">
        <x:v>仅午餐+晚餐；早餐、饮奶、水果、零食未计入</x:v>
      </x:c>
    </x:row>
    <x:row r="34" ht="23" customHeight="1">
      <x:c r="A34" t="n">
        <x:v>33</x:v>
      </x:c>
      <x:c r="B34" t="n">
        <x:v>5</x:v>
      </x:c>
      <x:c r="C34" t="str">
        <x:v>酸汤三文鱼配西兰花洋葱｜燕麦饭</x:v>
      </x:c>
      <x:c r="D34" t="str">
        <x:v>咖喱鸡胸肉配白萝卜海带｜糙米饭</x:v>
      </x:c>
      <x:c r="E34" t="n">
        <x:f>'730餐菜单'!N66</x:f>
        <x:v>570</x:v>
      </x:c>
      <x:c r="F34" t="n">
        <x:f>'730餐菜单'!N67</x:f>
        <x:v>418</x:v>
      </x:c>
      <x:c r="G34" t="n">
        <x:f>E34+F34</x:f>
        <x:v>988</x:v>
      </x:c>
      <x:c r="H34" t="n">
        <x:f>'730餐菜单'!O66+'730餐菜单'!O67</x:f>
        <x:v>78.2</x:v>
      </x:c>
      <x:c r="I34" t="n">
        <x:f>'730餐菜单'!P66+'730餐菜单'!P67</x:f>
        <x:v>93.4</x:v>
      </x:c>
      <x:c r="J34" t="n">
        <x:f>'730餐菜单'!Q66+'730餐菜单'!Q67</x:f>
        <x:v>35.1</x:v>
      </x:c>
      <x:c r="K34" t="n">
        <x:f>SUM('食材明细'!F388:F389)+SUM('食材明细'!F394:F395)</x:f>
        <x:v>615</x:v>
      </x:c>
      <x:c r="L34" t="str">
        <x:v>仅午餐+晚餐；早餐、饮奶、水果、零食未计入</x:v>
      </x:c>
    </x:row>
    <x:row r="35" ht="23" customHeight="1">
      <x:c r="A35" t="n">
        <x:v>34</x:v>
      </x:c>
      <x:c r="B35" t="n">
        <x:v>5</x:v>
      </x:c>
      <x:c r="C35" t="str">
        <x:v>蚝香猪里脊配四季豆小白菜｜全麦面</x:v>
      </x:c>
      <x:c r="D35" t="str">
        <x:v>菌菇嫩豆腐熟毛豆仁烩茼蒿口蘑｜土豆</x:v>
      </x:c>
      <x:c r="E35" t="n">
        <x:f>'730餐菜单'!N68</x:f>
        <x:v>493</x:v>
      </x:c>
      <x:c r="F35" t="n">
        <x:f>'730餐菜单'!N69</x:f>
        <x:v>408</x:v>
      </x:c>
      <x:c r="G35" t="n">
        <x:f>E35+F35</x:f>
        <x:v>901</x:v>
      </x:c>
      <x:c r="H35" t="n">
        <x:f>'730餐菜单'!O68+'730餐菜单'!O69</x:f>
        <x:v>73.2</x:v>
      </x:c>
      <x:c r="I35" t="n">
        <x:f>'730餐菜单'!P68+'730餐菜单'!P69</x:f>
        <x:v>95</x:v>
      </x:c>
      <x:c r="J35" t="n">
        <x:f>'730餐菜单'!Q68+'730餐菜单'!Q69</x:f>
        <x:v>28.2</x:v>
      </x:c>
      <x:c r="K35" t="n">
        <x:f>SUM('食材明细'!F400:F401)+SUM('食材明细'!F406:F407)</x:f>
        <x:v>570</x:v>
      </x:c>
      <x:c r="L35" t="str">
        <x:v>仅午餐+晚餐；早餐、饮奶、水果、零食未计入</x:v>
      </x:c>
    </x:row>
    <x:row r="36" ht="23" customHeight="1">
      <x:c r="A36" t="n">
        <x:v>35</x:v>
      </x:c>
      <x:c r="B36" t="n">
        <x:v>5</x:v>
      </x:c>
      <x:c r="C36" t="str">
        <x:v>香醋虾仁配茼蒿彩椒｜红薯</x:v>
      </x:c>
      <x:c r="D36" t="str">
        <x:v>豉汁去皮鸡腿肉配菜心金针菇｜全麦面</x:v>
      </x:c>
      <x:c r="E36" t="n">
        <x:f>'730餐菜单'!N70</x:f>
        <x:v>375</x:v>
      </x:c>
      <x:c r="F36" t="n">
        <x:f>'730餐菜单'!N71</x:f>
        <x:v>478</x:v>
      </x:c>
      <x:c r="G36" t="n">
        <x:f>E36+F36</x:f>
        <x:v>853</x:v>
      </x:c>
      <x:c r="H36" t="n">
        <x:f>'730餐菜单'!O70+'730餐菜单'!O71</x:f>
        <x:v>90.1</x:v>
      </x:c>
      <x:c r="I36" t="n">
        <x:f>'730餐菜单'!P70+'730餐菜单'!P71</x:f>
        <x:v>79</x:v>
      </x:c>
      <x:c r="J36" t="n">
        <x:f>'730餐菜单'!Q70+'730餐菜单'!Q71</x:f>
        <x:v>22.8</x:v>
      </x:c>
      <x:c r="K36" t="n">
        <x:f>SUM('食材明细'!F412:F413)+SUM('食材明细'!F418:F419)</x:f>
        <x:v>630</x:v>
      </x:c>
      <x:c r="L36" t="str">
        <x:v>仅午餐+晚餐；早餐、饮奶、水果、零食未计入</x:v>
      </x:c>
    </x:row>
    <x:row r="37" ht="23" customHeight="1">
      <x:c r="A37" t="n">
        <x:v>36</x:v>
      </x:c>
      <x:c r="B37" t="n">
        <x:v>6</x:v>
      </x:c>
      <x:c r="C37" t="str">
        <x:v>清汤去皮鸭胸肉配番茄泡发木耳｜乌冬面</x:v>
      </x:c>
      <x:c r="D37" t="str">
        <x:v>清汤北豆腐配彩椒番茄｜荞麦饭</x:v>
      </x:c>
      <x:c r="E37" t="n">
        <x:f>'730餐菜单'!N72</x:f>
        <x:v>517</x:v>
      </x:c>
      <x:c r="F37" t="n">
        <x:f>'730餐菜单'!N73</x:f>
        <x:v>451</x:v>
      </x:c>
      <x:c r="G37" t="n">
        <x:f>E37+F37</x:f>
        <x:v>968</x:v>
      </x:c>
      <x:c r="H37" t="n">
        <x:f>'730餐菜单'!O72+'730餐菜单'!O73</x:f>
        <x:v>72.2</x:v>
      </x:c>
      <x:c r="I37" t="n">
        <x:f>'730餐菜单'!P72+'730餐菜单'!P73</x:f>
        <x:v>89.2</x:v>
      </x:c>
      <x:c r="J37" t="n">
        <x:f>'730餐菜单'!Q72+'730餐菜单'!Q73</x:f>
        <x:v>38.1</x:v>
      </x:c>
      <x:c r="K37" t="n">
        <x:f>SUM('食材明细'!F424:F425)+SUM('食材明细'!F430:F431)</x:f>
        <x:v>645</x:v>
      </x:c>
      <x:c r="L37" t="str">
        <x:v>仅午餐+晚餐；早餐、饮奶、水果、零食未计入</x:v>
      </x:c>
    </x:row>
    <x:row r="38" ht="23" customHeight="1">
      <x:c r="A38" t="n">
        <x:v>37</x:v>
      </x:c>
      <x:c r="B38" t="n">
        <x:v>6</x:v>
      </x:c>
      <x:c r="C38" t="str">
        <x:v>柠檬牛腱子配芹菜冬瓜｜土豆</x:v>
      </x:c>
      <x:c r="D38" t="str">
        <x:v>清汤去皮鸡腿肉配冬瓜洋葱｜藜麦饭</x:v>
      </x:c>
      <x:c r="E38" t="n">
        <x:f>'730餐菜单'!N74</x:f>
        <x:v>429</x:v>
      </x:c>
      <x:c r="F38" t="n">
        <x:f>'730餐菜单'!N75</x:f>
        <x:v>475</x:v>
      </x:c>
      <x:c r="G38" t="n">
        <x:f>E38+F38</x:f>
        <x:v>904</x:v>
      </x:c>
      <x:c r="H38" t="n">
        <x:f>'730餐菜单'!O74+'730餐菜单'!O75</x:f>
        <x:v>81.6</x:v>
      </x:c>
      <x:c r="I38" t="n">
        <x:f>'730餐菜单'!P74+'730餐菜单'!P75</x:f>
        <x:v>79.1</x:v>
      </x:c>
      <x:c r="J38" t="n">
        <x:f>'730餐菜单'!Q74+'730餐菜单'!Q75</x:f>
        <x:v>30</x:v>
      </x:c>
      <x:c r="K38" t="n">
        <x:f>SUM('食材明细'!F436:F437)+SUM('食材明细'!F442:F443)</x:f>
        <x:v>530</x:v>
      </x:c>
      <x:c r="L38" t="str">
        <x:v>仅午餐+晚餐；早餐、饮奶、水果、零食未计入</x:v>
      </x:c>
    </x:row>
    <x:row r="39" ht="23" customHeight="1">
      <x:c r="A39" t="n">
        <x:v>38</x:v>
      </x:c>
      <x:c r="B39" t="n">
        <x:v>6</x:v>
      </x:c>
      <x:c r="C39" t="str">
        <x:v>香醋虾仁配彩椒黄瓜｜紫薯</x:v>
      </x:c>
      <x:c r="D39" t="str">
        <x:v>番茄鳕鱼配黄瓜｜糙米饭</x:v>
      </x:c>
      <x:c r="E39" t="n">
        <x:f>'730餐菜单'!N76</x:f>
        <x:v>390</x:v>
      </x:c>
      <x:c r="F39" t="n">
        <x:f>'730餐菜单'!N77</x:f>
        <x:v>383</x:v>
      </x:c>
      <x:c r="G39" t="n">
        <x:f>E39+F39</x:f>
        <x:v>773</x:v>
      </x:c>
      <x:c r="H39" t="n">
        <x:f>'730餐菜单'!O76+'730餐菜单'!O77</x:f>
        <x:v>79.19999999999999</x:v>
      </x:c>
      <x:c r="I39" t="n">
        <x:f>'730餐菜单'!P76+'730餐菜单'!P77</x:f>
        <x:v>85</x:v>
      </x:c>
      <x:c r="J39" t="n">
        <x:f>'730餐菜单'!Q76+'730餐菜单'!Q77</x:f>
        <x:v>12.5</x:v>
      </x:c>
      <x:c r="K39" t="n">
        <x:f>SUM('食材明细'!F448:F449)+SUM('食材明细'!F454:F455)</x:f>
        <x:v>570</x:v>
      </x:c>
      <x:c r="L39" t="str">
        <x:v>仅午餐+晚餐；早餐、饮奶、水果、零食未计入</x:v>
      </x:c>
    </x:row>
    <x:row r="40" ht="23" customHeight="1">
      <x:c r="A40" t="n">
        <x:v>39</x:v>
      </x:c>
      <x:c r="B40" t="n">
        <x:v>6</x:v>
      </x:c>
      <x:c r="C40" t="str">
        <x:v>豉汁虾仁配苦瓜金针菇｜白米饭</x:v>
      </x:c>
      <x:c r="D40" t="str">
        <x:v>黑椒牛里脊配西葫芦番茄｜全麦面</x:v>
      </x:c>
      <x:c r="E40" t="n">
        <x:f>'730餐菜单'!N78</x:f>
        <x:v>408</x:v>
      </x:c>
      <x:c r="F40" t="n">
        <x:f>'730餐菜单'!N79</x:f>
        <x:v>448</x:v>
      </x:c>
      <x:c r="G40" t="n">
        <x:f>E40+F40</x:f>
        <x:v>856</x:v>
      </x:c>
      <x:c r="H40" t="n">
        <x:f>'730餐菜单'!O78+'730餐菜单'!O79</x:f>
        <x:v>83</x:v>
      </x:c>
      <x:c r="I40" t="n">
        <x:f>'730餐菜单'!P78+'730餐菜单'!P79</x:f>
        <x:v>87.9</x:v>
      </x:c>
      <x:c r="J40" t="n">
        <x:f>'730餐菜单'!Q78+'730餐菜单'!Q79</x:f>
        <x:v>20.8</x:v>
      </x:c>
      <x:c r="K40" t="n">
        <x:f>SUM('食材明细'!F460:F461)+SUM('食材明细'!F466:F467)</x:f>
        <x:v>575</x:v>
      </x:c>
      <x:c r="L40" t="str">
        <x:v>仅午餐+晚餐；早餐、饮奶、水果、零食未计入</x:v>
      </x:c>
    </x:row>
    <x:row r="41" ht="23" customHeight="1">
      <x:c r="A41" t="n">
        <x:v>40</x:v>
      </x:c>
      <x:c r="B41" t="n">
        <x:v>6</x:v>
      </x:c>
      <x:c r="C41" t="str">
        <x:v>柠檬三文鱼配丝瓜芦笋｜糙米饭</x:v>
      </x:c>
      <x:c r="D41" t="str">
        <x:v>清汤去皮鸭胸肉配娃娃菜泡发木耳｜魔芋丝</x:v>
      </x:c>
      <x:c r="E41" t="n">
        <x:f>'730餐菜单'!N80</x:f>
        <x:v>462</x:v>
      </x:c>
      <x:c r="F41" t="n">
        <x:f>'730餐菜单'!N81</x:f>
        <x:v>366</x:v>
      </x:c>
      <x:c r="G41" t="n">
        <x:f>E41+F41</x:f>
        <x:v>828</x:v>
      </x:c>
      <x:c r="H41" t="n">
        <x:f>'730餐菜单'!O80+'730餐菜单'!O81</x:f>
        <x:v>70.5</x:v>
      </x:c>
      <x:c r="I41" t="n">
        <x:f>'730餐菜单'!P80+'730餐菜单'!P81</x:f>
        <x:v>53.4</x:v>
      </x:c>
      <x:c r="J41" t="n">
        <x:f>'730餐菜单'!Q80+'730餐菜单'!Q81</x:f>
        <x:v>38.2</x:v>
      </x:c>
      <x:c r="K41" t="n">
        <x:f>SUM('食材明细'!F472:F473)+SUM('食材明细'!F478:F479)</x:f>
        <x:v>615</x:v>
      </x:c>
      <x:c r="L41" t="str">
        <x:v>仅午餐+晚餐；早餐、饮奶、水果、零食未计入</x:v>
      </x:c>
    </x:row>
    <x:row r="42" ht="23" customHeight="1">
      <x:c r="A42" t="n">
        <x:v>41</x:v>
      </x:c>
      <x:c r="B42" t="n">
        <x:v>6</x:v>
      </x:c>
      <x:c r="C42" t="str">
        <x:v>椒麻去皮鸭胸肉配荷兰豆莴笋｜山药</x:v>
      </x:c>
      <x:c r="D42" t="str">
        <x:v>蒜香鱿鱼配冬瓜菜心｜红薯</x:v>
      </x:c>
      <x:c r="E42" t="n">
        <x:f>'730餐菜单'!N82</x:f>
        <x:v>451</x:v>
      </x:c>
      <x:c r="F42" t="n">
        <x:f>'730餐菜单'!N83</x:f>
        <x:v>367</x:v>
      </x:c>
      <x:c r="G42" t="n">
        <x:f>E42+F42</x:f>
        <x:v>818</x:v>
      </x:c>
      <x:c r="H42" t="n">
        <x:f>'730餐菜单'!O82+'730餐菜单'!O83</x:f>
        <x:v>78.4</x:v>
      </x:c>
      <x:c r="I42" t="n">
        <x:f>'730餐菜单'!P82+'730餐菜单'!P83</x:f>
        <x:v>76.2</x:v>
      </x:c>
      <x:c r="J42" t="n">
        <x:f>'730餐菜单'!Q82+'730餐菜单'!Q83</x:f>
        <x:v>22.4</x:v>
      </x:c>
      <x:c r="K42" t="n">
        <x:f>SUM('食材明细'!F484:F485)+SUM('食材明细'!F490:F491)</x:f>
        <x:v>535</x:v>
      </x:c>
      <x:c r="L42" t="str">
        <x:v>仅午餐+晚餐；早餐、饮奶、水果、零食未计入</x:v>
      </x:c>
    </x:row>
    <x:row r="43" ht="23" customHeight="1">
      <x:c r="A43" t="n">
        <x:v>42</x:v>
      </x:c>
      <x:c r="B43" t="n">
        <x:v>6</x:v>
      </x:c>
      <x:c r="C43" t="str">
        <x:v>豉汁鸡里脊肉配冬瓜口蘑｜杂粮饭</x:v>
      </x:c>
      <x:c r="D43" t="str">
        <x:v>黑椒鸡胸肉配荷兰豆冬瓜｜山药</x:v>
      </x:c>
      <x:c r="E43" t="n">
        <x:f>'730餐菜单'!N84</x:f>
        <x:v>426</x:v>
      </x:c>
      <x:c r="F43" t="n">
        <x:f>'730餐菜单'!N85</x:f>
        <x:v>466</x:v>
      </x:c>
      <x:c r="G43" t="n">
        <x:f>E43+F43</x:f>
        <x:v>892</x:v>
      </x:c>
      <x:c r="H43" t="n">
        <x:f>'730餐菜单'!O84+'730餐菜单'!O85</x:f>
        <x:v>99.19999999999999</x:v>
      </x:c>
      <x:c r="I43" t="n">
        <x:f>'730餐菜单'!P84+'730餐菜单'!P85</x:f>
        <x:v>81.30000000000001</x:v>
      </x:c>
      <x:c r="J43" t="n">
        <x:f>'730餐菜单'!Q84+'730餐菜单'!Q85</x:f>
        <x:v>21.799999999999997</x:v>
      </x:c>
      <x:c r="K43" t="n">
        <x:f>SUM('食材明细'!F496:F497)+SUM('食材明细'!F502:F503)</x:f>
        <x:v>600</x:v>
      </x:c>
      <x:c r="L43" t="str">
        <x:v>仅午餐+晚餐；早餐、饮奶、水果、零食未计入</x:v>
      </x:c>
    </x:row>
    <x:row r="44" ht="23" customHeight="1">
      <x:c r="A44" t="n">
        <x:v>43</x:v>
      </x:c>
      <x:c r="B44" t="n">
        <x:v>7</x:v>
      </x:c>
      <x:c r="C44" t="str">
        <x:v>清汤去皮鸡腿肉配四季豆泡发木耳｜红薯</x:v>
      </x:c>
      <x:c r="D44" t="str">
        <x:v>葱姜清蒸瘦牛肉配娃娃菜白萝卜｜藜麦饭</x:v>
      </x:c>
      <x:c r="E44" t="n">
        <x:f>'730餐菜单'!N86</x:f>
        <x:v>490</x:v>
      </x:c>
      <x:c r="F44" t="n">
        <x:f>'730餐菜单'!N87</x:f>
        <x:v>431</x:v>
      </x:c>
      <x:c r="G44" t="n">
        <x:f>E44+F44</x:f>
        <x:v>921</x:v>
      </x:c>
      <x:c r="H44" t="n">
        <x:f>'730餐菜单'!O86+'730餐菜单'!O87</x:f>
        <x:v>83.2</x:v>
      </x:c>
      <x:c r="I44" t="n">
        <x:f>'730餐菜单'!P86+'730餐菜单'!P87</x:f>
        <x:v>87.2</x:v>
      </x:c>
      <x:c r="J44" t="n">
        <x:f>'730餐菜单'!Q86+'730餐菜单'!Q87</x:f>
        <x:v>28.4</x:v>
      </x:c>
      <x:c r="K44" t="n">
        <x:f>SUM('食材明细'!F508:F509)+SUM('食材明细'!F514:F515)</x:f>
        <x:v>600</x:v>
      </x:c>
      <x:c r="L44" t="str">
        <x:v>仅午餐+晚餐；早餐、饮奶、水果、零食未计入</x:v>
      </x:c>
    </x:row>
    <x:row r="45" ht="23" customHeight="1">
      <x:c r="A45" t="n">
        <x:v>44</x:v>
      </x:c>
      <x:c r="B45" t="n">
        <x:v>7</x:v>
      </x:c>
      <x:c r="C45" t="str">
        <x:v>酸汤鳕鱼配大白菜香菇｜乌冬面</x:v>
      </x:c>
      <x:c r="D45" t="str">
        <x:v>蚝香牛腱子配苦瓜胡萝卜｜糙米饭</x:v>
      </x:c>
      <x:c r="E45" t="n">
        <x:f>'730餐菜单'!N88</x:f>
        <x:v>461</x:v>
      </x:c>
      <x:c r="F45" t="n">
        <x:f>'730餐菜单'!N89</x:f>
        <x:v>467</x:v>
      </x:c>
      <x:c r="G45" t="n">
        <x:f>E45+F45</x:f>
        <x:v>928</x:v>
      </x:c>
      <x:c r="H45" t="n">
        <x:f>'730餐菜单'!O88+'730餐菜单'!O89</x:f>
        <x:v>85.8</x:v>
      </x:c>
      <x:c r="I45" t="n">
        <x:f>'730餐菜单'!P88+'730餐菜单'!P89</x:f>
        <x:v>89.19999999999999</x:v>
      </x:c>
      <x:c r="J45" t="n">
        <x:f>'730餐菜单'!Q88+'730餐菜单'!Q89</x:f>
        <x:v>25.8</x:v>
      </x:c>
      <x:c r="K45" t="n">
        <x:f>SUM('食材明细'!F520:F521)+SUM('食材明细'!F526:F527)</x:f>
        <x:v>630</x:v>
      </x:c>
      <x:c r="L45" t="str">
        <x:v>仅午餐+晚餐；早餐、饮奶、水果、零食未计入</x:v>
      </x:c>
    </x:row>
    <x:row r="46" ht="23" customHeight="1">
      <x:c r="A46" t="n">
        <x:v>45</x:v>
      </x:c>
      <x:c r="B46" t="n">
        <x:v>7</x:v>
      </x:c>
      <x:c r="C46" t="str">
        <x:v>豉汁鸡蛋虾仁烩丝瓜洋葱｜紫薯</x:v>
      </x:c>
      <x:c r="D46" t="str">
        <x:v>剁椒嫩豆腐鸡蛋烩荷兰豆番茄｜乌冬面</x:v>
      </x:c>
      <x:c r="E46" t="n">
        <x:f>'730餐菜单'!N90</x:f>
        <x:v>490</x:v>
      </x:c>
      <x:c r="F46" t="n">
        <x:f>'730餐菜单'!N91</x:f>
        <x:v>496</x:v>
      </x:c>
      <x:c r="G46" t="n">
        <x:f>E46+F46</x:f>
        <x:v>986</x:v>
      </x:c>
      <x:c r="H46" t="n">
        <x:f>'730餐菜单'!O90+'730餐菜单'!O91</x:f>
        <x:v>68.4</x:v>
      </x:c>
      <x:c r="I46" t="n">
        <x:f>'730餐菜单'!P90+'730餐菜单'!P91</x:f>
        <x:v>92.8</x:v>
      </x:c>
      <x:c r="J46" t="n">
        <x:f>'730餐菜单'!Q90+'730餐菜单'!Q91</x:f>
        <x:v>38.6</x:v>
      </x:c>
      <x:c r="K46" t="n">
        <x:f>SUM('食材明细'!F532:F533)+SUM('食材明细'!F538:F539)</x:f>
        <x:v>595</x:v>
      </x:c>
      <x:c r="L46" t="str">
        <x:v>仅午餐+晚餐；早餐、饮奶、水果、零食未计入</x:v>
      </x:c>
    </x:row>
    <x:row r="47" ht="23" customHeight="1">
      <x:c r="A47" t="n">
        <x:v>46</x:v>
      </x:c>
      <x:c r="B47" t="n">
        <x:v>7</x:v>
      </x:c>
      <x:c r="C47" t="str">
        <x:v>葱姜清蒸去皮鸡腿肉配娃娃菜绿豆芽｜荞麦饭</x:v>
      </x:c>
      <x:c r="D47" t="str">
        <x:v>蒜香鲈鱼配紫甘蓝彩椒｜荞麦面</x:v>
      </x:c>
      <x:c r="E47" t="n">
        <x:f>'730餐菜单'!N92</x:f>
        <x:v>474</x:v>
      </x:c>
      <x:c r="F47" t="n">
        <x:f>'730餐菜单'!N93</x:f>
        <x:v>432</x:v>
      </x:c>
      <x:c r="G47" t="n">
        <x:f>E47+F47</x:f>
        <x:v>906</x:v>
      </x:c>
      <x:c r="H47" t="n">
        <x:f>'730餐菜单'!O92+'730餐菜单'!O93</x:f>
        <x:v>92.1</x:v>
      </x:c>
      <x:c r="I47" t="n">
        <x:f>'730餐菜单'!P92+'730餐菜单'!P93</x:f>
        <x:v>81.80000000000001</x:v>
      </x:c>
      <x:c r="J47" t="n">
        <x:f>'730餐菜单'!Q92+'730餐菜单'!Q93</x:f>
        <x:v>26</x:v>
      </x:c>
      <x:c r="K47" t="n">
        <x:f>SUM('食材明细'!F544:F545)+SUM('食材明细'!F550:F551)</x:f>
        <x:v>595</x:v>
      </x:c>
      <x:c r="L47" t="str">
        <x:v>仅午餐+晚餐；早餐、饮奶、水果、零食未计入</x:v>
      </x:c>
    </x:row>
    <x:row r="48" ht="23" customHeight="1">
      <x:c r="A48" t="n">
        <x:v>47</x:v>
      </x:c>
      <x:c r="B48" t="n">
        <x:v>7</x:v>
      </x:c>
      <x:c r="C48" t="str">
        <x:v>香醋瘦牛肉配娃娃菜丝瓜｜山药</x:v>
      </x:c>
      <x:c r="D48" t="str">
        <x:v>椒麻鳕鱼配油麦菜西兰花｜荞麦饭</x:v>
      </x:c>
      <x:c r="E48" t="n">
        <x:f>'730餐菜单'!N94</x:f>
        <x:v>368</x:v>
      </x:c>
      <x:c r="F48" t="n">
        <x:f>'730餐菜单'!N95</x:f>
        <x:v>448</x:v>
      </x:c>
      <x:c r="G48" t="n">
        <x:f>E48+F48</x:f>
        <x:v>816</x:v>
      </x:c>
      <x:c r="H48" t="n">
        <x:f>'730餐菜单'!O94+'730餐菜单'!O95</x:f>
        <x:v>85.9</x:v>
      </x:c>
      <x:c r="I48" t="n">
        <x:f>'730餐菜单'!P94+'730餐菜单'!P95</x:f>
        <x:v>77</x:v>
      </x:c>
      <x:c r="J48" t="n">
        <x:f>'730餐菜单'!Q94+'730餐菜单'!Q95</x:f>
        <x:v>19.1</x:v>
      </x:c>
      <x:c r="K48" t="n">
        <x:f>SUM('食材明细'!F556:F557)+SUM('食材明细'!F562:F563)</x:f>
        <x:v>660</x:v>
      </x:c>
      <x:c r="L48" t="str">
        <x:v>仅午餐+晚餐；早餐、饮奶、水果、零食未计入</x:v>
      </x:c>
    </x:row>
    <x:row r="49" ht="23" customHeight="1">
      <x:c r="A49" t="n">
        <x:v>48</x:v>
      </x:c>
      <x:c r="B49" t="n">
        <x:v>7</x:v>
      </x:c>
      <x:c r="C49" t="str">
        <x:v>剁椒鳕鱼配彩椒丝瓜｜杂粮饭</x:v>
      </x:c>
      <x:c r="D49" t="str">
        <x:v>黑椒虾仁配白萝卜小白菜｜山药</x:v>
      </x:c>
      <x:c r="E49" t="n">
        <x:f>'730餐菜单'!N96</x:f>
        <x:v>449</x:v>
      </x:c>
      <x:c r="F49" t="n">
        <x:f>'730餐菜单'!N97</x:f>
        <x:v>354</x:v>
      </x:c>
      <x:c r="G49" t="n">
        <x:f>E49+F49</x:f>
        <x:v>803</x:v>
      </x:c>
      <x:c r="H49" t="n">
        <x:f>'730餐菜单'!O96+'730餐菜单'!O97</x:f>
        <x:v>81.1</x:v>
      </x:c>
      <x:c r="I49" t="n">
        <x:f>'730餐菜单'!P96+'730餐菜单'!P97</x:f>
        <x:v>78.80000000000001</x:v>
      </x:c>
      <x:c r="J49" t="n">
        <x:f>'730餐菜单'!Q96+'730餐菜单'!Q97</x:f>
        <x:v>18</x:v>
      </x:c>
      <x:c r="K49" t="n">
        <x:f>SUM('食材明细'!F568:F569)+SUM('食材明细'!F574:F575)</x:f>
        <x:v>535</x:v>
      </x:c>
      <x:c r="L49" t="str">
        <x:v>仅午餐+晚餐；早餐、饮奶、水果、零食未计入</x:v>
      </x:c>
    </x:row>
    <x:row r="50" ht="23" customHeight="1">
      <x:c r="A50" t="n">
        <x:v>49</x:v>
      </x:c>
      <x:c r="B50" t="n">
        <x:v>7</x:v>
      </x:c>
      <x:c r="C50" t="str">
        <x:v>豉汁牛里脊配花菜彩椒｜糙米饭</x:v>
      </x:c>
      <x:c r="D50" t="str">
        <x:v>剁椒鸡胸肉配紫甘蓝杏鲍菇｜藜麦饭</x:v>
      </x:c>
      <x:c r="E50" t="n">
        <x:f>'730餐菜单'!N98</x:f>
        <x:v>443</x:v>
      </x:c>
      <x:c r="F50" t="n">
        <x:f>'730餐菜单'!N99</x:f>
        <x:v>527</x:v>
      </x:c>
      <x:c r="G50" t="n">
        <x:f>E50+F50</x:f>
        <x:v>970</x:v>
      </x:c>
      <x:c r="H50" t="n">
        <x:f>'730餐菜单'!O98+'730餐菜单'!O99</x:f>
        <x:v>92.8</x:v>
      </x:c>
      <x:c r="I50" t="n">
        <x:f>'730餐菜单'!P98+'730餐菜单'!P99</x:f>
        <x:v>93.4</x:v>
      </x:c>
      <x:c r="J50" t="n">
        <x:f>'730餐菜单'!Q98+'730餐菜单'!Q99</x:f>
        <x:v>27.6</x:v>
      </x:c>
      <x:c r="K50" t="n">
        <x:f>SUM('食材明细'!F580:F581)+SUM('食材明细'!F586:F587)</x:f>
        <x:v>570</x:v>
      </x:c>
      <x:c r="L50" t="str">
        <x:v>仅午餐+晚餐；早餐、饮奶、水果、零食未计入</x:v>
      </x:c>
    </x:row>
    <x:row r="51" ht="23" customHeight="1">
      <x:c r="A51" t="n">
        <x:v>50</x:v>
      </x:c>
      <x:c r="B51" t="n">
        <x:v>8</x:v>
      </x:c>
      <x:c r="C51" t="str">
        <x:v>豉汁北豆腐鸡蛋烩冬瓜泡发木耳｜山药</x:v>
      </x:c>
      <x:c r="D51" t="str">
        <x:v>清汤虾仁配苦瓜芦笋｜杂粮饭</x:v>
      </x:c>
      <x:c r="E51" t="n">
        <x:f>'730餐菜单'!N100</x:f>
        <x:v>524</x:v>
      </x:c>
      <x:c r="F51" t="n">
        <x:f>'730餐菜单'!N101</x:f>
        <x:v>367</x:v>
      </x:c>
      <x:c r="G51" t="n">
        <x:f>E51+F51</x:f>
        <x:v>891</x:v>
      </x:c>
      <x:c r="H51" t="n">
        <x:f>'730餐菜单'!O100+'730餐菜单'!O101</x:f>
        <x:v>79.69999999999999</x:v>
      </x:c>
      <x:c r="I51" t="n">
        <x:f>'730餐菜单'!P100+'730餐菜单'!P101</x:f>
        <x:v>75.6</x:v>
      </x:c>
      <x:c r="J51" t="n">
        <x:f>'730餐菜单'!Q100+'730餐菜单'!Q101</x:f>
        <x:v>33.7</x:v>
      </x:c>
      <x:c r="K51" t="n">
        <x:f>SUM('食材明细'!F592:F593)+SUM('食材明细'!F598:F599)</x:f>
        <x:v>595</x:v>
      </x:c>
      <x:c r="L51" t="str">
        <x:v>仅午餐+晚餐；早餐、饮奶、水果、零食未计入</x:v>
      </x:c>
    </x:row>
    <x:row r="52" ht="23" customHeight="1">
      <x:c r="A52" t="n">
        <x:v>51</x:v>
      </x:c>
      <x:c r="B52" t="n">
        <x:v>8</x:v>
      </x:c>
      <x:c r="C52" t="str">
        <x:v>剁椒北豆腐鸡蛋烩花菜洋葱｜白米饭</x:v>
      </x:c>
      <x:c r="D52" t="str">
        <x:v>蒜香鸡蛋嫩豆腐烩芦笋口蘑｜紫薯</x:v>
      </x:c>
      <x:c r="E52" t="n">
        <x:f>'730餐菜单'!N102</x:f>
        <x:v>585</x:v>
      </x:c>
      <x:c r="F52" t="n">
        <x:f>'730餐菜单'!N103</x:f>
        <x:v>416</x:v>
      </x:c>
      <x:c r="G52" t="n">
        <x:f>E52+F52</x:f>
        <x:v>1001</x:v>
      </x:c>
      <x:c r="H52" t="n">
        <x:f>'730餐菜单'!O102+'730餐菜单'!O103</x:f>
        <x:v>71.8</x:v>
      </x:c>
      <x:c r="I52" t="n">
        <x:f>'730餐菜单'!P102+'730餐菜单'!P103</x:f>
        <x:v>88.9</x:v>
      </x:c>
      <x:c r="J52" t="n">
        <x:f>'730餐菜单'!Q102+'730餐菜单'!Q103</x:f>
        <x:v>44.2</x:v>
      </x:c>
      <x:c r="K52" t="n">
        <x:f>SUM('食材明细'!F604:F605)+SUM('食材明细'!F610:F611)</x:f>
        <x:v>600</x:v>
      </x:c>
      <x:c r="L52" t="str">
        <x:v>仅午餐+晚餐；早餐、饮奶、水果、零食未计入</x:v>
      </x:c>
    </x:row>
    <x:row r="53" ht="23" customHeight="1">
      <x:c r="A53" t="n">
        <x:v>52</x:v>
      </x:c>
      <x:c r="B53" t="n">
        <x:v>8</x:v>
      </x:c>
      <x:c r="C53" t="str">
        <x:v>蒜香猪里脊配芹菜冬瓜｜红薯</x:v>
      </x:c>
      <x:c r="D53" t="str">
        <x:v>咖喱牛里脊配紫甘蓝金针菇｜白米饭</x:v>
      </x:c>
      <x:c r="E53" t="n">
        <x:f>'730餐菜单'!N104</x:f>
        <x:v>404</x:v>
      </x:c>
      <x:c r="F53" t="n">
        <x:f>'730餐菜单'!N105</x:f>
        <x:v>466</x:v>
      </x:c>
      <x:c r="G53" t="n">
        <x:f>E53+F53</x:f>
        <x:v>870</x:v>
      </x:c>
      <x:c r="H53" t="n">
        <x:f>'730餐菜单'!O104+'730餐菜单'!O105</x:f>
        <x:v>80.1</x:v>
      </x:c>
      <x:c r="I53" t="n">
        <x:f>'730餐菜单'!P104+'730餐菜单'!P105</x:f>
        <x:v>79.80000000000001</x:v>
      </x:c>
      <x:c r="J53" t="n">
        <x:f>'730餐菜单'!Q104+'730餐菜单'!Q105</x:f>
        <x:v>26.700000000000003</x:v>
      </x:c>
      <x:c r="K53" t="n">
        <x:f>SUM('食材明细'!F616:F617)+SUM('食材明细'!F622:F623)</x:f>
        <x:v>580</x:v>
      </x:c>
      <x:c r="L53" t="str">
        <x:v>仅午餐+晚餐；早餐、饮奶、水果、零食未计入</x:v>
      </x:c>
    </x:row>
    <x:row r="54" ht="23" customHeight="1">
      <x:c r="A54" t="n">
        <x:v>53</x:v>
      </x:c>
      <x:c r="B54" t="n">
        <x:v>8</x:v>
      </x:c>
      <x:c r="C54" t="str">
        <x:v>蒜香花蛤肉配小白菜口蘑｜土豆</x:v>
      </x:c>
      <x:c r="D54" t="str">
        <x:v>蒜香虾仁配小白菜海带｜藜麦饭</x:v>
      </x:c>
      <x:c r="E54" t="n">
        <x:f>'730餐菜单'!N106</x:f>
        <x:v>366</x:v>
      </x:c>
      <x:c r="F54" t="n">
        <x:f>'730餐菜单'!N107</x:f>
        <x:v>514</x:v>
      </x:c>
      <x:c r="G54" t="n">
        <x:f>E54+F54</x:f>
        <x:v>880</x:v>
      </x:c>
      <x:c r="H54" t="n">
        <x:f>'730餐菜单'!O106+'730餐菜单'!O107</x:f>
        <x:v>87.2</x:v>
      </x:c>
      <x:c r="I54" t="n">
        <x:f>'730餐菜单'!P106+'730餐菜单'!P107</x:f>
        <x:v>82.9</x:v>
      </x:c>
      <x:c r="J54" t="n">
        <x:f>'730餐菜单'!Q106+'730餐菜单'!Q107</x:f>
        <x:v>23.900000000000002</x:v>
      </x:c>
      <x:c r="K54" t="n">
        <x:f>SUM('食材明细'!F628:F629)+SUM('食材明细'!F634:F635)</x:f>
        <x:v>585</x:v>
      </x:c>
      <x:c r="L54" t="str">
        <x:v>仅午餐+晚餐；早餐、饮奶、水果、零食未计入</x:v>
      </x:c>
    </x:row>
    <x:row r="55" ht="23" customHeight="1">
      <x:c r="A55" t="n">
        <x:v>54</x:v>
      </x:c>
      <x:c r="B55" t="n">
        <x:v>8</x:v>
      </x:c>
      <x:c r="C55" t="str">
        <x:v>孜然鸡胸肉配白萝卜芦笋｜糙米饭</x:v>
      </x:c>
      <x:c r="D55" t="str">
        <x:v>番茄牛腱子配口蘑｜荞麦饭</x:v>
      </x:c>
      <x:c r="E55" t="n">
        <x:f>'730餐菜单'!N108</x:f>
        <x:v>485</x:v>
      </x:c>
      <x:c r="F55" t="n">
        <x:f>'730餐菜单'!N109</x:f>
        <x:v>480</x:v>
      </x:c>
      <x:c r="G55" t="n">
        <x:f>E55+F55</x:f>
        <x:v>965</x:v>
      </x:c>
      <x:c r="H55" t="n">
        <x:f>'730餐菜单'!O108+'730餐菜单'!O109</x:f>
        <x:v>99.8</x:v>
      </x:c>
      <x:c r="I55" t="n">
        <x:f>'730餐菜单'!P108+'730餐菜单'!P109</x:f>
        <x:v>79.69999999999999</x:v>
      </x:c>
      <x:c r="J55" t="n">
        <x:f>'730餐菜单'!Q108+'730餐菜单'!Q109</x:f>
        <x:v>29.9</x:v>
      </x:c>
      <x:c r="K55" t="n">
        <x:f>SUM('食材明细'!F640:F641)+SUM('食材明细'!F646:F647)</x:f>
        <x:v>580</x:v>
      </x:c>
      <x:c r="L55" t="str">
        <x:v>仅午餐+晚餐；早餐、饮奶、水果、零食未计入</x:v>
      </x:c>
    </x:row>
    <x:row r="56" ht="23" customHeight="1">
      <x:c r="A56" t="n">
        <x:v>55</x:v>
      </x:c>
      <x:c r="B56" t="n">
        <x:v>8</x:v>
      </x:c>
      <x:c r="C56" t="str">
        <x:v>香醋瘦牛肉配菜心洋葱｜玉米</x:v>
      </x:c>
      <x:c r="D56" t="str">
        <x:v>蚝香猪里脊配白萝卜彩椒｜玉米</x:v>
      </x:c>
      <x:c r="E56" t="n">
        <x:f>'730餐菜单'!N110</x:f>
        <x:v>510</x:v>
      </x:c>
      <x:c r="F56" t="n">
        <x:f>'730餐菜单'!N111</x:f>
        <x:v>446</x:v>
      </x:c>
      <x:c r="G56" t="n">
        <x:f>E56+F56</x:f>
        <x:v>956</x:v>
      </x:c>
      <x:c r="H56" t="n">
        <x:f>'730餐菜单'!O110+'730餐菜单'!O111</x:f>
        <x:v>91</x:v>
      </x:c>
      <x:c r="I56" t="n">
        <x:f>'730餐菜单'!P110+'730餐菜单'!P111</x:f>
        <x:v>92.8</x:v>
      </x:c>
      <x:c r="J56" t="n">
        <x:f>'730餐菜单'!Q110+'730餐菜单'!Q111</x:f>
        <x:v>27.6</x:v>
      </x:c>
      <x:c r="K56" t="n">
        <x:f>SUM('食材明细'!F652:F653)+SUM('食材明细'!F658:F659)</x:f>
        <x:v>550</x:v>
      </x:c>
      <x:c r="L56" t="str">
        <x:v>仅午餐+晚餐；早餐、饮奶、水果、零食未计入</x:v>
      </x:c>
    </x:row>
    <x:row r="57" ht="23" customHeight="1">
      <x:c r="A57" t="n">
        <x:v>56</x:v>
      </x:c>
      <x:c r="B57" t="n">
        <x:v>8</x:v>
      </x:c>
      <x:c r="C57" t="str">
        <x:v>葱姜清蒸鸡胸肉配菠菜口蘑｜全麦面</x:v>
      </x:c>
      <x:c r="D57" t="str">
        <x:v>酸汤嫩豆腐配大白菜番茄｜燕麦饭</x:v>
      </x:c>
      <x:c r="E57" t="n">
        <x:f>'730餐菜单'!N112</x:f>
        <x:v>528</x:v>
      </x:c>
      <x:c r="F57" t="n">
        <x:f>'730餐菜单'!N113</x:f>
        <x:v>419</x:v>
      </x:c>
      <x:c r="G57" t="n">
        <x:f>E57+F57</x:f>
        <x:v>947</x:v>
      </x:c>
      <x:c r="H57" t="n">
        <x:f>'730餐菜单'!O112+'730餐菜单'!O113</x:f>
        <x:v>86.5</x:v>
      </x:c>
      <x:c r="I57" t="n">
        <x:f>'730餐菜单'!P112+'730餐菜单'!P113</x:f>
        <x:v>90.5</x:v>
      </x:c>
      <x:c r="J57" t="n">
        <x:f>'730餐菜单'!Q112+'730餐菜单'!Q113</x:f>
        <x:v>30.700000000000003</x:v>
      </x:c>
      <x:c r="K57" t="n">
        <x:f>SUM('食材明细'!F664:F665)+SUM('食材明细'!F670:F671)</x:f>
        <x:v>660</x:v>
      </x:c>
      <x:c r="L57" t="str">
        <x:v>仅午餐+晚餐；早餐、饮奶、水果、零食未计入</x:v>
      </x:c>
    </x:row>
    <x:row r="58" ht="23" customHeight="1">
      <x:c r="A58" t="n">
        <x:v>57</x:v>
      </x:c>
      <x:c r="B58" t="n">
        <x:v>9</x:v>
      </x:c>
      <x:c r="C58" t="str">
        <x:v>香醋瘦牛肉配菠菜杏鲍菇｜魔芋丝</x:v>
      </x:c>
      <x:c r="D58" t="str">
        <x:v>椒麻鱿鱼配四季豆香菇｜米粉</x:v>
      </x:c>
      <x:c r="E58" t="n">
        <x:f>'730餐菜单'!N114</x:f>
        <x:v>375</x:v>
      </x:c>
      <x:c r="F58" t="n">
        <x:f>'730餐菜单'!N115</x:f>
        <x:v>381</x:v>
      </x:c>
      <x:c r="G58" t="n">
        <x:f>E58+F58</x:f>
        <x:v>756</x:v>
      </x:c>
      <x:c r="H58" t="n">
        <x:f>'730餐菜单'!O114+'730餐菜单'!O115</x:f>
        <x:v>80.6</x:v>
      </x:c>
      <x:c r="I58" t="n">
        <x:f>'730餐菜单'!P114+'730餐菜单'!P115</x:f>
        <x:v>66.3</x:v>
      </x:c>
      <x:c r="J58" t="n">
        <x:f>'730餐菜单'!Q114+'730餐菜单'!Q115</x:f>
        <x:v>19.8</x:v>
      </x:c>
      <x:c r="K58" t="n">
        <x:f>SUM('食材明细'!F676:F677)+SUM('食材明细'!F682:F683)</x:f>
        <x:v>530</x:v>
      </x:c>
      <x:c r="L58" t="str">
        <x:v>仅午餐+晚餐；早餐、饮奶、水果、零食未计入</x:v>
      </x:c>
    </x:row>
    <x:row r="59" ht="23" customHeight="1">
      <x:c r="A59" t="n">
        <x:v>58</x:v>
      </x:c>
      <x:c r="B59" t="n">
        <x:v>9</x:v>
      </x:c>
      <x:c r="C59" t="str">
        <x:v>酸汤去皮鸡腿肉配芦笋紫甘蓝｜糙米饭</x:v>
      </x:c>
      <x:c r="D59" t="str">
        <x:v>酸汤花蛤肉配番茄金针菇｜糙米饭</x:v>
      </x:c>
      <x:c r="E59" t="n">
        <x:f>'730餐菜单'!N116</x:f>
        <x:v>566</x:v>
      </x:c>
      <x:c r="F59" t="n">
        <x:f>'730餐菜单'!N117</x:f>
        <x:v>400</x:v>
      </x:c>
      <x:c r="G59" t="n">
        <x:f>E59+F59</x:f>
        <x:v>966</x:v>
      </x:c>
      <x:c r="H59" t="n">
        <x:f>'730餐菜单'!O116+'730餐菜单'!O117</x:f>
        <x:v>87.7</x:v>
      </x:c>
      <x:c r="I59" t="n">
        <x:f>'730餐菜单'!P116+'730餐菜单'!P117</x:f>
        <x:v>98.3</x:v>
      </x:c>
      <x:c r="J59" t="n">
        <x:f>'730餐菜单'!Q116+'730餐菜单'!Q117</x:f>
        <x:v>27.3</x:v>
      </x:c>
      <x:c r="K59" t="n">
        <x:f>SUM('食材明细'!F688:F689)+SUM('食材明细'!F694:F695)</x:f>
        <x:v>630</x:v>
      </x:c>
      <x:c r="L59" t="str">
        <x:v>仅午餐+晚餐；早餐、饮奶、水果、零食未计入</x:v>
      </x:c>
    </x:row>
    <x:row r="60" ht="23" customHeight="1">
      <x:c r="A60" t="n">
        <x:v>59</x:v>
      </x:c>
      <x:c r="B60" t="n">
        <x:v>9</x:v>
      </x:c>
      <x:c r="C60" t="str">
        <x:v>菌菇鱿鱼配苦瓜口蘑｜乌冬面</x:v>
      </x:c>
      <x:c r="D60" t="str">
        <x:v>番茄虾仁配黄瓜｜糙米饭</x:v>
      </x:c>
      <x:c r="E60" t="n">
        <x:f>'730餐菜单'!N118</x:f>
        <x:v>418</x:v>
      </x:c>
      <x:c r="F60" t="n">
        <x:f>'730餐菜单'!N119</x:f>
        <x:v>363</x:v>
      </x:c>
      <x:c r="G60" t="n">
        <x:f>E60+F60</x:f>
        <x:v>781</x:v>
      </x:c>
      <x:c r="H60" t="n">
        <x:f>'730餐菜单'!O118+'730餐菜单'!O119</x:f>
        <x:v>79.2</x:v>
      </x:c>
      <x:c r="I60" t="n">
        <x:f>'730餐菜单'!P118+'730餐菜单'!P119</x:f>
        <x:v>78.80000000000001</x:v>
      </x:c>
      <x:c r="J60" t="n">
        <x:f>'730餐菜单'!Q118+'730餐菜单'!Q119</x:f>
        <x:v>16.4</x:v>
      </x:c>
      <x:c r="K60" t="n">
        <x:f>SUM('食材明细'!F700:F701)+SUM('食材明细'!F706:F707)</x:f>
        <x:v>645</x:v>
      </x:c>
      <x:c r="L60" t="str">
        <x:v>仅午餐+晚餐；早餐、饮奶、水果、零食未计入</x:v>
      </x:c>
    </x:row>
    <x:row r="61" ht="23" customHeight="1">
      <x:c r="A61" t="n">
        <x:v>60</x:v>
      </x:c>
      <x:c r="B61" t="n">
        <x:v>9</x:v>
      </x:c>
      <x:c r="C61" t="str">
        <x:v>葱姜清蒸虾仁配荷兰豆口蘑｜杂粮饭</x:v>
      </x:c>
      <x:c r="D61" t="str">
        <x:v>番茄鸡胸肉配绿豆芽｜杂粮饭</x:v>
      </x:c>
      <x:c r="E61" t="n">
        <x:f>'730餐菜单'!N120</x:f>
        <x:v>434</x:v>
      </x:c>
      <x:c r="F61" t="n">
        <x:f>'730餐菜单'!N121</x:f>
        <x:v>486</x:v>
      </x:c>
      <x:c r="G61" t="n">
        <x:f>E61+F61</x:f>
        <x:v>920</x:v>
      </x:c>
      <x:c r="H61" t="n">
        <x:f>'730餐菜单'!O120+'730餐菜单'!O121</x:f>
        <x:v>98.5</x:v>
      </x:c>
      <x:c r="I61" t="n">
        <x:f>'730餐菜单'!P120+'730餐菜单'!P121</x:f>
        <x:v>88.8</x:v>
      </x:c>
      <x:c r="J61" t="n">
        <x:f>'730餐菜单'!Q120+'730餐菜单'!Q121</x:f>
        <x:v>21.9</x:v>
      </x:c>
      <x:c r="K61" t="n">
        <x:f>SUM('食材明细'!F712:F713)+SUM('食材明细'!F718:F719)</x:f>
        <x:v>580</x:v>
      </x:c>
      <x:c r="L61" t="str">
        <x:v>仅午餐+晚餐；早餐、饮奶、水果、零食未计入</x:v>
      </x:c>
    </x:row>
    <x:row r="62" ht="23" customHeight="1">
      <x:c r="A62" t="n">
        <x:v>61</x:v>
      </x:c>
      <x:c r="B62" t="n">
        <x:v>9</x:v>
      </x:c>
      <x:c r="C62" t="str">
        <x:v>清汤瘦牛肉配冬瓜丝瓜｜红薯</x:v>
      </x:c>
      <x:c r="D62" t="str">
        <x:v>蒜香北豆腐鸡蛋烩黄瓜彩椒｜糙米饭</x:v>
      </x:c>
      <x:c r="E62" t="n">
        <x:f>'730餐菜单'!N122</x:f>
        <x:v>498</x:v>
      </x:c>
      <x:c r="F62" t="n">
        <x:f>'730餐菜单'!N123</x:f>
        <x:v>513</x:v>
      </x:c>
      <x:c r="G62" t="n">
        <x:f>E62+F62</x:f>
        <x:v>1011</x:v>
      </x:c>
      <x:c r="H62" t="n">
        <x:f>'730餐菜单'!O122+'730餐菜单'!O123</x:f>
        <x:v>86.5</x:v>
      </x:c>
      <x:c r="I62" t="n">
        <x:f>'730餐菜单'!P122+'730餐菜单'!P123</x:f>
        <x:v>77.80000000000001</x:v>
      </x:c>
      <x:c r="J62" t="n">
        <x:f>'730餐菜单'!Q122+'730餐菜单'!Q123</x:f>
        <x:v>40.900000000000006</x:v>
      </x:c>
      <x:c r="K62" t="n">
        <x:f>SUM('食材明细'!F724:F725)+SUM('食材明细'!F730:F731)</x:f>
        <x:v>570</x:v>
      </x:c>
      <x:c r="L62" t="str">
        <x:v>仅午餐+晚餐；早餐、饮奶、水果、零食未计入</x:v>
      </x:c>
    </x:row>
    <x:row r="63" ht="23" customHeight="1">
      <x:c r="A63" t="n">
        <x:v>62</x:v>
      </x:c>
      <x:c r="B63" t="n">
        <x:v>9</x:v>
      </x:c>
      <x:c r="C63" t="str">
        <x:v>葱姜清蒸巴沙鱼配荷兰豆小白菜｜杂粮饭</x:v>
      </x:c>
      <x:c r="D63" t="str">
        <x:v>葱姜清蒸花蛤肉配番茄香菇｜乌冬面</x:v>
      </x:c>
      <x:c r="E63" t="n">
        <x:f>'730餐菜单'!N124</x:f>
        <x:v>434</x:v>
      </x:c>
      <x:c r="F63" t="n">
        <x:f>'730餐菜单'!N125</x:f>
        <x:v>486</x:v>
      </x:c>
      <x:c r="G63" t="n">
        <x:f>E63+F63</x:f>
        <x:v>920</x:v>
      </x:c>
      <x:c r="H63" t="n">
        <x:f>'730餐菜单'!O124+'730餐菜单'!O125</x:f>
        <x:v>81.4</x:v>
      </x:c>
      <x:c r="I63" t="n">
        <x:f>'730餐菜单'!P124+'730餐菜单'!P125</x:f>
        <x:v>103.5</x:v>
      </x:c>
      <x:c r="J63" t="n">
        <x:f>'730餐菜单'!Q124+'730餐菜单'!Q125</x:f>
        <x:v>20.7</x:v>
      </x:c>
      <x:c r="K63" t="n">
        <x:f>SUM('食材明细'!F736:F737)+SUM('食材明细'!F742:F743)</x:f>
        <x:v>545</x:v>
      </x:c>
      <x:c r="L63" t="str">
        <x:v>仅午餐+晚餐；早餐、饮奶、水果、零食未计入</x:v>
      </x:c>
    </x:row>
    <x:row r="64" ht="23" customHeight="1">
      <x:c r="A64" t="n">
        <x:v>63</x:v>
      </x:c>
      <x:c r="B64" t="n">
        <x:v>9</x:v>
      </x:c>
      <x:c r="C64" t="str">
        <x:v>清汤鸡胸肉配荷兰豆番茄｜荞麦饭</x:v>
      </x:c>
      <x:c r="D64" t="str">
        <x:v>椒麻鳕鱼配生菜花菜｜杂粮饭</x:v>
      </x:c>
      <x:c r="E64" t="n">
        <x:f>'730餐菜单'!N126</x:f>
        <x:v>475</x:v>
      </x:c>
      <x:c r="F64" t="n">
        <x:f>'730餐菜单'!N127</x:f>
        <x:v>484</x:v>
      </x:c>
      <x:c r="G64" t="n">
        <x:f>E64+F64</x:f>
        <x:v>959</x:v>
      </x:c>
      <x:c r="H64" t="n">
        <x:f>'730餐菜单'!O126+'730餐菜单'!O127</x:f>
        <x:v>97.19999999999999</x:v>
      </x:c>
      <x:c r="I64" t="n">
        <x:f>'730餐菜单'!P126+'730餐菜单'!P127</x:f>
        <x:v>96.19999999999999</x:v>
      </x:c>
      <x:c r="J64" t="n">
        <x:f>'730餐菜单'!Q126+'730餐菜单'!Q127</x:f>
        <x:v>22.4</x:v>
      </x:c>
      <x:c r="K64" t="n">
        <x:f>SUM('食材明细'!F748:F749)+SUM('食材明细'!F754:F755)</x:f>
        <x:v>630</x:v>
      </x:c>
      <x:c r="L64" t="str">
        <x:v>仅午餐+晚餐；早餐、饮奶、水果、零食未计入</x:v>
      </x:c>
    </x:row>
    <x:row r="65" ht="23" customHeight="1">
      <x:c r="A65" t="n">
        <x:v>64</x:v>
      </x:c>
      <x:c r="B65" t="n">
        <x:v>10</x:v>
      </x:c>
      <x:c r="C65" t="str">
        <x:v>豉汁鳕鱼配芹菜泡发木耳｜杂粮饭</x:v>
      </x:c>
      <x:c r="D65" t="str">
        <x:v>番茄鸡胸肉配黄瓜｜杂粮饭</x:v>
      </x:c>
      <x:c r="E65" t="n">
        <x:f>'730餐菜单'!N128</x:f>
        <x:v>479</x:v>
      </x:c>
      <x:c r="F65" t="n">
        <x:f>'730餐菜单'!N129</x:f>
        <x:v>374</x:v>
      </x:c>
      <x:c r="G65" t="n">
        <x:f>E65+F65</x:f>
        <x:v>853</x:v>
      </x:c>
      <x:c r="H65" t="n">
        <x:f>'730餐菜单'!O128+'730餐菜单'!O129</x:f>
        <x:v>89.9</x:v>
      </x:c>
      <x:c r="I65" t="n">
        <x:f>'730餐菜单'!P128+'730餐菜单'!P129</x:f>
        <x:v>87.5</x:v>
      </x:c>
      <x:c r="J65" t="n">
        <x:f>'730餐菜单'!Q128+'730餐菜单'!Q129</x:f>
        <x:v>16.7</x:v>
      </x:c>
      <x:c r="K65" t="n">
        <x:f>SUM('食材明细'!F760:F761)+SUM('食材明细'!F766:F767)</x:f>
        <x:v>600</x:v>
      </x:c>
      <x:c r="L65" t="str">
        <x:v>仅午餐+晚餐；早餐、饮奶、水果、零食未计入</x:v>
      </x:c>
    </x:row>
    <x:row r="66" ht="23" customHeight="1">
      <x:c r="A66" t="n">
        <x:v>65</x:v>
      </x:c>
      <x:c r="B66" t="n">
        <x:v>10</x:v>
      </x:c>
      <x:c r="C66" t="str">
        <x:v>菌菇猪里脊配娃娃菜杏鲍菇｜藜麦饭</x:v>
      </x:c>
      <x:c r="D66" t="str">
        <x:v>菌菇鳕鱼配黄瓜香菇｜玉米</x:v>
      </x:c>
      <x:c r="E66" t="n">
        <x:f>'730餐菜单'!N130</x:f>
        <x:v>616</x:v>
      </x:c>
      <x:c r="F66" t="n">
        <x:f>'730餐菜单'!N131</x:f>
        <x:v>524</x:v>
      </x:c>
      <x:c r="G66" t="n">
        <x:f>E66+F66</x:f>
        <x:v>1140</x:v>
      </x:c>
      <x:c r="H66" t="n">
        <x:f>'730餐菜单'!O130+'730餐菜单'!O131</x:f>
        <x:v>112.7</x:v>
      </x:c>
      <x:c r="I66" t="n">
        <x:f>'730餐菜单'!P130+'730餐菜单'!P131</x:f>
        <x:v>102.5</x:v>
      </x:c>
      <x:c r="J66" t="n">
        <x:f>'730餐菜单'!Q130+'730餐菜单'!Q131</x:f>
        <x:v>33.4</x:v>
      </x:c>
      <x:c r="K66" t="n">
        <x:f>SUM('食材明细'!F772:F773)+SUM('食材明细'!F778:F779)</x:f>
        <x:v>660</x:v>
      </x:c>
      <x:c r="L66" t="str">
        <x:v>仅午餐+晚餐；早餐、饮奶、水果、零食未计入</x:v>
      </x:c>
    </x:row>
    <x:row r="67" ht="23" customHeight="1">
      <x:c r="A67" t="n">
        <x:v>66</x:v>
      </x:c>
      <x:c r="B67" t="n">
        <x:v>10</x:v>
      </x:c>
      <x:c r="C67" t="str">
        <x:v>蒜香花蛤肉配芦笋口蘑｜红薯</x:v>
      </x:c>
      <x:c r="D67" t="str">
        <x:v>酸汤鲈鱼配丝瓜玉米笋｜玉米</x:v>
      </x:c>
      <x:c r="E67" t="n">
        <x:f>'730餐菜单'!N132</x:f>
        <x:v>392</x:v>
      </x:c>
      <x:c r="F67" t="n">
        <x:f>'730餐菜单'!N133</x:f>
        <x:v>418</x:v>
      </x:c>
      <x:c r="G67" t="n">
        <x:f>E67+F67</x:f>
        <x:v>810</x:v>
      </x:c>
      <x:c r="H67" t="n">
        <x:f>'730餐菜单'!O132+'730餐菜单'!O133</x:f>
        <x:v>78.4</x:v>
      </x:c>
      <x:c r="I67" t="n">
        <x:f>'730餐菜单'!P132+'730餐菜单'!P133</x:f>
        <x:v>88.80000000000001</x:v>
      </x:c>
      <x:c r="J67" t="n">
        <x:f>'730餐菜单'!Q132+'730餐菜单'!Q133</x:f>
        <x:v>19.299999999999997</x:v>
      </x:c>
      <x:c r="K67" t="n">
        <x:f>SUM('食材明细'!F784:F785)+SUM('食材明细'!F790:F791)</x:f>
        <x:v>595</x:v>
      </x:c>
      <x:c r="L67" t="str">
        <x:v>仅午餐+晚餐；早餐、饮奶、水果、零食未计入</x:v>
      </x:c>
    </x:row>
    <x:row r="68" ht="23" customHeight="1">
      <x:c r="A68" t="n">
        <x:v>67</x:v>
      </x:c>
      <x:c r="B68" t="n">
        <x:v>10</x:v>
      </x:c>
      <x:c r="C68" t="str">
        <x:v>豉汁鸡蛋嫩豆腐烩菠菜娃娃菜｜红薯</x:v>
      </x:c>
      <x:c r="D68" t="str">
        <x:v>清汤去皮鸡腿肉配荷兰豆香菇｜糙米饭</x:v>
      </x:c>
      <x:c r="E68" t="n">
        <x:f>'730餐菜单'!N134</x:f>
        <x:v>448</x:v>
      </x:c>
      <x:c r="F68" t="n">
        <x:f>'730餐菜单'!N135</x:f>
        <x:v>500</x:v>
      </x:c>
      <x:c r="G68" t="n">
        <x:f>E68+F68</x:f>
        <x:v>948</x:v>
      </x:c>
      <x:c r="H68" t="n">
        <x:f>'730餐菜单'!O134+'730餐菜单'!O135</x:f>
        <x:v>74.19999999999999</x:v>
      </x:c>
      <x:c r="I68" t="n">
        <x:f>'730餐菜单'!P134+'730餐菜单'!P135</x:f>
        <x:v>91.5</x:v>
      </x:c>
      <x:c r="J68" t="n">
        <x:f>'730餐菜单'!Q134+'730餐菜单'!Q135</x:f>
        <x:v>34.900000000000006</x:v>
      </x:c>
      <x:c r="K68" t="n">
        <x:f>SUM('食材明细'!F796:F797)+SUM('食材明细'!F802:F803)</x:f>
        <x:v>615</x:v>
      </x:c>
      <x:c r="L68" t="str">
        <x:v>仅午餐+晚餐；早餐、饮奶、水果、零食未计入</x:v>
      </x:c>
    </x:row>
    <x:row r="69" ht="23" customHeight="1">
      <x:c r="A69" t="n">
        <x:v>68</x:v>
      </x:c>
      <x:c r="B69" t="n">
        <x:v>10</x:v>
      </x:c>
      <x:c r="C69" t="str">
        <x:v>豉汁鱿鱼配大白菜彩椒｜玉米</x:v>
      </x:c>
      <x:c r="D69" t="str">
        <x:v>豉汁鸡胸肉配西葫芦莴笋｜全麦面</x:v>
      </x:c>
      <x:c r="E69" t="n">
        <x:f>'730餐菜单'!N136</x:f>
        <x:v>405</x:v>
      </x:c>
      <x:c r="F69" t="n">
        <x:f>'730餐菜单'!N137</x:f>
        <x:v>451</x:v>
      </x:c>
      <x:c r="G69" t="n">
        <x:f>E69+F69</x:f>
        <x:v>856</x:v>
      </x:c>
      <x:c r="H69" t="n">
        <x:f>'730餐菜单'!O136+'730餐菜单'!O137</x:f>
        <x:v>86.8</x:v>
      </x:c>
      <x:c r="I69" t="n">
        <x:f>'730餐菜单'!P136+'730餐菜单'!P137</x:f>
        <x:v>87.80000000000001</x:v>
      </x:c>
      <x:c r="J69" t="n">
        <x:f>'730餐菜单'!Q136+'730餐菜单'!Q137</x:f>
        <x:v>20.299999999999997</x:v>
      </x:c>
      <x:c r="K69" t="n">
        <x:f>SUM('食材明细'!F808:F809)+SUM('食材明细'!F814:F815)</x:f>
        <x:v>565</x:v>
      </x:c>
      <x:c r="L69" t="str">
        <x:v>仅午餐+晚餐；早餐、饮奶、水果、零食未计入</x:v>
      </x:c>
    </x:row>
    <x:row r="70" ht="23" customHeight="1">
      <x:c r="A70" t="n">
        <x:v>69</x:v>
      </x:c>
      <x:c r="B70" t="n">
        <x:v>10</x:v>
      </x:c>
      <x:c r="C70" t="str">
        <x:v>清汤虾仁配油麦菜小白菜｜红薯</x:v>
      </x:c>
      <x:c r="D70" t="str">
        <x:v>香醋鸡蛋嫩豆腐烩小白菜金针菇｜土豆</x:v>
      </x:c>
      <x:c r="E70" t="n">
        <x:f>'730餐菜单'!N138</x:f>
        <x:v>386</x:v>
      </x:c>
      <x:c r="F70" t="n">
        <x:f>'730餐菜单'!N139</x:f>
        <x:v>476</x:v>
      </x:c>
      <x:c r="G70" t="n">
        <x:f>E70+F70</x:f>
        <x:v>862</x:v>
      </x:c>
      <x:c r="H70" t="n">
        <x:f>'730餐菜单'!O138+'730餐菜单'!O139</x:f>
        <x:v>72.1</x:v>
      </x:c>
      <x:c r="I70" t="n">
        <x:f>'730餐菜单'!P138+'730餐菜单'!P139</x:f>
        <x:v>81.5</x:v>
      </x:c>
      <x:c r="J70" t="n">
        <x:f>'730餐菜单'!Q138+'730餐菜单'!Q139</x:f>
        <x:v>29.400000000000002</x:v>
      </x:c>
      <x:c r="K70" t="n">
        <x:f>SUM('食材明细'!F820:F821)+SUM('食材明细'!F826:F827)</x:f>
        <x:v>675</x:v>
      </x:c>
      <x:c r="L70" t="str">
        <x:v>仅午餐+晚餐；早餐、饮奶、水果、零食未计入</x:v>
      </x:c>
    </x:row>
    <x:row r="71" ht="23" customHeight="1">
      <x:c r="A71" t="n">
        <x:v>70</x:v>
      </x:c>
      <x:c r="B71" t="n">
        <x:v>10</x:v>
      </x:c>
      <x:c r="C71" t="str">
        <x:v>香醋鸡胸肉配娃娃菜荷兰豆｜紫薯</x:v>
      </x:c>
      <x:c r="D71" t="str">
        <x:v>豉汁鸡蛋嫩豆腐烩芦笋口蘑｜白米饭</x:v>
      </x:c>
      <x:c r="E71" t="n">
        <x:f>'730餐菜单'!N140</x:f>
        <x:v>456</x:v>
      </x:c>
      <x:c r="F71" t="n">
        <x:f>'730餐菜单'!N141</x:f>
        <x:v>467</x:v>
      </x:c>
      <x:c r="G71" t="n">
        <x:f>E71+F71</x:f>
        <x:v>923</x:v>
      </x:c>
      <x:c r="H71" t="n">
        <x:f>'730餐菜单'!O140+'730餐菜单'!O141</x:f>
        <x:v>82.3</x:v>
      </x:c>
      <x:c r="I71" t="n">
        <x:f>'730餐菜单'!P140+'730餐菜单'!P141</x:f>
        <x:v>91.19999999999999</x:v>
      </x:c>
      <x:c r="J71" t="n">
        <x:f>'730餐菜单'!Q140+'730餐菜单'!Q141</x:f>
        <x:v>27.9</x:v>
      </x:c>
      <x:c r="K71" t="n">
        <x:f>SUM('食材明细'!F832:F833)+SUM('食材明细'!F838:F839)</x:f>
        <x:v>585</x:v>
      </x:c>
      <x:c r="L71" t="str">
        <x:v>仅午餐+晚餐；早餐、饮奶、水果、零食未计入</x:v>
      </x:c>
    </x:row>
    <x:row r="72" ht="23" customHeight="1">
      <x:c r="A72" t="n">
        <x:v>71</x:v>
      </x:c>
      <x:c r="B72" t="n">
        <x:v>11</x:v>
      </x:c>
      <x:c r="C72" t="str">
        <x:v>黑椒肥牛卷北豆腐烩白萝卜丝瓜｜全麦面</x:v>
      </x:c>
      <x:c r="D72" t="str">
        <x:v>椒麻鳕鱼配茼蒿玉米笋｜白米饭</x:v>
      </x:c>
      <x:c r="E72" t="n">
        <x:f>'730餐菜单'!N142</x:f>
        <x:v>541</x:v>
      </x:c>
      <x:c r="F72" t="n">
        <x:f>'730餐菜单'!N143</x:f>
        <x:v>463</x:v>
      </x:c>
      <x:c r="G72" t="n">
        <x:f>E72+F72</x:f>
        <x:v>1004</x:v>
      </x:c>
      <x:c r="H72" t="n">
        <x:f>'730餐菜单'!O142+'730餐菜单'!O143</x:f>
        <x:v>84.9</x:v>
      </x:c>
      <x:c r="I72" t="n">
        <x:f>'730餐菜单'!P142+'730餐菜单'!P143</x:f>
        <x:v>78.8</x:v>
      </x:c>
      <x:c r="J72" t="n">
        <x:f>'730餐菜单'!Q142+'730餐菜单'!Q143</x:f>
        <x:v>40.1</x:v>
      </x:c>
      <x:c r="K72" t="n">
        <x:f>SUM('食材明细'!F844:F845)+SUM('食材明细'!F850:F851)</x:f>
        <x:v>610</x:v>
      </x:c>
      <x:c r="L72" t="str">
        <x:v>仅午餐+晚餐；早餐、饮奶、水果、零食未计入</x:v>
      </x:c>
    </x:row>
    <x:row r="73" ht="23" customHeight="1">
      <x:c r="A73" t="n">
        <x:v>72</x:v>
      </x:c>
      <x:c r="B73" t="n">
        <x:v>11</x:v>
      </x:c>
      <x:c r="C73" t="str">
        <x:v>菌菇鱿鱼配茼蒿金针菇｜燕麦饭</x:v>
      </x:c>
      <x:c r="D73" t="str">
        <x:v>番茄北豆腐熟毛豆仁烩番茄小白菜｜荞麦饭</x:v>
      </x:c>
      <x:c r="E73" t="n">
        <x:f>'730餐菜单'!N144</x:f>
        <x:v>455</x:v>
      </x:c>
      <x:c r="F73" t="n">
        <x:f>'730餐菜单'!N145</x:f>
        <x:v>589</x:v>
      </x:c>
      <x:c r="G73" t="n">
        <x:f>E73+F73</x:f>
        <x:v>1044</x:v>
      </x:c>
      <x:c r="H73" t="n">
        <x:f>'730餐菜单'!O144+'730餐菜单'!O145</x:f>
        <x:v>89.1</x:v>
      </x:c>
      <x:c r="I73" t="n">
        <x:f>'730餐菜单'!P144+'730餐菜单'!P145</x:f>
        <x:v>98.9</x:v>
      </x:c>
      <x:c r="J73" t="n">
        <x:f>'730餐菜单'!Q144+'730餐菜单'!Q145</x:f>
        <x:v>35.4</x:v>
      </x:c>
      <x:c r="K73" t="n">
        <x:f>SUM('食材明细'!F856:F857)+SUM('食材明细'!F862:F863)</x:f>
        <x:v>570</x:v>
      </x:c>
      <x:c r="L73" t="str">
        <x:v>仅午餐+晚餐；早餐、饮奶、水果、零食未计入</x:v>
      </x:c>
    </x:row>
    <x:row r="74" ht="23" customHeight="1">
      <x:c r="A74" t="n">
        <x:v>73</x:v>
      </x:c>
      <x:c r="B74" t="n">
        <x:v>11</x:v>
      </x:c>
      <x:c r="C74" t="str">
        <x:v>香醋花蛤肉配小白菜白萝卜｜杂粮饭</x:v>
      </x:c>
      <x:c r="D74" t="str">
        <x:v>蚝香牛里脊配番茄丝瓜｜全麦面</x:v>
      </x:c>
      <x:c r="E74" t="n">
        <x:f>'730餐菜单'!N146</x:f>
        <x:v>382</x:v>
      </x:c>
      <x:c r="F74" t="n">
        <x:f>'730餐菜单'!N147</x:f>
        <x:v>584</x:v>
      </x:c>
      <x:c r="G74" t="n">
        <x:f>E74+F74</x:f>
        <x:v>966</x:v>
      </x:c>
      <x:c r="H74" t="n">
        <x:f>'730餐菜单'!O146+'730餐菜单'!O147</x:f>
        <x:v>86</x:v>
      </x:c>
      <x:c r="I74" t="n">
        <x:f>'730餐菜单'!P146+'730餐菜单'!P147</x:f>
        <x:v>102.5</x:v>
      </x:c>
      <x:c r="J74" t="n">
        <x:f>'730餐菜单'!Q146+'730餐菜单'!Q147</x:f>
        <x:v>26</x:v>
      </x:c>
      <x:c r="K74" t="n">
        <x:f>SUM('食材明细'!F868:F869)+SUM('食材明细'!F874:F875)</x:f>
        <x:v>645</x:v>
      </x:c>
      <x:c r="L74" t="str">
        <x:v>仅午餐+晚餐；早餐、饮奶、水果、零食未计入</x:v>
      </x:c>
    </x:row>
    <x:row r="75" ht="23" customHeight="1">
      <x:c r="A75" t="n">
        <x:v>74</x:v>
      </x:c>
      <x:c r="B75" t="n">
        <x:v>11</x:v>
      </x:c>
      <x:c r="C75" t="str">
        <x:v>番茄虾仁配冬瓜｜糙米饭</x:v>
      </x:c>
      <x:c r="D75" t="str">
        <x:v>孜然去皮鸡腿肉配苦瓜玉米笋｜糙米饭</x:v>
      </x:c>
      <x:c r="E75" t="n">
        <x:f>'730餐菜单'!N148</x:f>
        <x:v>366</x:v>
      </x:c>
      <x:c r="F75" t="n">
        <x:f>'730餐菜单'!N149</x:f>
        <x:v>443</x:v>
      </x:c>
      <x:c r="G75" t="n">
        <x:f>E75+F75</x:f>
        <x:v>809</x:v>
      </x:c>
      <x:c r="H75" t="n">
        <x:f>'730餐菜单'!O148+'730餐菜单'!O149</x:f>
        <x:v>72.4</x:v>
      </x:c>
      <x:c r="I75" t="n">
        <x:f>'730餐菜单'!P148+'730餐菜单'!P149</x:f>
        <x:v>84.6</x:v>
      </x:c>
      <x:c r="J75" t="n">
        <x:f>'730餐菜单'!Q148+'730餐菜单'!Q149</x:f>
        <x:v>21.4</x:v>
      </x:c>
      <x:c r="K75" t="n">
        <x:f>SUM('食材明细'!F880:F881)+SUM('食材明细'!F886:F887)</x:f>
        <x:v>600</x:v>
      </x:c>
      <x:c r="L75" t="str">
        <x:v>仅午餐+晚餐；早餐、饮奶、水果、零食未计入</x:v>
      </x:c>
    </x:row>
    <x:row r="76" ht="23" customHeight="1">
      <x:c r="A76" t="n">
        <x:v>75</x:v>
      </x:c>
      <x:c r="B76" t="n">
        <x:v>11</x:v>
      </x:c>
      <x:c r="C76" t="str">
        <x:v>豉汁去皮鸡腿肉配西兰花口蘑｜紫薯</x:v>
      </x:c>
      <x:c r="D76" t="str">
        <x:v>豉汁扇贝肉配小白菜口蘑｜荞麦面</x:v>
      </x:c>
      <x:c r="E76" t="n">
        <x:f>'730餐菜单'!N150</x:f>
        <x:v>506</x:v>
      </x:c>
      <x:c r="F76" t="n">
        <x:f>'730餐菜单'!N151</x:f>
        <x:v>409</x:v>
      </x:c>
      <x:c r="G76" t="n">
        <x:f>E76+F76</x:f>
        <x:v>915</x:v>
      </x:c>
      <x:c r="H76" t="n">
        <x:f>'730餐菜单'!O150+'730餐菜单'!O151</x:f>
        <x:v>93.6</x:v>
      </x:c>
      <x:c r="I76" t="n">
        <x:f>'730餐菜单'!P150+'730餐菜单'!P151</x:f>
        <x:v>89.5</x:v>
      </x:c>
      <x:c r="J76" t="n">
        <x:f>'730餐菜单'!Q150+'730餐菜单'!Q151</x:f>
        <x:v>24.6</x:v>
      </x:c>
      <x:c r="K76" t="n">
        <x:f>SUM('食材明细'!F892:F893)+SUM('食材明细'!F898:F899)</x:f>
        <x:v>645</x:v>
      </x:c>
      <x:c r="L76" t="str">
        <x:v>仅午餐+晚餐；早餐、饮奶、水果、零食未计入</x:v>
      </x:c>
    </x:row>
    <x:row r="77" ht="23" customHeight="1">
      <x:c r="A77" t="n">
        <x:v>76</x:v>
      </x:c>
      <x:c r="B77" t="n">
        <x:v>11</x:v>
      </x:c>
      <x:c r="C77" t="str">
        <x:v>酸汤猪里脊配西葫芦洋葱｜紫薯</x:v>
      </x:c>
      <x:c r="D77" t="str">
        <x:v>豉汁瘦牛肉配娃娃菜芦笋｜红薯</x:v>
      </x:c>
      <x:c r="E77" t="n">
        <x:f>'730餐菜单'!N152</x:f>
        <x:v>484</x:v>
      </x:c>
      <x:c r="F77" t="n">
        <x:f>'730餐菜单'!N153</x:f>
        <x:v>404</x:v>
      </x:c>
      <x:c r="G77" t="n">
        <x:f>E77+F77</x:f>
        <x:v>888</x:v>
      </x:c>
      <x:c r="H77" t="n">
        <x:f>'730餐菜单'!O152+'730餐菜单'!O153</x:f>
        <x:v>82.80000000000001</x:v>
      </x:c>
      <x:c r="I77" t="n">
        <x:f>'730餐菜单'!P152+'730餐菜单'!P153</x:f>
        <x:v>84.30000000000001</x:v>
      </x:c>
      <x:c r="J77" t="n">
        <x:f>'730餐菜单'!Q152+'730餐菜单'!Q153</x:f>
        <x:v>25</x:v>
      </x:c>
      <x:c r="K77" t="n">
        <x:f>SUM('食材明细'!F904:F905)+SUM('食材明细'!F910:F911)</x:f>
        <x:v>600</x:v>
      </x:c>
      <x:c r="L77" t="str">
        <x:v>仅午餐+晚餐；早餐、饮奶、水果、零食未计入</x:v>
      </x:c>
    </x:row>
    <x:row r="78" ht="23" customHeight="1">
      <x:c r="A78" t="n">
        <x:v>77</x:v>
      </x:c>
      <x:c r="B78" t="n">
        <x:v>11</x:v>
      </x:c>
      <x:c r="C78" t="str">
        <x:v>蒜香鲈鱼配生菜番茄｜山药</x:v>
      </x:c>
      <x:c r="D78" t="str">
        <x:v>豉汁虾仁配苦瓜莴笋｜紫薯</x:v>
      </x:c>
      <x:c r="E78" t="n">
        <x:f>'730餐菜单'!N154</x:f>
        <x:v>366</x:v>
      </x:c>
      <x:c r="F78" t="n">
        <x:f>'730餐菜单'!N155</x:f>
        <x:v>372</x:v>
      </x:c>
      <x:c r="G78" t="n">
        <x:f>E78+F78</x:f>
        <x:v>738</x:v>
      </x:c>
      <x:c r="H78" t="n">
        <x:f>'730餐菜单'!O154+'730餐菜单'!O155</x:f>
        <x:v>76.8</x:v>
      </x:c>
      <x:c r="I78" t="n">
        <x:f>'730餐菜单'!P154+'730餐菜单'!P155</x:f>
        <x:v>70.19999999999999</x:v>
      </x:c>
      <x:c r="J78" t="n">
        <x:f>'730餐菜单'!Q154+'730餐菜单'!Q155</x:f>
        <x:v>17.3</x:v>
      </x:c>
      <x:c r="K78" t="n">
        <x:f>SUM('食材明细'!F916:F917)+SUM('食材明细'!F922:F923)</x:f>
        <x:v>555</x:v>
      </x:c>
      <x:c r="L78" t="str">
        <x:v>仅午餐+晚餐；早餐、饮奶、水果、零食未计入</x:v>
      </x:c>
    </x:row>
    <x:row r="79" ht="23" customHeight="1">
      <x:c r="A79" t="n">
        <x:v>78</x:v>
      </x:c>
      <x:c r="B79" t="n">
        <x:v>12</x:v>
      </x:c>
      <x:c r="C79" t="str">
        <x:v>葱姜清蒸嫩豆腐熟毛豆仁烩茼蒿泡发木耳｜藜麦饭</x:v>
      </x:c>
      <x:c r="D79" t="str">
        <x:v>菌菇鱿鱼配苦瓜杏鲍菇｜玉米</x:v>
      </x:c>
      <x:c r="E79" t="n">
        <x:f>'730餐菜单'!N156</x:f>
        <x:v>529</x:v>
      </x:c>
      <x:c r="F79" t="n">
        <x:f>'730餐菜单'!N157</x:f>
        <x:v>358</x:v>
      </x:c>
      <x:c r="G79" t="n">
        <x:f>E79+F79</x:f>
        <x:v>887</x:v>
      </x:c>
      <x:c r="H79" t="n">
        <x:f>'730餐菜单'!O156+'730餐菜单'!O157</x:f>
        <x:v>67.1</x:v>
      </x:c>
      <x:c r="I79" t="n">
        <x:f>'730餐菜单'!P156+'730餐菜单'!P157</x:f>
        <x:v>99.9</x:v>
      </x:c>
      <x:c r="J79" t="n">
        <x:f>'730餐菜单'!Q156+'730餐菜单'!Q157</x:f>
        <x:v>27.299999999999997</x:v>
      </x:c>
      <x:c r="K79" t="n">
        <x:f>SUM('食材明细'!F928:F929)+SUM('食材明细'!F934:F935)</x:f>
        <x:v>630</x:v>
      </x:c>
      <x:c r="L79" t="str">
        <x:v>仅午餐+晚餐；早餐、饮奶、水果、零食未计入</x:v>
      </x:c>
    </x:row>
    <x:row r="80" ht="23" customHeight="1">
      <x:c r="A80" t="n">
        <x:v>79</x:v>
      </x:c>
      <x:c r="B80" t="n">
        <x:v>12</x:v>
      </x:c>
      <x:c r="C80" t="str">
        <x:v>酸汤鲈鱼配丝瓜绿豆芽｜荞麦面</x:v>
      </x:c>
      <x:c r="D80" t="str">
        <x:v>椒麻牛腱子配生菜黄瓜｜荞麦面</x:v>
      </x:c>
      <x:c r="E80" t="n">
        <x:f>'730餐菜单'!N158</x:f>
        <x:v>444</x:v>
      </x:c>
      <x:c r="F80" t="n">
        <x:f>'730餐菜单'!N159</x:f>
        <x:v>376</x:v>
      </x:c>
      <x:c r="G80" t="n">
        <x:f>E80+F80</x:f>
        <x:v>820</x:v>
      </x:c>
      <x:c r="H80" t="n">
        <x:f>'730餐菜单'!O158+'730餐菜单'!O159</x:f>
        <x:v>81.4</x:v>
      </x:c>
      <x:c r="I80" t="n">
        <x:f>'730餐菜单'!P158+'730餐菜单'!P159</x:f>
        <x:v>68.5</x:v>
      </x:c>
      <x:c r="J80" t="n">
        <x:f>'730餐菜单'!Q158+'730餐菜单'!Q159</x:f>
        <x:v>26.299999999999997</x:v>
      </x:c>
      <x:c r="K80" t="n">
        <x:f>SUM('食材明细'!F940:F941)+SUM('食材明细'!F946:F947)</x:f>
        <x:v>630</x:v>
      </x:c>
      <x:c r="L80" t="str">
        <x:v>仅午餐+晚餐；早餐、饮奶、水果、零食未计入</x:v>
      </x:c>
    </x:row>
    <x:row r="81" ht="23" customHeight="1">
      <x:c r="A81" t="n">
        <x:v>80</x:v>
      </x:c>
      <x:c r="B81" t="n">
        <x:v>12</x:v>
      </x:c>
      <x:c r="C81" t="str">
        <x:v>番茄虾仁配香菇｜杂粮饭</x:v>
      </x:c>
      <x:c r="D81" t="str">
        <x:v>葱姜清蒸鸡蛋北豆腐烩西葫芦洋葱｜藜麦饭</x:v>
      </x:c>
      <x:c r="E81" t="n">
        <x:f>'730餐菜单'!N160</x:f>
        <x:v>429</x:v>
      </x:c>
      <x:c r="F81" t="n">
        <x:f>'730餐菜单'!N161</x:f>
        <x:v>538</x:v>
      </x:c>
      <x:c r="G81" t="n">
        <x:f>E81+F81</x:f>
        <x:v>967</x:v>
      </x:c>
      <x:c r="H81" t="n">
        <x:f>'730餐菜单'!O160+'730餐菜单'!O161</x:f>
        <x:v>74.4</x:v>
      </x:c>
      <x:c r="I81" t="n">
        <x:f>'730餐菜单'!P160+'730餐菜单'!P161</x:f>
        <x:v>92.5</x:v>
      </x:c>
      <x:c r="J81" t="n">
        <x:f>'730餐菜单'!Q160+'730餐菜单'!Q161</x:f>
        <x:v>35.599999999999994</x:v>
      </x:c>
      <x:c r="K81" t="n">
        <x:f>SUM('食材明细'!F952:F953)+SUM('食材明细'!F958:F959)</x:f>
        <x:v>550</x:v>
      </x:c>
      <x:c r="L81" t="str">
        <x:v>仅午餐+晚餐；早餐、饮奶、水果、零食未计入</x:v>
      </x:c>
    </x:row>
    <x:row r="82" ht="23" customHeight="1">
      <x:c r="A82" t="n">
        <x:v>81</x:v>
      </x:c>
      <x:c r="B82" t="n">
        <x:v>12</x:v>
      </x:c>
      <x:c r="C82" t="str">
        <x:v>黑椒牛腱子配芦笋紫甘蓝｜燕麦饭</x:v>
      </x:c>
      <x:c r="D82" t="str">
        <x:v>番茄猪里脊配紫甘蓝｜糙米饭</x:v>
      </x:c>
      <x:c r="E82" t="n">
        <x:f>'730餐菜单'!N162</x:f>
        <x:v>553</x:v>
      </x:c>
      <x:c r="F82" t="n">
        <x:f>'730餐菜单'!N163</x:f>
        <x:v>445</x:v>
      </x:c>
      <x:c r="G82" t="n">
        <x:f>E82+F82</x:f>
        <x:v>998</x:v>
      </x:c>
      <x:c r="H82" t="n">
        <x:f>'730餐菜单'!O162+'730餐菜单'!O163</x:f>
        <x:v>94.30000000000001</x:v>
      </x:c>
      <x:c r="I82" t="n">
        <x:f>'730餐菜单'!P162+'730餐菜单'!P163</x:f>
        <x:v>94.30000000000001</x:v>
      </x:c>
      <x:c r="J82" t="n">
        <x:f>'730餐菜单'!Q162+'730餐菜单'!Q163</x:f>
        <x:v>29.2</x:v>
      </x:c>
      <x:c r="K82" t="n">
        <x:f>SUM('食材明细'!F964:F965)+SUM('食材明细'!F970:F971)</x:f>
        <x:v>630</x:v>
      </x:c>
      <x:c r="L82" t="str">
        <x:v>仅午餐+晚餐；早餐、饮奶、水果、零食未计入</x:v>
      </x:c>
    </x:row>
    <x:row r="83" ht="23" customHeight="1">
      <x:c r="A83" t="n">
        <x:v>82</x:v>
      </x:c>
      <x:c r="B83" t="n">
        <x:v>12</x:v>
      </x:c>
      <x:c r="C83" t="str">
        <x:v>剁椒牛腱子配番茄杏鲍菇｜山药</x:v>
      </x:c>
      <x:c r="D83" t="str">
        <x:v>无糖照烧猪瘦肉配西兰花洋葱｜糙米饭</x:v>
      </x:c>
      <x:c r="E83" t="n">
        <x:f>'730餐菜单'!N164</x:f>
        <x:v>433</x:v>
      </x:c>
      <x:c r="F83" t="n">
        <x:f>'730餐菜单'!N165</x:f>
        <x:v>499</x:v>
      </x:c>
      <x:c r="G83" t="n">
        <x:f>E83+F83</x:f>
        <x:v>932</x:v>
      </x:c>
      <x:c r="H83" t="n">
        <x:f>'730餐菜单'!O164+'730餐菜单'!O165</x:f>
        <x:v>87.1</x:v>
      </x:c>
      <x:c r="I83" t="n">
        <x:f>'730餐菜单'!P164+'730餐菜单'!P165</x:f>
        <x:v>81.9</x:v>
      </x:c>
      <x:c r="J83" t="n">
        <x:f>'730餐菜单'!Q164+'730餐菜单'!Q165</x:f>
        <x:v>31</x:v>
      </x:c>
      <x:c r="K83" t="n">
        <x:f>SUM('食材明细'!F976:F977)+SUM('食材明细'!F982:F983)</x:f>
        <x:v>595</x:v>
      </x:c>
      <x:c r="L83" t="str">
        <x:v>仅午餐+晚餐；早餐、饮奶、水果、零食未计入</x:v>
      </x:c>
    </x:row>
    <x:row r="84" ht="23" customHeight="1">
      <x:c r="A84" t="n">
        <x:v>83</x:v>
      </x:c>
      <x:c r="B84" t="n">
        <x:v>12</x:v>
      </x:c>
      <x:c r="C84" t="str">
        <x:v>葱姜清蒸鳕鱼配生菜黄瓜｜荞麦面</x:v>
      </x:c>
      <x:c r="D84" t="str">
        <x:v>剁椒牛腱子配茼蒿香菇｜红薯</x:v>
      </x:c>
      <x:c r="E84" t="n">
        <x:f>'730餐菜单'!N166</x:f>
        <x:v>423</x:v>
      </x:c>
      <x:c r="F84" t="n">
        <x:f>'730餐菜单'!N167</x:f>
        <x:v>491</x:v>
      </x:c>
      <x:c r="G84" t="n">
        <x:f>E84+F84</x:f>
        <x:v>914</x:v>
      </x:c>
      <x:c r="H84" t="n">
        <x:f>'730餐菜单'!O166+'730餐菜单'!O167</x:f>
        <x:v>93.4</x:v>
      </x:c>
      <x:c r="I84" t="n">
        <x:f>'730餐菜单'!P166+'730餐菜单'!P167</x:f>
        <x:v>76.5</x:v>
      </x:c>
      <x:c r="J84" t="n">
        <x:f>'730餐菜单'!Q166+'730餐菜单'!Q167</x:f>
        <x:v>27.1</x:v>
      </x:c>
      <x:c r="K84" t="n">
        <x:f>SUM('食材明细'!F988:F989)+SUM('食材明细'!F994:F995)</x:f>
        <x:v>660</x:v>
      </x:c>
      <x:c r="L84" t="str">
        <x:v>仅午餐+晚餐；早餐、饮奶、水果、零食未计入</x:v>
      </x:c>
    </x:row>
    <x:row r="85" ht="23" customHeight="1">
      <x:c r="A85" t="n">
        <x:v>84</x:v>
      </x:c>
      <x:c r="B85" t="n">
        <x:v>12</x:v>
      </x:c>
      <x:c r="C85" t="str">
        <x:v>菌菇鱿鱼配芦笋香菇｜杂粮饭</x:v>
      </x:c>
      <x:c r="D85" t="str">
        <x:v>香醋猪瘦肉配丝瓜彩椒｜红薯</x:v>
      </x:c>
      <x:c r="E85" t="n">
        <x:f>'730餐菜单'!N168</x:f>
        <x:v>459</x:v>
      </x:c>
      <x:c r="F85" t="n">
        <x:f>'730餐菜单'!N169</x:f>
        <x:v>380</x:v>
      </x:c>
      <x:c r="G85" t="n">
        <x:f>E85+F85</x:f>
        <x:v>839</x:v>
      </x:c>
      <x:c r="H85" t="n">
        <x:f>'730餐菜单'!O168+'730餐菜单'!O169</x:f>
        <x:v>78.5</x:v>
      </x:c>
      <x:c r="I85" t="n">
        <x:f>'730餐菜单'!P168+'730餐菜单'!P169</x:f>
        <x:v>79.69999999999999</x:v>
      </x:c>
      <x:c r="J85" t="n">
        <x:f>'730餐菜单'!Q168+'730餐菜单'!Q169</x:f>
        <x:v>24.4</x:v>
      </x:c>
      <x:c r="K85" t="n">
        <x:f>SUM('食材明细'!F1000:F1001)+SUM('食材明细'!F1006:F1007)</x:f>
        <x:v>555</x:v>
      </x:c>
      <x:c r="L85" t="str">
        <x:v>仅午餐+晚餐；早餐、饮奶、水果、零食未计入</x:v>
      </x:c>
    </x:row>
    <x:row r="86" ht="23" customHeight="1">
      <x:c r="A86" t="n">
        <x:v>85</x:v>
      </x:c>
      <x:c r="B86" t="n">
        <x:v>13</x:v>
      </x:c>
      <x:c r="C86" t="str">
        <x:v>奥尔良风味鸡胸肉配芦笋洋葱｜荞麦饭</x:v>
      </x:c>
      <x:c r="D86" t="str">
        <x:v>清汤去皮鸭胸肉配白萝卜玉米笋｜燕麦饭</x:v>
      </x:c>
      <x:c r="E86" t="n">
        <x:f>'730餐菜单'!N170</x:f>
        <x:v>502</x:v>
      </x:c>
      <x:c r="F86" t="n">
        <x:f>'730餐菜单'!N171</x:f>
        <x:v>508</x:v>
      </x:c>
      <x:c r="G86" t="n">
        <x:f>E86+F86</x:f>
        <x:v>1010</x:v>
      </x:c>
      <x:c r="H86" t="n">
        <x:f>'730餐菜单'!O170+'730餐菜单'!O171</x:f>
        <x:v>93.4</x:v>
      </x:c>
      <x:c r="I86" t="n">
        <x:f>'730餐菜单'!P170+'730餐菜单'!P171</x:f>
        <x:v>93.9</x:v>
      </x:c>
      <x:c r="J86" t="n">
        <x:f>'730餐菜单'!Q170+'730餐菜单'!Q171</x:f>
        <x:v>31.8</x:v>
      </x:c>
      <x:c r="K86" t="n">
        <x:f>SUM('食材明细'!F1012:F1013)+SUM('食材明细'!F1018:F1019)</x:f>
        <x:v>535</x:v>
      </x:c>
      <x:c r="L86" t="str">
        <x:v>仅午餐+晚餐；早餐、饮奶、水果、零食未计入</x:v>
      </x:c>
    </x:row>
    <x:row r="87" ht="23" customHeight="1">
      <x:c r="A87" t="n">
        <x:v>86</x:v>
      </x:c>
      <x:c r="B87" t="n">
        <x:v>13</x:v>
      </x:c>
      <x:c r="C87" t="str">
        <x:v>香醋虾仁配黄瓜彩椒｜魔芋丝</x:v>
      </x:c>
      <x:c r="D87" t="str">
        <x:v>豉汁鸡胸肉配芹菜彩椒｜荞麦饭</x:v>
      </x:c>
      <x:c r="E87" t="n">
        <x:f>'730餐菜单'!N172</x:f>
        <x:v>373</x:v>
      </x:c>
      <x:c r="F87" t="n">
        <x:f>'730餐菜单'!N173</x:f>
        <x:v>410</x:v>
      </x:c>
      <x:c r="G87" t="n">
        <x:f>E87+F87</x:f>
        <x:v>783</x:v>
      </x:c>
      <x:c r="H87" t="n">
        <x:f>'730餐菜单'!O172+'730餐菜单'!O173</x:f>
        <x:v>103.5</x:v>
      </x:c>
      <x:c r="I87" t="n">
        <x:f>'730餐菜单'!P172+'730餐菜单'!P173</x:f>
        <x:v>54.8</x:v>
      </x:c>
      <x:c r="J87" t="n">
        <x:f>'730餐菜单'!Q172+'730餐菜单'!Q173</x:f>
        <x:v>17.7</x:v>
      </x:c>
      <x:c r="K87" t="n">
        <x:f>SUM('食材明细'!F1024:F1025)+SUM('食材明细'!F1030:F1031)</x:f>
        <x:v>565</x:v>
      </x:c>
      <x:c r="L87" t="str">
        <x:v>仅午餐+晚餐；早餐、饮奶、水果、零食未计入</x:v>
      </x:c>
    </x:row>
    <x:row r="88" ht="23" customHeight="1">
      <x:c r="A88" t="n">
        <x:v>87</x:v>
      </x:c>
      <x:c r="B88" t="n">
        <x:v>13</x:v>
      </x:c>
      <x:c r="C88" t="str">
        <x:v>剁椒鸡蛋嫩豆腐烩菠菜彩椒｜紫薯</x:v>
      </x:c>
      <x:c r="D88" t="str">
        <x:v>酸汤巴沙鱼配黄瓜荷兰豆｜藜麦饭</x:v>
      </x:c>
      <x:c r="E88" t="n">
        <x:f>'730餐菜单'!N174</x:f>
        <x:v>473</x:v>
      </x:c>
      <x:c r="F88" t="n">
        <x:f>'730餐菜单'!N175</x:f>
        <x:v>383</x:v>
      </x:c>
      <x:c r="G88" t="n">
        <x:f>E88+F88</x:f>
        <x:v>856</x:v>
      </x:c>
      <x:c r="H88" t="n">
        <x:f>'730餐菜单'!O174+'730餐菜单'!O175</x:f>
        <x:v>71.3</x:v>
      </x:c>
      <x:c r="I88" t="n">
        <x:f>'730餐菜单'!P174+'730餐菜单'!P175</x:f>
        <x:v>77.8</x:v>
      </x:c>
      <x:c r="J88" t="n">
        <x:f>'730餐菜单'!Q174+'730餐菜单'!Q175</x:f>
        <x:v>30.9</x:v>
      </x:c>
      <x:c r="K88" t="n">
        <x:f>SUM('食材明细'!F1036:F1037)+SUM('食材明细'!F1042:F1043)</x:f>
        <x:v>570</x:v>
      </x:c>
      <x:c r="L88" t="str">
        <x:v>仅午餐+晚餐；早餐、饮奶、水果、零食未计入</x:v>
      </x:c>
    </x:row>
    <x:row r="89" ht="23" customHeight="1">
      <x:c r="A89" t="n">
        <x:v>88</x:v>
      </x:c>
      <x:c r="B89" t="n">
        <x:v>13</x:v>
      </x:c>
      <x:c r="C89" t="str">
        <x:v>蚝香北豆腐配娃娃菜海带｜全麦面</x:v>
      </x:c>
      <x:c r="D89" t="str">
        <x:v>酸汤去皮鸡腿肉配紫甘蓝菜心｜燕麦饭</x:v>
      </x:c>
      <x:c r="E89" t="n">
        <x:f>'730餐菜单'!N176</x:f>
        <x:v>523</x:v>
      </x:c>
      <x:c r="F89" t="n">
        <x:f>'730餐菜单'!N177</x:f>
        <x:v>401</x:v>
      </x:c>
      <x:c r="G89" t="n">
        <x:f>E89+F89</x:f>
        <x:v>924</x:v>
      </x:c>
      <x:c r="H89" t="n">
        <x:f>'730餐菜单'!O176+'730餐菜单'!O177</x:f>
        <x:v>75</x:v>
      </x:c>
      <x:c r="I89" t="n">
        <x:f>'730餐菜单'!P176+'730餐菜单'!P177</x:f>
        <x:v>89.2</x:v>
      </x:c>
      <x:c r="J89" t="n">
        <x:f>'730餐菜单'!Q176+'730餐菜单'!Q177</x:f>
        <x:v>33.599999999999994</x:v>
      </x:c>
      <x:c r="K89" t="n">
        <x:f>SUM('食材明细'!F1048:F1049)+SUM('食材明细'!F1054:F1055)</x:f>
        <x:v>550</x:v>
      </x:c>
      <x:c r="L89" t="str">
        <x:v>仅午餐+晚餐；早餐、饮奶、水果、零食未计入</x:v>
      </x:c>
    </x:row>
    <x:row r="90" ht="23" customHeight="1">
      <x:c r="A90" t="n">
        <x:v>89</x:v>
      </x:c>
      <x:c r="B90" t="n">
        <x:v>13</x:v>
      </x:c>
      <x:c r="C90" t="str">
        <x:v>酸汤嫩豆腐鸡蛋烩花菜莴笋｜山药</x:v>
      </x:c>
      <x:c r="D90" t="str">
        <x:v>柠檬虾仁配西兰花海带｜米粉</x:v>
      </x:c>
      <x:c r="E90" t="n">
        <x:f>'730餐菜单'!N178</x:f>
        <x:v>466</x:v>
      </x:c>
      <x:c r="F90" t="n">
        <x:f>'730餐菜单'!N179</x:f>
        <x:v>447</x:v>
      </x:c>
      <x:c r="G90" t="n">
        <x:f>E90+F90</x:f>
        <x:v>913</x:v>
      </x:c>
      <x:c r="H90" t="n">
        <x:f>'730餐菜单'!O178+'730餐菜单'!O179</x:f>
        <x:v>76.5</x:v>
      </x:c>
      <x:c r="I90" t="n">
        <x:f>'730餐菜单'!P178+'730餐菜单'!P179</x:f>
        <x:v>89.30000000000001</x:v>
      </x:c>
      <x:c r="J90" t="n">
        <x:f>'730餐菜单'!Q178+'730餐菜单'!Q179</x:f>
        <x:v>29.5</x:v>
      </x:c>
      <x:c r="K90" t="n">
        <x:f>SUM('食材明细'!F1060:F1061)+SUM('食材明细'!F1066:F1067)</x:f>
        <x:v>615</x:v>
      </x:c>
      <x:c r="L90" t="str">
        <x:v>仅午餐+晚餐；早餐、饮奶、水果、零食未计入</x:v>
      </x:c>
    </x:row>
    <x:row r="91" ht="23" customHeight="1">
      <x:c r="A91" t="n">
        <x:v>90</x:v>
      </x:c>
      <x:c r="B91" t="n">
        <x:v>13</x:v>
      </x:c>
      <x:c r="C91" t="str">
        <x:v>清汤鳕鱼配菠菜泡发木耳｜白米饭</x:v>
      </x:c>
      <x:c r="D91" t="str">
        <x:v>葱姜清蒸瘦牛肉配秋葵玉米笋｜红薯</x:v>
      </x:c>
      <x:c r="E91" t="n">
        <x:f>'730餐菜单'!N180</x:f>
        <x:v>434</x:v>
      </x:c>
      <x:c r="F91" t="n">
        <x:f>'730餐菜单'!N181</x:f>
        <x:v>413</x:v>
      </x:c>
      <x:c r="G91" t="n">
        <x:f>E91+F91</x:f>
        <x:v>847</x:v>
      </x:c>
      <x:c r="H91" t="n">
        <x:f>'730餐菜单'!O180+'730餐菜单'!O181</x:f>
        <x:v>89.2</x:v>
      </x:c>
      <x:c r="I91" t="n">
        <x:f>'730餐菜单'!P180+'730餐菜单'!P181</x:f>
        <x:v>78.8</x:v>
      </x:c>
      <x:c r="J91" t="n">
        <x:f>'730餐菜单'!Q180+'730餐菜单'!Q181</x:f>
        <x:v>21.200000000000003</x:v>
      </x:c>
      <x:c r="K91" t="n">
        <x:f>SUM('食材明细'!F1072:F1073)+SUM('食材明细'!F1078:F1079)</x:f>
        <x:v>630</x:v>
      </x:c>
      <x:c r="L91" t="str">
        <x:v>仅午餐+晚餐；早餐、饮奶、水果、零食未计入</x:v>
      </x:c>
    </x:row>
    <x:row r="92" ht="23" customHeight="1">
      <x:c r="A92" t="n">
        <x:v>91</x:v>
      </x:c>
      <x:c r="B92" t="n">
        <x:v>13</x:v>
      </x:c>
      <x:c r="C92" t="str">
        <x:v>香醋北豆腐鸡蛋烩茼蒿口蘑｜红薯</x:v>
      </x:c>
      <x:c r="D92" t="str">
        <x:v>香醋瘦牛肉配油麦菜胡萝卜｜全麦面</x:v>
      </x:c>
      <x:c r="E92" t="n">
        <x:f>'730餐菜单'!N182</x:f>
        <x:v>540</x:v>
      </x:c>
      <x:c r="F92" t="n">
        <x:f>'730餐菜单'!N183</x:f>
        <x:v>440</x:v>
      </x:c>
      <x:c r="G92" t="n">
        <x:f>E92+F92</x:f>
        <x:v>980</x:v>
      </x:c>
      <x:c r="H92" t="n">
        <x:f>'730餐菜单'!O182+'730餐菜单'!O183</x:f>
        <x:v>88.5</x:v>
      </x:c>
      <x:c r="I92" t="n">
        <x:f>'730餐菜单'!P182+'730餐菜单'!P183</x:f>
        <x:v>83.30000000000001</x:v>
      </x:c>
      <x:c r="J92" t="n">
        <x:f>'730餐菜单'!Q182+'730餐菜单'!Q183</x:f>
        <x:v>35.8</x:v>
      </x:c>
      <x:c r="K92" t="n">
        <x:f>SUM('食材明细'!F1084:F1085)+SUM('食材明细'!F1090:F1091)</x:f>
        <x:v>530</x:v>
      </x:c>
      <x:c r="L92" t="str">
        <x:v>仅午餐+晚餐；早餐、饮奶、水果、零食未计入</x:v>
      </x:c>
    </x:row>
    <x:row r="93" ht="23" customHeight="1">
      <x:c r="A93" t="n">
        <x:v>92</x:v>
      </x:c>
      <x:c r="B93" t="n">
        <x:v>14</x:v>
      </x:c>
      <x:c r="C93" t="str">
        <x:v>剁椒鸡蛋北豆腐烩番茄彩椒｜全麦面</x:v>
      </x:c>
      <x:c r="D93" t="str">
        <x:v>酸汤猪瘦肉配油麦菜白萝卜｜燕麦饭</x:v>
      </x:c>
      <x:c r="E93" t="n">
        <x:f>'730餐菜单'!N184</x:f>
        <x:v>514</x:v>
      </x:c>
      <x:c r="F93" t="n">
        <x:f>'730餐菜单'!N185</x:f>
        <x:v>430</x:v>
      </x:c>
      <x:c r="G93" t="n">
        <x:f>E93+F93</x:f>
        <x:v>944</x:v>
      </x:c>
      <x:c r="H93" t="n">
        <x:f>'730餐菜单'!O184+'730餐菜单'!O185</x:f>
        <x:v>73.1</x:v>
      </x:c>
      <x:c r="I93" t="n">
        <x:f>'730餐菜单'!P184+'730餐菜单'!P185</x:f>
        <x:v>83.69999999999999</x:v>
      </x:c>
      <x:c r="J93" t="n">
        <x:f>'730餐菜单'!Q184+'730餐菜单'!Q185</x:f>
        <x:v>38.2</x:v>
      </x:c>
      <x:c r="K93" t="n">
        <x:f>SUM('食材明细'!F1096:F1097)+SUM('食材明细'!F1102:F1103)</x:f>
        <x:v>625</x:v>
      </x:c>
      <x:c r="L93" t="str">
        <x:v>仅午餐+晚餐；早餐、饮奶、水果、零食未计入</x:v>
      </x:c>
    </x:row>
    <x:row r="94" ht="23" customHeight="1">
      <x:c r="A94" t="n">
        <x:v>93</x:v>
      </x:c>
      <x:c r="B94" t="n">
        <x:v>14</x:v>
      </x:c>
      <x:c r="C94" t="str">
        <x:v>蚝香瘦牛肉配娃娃菜香菇｜山药</x:v>
      </x:c>
      <x:c r="D94" t="str">
        <x:v>椒麻鸡蛋北豆腐烩小白菜洋葱｜山药</x:v>
      </x:c>
      <x:c r="E94" t="n">
        <x:f>'730餐菜单'!N186</x:f>
        <x:v>405</x:v>
      </x:c>
      <x:c r="F94" t="n">
        <x:f>'730餐菜单'!N187</x:f>
        <x:v>442</x:v>
      </x:c>
      <x:c r="G94" t="n">
        <x:f>E94+F94</x:f>
        <x:v>847</x:v>
      </x:c>
      <x:c r="H94" t="n">
        <x:f>'730餐菜单'!O186+'730餐菜单'!O187</x:f>
        <x:v>72.2</x:v>
      </x:c>
      <x:c r="I94" t="n">
        <x:f>'730餐菜单'!P186+'730餐菜单'!P187</x:f>
        <x:v>75.5</x:v>
      </x:c>
      <x:c r="J94" t="n">
        <x:f>'730餐菜单'!Q186+'730餐菜单'!Q187</x:f>
        <x:v>30.8</x:v>
      </x:c>
      <x:c r="K94" t="n">
        <x:f>SUM('食材明细'!F1108:F1109)+SUM('食材明细'!F1114:F1115)</x:f>
        <x:v>585</x:v>
      </x:c>
      <x:c r="L94" t="str">
        <x:v>仅午餐+晚餐；早餐、饮奶、水果、零食未计入</x:v>
      </x:c>
    </x:row>
    <x:row r="95" ht="23" customHeight="1">
      <x:c r="A95" t="n">
        <x:v>94</x:v>
      </x:c>
      <x:c r="B95" t="n">
        <x:v>14</x:v>
      </x:c>
      <x:c r="C95" t="str">
        <x:v>豉汁三文鱼配娃娃菜花菜｜荞麦面</x:v>
      </x:c>
      <x:c r="D95" t="str">
        <x:v>蒜香牛里脊配芦笋番茄｜白米饭</x:v>
      </x:c>
      <x:c r="E95" t="n">
        <x:f>'730餐菜单'!N188</x:f>
        <x:v>510</x:v>
      </x:c>
      <x:c r="F95" t="n">
        <x:f>'730餐菜单'!N189</x:f>
        <x:v>403</x:v>
      </x:c>
      <x:c r="G95" t="n">
        <x:f>E95+F95</x:f>
        <x:v>913</x:v>
      </x:c>
      <x:c r="H95" t="n">
        <x:f>'730餐菜单'!O188+'730餐菜单'!O189</x:f>
        <x:v>76.7</x:v>
      </x:c>
      <x:c r="I95" t="n">
        <x:f>'730餐菜单'!P188+'730餐菜单'!P189</x:f>
        <x:v>74.6</x:v>
      </x:c>
      <x:c r="J95" t="n">
        <x:f>'730餐菜单'!Q188+'730餐菜单'!Q189</x:f>
        <x:v>35.099999999999994</x:v>
      </x:c>
      <x:c r="K95" t="n">
        <x:f>SUM('食材明细'!F1120:F1121)+SUM('食材明细'!F1126:F1127)</x:f>
        <x:v>600</x:v>
      </x:c>
      <x:c r="L95" t="str">
        <x:v>仅午餐+晚餐；早餐、饮奶、水果、零食未计入</x:v>
      </x:c>
    </x:row>
    <x:row r="96" ht="23" customHeight="1">
      <x:c r="A96" t="n">
        <x:v>95</x:v>
      </x:c>
      <x:c r="B96" t="n">
        <x:v>14</x:v>
      </x:c>
      <x:c r="C96" t="str">
        <x:v>番茄鱿鱼配黄瓜｜糙米饭</x:v>
      </x:c>
      <x:c r="D96" t="str">
        <x:v>椒麻鸡里脊肉配莴笋玉米笋｜米粉</x:v>
      </x:c>
      <x:c r="E96" t="n">
        <x:f>'730餐菜单'!N190</x:f>
        <x:v>397</x:v>
      </x:c>
      <x:c r="F96" t="n">
        <x:f>'730餐菜单'!N191</x:f>
        <x:v>445</x:v>
      </x:c>
      <x:c r="G96" t="n">
        <x:f>E96+F96</x:f>
        <x:v>842</x:v>
      </x:c>
      <x:c r="H96" t="n">
        <x:f>'730餐菜单'!O190+'730餐菜单'!O191</x:f>
        <x:v>83</x:v>
      </x:c>
      <x:c r="I96" t="n">
        <x:f>'730餐菜单'!P190+'730餐菜单'!P191</x:f>
        <x:v>84.9</x:v>
      </x:c>
      <x:c r="J96" t="n">
        <x:f>'730餐菜单'!Q190+'730餐菜单'!Q191</x:f>
        <x:v>18.1</x:v>
      </x:c>
      <x:c r="K96" t="n">
        <x:f>SUM('食材明细'!F1132:F1133)+SUM('食材明细'!F1138:F1139)</x:f>
        <x:v>515</x:v>
      </x:c>
      <x:c r="L96" t="str">
        <x:v>仅午餐+晚餐；早餐、饮奶、水果、零食未计入</x:v>
      </x:c>
    </x:row>
    <x:row r="97" ht="23" customHeight="1">
      <x:c r="A97" t="n">
        <x:v>96</x:v>
      </x:c>
      <x:c r="B97" t="n">
        <x:v>14</x:v>
      </x:c>
      <x:c r="C97" t="str">
        <x:v>柠檬猪里脊配荷兰豆冬瓜｜荞麦面</x:v>
      </x:c>
      <x:c r="D97" t="str">
        <x:v>剁椒鸡胸肉配菜心金针菇｜荞麦面</x:v>
      </x:c>
      <x:c r="E97" t="n">
        <x:f>'730餐菜单'!N192</x:f>
        <x:v>484</x:v>
      </x:c>
      <x:c r="F97" t="n">
        <x:f>'730餐菜单'!N193</x:f>
        <x:v>384</x:v>
      </x:c>
      <x:c r="G97" t="n">
        <x:f>E97+F97</x:f>
        <x:v>868</x:v>
      </x:c>
      <x:c r="H97" t="n">
        <x:f>'730餐菜单'!O192+'730餐菜单'!O193</x:f>
        <x:v>89.4</x:v>
      </x:c>
      <x:c r="I97" t="n">
        <x:f>'730餐菜单'!P192+'730餐菜单'!P193</x:f>
        <x:v>80.2</x:v>
      </x:c>
      <x:c r="J97" t="n">
        <x:f>'730餐菜单'!Q192+'730餐菜单'!Q193</x:f>
        <x:v>22.9</x:v>
      </x:c>
      <x:c r="K97" t="n">
        <x:f>SUM('食材明细'!F1144:F1145)+SUM('食材明细'!F1150:F1151)</x:f>
        <x:v>615</x:v>
      </x:c>
      <x:c r="L97" t="str">
        <x:v>仅午餐+晚餐；早餐、饮奶、水果、零食未计入</x:v>
      </x:c>
    </x:row>
    <x:row r="98" ht="23" customHeight="1">
      <x:c r="A98" t="n">
        <x:v>97</x:v>
      </x:c>
      <x:c r="B98" t="n">
        <x:v>14</x:v>
      </x:c>
      <x:c r="C98" t="str">
        <x:v>柠檬去皮鸡腿肉配油麦菜香菇｜乌冬面</x:v>
      </x:c>
      <x:c r="D98" t="str">
        <x:v>柠檬鲈鱼配冬瓜泡发木耳｜白米饭</x:v>
      </x:c>
      <x:c r="E98" t="n">
        <x:f>'730餐菜单'!N194</x:f>
        <x:v>550</x:v>
      </x:c>
      <x:c r="F98" t="n">
        <x:f>'730餐菜单'!N195</x:f>
        <x:v>409</x:v>
      </x:c>
      <x:c r="G98" t="n">
        <x:f>E98+F98</x:f>
        <x:v>959</x:v>
      </x:c>
      <x:c r="H98" t="n">
        <x:f>'730餐菜单'!O194+'730餐菜单'!O195</x:f>
        <x:v>88.6</x:v>
      </x:c>
      <x:c r="I98" t="n">
        <x:f>'730餐菜单'!P194+'730餐菜单'!P195</x:f>
        <x:v>92</x:v>
      </x:c>
      <x:c r="J98" t="n">
        <x:f>'730餐菜单'!Q194+'730餐菜单'!Q195</x:f>
        <x:v>27.9</x:v>
      </x:c>
      <x:c r="K98" t="n">
        <x:f>SUM('食材明细'!F1156:F1157)+SUM('食材明细'!F1162:F1163)</x:f>
        <x:v>585</x:v>
      </x:c>
      <x:c r="L98" t="str">
        <x:v>仅午餐+晚餐；早餐、饮奶、水果、零食未计入</x:v>
      </x:c>
    </x:row>
    <x:row r="99" ht="23" customHeight="1">
      <x:c r="A99" t="n">
        <x:v>98</x:v>
      </x:c>
      <x:c r="B99" t="n">
        <x:v>14</x:v>
      </x:c>
      <x:c r="C99" t="str">
        <x:v>剁椒牛里脊配油麦菜口蘑｜糙米饭</x:v>
      </x:c>
      <x:c r="D99" t="str">
        <x:v>蒜香虾仁配丝瓜海带｜紫薯</x:v>
      </x:c>
      <x:c r="E99" t="n">
        <x:f>'730餐菜单'!N196</x:f>
        <x:v>476</x:v>
      </x:c>
      <x:c r="F99" t="n">
        <x:f>'730餐菜单'!N197</x:f>
        <x:v>373</x:v>
      </x:c>
      <x:c r="G99" t="n">
        <x:f>E99+F99</x:f>
        <x:v>849</x:v>
      </x:c>
      <x:c r="H99" t="n">
        <x:f>'730餐菜单'!O196+'730餐菜单'!O197</x:f>
        <x:v>83.80000000000001</x:v>
      </x:c>
      <x:c r="I99" t="n">
        <x:f>'730餐菜单'!P196+'730餐菜单'!P197</x:f>
        <x:v>80.4</x:v>
      </x:c>
      <x:c r="J99" t="n">
        <x:f>'730餐菜单'!Q196+'730餐菜单'!Q197</x:f>
        <x:v>22.1</x:v>
      </x:c>
      <x:c r="K99" t="n">
        <x:f>SUM('食材明细'!F1168:F1169)+SUM('食材明细'!F1174:F1175)</x:f>
        <x:v>550</x:v>
      </x:c>
      <x:c r="L99" t="str">
        <x:v>仅午餐+晚餐；早餐、饮奶、水果、零食未计入</x:v>
      </x:c>
    </x:row>
    <x:row r="100" ht="23" customHeight="1">
      <x:c r="A100" t="n">
        <x:v>99</x:v>
      </x:c>
      <x:c r="B100" t="n">
        <x:v>15</x:v>
      </x:c>
      <x:c r="C100" t="str">
        <x:v>菌菇鲈鱼配茼蒿香菇｜藜麦饭</x:v>
      </x:c>
      <x:c r="D100" t="str">
        <x:v>酸汤鳕鱼配秋葵泡发木耳｜白米饭</x:v>
      </x:c>
      <x:c r="E100" t="n">
        <x:f>'730餐菜单'!N198</x:f>
        <x:v>541</x:v>
      </x:c>
      <x:c r="F100" t="n">
        <x:f>'730餐菜单'!N199</x:f>
        <x:v>405</x:v>
      </x:c>
      <x:c r="G100" t="n">
        <x:f>E100+F100</x:f>
        <x:v>946</x:v>
      </x:c>
      <x:c r="H100" t="n">
        <x:f>'730餐菜单'!O198+'730餐菜单'!O199</x:f>
        <x:v>94.80000000000001</x:v>
      </x:c>
      <x:c r="I100" t="n">
        <x:f>'730餐菜单'!P198+'730餐菜单'!P199</x:f>
        <x:v>92.69999999999999</x:v>
      </x:c>
      <x:c r="J100" t="n">
        <x:f>'730餐菜单'!Q198+'730餐菜单'!Q199</x:f>
        <x:v>23.6</x:v>
      </x:c>
      <x:c r="K100" t="n">
        <x:f>SUM('食材明细'!F1180:F1181)+SUM('食材明细'!F1186:F1187)</x:f>
        <x:v>615</x:v>
      </x:c>
      <x:c r="L100" t="str">
        <x:v>仅午餐+晚餐；早餐、饮奶、水果、零食未计入</x:v>
      </x:c>
    </x:row>
    <x:row r="101" ht="23" customHeight="1">
      <x:c r="A101" t="n">
        <x:v>100</x:v>
      </x:c>
      <x:c r="B101" t="n">
        <x:v>15</x:v>
      </x:c>
      <x:c r="C101" t="str">
        <x:v>奥尔良风味去皮鸡腿肉配彩椒香菇｜荞麦面</x:v>
      </x:c>
      <x:c r="D101" t="str">
        <x:v>番茄牛里脊配泡发木耳｜荞麦饭</x:v>
      </x:c>
      <x:c r="E101" t="n">
        <x:f>'730餐菜单'!N200</x:f>
        <x:v>553</x:v>
      </x:c>
      <x:c r="F101" t="n">
        <x:f>'730餐菜单'!N201</x:f>
        <x:v>425</x:v>
      </x:c>
      <x:c r="G101" t="n">
        <x:f>E101+F101</x:f>
        <x:v>978</x:v>
      </x:c>
      <x:c r="H101" t="n">
        <x:f>'730餐菜单'!O200+'730餐菜单'!O201</x:f>
        <x:v>89.3</x:v>
      </x:c>
      <x:c r="I101" t="n">
        <x:f>'730餐菜单'!P200+'730餐菜单'!P201</x:f>
        <x:v>94.19999999999999</x:v>
      </x:c>
      <x:c r="J101" t="n">
        <x:f>'730餐菜单'!Q200+'730餐菜单'!Q201</x:f>
        <x:v>29.9</x:v>
      </x:c>
      <x:c r="K101" t="n">
        <x:f>SUM('食材明细'!F1192:F1193)+SUM('食材明细'!F1198:F1199)</x:f>
        <x:v>630</x:v>
      </x:c>
      <x:c r="L101" t="str">
        <x:v>仅午餐+晚餐；早餐、饮奶、水果、零食未计入</x:v>
      </x:c>
    </x:row>
    <x:row r="102" ht="23" customHeight="1">
      <x:c r="A102" t="n">
        <x:v>101</x:v>
      </x:c>
      <x:c r="B102" t="n">
        <x:v>15</x:v>
      </x:c>
      <x:c r="C102" t="str">
        <x:v>酸汤北豆腐鸡蛋烩西兰花黄瓜｜红薯</x:v>
      </x:c>
      <x:c r="D102" t="str">
        <x:v>清汤虾仁配芹菜玉米笋｜杂粮饭</x:v>
      </x:c>
      <x:c r="E102" t="n">
        <x:f>'730餐菜单'!N202</x:f>
        <x:v>559</x:v>
      </x:c>
      <x:c r="F102" t="n">
        <x:f>'730餐菜单'!N203</x:f>
        <x:v>446</x:v>
      </x:c>
      <x:c r="G102" t="n">
        <x:f>E102+F102</x:f>
        <x:v>1005</x:v>
      </x:c>
      <x:c r="H102" t="n">
        <x:f>'730餐菜单'!O202+'730餐菜单'!O203</x:f>
        <x:v>85.19999999999999</x:v>
      </x:c>
      <x:c r="I102" t="n">
        <x:f>'730餐菜单'!P202+'730餐菜单'!P203</x:f>
        <x:v>100.2</x:v>
      </x:c>
      <x:c r="J102" t="n">
        <x:f>'730餐菜单'!Q202+'730餐菜单'!Q203</x:f>
        <x:v>32.8</x:v>
      </x:c>
      <x:c r="K102" t="n">
        <x:f>SUM('食材明细'!F1204:F1205)+SUM('食材明细'!F1210:F1211)</x:f>
        <x:v>585</x:v>
      </x:c>
      <x:c r="L102" t="str">
        <x:v>仅午餐+晚餐；早餐、饮奶、水果、零食未计入</x:v>
      </x:c>
    </x:row>
    <x:row r="103" ht="23" customHeight="1">
      <x:c r="A103" t="n">
        <x:v>102</x:v>
      </x:c>
      <x:c r="B103" t="n">
        <x:v>15</x:v>
      </x:c>
      <x:c r="C103" t="str">
        <x:v>清汤鸡胸肉配白萝卜香菇｜土豆</x:v>
      </x:c>
      <x:c r="D103" t="str">
        <x:v>椒麻巴沙鱼配西葫芦玉米笋｜杂粮饭</x:v>
      </x:c>
      <x:c r="E103" t="n">
        <x:f>'730餐菜单'!N204</x:f>
        <x:v>448</x:v>
      </x:c>
      <x:c r="F103" t="n">
        <x:f>'730餐菜单'!N205</x:f>
        <x:v>368</x:v>
      </x:c>
      <x:c r="G103" t="n">
        <x:f>E103+F103</x:f>
        <x:v>816</x:v>
      </x:c>
      <x:c r="H103" t="n">
        <x:f>'730餐菜单'!O204+'730餐菜单'!O205</x:f>
        <x:v>84.69999999999999</x:v>
      </x:c>
      <x:c r="I103" t="n">
        <x:f>'730餐菜单'!P204+'730餐菜单'!P205</x:f>
        <x:v>78.3</x:v>
      </x:c>
      <x:c r="J103" t="n">
        <x:f>'730餐菜单'!Q204+'730餐菜单'!Q205</x:f>
        <x:v>20.2</x:v>
      </x:c>
      <x:c r="K103" t="n">
        <x:f>SUM('食材明细'!F1216:F1217)+SUM('食材明细'!F1222:F1223)</x:f>
        <x:v>595</x:v>
      </x:c>
      <x:c r="L103" t="str">
        <x:v>仅午餐+晚餐；早餐、饮奶、水果、零食未计入</x:v>
      </x:c>
    </x:row>
    <x:row r="104" ht="23" customHeight="1">
      <x:c r="A104" t="n">
        <x:v>103</x:v>
      </x:c>
      <x:c r="B104" t="n">
        <x:v>15</x:v>
      </x:c>
      <x:c r="C104" t="str">
        <x:v>柠檬猪里脊配彩椒口蘑｜红薯</x:v>
      </x:c>
      <x:c r="D104" t="str">
        <x:v>葱姜清蒸牛里脊配菠菜冬瓜｜山药</x:v>
      </x:c>
      <x:c r="E104" t="n">
        <x:f>'730餐菜单'!N206</x:f>
        <x:v>461</x:v>
      </x:c>
      <x:c r="F104" t="n">
        <x:f>'730餐菜单'!N207</x:f>
        <x:v>484</x:v>
      </x:c>
      <x:c r="G104" t="n">
        <x:f>E104+F104</x:f>
        <x:v>945</x:v>
      </x:c>
      <x:c r="H104" t="n">
        <x:f>'730餐菜单'!O206+'730餐菜单'!O207</x:f>
        <x:v>94.4</x:v>
      </x:c>
      <x:c r="I104" t="n">
        <x:f>'730餐菜单'!P206+'730餐菜单'!P207</x:f>
        <x:v>78.5</x:v>
      </x:c>
      <x:c r="J104" t="n">
        <x:f>'730餐菜单'!Q206+'730餐菜单'!Q207</x:f>
        <x:v>30.5</x:v>
      </x:c>
      <x:c r="K104" t="n">
        <x:f>SUM('食材明细'!F1228:F1229)+SUM('食材明细'!F1234:F1235)</x:f>
        <x:v>600</x:v>
      </x:c>
      <x:c r="L104" t="str">
        <x:v>仅午餐+晚餐；早餐、饮奶、水果、零食未计入</x:v>
      </x:c>
    </x:row>
    <x:row r="105" ht="23" customHeight="1">
      <x:c r="A105" t="n">
        <x:v>104</x:v>
      </x:c>
      <x:c r="B105" t="n">
        <x:v>15</x:v>
      </x:c>
      <x:c r="C105" t="str">
        <x:v>香醋北豆腐熟毛豆仁烩小白菜白萝卜｜糙米饭</x:v>
      </x:c>
      <x:c r="D105" t="str">
        <x:v>椒麻去皮鸡腿肉配白萝卜杏鲍菇｜杂粮饭</x:v>
      </x:c>
      <x:c r="E105" t="n">
        <x:f>'730餐菜单'!N208</x:f>
        <x:v>556</x:v>
      </x:c>
      <x:c r="F105" t="n">
        <x:f>'730餐菜单'!N209</x:f>
        <x:v>438</x:v>
      </x:c>
      <x:c r="G105" t="n">
        <x:f>E105+F105</x:f>
        <x:v>994</x:v>
      </x:c>
      <x:c r="H105" t="n">
        <x:f>'730餐菜单'!O208+'730餐菜单'!O209</x:f>
        <x:v>81.8</x:v>
      </x:c>
      <x:c r="I105" t="n">
        <x:f>'730餐菜单'!P208+'730餐菜单'!P209</x:f>
        <x:v>89.80000000000001</x:v>
      </x:c>
      <x:c r="J105" t="n">
        <x:f>'730餐菜单'!Q208+'730餐菜单'!Q209</x:f>
        <x:v>37.8</x:v>
      </x:c>
      <x:c r="K105" t="n">
        <x:f>SUM('食材明细'!F1240:F1241)+SUM('食材明细'!F1246:F1247)</x:f>
        <x:v>600</x:v>
      </x:c>
      <x:c r="L105" t="str">
        <x:v>仅午餐+晚餐；早餐、饮奶、水果、零食未计入</x:v>
      </x:c>
    </x:row>
    <x:row r="106" ht="23" customHeight="1">
      <x:c r="A106" t="n">
        <x:v>105</x:v>
      </x:c>
      <x:c r="B106" t="n">
        <x:v>15</x:v>
      </x:c>
      <x:c r="C106" t="str">
        <x:v>菌菇巴沙鱼配丝瓜杏鲍菇｜杂粮饭</x:v>
      </x:c>
      <x:c r="D106" t="str">
        <x:v>蒜香猪里脊配菜心番茄｜乌冬面</x:v>
      </x:c>
      <x:c r="E106" t="n">
        <x:f>'730餐菜单'!N210</x:f>
        <x:v>481</x:v>
      </x:c>
      <x:c r="F106" t="n">
        <x:f>'730餐菜单'!N211</x:f>
        <x:v>401</x:v>
      </x:c>
      <x:c r="G106" t="n">
        <x:f>E106+F106</x:f>
        <x:v>882</x:v>
      </x:c>
      <x:c r="H106" t="n">
        <x:f>'730餐菜单'!O210+'730餐菜单'!O211</x:f>
        <x:v>82.69999999999999</x:v>
      </x:c>
      <x:c r="I106" t="n">
        <x:f>'730餐菜单'!P210+'730餐菜单'!P211</x:f>
        <x:v>88.4</x:v>
      </x:c>
      <x:c r="J106" t="n">
        <x:f>'730餐菜单'!Q210+'730餐菜单'!Q211</x:f>
        <x:v>22.6</x:v>
      </x:c>
      <x:c r="K106" t="n">
        <x:f>SUM('食材明细'!F1252:F1253)+SUM('食材明细'!F1258:F1259)</x:f>
        <x:v>580</x:v>
      </x:c>
      <x:c r="L106" t="str">
        <x:v>仅午餐+晚餐；早餐、饮奶、水果、零食未计入</x:v>
      </x:c>
    </x:row>
    <x:row r="107" ht="23" customHeight="1">
      <x:c r="A107" t="n">
        <x:v>106</x:v>
      </x:c>
      <x:c r="B107" t="n">
        <x:v>16</x:v>
      </x:c>
      <x:c r="C107" t="str">
        <x:v>葱姜清蒸去皮鸡腿肉配娃娃菜白萝卜｜山药</x:v>
      </x:c>
      <x:c r="D107" t="str">
        <x:v>菌菇嫩豆腐虾仁烩苦瓜香菇｜荞麦饭</x:v>
      </x:c>
      <x:c r="E107" t="n">
        <x:f>'730餐菜单'!N212</x:f>
        <x:v>392</x:v>
      </x:c>
      <x:c r="F107" t="n">
        <x:f>'730餐菜单'!N213</x:f>
        <x:v>420</x:v>
      </x:c>
      <x:c r="G107" t="n">
        <x:f>E107+F107</x:f>
        <x:v>812</x:v>
      </x:c>
      <x:c r="H107" t="n">
        <x:f>'730餐菜单'!O212+'730餐菜单'!O213</x:f>
        <x:v>72.4</x:v>
      </x:c>
      <x:c r="I107" t="n">
        <x:f>'730餐菜单'!P212+'730餐菜单'!P213</x:f>
        <x:v>70.9</x:v>
      </x:c>
      <x:c r="J107" t="n">
        <x:f>'730餐菜单'!Q212+'730餐菜单'!Q213</x:f>
        <x:v>28.4</x:v>
      </x:c>
      <x:c r="K107" t="n">
        <x:f>SUM('食材明细'!F1264:F1265)+SUM('食材明细'!F1270:F1271)</x:f>
        <x:v>645</x:v>
      </x:c>
      <x:c r="L107" t="str">
        <x:v>仅午餐+晚餐；早餐、饮奶、水果、零食未计入</x:v>
      </x:c>
    </x:row>
    <x:row r="108" ht="23" customHeight="1">
      <x:c r="A108" t="n">
        <x:v>107</x:v>
      </x:c>
      <x:c r="B108" t="n">
        <x:v>16</x:v>
      </x:c>
      <x:c r="C108" t="str">
        <x:v>无糖照烧去皮鸡腿肉配彩椒洋葱｜乌冬面</x:v>
      </x:c>
      <x:c r="D108" t="str">
        <x:v>香醋鸡胸肉配菠菜丝瓜｜山药</x:v>
      </x:c>
      <x:c r="E108" t="n">
        <x:f>'730餐菜单'!N214</x:f>
        <x:v>511</x:v>
      </x:c>
      <x:c r="F108" t="n">
        <x:f>'730餐菜单'!N215</x:f>
        <x:v>390</x:v>
      </x:c>
      <x:c r="G108" t="n">
        <x:f>E108+F108</x:f>
        <x:v>901</x:v>
      </x:c>
      <x:c r="H108" t="n">
        <x:f>'730餐菜单'!O214+'730餐菜单'!O215</x:f>
        <x:v>87.80000000000001</x:v>
      </x:c>
      <x:c r="I108" t="n">
        <x:f>'730餐菜单'!P214+'730餐菜单'!P215</x:f>
        <x:v>88.5</x:v>
      </x:c>
      <x:c r="J108" t="n">
        <x:f>'730餐菜单'!Q214+'730餐菜单'!Q215</x:f>
        <x:v>24.1</x:v>
      </x:c>
      <x:c r="K108" t="n">
        <x:f>SUM('食材明细'!F1276:F1277)+SUM('食材明细'!F1282:F1283)</x:f>
        <x:v>675</x:v>
      </x:c>
      <x:c r="L108" t="str">
        <x:v>仅午餐+晚餐；早餐、饮奶、水果、零食未计入</x:v>
      </x:c>
    </x:row>
    <x:row r="109" ht="23" customHeight="1">
      <x:c r="A109" t="n">
        <x:v>108</x:v>
      </x:c>
      <x:c r="B109" t="n">
        <x:v>16</x:v>
      </x:c>
      <x:c r="C109" t="str">
        <x:v>豉汁鳕鱼配番茄菜心｜糙米饭</x:v>
      </x:c>
      <x:c r="D109" t="str">
        <x:v>柠檬牛里脊配彩椒胡萝卜｜糙米饭</x:v>
      </x:c>
      <x:c r="E109" t="n">
        <x:f>'730餐菜单'!N216</x:f>
        <x:v>445</x:v>
      </x:c>
      <x:c r="F109" t="n">
        <x:f>'730餐菜单'!N217</x:f>
        <x:v>502</x:v>
      </x:c>
      <x:c r="G109" t="n">
        <x:f>E109+F109</x:f>
        <x:v>947</x:v>
      </x:c>
      <x:c r="H109" t="n">
        <x:f>'730餐菜单'!O216+'730餐菜单'!O217</x:f>
        <x:v>81.80000000000001</x:v>
      </x:c>
      <x:c r="I109" t="n">
        <x:f>'730餐菜单'!P216+'730餐菜单'!P217</x:f>
        <x:v>105.4</x:v>
      </x:c>
      <x:c r="J109" t="n">
        <x:f>'730餐菜单'!Q216+'730餐菜单'!Q217</x:f>
        <x:v>22.6</x:v>
      </x:c>
      <x:c r="K109" t="n">
        <x:f>SUM('食材明细'!F1288:F1289)+SUM('食材明细'!F1294:F1295)</x:f>
        <x:v>600</x:v>
      </x:c>
      <x:c r="L109" t="str">
        <x:v>仅午餐+晚餐；早餐、饮奶、水果、零食未计入</x:v>
      </x:c>
    </x:row>
    <x:row r="110" ht="23" customHeight="1">
      <x:c r="A110" t="n">
        <x:v>109</x:v>
      </x:c>
      <x:c r="B110" t="n">
        <x:v>16</x:v>
      </x:c>
      <x:c r="C110" t="str">
        <x:v>菌菇鱿鱼配茼蒿杏鲍菇｜燕麦饭</x:v>
      </x:c>
      <x:c r="D110" t="str">
        <x:v>豉汁北豆腐鸡蛋烩白萝卜彩椒｜红薯</x:v>
      </x:c>
      <x:c r="E110" t="n">
        <x:f>'730餐菜单'!N218</x:f>
        <x:v>408</x:v>
      </x:c>
      <x:c r="F110" t="n">
        <x:f>'730餐菜单'!N219</x:f>
        <x:v>610</x:v>
      </x:c>
      <x:c r="G110" t="n">
        <x:f>E110+F110</x:f>
        <x:v>1018</x:v>
      </x:c>
      <x:c r="H110" t="n">
        <x:f>'730餐菜单'!O218+'730餐菜单'!O219</x:f>
        <x:v>82.8</x:v>
      </x:c>
      <x:c r="I110" t="n">
        <x:f>'730餐菜单'!P218+'730餐菜单'!P219</x:f>
        <x:v>93.9</x:v>
      </x:c>
      <x:c r="J110" t="n">
        <x:f>'730餐菜单'!Q218+'730餐菜单'!Q219</x:f>
        <x:v>37.5</x:v>
      </x:c>
      <x:c r="K110" t="n">
        <x:f>SUM('食材明细'!F1300:F1301)+SUM('食材明细'!F1306:F1307)</x:f>
        <x:v>660</x:v>
      </x:c>
      <x:c r="L110" t="str">
        <x:v>仅午餐+晚餐；早餐、饮奶、水果、零食未计入</x:v>
      </x:c>
    </x:row>
    <x:row r="111" ht="23" customHeight="1">
      <x:c r="A111" t="n">
        <x:v>110</x:v>
      </x:c>
      <x:c r="B111" t="n">
        <x:v>16</x:v>
      </x:c>
      <x:c r="C111" t="str">
        <x:v>花椒牛里脊配竹笋金针菇｜米粉</x:v>
      </x:c>
      <x:c r="D111" t="str">
        <x:v>黑椒花蛤肉配小白菜白萝卜｜杂粮饭</x:v>
      </x:c>
      <x:c r="E111" t="n">
        <x:f>'730餐菜单'!N220</x:f>
        <x:v>490</x:v>
      </x:c>
      <x:c r="F111" t="n">
        <x:f>'730餐菜单'!N221</x:f>
        <x:v>473</x:v>
      </x:c>
      <x:c r="G111" t="n">
        <x:f>E111+F111</x:f>
        <x:v>963</x:v>
      </x:c>
      <x:c r="H111" t="n">
        <x:f>'730餐菜单'!O220+'730餐菜单'!O221</x:f>
        <x:v>85</x:v>
      </x:c>
      <x:c r="I111" t="n">
        <x:f>'730餐菜单'!P220+'730餐菜单'!P221</x:f>
        <x:v>101.3</x:v>
      </x:c>
      <x:c r="J111" t="n">
        <x:f>'730餐菜单'!Q220+'730餐菜单'!Q221</x:f>
        <x:v>25.9</x:v>
      </x:c>
      <x:c r="K111" t="n">
        <x:f>SUM('食材明细'!F1312:F1313)+SUM('食材明细'!F1318:F1319)</x:f>
        <x:v>630</x:v>
      </x:c>
      <x:c r="L111" t="str">
        <x:v>仅午餐+晚餐；早餐、饮奶、水果、零食未计入</x:v>
      </x:c>
    </x:row>
    <x:row r="112" ht="23" customHeight="1">
      <x:c r="A112" t="n">
        <x:v>111</x:v>
      </x:c>
      <x:c r="B112" t="n">
        <x:v>16</x:v>
      </x:c>
      <x:c r="C112" t="str">
        <x:v>蚝香猪瘦肉配茼蒿洋葱｜魔芋丝</x:v>
      </x:c>
      <x:c r="D112" t="str">
        <x:v>椒麻鳕鱼配丝瓜金针菇｜藜麦饭</x:v>
      </x:c>
      <x:c r="E112" t="n">
        <x:f>'730餐菜单'!N222</x:f>
        <x:v>357</x:v>
      </x:c>
      <x:c r="F112" t="n">
        <x:f>'730餐菜单'!N223</x:f>
        <x:v>444</x:v>
      </x:c>
      <x:c r="G112" t="n">
        <x:f>E112+F112</x:f>
        <x:v>801</x:v>
      </x:c>
      <x:c r="H112" t="n">
        <x:f>'730餐菜单'!O222+'730餐菜单'!O223</x:f>
        <x:v>80.5</x:v>
      </x:c>
      <x:c r="I112" t="n">
        <x:f>'730餐菜单'!P222+'730餐菜单'!P223</x:f>
        <x:v>65.7</x:v>
      </x:c>
      <x:c r="J112" t="n">
        <x:f>'730餐菜单'!Q222+'730餐菜单'!Q223</x:f>
        <x:v>24.9</x:v>
      </x:c>
      <x:c r="K112" t="n">
        <x:f>SUM('食材明细'!F1324:F1325)+SUM('食材明细'!F1330:F1331)</x:f>
        <x:v>615</x:v>
      </x:c>
      <x:c r="L112" t="str">
        <x:v>仅午餐+晚餐；早餐、饮奶、水果、零食未计入</x:v>
      </x:c>
    </x:row>
    <x:row r="113" ht="23" customHeight="1">
      <x:c r="A113" t="n">
        <x:v>112</x:v>
      </x:c>
      <x:c r="B113" t="n">
        <x:v>16</x:v>
      </x:c>
      <x:c r="C113" t="str">
        <x:v>酸汤鳕鱼配小白菜海带｜糙米饭</x:v>
      </x:c>
      <x:c r="D113" t="str">
        <x:v>蒜香去皮鸡腿肉配西葫芦菜心｜全麦面</x:v>
      </x:c>
      <x:c r="E113" t="n">
        <x:f>'730餐菜单'!N224</x:f>
        <x:v>479</x:v>
      </x:c>
      <x:c r="F113" t="n">
        <x:f>'730餐菜单'!N225</x:f>
        <x:v>540</x:v>
      </x:c>
      <x:c r="G113" t="n">
        <x:f>E113+F113</x:f>
        <x:v>1019</x:v>
      </x:c>
      <x:c r="H113" t="n">
        <x:f>'730餐菜单'!O224+'730餐菜单'!O225</x:f>
        <x:v>97.80000000000001</x:v>
      </x:c>
      <x:c r="I113" t="n">
        <x:f>'730餐菜单'!P224+'730餐菜单'!P225</x:f>
        <x:v>94.7</x:v>
      </x:c>
      <x:c r="J113" t="n">
        <x:f>'730餐菜单'!Q224+'730餐菜单'!Q225</x:f>
        <x:v>28.4</x:v>
      </x:c>
      <x:c r="K113" t="n">
        <x:f>SUM('食材明细'!F1336:F1337)+SUM('食材明细'!F1342:F1343)</x:f>
        <x:v>595</x:v>
      </x:c>
      <x:c r="L113" t="str">
        <x:v>仅午餐+晚餐；早餐、饮奶、水果、零食未计入</x:v>
      </x:c>
    </x:row>
    <x:row r="114" ht="23" customHeight="1">
      <x:c r="A114" t="n">
        <x:v>113</x:v>
      </x:c>
      <x:c r="B114" t="n">
        <x:v>17</x:v>
      </x:c>
      <x:c r="C114" t="str">
        <x:v>柠檬虾仁配生菜海带｜荞麦饭</x:v>
      </x:c>
      <x:c r="D114" t="str">
        <x:v>豉汁鲈鱼配冬瓜荷兰豆｜杂粮饭</x:v>
      </x:c>
      <x:c r="E114" t="n">
        <x:f>'730餐菜单'!N226</x:f>
        <x:v>392</x:v>
      </x:c>
      <x:c r="F114" t="n">
        <x:f>'730餐菜单'!N227</x:f>
        <x:v>394</x:v>
      </x:c>
      <x:c r="G114" t="n">
        <x:f>E114+F114</x:f>
        <x:v>786</x:v>
      </x:c>
      <x:c r="H114" t="n">
        <x:f>'730餐菜单'!O226+'730餐菜单'!O227</x:f>
        <x:v>79</x:v>
      </x:c>
      <x:c r="I114" t="n">
        <x:f>'730餐菜单'!P226+'730餐菜单'!P227</x:f>
        <x:v>77.2</x:v>
      </x:c>
      <x:c r="J114" t="n">
        <x:f>'730餐菜单'!Q226+'730餐菜单'!Q227</x:f>
        <x:v>18.5</x:v>
      </x:c>
      <x:c r="K114" t="n">
        <x:f>SUM('食材明细'!F1348:F1349)+SUM('食材明细'!F1354:F1355)</x:f>
        <x:v>570</x:v>
      </x:c>
      <x:c r="L114" t="str">
        <x:v>仅午餐+晚餐；早餐、饮奶、水果、零食未计入</x:v>
      </x:c>
    </x:row>
    <x:row r="115" ht="23" customHeight="1">
      <x:c r="A115" t="n">
        <x:v>114</x:v>
      </x:c>
      <x:c r="B115" t="n">
        <x:v>17</x:v>
      </x:c>
      <x:c r="C115" t="str">
        <x:v>椒麻去皮鸡腿肉配生菜小白菜｜土豆</x:v>
      </x:c>
      <x:c r="D115" t="str">
        <x:v>蒜香巴沙鱼配大白菜海带｜荞麦饭</x:v>
      </x:c>
      <x:c r="E115" t="n">
        <x:f>'730餐菜单'!N228</x:f>
        <x:v>410</x:v>
      </x:c>
      <x:c r="F115" t="n">
        <x:f>'730餐菜单'!N229</x:f>
        <x:v>372</x:v>
      </x:c>
      <x:c r="G115" t="n">
        <x:f>E115+F115</x:f>
        <x:v>782</x:v>
      </x:c>
      <x:c r="H115" t="n">
        <x:f>'730餐菜单'!O228+'730餐菜单'!O229</x:f>
        <x:v>76.1</x:v>
      </x:c>
      <x:c r="I115" t="n">
        <x:f>'730餐菜单'!P228+'730餐菜单'!P229</x:f>
        <x:v>70.5</x:v>
      </x:c>
      <x:c r="J115" t="n">
        <x:f>'730餐菜单'!Q228+'730餐菜单'!Q229</x:f>
        <x:v>22.9</x:v>
      </x:c>
      <x:c r="K115" t="n">
        <x:f>SUM('食材明细'!F1360:F1361)+SUM('食材明细'!F1366:F1367)</x:f>
        <x:v>615</x:v>
      </x:c>
      <x:c r="L115" t="str">
        <x:v>仅午餐+晚餐；早餐、饮奶、水果、零食未计入</x:v>
      </x:c>
    </x:row>
    <x:row r="116" ht="23" customHeight="1">
      <x:c r="A116" t="n">
        <x:v>115</x:v>
      </x:c>
      <x:c r="B116" t="n">
        <x:v>17</x:v>
      </x:c>
      <x:c r="C116" t="str">
        <x:v>椒麻去皮鸡腿肉配芹菜花菜｜白米饭</x:v>
      </x:c>
      <x:c r="D116" t="str">
        <x:v>蒜香嫩豆腐熟毛豆仁烩莴笋杏鲍菇｜藜麦饭</x:v>
      </x:c>
      <x:c r="E116" t="n">
        <x:f>'730餐菜单'!N230</x:f>
        <x:v>436</x:v>
      </x:c>
      <x:c r="F116" t="n">
        <x:f>'730餐菜单'!N231</x:f>
        <x:v>493</x:v>
      </x:c>
      <x:c r="G116" t="n">
        <x:f>E116+F116</x:f>
        <x:v>929</x:v>
      </x:c>
      <x:c r="H116" t="n">
        <x:f>'730餐菜单'!O230+'730餐菜单'!O231</x:f>
        <x:v>71.1</x:v>
      </x:c>
      <x:c r="I116" t="n">
        <x:f>'730餐菜单'!P230+'730餐菜单'!P231</x:f>
        <x:v>95.6</x:v>
      </x:c>
      <x:c r="J116" t="n">
        <x:f>'730餐菜单'!Q230+'730餐菜单'!Q231</x:f>
        <x:v>31</x:v>
      </x:c>
      <x:c r="K116" t="n">
        <x:f>SUM('食材明细'!F1372:F1373)+SUM('食材明细'!F1378:F1379)</x:f>
        <x:v>585</x:v>
      </x:c>
      <x:c r="L116" t="str">
        <x:v>仅午餐+晚餐；早餐、饮奶、水果、零食未计入</x:v>
      </x:c>
    </x:row>
    <x:row r="117" ht="23" customHeight="1">
      <x:c r="A117" t="n">
        <x:v>116</x:v>
      </x:c>
      <x:c r="B117" t="n">
        <x:v>17</x:v>
      </x:c>
      <x:c r="C117" t="str">
        <x:v>蒜香鲈鱼配茼蒿小白菜｜杂粮饭</x:v>
      </x:c>
      <x:c r="D117" t="str">
        <x:v>剁椒猪里脊配菠菜玉米笋｜山药</x:v>
      </x:c>
      <x:c r="E117" t="n">
        <x:f>'730餐菜单'!N232</x:f>
        <x:v>530</x:v>
      </x:c>
      <x:c r="F117" t="n">
        <x:f>'730餐菜单'!N233</x:f>
        <x:v>367</x:v>
      </x:c>
      <x:c r="G117" t="n">
        <x:f>E117+F117</x:f>
        <x:v>897</x:v>
      </x:c>
      <x:c r="H117" t="n">
        <x:f>'730餐菜单'!O232+'730餐菜单'!O233</x:f>
        <x:v>95.1</x:v>
      </x:c>
      <x:c r="I117" t="n">
        <x:f>'730餐菜单'!P232+'730餐菜单'!P233</x:f>
        <x:v>78</x:v>
      </x:c>
      <x:c r="J117" t="n">
        <x:f>'730餐菜单'!Q232+'730餐菜单'!Q233</x:f>
        <x:v>24.7</x:v>
      </x:c>
      <x:c r="K117" t="n">
        <x:f>SUM('食材明细'!F1384:F1385)+SUM('食材明细'!F1390:F1391)</x:f>
        <x:v>660</x:v>
      </x:c>
      <x:c r="L117" t="str">
        <x:v>仅午餐+晚餐；早餐、饮奶、水果、零食未计入</x:v>
      </x:c>
    </x:row>
    <x:row r="118" ht="23" customHeight="1">
      <x:c r="A118" t="n">
        <x:v>117</x:v>
      </x:c>
      <x:c r="B118" t="n">
        <x:v>17</x:v>
      </x:c>
      <x:c r="C118" t="str">
        <x:v>花椒牛腱子配彩椒海带｜糙米饭</x:v>
      </x:c>
      <x:c r="D118" t="str">
        <x:v>椒麻虾仁配竹笋冬瓜｜糙米饭</x:v>
      </x:c>
      <x:c r="E118" t="n">
        <x:f>'730餐菜单'!N234</x:f>
        <x:v>514</x:v>
      </x:c>
      <x:c r="F118" t="n">
        <x:f>'730餐菜单'!N235</x:f>
        <x:v>456</x:v>
      </x:c>
      <x:c r="G118" t="n">
        <x:f>E118+F118</x:f>
        <x:v>970</x:v>
      </x:c>
      <x:c r="H118" t="n">
        <x:f>'730餐菜单'!O234+'730餐菜单'!O235</x:f>
        <x:v>90</x:v>
      </x:c>
      <x:c r="I118" t="n">
        <x:f>'730餐菜单'!P234+'730餐菜单'!P235</x:f>
        <x:v>92.9</x:v>
      </x:c>
      <x:c r="J118" t="n">
        <x:f>'730餐菜单'!Q234+'730餐菜单'!Q235</x:f>
        <x:v>28.4</x:v>
      </x:c>
      <x:c r="K118" t="n">
        <x:f>SUM('食材明细'!F1396:F1397)+SUM('食材明细'!F1402:F1403)</x:f>
        <x:v>550</x:v>
      </x:c>
      <x:c r="L118" t="str">
        <x:v>仅午餐+晚餐；早餐、饮奶、水果、零食未计入</x:v>
      </x:c>
    </x:row>
    <x:row r="119" ht="23" customHeight="1">
      <x:c r="A119" t="n">
        <x:v>118</x:v>
      </x:c>
      <x:c r="B119" t="n">
        <x:v>17</x:v>
      </x:c>
      <x:c r="C119" t="str">
        <x:v>奥尔良风味去皮鸡腿肉配西兰花香菇｜红薯</x:v>
      </x:c>
      <x:c r="D119" t="str">
        <x:v>蒜香牛腱子配紫甘蓝黄瓜｜山药</x:v>
      </x:c>
      <x:c r="E119" t="n">
        <x:f>'730餐菜单'!N236</x:f>
        <x:v>445</x:v>
      </x:c>
      <x:c r="F119" t="n">
        <x:f>'730餐菜单'!N237</x:f>
        <x:v>428</x:v>
      </x:c>
      <x:c r="G119" t="n">
        <x:f>E119+F119</x:f>
        <x:v>873</x:v>
      </x:c>
      <x:c r="H119" t="n">
        <x:f>'730餐菜单'!O236+'730餐菜单'!O237</x:f>
        <x:v>83</x:v>
      </x:c>
      <x:c r="I119" t="n">
        <x:f>'730餐菜单'!P236+'730餐菜单'!P237</x:f>
        <x:v>81.6</x:v>
      </x:c>
      <x:c r="J119" t="n">
        <x:f>'730餐菜单'!Q236+'730餐菜单'!Q237</x:f>
        <x:v>27.299999999999997</x:v>
      </x:c>
      <x:c r="K119" t="n">
        <x:f>SUM('食材明细'!F1408:F1409)+SUM('食材明细'!F1414:F1415)</x:f>
        <x:v>570</x:v>
      </x:c>
      <x:c r="L119" t="str">
        <x:v>仅午餐+晚餐；早餐、饮奶、水果、零食未计入</x:v>
      </x:c>
    </x:row>
    <x:row r="120" ht="23" customHeight="1">
      <x:c r="A120" t="n">
        <x:v>119</x:v>
      </x:c>
      <x:c r="B120" t="n">
        <x:v>17</x:v>
      </x:c>
      <x:c r="C120" t="str">
        <x:v>剁椒鸡里脊肉配芹菜杏鲍菇｜杂粮饭</x:v>
      </x:c>
      <x:c r="D120" t="str">
        <x:v>清汤虾仁配秋葵彩椒｜白米饭</x:v>
      </x:c>
      <x:c r="E120" t="n">
        <x:f>'730餐菜单'!N238</x:f>
        <x:v>560</x:v>
      </x:c>
      <x:c r="F120" t="n">
        <x:f>'730餐菜单'!N239</x:f>
        <x:v>379</x:v>
      </x:c>
      <x:c r="G120" t="n">
        <x:f>E120+F120</x:f>
        <x:v>939</x:v>
      </x:c>
      <x:c r="H120" t="n">
        <x:f>'730餐菜单'!O238+'730餐菜单'!O239</x:f>
        <x:v>92.8</x:v>
      </x:c>
      <x:c r="I120" t="n">
        <x:f>'730餐菜单'!P238+'730餐菜单'!P239</x:f>
        <x:v>95.1</x:v>
      </x:c>
      <x:c r="J120" t="n">
        <x:f>'730餐菜单'!Q238+'730餐菜单'!Q239</x:f>
        <x:v>22.7</x:v>
      </x:c>
      <x:c r="K120" t="n">
        <x:f>SUM('食材明细'!F1420:F1421)+SUM('食材明细'!F1426:F1427)</x:f>
        <x:v>595</x:v>
      </x:c>
      <x:c r="L120" t="str">
        <x:v>仅午餐+晚餐；早餐、饮奶、水果、零食未计入</x:v>
      </x:c>
    </x:row>
    <x:row r="121" ht="23" customHeight="1">
      <x:c r="A121" t="n">
        <x:v>120</x:v>
      </x:c>
      <x:c r="B121" t="n">
        <x:v>18</x:v>
      </x:c>
      <x:c r="C121" t="str">
        <x:v>酸汤鳕鱼配生菜白萝卜｜荞麦面</x:v>
      </x:c>
      <x:c r="D121" t="str">
        <x:v>柠檬牛里脊配秋葵紫甘蓝｜玉米</x:v>
      </x:c>
      <x:c r="E121" t="n">
        <x:f>'730餐菜单'!N240</x:f>
        <x:v>380</x:v>
      </x:c>
      <x:c r="F121" t="n">
        <x:f>'730餐菜单'!N241</x:f>
        <x:v>428</x:v>
      </x:c>
      <x:c r="G121" t="n">
        <x:f>E121+F121</x:f>
        <x:v>808</x:v>
      </x:c>
      <x:c r="H121" t="n">
        <x:f>'730餐菜单'!O240+'730餐菜单'!O241</x:f>
        <x:v>78.6</x:v>
      </x:c>
      <x:c r="I121" t="n">
        <x:f>'730餐菜单'!P240+'730餐菜单'!P241</x:f>
        <x:v>81.9</x:v>
      </x:c>
      <x:c r="J121" t="n">
        <x:f>'730餐菜单'!Q240+'730餐菜单'!Q241</x:f>
        <x:v>20.5</x:v>
      </x:c>
      <x:c r="K121" t="n">
        <x:f>SUM('食材明细'!F1432:F1433)+SUM('食材明细'!F1438:F1439)</x:f>
        <x:v>610</x:v>
      </x:c>
      <x:c r="L121" t="str">
        <x:v>仅午餐+晚餐；早餐、饮奶、水果、零食未计入</x:v>
      </x:c>
    </x:row>
    <x:row r="122" ht="23" customHeight="1">
      <x:c r="A122" t="n">
        <x:v>121</x:v>
      </x:c>
      <x:c r="B122" t="n">
        <x:v>18</x:v>
      </x:c>
      <x:c r="C122" t="str">
        <x:v>蒜香鳕鱼配花菜金针菇｜藜麦饭</x:v>
      </x:c>
      <x:c r="D122" t="str">
        <x:v>葱姜清蒸虾仁配生菜莴笋｜白米饭</x:v>
      </x:c>
      <x:c r="E122" t="n">
        <x:f>'730餐菜单'!N242</x:f>
        <x:v>431</x:v>
      </x:c>
      <x:c r="F122" t="n">
        <x:f>'730餐菜单'!N243</x:f>
        <x:v>356</x:v>
      </x:c>
      <x:c r="G122" t="n">
        <x:f>E122+F122</x:f>
        <x:v>787</x:v>
      </x:c>
      <x:c r="H122" t="n">
        <x:f>'730餐菜单'!O242+'730餐菜单'!O243</x:f>
        <x:v>89</x:v>
      </x:c>
      <x:c r="I122" t="n">
        <x:f>'730餐菜单'!P242+'730餐菜单'!P243</x:f>
        <x:v>70</x:v>
      </x:c>
      <x:c r="J122" t="n">
        <x:f>'730餐菜单'!Q242+'730餐菜单'!Q243</x:f>
        <x:v>17</x:v>
      </x:c>
      <x:c r="K122" t="n">
        <x:f>SUM('食材明细'!F1444:F1445)+SUM('食材明细'!F1450:F1451)</x:f>
        <x:v>610</x:v>
      </x:c>
      <x:c r="L122" t="str">
        <x:v>仅午餐+晚餐；早餐、饮奶、水果、零食未计入</x:v>
      </x:c>
    </x:row>
    <x:row r="123" ht="23" customHeight="1">
      <x:c r="A123" t="n">
        <x:v>122</x:v>
      </x:c>
      <x:c r="B123" t="n">
        <x:v>18</x:v>
      </x:c>
      <x:c r="C123" t="str">
        <x:v>清汤巴沙鱼配芦笋菜心｜燕麦饭</x:v>
      </x:c>
      <x:c r="D123" t="str">
        <x:v>清汤北豆腐鸡蛋烩紫甘蓝口蘑｜荞麦饭</x:v>
      </x:c>
      <x:c r="E123" t="n">
        <x:f>'730餐菜单'!N244</x:f>
        <x:v>404</x:v>
      </x:c>
      <x:c r="F123" t="n">
        <x:f>'730餐菜单'!N245</x:f>
        <x:v>597</x:v>
      </x:c>
      <x:c r="G123" t="n">
        <x:f>E123+F123</x:f>
        <x:v>1001</x:v>
      </x:c>
      <x:c r="H123" t="n">
        <x:f>'730餐菜单'!O244+'730餐菜单'!O245</x:f>
        <x:v>85</x:v>
      </x:c>
      <x:c r="I123" t="n">
        <x:f>'730餐菜单'!P244+'730餐菜单'!P245</x:f>
        <x:v>89</x:v>
      </x:c>
      <x:c r="J123" t="n">
        <x:f>'730餐菜单'!Q244+'730餐菜单'!Q245</x:f>
        <x:v>38.5</x:v>
      </x:c>
      <x:c r="K123" t="n">
        <x:f>SUM('食材明细'!F1456:F1457)+SUM('食材明细'!F1462:F1463)</x:f>
        <x:v>535</x:v>
      </x:c>
      <x:c r="L123" t="str">
        <x:v>仅午餐+晚餐；早餐、饮奶、水果、零食未计入</x:v>
      </x:c>
    </x:row>
    <x:row r="124" ht="23" customHeight="1">
      <x:c r="A124" t="n">
        <x:v>123</x:v>
      </x:c>
      <x:c r="B124" t="n">
        <x:v>18</x:v>
      </x:c>
      <x:c r="C124" t="str">
        <x:v>剁椒鳕鱼配西兰花黄瓜｜荞麦面</x:v>
      </x:c>
      <x:c r="D124" t="str">
        <x:v>剁椒鲈鱼配芦笋玉米笋｜红薯</x:v>
      </x:c>
      <x:c r="E124" t="n">
        <x:f>'730餐菜单'!N246</x:f>
        <x:v>470</x:v>
      </x:c>
      <x:c r="F124" t="n">
        <x:f>'730餐菜单'!N247</x:f>
        <x:v>457</x:v>
      </x:c>
      <x:c r="G124" t="n">
        <x:f>E124+F124</x:f>
        <x:v>927</x:v>
      </x:c>
      <x:c r="H124" t="n">
        <x:f>'730餐菜单'!O246+'730餐菜单'!O247</x:f>
        <x:v>94.7</x:v>
      </x:c>
      <x:c r="I124" t="n">
        <x:f>'730餐菜单'!P246+'730餐菜单'!P247</x:f>
        <x:v>92</x:v>
      </x:c>
      <x:c r="J124" t="n">
        <x:f>'730餐菜单'!Q246+'730餐菜单'!Q247</x:f>
        <x:v>22</x:v>
      </x:c>
      <x:c r="K124" t="n">
        <x:f>SUM('食材明细'!F1468:F1469)+SUM('食材明细'!F1474:F1475)</x:f>
        <x:v>625</x:v>
      </x:c>
      <x:c r="L124" t="str">
        <x:v>仅午餐+晚餐；早餐、饮奶、水果、零食未计入</x:v>
      </x:c>
    </x:row>
    <x:row r="125" ht="23" customHeight="1">
      <x:c r="A125" t="n">
        <x:v>124</x:v>
      </x:c>
      <x:c r="B125" t="n">
        <x:v>18</x:v>
      </x:c>
      <x:c r="C125" t="str">
        <x:v>椒麻猪里脊配番茄莴笋｜糙米饭</x:v>
      </x:c>
      <x:c r="D125" t="str">
        <x:v>番茄鸡蛋嫩豆腐烩番茄花菜｜糙米饭</x:v>
      </x:c>
      <x:c r="E125" t="n">
        <x:f>'730餐菜单'!N248</x:f>
        <x:v>513</x:v>
      </x:c>
      <x:c r="F125" t="n">
        <x:f>'730餐菜单'!N249</x:f>
        <x:v>523</x:v>
      </x:c>
      <x:c r="G125" t="n">
        <x:f>E125+F125</x:f>
        <x:v>1036</x:v>
      </x:c>
      <x:c r="H125" t="n">
        <x:f>'730餐菜单'!O248+'730餐菜单'!O249</x:f>
        <x:v>77</x:v>
      </x:c>
      <x:c r="I125" t="n">
        <x:f>'730餐菜单'!P248+'730餐菜单'!P249</x:f>
        <x:v>99.6</x:v>
      </x:c>
      <x:c r="J125" t="n">
        <x:f>'730餐菜单'!Q248+'730餐菜单'!Q249</x:f>
        <x:v>38.3</x:v>
      </x:c>
      <x:c r="K125" t="n">
        <x:f>SUM('食材明细'!F1480:F1481)+SUM('食材明细'!F1486:F1487)</x:f>
        <x:v>645</x:v>
      </x:c>
      <x:c r="L125" t="str">
        <x:v>仅午餐+晚餐；早餐、饮奶、水果、零食未计入</x:v>
      </x:c>
    </x:row>
    <x:row r="126" ht="23" customHeight="1">
      <x:c r="A126" t="n">
        <x:v>125</x:v>
      </x:c>
      <x:c r="B126" t="n">
        <x:v>18</x:v>
      </x:c>
      <x:c r="C126" t="str">
        <x:v>菌菇北豆腐配娃娃菜香菇｜杂粮饭</x:v>
      </x:c>
      <x:c r="D126" t="str">
        <x:v>豉汁牛腱子配白萝卜泡发木耳｜杂粮饭</x:v>
      </x:c>
      <x:c r="E126" t="n">
        <x:f>'730餐菜单'!N250</x:f>
        <x:v>550</x:v>
      </x:c>
      <x:c r="F126" t="n">
        <x:f>'730餐菜单'!N251</x:f>
        <x:v>485</x:v>
      </x:c>
      <x:c r="G126" t="n">
        <x:f>E126+F126</x:f>
        <x:v>1035</x:v>
      </x:c>
      <x:c r="H126" t="n">
        <x:f>'730餐菜单'!O250+'730餐菜单'!O251</x:f>
        <x:v>84.30000000000001</x:v>
      </x:c>
      <x:c r="I126" t="n">
        <x:f>'730餐菜单'!P250+'730餐菜单'!P251</x:f>
        <x:v>95.30000000000001</x:v>
      </x:c>
      <x:c r="J126" t="n">
        <x:f>'730餐菜单'!Q250+'730餐菜单'!Q251</x:f>
        <x:v>39</x:v>
      </x:c>
      <x:c r="K126" t="n">
        <x:f>SUM('食材明细'!F1492:F1493)+SUM('食材明细'!F1498:F1499)</x:f>
        <x:v>645</x:v>
      </x:c>
      <x:c r="L126" t="str">
        <x:v>仅午餐+晚餐；早餐、饮奶、水果、零食未计入</x:v>
      </x:c>
    </x:row>
    <x:row r="127" ht="23" customHeight="1">
      <x:c r="A127" t="n">
        <x:v>126</x:v>
      </x:c>
      <x:c r="B127" t="n">
        <x:v>18</x:v>
      </x:c>
      <x:c r="C127" t="str">
        <x:v>香醋北豆腐虾仁烩四季豆小白菜｜荞麦饭</x:v>
      </x:c>
      <x:c r="D127" t="str">
        <x:v>咖喱瘦牛肉配大白菜金针菇｜杂粮饭</x:v>
      </x:c>
      <x:c r="E127" t="n">
        <x:f>'730餐菜单'!N252</x:f>
        <x:v>583</x:v>
      </x:c>
      <x:c r="F127" t="n">
        <x:f>'730餐菜单'!N253</x:f>
        <x:v>566</x:v>
      </x:c>
      <x:c r="G127" t="n">
        <x:f>E127+F127</x:f>
        <x:v>1149</x:v>
      </x:c>
      <x:c r="H127" t="n">
        <x:f>'730餐菜单'!O252+'730餐菜单'!O253</x:f>
        <x:v>104.6</x:v>
      </x:c>
      <x:c r="I127" t="n">
        <x:f>'730餐菜单'!P252+'730餐菜单'!P253</x:f>
        <x:v>98.6</x:v>
      </x:c>
      <x:c r="J127" t="n">
        <x:f>'730餐菜单'!Q252+'730餐菜单'!Q253</x:f>
        <x:v>40.3</x:v>
      </x:c>
      <x:c r="K127" t="n">
        <x:f>SUM('食材明细'!F1504:F1505)+SUM('食材明细'!F1510:F1511)</x:f>
        <x:v>585</x:v>
      </x:c>
      <x:c r="L127" t="str">
        <x:v>仅午餐+晚餐；早餐、饮奶、水果、零食未计入</x:v>
      </x:c>
    </x:row>
    <x:row r="128" ht="23" customHeight="1">
      <x:c r="A128" t="n">
        <x:v>127</x:v>
      </x:c>
      <x:c r="B128" t="n">
        <x:v>19</x:v>
      </x:c>
      <x:c r="C128" t="str">
        <x:v>清汤鸡胸肉配秋葵黄瓜｜杂粮饭</x:v>
      </x:c>
      <x:c r="D128" t="str">
        <x:v>咖喱去皮鸡腿肉配芹菜花菜｜杂粮饭</x:v>
      </x:c>
      <x:c r="E128" t="n">
        <x:f>'730餐菜单'!N254</x:f>
        <x:v>501</x:v>
      </x:c>
      <x:c r="F128" t="n">
        <x:f>'730餐菜单'!N255</x:f>
        <x:v>513</x:v>
      </x:c>
      <x:c r="G128" t="n">
        <x:f>E128+F128</x:f>
        <x:v>1014</x:v>
      </x:c>
      <x:c r="H128" t="n">
        <x:f>'730餐菜单'!O254+'730餐菜单'!O255</x:f>
        <x:v>100.2</x:v>
      </x:c>
      <x:c r="I128" t="n">
        <x:f>'730餐菜单'!P254+'730餐菜单'!P255</x:f>
        <x:v>95.80000000000001</x:v>
      </x:c>
      <x:c r="J128" t="n">
        <x:f>'730餐菜单'!Q254+'730餐菜单'!Q255</x:f>
        <x:v>29.299999999999997</x:v>
      </x:c>
      <x:c r="K128" t="n">
        <x:f>SUM('食材明细'!F1516:F1517)+SUM('食材明细'!F1522:F1523)</x:f>
        <x:v>645</x:v>
      </x:c>
      <x:c r="L128" t="str">
        <x:v>仅午餐+晚餐；早餐、饮奶、水果、零食未计入</x:v>
      </x:c>
    </x:row>
    <x:row r="129" ht="23" customHeight="1">
      <x:c r="A129" t="n">
        <x:v>128</x:v>
      </x:c>
      <x:c r="B129" t="n">
        <x:v>19</x:v>
      </x:c>
      <x:c r="C129" t="str">
        <x:v>酸汤扇贝肉配小白菜白萝卜｜玉米</x:v>
      </x:c>
      <x:c r="D129" t="str">
        <x:v>椒麻鲈鱼配油麦菜金针菇｜糙米饭</x:v>
      </x:c>
      <x:c r="E129" t="n">
        <x:f>'730餐菜单'!N256</x:f>
        <x:v>418</x:v>
      </x:c>
      <x:c r="F129" t="n">
        <x:f>'730餐菜单'!N257</x:f>
        <x:v>480</x:v>
      </x:c>
      <x:c r="G129" t="n">
        <x:f>E129+F129</x:f>
        <x:v>898</x:v>
      </x:c>
      <x:c r="H129" t="n">
        <x:f>'730餐菜单'!O256+'730餐菜单'!O257</x:f>
        <x:v>90.6</x:v>
      </x:c>
      <x:c r="I129" t="n">
        <x:f>'730餐菜单'!P256+'730餐菜单'!P257</x:f>
        <x:v>91.80000000000001</x:v>
      </x:c>
      <x:c r="J129" t="n">
        <x:f>'730餐菜单'!Q256+'730餐菜单'!Q257</x:f>
        <x:v>21</x:v>
      </x:c>
      <x:c r="K129" t="n">
        <x:f>SUM('食材明细'!F1528:F1529)+SUM('食材明细'!F1534:F1535)</x:f>
        <x:v>595</x:v>
      </x:c>
      <x:c r="L129" t="str">
        <x:v>仅午餐+晚餐；早餐、饮奶、水果、零食未计入</x:v>
      </x:c>
    </x:row>
    <x:row r="130" ht="23" customHeight="1">
      <x:c r="A130" t="n">
        <x:v>129</x:v>
      </x:c>
      <x:c r="B130" t="n">
        <x:v>19</x:v>
      </x:c>
      <x:c r="C130" t="str">
        <x:v>蚝香鸡里脊肉配荷兰豆芦笋｜米粉</x:v>
      </x:c>
      <x:c r="D130" t="str">
        <x:v>酸汤鸡蛋北豆腐烩西葫芦彩椒｜藜麦饭</x:v>
      </x:c>
      <x:c r="E130" t="n">
        <x:f>'730餐菜单'!N258</x:f>
        <x:v>498</x:v>
      </x:c>
      <x:c r="F130" t="n">
        <x:f>'730餐菜单'!N259</x:f>
        <x:v>483</x:v>
      </x:c>
      <x:c r="G130" t="n">
        <x:f>E130+F130</x:f>
        <x:v>981</x:v>
      </x:c>
      <x:c r="H130" t="n">
        <x:f>'730餐菜单'!O258+'730餐菜单'!O259</x:f>
        <x:v>86.19999999999999</x:v>
      </x:c>
      <x:c r="I130" t="n">
        <x:f>'730餐菜单'!P258+'730餐菜单'!P259</x:f>
        <x:v>85.5</x:v>
      </x:c>
      <x:c r="J130" t="n">
        <x:f>'730餐菜单'!Q258+'730餐菜单'!Q259</x:f>
        <x:v>35.4</x:v>
      </x:c>
      <x:c r="K130" t="n">
        <x:f>SUM('食材明细'!F1540:F1541)+SUM('食材明细'!F1546:F1547)</x:f>
        <x:v>580</x:v>
      </x:c>
      <x:c r="L130" t="str">
        <x:v>仅午餐+晚餐；早餐、饮奶、水果、零食未计入</x:v>
      </x:c>
    </x:row>
    <x:row r="131" ht="23" customHeight="1">
      <x:c r="A131" t="n">
        <x:v>130</x:v>
      </x:c>
      <x:c r="B131" t="n">
        <x:v>19</x:v>
      </x:c>
      <x:c r="C131" t="str">
        <x:v>酸汤鳕鱼配芦笋香菇｜山药</x:v>
      </x:c>
      <x:c r="D131" t="str">
        <x:v>蚝香牛里脊配番茄杏鲍菇｜杂粮饭</x:v>
      </x:c>
      <x:c r="E131" t="n">
        <x:f>'730餐菜单'!N260</x:f>
        <x:v>458</x:v>
      </x:c>
      <x:c r="F131" t="n">
        <x:f>'730餐菜单'!N261</x:f>
        <x:v>461</x:v>
      </x:c>
      <x:c r="G131" t="n">
        <x:f>E131+F131</x:f>
        <x:v>919</x:v>
      </x:c>
      <x:c r="H131" t="n">
        <x:f>'730餐菜单'!O260+'730餐菜单'!O261</x:f>
        <x:v>94.30000000000001</x:v>
      </x:c>
      <x:c r="I131" t="n">
        <x:f>'730餐菜单'!P260+'730餐菜单'!P261</x:f>
        <x:v>78.30000000000001</x:v>
      </x:c>
      <x:c r="J131" t="n">
        <x:f>'730餐菜单'!Q260+'730餐菜单'!Q261</x:f>
        <x:v>27.2</x:v>
      </x:c>
      <x:c r="K131" t="n">
        <x:f>SUM('食材明细'!F1552:F1553)+SUM('食材明细'!F1558:F1559)</x:f>
        <x:v>600</x:v>
      </x:c>
      <x:c r="L131" t="str">
        <x:v>仅午餐+晚餐；早餐、饮奶、水果、零食未计入</x:v>
      </x:c>
    </x:row>
    <x:row r="132" ht="23" customHeight="1">
      <x:c r="A132" t="n">
        <x:v>131</x:v>
      </x:c>
      <x:c r="B132" t="n">
        <x:v>19</x:v>
      </x:c>
      <x:c r="C132" t="str">
        <x:v>蚝香瘦牛肉配菜心莴笋｜米粉</x:v>
      </x:c>
      <x:c r="D132" t="str">
        <x:v>剁椒猪瘦肉配菜心胡萝卜｜荞麦面</x:v>
      </x:c>
      <x:c r="E132" t="n">
        <x:f>'730餐菜单'!N262</x:f>
        <x:v>447</x:v>
      </x:c>
      <x:c r="F132" t="n">
        <x:f>'730餐菜单'!N263</x:f>
        <x:v>429</x:v>
      </x:c>
      <x:c r="G132" t="n">
        <x:f>E132+F132</x:f>
        <x:v>876</x:v>
      </x:c>
      <x:c r="H132" t="n">
        <x:f>'730餐菜单'!O262+'730餐菜单'!O263</x:f>
        <x:v>82</x:v>
      </x:c>
      <x:c r="I132" t="n">
        <x:f>'730餐菜单'!P262+'730餐菜单'!P263</x:f>
        <x:v>82.5</x:v>
      </x:c>
      <x:c r="J132" t="n">
        <x:f>'730餐菜单'!Q262+'730餐菜单'!Q263</x:f>
        <x:v>25.7</x:v>
      </x:c>
      <x:c r="K132" t="n">
        <x:f>SUM('食材明细'!F1564:F1565)+SUM('食材明细'!F1570:F1571)</x:f>
        <x:v>630</x:v>
      </x:c>
      <x:c r="L132" t="str">
        <x:v>仅午餐+晚餐；早餐、饮奶、水果、零食未计入</x:v>
      </x:c>
    </x:row>
    <x:row r="133" ht="23" customHeight="1">
      <x:c r="A133" t="n">
        <x:v>132</x:v>
      </x:c>
      <x:c r="B133" t="n">
        <x:v>19</x:v>
      </x:c>
      <x:c r="C133" t="str">
        <x:v>菌菇虾仁配西兰花金针菇｜乌冬面</x:v>
      </x:c>
      <x:c r="D133" t="str">
        <x:v>菌菇北豆腐鸡蛋烩茼蒿香菇｜山药</x:v>
      </x:c>
      <x:c r="E133" t="n">
        <x:f>'730餐菜单'!N264</x:f>
        <x:v>456</x:v>
      </x:c>
      <x:c r="F133" t="n">
        <x:f>'730餐菜单'!N265</x:f>
        <x:v>516</x:v>
      </x:c>
      <x:c r="G133" t="n">
        <x:f>E133+F133</x:f>
        <x:v>972</x:v>
      </x:c>
      <x:c r="H133" t="n">
        <x:f>'730餐菜单'!O264+'730餐菜单'!O265</x:f>
        <x:v>87.4</x:v>
      </x:c>
      <x:c r="I133" t="n">
        <x:f>'730餐菜单'!P264+'730餐菜单'!P265</x:f>
        <x:v>90.7</x:v>
      </x:c>
      <x:c r="J133" t="n">
        <x:f>'730餐菜单'!Q264+'730餐菜单'!Q265</x:f>
        <x:v>33.1</x:v>
      </x:c>
      <x:c r="K133" t="n">
        <x:f>SUM('食材明细'!F1576:F1577)+SUM('食材明细'!F1582:F1583)</x:f>
        <x:v>645</x:v>
      </x:c>
      <x:c r="L133" t="str">
        <x:v>仅午餐+晚餐；早餐、饮奶、水果、零食未计入</x:v>
      </x:c>
    </x:row>
    <x:row r="134" ht="23" customHeight="1">
      <x:c r="A134" t="n">
        <x:v>133</x:v>
      </x:c>
      <x:c r="B134" t="n">
        <x:v>19</x:v>
      </x:c>
      <x:c r="C134" t="str">
        <x:v>蚝香牛里脊配生菜冬瓜｜燕麦饭</x:v>
      </x:c>
      <x:c r="D134" t="str">
        <x:v>菌菇三文鱼配四季豆口蘑｜米粉</x:v>
      </x:c>
      <x:c r="E134" t="n">
        <x:f>'730餐菜单'!N266</x:f>
        <x:v>490</x:v>
      </x:c>
      <x:c r="F134" t="n">
        <x:f>'730餐菜单'!N267</x:f>
        <x:v>491</x:v>
      </x:c>
      <x:c r="G134" t="n">
        <x:f>E134+F134</x:f>
        <x:v>981</x:v>
      </x:c>
      <x:c r="H134" t="n">
        <x:f>'730餐菜单'!O266+'730餐菜单'!O267</x:f>
        <x:v>80.19999999999999</x:v>
      </x:c>
      <x:c r="I134" t="n">
        <x:f>'730餐菜单'!P266+'730餐菜单'!P267</x:f>
        <x:v>89.5</x:v>
      </x:c>
      <x:c r="J134" t="n">
        <x:f>'730餐菜单'!Q266+'730餐菜单'!Q267</x:f>
        <x:v>34.8</x:v>
      </x:c>
      <x:c r="K134" t="n">
        <x:f>SUM('食材明细'!F1588:F1589)+SUM('食材明细'!F1594:F1595)</x:f>
        <x:v>615</x:v>
      </x:c>
      <x:c r="L134" t="str">
        <x:v>仅午餐+晚餐；早餐、饮奶、水果、零食未计入</x:v>
      </x:c>
    </x:row>
    <x:row r="135" ht="23" customHeight="1">
      <x:c r="A135" t="n">
        <x:v>134</x:v>
      </x:c>
      <x:c r="B135" t="n">
        <x:v>20</x:v>
      </x:c>
      <x:c r="C135" t="str">
        <x:v>葱姜清蒸牛里脊配冬瓜金针菇｜乌冬面</x:v>
      </x:c>
      <x:c r="D135" t="str">
        <x:v>蚝香鸡胸肉配番茄海带｜土豆</x:v>
      </x:c>
      <x:c r="E135" t="n">
        <x:f>'730餐菜单'!N268</x:f>
        <x:v>533</x:v>
      </x:c>
      <x:c r="F135" t="n">
        <x:f>'730餐菜单'!N269</x:f>
        <x:v>391</x:v>
      </x:c>
      <x:c r="G135" t="n">
        <x:f>E135+F135</x:f>
        <x:v>924</x:v>
      </x:c>
      <x:c r="H135" t="n">
        <x:f>'730餐菜单'!O268+'730餐菜单'!O269</x:f>
        <x:v>93.69999999999999</x:v>
      </x:c>
      <x:c r="I135" t="n">
        <x:f>'730餐菜单'!P268+'730餐菜单'!P269</x:f>
        <x:v>86.5</x:v>
      </x:c>
      <x:c r="J135" t="n">
        <x:f>'730餐菜单'!Q268+'730餐菜单'!Q269</x:f>
        <x:v>22.7</x:v>
      </x:c>
      <x:c r="K135" t="n">
        <x:f>SUM('食材明细'!F1600:F1601)+SUM('食材明细'!F1606:F1607)</x:f>
        <x:v>625</x:v>
      </x:c>
      <x:c r="L135" t="str">
        <x:v>仅午餐+晚餐；早餐、饮奶、水果、零食未计入</x:v>
      </x:c>
    </x:row>
    <x:row r="136" ht="23" customHeight="1">
      <x:c r="A136" t="n">
        <x:v>135</x:v>
      </x:c>
      <x:c r="B136" t="n">
        <x:v>20</x:v>
      </x:c>
      <x:c r="C136" t="str">
        <x:v>葱姜清蒸鸡胸肉配彩椒黄瓜｜乌冬面</x:v>
      </x:c>
      <x:c r="D136" t="str">
        <x:v>孜然猪里脊配莴笋黄瓜｜米粉</x:v>
      </x:c>
      <x:c r="E136" t="n">
        <x:f>'730餐菜单'!N270</x:f>
        <x:v>467</x:v>
      </x:c>
      <x:c r="F136" t="n">
        <x:f>'730餐菜单'!N271</x:f>
        <x:v>456</x:v>
      </x:c>
      <x:c r="G136" t="n">
        <x:f>E136+F136</x:f>
        <x:v>923</x:v>
      </x:c>
      <x:c r="H136" t="n">
        <x:f>'730餐菜单'!O270+'730餐菜单'!O271</x:f>
        <x:v>87.2</x:v>
      </x:c>
      <x:c r="I136" t="n">
        <x:f>'730餐菜单'!P270+'730餐菜单'!P271</x:f>
        <x:v>93</x:v>
      </x:c>
      <x:c r="J136" t="n">
        <x:f>'730餐菜单'!Q270+'730餐菜单'!Q271</x:f>
        <x:v>21.7</x:v>
      </x:c>
      <x:c r="K136" t="n">
        <x:f>SUM('食材明细'!F1612:F1613)+SUM('食材明细'!F1618:F1619)</x:f>
        <x:v>580</x:v>
      </x:c>
      <x:c r="L136" t="str">
        <x:v>仅午餐+晚餐；早餐、饮奶、水果、零食未计入</x:v>
      </x:c>
    </x:row>
    <x:row r="137" ht="23" customHeight="1">
      <x:c r="A137" t="n">
        <x:v>136</x:v>
      </x:c>
      <x:c r="B137" t="n">
        <x:v>20</x:v>
      </x:c>
      <x:c r="C137" t="str">
        <x:v>番茄猪里脊配冬瓜｜白米饭</x:v>
      </x:c>
      <x:c r="D137" t="str">
        <x:v>黑椒瘦牛肉配花菜白萝卜｜杂粮饭</x:v>
      </x:c>
      <x:c r="E137" t="n">
        <x:f>'730餐菜单'!N272</x:f>
        <x:v>451</x:v>
      </x:c>
      <x:c r="F137" t="n">
        <x:f>'730餐菜单'!N273</x:f>
        <x:v>422</x:v>
      </x:c>
      <x:c r="G137" t="n">
        <x:f>E137+F137</x:f>
        <x:v>873</x:v>
      </x:c>
      <x:c r="H137" t="n">
        <x:f>'730餐菜单'!O272+'730餐菜单'!O273</x:f>
        <x:v>82.7</x:v>
      </x:c>
      <x:c r="I137" t="n">
        <x:f>'730餐菜单'!P272+'730餐菜单'!P273</x:f>
        <x:v>81.3</x:v>
      </x:c>
      <x:c r="J137" t="n">
        <x:f>'730餐菜单'!Q272+'730餐菜单'!Q273</x:f>
        <x:v>24.2</x:v>
      </x:c>
      <x:c r="K137" t="n">
        <x:f>SUM('食材明细'!F1624:F1625)+SUM('食材明细'!F1630:F1631)</x:f>
        <x:v>600</x:v>
      </x:c>
      <x:c r="L137" t="str">
        <x:v>仅午餐+晚餐；早餐、饮奶、水果、零食未计入</x:v>
      </x:c>
    </x:row>
    <x:row r="138" ht="23" customHeight="1">
      <x:c r="A138" t="n">
        <x:v>137</x:v>
      </x:c>
      <x:c r="B138" t="n">
        <x:v>20</x:v>
      </x:c>
      <x:c r="C138" t="str">
        <x:v>孜然鸡胸肉配娃娃菜荷兰豆｜米粉</x:v>
      </x:c>
      <x:c r="D138" t="str">
        <x:v>黑椒牛腱子配芹菜小白菜｜玉米</x:v>
      </x:c>
      <x:c r="E138" t="n">
        <x:f>'730餐菜单'!N274</x:f>
        <x:v>498</x:v>
      </x:c>
      <x:c r="F138" t="n">
        <x:f>'730餐菜单'!N275</x:f>
        <x:v>473</x:v>
      </x:c>
      <x:c r="G138" t="n">
        <x:f>E138+F138</x:f>
        <x:v>971</x:v>
      </x:c>
      <x:c r="H138" t="n">
        <x:f>'730餐菜单'!O274+'730餐菜单'!O275</x:f>
        <x:v>94.69999999999999</x:v>
      </x:c>
      <x:c r="I138" t="n">
        <x:f>'730餐菜单'!P274+'730餐菜单'!P275</x:f>
        <x:v>85</x:v>
      </x:c>
      <x:c r="J138" t="n">
        <x:f>'730餐菜单'!Q274+'730餐菜单'!Q275</x:f>
        <x:v>29.7</x:v>
      </x:c>
      <x:c r="K138" t="n">
        <x:f>SUM('食材明细'!F1636:F1637)+SUM('食材明细'!F1642:F1643)</x:f>
        <x:v>600</x:v>
      </x:c>
      <x:c r="L138" t="str">
        <x:v>仅午餐+晚餐；早餐、饮奶、水果、零食未计入</x:v>
      </x:c>
    </x:row>
    <x:row r="139" ht="23" customHeight="1">
      <x:c r="A139" t="n">
        <x:v>138</x:v>
      </x:c>
      <x:c r="B139" t="n">
        <x:v>20</x:v>
      </x:c>
      <x:c r="C139" t="str">
        <x:v>香醋鱿鱼配秋葵胡萝卜｜全麦面</x:v>
      </x:c>
      <x:c r="D139" t="str">
        <x:v>蚝香嫩豆腐熟毛豆仁烩小白菜冬瓜｜杂粮饭</x:v>
      </x:c>
      <x:c r="E139" t="n">
        <x:f>'730餐菜单'!N276</x:f>
        <x:v>498</x:v>
      </x:c>
      <x:c r="F139" t="n">
        <x:f>'730餐菜单'!N277</x:f>
        <x:v>461</x:v>
      </x:c>
      <x:c r="G139" t="n">
        <x:f>E139+F139</x:f>
        <x:v>959</x:v>
      </x:c>
      <x:c r="H139" t="n">
        <x:f>'730餐菜单'!O276+'730餐菜单'!O277</x:f>
        <x:v>70.1</x:v>
      </x:c>
      <x:c r="I139" t="n">
        <x:f>'730餐菜单'!P276+'730餐菜单'!P277</x:f>
        <x:v>115.9</x:v>
      </x:c>
      <x:c r="J139" t="n">
        <x:f>'730餐菜单'!Q276+'730餐菜单'!Q277</x:f>
        <x:v>26.6</x:v>
      </x:c>
      <x:c r="K139" t="n">
        <x:f>SUM('食材明细'!F1648:F1649)+SUM('食材明细'!F1654:F1655)</x:f>
        <x:v>550</x:v>
      </x:c>
      <x:c r="L139" t="str">
        <x:v>仅午餐+晚餐；早餐、饮奶、水果、零食未计入</x:v>
      </x:c>
    </x:row>
    <x:row r="140" ht="23" customHeight="1">
      <x:c r="A140" t="n">
        <x:v>139</x:v>
      </x:c>
      <x:c r="B140" t="n">
        <x:v>20</x:v>
      </x:c>
      <x:c r="C140" t="str">
        <x:v>豉汁瘦牛肉配西兰花绿豆芽｜荞麦饭</x:v>
      </x:c>
      <x:c r="D140" t="str">
        <x:v>蚝香北豆腐虾仁烩番茄菜心｜藜麦饭</x:v>
      </x:c>
      <x:c r="E140" t="n">
        <x:f>'730餐菜单'!N278</x:f>
        <x:v>499</x:v>
      </x:c>
      <x:c r="F140" t="n">
        <x:f>'730餐菜单'!N279</x:f>
        <x:v>557</x:v>
      </x:c>
      <x:c r="G140" t="n">
        <x:f>E140+F140</x:f>
        <x:v>1056</x:v>
      </x:c>
      <x:c r="H140" t="n">
        <x:f>'730餐菜单'!O278+'730餐菜单'!O279</x:f>
        <x:v>100.4</x:v>
      </x:c>
      <x:c r="I140" t="n">
        <x:f>'730餐菜单'!P278+'730餐菜单'!P279</x:f>
        <x:v>92.6</x:v>
      </x:c>
      <x:c r="J140" t="n">
        <x:f>'730餐菜单'!Q278+'730餐菜单'!Q279</x:f>
        <x:v>35.3</x:v>
      </x:c>
      <x:c r="K140" t="n">
        <x:f>SUM('食材明细'!F1660:F1661)+SUM('食材明细'!F1666:F1667)</x:f>
        <x:v>645</x:v>
      </x:c>
      <x:c r="L140" t="str">
        <x:v>仅午餐+晚餐；早餐、饮奶、水果、零食未计入</x:v>
      </x:c>
    </x:row>
    <x:row r="141" ht="23" customHeight="1">
      <x:c r="A141" t="n">
        <x:v>140</x:v>
      </x:c>
      <x:c r="B141" t="n">
        <x:v>20</x:v>
      </x:c>
      <x:c r="C141" t="str">
        <x:v>奥尔良风味去皮鸡腿肉配彩椒口蘑｜糙米饭</x:v>
      </x:c>
      <x:c r="D141" t="str">
        <x:v>香醋鸡里脊肉配紫甘蓝芦笋｜糙米饭</x:v>
      </x:c>
      <x:c r="E141" t="n">
        <x:f>'730餐菜单'!N280</x:f>
        <x:v>482</x:v>
      </x:c>
      <x:c r="F141" t="n">
        <x:f>'730餐菜单'!N281</x:f>
        <x:v>384</x:v>
      </x:c>
      <x:c r="G141" t="n">
        <x:f>E141+F141</x:f>
        <x:v>866</x:v>
      </x:c>
      <x:c r="H141" t="n">
        <x:f>'730餐菜单'!O280+'730餐菜单'!O281</x:f>
        <x:v>90.1</x:v>
      </x:c>
      <x:c r="I141" t="n">
        <x:f>'730餐菜单'!P280+'730餐菜单'!P281</x:f>
        <x:v>79.1</x:v>
      </x:c>
      <x:c r="J141" t="n">
        <x:f>'730餐菜单'!Q280+'730餐菜单'!Q281</x:f>
        <x:v>24</x:v>
      </x:c>
      <x:c r="K141" t="n">
        <x:f>SUM('食材明细'!F1672:F1673)+SUM('食材明细'!F1678:F1679)</x:f>
        <x:v>585</x:v>
      </x:c>
      <x:c r="L141" t="str">
        <x:v>仅午餐+晚餐；早餐、饮奶、水果、零食未计入</x:v>
      </x:c>
    </x:row>
    <x:row r="142" ht="23" customHeight="1">
      <x:c r="A142" t="n">
        <x:v>141</x:v>
      </x:c>
      <x:c r="B142" t="n">
        <x:v>21</x:v>
      </x:c>
      <x:c r="C142" t="str">
        <x:v>酸汤瘦牛肉配西兰花口蘑｜土豆</x:v>
      </x:c>
      <x:c r="D142" t="str">
        <x:v>蒜香鸡胸肉配芦笋莴笋｜玉米</x:v>
      </x:c>
      <x:c r="E142" t="n">
        <x:f>'730餐菜单'!N282</x:f>
        <x:v>432</x:v>
      </x:c>
      <x:c r="F142" t="n">
        <x:f>'730餐菜单'!N283</x:f>
        <x:v>419</x:v>
      </x:c>
      <x:c r="G142" t="n">
        <x:f>E142+F142</x:f>
        <x:v>851</x:v>
      </x:c>
      <x:c r="H142" t="n">
        <x:f>'730餐菜单'!O282+'730餐菜单'!O283</x:f>
        <x:v>96.5</x:v>
      </x:c>
      <x:c r="I142" t="n">
        <x:f>'730餐菜单'!P282+'730餐菜单'!P283</x:f>
        <x:v>74.80000000000001</x:v>
      </x:c>
      <x:c r="J142" t="n">
        <x:f>'730餐菜单'!Q282+'730餐菜单'!Q283</x:f>
        <x:v>22.3</x:v>
      </x:c>
      <x:c r="K142" t="n">
        <x:f>SUM('食材明细'!F1684:F1685)+SUM('食材明细'!F1690:F1691)</x:f>
        <x:v>580</x:v>
      </x:c>
      <x:c r="L142" t="str">
        <x:v>仅午餐+晚餐；早餐、饮奶、水果、零食未计入</x:v>
      </x:c>
    </x:row>
    <x:row r="143" ht="23" customHeight="1">
      <x:c r="A143" t="n">
        <x:v>142</x:v>
      </x:c>
      <x:c r="B143" t="n">
        <x:v>21</x:v>
      </x:c>
      <x:c r="C143" t="str">
        <x:v>奥尔良风味鸡胸肉配芦笋香菇｜荞麦面</x:v>
      </x:c>
      <x:c r="D143" t="str">
        <x:v>番茄牛腱子配花菜｜糙米饭</x:v>
      </x:c>
      <x:c r="E143" t="n">
        <x:f>'730餐菜单'!N284</x:f>
        <x:v>515</x:v>
      </x:c>
      <x:c r="F143" t="n">
        <x:f>'730餐菜单'!N285</x:f>
        <x:v>431</x:v>
      </x:c>
      <x:c r="G143" t="n">
        <x:f>E143+F143</x:f>
        <x:v>946</x:v>
      </x:c>
      <x:c r="H143" t="n">
        <x:f>'730餐菜单'!O284+'730餐菜单'!O285</x:f>
        <x:v>99.80000000000001</x:v>
      </x:c>
      <x:c r="I143" t="n">
        <x:f>'730餐菜单'!P284+'730餐菜单'!P285</x:f>
        <x:v>79</x:v>
      </x:c>
      <x:c r="J143" t="n">
        <x:f>'730餐菜单'!Q284+'730餐菜单'!Q285</x:f>
        <x:v>29.1</x:v>
      </x:c>
      <x:c r="K143" t="n">
        <x:f>SUM('食材明细'!F1696:F1697)+SUM('食材明细'!F1702:F1703)</x:f>
        <x:v>640</x:v>
      </x:c>
      <x:c r="L143" t="str">
        <x:v>仅午餐+晚餐；早餐、饮奶、水果、零食未计入</x:v>
      </x:c>
    </x:row>
    <x:row r="144" ht="23" customHeight="1">
      <x:c r="A144" t="n">
        <x:v>143</x:v>
      </x:c>
      <x:c r="B144" t="n">
        <x:v>21</x:v>
      </x:c>
      <x:c r="C144" t="str">
        <x:v>豉汁去皮鸡腿肉配丝瓜西兰花｜玉米</x:v>
      </x:c>
      <x:c r="D144" t="str">
        <x:v>番茄鸡胸肉配泡发木耳｜杂粮饭</x:v>
      </x:c>
      <x:c r="E144" t="n">
        <x:f>'730餐菜单'!N286</x:f>
        <x:v>486</x:v>
      </x:c>
      <x:c r="F144" t="n">
        <x:f>'730餐菜单'!N287</x:f>
        <x:v>432</x:v>
      </x:c>
      <x:c r="G144" t="n">
        <x:f>E144+F144</x:f>
        <x:v>918</x:v>
      </x:c>
      <x:c r="H144" t="n">
        <x:f>'730餐菜单'!O286+'730餐菜单'!O287</x:f>
        <x:v>90</x:v>
      </x:c>
      <x:c r="I144" t="n">
        <x:f>'730餐菜单'!P286+'730餐菜单'!P287</x:f>
        <x:v>94.5</x:v>
      </x:c>
      <x:c r="J144" t="n">
        <x:f>'730餐菜单'!Q286+'730餐菜单'!Q287</x:f>
        <x:v>24.7</x:v>
      </x:c>
      <x:c r="K144" t="n">
        <x:f>SUM('食材明细'!F1708:F1709)+SUM('食材明细'!F1714:F1715)</x:f>
        <x:v>580</x:v>
      </x:c>
      <x:c r="L144" t="str">
        <x:v>仅午餐+晚餐；早餐、饮奶、水果、零食未计入</x:v>
      </x:c>
    </x:row>
    <x:row r="145" ht="23" customHeight="1">
      <x:c r="A145" t="n">
        <x:v>144</x:v>
      </x:c>
      <x:c r="B145" t="n">
        <x:v>21</x:v>
      </x:c>
      <x:c r="C145" t="str">
        <x:v>蒜香去皮鸡腿肉配番茄小白菜｜红薯</x:v>
      </x:c>
      <x:c r="D145" t="str">
        <x:v>剁椒三文鱼配冬瓜荷兰豆｜山药</x:v>
      </x:c>
      <x:c r="E145" t="n">
        <x:f>'730餐菜单'!N288</x:f>
        <x:v>447</x:v>
      </x:c>
      <x:c r="F145" t="n">
        <x:f>'730餐菜单'!N289</x:f>
        <x:v>391</x:v>
      </x:c>
      <x:c r="G145" t="n">
        <x:f>E145+F145</x:f>
        <x:v>838</x:v>
      </x:c>
      <x:c r="H145" t="n">
        <x:f>'730餐菜单'!O288+'730餐菜单'!O289</x:f>
        <x:v>72.4</x:v>
      </x:c>
      <x:c r="I145" t="n">
        <x:f>'730餐菜单'!P288+'730餐菜单'!P289</x:f>
        <x:v>67.8</x:v>
      </x:c>
      <x:c r="J145" t="n">
        <x:f>'730餐菜单'!Q288+'730餐菜单'!Q289</x:f>
        <x:v>31.4</x:v>
      </x:c>
      <x:c r="K145" t="n">
        <x:f>SUM('食材明细'!F1720:F1721)+SUM('食材明细'!F1726:F1727)</x:f>
        <x:v>615</x:v>
      </x:c>
      <x:c r="L145" t="str">
        <x:v>仅午餐+晚餐；早餐、饮奶、水果、零食未计入</x:v>
      </x:c>
    </x:row>
    <x:row r="146" ht="23" customHeight="1">
      <x:c r="A146" t="n">
        <x:v>145</x:v>
      </x:c>
      <x:c r="B146" t="n">
        <x:v>21</x:v>
      </x:c>
      <x:c r="C146" t="str">
        <x:v>菌菇虾仁配彩椒香菇｜紫薯</x:v>
      </x:c>
      <x:c r="D146" t="str">
        <x:v>剁椒巴沙鱼配菠菜口蘑｜山药</x:v>
      </x:c>
      <x:c r="E146" t="n">
        <x:f>'730餐菜单'!N290</x:f>
        <x:v>417</x:v>
      </x:c>
      <x:c r="F146" t="n">
        <x:f>'730餐菜单'!N291</x:f>
        <x:v>377</x:v>
      </x:c>
      <x:c r="G146" t="n">
        <x:f>E146+F146</x:f>
        <x:v>794</x:v>
      </x:c>
      <x:c r="H146" t="n">
        <x:f>'730餐菜单'!O290+'730餐菜单'!O291</x:f>
        <x:v>84.7</x:v>
      </x:c>
      <x:c r="I146" t="n">
        <x:f>'730餐菜单'!P290+'730餐菜单'!P291</x:f>
        <x:v>80.7</x:v>
      </x:c>
      <x:c r="J146" t="n">
        <x:f>'730餐菜单'!Q290+'730餐菜单'!Q291</x:f>
        <x:v>17.9</x:v>
      </x:c>
      <x:c r="K146" t="n">
        <x:f>SUM('食材明细'!F1732:F1733)+SUM('食材明细'!F1738:F1739)</x:f>
        <x:v>610</x:v>
      </x:c>
      <x:c r="L146" t="str">
        <x:v>仅午餐+晚餐；早餐、饮奶、水果、零食未计入</x:v>
      </x:c>
    </x:row>
    <x:row r="147" ht="23" customHeight="1">
      <x:c r="A147" t="n">
        <x:v>146</x:v>
      </x:c>
      <x:c r="B147" t="n">
        <x:v>21</x:v>
      </x:c>
      <x:c r="C147" t="str">
        <x:v>菌菇猪瘦肉配莴笋香菇｜杂粮饭</x:v>
      </x:c>
      <x:c r="D147" t="str">
        <x:v>椒麻嫩豆腐鸡蛋烩苦瓜小白菜｜荞麦饭</x:v>
      </x:c>
      <x:c r="E147" t="n">
        <x:f>'730餐菜单'!N292</x:f>
        <x:v>495</x:v>
      </x:c>
      <x:c r="F147" t="n">
        <x:f>'730餐菜单'!N293</x:f>
        <x:v>423</x:v>
      </x:c>
      <x:c r="G147" t="n">
        <x:f>E147+F147</x:f>
        <x:v>918</x:v>
      </x:c>
      <x:c r="H147" t="n">
        <x:f>'730餐菜单'!O292+'730餐菜单'!O293</x:f>
        <x:v>71.9</x:v>
      </x:c>
      <x:c r="I147" t="n">
        <x:f>'730餐菜单'!P292+'730餐菜单'!P293</x:f>
        <x:v>79.4</x:v>
      </x:c>
      <x:c r="J147" t="n">
        <x:f>'730餐菜单'!Q292+'730餐菜单'!Q293</x:f>
        <x:v>36.7</x:v>
      </x:c>
      <x:c r="K147" t="n">
        <x:f>SUM('食材明细'!F1744:F1745)+SUM('食材明细'!F1750:F1751)</x:f>
        <x:v>600</x:v>
      </x:c>
      <x:c r="L147" t="str">
        <x:v>仅午餐+晚餐；早餐、饮奶、水果、零食未计入</x:v>
      </x:c>
    </x:row>
    <x:row r="148" ht="23" customHeight="1">
      <x:c r="A148" t="n">
        <x:v>147</x:v>
      </x:c>
      <x:c r="B148" t="n">
        <x:v>21</x:v>
      </x:c>
      <x:c r="C148" t="str">
        <x:v>奥尔良风味鸡胸肉配芦笋洋葱｜糙米饭</x:v>
      </x:c>
      <x:c r="D148" t="str">
        <x:v>香醋瘦牛肉配花菜芦笋｜糙米饭</x:v>
      </x:c>
      <x:c r="E148" t="n">
        <x:f>'730餐菜单'!N294</x:f>
        <x:v>456</x:v>
      </x:c>
      <x:c r="F148" t="n">
        <x:f>'730餐菜单'!N295</x:f>
        <x:v>456</x:v>
      </x:c>
      <x:c r="G148" t="n">
        <x:f>E148+F148</x:f>
        <x:v>912</x:v>
      </x:c>
      <x:c r="H148" t="n">
        <x:f>'730餐菜单'!O294+'730餐菜单'!O295</x:f>
        <x:v>86</x:v>
      </x:c>
      <x:c r="I148" t="n">
        <x:f>'730餐菜单'!P294+'730餐菜单'!P295</x:f>
        <x:v>98.5</x:v>
      </x:c>
      <x:c r="J148" t="n">
        <x:f>'730餐菜单'!Q294+'730餐菜单'!Q295</x:f>
        <x:v>22.4</x:v>
      </x:c>
      <x:c r="K148" t="n">
        <x:f>SUM('食材明细'!F1756:F1757)+SUM('食材明细'!F1762:F1763)</x:f>
        <x:v>690</x:v>
      </x:c>
      <x:c r="L148" t="str">
        <x:v>仅午餐+晚餐；早餐、饮奶、水果、零食未计入</x:v>
      </x:c>
    </x:row>
    <x:row r="149" ht="23" customHeight="1">
      <x:c r="A149" t="n">
        <x:v>148</x:v>
      </x:c>
      <x:c r="B149" t="n">
        <x:v>22</x:v>
      </x:c>
      <x:c r="C149" t="str">
        <x:v>蒜香猪里脊配菠菜彩椒｜藜麦饭</x:v>
      </x:c>
      <x:c r="D149" t="str">
        <x:v>葱姜清蒸鳕鱼配生菜白萝卜｜荞麦饭</x:v>
      </x:c>
      <x:c r="E149" t="n">
        <x:f>'730餐菜单'!N296</x:f>
        <x:v>531</x:v>
      </x:c>
      <x:c r="F149" t="n">
        <x:f>'730餐菜单'!N297</x:f>
        <x:v>379</x:v>
      </x:c>
      <x:c r="G149" t="n">
        <x:f>E149+F149</x:f>
        <x:v>910</x:v>
      </x:c>
      <x:c r="H149" t="n">
        <x:f>'730餐菜单'!O296+'730餐菜单'!O297</x:f>
        <x:v>91.9</x:v>
      </x:c>
      <x:c r="I149" t="n">
        <x:f>'730餐菜单'!P296+'730餐菜单'!P297</x:f>
        <x:v>83.1</x:v>
      </x:c>
      <x:c r="J149" t="n">
        <x:f>'730餐菜单'!Q296+'730餐菜单'!Q297</x:f>
        <x:v>23.4</x:v>
      </x:c>
      <x:c r="K149" t="n">
        <x:f>SUM('食材明细'!F1768:F1769)+SUM('食材明细'!F1774:F1775)</x:f>
        <x:v>595</x:v>
      </x:c>
      <x:c r="L149" t="str">
        <x:v>仅午餐+晚餐；早餐、饮奶、水果、零食未计入</x:v>
      </x:c>
    </x:row>
    <x:row r="150" ht="23" customHeight="1">
      <x:c r="A150" t="n">
        <x:v>149</x:v>
      </x:c>
      <x:c r="B150" t="n">
        <x:v>22</x:v>
      </x:c>
      <x:c r="C150" t="str">
        <x:v>豉汁嫩豆腐鸡蛋烩西葫芦玉米笋｜燕麦饭</x:v>
      </x:c>
      <x:c r="D150" t="str">
        <x:v>柠檬花蛤肉配冬瓜海带｜杂粮饭</x:v>
      </x:c>
      <x:c r="E150" t="n">
        <x:f>'730餐菜单'!N298</x:f>
        <x:v>511</x:v>
      </x:c>
      <x:c r="F150" t="n">
        <x:f>'730餐菜单'!N299</x:f>
        <x:v>459</x:v>
      </x:c>
      <x:c r="G150" t="n">
        <x:f>E150+F150</x:f>
        <x:v>970</x:v>
      </x:c>
      <x:c r="H150" t="n">
        <x:f>'730餐菜单'!O298+'730餐菜单'!O299</x:f>
        <x:v>72.4</x:v>
      </x:c>
      <x:c r="I150" t="n">
        <x:f>'730餐菜单'!P298+'730餐菜单'!P299</x:f>
        <x:v>88.3</x:v>
      </x:c>
      <x:c r="J150" t="n">
        <x:f>'730餐菜单'!Q298+'730餐菜单'!Q299</x:f>
        <x:v>37.6</x:v>
      </x:c>
      <x:c r="K150" t="n">
        <x:f>SUM('食材明细'!F1780:F1781)+SUM('食材明细'!F1786:F1787)</x:f>
        <x:v>585</x:v>
      </x:c>
      <x:c r="L150" t="str">
        <x:v>仅午餐+晚餐；早餐、饮奶、水果、零食未计入</x:v>
      </x:c>
    </x:row>
    <x:row r="151" ht="23" customHeight="1">
      <x:c r="A151" t="n">
        <x:v>150</x:v>
      </x:c>
      <x:c r="B151" t="n">
        <x:v>22</x:v>
      </x:c>
      <x:c r="C151" t="str">
        <x:v>葱姜清蒸巴沙鱼配茼蒿荷兰豆｜红薯</x:v>
      </x:c>
      <x:c r="D151" t="str">
        <x:v>椒麻花蛤肉配芦笋海带｜玉米</x:v>
      </x:c>
      <x:c r="E151" t="n">
        <x:f>'730餐菜单'!N300</x:f>
        <x:v>429</x:v>
      </x:c>
      <x:c r="F151" t="n">
        <x:f>'730餐菜单'!N301</x:f>
        <x:v>450</x:v>
      </x:c>
      <x:c r="G151" t="n">
        <x:f>E151+F151</x:f>
        <x:v>879</x:v>
      </x:c>
      <x:c r="H151" t="n">
        <x:f>'730餐菜单'!O300+'730餐菜单'!O301</x:f>
        <x:v>78.1</x:v>
      </x:c>
      <x:c r="I151" t="n">
        <x:f>'730餐菜单'!P300+'730餐菜单'!P301</x:f>
        <x:v>97</x:v>
      </x:c>
      <x:c r="J151" t="n">
        <x:f>'730餐菜单'!Q300+'730餐菜单'!Q301</x:f>
        <x:v>22.9</x:v>
      </x:c>
      <x:c r="K151" t="n">
        <x:f>SUM('食材明细'!F1792:F1793)+SUM('食材明细'!F1798:F1799)</x:f>
        <x:v>645</x:v>
      </x:c>
      <x:c r="L151" t="str">
        <x:v>仅午餐+晚餐；早餐、饮奶、水果、零食未计入</x:v>
      </x:c>
    </x:row>
    <x:row r="152" ht="23" customHeight="1">
      <x:c r="A152" t="n">
        <x:v>151</x:v>
      </x:c>
      <x:c r="B152" t="n">
        <x:v>22</x:v>
      </x:c>
      <x:c r="C152" t="str">
        <x:v>酸汤北豆腐虾仁烩苦瓜胡萝卜｜白米饭</x:v>
      </x:c>
      <x:c r="D152" t="str">
        <x:v>酸汤嫩豆腐鸡蛋烩菠菜绿豆芽｜全麦面</x:v>
      </x:c>
      <x:c r="E152" t="n">
        <x:f>'730餐菜单'!N302</x:f>
        <x:v>608</x:v>
      </x:c>
      <x:c r="F152" t="n">
        <x:f>'730餐菜单'!N303</x:f>
        <x:v>488</x:v>
      </x:c>
      <x:c r="G152" t="n">
        <x:f>E152+F152</x:f>
        <x:v>1096</x:v>
      </x:c>
      <x:c r="H152" t="n">
        <x:f>'730餐菜单'!O302+'730餐菜单'!O303</x:f>
        <x:v>82.19999999999999</x:v>
      </x:c>
      <x:c r="I152" t="n">
        <x:f>'730餐菜单'!P302+'730餐菜单'!P303</x:f>
        <x:v>111.2</x:v>
      </x:c>
      <x:c r="J152" t="n">
        <x:f>'730餐菜单'!Q302+'730餐菜单'!Q303</x:f>
        <x:v>39.8</x:v>
      </x:c>
      <x:c r="K152" t="n">
        <x:f>SUM('食材明细'!F1804:F1805)+SUM('食材明细'!F1810:F1811)</x:f>
        <x:v>585</x:v>
      </x:c>
      <x:c r="L152" t="str">
        <x:v>仅午餐+晚餐；早餐、饮奶、水果、零食未计入</x:v>
      </x:c>
    </x:row>
    <x:row r="153" ht="23" customHeight="1">
      <x:c r="A153" t="n">
        <x:v>152</x:v>
      </x:c>
      <x:c r="B153" t="n">
        <x:v>22</x:v>
      </x:c>
      <x:c r="C153" t="str">
        <x:v>蚝香北豆腐配娃娃菜芦笋｜魔芋丝</x:v>
      </x:c>
      <x:c r="D153" t="str">
        <x:v>清汤鸡里脊肉配紫甘蓝荷兰豆｜糙米饭</x:v>
      </x:c>
      <x:c r="E153" t="n">
        <x:f>'730餐菜单'!N304</x:f>
        <x:v>371</x:v>
      </x:c>
      <x:c r="F153" t="n">
        <x:f>'730餐菜单'!N305</x:f>
        <x:v>489</x:v>
      </x:c>
      <x:c r="G153" t="n">
        <x:f>E153+F153</x:f>
        <x:v>860</x:v>
      </x:c>
      <x:c r="H153" t="n">
        <x:f>'730餐菜单'!O304+'730餐菜单'!O305</x:f>
        <x:v>77.69999999999999</x:v>
      </x:c>
      <x:c r="I153" t="n">
        <x:f>'730餐菜单'!P304+'730餐菜单'!P305</x:f>
        <x:v>77</x:v>
      </x:c>
      <x:c r="J153" t="n">
        <x:f>'730餐菜单'!Q304+'730餐菜单'!Q305</x:f>
        <x:v>30</x:v>
      </x:c>
      <x:c r="K153" t="n">
        <x:f>SUM('食材明细'!F1816:F1817)+SUM('食材明细'!F1822:F1823)</x:f>
        <x:v>660</x:v>
      </x:c>
      <x:c r="L153" t="str">
        <x:v>仅午餐+晚餐；早餐、饮奶、水果、零食未计入</x:v>
      </x:c>
    </x:row>
    <x:row r="154" ht="23" customHeight="1">
      <x:c r="A154" t="n">
        <x:v>153</x:v>
      </x:c>
      <x:c r="B154" t="n">
        <x:v>22</x:v>
      </x:c>
      <x:c r="C154" t="str">
        <x:v>豉汁北豆腐鸡蛋烩秋葵菜心｜紫薯</x:v>
      </x:c>
      <x:c r="D154" t="str">
        <x:v>蚝香瘦牛肉配冬瓜绿豆芽｜土豆</x:v>
      </x:c>
      <x:c r="E154" t="n">
        <x:f>'730餐菜单'!N306</x:f>
        <x:v>609</x:v>
      </x:c>
      <x:c r="F154" t="n">
        <x:f>'730餐菜单'!N307</x:f>
        <x:v>377</x:v>
      </x:c>
      <x:c r="G154" t="n">
        <x:f>E154+F154</x:f>
        <x:v>986</x:v>
      </x:c>
      <x:c r="H154" t="n">
        <x:f>'730餐菜单'!O306+'730餐菜单'!O307</x:f>
        <x:v>83.6</x:v>
      </x:c>
      <x:c r="I154" t="n">
        <x:f>'730餐菜单'!P306+'730餐菜单'!P307</x:f>
        <x:v>92.1</x:v>
      </x:c>
      <x:c r="J154" t="n">
        <x:f>'730餐菜单'!Q306+'730餐菜单'!Q307</x:f>
        <x:v>35</x:v>
      </x:c>
      <x:c r="K154" t="n">
        <x:f>SUM('食材明细'!F1828:F1829)+SUM('食材明细'!F1834:F1835)</x:f>
        <x:v>600</x:v>
      </x:c>
      <x:c r="L154" t="str">
        <x:v>仅午餐+晚餐；早餐、饮奶、水果、零食未计入</x:v>
      </x:c>
    </x:row>
    <x:row r="155" ht="23" customHeight="1">
      <x:c r="A155" t="n">
        <x:v>154</x:v>
      </x:c>
      <x:c r="B155" t="n">
        <x:v>22</x:v>
      </x:c>
      <x:c r="C155" t="str">
        <x:v>蒜香鲈鱼配丝瓜小白菜｜紫薯</x:v>
      </x:c>
      <x:c r="D155" t="str">
        <x:v>黑椒去皮鸭胸肉配冬瓜莴笋｜杂粮饭</x:v>
      </x:c>
      <x:c r="E155" t="n">
        <x:f>'730餐菜单'!N308</x:f>
        <x:v>398</x:v>
      </x:c>
      <x:c r="F155" t="n">
        <x:f>'730餐菜单'!N309</x:f>
        <x:v>484</x:v>
      </x:c>
      <x:c r="G155" t="n">
        <x:f>E155+F155</x:f>
        <x:v>882</x:v>
      </x:c>
      <x:c r="H155" t="n">
        <x:f>'730餐菜单'!O308+'730餐菜单'!O309</x:f>
        <x:v>79.4</x:v>
      </x:c>
      <x:c r="I155" t="n">
        <x:f>'730餐菜单'!P308+'730餐菜单'!P309</x:f>
        <x:v>79.4</x:v>
      </x:c>
      <x:c r="J155" t="n">
        <x:f>'730餐菜单'!Q308+'730餐菜单'!Q309</x:f>
        <x:v>28.5</x:v>
      </x:c>
      <x:c r="K155" t="n">
        <x:f>SUM('食材明细'!F1840:F1841)+SUM('食材明细'!F1846:F1847)</x:f>
        <x:v>630</x:v>
      </x:c>
      <x:c r="L155" t="str">
        <x:v>仅午餐+晚餐；早餐、饮奶、水果、零食未计入</x:v>
      </x:c>
    </x:row>
    <x:row r="156" ht="23" customHeight="1">
      <x:c r="A156" t="n">
        <x:v>155</x:v>
      </x:c>
      <x:c r="B156" t="n">
        <x:v>23</x:v>
      </x:c>
      <x:c r="C156" t="str">
        <x:v>豉汁去皮鸡腿肉配大白菜彩椒｜糙米饭</x:v>
      </x:c>
      <x:c r="D156" t="str">
        <x:v>香醋鸡里脊肉配菠菜玉米笋｜藜麦饭</x:v>
      </x:c>
      <x:c r="E156" t="n">
        <x:f>'730餐菜单'!N310</x:f>
        <x:v>513</x:v>
      </x:c>
      <x:c r="F156" t="n">
        <x:f>'730餐菜单'!N311</x:f>
        <x:v>417</x:v>
      </x:c>
      <x:c r="G156" t="n">
        <x:f>E156+F156</x:f>
        <x:v>930</x:v>
      </x:c>
      <x:c r="H156" t="n">
        <x:f>'730餐菜单'!O310+'730餐菜单'!O311</x:f>
        <x:v>91.2</x:v>
      </x:c>
      <x:c r="I156" t="n">
        <x:f>'730餐菜单'!P310+'730餐菜单'!P311</x:f>
        <x:v>88.1</x:v>
      </x:c>
      <x:c r="J156" t="n">
        <x:f>'730餐菜单'!Q310+'730餐菜单'!Q311</x:f>
        <x:v>26</x:v>
      </x:c>
      <x:c r="K156" t="n">
        <x:f>SUM('食材明细'!F1852:F1853)+SUM('食材明细'!F1858:F1859)</x:f>
        <x:v>570</x:v>
      </x:c>
      <x:c r="L156" t="str">
        <x:v>仅午餐+晚餐；早餐、饮奶、水果、零食未计入</x:v>
      </x:c>
    </x:row>
    <x:row r="157" ht="23" customHeight="1">
      <x:c r="A157" t="n">
        <x:v>156</x:v>
      </x:c>
      <x:c r="B157" t="n">
        <x:v>23</x:v>
      </x:c>
      <x:c r="C157" t="str">
        <x:v>豉汁鸡胸肉配大白菜口蘑｜玉米</x:v>
      </x:c>
      <x:c r="D157" t="str">
        <x:v>番茄鲈鱼配菜心｜土豆</x:v>
      </x:c>
      <x:c r="E157" t="n">
        <x:f>'730餐菜单'!N312</x:f>
        <x:v>435</x:v>
      </x:c>
      <x:c r="F157" t="n">
        <x:f>'730餐菜单'!N313</x:f>
        <x:v>371</x:v>
      </x:c>
      <x:c r="G157" t="n">
        <x:f>E157+F157</x:f>
        <x:v>806</x:v>
      </x:c>
      <x:c r="H157" t="n">
        <x:f>'730餐菜单'!O312+'730餐菜单'!O313</x:f>
        <x:v>92.8</x:v>
      </x:c>
      <x:c r="I157" t="n">
        <x:f>'730餐菜单'!P312+'730餐菜单'!P313</x:f>
        <x:v>69.4</x:v>
      </x:c>
      <x:c r="J157" t="n">
        <x:f>'730餐菜单'!Q312+'730餐菜单'!Q313</x:f>
        <x:v>20.9</x:v>
      </x:c>
      <x:c r="K157" t="n">
        <x:f>SUM('食材明细'!F1864:F1865)+SUM('食材明细'!F1870:F1871)</x:f>
        <x:v>565</x:v>
      </x:c>
      <x:c r="L157" t="str">
        <x:v>仅午餐+晚餐；早餐、饮奶、水果、零食未计入</x:v>
      </x:c>
    </x:row>
    <x:row r="158" ht="23" customHeight="1">
      <x:c r="A158" t="n">
        <x:v>157</x:v>
      </x:c>
      <x:c r="B158" t="n">
        <x:v>23</x:v>
      </x:c>
      <x:c r="C158" t="str">
        <x:v>葱姜清蒸巴沙鱼配四季豆紫甘蓝｜乌冬面</x:v>
      </x:c>
      <x:c r="D158" t="str">
        <x:v>葱姜清蒸虾仁配紫甘蓝小白菜｜杂粮饭</x:v>
      </x:c>
      <x:c r="E158" t="n">
        <x:f>'730餐菜单'!N314</x:f>
        <x:v>437</x:v>
      </x:c>
      <x:c r="F158" t="n">
        <x:f>'730餐菜单'!N315</x:f>
        <x:v>516</x:v>
      </x:c>
      <x:c r="G158" t="n">
        <x:f>E158+F158</x:f>
        <x:v>953</x:v>
      </x:c>
      <x:c r="H158" t="n">
        <x:f>'730餐菜单'!O314+'730餐菜单'!O315</x:f>
        <x:v>92.6</x:v>
      </x:c>
      <x:c r="I158" t="n">
        <x:f>'730餐菜单'!P314+'730餐菜单'!P315</x:f>
        <x:v>106</x:v>
      </x:c>
      <x:c r="J158" t="n">
        <x:f>'730餐菜单'!Q314+'730餐菜单'!Q315</x:f>
        <x:v>19.8</x:v>
      </x:c>
      <x:c r="K158" t="n">
        <x:f>SUM('食材明细'!F1876:F1877)+SUM('食材明细'!F1882:F1883)</x:f>
        <x:v>595</x:v>
      </x:c>
      <x:c r="L158" t="str">
        <x:v>仅午餐+晚餐；早餐、饮奶、水果、零食未计入</x:v>
      </x:c>
    </x:row>
    <x:row r="159" ht="23" customHeight="1">
      <x:c r="A159" t="n">
        <x:v>158</x:v>
      </x:c>
      <x:c r="B159" t="n">
        <x:v>23</x:v>
      </x:c>
      <x:c r="C159" t="str">
        <x:v>剁椒鸡胸肉配西兰花冬瓜｜杂粮饭</x:v>
      </x:c>
      <x:c r="D159" t="str">
        <x:v>黑椒牛里脊配番茄菜心｜杂粮饭</x:v>
      </x:c>
      <x:c r="E159" t="n">
        <x:f>'730餐菜单'!N316</x:f>
        <x:v>601</x:v>
      </x:c>
      <x:c r="F159" t="n">
        <x:f>'730餐菜单'!N317</x:f>
        <x:v>441</x:v>
      </x:c>
      <x:c r="G159" t="n">
        <x:f>E159+F159</x:f>
        <x:v>1042</x:v>
      </x:c>
      <x:c r="H159" t="n">
        <x:f>'730餐菜单'!O316+'730餐菜单'!O317</x:f>
        <x:v>104.19999999999999</x:v>
      </x:c>
      <x:c r="I159" t="n">
        <x:f>'730餐菜单'!P316+'730餐菜单'!P317</x:f>
        <x:v>94.9</x:v>
      </x:c>
      <x:c r="J159" t="n">
        <x:f>'730餐菜单'!Q316+'730餐菜单'!Q317</x:f>
        <x:v>30.9</x:v>
      </x:c>
      <x:c r="K159" t="n">
        <x:f>SUM('食材明细'!F1888:F1889)+SUM('食材明细'!F1894:F1895)</x:f>
        <x:v>585</x:v>
      </x:c>
      <x:c r="L159" t="str">
        <x:v>仅午餐+晚餐；早餐、饮奶、水果、零食未计入</x:v>
      </x:c>
    </x:row>
    <x:row r="160" ht="23" customHeight="1">
      <x:c r="A160" t="n">
        <x:v>159</x:v>
      </x:c>
      <x:c r="B160" t="n">
        <x:v>23</x:v>
      </x:c>
      <x:c r="C160" t="str">
        <x:v>菌菇鸡蛋嫩豆腐烩小白菜金针菇｜土豆</x:v>
      </x:c>
      <x:c r="D160" t="str">
        <x:v>清汤嫩豆腐配荷兰豆紫甘蓝｜土豆</x:v>
      </x:c>
      <x:c r="E160" t="n">
        <x:f>'730餐菜单'!N318</x:f>
        <x:v>459</x:v>
      </x:c>
      <x:c r="F160" t="n">
        <x:f>'730餐菜单'!N319</x:f>
        <x:v>360</x:v>
      </x:c>
      <x:c r="G160" t="n">
        <x:f>E160+F160</x:f>
        <x:v>819</x:v>
      </x:c>
      <x:c r="H160" t="n">
        <x:f>'730餐菜单'!O318+'730餐菜单'!O319</x:f>
        <x:v>53.3</x:v>
      </x:c>
      <x:c r="I160" t="n">
        <x:f>'730餐菜单'!P318+'730餐菜单'!P319</x:f>
        <x:v>77.6</x:v>
      </x:c>
      <x:c r="J160" t="n">
        <x:f>'730餐菜单'!Q318+'730餐菜单'!Q319</x:f>
        <x:v>34.3</x:v>
      </x:c>
      <x:c r="K160" t="n">
        <x:f>SUM('食材明细'!F1900:F1901)+SUM('食材明细'!F1906:F1907)</x:f>
        <x:v>600</x:v>
      </x:c>
      <x:c r="L160" t="str">
        <x:v>仅午餐+晚餐；早餐、饮奶、水果、零食未计入</x:v>
      </x:c>
    </x:row>
    <x:row r="161" ht="23" customHeight="1">
      <x:c r="A161" t="n">
        <x:v>160</x:v>
      </x:c>
      <x:c r="B161" t="n">
        <x:v>23</x:v>
      </x:c>
      <x:c r="C161" t="str">
        <x:v>清汤花蛤肉配芦笋白萝卜｜糙米饭</x:v>
      </x:c>
      <x:c r="D161" t="str">
        <x:v>清汤虾仁配小白菜胡萝卜｜荞麦面</x:v>
      </x:c>
      <x:c r="E161" t="n">
        <x:f>'730餐菜单'!N320</x:f>
        <x:v>390</x:v>
      </x:c>
      <x:c r="F161" t="n">
        <x:f>'730餐菜单'!N321</x:f>
        <x:v>366</x:v>
      </x:c>
      <x:c r="G161" t="n">
        <x:f>E161+F161</x:f>
        <x:v>756</x:v>
      </x:c>
      <x:c r="H161" t="n">
        <x:f>'730餐菜单'!O320+'730餐菜单'!O321</x:f>
        <x:v>72.19999999999999</x:v>
      </x:c>
      <x:c r="I161" t="n">
        <x:f>'730餐菜单'!P320+'730餐菜单'!P321</x:f>
        <x:v>86.2</x:v>
      </x:c>
      <x:c r="J161" t="n">
        <x:f>'730餐菜单'!Q320+'730餐菜单'!Q321</x:f>
        <x:v>15.5</x:v>
      </x:c>
      <x:c r="K161" t="n">
        <x:f>SUM('食材明细'!F1912:F1913)+SUM('食材明细'!F1918:F1919)</x:f>
        <x:v>530</x:v>
      </x:c>
      <x:c r="L161" t="str">
        <x:v>仅午餐+晚餐；早餐、饮奶、水果、零食未计入</x:v>
      </x:c>
    </x:row>
    <x:row r="162" ht="23" customHeight="1">
      <x:c r="A162" t="n">
        <x:v>161</x:v>
      </x:c>
      <x:c r="B162" t="n">
        <x:v>23</x:v>
      </x:c>
      <x:c r="C162" t="str">
        <x:v>番茄鳕鱼配海带｜白米饭</x:v>
      </x:c>
      <x:c r="D162" t="str">
        <x:v>葱姜清蒸去皮鸡腿肉配菠菜海带｜荞麦饭</x:v>
      </x:c>
      <x:c r="E162" t="n">
        <x:f>'730餐菜单'!N322</x:f>
        <x:v>441</x:v>
      </x:c>
      <x:c r="F162" t="n">
        <x:f>'730餐菜单'!N323</x:f>
        <x:v>472</x:v>
      </x:c>
      <x:c r="G162" t="n">
        <x:f>E162+F162</x:f>
        <x:v>913</x:v>
      </x:c>
      <x:c r="H162" t="n">
        <x:f>'730餐菜单'!O322+'730餐菜单'!O323</x:f>
        <x:v>88.9</x:v>
      </x:c>
      <x:c r="I162" t="n">
        <x:f>'730餐菜单'!P322+'730餐菜单'!P323</x:f>
        <x:v>91.19999999999999</x:v>
      </x:c>
      <x:c r="J162" t="n">
        <x:f>'730餐菜单'!Q322+'730餐菜单'!Q323</x:f>
        <x:v>21.6</x:v>
      </x:c>
      <x:c r="K162" t="n">
        <x:f>SUM('食材明细'!F1924:F1925)+SUM('食材明细'!F1930:F1931)</x:f>
        <x:v>585</x:v>
      </x:c>
      <x:c r="L162" t="str">
        <x:v>仅午餐+晚餐；早餐、饮奶、水果、零食未计入</x:v>
      </x:c>
    </x:row>
    <x:row r="163" ht="23" customHeight="1">
      <x:c r="A163" t="n">
        <x:v>162</x:v>
      </x:c>
      <x:c r="B163" t="n">
        <x:v>24</x:v>
      </x:c>
      <x:c r="C163" t="str">
        <x:v>酸汤猪里脊配紫甘蓝花菜｜糙米饭</x:v>
      </x:c>
      <x:c r="D163" t="str">
        <x:v>番茄北豆腐熟毛豆仁烩番茄胡萝卜｜荞麦饭</x:v>
      </x:c>
      <x:c r="E163" t="n">
        <x:f>'730餐菜单'!N324</x:f>
        <x:v>527</x:v>
      </x:c>
      <x:c r="F163" t="n">
        <x:f>'730餐菜单'!N325</x:f>
        <x:v>589</x:v>
      </x:c>
      <x:c r="G163" t="n">
        <x:f>E163+F163</x:f>
        <x:v>1116</x:v>
      </x:c>
      <x:c r="H163" t="n">
        <x:f>'730餐菜单'!O324+'730餐菜单'!O325</x:f>
        <x:v>90.4</x:v>
      </x:c>
      <x:c r="I163" t="n">
        <x:f>'730餐菜单'!P324+'730餐菜单'!P325</x:f>
        <x:v>120</x:v>
      </x:c>
      <x:c r="J163" t="n">
        <x:f>'730餐菜单'!Q324+'730餐菜单'!Q325</x:f>
        <x:v>34.2</x:v>
      </x:c>
      <x:c r="K163" t="n">
        <x:f>SUM('食材明细'!F1936:F1937)+SUM('食材明细'!F1942:F1943)</x:f>
        <x:v>630</x:v>
      </x:c>
      <x:c r="L163" t="str">
        <x:v>仅午餐+晚餐；早餐、饮奶、水果、零食未计入</x:v>
      </x:c>
    </x:row>
    <x:row r="164" ht="23" customHeight="1">
      <x:c r="A164" t="n">
        <x:v>163</x:v>
      </x:c>
      <x:c r="B164" t="n">
        <x:v>24</x:v>
      </x:c>
      <x:c r="C164" t="str">
        <x:v>葱姜清蒸鸡胸肉配娃娃菜白萝卜｜糙米饭</x:v>
      </x:c>
      <x:c r="D164" t="str">
        <x:v>清汤花蛤肉配娃娃菜香菇｜紫薯</x:v>
      </x:c>
      <x:c r="E164" t="n">
        <x:f>'730餐菜单'!N326</x:f>
        <x:v>561</x:v>
      </x:c>
      <x:c r="F164" t="n">
        <x:f>'730餐菜单'!N327</x:f>
        <x:v>471</x:v>
      </x:c>
      <x:c r="G164" t="n">
        <x:f>E164+F164</x:f>
        <x:v>1032</x:v>
      </x:c>
      <x:c r="H164" t="n">
        <x:f>'730餐菜单'!O326+'730餐菜单'!O327</x:f>
        <x:v>98.8</x:v>
      </x:c>
      <x:c r="I164" t="n">
        <x:f>'730餐菜单'!P326+'730餐菜单'!P327</x:f>
        <x:v>109.4</x:v>
      </x:c>
      <x:c r="J164" t="n">
        <x:f>'730餐菜单'!Q326+'730餐菜单'!Q327</x:f>
        <x:v>24.8</x:v>
      </x:c>
      <x:c r="K164" t="n">
        <x:f>SUM('食材明细'!F1948:F1949)+SUM('食材明细'!F1954:F1955)</x:f>
        <x:v>645</x:v>
      </x:c>
      <x:c r="L164" t="str">
        <x:v>仅午餐+晚餐；早餐、饮奶、水果、零食未计入</x:v>
      </x:c>
    </x:row>
    <x:row r="165" ht="23" customHeight="1">
      <x:c r="A165" t="n">
        <x:v>164</x:v>
      </x:c>
      <x:c r="B165" t="n">
        <x:v>24</x:v>
      </x:c>
      <x:c r="C165" t="str">
        <x:v>葱姜清蒸猪瘦肉配油麦菜香菇｜糙米饭</x:v>
      </x:c>
      <x:c r="D165" t="str">
        <x:v>番茄去皮鸭胸肉配彩椒｜糙米饭</x:v>
      </x:c>
      <x:c r="E165" t="n">
        <x:f>'730餐菜单'!N328</x:f>
        <x:v>458</x:v>
      </x:c>
      <x:c r="F165" t="n">
        <x:f>'730餐菜单'!N329</x:f>
        <x:v>496</x:v>
      </x:c>
      <x:c r="G165" t="n">
        <x:f>E165+F165</x:f>
        <x:v>954</x:v>
      </x:c>
      <x:c r="H165" t="n">
        <x:f>'730餐菜单'!O328+'730餐菜单'!O329</x:f>
        <x:v>78.8</x:v>
      </x:c>
      <x:c r="I165" t="n">
        <x:f>'730餐菜单'!P328+'730餐菜单'!P329</x:f>
        <x:v>83.1</x:v>
      </x:c>
      <x:c r="J165" t="n">
        <x:f>'730餐菜单'!Q328+'730餐菜单'!Q329</x:f>
        <x:v>35.599999999999994</x:v>
      </x:c>
      <x:c r="K165" t="n">
        <x:f>SUM('食材明细'!F1960:F1961)+SUM('食材明细'!F1966:F1967)</x:f>
        <x:v>540</x:v>
      </x:c>
      <x:c r="L165" t="str">
        <x:v>仅午餐+晚餐；早餐、饮奶、水果、零食未计入</x:v>
      </x:c>
    </x:row>
    <x:row r="166" ht="23" customHeight="1">
      <x:c r="A166" t="n">
        <x:v>165</x:v>
      </x:c>
      <x:c r="B166" t="n">
        <x:v>24</x:v>
      </x:c>
      <x:c r="C166" t="str">
        <x:v>花椒瘦牛肉配苦瓜白萝卜｜荞麦面</x:v>
      </x:c>
      <x:c r="D166" t="str">
        <x:v>葱姜清蒸去皮鸡腿肉配四季豆西兰花｜燕麦饭</x:v>
      </x:c>
      <x:c r="E166" t="n">
        <x:f>'730餐菜单'!N330</x:f>
        <x:v>431</x:v>
      </x:c>
      <x:c r="F166" t="n">
        <x:f>'730餐菜单'!N331</x:f>
        <x:v>471</x:v>
      </x:c>
      <x:c r="G166" t="n">
        <x:f>E166+F166</x:f>
        <x:v>902</x:v>
      </x:c>
      <x:c r="H166" t="n">
        <x:f>'730餐菜单'!O330+'730餐菜单'!O331</x:f>
        <x:v>83.1</x:v>
      </x:c>
      <x:c r="I166" t="n">
        <x:f>'730餐菜单'!P330+'730餐菜单'!P331</x:f>
        <x:v>83.8</x:v>
      </x:c>
      <x:c r="J166" t="n">
        <x:f>'730餐菜单'!Q330+'730餐菜单'!Q331</x:f>
        <x:v>28.6</x:v>
      </x:c>
      <x:c r="K166" t="n">
        <x:f>SUM('食材明细'!F1972:F1973)+SUM('食材明细'!F1978:F1979)</x:f>
        <x:v>600</x:v>
      </x:c>
      <x:c r="L166" t="str">
        <x:v>仅午餐+晚餐；早餐、饮奶、水果、零食未计入</x:v>
      </x:c>
    </x:row>
    <x:row r="167" ht="23" customHeight="1">
      <x:c r="A167" t="n">
        <x:v>166</x:v>
      </x:c>
      <x:c r="B167" t="n">
        <x:v>24</x:v>
      </x:c>
      <x:c r="C167" t="str">
        <x:v>黑椒牛腱子配四季豆杏鲍菇｜荞麦面</x:v>
      </x:c>
      <x:c r="D167" t="str">
        <x:v>葱姜清蒸虾仁配油麦菜杏鲍菇｜燕麦饭</x:v>
      </x:c>
      <x:c r="E167" t="n">
        <x:f>'730餐菜单'!N332</x:f>
        <x:v>490</x:v>
      </x:c>
      <x:c r="F167" t="n">
        <x:f>'730餐菜单'!N333</x:f>
        <x:v>373</x:v>
      </x:c>
      <x:c r="G167" t="n">
        <x:f>E167+F167</x:f>
        <x:v>863</x:v>
      </x:c>
      <x:c r="H167" t="n">
        <x:f>'730餐菜单'!O332+'730餐菜单'!O333</x:f>
        <x:v>83.6</x:v>
      </x:c>
      <x:c r="I167" t="n">
        <x:f>'730餐菜单'!P332+'730餐菜单'!P333</x:f>
        <x:v>84</x:v>
      </x:c>
      <x:c r="J167" t="n">
        <x:f>'730餐菜单'!Q332+'730餐菜单'!Q333</x:f>
        <x:v>23.799999999999997</x:v>
      </x:c>
      <x:c r="K167" t="n">
        <x:f>SUM('食材明细'!F1984:F1985)+SUM('食材明细'!F1990:F1991)</x:f>
        <x:v>585</x:v>
      </x:c>
      <x:c r="L167" t="str">
        <x:v>仅午餐+晚餐；早餐、饮奶、水果、零食未计入</x:v>
      </x:c>
    </x:row>
    <x:row r="168" ht="23" customHeight="1">
      <x:c r="A168" t="n">
        <x:v>167</x:v>
      </x:c>
      <x:c r="B168" t="n">
        <x:v>24</x:v>
      </x:c>
      <x:c r="C168" t="str">
        <x:v>花椒巴沙鱼配菠菜口蘑｜乌冬面</x:v>
      </x:c>
      <x:c r="D168" t="str">
        <x:v>豉汁扇贝肉配芦笋海带｜杂粮饭</x:v>
      </x:c>
      <x:c r="E168" t="n">
        <x:f>'730餐菜单'!N334</x:f>
        <x:v>456</x:v>
      </x:c>
      <x:c r="F168" t="n">
        <x:f>'730餐菜单'!N335</x:f>
        <x:v>397</x:v>
      </x:c>
      <x:c r="G168" t="n">
        <x:f>E168+F168</x:f>
        <x:v>853</x:v>
      </x:c>
      <x:c r="H168" t="n">
        <x:f>'730餐菜单'!O334+'730餐菜单'!O335</x:f>
        <x:v>84.1</x:v>
      </x:c>
      <x:c r="I168" t="n">
        <x:f>'730餐菜单'!P334+'730餐菜单'!P335</x:f>
        <x:v>93.4</x:v>
      </x:c>
      <x:c r="J168" t="n">
        <x:f>'730餐菜单'!Q334+'730餐菜单'!Q335</x:f>
        <x:v>17.4</x:v>
      </x:c>
      <x:c r="K168" t="n">
        <x:f>SUM('食材明细'!F1996:F1997)+SUM('食材明细'!F2002:F2003)</x:f>
        <x:v>535</x:v>
      </x:c>
      <x:c r="L168" t="str">
        <x:v>仅午餐+晚餐；早餐、饮奶、水果、零食未计入</x:v>
      </x:c>
    </x:row>
    <x:row r="169" ht="23" customHeight="1">
      <x:c r="A169" t="n">
        <x:v>168</x:v>
      </x:c>
      <x:c r="B169" t="n">
        <x:v>24</x:v>
      </x:c>
      <x:c r="C169" t="str">
        <x:v>柠檬瘦牛肉配彩椒黄瓜｜杂粮饭</x:v>
      </x:c>
      <x:c r="D169" t="str">
        <x:v>葱姜清蒸北豆腐鸡蛋烩紫甘蓝冬瓜｜荞麦饭</x:v>
      </x:c>
      <x:c r="E169" t="n">
        <x:f>'730餐菜单'!N336</x:f>
        <x:v>511</x:v>
      </x:c>
      <x:c r="F169" t="n">
        <x:f>'730餐菜单'!N337</x:f>
        <x:v>634</x:v>
      </x:c>
      <x:c r="G169" t="n">
        <x:f>E169+F169</x:f>
        <x:v>1145</x:v>
      </x:c>
      <x:c r="H169" t="n">
        <x:f>'730餐菜单'!O336+'730餐菜单'!O337</x:f>
        <x:v>92.7</x:v>
      </x:c>
      <x:c r="I169" t="n">
        <x:f>'730餐菜单'!P336+'730餐菜单'!P337</x:f>
        <x:v>104.3</x:v>
      </x:c>
      <x:c r="J169" t="n">
        <x:f>'730餐菜单'!Q336+'730餐菜单'!Q337</x:f>
        <x:v>42.599999999999994</x:v>
      </x:c>
      <x:c r="K169" t="n">
        <x:f>SUM('食材明细'!F2008:F2009)+SUM('食材明细'!F2014:F2015)</x:f>
        <x:v>595</x:v>
      </x:c>
      <x:c r="L169" t="str">
        <x:v>仅午餐+晚餐；早餐、饮奶、水果、零食未计入</x:v>
      </x:c>
    </x:row>
    <x:row r="170" ht="23" customHeight="1">
      <x:c r="A170" t="n">
        <x:v>169</x:v>
      </x:c>
      <x:c r="B170" t="n">
        <x:v>25</x:v>
      </x:c>
      <x:c r="C170" t="str">
        <x:v>清汤鳕鱼配芹菜紫甘蓝｜山药</x:v>
      </x:c>
      <x:c r="D170" t="str">
        <x:v>蒜香鸡胸肉配丝瓜白萝卜｜藜麦饭</x:v>
      </x:c>
      <x:c r="E170" t="n">
        <x:f>'730餐菜单'!N338</x:f>
        <x:v>368</x:v>
      </x:c>
      <x:c r="F170" t="n">
        <x:f>'730餐菜单'!N339</x:f>
        <x:v>409</x:v>
      </x:c>
      <x:c r="G170" t="n">
        <x:f>E170+F170</x:f>
        <x:v>777</x:v>
      </x:c>
      <x:c r="H170" t="n">
        <x:f>'730餐菜单'!O338+'730餐菜单'!O339</x:f>
        <x:v>91</x:v>
      </x:c>
      <x:c r="I170" t="n">
        <x:f>'730餐菜单'!P338+'730餐菜单'!P339</x:f>
        <x:v>72.6</x:v>
      </x:c>
      <x:c r="J170" t="n">
        <x:f>'730餐菜单'!Q338+'730餐菜单'!Q339</x:f>
        <x:v>14.2</x:v>
      </x:c>
      <x:c r="K170" t="n">
        <x:f>SUM('食材明细'!F2020:F2021)+SUM('食材明细'!F2026:F2027)</x:f>
        <x:v>625</x:v>
      </x:c>
      <x:c r="L170" t="str">
        <x:v>仅午餐+晚餐；早餐、饮奶、水果、零食未计入</x:v>
      </x:c>
    </x:row>
    <x:row r="171" ht="23" customHeight="1">
      <x:c r="A171" t="n">
        <x:v>170</x:v>
      </x:c>
      <x:c r="B171" t="n">
        <x:v>25</x:v>
      </x:c>
      <x:c r="C171" t="str">
        <x:v>黑椒虾仁配紫甘蓝香菇｜杂粮饭</x:v>
      </x:c>
      <x:c r="D171" t="str">
        <x:v>番茄巴沙鱼配白萝卜｜白米饭</x:v>
      </x:c>
      <x:c r="E171" t="n">
        <x:f>'730餐菜单'!N340</x:f>
        <x:v>490</x:v>
      </x:c>
      <x:c r="F171" t="n">
        <x:f>'730餐菜单'!N341</x:f>
        <x:v>371</x:v>
      </x:c>
      <x:c r="G171" t="n">
        <x:f>E171+F171</x:f>
        <x:v>861</x:v>
      </x:c>
      <x:c r="H171" t="n">
        <x:f>'730餐菜单'!O340+'730餐菜单'!O341</x:f>
        <x:v>77.5</x:v>
      </x:c>
      <x:c r="I171" t="n">
        <x:f>'730餐菜单'!P340+'730餐菜单'!P341</x:f>
        <x:v>96.3</x:v>
      </x:c>
      <x:c r="J171" t="n">
        <x:f>'730餐菜单'!Q340+'730餐菜单'!Q341</x:f>
        <x:v>20.6</x:v>
      </x:c>
      <x:c r="K171" t="n">
        <x:f>SUM('食材明细'!F2032:F2033)+SUM('食材明细'!F2038:F2039)</x:f>
        <x:v>645</x:v>
      </x:c>
      <x:c r="L171" t="str">
        <x:v>仅午餐+晚餐；早餐、饮奶、水果、零食未计入</x:v>
      </x:c>
    </x:row>
    <x:row r="172" ht="23" customHeight="1">
      <x:c r="A172" t="n">
        <x:v>171</x:v>
      </x:c>
      <x:c r="B172" t="n">
        <x:v>25</x:v>
      </x:c>
      <x:c r="C172" t="str">
        <x:v>酸汤巴沙鱼配冬瓜香菇｜红薯</x:v>
      </x:c>
      <x:c r="D172" t="str">
        <x:v>椒麻鸡里脊肉配紫甘蓝洋葱｜杂粮饭</x:v>
      </x:c>
      <x:c r="E172" t="n">
        <x:f>'730餐菜单'!N342</x:f>
        <x:v>382</x:v>
      </x:c>
      <x:c r="F172" t="n">
        <x:f>'730餐菜单'!N343</x:f>
        <x:v>418</x:v>
      </x:c>
      <x:c r="G172" t="n">
        <x:f>E172+F172</x:f>
        <x:v>800</x:v>
      </x:c>
      <x:c r="H172" t="n">
        <x:f>'730餐菜单'!O342+'730餐菜单'!O343</x:f>
        <x:v>76.8</x:v>
      </x:c>
      <x:c r="I172" t="n">
        <x:f>'730餐菜单'!P342+'730餐菜单'!P343</x:f>
        <x:v>86.69999999999999</x:v>
      </x:c>
      <x:c r="J172" t="n">
        <x:f>'730餐菜单'!Q342+'730餐菜单'!Q343</x:f>
        <x:v>18.4</x:v>
      </x:c>
      <x:c r="K172" t="n">
        <x:f>SUM('食材明细'!F2044:F2045)+SUM('食材明细'!F2050:F2051)</x:f>
        <x:v>515</x:v>
      </x:c>
      <x:c r="L172" t="str">
        <x:v>仅午餐+晚餐；早餐、饮奶、水果、零食未计入</x:v>
      </x:c>
    </x:row>
    <x:row r="173" ht="23" customHeight="1">
      <x:c r="A173" t="n">
        <x:v>172</x:v>
      </x:c>
      <x:c r="B173" t="n">
        <x:v>25</x:v>
      </x:c>
      <x:c r="C173" t="str">
        <x:v>豉汁鸡蛋北豆腐烩西葫芦香菇｜杂粮饭</x:v>
      </x:c>
      <x:c r="D173" t="str">
        <x:v>咖喱瘦牛肉配紫甘蓝彩椒｜荞麦饭</x:v>
      </x:c>
      <x:c r="E173" t="n">
        <x:f>'730餐菜单'!N344</x:f>
        <x:v>482</x:v>
      </x:c>
      <x:c r="F173" t="n">
        <x:f>'730餐菜单'!N345</x:f>
        <x:v>449</x:v>
      </x:c>
      <x:c r="G173" t="n">
        <x:f>E173+F173</x:f>
        <x:v>931</x:v>
      </x:c>
      <x:c r="H173" t="n">
        <x:f>'730餐菜单'!O344+'730餐菜单'!O345</x:f>
        <x:v>74.30000000000001</x:v>
      </x:c>
      <x:c r="I173" t="n">
        <x:f>'730餐菜单'!P344+'730餐菜单'!P345</x:f>
        <x:v>91.1</x:v>
      </x:c>
      <x:c r="J173" t="n">
        <x:f>'730餐菜单'!Q344+'730餐菜单'!Q345</x:f>
        <x:v>33.2</x:v>
      </x:c>
      <x:c r="K173" t="n">
        <x:f>SUM('食材明细'!F2056:F2057)+SUM('食材明细'!F2062:F2063)</x:f>
        <x:v>660</x:v>
      </x:c>
      <x:c r="L173" t="str">
        <x:v>仅午餐+晚餐；早餐、饮奶、水果、零食未计入</x:v>
      </x:c>
    </x:row>
    <x:row r="174" ht="23" customHeight="1">
      <x:c r="A174" t="n">
        <x:v>173</x:v>
      </x:c>
      <x:c r="B174" t="n">
        <x:v>25</x:v>
      </x:c>
      <x:c r="C174" t="str">
        <x:v>豉汁虾仁配竹笋香菇｜紫薯</x:v>
      </x:c>
      <x:c r="D174" t="str">
        <x:v>花椒巴沙鱼配油麦菜丝瓜｜山药</x:v>
      </x:c>
      <x:c r="E174" t="n">
        <x:f>'730餐菜单'!N346</x:f>
        <x:v>524</x:v>
      </x:c>
      <x:c r="F174" t="n">
        <x:f>'730餐菜单'!N347</x:f>
        <x:v>362</x:v>
      </x:c>
      <x:c r="G174" t="n">
        <x:f>E174+F174</x:f>
        <x:v>886</x:v>
      </x:c>
      <x:c r="H174" t="n">
        <x:f>'730餐菜单'!O346+'730餐菜单'!O347</x:f>
        <x:v>95.5</x:v>
      </x:c>
      <x:c r="I174" t="n">
        <x:f>'730餐菜单'!P346+'730餐菜单'!P347</x:f>
        <x:v>73</x:v>
      </x:c>
      <x:c r="J174" t="n">
        <x:f>'730餐菜单'!Q346+'730餐菜单'!Q347</x:f>
        <x:v>26.3</x:v>
      </x:c>
      <x:c r="K174" t="n">
        <x:f>SUM('食材明细'!F2068:F2069)+SUM('食材明细'!F2074:F2075)</x:f>
        <x:v>580</x:v>
      </x:c>
      <x:c r="L174" t="str">
        <x:v>仅午餐+晚餐；早餐、饮奶、水果、零食未计入</x:v>
      </x:c>
    </x:row>
    <x:row r="175" ht="23" customHeight="1">
      <x:c r="A175" t="n">
        <x:v>174</x:v>
      </x:c>
      <x:c r="B175" t="n">
        <x:v>25</x:v>
      </x:c>
      <x:c r="C175" t="str">
        <x:v>蒜香鱿鱼配娃娃菜番茄｜米粉</x:v>
      </x:c>
      <x:c r="D175" t="str">
        <x:v>番茄嫩豆腐鸡蛋烩番茄彩椒｜白米饭</x:v>
      </x:c>
      <x:c r="E175" t="n">
        <x:f>'730餐菜单'!N348</x:f>
        <x:v>389</x:v>
      </x:c>
      <x:c r="F175" t="n">
        <x:f>'730餐菜单'!N349</x:f>
        <x:v>533</x:v>
      </x:c>
      <x:c r="G175" t="n">
        <x:f>E175+F175</x:f>
        <x:v>922</x:v>
      </x:c>
      <x:c r="H175" t="n">
        <x:f>'730餐菜单'!O348+'730餐菜单'!O349</x:f>
        <x:v>67.2</x:v>
      </x:c>
      <x:c r="I175" t="n">
        <x:f>'730餐菜单'!P348+'730餐菜单'!P349</x:f>
        <x:v>95.4</x:v>
      </x:c>
      <x:c r="J175" t="n">
        <x:f>'730餐菜单'!Q348+'730餐菜单'!Q349</x:f>
        <x:v>29.3</x:v>
      </x:c>
      <x:c r="K175" t="n">
        <x:f>SUM('食材明细'!F2080:F2081)+SUM('食材明细'!F2086:F2087)</x:f>
        <x:v>550</x:v>
      </x:c>
      <x:c r="L175" t="str">
        <x:v>仅午餐+晚餐；早餐、饮奶、水果、零食未计入</x:v>
      </x:c>
    </x:row>
    <x:row r="176" ht="23" customHeight="1">
      <x:c r="A176" t="n">
        <x:v>175</x:v>
      </x:c>
      <x:c r="B176" t="n">
        <x:v>25</x:v>
      </x:c>
      <x:c r="C176" t="str">
        <x:v>酸汤肥牛卷北豆腐烩苦瓜香菇｜荞麦饭</x:v>
      </x:c>
      <x:c r="D176" t="str">
        <x:v>葱姜清蒸鸡胸肉配菜心口蘑｜杂粮饭</x:v>
      </x:c>
      <x:c r="E176" t="n">
        <x:f>'730餐菜单'!N350</x:f>
        <x:v>645</x:v>
      </x:c>
      <x:c r="F176" t="n">
        <x:f>'730餐菜单'!N351</x:f>
        <x:v>513</x:v>
      </x:c>
      <x:c r="G176" t="n">
        <x:f>E176+F176</x:f>
        <x:v>1158</x:v>
      </x:c>
      <x:c r="H176" t="n">
        <x:f>'730餐菜单'!O350+'730餐菜单'!O351</x:f>
        <x:v>96.1</x:v>
      </x:c>
      <x:c r="I176" t="n">
        <x:f>'730餐菜单'!P350+'730餐菜单'!P351</x:f>
        <x:v>92.9</x:v>
      </x:c>
      <x:c r="J176" t="n">
        <x:f>'730餐菜单'!Q350+'730餐菜单'!Q351</x:f>
        <x:v>48.2</x:v>
      </x:c>
      <x:c r="K176" t="n">
        <x:f>SUM('食材明细'!F2092:F2093)+SUM('食材明细'!F2098:F2099)</x:f>
        <x:v>565</x:v>
      </x:c>
      <x:c r="L176" t="str">
        <x:v>仅午餐+晚餐；早餐、饮奶、水果、零食未计入</x:v>
      </x:c>
    </x:row>
    <x:row r="177" ht="23" customHeight="1">
      <x:c r="A177" t="n">
        <x:v>176</x:v>
      </x:c>
      <x:c r="B177" t="n">
        <x:v>26</x:v>
      </x:c>
      <x:c r="C177" t="str">
        <x:v>葱姜清蒸鱿鱼配西兰花绿豆芽｜乌冬面</x:v>
      </x:c>
      <x:c r="D177" t="str">
        <x:v>蒜香猪瘦肉配紫甘蓝莴笋｜白米饭</x:v>
      </x:c>
      <x:c r="E177" t="n">
        <x:f>'730餐菜单'!N352</x:f>
        <x:v>494</x:v>
      </x:c>
      <x:c r="F177" t="n">
        <x:f>'730餐菜单'!N353</x:f>
        <x:v>398</x:v>
      </x:c>
      <x:c r="G177" t="n">
        <x:f>E177+F177</x:f>
        <x:v>892</x:v>
      </x:c>
      <x:c r="H177" t="n">
        <x:f>'730餐菜单'!O352+'730餐菜单'!O353</x:f>
        <x:v>80.30000000000001</x:v>
      </x:c>
      <x:c r="I177" t="n">
        <x:f>'730餐菜单'!P352+'730餐菜单'!P353</x:f>
        <x:v>97.6</x:v>
      </x:c>
      <x:c r="J177" t="n">
        <x:f>'730餐菜单'!Q352+'730餐菜单'!Q353</x:f>
        <x:v>21.6</x:v>
      </x:c>
      <x:c r="K177" t="n">
        <x:f>SUM('食材明细'!F2104:F2105)+SUM('食材明细'!F2110:F2111)</x:f>
        <x:v>615</x:v>
      </x:c>
      <x:c r="L177" t="str">
        <x:v>仅午餐+晚餐；早餐、饮奶、水果、零食未计入</x:v>
      </x:c>
    </x:row>
    <x:row r="178" ht="23" customHeight="1">
      <x:c r="A178" t="n">
        <x:v>177</x:v>
      </x:c>
      <x:c r="B178" t="n">
        <x:v>26</x:v>
      </x:c>
      <x:c r="C178" t="str">
        <x:v>番茄花蛤肉配彩椒｜白米饭</x:v>
      </x:c>
      <x:c r="D178" t="str">
        <x:v>酸汤去皮鸡腿肉配芦笋玉米笋｜全麦面</x:v>
      </x:c>
      <x:c r="E178" t="n">
        <x:f>'730餐菜单'!N354</x:f>
        <x:v>407</x:v>
      </x:c>
      <x:c r="F178" t="n">
        <x:f>'730餐菜单'!N355</x:f>
        <x:v>462</x:v>
      </x:c>
      <x:c r="G178" t="n">
        <x:f>E178+F178</x:f>
        <x:v>869</x:v>
      </x:c>
      <x:c r="H178" t="n">
        <x:f>'730餐菜单'!O354+'730餐菜单'!O355</x:f>
        <x:v>70.3</x:v>
      </x:c>
      <x:c r="I178" t="n">
        <x:f>'730餐菜单'!P354+'730餐菜单'!P355</x:f>
        <x:v>101.9</x:v>
      </x:c>
      <x:c r="J178" t="n">
        <x:f>'730餐菜单'!Q354+'730餐菜单'!Q355</x:f>
        <x:v>22.7</x:v>
      </x:c>
      <x:c r="K178" t="n">
        <x:f>SUM('食材明细'!F2116:F2117)+SUM('食材明细'!F2122:F2123)</x:f>
        <x:v>595</x:v>
      </x:c>
      <x:c r="L178" t="str">
        <x:v>仅午餐+晚餐；早餐、饮奶、水果、零食未计入</x:v>
      </x:c>
    </x:row>
    <x:row r="179" ht="23" customHeight="1">
      <x:c r="A179" t="n">
        <x:v>178</x:v>
      </x:c>
      <x:c r="B179" t="n">
        <x:v>26</x:v>
      </x:c>
      <x:c r="C179" t="str">
        <x:v>柠檬猪里脊配芹菜莴笋｜杂粮饭</x:v>
      </x:c>
      <x:c r="D179" t="str">
        <x:v>蒜香牛腱子配西葫芦菜心｜紫薯</x:v>
      </x:c>
      <x:c r="E179" t="n">
        <x:f>'730餐菜单'!N356</x:f>
        <x:v>467</x:v>
      </x:c>
      <x:c r="F179" t="n">
        <x:f>'730餐菜单'!N357</x:f>
        <x:v>416</x:v>
      </x:c>
      <x:c r="G179" t="n">
        <x:f>E179+F179</x:f>
        <x:v>883</x:v>
      </x:c>
      <x:c r="H179" t="n">
        <x:f>'730餐菜单'!O356+'730餐菜单'!O357</x:f>
        <x:v>84.3</x:v>
      </x:c>
      <x:c r="I179" t="n">
        <x:f>'730餐菜单'!P356+'730餐菜单'!P357</x:f>
        <x:v>75.5</x:v>
      </x:c>
      <x:c r="J179" t="n">
        <x:f>'730餐菜单'!Q356+'730餐菜单'!Q357</x:f>
        <x:v>28</x:v>
      </x:c>
      <x:c r="K179" t="n">
        <x:f>SUM('食材明细'!F2128:F2129)+SUM('食材明细'!F2134:F2135)</x:f>
        <x:v>595</x:v>
      </x:c>
      <x:c r="L179" t="str">
        <x:v>仅午餐+晚餐；早餐、饮奶、水果、零食未计入</x:v>
      </x:c>
    </x:row>
    <x:row r="180" ht="23" customHeight="1">
      <x:c r="A180" t="n">
        <x:v>179</x:v>
      </x:c>
      <x:c r="B180" t="n">
        <x:v>26</x:v>
      </x:c>
      <x:c r="C180" t="str">
        <x:v>椒麻鲈鱼配生菜荷兰豆｜紫薯</x:v>
      </x:c>
      <x:c r="D180" t="str">
        <x:v>香醋去皮鸡腿肉配西葫芦洋葱｜荞麦面</x:v>
      </x:c>
      <x:c r="E180" t="n">
        <x:f>'730餐菜单'!N358</x:f>
        <x:v>521</x:v>
      </x:c>
      <x:c r="F180" t="n">
        <x:f>'730餐菜单'!N359</x:f>
        <x:v>480</x:v>
      </x:c>
      <x:c r="G180" t="n">
        <x:f>E180+F180</x:f>
        <x:v>1001</x:v>
      </x:c>
      <x:c r="H180" t="n">
        <x:f>'730餐菜单'!O358+'730餐菜单'!O359</x:f>
        <x:v>94.4</x:v>
      </x:c>
      <x:c r="I180" t="n">
        <x:f>'730餐菜单'!P358+'730餐菜单'!P359</x:f>
        <x:v>96.3</x:v>
      </x:c>
      <x:c r="J180" t="n">
        <x:f>'730餐菜单'!Q358+'730餐菜单'!Q359</x:f>
        <x:v>27.799999999999997</x:v>
      </x:c>
      <x:c r="K180" t="n">
        <x:f>SUM('食材明细'!F2140:F2141)+SUM('食材明细'!F2146:F2147)</x:f>
        <x:v>585</x:v>
      </x:c>
      <x:c r="L180" t="str">
        <x:v>仅午餐+晚餐；早餐、饮奶、水果、零食未计入</x:v>
      </x:c>
    </x:row>
    <x:row r="181" ht="23" customHeight="1">
      <x:c r="A181" t="n">
        <x:v>180</x:v>
      </x:c>
      <x:c r="B181" t="n">
        <x:v>26</x:v>
      </x:c>
      <x:c r="C181" t="str">
        <x:v>剁椒去皮鸡腿肉配四季豆杏鲍菇｜藜麦饭</x:v>
      </x:c>
      <x:c r="D181" t="str">
        <x:v>椒麻肥牛卷北豆腐烩荷兰豆小白菜｜藜麦饭</x:v>
      </x:c>
      <x:c r="E181" t="n">
        <x:f>'730餐菜单'!N360</x:f>
        <x:v>549</x:v>
      </x:c>
      <x:c r="F181" t="n">
        <x:f>'730餐菜单'!N361</x:f>
        <x:v>559</x:v>
      </x:c>
      <x:c r="G181" t="n">
        <x:f>E181+F181</x:f>
        <x:v>1108</x:v>
      </x:c>
      <x:c r="H181" t="n">
        <x:f>'730餐菜单'!O360+'730餐菜单'!O361</x:f>
        <x:v>84.2</x:v>
      </x:c>
      <x:c r="I181" t="n">
        <x:f>'730餐菜单'!P360+'730餐菜单'!P361</x:f>
        <x:v>97</x:v>
      </x:c>
      <x:c r="J181" t="n">
        <x:f>'730餐菜单'!Q360+'730餐菜单'!Q361</x:f>
        <x:v>45.1</x:v>
      </x:c>
      <x:c r="K181" t="n">
        <x:f>SUM('食材明细'!F2152:F2153)+SUM('食材明细'!F2158:F2159)</x:f>
        <x:v>630</x:v>
      </x:c>
      <x:c r="L181" t="str">
        <x:v>仅午餐+晚餐；早餐、饮奶、水果、零食未计入</x:v>
      </x:c>
    </x:row>
    <x:row r="182" ht="23" customHeight="1">
      <x:c r="A182" t="n">
        <x:v>181</x:v>
      </x:c>
      <x:c r="B182" t="n">
        <x:v>26</x:v>
      </x:c>
      <x:c r="C182" t="str">
        <x:v>葱姜清蒸鲈鱼配花菜海带｜荞麦面</x:v>
      </x:c>
      <x:c r="D182" t="str">
        <x:v>蒜香扇贝肉配芦笋白萝卜｜糙米饭</x:v>
      </x:c>
      <x:c r="E182" t="n">
        <x:f>'730餐菜单'!N362</x:f>
        <x:v>596</x:v>
      </x:c>
      <x:c r="F182" t="n">
        <x:f>'730餐菜单'!N363</x:f>
        <x:v>409</x:v>
      </x:c>
      <x:c r="G182" t="n">
        <x:f>E182+F182</x:f>
        <x:v>1005</x:v>
      </x:c>
      <x:c r="H182" t="n">
        <x:f>'730餐菜单'!O362+'730餐菜单'!O363</x:f>
        <x:v>95.6</x:v>
      </x:c>
      <x:c r="I182" t="n">
        <x:f>'730餐菜单'!P362+'730餐菜单'!P363</x:f>
        <x:v>105</x:v>
      </x:c>
      <x:c r="J182" t="n">
        <x:f>'730餐菜单'!Q362+'730餐菜单'!Q363</x:f>
        <x:v>24.700000000000003</x:v>
      </x:c>
      <x:c r="K182" t="n">
        <x:f>SUM('食材明细'!F2164:F2165)+SUM('食材明细'!F2170:F2171)</x:f>
        <x:v>645</x:v>
      </x:c>
      <x:c r="L182" t="str">
        <x:v>仅午餐+晚餐；早餐、饮奶、水果、零食未计入</x:v>
      </x:c>
    </x:row>
    <x:row r="183" ht="23" customHeight="1">
      <x:c r="A183" t="n">
        <x:v>182</x:v>
      </x:c>
      <x:c r="B183" t="n">
        <x:v>26</x:v>
      </x:c>
      <x:c r="C183" t="str">
        <x:v>柠檬三文鱼配西葫芦菜心｜白米饭</x:v>
      </x:c>
      <x:c r="D183" t="str">
        <x:v>椒麻去皮鸭胸肉配菜心黄瓜｜杂粮饭</x:v>
      </x:c>
      <x:c r="E183" t="n">
        <x:f>'730餐菜单'!N364</x:f>
        <x:v>490</x:v>
      </x:c>
      <x:c r="F183" t="n">
        <x:f>'730餐菜单'!N365</x:f>
        <x:v>422</x:v>
      </x:c>
      <x:c r="G183" t="n">
        <x:f>E183+F183</x:f>
        <x:v>912</x:v>
      </x:c>
      <x:c r="H183" t="n">
        <x:f>'730餐菜单'!O364+'730餐菜单'!O365</x:f>
        <x:v>67.1</x:v>
      </x:c>
      <x:c r="I183" t="n">
        <x:f>'730餐菜单'!P364+'730餐菜单'!P365</x:f>
        <x:v>82.6</x:v>
      </x:c>
      <x:c r="J183" t="n">
        <x:f>'730餐菜单'!Q364+'730餐菜单'!Q365</x:f>
        <x:v>36</x:v>
      </x:c>
      <x:c r="K183" t="n">
        <x:f>SUM('食材明细'!F2176:F2177)+SUM('食材明细'!F2182:F2183)</x:f>
        <x:v>545</x:v>
      </x:c>
      <x:c r="L183" t="str">
        <x:v>仅午餐+晚餐；早餐、饮奶、水果、零食未计入</x:v>
      </x:c>
    </x:row>
    <x:row r="184" ht="23" customHeight="1">
      <x:c r="A184" t="n">
        <x:v>183</x:v>
      </x:c>
      <x:c r="B184" t="n">
        <x:v>27</x:v>
      </x:c>
      <x:c r="C184" t="str">
        <x:v>菌菇花蛤肉配茼蒿口蘑｜山药</x:v>
      </x:c>
      <x:c r="D184" t="str">
        <x:v>奥尔良风味鸡胸肉配彩椒口蘑｜玉米</x:v>
      </x:c>
      <x:c r="E184" t="n">
        <x:f>'730餐菜单'!N366</x:f>
        <x:v>390</x:v>
      </x:c>
      <x:c r="F184" t="n">
        <x:f>'730餐菜单'!N367</x:f>
        <x:v>535</x:v>
      </x:c>
      <x:c r="G184" t="n">
        <x:f>E184+F184</x:f>
        <x:v>925</x:v>
      </x:c>
      <x:c r="H184" t="n">
        <x:f>'730餐菜单'!O366+'730餐菜单'!O367</x:f>
        <x:v>102.2</x:v>
      </x:c>
      <x:c r="I184" t="n">
        <x:f>'730餐菜单'!P366+'730餐菜单'!P367</x:f>
        <x:v>83</x:v>
      </x:c>
      <x:c r="J184" t="n">
        <x:f>'730餐菜单'!Q366+'730餐菜单'!Q367</x:f>
        <x:v>25.2</x:v>
      </x:c>
      <x:c r="K184" t="n">
        <x:f>SUM('食材明细'!F2188:F2189)+SUM('食材明细'!F2194:F2195)</x:f>
        <x:v>550</x:v>
      </x:c>
      <x:c r="L184" t="str">
        <x:v>仅午餐+晚餐；早餐、饮奶、水果、零食未计入</x:v>
      </x:c>
    </x:row>
    <x:row r="185" ht="23" customHeight="1">
      <x:c r="A185" t="n">
        <x:v>184</x:v>
      </x:c>
      <x:c r="B185" t="n">
        <x:v>27</x:v>
      </x:c>
      <x:c r="C185" t="str">
        <x:v>黑椒虾仁配生菜紫甘蓝｜魔芋丝</x:v>
      </x:c>
      <x:c r="D185" t="str">
        <x:v>酸汤嫩豆腐虾仁烩茼蒿玉米笋｜白米饭</x:v>
      </x:c>
      <x:c r="E185" t="n">
        <x:f>'730餐菜单'!N368</x:f>
        <x:v>371</x:v>
      </x:c>
      <x:c r="F185" t="n">
        <x:f>'730餐菜单'!N369</x:f>
        <x:v>440</x:v>
      </x:c>
      <x:c r="G185" t="n">
        <x:f>E185+F185</x:f>
        <x:v>811</x:v>
      </x:c>
      <x:c r="H185" t="n">
        <x:f>'730餐菜单'!O368+'730餐菜单'!O369</x:f>
        <x:v>87.6</x:v>
      </x:c>
      <x:c r="I185" t="n">
        <x:f>'730餐菜单'!P368+'730餐菜单'!P369</x:f>
        <x:v>60.3</x:v>
      </x:c>
      <x:c r="J185" t="n">
        <x:f>'730餐菜单'!Q368+'730餐菜单'!Q369</x:f>
        <x:v>25</x:v>
      </x:c>
      <x:c r="K185" t="n">
        <x:f>SUM('食材明细'!F2200:F2201)+SUM('食材明细'!F2206:F2207)</x:f>
        <x:v>610</x:v>
      </x:c>
      <x:c r="L185" t="str">
        <x:v>仅午餐+晚餐；早餐、饮奶、水果、零食未计入</x:v>
      </x:c>
    </x:row>
    <x:row r="186" ht="23" customHeight="1">
      <x:c r="A186" t="n">
        <x:v>185</x:v>
      </x:c>
      <x:c r="B186" t="n">
        <x:v>27</x:v>
      </x:c>
      <x:c r="C186" t="str">
        <x:v>清汤鸡胸肉配花菜口蘑｜燕麦饭</x:v>
      </x:c>
      <x:c r="D186" t="str">
        <x:v>剁椒瘦牛肉配黄瓜杏鲍菇｜紫薯</x:v>
      </x:c>
      <x:c r="E186" t="n">
        <x:f>'730餐菜单'!N370</x:f>
        <x:v>445</x:v>
      </x:c>
      <x:c r="F186" t="n">
        <x:f>'730餐菜单'!N371</x:f>
        <x:v>423</x:v>
      </x:c>
      <x:c r="G186" t="n">
        <x:f>E186+F186</x:f>
        <x:v>868</x:v>
      </x:c>
      <x:c r="H186" t="n">
        <x:f>'730餐菜单'!O370+'730餐菜单'!O371</x:f>
        <x:v>91</x:v>
      </x:c>
      <x:c r="I186" t="n">
        <x:f>'730餐菜单'!P370+'730餐菜单'!P371</x:f>
        <x:v>84</x:v>
      </x:c>
      <x:c r="J186" t="n">
        <x:f>'730餐菜单'!Q370+'730餐菜单'!Q371</x:f>
        <x:v>21.3</x:v>
      </x:c>
      <x:c r="K186" t="n">
        <x:f>SUM('食材明细'!F2212:F2213)+SUM('食材明细'!F2218:F2219)</x:f>
        <x:v>595</x:v>
      </x:c>
      <x:c r="L186" t="str">
        <x:v>仅午餐+晚餐；早餐、饮奶、水果、零食未计入</x:v>
      </x:c>
    </x:row>
    <x:row r="187" ht="23" customHeight="1">
      <x:c r="A187" t="n">
        <x:v>186</x:v>
      </x:c>
      <x:c r="B187" t="n">
        <x:v>27</x:v>
      </x:c>
      <x:c r="C187" t="str">
        <x:v>清汤鸡胸肉配西葫芦胡萝卜｜魔芋丝</x:v>
      </x:c>
      <x:c r="D187" t="str">
        <x:v>香醋鸡蛋嫩豆腐烩丝瓜娃娃菜｜紫薯</x:v>
      </x:c>
      <x:c r="E187" t="n">
        <x:f>'730餐菜单'!N372</x:f>
        <x:v>368</x:v>
      </x:c>
      <x:c r="F187" t="n">
        <x:f>'730餐菜单'!N373</x:f>
        <x:v>431</x:v>
      </x:c>
      <x:c r="G187" t="n">
        <x:f>E187+F187</x:f>
        <x:v>799</x:v>
      </x:c>
      <x:c r="H187" t="n">
        <x:f>'730餐菜单'!O372+'730餐菜单'!O373</x:f>
        <x:v>79.1</x:v>
      </x:c>
      <x:c r="I187" t="n">
        <x:f>'730餐菜单'!P372+'730餐菜单'!P373</x:f>
        <x:v>61</x:v>
      </x:c>
      <x:c r="J187" t="n">
        <x:f>'730餐菜单'!Q372+'730餐菜单'!Q373</x:f>
        <x:v>28.299999999999997</x:v>
      </x:c>
      <x:c r="K187" t="n">
        <x:f>SUM('食材明细'!F2224:F2225)+SUM('食材明细'!F2230:F2231)</x:f>
        <x:v>570</x:v>
      </x:c>
      <x:c r="L187" t="str">
        <x:v>仅午餐+晚餐；早餐、饮奶、水果、零食未计入</x:v>
      </x:c>
    </x:row>
    <x:row r="188" ht="23" customHeight="1">
      <x:c r="A188" t="n">
        <x:v>187</x:v>
      </x:c>
      <x:c r="B188" t="n">
        <x:v>27</x:v>
      </x:c>
      <x:c r="C188" t="str">
        <x:v>番茄鲈鱼配莴笋｜白米饭</x:v>
      </x:c>
      <x:c r="D188" t="str">
        <x:v>蒜香鸡蛋虾仁烩芦笋彩椒｜红薯</x:v>
      </x:c>
      <x:c r="E188" t="n">
        <x:f>'730餐菜单'!N374</x:f>
        <x:v>437</x:v>
      </x:c>
      <x:c r="F188" t="n">
        <x:f>'730餐菜单'!N375</x:f>
        <x:v>447</x:v>
      </x:c>
      <x:c r="G188" t="n">
        <x:f>E188+F188</x:f>
        <x:v>884</x:v>
      </x:c>
      <x:c r="H188" t="n">
        <x:f>'730餐菜单'!O374+'730餐菜单'!O375</x:f>
        <x:v>82.6</x:v>
      </x:c>
      <x:c r="I188" t="n">
        <x:f>'730餐菜单'!P374+'730餐菜单'!P375</x:f>
        <x:v>78.30000000000001</x:v>
      </x:c>
      <x:c r="J188" t="n">
        <x:f>'730餐菜单'!Q374+'730餐菜单'!Q375</x:f>
        <x:v>28.4</x:v>
      </x:c>
      <x:c r="K188" t="n">
        <x:f>SUM('食材明细'!F2236:F2237)+SUM('食材明细'!F2242:F2243)</x:f>
        <x:v>615</x:v>
      </x:c>
      <x:c r="L188" t="str">
        <x:v>仅午餐+晚餐；早餐、饮奶、水果、零食未计入</x:v>
      </x:c>
    </x:row>
    <x:row r="189" ht="23" customHeight="1">
      <x:c r="A189" t="n">
        <x:v>188</x:v>
      </x:c>
      <x:c r="B189" t="n">
        <x:v>27</x:v>
      </x:c>
      <x:c r="C189" t="str">
        <x:v>蒜香鳕鱼配芦笋小白菜｜乌冬面</x:v>
      </x:c>
      <x:c r="D189" t="str">
        <x:v>清汤嫩豆腐鸡蛋烩白萝卜芦笋｜魔芋丝</x:v>
      </x:c>
      <x:c r="E189" t="n">
        <x:f>'730餐菜单'!N376</x:f>
        <x:v>442</x:v>
      </x:c>
      <x:c r="F189" t="n">
        <x:f>'730餐菜单'!N377</x:f>
        <x:v>369</x:v>
      </x:c>
      <x:c r="G189" t="n">
        <x:f>E189+F189</x:f>
        <x:v>811</x:v>
      </x:c>
      <x:c r="H189" t="n">
        <x:f>'730餐菜单'!O376+'730餐菜单'!O377</x:f>
        <x:v>71.19999999999999</x:v>
      </x:c>
      <x:c r="I189" t="n">
        <x:f>'730餐菜单'!P376+'730餐菜单'!P377</x:f>
        <x:v>69.69999999999999</x:v>
      </x:c>
      <x:c r="J189" t="n">
        <x:f>'730餐菜单'!Q376+'730餐菜单'!Q377</x:f>
        <x:v>27.400000000000002</x:v>
      </x:c>
      <x:c r="K189" t="n">
        <x:f>SUM('食材明细'!F2248:F2249)+SUM('食材明细'!F2254:F2255)</x:f>
        <x:v>600</x:v>
      </x:c>
      <x:c r="L189" t="str">
        <x:v>仅午餐+晚餐；早餐、饮奶、水果、零食未计入</x:v>
      </x:c>
    </x:row>
    <x:row r="190" ht="23" customHeight="1">
      <x:c r="A190" t="n">
        <x:v>189</x:v>
      </x:c>
      <x:c r="B190" t="n">
        <x:v>27</x:v>
      </x:c>
      <x:c r="C190" t="str">
        <x:v>花椒鲈鱼配西兰花彩椒｜紫薯</x:v>
      </x:c>
      <x:c r="D190" t="str">
        <x:v>酸汤鳕鱼配娃娃菜白萝卜｜燕麦饭</x:v>
      </x:c>
      <x:c r="E190" t="n">
        <x:f>'730餐菜单'!N378</x:f>
        <x:v>447</x:v>
      </x:c>
      <x:c r="F190" t="n">
        <x:f>'730餐菜单'!N379</x:f>
        <x:v>360</x:v>
      </x:c>
      <x:c r="G190" t="n">
        <x:f>E190+F190</x:f>
        <x:v>807</x:v>
      </x:c>
      <x:c r="H190" t="n">
        <x:f>'730餐菜单'!O378+'730餐菜单'!O379</x:f>
        <x:v>84.30000000000001</x:v>
      </x:c>
      <x:c r="I190" t="n">
        <x:f>'730餐菜单'!P378+'730餐菜单'!P379</x:f>
        <x:v>76.6</x:v>
      </x:c>
      <x:c r="J190" t="n">
        <x:f>'730餐菜单'!Q378+'730餐菜单'!Q379</x:f>
        <x:v>19.2</x:v>
      </x:c>
      <x:c r="K190" t="n">
        <x:f>SUM('食材明细'!F2260:F2261)+SUM('食材明细'!F2266:F2267)</x:f>
        <x:v>575</x:v>
      </x:c>
      <x:c r="L190" t="str">
        <x:v>仅午餐+晚餐；早餐、饮奶、水果、零食未计入</x:v>
      </x:c>
    </x:row>
    <x:row r="191" ht="23" customHeight="1">
      <x:c r="A191" t="n">
        <x:v>190</x:v>
      </x:c>
      <x:c r="B191" t="n">
        <x:v>28</x:v>
      </x:c>
      <x:c r="C191" t="str">
        <x:v>葱姜清蒸去皮鸭胸肉配芹菜海带｜魔芋丝</x:v>
      </x:c>
      <x:c r="D191" t="str">
        <x:v>奥尔良风味去皮鸡腿肉配西葫芦口蘑｜全麦面</x:v>
      </x:c>
      <x:c r="E191" t="n">
        <x:f>'730餐菜单'!N380</x:f>
        <x:v>368</x:v>
      </x:c>
      <x:c r="F191" t="n">
        <x:f>'730餐菜单'!N381</x:f>
        <x:v>491</x:v>
      </x:c>
      <x:c r="G191" t="n">
        <x:f>E191+F191</x:f>
        <x:v>859</x:v>
      </x:c>
      <x:c r="H191" t="n">
        <x:f>'730餐菜单'!O380+'730餐菜单'!O381</x:f>
        <x:v>83.5</x:v>
      </x:c>
      <x:c r="I191" t="n">
        <x:f>'730餐菜单'!P380+'730餐菜单'!P381</x:f>
        <x:v>59.8</x:v>
      </x:c>
      <x:c r="J191" t="n">
        <x:f>'730餐菜单'!Q380+'730餐菜单'!Q381</x:f>
        <x:v>34.3</x:v>
      </x:c>
      <x:c r="K191" t="n">
        <x:f>SUM('食材明细'!F2272:F2273)+SUM('食材明细'!F2278:F2279)</x:f>
        <x:v>630</x:v>
      </x:c>
      <x:c r="L191" t="str">
        <x:v>仅午餐+晚餐；早餐、饮奶、水果、零食未计入</x:v>
      </x:c>
    </x:row>
    <x:row r="192" ht="23" customHeight="1">
      <x:c r="A192" t="n">
        <x:v>191</x:v>
      </x:c>
      <x:c r="B192" t="n">
        <x:v>28</x:v>
      </x:c>
      <x:c r="C192" t="str">
        <x:v>清汤猪瘦肉配生菜香菇｜燕麦饭</x:v>
      </x:c>
      <x:c r="D192" t="str">
        <x:v>椒麻牛腱子配西兰花洋葱｜紫薯</x:v>
      </x:c>
      <x:c r="E192" t="n">
        <x:f>'730餐菜单'!N382</x:f>
        <x:v>457</x:v>
      </x:c>
      <x:c r="F192" t="n">
        <x:f>'730餐菜单'!N383</x:f>
        <x:v>468</x:v>
      </x:c>
      <x:c r="G192" t="n">
        <x:f>E192+F192</x:f>
        <x:v>925</x:v>
      </x:c>
      <x:c r="H192" t="n">
        <x:f>'730餐菜单'!O382+'730餐菜单'!O383</x:f>
        <x:v>81.4</x:v>
      </x:c>
      <x:c r="I192" t="n">
        <x:f>'730餐菜单'!P382+'730餐菜单'!P383</x:f>
        <x:v>90.9</x:v>
      </x:c>
      <x:c r="J192" t="n">
        <x:f>'730餐菜单'!Q382+'730餐菜单'!Q383</x:f>
        <x:v>30</x:v>
      </x:c>
      <x:c r="K192" t="n">
        <x:f>SUM('食材明细'!F2284:F2285)+SUM('食材明细'!F2290:F2291)</x:f>
        <x:v>630</x:v>
      </x:c>
      <x:c r="L192" t="str">
        <x:v>仅午餐+晚餐；早餐、饮奶、水果、零食未计入</x:v>
      </x:c>
    </x:row>
    <x:row r="193" ht="23" customHeight="1">
      <x:c r="A193" t="n">
        <x:v>192</x:v>
      </x:c>
      <x:c r="B193" t="n">
        <x:v>28</x:v>
      </x:c>
      <x:c r="C193" t="str">
        <x:v>咖喱瘦牛肉配娃娃菜莴笋｜糙米饭</x:v>
      </x:c>
      <x:c r="D193" t="str">
        <x:v>豉汁去皮鸡腿肉配油麦菜荷兰豆｜燕麦饭</x:v>
      </x:c>
      <x:c r="E193" t="n">
        <x:f>'730餐菜单'!N384</x:f>
        <x:v>455</x:v>
      </x:c>
      <x:c r="F193" t="n">
        <x:f>'730餐菜单'!N385</x:f>
        <x:v>512</x:v>
      </x:c>
      <x:c r="G193" t="n">
        <x:f>E193+F193</x:f>
        <x:v>967</x:v>
      </x:c>
      <x:c r="H193" t="n">
        <x:f>'730餐菜单'!O384+'730餐菜单'!O385</x:f>
        <x:v>91.9</x:v>
      </x:c>
      <x:c r="I193" t="n">
        <x:f>'730餐菜单'!P384+'730餐菜单'!P385</x:f>
        <x:v>83.2</x:v>
      </x:c>
      <x:c r="J193" t="n">
        <x:f>'730餐菜单'!Q384+'730餐菜单'!Q385</x:f>
        <x:v>30.200000000000003</x:v>
      </x:c>
      <x:c r="K193" t="n">
        <x:f>SUM('食材明细'!F2296:F2297)+SUM('食材明细'!F2302:F2303)</x:f>
        <x:v>565</x:v>
      </x:c>
      <x:c r="L193" t="str">
        <x:v>仅午餐+晚餐；早餐、饮奶、水果、零食未计入</x:v>
      </x:c>
    </x:row>
    <x:row r="194" ht="23" customHeight="1">
      <x:c r="A194" t="n">
        <x:v>193</x:v>
      </x:c>
      <x:c r="B194" t="n">
        <x:v>28</x:v>
      </x:c>
      <x:c r="C194" t="str">
        <x:v>豉汁鸡胸肉配油麦菜玉米笋｜山药</x:v>
      </x:c>
      <x:c r="D194" t="str">
        <x:v>香醋嫩豆腐虾仁烩西葫芦菜心｜红薯</x:v>
      </x:c>
      <x:c r="E194" t="n">
        <x:f>'730餐菜单'!N386</x:f>
        <x:v>368</x:v>
      </x:c>
      <x:c r="F194" t="n">
        <x:f>'730餐菜单'!N387</x:f>
        <x:v>433</x:v>
      </x:c>
      <x:c r="G194" t="n">
        <x:f>E194+F194</x:f>
        <x:v>801</x:v>
      </x:c>
      <x:c r="H194" t="n">
        <x:f>'730餐菜单'!O386+'730餐菜单'!O387</x:f>
        <x:v>79.3</x:v>
      </x:c>
      <x:c r="I194" t="n">
        <x:f>'730餐菜单'!P386+'730餐菜单'!P387</x:f>
        <x:v>74.69999999999999</x:v>
      </x:c>
      <x:c r="J194" t="n">
        <x:f>'730餐菜单'!Q386+'730餐菜单'!Q387</x:f>
        <x:v>22.200000000000003</x:v>
      </x:c>
      <x:c r="K194" t="n">
        <x:f>SUM('食材明细'!F2308:F2309)+SUM('食材明细'!F2314:F2315)</x:f>
        <x:v>615</x:v>
      </x:c>
      <x:c r="L194" t="str">
        <x:v>仅午餐+晚餐；早餐、饮奶、水果、零食未计入</x:v>
      </x:c>
    </x:row>
    <x:row r="195" ht="23" customHeight="1">
      <x:c r="A195" t="n">
        <x:v>194</x:v>
      </x:c>
      <x:c r="B195" t="n">
        <x:v>28</x:v>
      </x:c>
      <x:c r="C195" t="str">
        <x:v>豉汁鲈鱼配娃娃菜海带｜杂粮饭</x:v>
      </x:c>
      <x:c r="D195" t="str">
        <x:v>菌菇鳕鱼配丝瓜香菇｜玉米</x:v>
      </x:c>
      <x:c r="E195" t="n">
        <x:f>'730餐菜单'!N388</x:f>
        <x:v>483</x:v>
      </x:c>
      <x:c r="F195" t="n">
        <x:f>'730餐菜单'!N389</x:f>
        <x:v>385</x:v>
      </x:c>
      <x:c r="G195" t="n">
        <x:f>E195+F195</x:f>
        <x:v>868</x:v>
      </x:c>
      <x:c r="H195" t="n">
        <x:f>'730餐菜单'!O388+'730餐菜单'!O389</x:f>
        <x:v>87.19999999999999</x:v>
      </x:c>
      <x:c r="I195" t="n">
        <x:f>'730餐菜单'!P388+'730餐菜单'!P389</x:f>
        <x:v>83.7</x:v>
      </x:c>
      <x:c r="J195" t="n">
        <x:f>'730餐菜单'!Q388+'730餐菜单'!Q389</x:f>
        <x:v>21.6</x:v>
      </x:c>
      <x:c r="K195" t="n">
        <x:f>SUM('食材明细'!F2320:F2321)+SUM('食材明细'!F2326:F2327)</x:f>
        <x:v>610</x:v>
      </x:c>
      <x:c r="L195" t="str">
        <x:v>仅午餐+晚餐；早餐、饮奶、水果、零食未计入</x:v>
      </x:c>
    </x:row>
    <x:row r="196" ht="23" customHeight="1">
      <x:c r="A196" t="n">
        <x:v>195</x:v>
      </x:c>
      <x:c r="B196" t="n">
        <x:v>28</x:v>
      </x:c>
      <x:c r="C196" t="str">
        <x:v>黑椒虾仁配四季豆紫甘蓝｜燕麦饭</x:v>
      </x:c>
      <x:c r="D196" t="str">
        <x:v>清汤扇贝肉配丝瓜白萝卜｜土豆</x:v>
      </x:c>
      <x:c r="E196" t="n">
        <x:f>'730餐菜单'!N390</x:f>
        <x:v>401</x:v>
      </x:c>
      <x:c r="F196" t="n">
        <x:f>'730餐菜单'!N391</x:f>
        <x:v>371</x:v>
      </x:c>
      <x:c r="G196" t="n">
        <x:f>E196+F196</x:f>
        <x:v>772</x:v>
      </x:c>
      <x:c r="H196" t="n">
        <x:f>'730餐菜单'!O390+'730餐菜单'!O391</x:f>
        <x:v>73.5</x:v>
      </x:c>
      <x:c r="I196" t="n">
        <x:f>'730餐菜单'!P390+'730餐菜单'!P391</x:f>
        <x:v>91.3</x:v>
      </x:c>
      <x:c r="J196" t="n">
        <x:f>'730餐菜单'!Q390+'730餐菜单'!Q391</x:f>
        <x:v>14.1</x:v>
      </x:c>
      <x:c r="K196" t="n">
        <x:f>SUM('食材明细'!F2332:F2333)+SUM('食材明细'!F2338:F2339)</x:f>
        <x:v>640</x:v>
      </x:c>
      <x:c r="L196" t="str">
        <x:v>仅午餐+晚餐；早餐、饮奶、水果、零食未计入</x:v>
      </x:c>
    </x:row>
    <x:row r="197" ht="23" customHeight="1">
      <x:c r="A197" t="n">
        <x:v>196</x:v>
      </x:c>
      <x:c r="B197" t="n">
        <x:v>28</x:v>
      </x:c>
      <x:c r="C197" t="str">
        <x:v>蚝香去皮鸡腿肉配紫甘蓝白萝卜｜米粉</x:v>
      </x:c>
      <x:c r="D197" t="str">
        <x:v>剁椒北豆腐鸡蛋烩菜心紫甘蓝｜荞麦饭</x:v>
      </x:c>
      <x:c r="E197" t="n">
        <x:f>'730餐菜单'!N392</x:f>
        <x:v>498</x:v>
      </x:c>
      <x:c r="F197" t="n">
        <x:f>'730餐菜单'!N393</x:f>
        <x:v>530</x:v>
      </x:c>
      <x:c r="G197" t="n">
        <x:f>E197+F197</x:f>
        <x:v>1028</x:v>
      </x:c>
      <x:c r="H197" t="n">
        <x:f>'730餐菜单'!O392+'730餐菜单'!O393</x:f>
        <x:v>83</x:v>
      </x:c>
      <x:c r="I197" t="n">
        <x:f>'730餐菜单'!P392+'730餐菜单'!P393</x:f>
        <x:v>93</x:v>
      </x:c>
      <x:c r="J197" t="n">
        <x:f>'730餐菜单'!Q392+'730餐菜单'!Q393</x:f>
        <x:v>39.3</x:v>
      </x:c>
      <x:c r="K197" t="n">
        <x:f>SUM('食材明细'!F2344:F2345)+SUM('食材明细'!F2350:F2351)</x:f>
        <x:v>555</x:v>
      </x:c>
      <x:c r="L197" t="str">
        <x:v>仅午餐+晚餐；早餐、饮奶、水果、零食未计入</x:v>
      </x:c>
    </x:row>
    <x:row r="198" ht="23" customHeight="1">
      <x:c r="A198" t="n">
        <x:v>197</x:v>
      </x:c>
      <x:c r="B198" t="n">
        <x:v>29</x:v>
      </x:c>
      <x:c r="C198" t="str">
        <x:v>菌菇鱿鱼配芦笋金针菇｜杂粮饭</x:v>
      </x:c>
      <x:c r="D198" t="str">
        <x:v>菌菇瘦牛肉配西葫芦香菇｜燕麦饭</x:v>
      </x:c>
      <x:c r="E198" t="n">
        <x:f>'730餐菜单'!N394</x:f>
        <x:v>474</x:v>
      </x:c>
      <x:c r="F198" t="n">
        <x:f>'730餐菜单'!N395</x:f>
        <x:v>400</x:v>
      </x:c>
      <x:c r="G198" t="n">
        <x:f>E198+F198</x:f>
        <x:v>874</x:v>
      </x:c>
      <x:c r="H198" t="n">
        <x:f>'730餐菜单'!O394+'730餐菜单'!O395</x:f>
        <x:v>84.80000000000001</x:v>
      </x:c>
      <x:c r="I198" t="n">
        <x:f>'730餐菜单'!P394+'730餐菜单'!P395</x:f>
        <x:v>82</x:v>
      </x:c>
      <x:c r="J198" t="n">
        <x:f>'730餐菜单'!Q394+'730餐菜单'!Q395</x:f>
        <x:v>24.5</x:v>
      </x:c>
      <x:c r="K198" t="n">
        <x:f>SUM('食材明细'!F2356:F2357)+SUM('食材明细'!F2362:F2363)</x:f>
        <x:v>615</x:v>
      </x:c>
      <x:c r="L198" t="str">
        <x:v>仅午餐+晚餐；早餐、饮奶、水果、零食未计入</x:v>
      </x:c>
    </x:row>
    <x:row r="199" ht="23" customHeight="1">
      <x:c r="A199" t="n">
        <x:v>198</x:v>
      </x:c>
      <x:c r="B199" t="n">
        <x:v>29</x:v>
      </x:c>
      <x:c r="C199" t="str">
        <x:v>孜然猪里脊配荷兰豆胡萝卜｜全麦面</x:v>
      </x:c>
      <x:c r="D199" t="str">
        <x:v>剁椒去皮鸡腿肉配大白菜香菇｜藜麦饭</x:v>
      </x:c>
      <x:c r="E199" t="n">
        <x:f>'730餐菜单'!N396</x:f>
        <x:v>520</x:v>
      </x:c>
      <x:c r="F199" t="n">
        <x:f>'730餐菜单'!N397</x:f>
        <x:v>457</x:v>
      </x:c>
      <x:c r="G199" t="n">
        <x:f>E199+F199</x:f>
        <x:v>977</x:v>
      </x:c>
      <x:c r="H199" t="n">
        <x:f>'730餐菜单'!O396+'730餐菜单'!O397</x:f>
        <x:v>88.3</x:v>
      </x:c>
      <x:c r="I199" t="n">
        <x:f>'730餐菜单'!P396+'730餐菜单'!P397</x:f>
        <x:v>99.5</x:v>
      </x:c>
      <x:c r="J199" t="n">
        <x:f>'730餐菜单'!Q396+'730餐菜单'!Q397</x:f>
        <x:v>27.8</x:v>
      </x:c>
      <x:c r="K199" t="n">
        <x:f>SUM('食材明细'!F2368:F2369)+SUM('食材明细'!F2374:F2375)</x:f>
        <x:v>600</x:v>
      </x:c>
      <x:c r="L199" t="str">
        <x:v>仅午餐+晚餐；早餐、饮奶、水果、零食未计入</x:v>
      </x:c>
    </x:row>
    <x:row r="200" ht="23" customHeight="1">
      <x:c r="A200" t="n">
        <x:v>199</x:v>
      </x:c>
      <x:c r="B200" t="n">
        <x:v>29</x:v>
      </x:c>
      <x:c r="C200" t="str">
        <x:v>葱姜清蒸鸡蛋嫩豆腐烩小白菜金针菇｜糙米饭</x:v>
      </x:c>
      <x:c r="D200" t="str">
        <x:v>豉汁牛里脊配小白菜口蘑｜糙米饭</x:v>
      </x:c>
      <x:c r="E200" t="n">
        <x:f>'730餐菜单'!N398</x:f>
        <x:v>505</x:v>
      </x:c>
      <x:c r="F200" t="n">
        <x:f>'730餐菜单'!N399</x:f>
        <x:v>426</x:v>
      </x:c>
      <x:c r="G200" t="n">
        <x:f>E200+F200</x:f>
        <x:v>931</x:v>
      </x:c>
      <x:c r="H200" t="n">
        <x:f>'730餐菜单'!O398+'730餐菜单'!O399</x:f>
        <x:v>71.6</x:v>
      </x:c>
      <x:c r="I200" t="n">
        <x:f>'730餐菜单'!P398+'730餐菜单'!P399</x:f>
        <x:v>88.4</x:v>
      </x:c>
      <x:c r="J200" t="n">
        <x:f>'730餐菜单'!Q398+'730餐菜单'!Q399</x:f>
        <x:v>34.8</x:v>
      </x:c>
      <x:c r="K200" t="n">
        <x:f>SUM('食材明细'!F2380:F2381)+SUM('食材明细'!F2386:F2387)</x:f>
        <x:v>645</x:v>
      </x:c>
      <x:c r="L200" t="str">
        <x:v>仅午餐+晚餐；早餐、饮奶、水果、零食未计入</x:v>
      </x:c>
    </x:row>
    <x:row r="201" ht="23" customHeight="1">
      <x:c r="A201" t="n">
        <x:v>200</x:v>
      </x:c>
      <x:c r="B201" t="n">
        <x:v>29</x:v>
      </x:c>
      <x:c r="C201" t="str">
        <x:v>花椒巴沙鱼配生菜莴笋｜杂粮饭</x:v>
      </x:c>
      <x:c r="D201" t="str">
        <x:v>蒜香扇贝肉配番茄口蘑｜藜麦饭</x:v>
      </x:c>
      <x:c r="E201" t="n">
        <x:f>'730餐菜单'!N400</x:f>
        <x:v>475</x:v>
      </x:c>
      <x:c r="F201" t="n">
        <x:f>'730餐菜单'!N401</x:f>
        <x:v>356</x:v>
      </x:c>
      <x:c r="G201" t="n">
        <x:f>E201+F201</x:f>
        <x:v>831</x:v>
      </x:c>
      <x:c r="H201" t="n">
        <x:f>'730餐菜单'!O400+'730餐菜单'!O401</x:f>
        <x:v>81.30000000000001</x:v>
      </x:c>
      <x:c r="I201" t="n">
        <x:f>'730餐菜单'!P400+'730餐菜单'!P401</x:f>
        <x:v>84.80000000000001</x:v>
      </x:c>
      <x:c r="J201" t="n">
        <x:f>'730餐菜单'!Q400+'730餐菜单'!Q401</x:f>
        <x:v>19.700000000000003</x:v>
      </x:c>
      <x:c r="K201" t="n">
        <x:f>SUM('食材明细'!F2392:F2393)+SUM('食材明细'!F2398:F2399)</x:f>
        <x:v>630</x:v>
      </x:c>
      <x:c r="L201" t="str">
        <x:v>仅午餐+晚餐；早餐、饮奶、水果、零食未计入</x:v>
      </x:c>
    </x:row>
    <x:row r="202" ht="23" customHeight="1">
      <x:c r="A202" t="n">
        <x:v>201</x:v>
      </x:c>
      <x:c r="B202" t="n">
        <x:v>29</x:v>
      </x:c>
      <x:c r="C202" t="str">
        <x:v>孜然瘦牛肉配番茄泡发木耳｜米粉</x:v>
      </x:c>
      <x:c r="D202" t="str">
        <x:v>无糖照烧去皮鸡腿肉配西兰花洋葱｜乌冬面</x:v>
      </x:c>
      <x:c r="E202" t="n">
        <x:f>'730餐菜单'!N402</x:f>
        <x:v>457</x:v>
      </x:c>
      <x:c r="F202" t="n">
        <x:f>'730餐菜单'!N403</x:f>
        <x:v>548</x:v>
      </x:c>
      <x:c r="G202" t="n">
        <x:f>E202+F202</x:f>
        <x:v>1005</x:v>
      </x:c>
      <x:c r="H202" t="n">
        <x:f>'730餐菜单'!O402+'730餐菜单'!O403</x:f>
        <x:v>92.8</x:v>
      </x:c>
      <x:c r="I202" t="n">
        <x:f>'730餐菜单'!P402+'730餐菜单'!P403</x:f>
        <x:v>86.5</x:v>
      </x:c>
      <x:c r="J202" t="n">
        <x:f>'730餐菜单'!Q402+'730餐菜单'!Q403</x:f>
        <x:v>34</x:v>
      </x:c>
      <x:c r="K202" t="n">
        <x:f>SUM('食材明细'!F2404:F2405)+SUM('食材明细'!F2410:F2411)</x:f>
        <x:v>580</x:v>
      </x:c>
      <x:c r="L202" t="str">
        <x:v>仅午餐+晚餐；早餐、饮奶、水果、零食未计入</x:v>
      </x:c>
    </x:row>
    <x:row r="203" ht="23" customHeight="1">
      <x:c r="A203" t="n">
        <x:v>202</x:v>
      </x:c>
      <x:c r="B203" t="n">
        <x:v>29</x:v>
      </x:c>
      <x:c r="C203" t="str">
        <x:v>奥尔良风味鸡里脊肉配西兰花洋葱｜藜麦饭</x:v>
      </x:c>
      <x:c r="D203" t="str">
        <x:v>酸汤虾仁配菜心冬瓜｜白米饭</x:v>
      </x:c>
      <x:c r="E203" t="n">
        <x:f>'730餐菜单'!N404</x:f>
        <x:v>515</x:v>
      </x:c>
      <x:c r="F203" t="n">
        <x:f>'730餐菜单'!N405</x:f>
        <x:v>416</x:v>
      </x:c>
      <x:c r="G203" t="n">
        <x:f>E203+F203</x:f>
        <x:v>931</x:v>
      </x:c>
      <x:c r="H203" t="n">
        <x:f>'730餐菜单'!O404+'730餐菜单'!O405</x:f>
        <x:v>96.2</x:v>
      </x:c>
      <x:c r="I203" t="n">
        <x:f>'730餐菜单'!P404+'730餐菜单'!P405</x:f>
        <x:v>96.9</x:v>
      </x:c>
      <x:c r="J203" t="n">
        <x:f>'730餐菜单'!Q404+'730餐菜单'!Q405</x:f>
        <x:v>21</x:v>
      </x:c>
      <x:c r="K203" t="n">
        <x:f>SUM('食材明细'!F2416:F2417)+SUM('食材明细'!F2422:F2423)</x:f>
        <x:v>645</x:v>
      </x:c>
      <x:c r="L203" t="str">
        <x:v>仅午餐+晚餐；早餐、饮奶、水果、零食未计入</x:v>
      </x:c>
    </x:row>
    <x:row r="204" ht="23" customHeight="1">
      <x:c r="A204" t="n">
        <x:v>203</x:v>
      </x:c>
      <x:c r="B204" t="n">
        <x:v>29</x:v>
      </x:c>
      <x:c r="C204" t="str">
        <x:v>菌菇鲈鱼配生菜杏鲍菇｜魔芋丝</x:v>
      </x:c>
      <x:c r="D204" t="str">
        <x:v>豉汁牛里脊配荷兰豆彩椒｜土豆</x:v>
      </x:c>
      <x:c r="E204" t="n">
        <x:f>'730餐菜单'!N406</x:f>
        <x:v>374</x:v>
      </x:c>
      <x:c r="F204" t="n">
        <x:f>'730餐菜单'!N407</x:f>
        <x:v>442</x:v>
      </x:c>
      <x:c r="G204" t="n">
        <x:f>E204+F204</x:f>
        <x:v>816</x:v>
      </x:c>
      <x:c r="H204" t="n">
        <x:f>'730餐菜单'!O406+'730餐菜单'!O407</x:f>
        <x:v>91.9</x:v>
      </x:c>
      <x:c r="I204" t="n">
        <x:f>'730餐菜单'!P406+'730餐菜单'!P407</x:f>
        <x:v>52.5</x:v>
      </x:c>
      <x:c r="J204" t="n">
        <x:f>'730餐菜单'!Q406+'730餐菜单'!Q407</x:f>
        <x:v>27.6</x:v>
      </x:c>
      <x:c r="K204" t="n">
        <x:f>SUM('食材明细'!F2428:F2429)+SUM('食材明细'!F2434:F2435)</x:f>
        <x:v>615</x:v>
      </x:c>
      <x:c r="L204" t="str">
        <x:v>仅午餐+晚餐；早餐、饮奶、水果、零食未计入</x:v>
      </x:c>
    </x:row>
    <x:row r="205" ht="23" customHeight="1">
      <x:c r="A205" t="n">
        <x:v>204</x:v>
      </x:c>
      <x:c r="B205" t="n">
        <x:v>30</x:v>
      </x:c>
      <x:c r="C205" t="str">
        <x:v>椒麻瘦牛肉配四季豆芦笋｜藜麦饭</x:v>
      </x:c>
      <x:c r="D205" t="str">
        <x:v>菌菇去皮鸡腿肉配四季豆杏鲍菇｜荞麦面</x:v>
      </x:c>
      <x:c r="E205" t="n">
        <x:f>'730餐菜单'!N408</x:f>
        <x:v>654</x:v>
      </x:c>
      <x:c r="F205" t="n">
        <x:f>'730餐菜单'!N409</x:f>
        <x:v>410</x:v>
      </x:c>
      <x:c r="G205" t="n">
        <x:f>E205+F205</x:f>
        <x:v>1064</x:v>
      </x:c>
      <x:c r="H205" t="n">
        <x:f>'730餐菜单'!O408+'730餐菜单'!O409</x:f>
        <x:v>101.9</x:v>
      </x:c>
      <x:c r="I205" t="n">
        <x:f>'730餐菜单'!P408+'730餐菜单'!P409</x:f>
        <x:v>98.6</x:v>
      </x:c>
      <x:c r="J205" t="n">
        <x:f>'730餐菜单'!Q408+'730餐菜单'!Q409</x:f>
        <x:v>32.5</x:v>
      </x:c>
      <x:c r="K205" t="n">
        <x:f>SUM('食材明细'!F2440:F2441)+SUM('食材明细'!F2446:F2447)</x:f>
        <x:v>630</x:v>
      </x:c>
      <x:c r="L205" t="str">
        <x:v>仅午餐+晚餐；早餐、饮奶、水果、零食未计入</x:v>
      </x:c>
    </x:row>
    <x:row r="206" ht="23" customHeight="1">
      <x:c r="A206" t="n">
        <x:v>205</x:v>
      </x:c>
      <x:c r="B206" t="n">
        <x:v>30</x:v>
      </x:c>
      <x:c r="C206" t="str">
        <x:v>剁椒去皮鸡腿肉配冬瓜番茄｜魔芋丝</x:v>
      </x:c>
      <x:c r="D206" t="str">
        <x:v>菌菇鸡胸肉配丝瓜香菇｜玉米</x:v>
      </x:c>
      <x:c r="E206" t="n">
        <x:f>'730餐菜单'!N410</x:f>
        <x:v>367</x:v>
      </x:c>
      <x:c r="F206" t="n">
        <x:f>'730餐菜单'!N411</x:f>
        <x:v>356</x:v>
      </x:c>
      <x:c r="G206" t="n">
        <x:f>E206+F206</x:f>
        <x:v>723</x:v>
      </x:c>
      <x:c r="H206" t="n">
        <x:f>'730餐菜单'!O410+'730餐菜单'!O411</x:f>
        <x:v>86</x:v>
      </x:c>
      <x:c r="I206" t="n">
        <x:f>'730餐菜单'!P410+'730餐菜单'!P411</x:f>
        <x:v>48.3</x:v>
      </x:c>
      <x:c r="J206" t="n">
        <x:f>'730餐菜单'!Q410+'730餐菜单'!Q411</x:f>
        <x:v>23.6</x:v>
      </x:c>
      <x:c r="K206" t="n">
        <x:f>SUM('食材明细'!F2452:F2453)+SUM('食材明细'!F2458:F2459)</x:f>
        <x:v>585</x:v>
      </x:c>
      <x:c r="L206" t="str">
        <x:v>仅午餐+晚餐；早餐、饮奶、水果、零食未计入</x:v>
      </x:c>
    </x:row>
    <x:row r="207" ht="23" customHeight="1">
      <x:c r="A207" t="n">
        <x:v>206</x:v>
      </x:c>
      <x:c r="B207" t="n">
        <x:v>30</x:v>
      </x:c>
      <x:c r="C207" t="str">
        <x:v>剁椒北豆腐虾仁烩四季豆口蘑｜燕麦饭</x:v>
      </x:c>
      <x:c r="D207" t="str">
        <x:v>香醋虾仁配丝瓜绿豆芽｜杂粮饭</x:v>
      </x:c>
      <x:c r="E207" t="n">
        <x:f>'730餐菜单'!N412</x:f>
        <x:v>559</x:v>
      </x:c>
      <x:c r="F207" t="n">
        <x:f>'730餐菜单'!N413</x:f>
        <x:v>387</x:v>
      </x:c>
      <x:c r="G207" t="n">
        <x:f>E207+F207</x:f>
        <x:v>946</x:v>
      </x:c>
      <x:c r="H207" t="n">
        <x:f>'730餐菜单'!O412+'730餐菜单'!O413</x:f>
        <x:v>91.5</x:v>
      </x:c>
      <x:c r="I207" t="n">
        <x:f>'730餐菜单'!P412+'730餐菜单'!P413</x:f>
        <x:v>85.1</x:v>
      </x:c>
      <x:c r="J207" t="n">
        <x:f>'730餐菜单'!Q412+'730餐菜单'!Q413</x:f>
        <x:v>30.299999999999997</x:v>
      </x:c>
      <x:c r="K207" t="n">
        <x:f>SUM('食材明细'!F2464:F2465)+SUM('食材明细'!F2470:F2471)</x:f>
        <x:v>550</x:v>
      </x:c>
      <x:c r="L207" t="str">
        <x:v>仅午餐+晚餐；早餐、饮奶、水果、零食未计入</x:v>
      </x:c>
    </x:row>
    <x:row r="208" ht="23" customHeight="1">
      <x:c r="A208" t="n">
        <x:v>207</x:v>
      </x:c>
      <x:c r="B208" t="n">
        <x:v>30</x:v>
      </x:c>
      <x:c r="C208" t="str">
        <x:v>剁椒北豆腐配娃娃菜花菜｜杂粮饭</x:v>
      </x:c>
      <x:c r="D208" t="str">
        <x:v>椒麻嫩豆腐虾仁烩西葫芦绿豆芽｜荞麦饭</x:v>
      </x:c>
      <x:c r="E208" t="n">
        <x:f>'730餐菜单'!N414</x:f>
        <x:v>482</x:v>
      </x:c>
      <x:c r="F208" t="n">
        <x:f>'730餐菜单'!N415</x:f>
        <x:v>441</x:v>
      </x:c>
      <x:c r="G208" t="n">
        <x:f>E208+F208</x:f>
        <x:v>923</x:v>
      </x:c>
      <x:c r="H208" t="n">
        <x:f>'730餐菜单'!O414+'730餐菜单'!O415</x:f>
        <x:v>78.4</x:v>
      </x:c>
      <x:c r="I208" t="n">
        <x:f>'730餐菜单'!P414+'730餐菜单'!P415</x:f>
        <x:v>81.30000000000001</x:v>
      </x:c>
      <x:c r="J208" t="n">
        <x:f>'730餐菜单'!Q414+'730餐菜单'!Q415</x:f>
        <x:v>34.9</x:v>
      </x:c>
      <x:c r="K208" t="n">
        <x:f>SUM('食材明细'!F2476:F2477)+SUM('食材明细'!F2482:F2483)</x:f>
        <x:v>595</x:v>
      </x:c>
      <x:c r="L208" t="str">
        <x:v>仅午餐+晚餐；早餐、饮奶、水果、零食未计入</x:v>
      </x:c>
    </x:row>
    <x:row r="209" ht="23" customHeight="1">
      <x:c r="A209" t="n">
        <x:v>208</x:v>
      </x:c>
      <x:c r="B209" t="n">
        <x:v>30</x:v>
      </x:c>
      <x:c r="C209" t="str">
        <x:v>黑椒鸡胸肉配紫甘蓝口蘑｜燕麦饭</x:v>
      </x:c>
      <x:c r="D209" t="str">
        <x:v>香醋猪瘦肉配番茄黄瓜｜魔芋丝</x:v>
      </x:c>
      <x:c r="E209" t="n">
        <x:f>'730餐菜单'!N416</x:f>
        <x:v>431</x:v>
      </x:c>
      <x:c r="F209" t="n">
        <x:f>'730餐菜单'!N417</x:f>
        <x:v>375</x:v>
      </x:c>
      <x:c r="G209" t="n">
        <x:f>E209+F209</x:f>
        <x:v>806</x:v>
      </x:c>
      <x:c r="H209" t="n">
        <x:f>'730餐菜单'!O416+'730餐菜单'!O417</x:f>
        <x:v>97.2</x:v>
      </x:c>
      <x:c r="I209" t="n">
        <x:f>'730餐菜单'!P416+'730餐菜单'!P417</x:f>
        <x:v>54.400000000000006</x:v>
      </x:c>
      <x:c r="J209" t="n">
        <x:f>'730餐菜单'!Q416+'730餐菜单'!Q417</x:f>
        <x:v>24.8</x:v>
      </x:c>
      <x:c r="K209" t="n">
        <x:f>SUM('食材明细'!F2488:F2489)+SUM('食材明细'!F2494:F2495)</x:f>
        <x:v>545</x:v>
      </x:c>
      <x:c r="L209" t="str">
        <x:v>仅午餐+晚餐；早餐、饮奶、水果、零食未计入</x:v>
      </x:c>
    </x:row>
    <x:row r="210" ht="23" customHeight="1">
      <x:c r="A210" t="n">
        <x:v>209</x:v>
      </x:c>
      <x:c r="B210" t="n">
        <x:v>30</x:v>
      </x:c>
      <x:c r="C210" t="str">
        <x:v>柠檬花蛤肉配丝瓜海带｜紫薯</x:v>
      </x:c>
      <x:c r="D210" t="str">
        <x:v>椒麻鸡蛋北豆腐烩西葫芦口蘑｜米粉</x:v>
      </x:c>
      <x:c r="E210" t="n">
        <x:f>'730餐菜单'!N418</x:f>
        <x:v>426</x:v>
      </x:c>
      <x:c r="F210" t="n">
        <x:f>'730餐菜单'!N419</x:f>
        <x:v>456</x:v>
      </x:c>
      <x:c r="G210" t="n">
        <x:f>E210+F210</x:f>
        <x:v>882</x:v>
      </x:c>
      <x:c r="H210" t="n">
        <x:f>'730餐菜单'!O418+'730餐菜单'!O419</x:f>
        <x:v>66.69999999999999</x:v>
      </x:c>
      <x:c r="I210" t="n">
        <x:f>'730餐菜单'!P418+'730餐菜单'!P419</x:f>
        <x:v>88.2</x:v>
      </x:c>
      <x:c r="J210" t="n">
        <x:f>'730餐菜单'!Q418+'730餐菜单'!Q419</x:f>
        <x:v>31.3</x:v>
      </x:c>
      <x:c r="K210" t="n">
        <x:f>SUM('食材明细'!F2500:F2501)+SUM('食材明细'!F2506:F2507)</x:f>
        <x:v>560</x:v>
      </x:c>
      <x:c r="L210" t="str">
        <x:v>仅午餐+晚餐；早餐、饮奶、水果、零食未计入</x:v>
      </x:c>
    </x:row>
    <x:row r="211" ht="23" customHeight="1">
      <x:c r="A211" t="n">
        <x:v>210</x:v>
      </x:c>
      <x:c r="B211" t="n">
        <x:v>30</x:v>
      </x:c>
      <x:c r="C211" t="str">
        <x:v>花椒瘦牛肉配娃娃菜口蘑｜荞麦面</x:v>
      </x:c>
      <x:c r="D211" t="str">
        <x:v>柠檬鸡里脊肉配苦瓜冬瓜｜糙米饭</x:v>
      </x:c>
      <x:c r="E211" t="n">
        <x:f>'730餐菜单'!N420</x:f>
        <x:v>428</x:v>
      </x:c>
      <x:c r="F211" t="n">
        <x:f>'730餐菜单'!N421</x:f>
        <x:v>418</x:v>
      </x:c>
      <x:c r="G211" t="n">
        <x:f>E211+F211</x:f>
        <x:v>846</x:v>
      </x:c>
      <x:c r="H211" t="n">
        <x:f>'730餐菜单'!O420+'730餐菜单'!O421</x:f>
        <x:v>85.7</x:v>
      </x:c>
      <x:c r="I211" t="n">
        <x:f>'730餐菜单'!P420+'730餐菜单'!P421</x:f>
        <x:v>80.2</x:v>
      </x:c>
      <x:c r="J211" t="n">
        <x:f>'730餐菜单'!Q420+'730餐菜单'!Q421</x:f>
        <x:v>21.8</x:v>
      </x:c>
      <x:c r="K211" t="n">
        <x:f>SUM('食材明细'!F2512:F2513)+SUM('食材明细'!F2518:F2519)</x:f>
        <x:v>660</x:v>
      </x:c>
      <x:c r="L211" t="str">
        <x:v>仅午餐+晚餐；早餐、饮奶、水果、零食未计入</x:v>
      </x:c>
    </x:row>
    <x:row r="212" ht="23" customHeight="1">
      <x:c r="A212" t="n">
        <x:v>211</x:v>
      </x:c>
      <x:c r="B212" t="n">
        <x:v>31</x:v>
      </x:c>
      <x:c r="C212" t="str">
        <x:v>黑椒鸡里脊肉配紫甘蓝丝瓜｜杂粮饭</x:v>
      </x:c>
      <x:c r="D212" t="str">
        <x:v>豉汁巴沙鱼配竹笋胡萝卜｜玉米</x:v>
      </x:c>
      <x:c r="E212" t="n">
        <x:f>'730餐菜单'!N422</x:f>
        <x:v>447</x:v>
      </x:c>
      <x:c r="F212" t="n">
        <x:f>'730餐菜单'!N423</x:f>
        <x:v>413</x:v>
      </x:c>
      <x:c r="G212" t="n">
        <x:f>E212+F212</x:f>
        <x:v>860</x:v>
      </x:c>
      <x:c r="H212" t="n">
        <x:f>'730餐菜单'!O422+'730餐菜单'!O423</x:f>
        <x:v>90.9</x:v>
      </x:c>
      <x:c r="I212" t="n">
        <x:f>'730餐菜单'!P422+'730餐菜单'!P423</x:f>
        <x:v>89.4</x:v>
      </x:c>
      <x:c r="J212" t="n">
        <x:f>'730餐菜单'!Q422+'730餐菜单'!Q423</x:f>
        <x:v>19</x:v>
      </x:c>
      <x:c r="K212" t="n">
        <x:f>SUM('食材明细'!F2524:F2525)+SUM('食材明细'!F2530:F2531)</x:f>
        <x:v>570</x:v>
      </x:c>
      <x:c r="L212" t="str">
        <x:v>仅午餐+晚餐；早餐、饮奶、水果、零食未计入</x:v>
      </x:c>
    </x:row>
    <x:row r="213" ht="23" customHeight="1">
      <x:c r="A213" t="n">
        <x:v>212</x:v>
      </x:c>
      <x:c r="B213" t="n">
        <x:v>31</x:v>
      </x:c>
      <x:c r="C213" t="str">
        <x:v>菌菇鲈鱼配菠菜口蘑｜荞麦面</x:v>
      </x:c>
      <x:c r="D213" t="str">
        <x:v>花椒牛里脊配竹笋胡萝卜｜荞麦面</x:v>
      </x:c>
      <x:c r="E213" t="n">
        <x:f>'730餐菜单'!N424</x:f>
        <x:v>480</x:v>
      </x:c>
      <x:c r="F213" t="n">
        <x:f>'730餐菜单'!N425</x:f>
        <x:v>474</x:v>
      </x:c>
      <x:c r="G213" t="n">
        <x:f>E213+F213</x:f>
        <x:v>954</x:v>
      </x:c>
      <x:c r="H213" t="n">
        <x:f>'730餐菜单'!O424+'730餐菜单'!O425</x:f>
        <x:v>96.7</x:v>
      </x:c>
      <x:c r="I213" t="n">
        <x:f>'730餐菜单'!P424+'730餐菜单'!P425</x:f>
        <x:v>87.80000000000001</x:v>
      </x:c>
      <x:c r="J213" t="n">
        <x:f>'730餐菜单'!Q424+'730餐菜单'!Q425</x:f>
        <x:v>27.6</x:v>
      </x:c>
      <x:c r="K213" t="n">
        <x:f>SUM('食材明细'!F2536:F2537)+SUM('食材明细'!F2542:F2543)</x:f>
        <x:v>625</x:v>
      </x:c>
      <x:c r="L213" t="str">
        <x:v>仅午餐+晚餐；早餐、饮奶、水果、零食未计入</x:v>
      </x:c>
    </x:row>
    <x:row r="214" ht="23" customHeight="1">
      <x:c r="A214" t="n">
        <x:v>213</x:v>
      </x:c>
      <x:c r="B214" t="n">
        <x:v>31</x:v>
      </x:c>
      <x:c r="C214" t="str">
        <x:v>剁椒去皮鸡腿肉配娃娃菜杏鲍菇｜荞麦饭</x:v>
      </x:c>
      <x:c r="D214" t="str">
        <x:v>香醋鸡里脊肉配紫甘蓝莴笋｜藜麦饭</x:v>
      </x:c>
      <x:c r="E214" t="n">
        <x:f>'730餐菜单'!N426</x:f>
        <x:v>475</x:v>
      </x:c>
      <x:c r="F214" t="n">
        <x:f>'730餐菜单'!N427</x:f>
        <x:v>392</x:v>
      </x:c>
      <x:c r="G214" t="n">
        <x:f>E214+F214</x:f>
        <x:v>867</x:v>
      </x:c>
      <x:c r="H214" t="n">
        <x:f>'730餐菜单'!O426+'730餐菜单'!O427</x:f>
        <x:v>88.69999999999999</x:v>
      </x:c>
      <x:c r="I214" t="n">
        <x:f>'730餐菜单'!P426+'730餐菜单'!P427</x:f>
        <x:v>77.4</x:v>
      </x:c>
      <x:c r="J214" t="n">
        <x:f>'730餐菜单'!Q426+'730餐菜单'!Q427</x:f>
        <x:v>24.8</x:v>
      </x:c>
      <x:c r="K214" t="n">
        <x:f>SUM('食材明细'!F2548:F2549)+SUM('食材明细'!F2554:F2555)</x:f>
        <x:v>630</x:v>
      </x:c>
      <x:c r="L214" t="str">
        <x:v>仅午餐+晚餐；早餐、饮奶、水果、零食未计入</x:v>
      </x:c>
    </x:row>
    <x:row r="215" ht="23" customHeight="1">
      <x:c r="A215" t="n">
        <x:v>214</x:v>
      </x:c>
      <x:c r="B215" t="n">
        <x:v>31</x:v>
      </x:c>
      <x:c r="C215" t="str">
        <x:v>蒜香瘦牛肉配四季豆绿豆芽｜紫薯</x:v>
      </x:c>
      <x:c r="D215" t="str">
        <x:v>蒜香去皮鸡腿肉配丝瓜口蘑｜荞麦饭</x:v>
      </x:c>
      <x:c r="E215" t="n">
        <x:f>'730餐菜单'!N428</x:f>
        <x:v>558</x:v>
      </x:c>
      <x:c r="F215" t="n">
        <x:f>'730餐菜单'!N429</x:f>
        <x:v>446</x:v>
      </x:c>
      <x:c r="G215" t="n">
        <x:f>E215+F215</x:f>
        <x:v>1004</x:v>
      </x:c>
      <x:c r="H215" t="n">
        <x:f>'730餐菜单'!O428+'730餐菜单'!O429</x:f>
        <x:v>90.8</x:v>
      </x:c>
      <x:c r="I215" t="n">
        <x:f>'730餐菜单'!P428+'730餐菜单'!P429</x:f>
        <x:v>101.3</x:v>
      </x:c>
      <x:c r="J215" t="n">
        <x:f>'730餐菜单'!Q428+'730餐菜单'!Q429</x:f>
        <x:v>29.2</x:v>
      </x:c>
      <x:c r="K215" t="n">
        <x:f>SUM('食材明细'!F2560:F2561)+SUM('食材明细'!F2566:F2567)</x:f>
        <x:v>570</x:v>
      </x:c>
      <x:c r="L215" t="str">
        <x:v>仅午餐+晚餐；早餐、饮奶、水果、零食未计入</x:v>
      </x:c>
    </x:row>
    <x:row r="216" ht="23" customHeight="1">
      <x:c r="A216" t="n">
        <x:v>215</x:v>
      </x:c>
      <x:c r="B216" t="n">
        <x:v>31</x:v>
      </x:c>
      <x:c r="C216" t="str">
        <x:v>豉汁牛里脊配生菜黄瓜｜紫薯</x:v>
      </x:c>
      <x:c r="D216" t="str">
        <x:v>蚝香鸡胸肉配油麦菜杏鲍菇｜藜麦饭</x:v>
      </x:c>
      <x:c r="E216" t="n">
        <x:f>'730餐菜单'!N430</x:f>
        <x:v>487</x:v>
      </x:c>
      <x:c r="F216" t="n">
        <x:f>'730餐菜单'!N431</x:f>
        <x:v>419</x:v>
      </x:c>
      <x:c r="G216" t="n">
        <x:f>E216+F216</x:f>
        <x:v>906</x:v>
      </x:c>
      <x:c r="H216" t="n">
        <x:f>'730餐菜单'!O430+'730餐菜单'!O431</x:f>
        <x:v>88.5</x:v>
      </x:c>
      <x:c r="I216" t="n">
        <x:f>'730餐菜单'!P430+'730餐菜单'!P431</x:f>
        <x:v>85.5</x:v>
      </x:c>
      <x:c r="J216" t="n">
        <x:f>'730餐菜单'!Q430+'730餐菜单'!Q431</x:f>
        <x:v>24.6</x:v>
      </x:c>
      <x:c r="K216" t="n">
        <x:f>SUM('食材明细'!F2572:F2573)+SUM('食材明细'!F2578:F2579)</x:f>
        <x:v>600</x:v>
      </x:c>
      <x:c r="L216" t="str">
        <x:v>仅午餐+晚餐；早餐、饮奶、水果、零食未计入</x:v>
      </x:c>
    </x:row>
    <x:row r="217" ht="23" customHeight="1">
      <x:c r="A217" t="n">
        <x:v>216</x:v>
      </x:c>
      <x:c r="B217" t="n">
        <x:v>31</x:v>
      </x:c>
      <x:c r="C217" t="str">
        <x:v>番茄嫩豆腐虾仁烩番茄洋葱｜糙米饭</x:v>
      </x:c>
      <x:c r="D217" t="str">
        <x:v>蚝香牛腱子配秋葵口蘑｜荞麦面</x:v>
      </x:c>
      <x:c r="E217" t="n">
        <x:f>'730餐菜单'!N432</x:f>
        <x:v>472</x:v>
      </x:c>
      <x:c r="F217" t="n">
        <x:f>'730餐菜单'!N433</x:f>
        <x:v>494</x:v>
      </x:c>
      <x:c r="G217" t="n">
        <x:f>E217+F217</x:f>
        <x:v>966</x:v>
      </x:c>
      <x:c r="H217" t="n">
        <x:f>'730餐菜单'!O432+'730餐菜单'!O433</x:f>
        <x:v>81.4</x:v>
      </x:c>
      <x:c r="I217" t="n">
        <x:f>'730餐菜单'!P432+'730餐菜单'!P433</x:f>
        <x:v>95.1</x:v>
      </x:c>
      <x:c r="J217" t="n">
        <x:f>'730餐菜单'!Q432+'730餐菜单'!Q433</x:f>
        <x:v>30.9</x:v>
      </x:c>
      <x:c r="K217" t="n">
        <x:f>SUM('食材明细'!F2584:F2585)+SUM('食材明细'!F2590:F2591)</x:f>
        <x:v>610</x:v>
      </x:c>
      <x:c r="L217" t="str">
        <x:v>仅午餐+晚餐；早餐、饮奶、水果、零食未计入</x:v>
      </x:c>
    </x:row>
    <x:row r="218" ht="23" customHeight="1">
      <x:c r="A218" t="n">
        <x:v>217</x:v>
      </x:c>
      <x:c r="B218" t="n">
        <x:v>31</x:v>
      </x:c>
      <x:c r="C218" t="str">
        <x:v>酸汤扇贝肉配番茄白萝卜｜荞麦面</x:v>
      </x:c>
      <x:c r="D218" t="str">
        <x:v>豉汁巴沙鱼配白萝卜冬瓜｜红薯</x:v>
      </x:c>
      <x:c r="E218" t="n">
        <x:f>'730餐菜单'!N434</x:f>
        <x:v>424</x:v>
      </x:c>
      <x:c r="F218" t="n">
        <x:f>'730餐菜单'!N435</x:f>
        <x:v>372</x:v>
      </x:c>
      <x:c r="G218" t="n">
        <x:f>E218+F218</x:f>
        <x:v>796</x:v>
      </x:c>
      <x:c r="H218" t="n">
        <x:f>'730餐菜单'!O434+'730餐菜单'!O435</x:f>
        <x:v>70.6</x:v>
      </x:c>
      <x:c r="I218" t="n">
        <x:f>'730餐菜单'!P434+'730餐菜单'!P435</x:f>
        <x:v>86.2</x:v>
      </x:c>
      <x:c r="J218" t="n">
        <x:f>'730餐菜单'!Q434+'730餐菜单'!Q435</x:f>
        <x:v>19.4</x:v>
      </x:c>
      <x:c r="K218" t="n">
        <x:f>SUM('食材明细'!F2596:F2597)+SUM('食材明细'!F2602:F2603)</x:f>
        <x:v>600</x:v>
      </x:c>
      <x:c r="L218" t="str">
        <x:v>仅午餐+晚餐；早餐、饮奶、水果、零食未计入</x:v>
      </x:c>
    </x:row>
    <x:row r="219" ht="23" customHeight="1">
      <x:c r="A219" t="n">
        <x:v>218</x:v>
      </x:c>
      <x:c r="B219" t="n">
        <x:v>32</x:v>
      </x:c>
      <x:c r="C219" t="str">
        <x:v>清汤鸡里脊肉配彩椒洋葱｜荞麦面</x:v>
      </x:c>
      <x:c r="D219" t="str">
        <x:v>剁椒鳕鱼配菠菜泡发木耳｜荞麦饭</x:v>
      </x:c>
      <x:c r="E219" t="n">
        <x:f>'730餐菜单'!N436</x:f>
        <x:v>473</x:v>
      </x:c>
      <x:c r="F219" t="n">
        <x:f>'730餐菜单'!N437</x:f>
        <x:v>369</x:v>
      </x:c>
      <x:c r="G219" t="n">
        <x:f>E219+F219</x:f>
        <x:v>842</x:v>
      </x:c>
      <x:c r="H219" t="n">
        <x:f>'730餐菜单'!O436+'730餐菜单'!O437</x:f>
        <x:v>93.6</x:v>
      </x:c>
      <x:c r="I219" t="n">
        <x:f>'730餐菜单'!P436+'730餐菜单'!P437</x:f>
        <x:v>87.5</x:v>
      </x:c>
      <x:c r="J219" t="n">
        <x:f>'730餐菜单'!Q436+'730餐菜单'!Q437</x:f>
        <x:v>15</x:v>
      </x:c>
      <x:c r="K219" t="n">
        <x:f>SUM('食材明细'!F2608:F2609)+SUM('食材明细'!F2614:F2615)</x:f>
        <x:v>600</x:v>
      </x:c>
      <x:c r="L219" t="str">
        <x:v>仅午餐+晚餐；早餐、饮奶、水果、零食未计入</x:v>
      </x:c>
    </x:row>
    <x:row r="220" ht="23" customHeight="1">
      <x:c r="A220" t="n">
        <x:v>219</x:v>
      </x:c>
      <x:c r="B220" t="n">
        <x:v>32</x:v>
      </x:c>
      <x:c r="C220" t="str">
        <x:v>番茄巴沙鱼配冬瓜｜荞麦饭</x:v>
      </x:c>
      <x:c r="D220" t="str">
        <x:v>椒麻鸡蛋北豆腐烩菠菜香菇｜荞麦面</x:v>
      </x:c>
      <x:c r="E220" t="n">
        <x:f>'730餐菜单'!N438</x:f>
        <x:v>437</x:v>
      </x:c>
      <x:c r="F220" t="n">
        <x:f>'730餐菜单'!N439</x:f>
        <x:v>509</x:v>
      </x:c>
      <x:c r="G220" t="n">
        <x:f>E220+F220</x:f>
        <x:v>946</x:v>
      </x:c>
      <x:c r="H220" t="n">
        <x:f>'730餐菜单'!O438+'730餐菜单'!O439</x:f>
        <x:v>75.4</x:v>
      </x:c>
      <x:c r="I220" t="n">
        <x:f>'730餐菜单'!P438+'730餐菜单'!P439</x:f>
        <x:v>88.6</x:v>
      </x:c>
      <x:c r="J220" t="n">
        <x:f>'730餐菜单'!Q438+'730餐菜单'!Q439</x:f>
        <x:v>36.1</x:v>
      </x:c>
      <x:c r="K220" t="n">
        <x:f>SUM('食材明细'!F2620:F2621)+SUM('食材明细'!F2626:F2627)</x:f>
        <x:v>595</x:v>
      </x:c>
      <x:c r="L220" t="str">
        <x:v>仅午餐+晚餐；早餐、饮奶、水果、零食未计入</x:v>
      </x:c>
    </x:row>
    <x:row r="221" ht="23" customHeight="1">
      <x:c r="A221" t="n">
        <x:v>220</x:v>
      </x:c>
      <x:c r="B221" t="n">
        <x:v>32</x:v>
      </x:c>
      <x:c r="C221" t="str">
        <x:v>菌菇猪里脊配西兰花金针菇｜杂粮饭</x:v>
      </x:c>
      <x:c r="D221" t="str">
        <x:v>黑椒猪瘦肉配娃娃菜莴笋｜红薯</x:v>
      </x:c>
      <x:c r="E221" t="n">
        <x:f>'730餐菜单'!N440</x:f>
        <x:v>572</x:v>
      </x:c>
      <x:c r="F221" t="n">
        <x:f>'730餐菜单'!N441</x:f>
        <x:v>364</x:v>
      </x:c>
      <x:c r="G221" t="n">
        <x:f>E221+F221</x:f>
        <x:v>936</x:v>
      </x:c>
      <x:c r="H221" t="n">
        <x:f>'730餐菜单'!O440+'730餐菜单'!O441</x:f>
        <x:v>88</x:v>
      </x:c>
      <x:c r="I221" t="n">
        <x:f>'730餐菜单'!P440+'730餐菜单'!P441</x:f>
        <x:v>84.2</x:v>
      </x:c>
      <x:c r="J221" t="n">
        <x:f>'730餐菜单'!Q440+'730餐菜单'!Q441</x:f>
        <x:v>29.6</x:v>
      </x:c>
      <x:c r="K221" t="n">
        <x:f>SUM('食材明细'!F2632:F2633)+SUM('食材明细'!F2638:F2639)</x:f>
        <x:v>645</x:v>
      </x:c>
      <x:c r="L221" t="str">
        <x:v>仅午餐+晚餐；早餐、饮奶、水果、零食未计入</x:v>
      </x:c>
    </x:row>
    <x:row r="222" ht="23" customHeight="1">
      <x:c r="A222" t="n">
        <x:v>221</x:v>
      </x:c>
      <x:c r="B222" t="n">
        <x:v>32</x:v>
      </x:c>
      <x:c r="C222" t="str">
        <x:v>番茄猪瘦肉配绿豆芽｜荞麦饭</x:v>
      </x:c>
      <x:c r="D222" t="str">
        <x:v>豉汁鸡胸肉配白萝卜泡发木耳｜燕麦饭</x:v>
      </x:c>
      <x:c r="E222" t="n">
        <x:f>'730餐菜单'!N442</x:f>
        <x:v>489</x:v>
      </x:c>
      <x:c r="F222" t="n">
        <x:f>'730餐菜单'!N443</x:f>
        <x:v>378</x:v>
      </x:c>
      <x:c r="G222" t="n">
        <x:f>E222+F222</x:f>
        <x:v>867</x:v>
      </x:c>
      <x:c r="H222" t="n">
        <x:f>'730餐菜单'!O442+'730餐菜单'!O443</x:f>
        <x:v>81.8</x:v>
      </x:c>
      <x:c r="I222" t="n">
        <x:f>'730餐菜单'!P442+'730餐菜单'!P443</x:f>
        <x:v>83.9</x:v>
      </x:c>
      <x:c r="J222" t="n">
        <x:f>'730餐菜单'!Q442+'730餐菜单'!Q443</x:f>
        <x:v>25.8</x:v>
      </x:c>
      <x:c r="K222" t="n">
        <x:f>SUM('食材明细'!F2644:F2645)+SUM('食材明细'!F2650:F2651)</x:f>
        <x:v>625</x:v>
      </x:c>
      <x:c r="L222" t="str">
        <x:v>仅午餐+晚餐；早餐、饮奶、水果、零食未计入</x:v>
      </x:c>
    </x:row>
    <x:row r="223" ht="23" customHeight="1">
      <x:c r="A223" t="n">
        <x:v>222</x:v>
      </x:c>
      <x:c r="B223" t="n">
        <x:v>32</x:v>
      </x:c>
      <x:c r="C223" t="str">
        <x:v>香醋牛腱子配彩椒黄瓜｜荞麦面</x:v>
      </x:c>
      <x:c r="D223" t="str">
        <x:v>清汤鸡胸肉配小白菜黄瓜｜藜麦饭</x:v>
      </x:c>
      <x:c r="E223" t="n">
        <x:f>'730餐菜单'!N444</x:f>
        <x:v>450</x:v>
      </x:c>
      <x:c r="F223" t="n">
        <x:f>'730餐菜单'!N445</x:f>
        <x:v>440</x:v>
      </x:c>
      <x:c r="G223" t="n">
        <x:f>E223+F223</x:f>
        <x:v>890</x:v>
      </x:c>
      <x:c r="H223" t="n">
        <x:f>'730餐菜单'!O444+'730餐菜单'!O445</x:f>
        <x:v>90</x:v>
      </x:c>
      <x:c r="I223" t="n">
        <x:f>'730餐菜单'!P444+'730餐菜单'!P445</x:f>
        <x:v>76</x:v>
      </x:c>
      <x:c r="J223" t="n">
        <x:f>'730餐菜单'!Q444+'730餐菜单'!Q445</x:f>
        <x:v>26.6</x:v>
      </x:c>
      <x:c r="K223" t="n">
        <x:f>SUM('食材明细'!F2656:F2657)+SUM('食材明细'!F2662:F2663)</x:f>
        <x:v>580</x:v>
      </x:c>
      <x:c r="L223" t="str">
        <x:v>仅午餐+晚餐；早餐、饮奶、水果、零食未计入</x:v>
      </x:c>
    </x:row>
    <x:row r="224" ht="23" customHeight="1">
      <x:c r="A224" t="n">
        <x:v>223</x:v>
      </x:c>
      <x:c r="B224" t="n">
        <x:v>32</x:v>
      </x:c>
      <x:c r="C224" t="str">
        <x:v>菌菇鸡胸肉配菜心香菇｜藜麦饭</x:v>
      </x:c>
      <x:c r="D224" t="str">
        <x:v>葱姜清蒸花蛤肉配冬瓜白萝卜｜荞麦饭</x:v>
      </x:c>
      <x:c r="E224" t="n">
        <x:f>'730餐菜单'!N446</x:f>
        <x:v>611</x:v>
      </x:c>
      <x:c r="F224" t="n">
        <x:f>'730餐菜单'!N447</x:f>
        <x:v>379</x:v>
      </x:c>
      <x:c r="G224" t="n">
        <x:f>E224+F224</x:f>
        <x:v>990</x:v>
      </x:c>
      <x:c r="H224" t="n">
        <x:f>'730餐菜单'!O446+'730餐菜单'!O447</x:f>
        <x:v>95.1</x:v>
      </x:c>
      <x:c r="I224" t="n">
        <x:f>'730餐菜单'!P446+'730餐菜单'!P447</x:f>
        <x:v>94.6</x:v>
      </x:c>
      <x:c r="J224" t="n">
        <x:f>'730餐菜单'!Q446+'730餐菜单'!Q447</x:f>
        <x:v>28.900000000000002</x:v>
      </x:c>
      <x:c r="K224" t="n">
        <x:f>SUM('食材明细'!F2668:F2669)+SUM('食材明细'!F2674:F2675)</x:f>
        <x:v>630</x:v>
      </x:c>
      <x:c r="L224" t="str">
        <x:v>仅午餐+晚餐；早餐、饮奶、水果、零食未计入</x:v>
      </x:c>
    </x:row>
    <x:row r="225" ht="23" customHeight="1">
      <x:c r="A225" t="n">
        <x:v>224</x:v>
      </x:c>
      <x:c r="B225" t="n">
        <x:v>32</x:v>
      </x:c>
      <x:c r="C225" t="str">
        <x:v>清汤鲈鱼配芦笋番茄｜糙米饭</x:v>
      </x:c>
      <x:c r="D225" t="str">
        <x:v>豉汁巴沙鱼配生菜口蘑｜白米饭</x:v>
      </x:c>
      <x:c r="E225" t="n">
        <x:f>'730餐菜单'!N448</x:f>
        <x:v>521</x:v>
      </x:c>
      <x:c r="F225" t="n">
        <x:f>'730餐菜单'!N449</x:f>
        <x:v>415</x:v>
      </x:c>
      <x:c r="G225" t="n">
        <x:f>E225+F225</x:f>
        <x:v>936</x:v>
      </x:c>
      <x:c r="H225" t="n">
        <x:f>'730餐菜单'!O448+'730餐菜单'!O449</x:f>
        <x:v>95.69999999999999</x:v>
      </x:c>
      <x:c r="I225" t="n">
        <x:f>'730餐菜单'!P448+'730餐菜单'!P449</x:f>
        <x:v>85.9</x:v>
      </x:c>
      <x:c r="J225" t="n">
        <x:f>'730餐菜单'!Q448+'730餐菜单'!Q449</x:f>
        <x:v>25.2</x:v>
      </x:c>
      <x:c r="K225" t="n">
        <x:f>SUM('食材明细'!F2680:F2681)+SUM('食材明细'!F2686:F2687)</x:f>
        <x:v>565</x:v>
      </x:c>
      <x:c r="L225" t="str">
        <x:v>仅午餐+晚餐；早餐、饮奶、水果、零食未计入</x:v>
      </x:c>
    </x:row>
    <x:row r="226" ht="23" customHeight="1">
      <x:c r="A226" t="n">
        <x:v>225</x:v>
      </x:c>
      <x:c r="B226" t="n">
        <x:v>33</x:v>
      </x:c>
      <x:c r="C226" t="str">
        <x:v>剁椒瘦牛肉配西兰花小白菜｜藜麦饭</x:v>
      </x:c>
      <x:c r="D226" t="str">
        <x:v>花椒猪瘦肉配苦瓜金针菇｜糙米饭</x:v>
      </x:c>
      <x:c r="E226" t="n">
        <x:f>'730餐菜单'!N450</x:f>
        <x:v>472</x:v>
      </x:c>
      <x:c r="F226" t="n">
        <x:f>'730餐菜单'!N451</x:f>
        <x:v>477</x:v>
      </x:c>
      <x:c r="G226" t="n">
        <x:f>E226+F226</x:f>
        <x:v>949</x:v>
      </x:c>
      <x:c r="H226" t="n">
        <x:f>'730餐菜单'!O450+'730餐菜单'!O451</x:f>
        <x:v>87.30000000000001</x:v>
      </x:c>
      <x:c r="I226" t="n">
        <x:f>'730餐菜单'!P450+'730餐菜单'!P451</x:f>
        <x:v>85.6</x:v>
      </x:c>
      <x:c r="J226" t="n">
        <x:f>'730餐菜单'!Q450+'730餐菜单'!Q451</x:f>
        <x:v>31.2</x:v>
      </x:c>
      <x:c r="K226" t="n">
        <x:f>SUM('食材明细'!F2692:F2693)+SUM('食材明细'!F2698:F2699)</x:f>
        <x:v>630</x:v>
      </x:c>
      <x:c r="L226" t="str">
        <x:v>仅午餐+晚餐；早餐、饮奶、水果、零食未计入</x:v>
      </x:c>
    </x:row>
    <x:row r="227" ht="23" customHeight="1">
      <x:c r="A227" t="n">
        <x:v>226</x:v>
      </x:c>
      <x:c r="B227" t="n">
        <x:v>33</x:v>
      </x:c>
      <x:c r="C227" t="str">
        <x:v>菌菇鸡胸肉配西葫芦香菇｜荞麦饭</x:v>
      </x:c>
      <x:c r="D227" t="str">
        <x:v>香醋北豆腐配番茄小白菜｜燕麦饭</x:v>
      </x:c>
      <x:c r="E227" t="n">
        <x:f>'730餐菜单'!N452</x:f>
        <x:v>504</x:v>
      </x:c>
      <x:c r="F227" t="n">
        <x:f>'730餐菜单'!N453</x:f>
        <x:v>481</x:v>
      </x:c>
      <x:c r="G227" t="n">
        <x:f>E227+F227</x:f>
        <x:v>985</x:v>
      </x:c>
      <x:c r="H227" t="n">
        <x:f>'730餐菜单'!O452+'730餐菜单'!O453</x:f>
        <x:v>85.4</x:v>
      </x:c>
      <x:c r="I227" t="n">
        <x:f>'730餐菜单'!P452+'730餐菜单'!P453</x:f>
        <x:v>96.2</x:v>
      </x:c>
      <x:c r="J227" t="n">
        <x:f>'730餐菜单'!Q452+'730餐菜单'!Q453</x:f>
        <x:v>32.7</x:v>
      </x:c>
      <x:c r="K227" t="n">
        <x:f>SUM('食材明细'!F2704:F2705)+SUM('食材明细'!F2710:F2711)</x:f>
        <x:v>630</x:v>
      </x:c>
      <x:c r="L227" t="str">
        <x:v>仅午餐+晚餐；早餐、饮奶、水果、零食未计入</x:v>
      </x:c>
    </x:row>
    <x:row r="228" ht="23" customHeight="1">
      <x:c r="A228" t="n">
        <x:v>227</x:v>
      </x:c>
      <x:c r="B228" t="n">
        <x:v>33</x:v>
      </x:c>
      <x:c r="C228" t="str">
        <x:v>黑椒牛腱子配小白菜荷兰豆｜杂粮饭</x:v>
      </x:c>
      <x:c r="D228" t="str">
        <x:v>清汤虾仁配小白菜金针菇｜红薯</x:v>
      </x:c>
      <x:c r="E228" t="n">
        <x:f>'730餐菜单'!N454</x:f>
        <x:v>507</x:v>
      </x:c>
      <x:c r="F228" t="n">
        <x:f>'730餐菜单'!N455</x:f>
        <x:v>373</x:v>
      </x:c>
      <x:c r="G228" t="n">
        <x:f>E228+F228</x:f>
        <x:v>880</x:v>
      </x:c>
      <x:c r="H228" t="n">
        <x:f>'730餐菜单'!O454+'730餐菜单'!O455</x:f>
        <x:v>88.6</x:v>
      </x:c>
      <x:c r="I228" t="n">
        <x:f>'730餐菜单'!P454+'730餐菜单'!P455</x:f>
        <x:v>82.7</x:v>
      </x:c>
      <x:c r="J228" t="n">
        <x:f>'730餐菜单'!Q454+'730餐菜单'!Q455</x:f>
        <x:v>23</x:v>
      </x:c>
      <x:c r="K228" t="n">
        <x:f>SUM('食材明细'!F2716:F2717)+SUM('食材明细'!F2722:F2723)</x:f>
        <x:v>560</x:v>
      </x:c>
      <x:c r="L228" t="str">
        <x:v>仅午餐+晚餐；早餐、饮奶、水果、零食未计入</x:v>
      </x:c>
    </x:row>
    <x:row r="229" ht="23" customHeight="1">
      <x:c r="A229" t="n">
        <x:v>228</x:v>
      </x:c>
      <x:c r="B229" t="n">
        <x:v>33</x:v>
      </x:c>
      <x:c r="C229" t="str">
        <x:v>奥尔良风味去皮鸡腿肉配西葫芦香菇｜杂粮饭</x:v>
      </x:c>
      <x:c r="D229" t="str">
        <x:v>番茄猪瘦肉配杏鲍菇｜全麦面</x:v>
      </x:c>
      <x:c r="E229" t="n">
        <x:f>'730餐菜单'!N456</x:f>
        <x:v>506</x:v>
      </x:c>
      <x:c r="F229" t="n">
        <x:f>'730餐菜单'!N457</x:f>
        <x:v>431</x:v>
      </x:c>
      <x:c r="G229" t="n">
        <x:f>E229+F229</x:f>
        <x:v>937</x:v>
      </x:c>
      <x:c r="H229" t="n">
        <x:f>'730餐菜单'!O456+'730餐菜单'!O457</x:f>
        <x:v>81.4</x:v>
      </x:c>
      <x:c r="I229" t="n">
        <x:f>'730餐菜单'!P456+'730餐菜单'!P457</x:f>
        <x:v>90</x:v>
      </x:c>
      <x:c r="J229" t="n">
        <x:f>'730餐菜单'!Q456+'730餐菜单'!Q457</x:f>
        <x:v>31.200000000000003</x:v>
      </x:c>
      <x:c r="K229" t="n">
        <x:f>SUM('食材明细'!F2728:F2729)+SUM('食材明细'!F2734:F2735)</x:f>
        <x:v>615</x:v>
      </x:c>
      <x:c r="L229" t="str">
        <x:v>仅午餐+晚餐；早餐、饮奶、水果、零食未计入</x:v>
      </x:c>
    </x:row>
    <x:row r="230" ht="23" customHeight="1">
      <x:c r="A230" t="n">
        <x:v>229</x:v>
      </x:c>
      <x:c r="B230" t="n">
        <x:v>33</x:v>
      </x:c>
      <x:c r="C230" t="str">
        <x:v>黑椒瘦牛肉配西兰花洋葱｜燕麦饭</x:v>
      </x:c>
      <x:c r="D230" t="str">
        <x:v>豉汁鸡蛋北豆腐烩小白菜彩椒｜燕麦饭</x:v>
      </x:c>
      <x:c r="E230" t="n">
        <x:f>'730餐菜单'!N458</x:f>
        <x:v>537</x:v>
      </x:c>
      <x:c r="F230" t="n">
        <x:f>'730餐菜单'!N459</x:f>
        <x:v>493</x:v>
      </x:c>
      <x:c r="G230" t="n">
        <x:f>E230+F230</x:f>
        <x:v>1030</x:v>
      </x:c>
      <x:c r="H230" t="n">
        <x:f>'730餐菜单'!O458+'730餐菜单'!O459</x:f>
        <x:v>77.3</x:v>
      </x:c>
      <x:c r="I230" t="n">
        <x:f>'730餐菜单'!P458+'730餐菜单'!P459</x:f>
        <x:v>100.5</x:v>
      </x:c>
      <x:c r="J230" t="n">
        <x:f>'730餐菜单'!Q458+'730餐菜单'!Q459</x:f>
        <x:v>39.1</x:v>
      </x:c>
      <x:c r="K230" t="n">
        <x:f>SUM('食材明细'!F2740:F2741)+SUM('食材明细'!F2746:F2747)</x:f>
        <x:v>610</x:v>
      </x:c>
      <x:c r="L230" t="str">
        <x:v>仅午餐+晚餐；早餐、饮奶、水果、零食未计入</x:v>
      </x:c>
    </x:row>
    <x:row r="231" ht="23" customHeight="1">
      <x:c r="A231" t="n">
        <x:v>230</x:v>
      </x:c>
      <x:c r="B231" t="n">
        <x:v>33</x:v>
      </x:c>
      <x:c r="C231" t="str">
        <x:v>椒麻北豆腐鸡蛋烩西兰花杏鲍菇｜荞麦面</x:v>
      </x:c>
      <x:c r="D231" t="str">
        <x:v>黑椒猪里脊配芦笋香菇｜魔芋丝</x:v>
      </x:c>
      <x:c r="E231" t="n">
        <x:f>'730餐菜单'!N460</x:f>
        <x:v>642</x:v>
      </x:c>
      <x:c r="F231" t="n">
        <x:f>'730餐菜单'!N461</x:f>
        <x:v>396</x:v>
      </x:c>
      <x:c r="G231" t="n">
        <x:f>E231+F231</x:f>
        <x:v>1038</x:v>
      </x:c>
      <x:c r="H231" t="n">
        <x:f>'730餐菜单'!O460+'730餐菜单'!O461</x:f>
        <x:v>98</x:v>
      </x:c>
      <x:c r="I231" t="n">
        <x:f>'730餐菜单'!P460+'730餐菜单'!P461</x:f>
        <x:v>84.6</x:v>
      </x:c>
      <x:c r="J231" t="n">
        <x:f>'730餐菜单'!Q460+'730餐菜单'!Q461</x:f>
        <x:v>39.5</x:v>
      </x:c>
      <x:c r="K231" t="n">
        <x:f>SUM('食材明细'!F2752:F2753)+SUM('食材明细'!F2758:F2759)</x:f>
        <x:v>580</x:v>
      </x:c>
      <x:c r="L231" t="str">
        <x:v>仅午餐+晚餐；早餐、饮奶、水果、零食未计入</x:v>
      </x:c>
    </x:row>
    <x:row r="232" ht="23" customHeight="1">
      <x:c r="A232" t="n">
        <x:v>231</x:v>
      </x:c>
      <x:c r="B232" t="n">
        <x:v>33</x:v>
      </x:c>
      <x:c r="C232" t="str">
        <x:v>香醋瘦牛肉配紫甘蓝花菜｜糙米饭</x:v>
      </x:c>
      <x:c r="D232" t="str">
        <x:v>清汤鸡胸肉配芹菜绿豆芽｜藜麦饭</x:v>
      </x:c>
      <x:c r="E232" t="n">
        <x:f>'730餐菜单'!N462</x:f>
        <x:v>530</x:v>
      </x:c>
      <x:c r="F232" t="n">
        <x:f>'730餐菜单'!N463</x:f>
        <x:v>417</x:v>
      </x:c>
      <x:c r="G232" t="n">
        <x:f>E232+F232</x:f>
        <x:v>947</x:v>
      </x:c>
      <x:c r="H232" t="n">
        <x:f>'730餐菜单'!O462+'730餐菜单'!O463</x:f>
        <x:v>92.6</x:v>
      </x:c>
      <x:c r="I232" t="n">
        <x:f>'730餐菜单'!P462+'730餐菜单'!P463</x:f>
        <x:v>91.2</x:v>
      </x:c>
      <x:c r="J232" t="n">
        <x:f>'730餐菜单'!Q462+'730餐菜单'!Q463</x:f>
        <x:v>25.7</x:v>
      </x:c>
      <x:c r="K232" t="n">
        <x:f>SUM('食材明细'!F2764:F2765)+SUM('食材明细'!F2770:F2771)</x:f>
        <x:v>600</x:v>
      </x:c>
      <x:c r="L232" t="str">
        <x:v>仅午餐+晚餐；早餐、饮奶、水果、零食未计入</x:v>
      </x:c>
    </x:row>
    <x:row r="233" ht="23" customHeight="1">
      <x:c r="A233" t="n">
        <x:v>232</x:v>
      </x:c>
      <x:c r="B233" t="n">
        <x:v>34</x:v>
      </x:c>
      <x:c r="C233" t="str">
        <x:v>豉汁牛里脊配芦笋西兰花｜山药</x:v>
      </x:c>
      <x:c r="D233" t="str">
        <x:v>蚝香瘦牛肉配彩椒芦笋｜山药</x:v>
      </x:c>
      <x:c r="E233" t="n">
        <x:f>'730餐菜单'!N464</x:f>
        <x:v>409</x:v>
      </x:c>
      <x:c r="F233" t="n">
        <x:f>'730餐菜单'!N465</x:f>
        <x:v>410</x:v>
      </x:c>
      <x:c r="G233" t="n">
        <x:f>E233+F233</x:f>
        <x:v>819</x:v>
      </x:c>
      <x:c r="H233" t="n">
        <x:f>'730餐菜单'!O464+'730餐菜单'!O465</x:f>
        <x:v>87.9</x:v>
      </x:c>
      <x:c r="I233" t="n">
        <x:f>'730餐菜单'!P464+'730餐菜单'!P465</x:f>
        <x:v>65</x:v>
      </x:c>
      <x:c r="J233" t="n">
        <x:f>'730餐菜单'!Q464+'730餐菜单'!Q465</x:f>
        <x:v>25.5</x:v>
      </x:c>
      <x:c r="K233" t="n">
        <x:f>SUM('食材明细'!F2776:F2777)+SUM('食材明细'!F2782:F2783)</x:f>
        <x:v>585</x:v>
      </x:c>
      <x:c r="L233" t="str">
        <x:v>仅午餐+晚餐；早餐、饮奶、水果、零食未计入</x:v>
      </x:c>
    </x:row>
    <x:row r="234" ht="23" customHeight="1">
      <x:c r="A234" t="n">
        <x:v>233</x:v>
      </x:c>
      <x:c r="B234" t="n">
        <x:v>34</x:v>
      </x:c>
      <x:c r="C234" t="str">
        <x:v>香醋鸡胸肉配丝瓜口蘑｜糙米饭</x:v>
      </x:c>
      <x:c r="D234" t="str">
        <x:v>清汤北豆腐鸡蛋烩小白菜泡发木耳｜全麦面</x:v>
      </x:c>
      <x:c r="E234" t="n">
        <x:f>'730餐菜单'!N466</x:f>
        <x:v>422</x:v>
      </x:c>
      <x:c r="F234" t="n">
        <x:f>'730餐菜单'!N467</x:f>
        <x:v>545</x:v>
      </x:c>
      <x:c r="G234" t="n">
        <x:f>E234+F234</x:f>
        <x:v>967</x:v>
      </x:c>
      <x:c r="H234" t="n">
        <x:f>'730餐菜单'!O466+'730餐菜单'!O467</x:f>
        <x:v>90.9</x:v>
      </x:c>
      <x:c r="I234" t="n">
        <x:f>'730餐菜单'!P466+'730餐菜单'!P467</x:f>
        <x:v>78.6</x:v>
      </x:c>
      <x:c r="J234" t="n">
        <x:f>'730餐菜单'!Q466+'730餐菜单'!Q467</x:f>
        <x:v>36.4</x:v>
      </x:c>
      <x:c r="K234" t="n">
        <x:f>SUM('食材明细'!F2788:F2789)+SUM('食材明细'!F2794:F2795)</x:f>
        <x:v>560</x:v>
      </x:c>
      <x:c r="L234" t="str">
        <x:v>仅午餐+晚餐；早餐、饮奶、水果、零食未计入</x:v>
      </x:c>
    </x:row>
    <x:row r="235" ht="23" customHeight="1">
      <x:c r="A235" t="n">
        <x:v>234</x:v>
      </x:c>
      <x:c r="B235" t="n">
        <x:v>34</x:v>
      </x:c>
      <x:c r="C235" t="str">
        <x:v>葱姜清蒸牛里脊配莴笋玉米笋｜燕麦饭</x:v>
      </x:c>
      <x:c r="D235" t="str">
        <x:v>番茄猪瘦肉配冬瓜｜糙米饭</x:v>
      </x:c>
      <x:c r="E235" t="n">
        <x:f>'730餐菜单'!N468</x:f>
        <x:v>489</x:v>
      </x:c>
      <x:c r="F235" t="n">
        <x:f>'730餐菜单'!N469</x:f>
        <x:v>474</x:v>
      </x:c>
      <x:c r="G235" t="n">
        <x:f>E235+F235</x:f>
        <x:v>963</x:v>
      </x:c>
      <x:c r="H235" t="n">
        <x:f>'730餐菜单'!O468+'730餐菜单'!O469</x:f>
        <x:v>88.3</x:v>
      </x:c>
      <x:c r="I235" t="n">
        <x:f>'730餐菜单'!P468+'730餐菜单'!P469</x:f>
        <x:v>78.1</x:v>
      </x:c>
      <x:c r="J235" t="n">
        <x:f>'730餐菜单'!Q468+'730餐菜单'!Q469</x:f>
        <x:v>34.099999999999994</x:v>
      </x:c>
      <x:c r="K235" t="n">
        <x:f>SUM('食材明细'!F2800:F2801)+SUM('食材明细'!F2806:F2807)</x:f>
        <x:v>565</x:v>
      </x:c>
      <x:c r="L235" t="str">
        <x:v>仅午餐+晚餐；早餐、饮奶、水果、零食未计入</x:v>
      </x:c>
    </x:row>
    <x:row r="236" ht="23" customHeight="1">
      <x:c r="A236" t="n">
        <x:v>235</x:v>
      </x:c>
      <x:c r="B236" t="n">
        <x:v>34</x:v>
      </x:c>
      <x:c r="C236" t="str">
        <x:v>孜然去皮鸡腿肉配丝瓜金针菇｜荞麦饭</x:v>
      </x:c>
      <x:c r="D236" t="str">
        <x:v>柠檬鸡胸肉配荷兰豆黄瓜｜杂粮饭</x:v>
      </x:c>
      <x:c r="E236" t="n">
        <x:f>'730餐菜单'!N470</x:f>
        <x:v>444</x:v>
      </x:c>
      <x:c r="F236" t="n">
        <x:f>'730餐菜单'!N471</x:f>
        <x:v>457</x:v>
      </x:c>
      <x:c r="G236" t="n">
        <x:f>E236+F236</x:f>
        <x:v>901</x:v>
      </x:c>
      <x:c r="H236" t="n">
        <x:f>'730餐菜单'!O470+'730餐菜单'!O471</x:f>
        <x:v>90.30000000000001</x:v>
      </x:c>
      <x:c r="I236" t="n">
        <x:f>'730餐菜单'!P470+'730餐菜单'!P471</x:f>
        <x:v>85.5</x:v>
      </x:c>
      <x:c r="J236" t="n">
        <x:f>'730餐菜单'!Q470+'730餐菜单'!Q471</x:f>
        <x:v>24.1</x:v>
      </x:c>
      <x:c r="K236" t="n">
        <x:f>SUM('食材明细'!F2812:F2813)+SUM('食材明细'!F2818:F2819)</x:f>
        <x:v>595</x:v>
      </x:c>
      <x:c r="L236" t="str">
        <x:v>仅午餐+晚餐；早餐、饮奶、水果、零食未计入</x:v>
      </x:c>
    </x:row>
    <x:row r="237" ht="23" customHeight="1">
      <x:c r="A237" t="n">
        <x:v>236</x:v>
      </x:c>
      <x:c r="B237" t="n">
        <x:v>34</x:v>
      </x:c>
      <x:c r="C237" t="str">
        <x:v>奥尔良风味去皮鸡腿肉配芦笋洋葱｜紫薯</x:v>
      </x:c>
      <x:c r="D237" t="str">
        <x:v>菌菇鱿鱼配四季豆杏鲍菇｜全麦面</x:v>
      </x:c>
      <x:c r="E237" t="n">
        <x:f>'730餐菜单'!N472</x:f>
        <x:v>563</x:v>
      </x:c>
      <x:c r="F237" t="n">
        <x:f>'730餐菜单'!N473</x:f>
        <x:v>371</x:v>
      </x:c>
      <x:c r="G237" t="n">
        <x:f>E237+F237</x:f>
        <x:v>934</x:v>
      </x:c>
      <x:c r="H237" t="n">
        <x:f>'730餐菜单'!O472+'730餐菜单'!O473</x:f>
        <x:v>88.2</x:v>
      </x:c>
      <x:c r="I237" t="n">
        <x:f>'730餐菜单'!P472+'730餐菜单'!P473</x:f>
        <x:v>98.1</x:v>
      </x:c>
      <x:c r="J237" t="n">
        <x:f>'730餐菜单'!Q472+'730餐菜单'!Q473</x:f>
        <x:v>23.2</x:v>
      </x:c>
      <x:c r="K237" t="n">
        <x:f>SUM('食材明细'!F2824:F2825)+SUM('食材明细'!F2830:F2831)</x:f>
        <x:v>595</x:v>
      </x:c>
      <x:c r="L237" t="str">
        <x:v>仅午餐+晚餐；早餐、饮奶、水果、零食未计入</x:v>
      </x:c>
    </x:row>
    <x:row r="238" ht="23" customHeight="1">
      <x:c r="A238" t="n">
        <x:v>237</x:v>
      </x:c>
      <x:c r="B238" t="n">
        <x:v>34</x:v>
      </x:c>
      <x:c r="C238" t="str">
        <x:v>柠檬三文鱼配荷兰豆口蘑｜燕麦饭</x:v>
      </x:c>
      <x:c r="D238" t="str">
        <x:v>剁椒瘦牛肉配花菜芦笋｜糙米饭</x:v>
      </x:c>
      <x:c r="E238" t="n">
        <x:f>'730餐菜单'!N474</x:f>
        <x:v>561</x:v>
      </x:c>
      <x:c r="F238" t="n">
        <x:f>'730餐菜单'!N475</x:f>
        <x:v>465</x:v>
      </x:c>
      <x:c r="G238" t="n">
        <x:f>E238+F238</x:f>
        <x:v>1026</x:v>
      </x:c>
      <x:c r="H238" t="n">
        <x:f>'730餐菜单'!O474+'730餐菜单'!O475</x:f>
        <x:v>86.5</x:v>
      </x:c>
      <x:c r="I238" t="n">
        <x:f>'730餐菜单'!P474+'730餐菜单'!P475</x:f>
        <x:v>89.4</x:v>
      </x:c>
      <x:c r="J238" t="n">
        <x:f>'730餐菜单'!Q474+'730餐菜单'!Q475</x:f>
        <x:v>37.7</x:v>
      </x:c>
      <x:c r="K238" t="n">
        <x:f>SUM('食材明细'!F2836:F2837)+SUM('食材明细'!F2842:F2843)</x:f>
        <x:v>645</x:v>
      </x:c>
      <x:c r="L238" t="str">
        <x:v>仅午餐+晚餐；早餐、饮奶、水果、零食未计入</x:v>
      </x:c>
    </x:row>
    <x:row r="239" ht="23" customHeight="1">
      <x:c r="A239" t="n">
        <x:v>238</x:v>
      </x:c>
      <x:c r="B239" t="n">
        <x:v>34</x:v>
      </x:c>
      <x:c r="C239" t="str">
        <x:v>清汤鲈鱼配菜心白萝卜｜玉米</x:v>
      </x:c>
      <x:c r="D239" t="str">
        <x:v>蚝香去皮鸡腿肉配西葫芦玉米笋｜糙米饭</x:v>
      </x:c>
      <x:c r="E239" t="n">
        <x:f>'730餐菜单'!N476</x:f>
        <x:v>468</x:v>
      </x:c>
      <x:c r="F239" t="n">
        <x:f>'730餐菜单'!N477</x:f>
        <x:v>424</x:v>
      </x:c>
      <x:c r="G239" t="n">
        <x:f>E239+F239</x:f>
        <x:v>892</x:v>
      </x:c>
      <x:c r="H239" t="n">
        <x:f>'730餐菜单'!O476+'730餐菜单'!O477</x:f>
        <x:v>82.80000000000001</x:v>
      </x:c>
      <x:c r="I239" t="n">
        <x:f>'730餐菜单'!P476+'730餐菜单'!P477</x:f>
        <x:v>83.4</x:v>
      </x:c>
      <x:c r="J239" t="n">
        <x:f>'730餐菜单'!Q476+'730餐菜单'!Q477</x:f>
        <x:v>29</x:v>
      </x:c>
      <x:c r="K239" t="n">
        <x:f>SUM('食材明细'!F2848:F2849)+SUM('食材明细'!F2854:F2855)</x:f>
        <x:v>645</x:v>
      </x:c>
      <x:c r="L239" t="str">
        <x:v>仅午餐+晚餐；早餐、饮奶、水果、零食未计入</x:v>
      </x:c>
    </x:row>
    <x:row r="240" ht="23" customHeight="1">
      <x:c r="A240" t="n">
        <x:v>239</x:v>
      </x:c>
      <x:c r="B240" t="n">
        <x:v>35</x:v>
      </x:c>
      <x:c r="C240" t="str">
        <x:v>孜然牛里脊配茼蒿芦笋｜山药</x:v>
      </x:c>
      <x:c r="D240" t="str">
        <x:v>蒜香鱿鱼配冬瓜胡萝卜｜魔芋丝</x:v>
      </x:c>
      <x:c r="E240" t="n">
        <x:f>'730餐菜单'!N478</x:f>
        <x:v>430</x:v>
      </x:c>
      <x:c r="F240" t="n">
        <x:f>'730餐菜单'!N479</x:f>
        <x:v>374</x:v>
      </x:c>
      <x:c r="G240" t="n">
        <x:f>E240+F240</x:f>
        <x:v>804</x:v>
      </x:c>
      <x:c r="H240" t="n">
        <x:f>'730餐菜单'!O478+'730餐菜单'!O479</x:f>
        <x:v>92.2</x:v>
      </x:c>
      <x:c r="I240" t="n">
        <x:f>'730餐菜单'!P478+'730餐菜单'!P479</x:f>
        <x:v>56.900000000000006</x:v>
      </x:c>
      <x:c r="J240" t="n">
        <x:f>'730餐菜单'!Q478+'730餐菜单'!Q479</x:f>
        <x:v>23.299999999999997</x:v>
      </x:c>
      <x:c r="K240" t="n">
        <x:f>SUM('食材明细'!F2860:F2861)+SUM('食材明细'!F2866:F2867)</x:f>
        <x:v>545</x:v>
      </x:c>
      <x:c r="L240" t="str">
        <x:v>仅午餐+晚餐；早餐、饮奶、水果、零食未计入</x:v>
      </x:c>
    </x:row>
    <x:row r="241" ht="23" customHeight="1">
      <x:c r="A241" t="n">
        <x:v>240</x:v>
      </x:c>
      <x:c r="B241" t="n">
        <x:v>35</x:v>
      </x:c>
      <x:c r="C241" t="str">
        <x:v>蒜香虾仁配油麦菜口蘑｜杂粮饭</x:v>
      </x:c>
      <x:c r="D241" t="str">
        <x:v>柠檬鲈鱼配黄瓜小白菜｜燕麦饭</x:v>
      </x:c>
      <x:c r="E241" t="n">
        <x:f>'730餐菜单'!N480</x:f>
        <x:v>410</x:v>
      </x:c>
      <x:c r="F241" t="n">
        <x:f>'730餐菜单'!N481</x:f>
        <x:v>446</x:v>
      </x:c>
      <x:c r="G241" t="n">
        <x:f>E241+F241</x:f>
        <x:v>856</x:v>
      </x:c>
      <x:c r="H241" t="n">
        <x:f>'730餐菜单'!O480+'730餐菜单'!O481</x:f>
        <x:v>86</x:v>
      </x:c>
      <x:c r="I241" t="n">
        <x:f>'730餐菜单'!P480+'730餐菜单'!P481</x:f>
        <x:v>79.1</x:v>
      </x:c>
      <x:c r="J241" t="n">
        <x:f>'730餐菜单'!Q480+'730餐菜单'!Q481</x:f>
        <x:v>23.5</x:v>
      </x:c>
      <x:c r="K241" t="n">
        <x:f>SUM('食材明细'!F2872:F2873)+SUM('食材明细'!F2878:F2879)</x:f>
        <x:v>565</x:v>
      </x:c>
      <x:c r="L241" t="str">
        <x:v>仅午餐+晚餐；早餐、饮奶、水果、零食未计入</x:v>
      </x:c>
    </x:row>
    <x:row r="242" ht="23" customHeight="1">
      <x:c r="A242" t="n">
        <x:v>241</x:v>
      </x:c>
      <x:c r="B242" t="n">
        <x:v>35</x:v>
      </x:c>
      <x:c r="C242" t="str">
        <x:v>番茄牛腱子配白萝卜｜糙米饭</x:v>
      </x:c>
      <x:c r="D242" t="str">
        <x:v>菌菇鸡胸肉配番茄香菇｜藜麦饭</x:v>
      </x:c>
      <x:c r="E242" t="n">
        <x:f>'730餐菜单'!N482</x:f>
        <x:v>485</x:v>
      </x:c>
      <x:c r="F242" t="n">
        <x:f>'730餐菜单'!N483</x:f>
        <x:v>435</x:v>
      </x:c>
      <x:c r="G242" t="n">
        <x:f>E242+F242</x:f>
        <x:v>920</x:v>
      </x:c>
      <x:c r="H242" t="n">
        <x:f>'730餐菜单'!O482+'730餐菜单'!O483</x:f>
        <x:v>82.1</x:v>
      </x:c>
      <x:c r="I242" t="n">
        <x:f>'730餐菜单'!P482+'730餐菜单'!P483</x:f>
        <x:v>87.69999999999999</x:v>
      </x:c>
      <x:c r="J242" t="n">
        <x:f>'730餐菜单'!Q482+'730餐菜单'!Q483</x:f>
        <x:v>28.3</x:v>
      </x:c>
      <x:c r="K242" t="n">
        <x:f>SUM('食材明细'!F2884:F2885)+SUM('食材明细'!F2890:F2891)</x:f>
        <x:v>625</x:v>
      </x:c>
      <x:c r="L242" t="str">
        <x:v>仅午餐+晚餐；早餐、饮奶、水果、零食未计入</x:v>
      </x:c>
    </x:row>
    <x:row r="243" ht="23" customHeight="1">
      <x:c r="A243" t="n">
        <x:v>242</x:v>
      </x:c>
      <x:c r="B243" t="n">
        <x:v>35</x:v>
      </x:c>
      <x:c r="C243" t="str">
        <x:v>豉汁鸡胸肉配四季豆莴笋｜藜麦饭</x:v>
      </x:c>
      <x:c r="D243" t="str">
        <x:v>香醋鸡里脊肉配娃娃菜绿豆芽｜杂粮饭</x:v>
      </x:c>
      <x:c r="E243" t="n">
        <x:f>'730餐菜单'!N484</x:f>
        <x:v>575</x:v>
      </x:c>
      <x:c r="F243" t="n">
        <x:f>'730餐菜单'!N485</x:f>
        <x:v>479</x:v>
      </x:c>
      <x:c r="G243" t="n">
        <x:f>E243+F243</x:f>
        <x:v>1054</x:v>
      </x:c>
      <x:c r="H243" t="n">
        <x:f>'730餐菜单'!O484+'730餐菜单'!O485</x:f>
        <x:v>112.6</x:v>
      </x:c>
      <x:c r="I243" t="n">
        <x:f>'730餐菜单'!P484+'730餐菜单'!P485</x:f>
        <x:v>99.7</x:v>
      </x:c>
      <x:c r="J243" t="n">
        <x:f>'730餐菜单'!Q484+'730餐菜单'!Q485</x:f>
        <x:v>25.8</x:v>
      </x:c>
      <x:c r="K243" t="n">
        <x:f>SUM('食材明细'!F2896:F2897)+SUM('食材明细'!F2902:F2903)</x:f>
        <x:v>675</x:v>
      </x:c>
      <x:c r="L243" t="str">
        <x:v>仅午餐+晚餐；早餐、饮奶、水果、零食未计入</x:v>
      </x:c>
    </x:row>
    <x:row r="244" ht="23" customHeight="1">
      <x:c r="A244" t="n">
        <x:v>243</x:v>
      </x:c>
      <x:c r="B244" t="n">
        <x:v>35</x:v>
      </x:c>
      <x:c r="C244" t="str">
        <x:v>葱姜清蒸鱿鱼配冬瓜荷兰豆｜藜麦饭</x:v>
      </x:c>
      <x:c r="D244" t="str">
        <x:v>蒜香北豆腐虾仁烩大白菜莴笋｜紫薯</x:v>
      </x:c>
      <x:c r="E244" t="n">
        <x:f>'730餐菜单'!N486</x:f>
        <x:v>450</x:v>
      </x:c>
      <x:c r="F244" t="n">
        <x:f>'730餐菜单'!N487</x:f>
        <x:v>575</x:v>
      </x:c>
      <x:c r="G244" t="n">
        <x:f>E244+F244</x:f>
        <x:v>1025</x:v>
      </x:c>
      <x:c r="H244" t="n">
        <x:f>'730餐菜单'!O486+'730餐菜单'!O487</x:f>
        <x:v>90.80000000000001</x:v>
      </x:c>
      <x:c r="I244" t="n">
        <x:f>'730餐菜单'!P486+'730餐菜单'!P487</x:f>
        <x:v>97.3</x:v>
      </x:c>
      <x:c r="J244" t="n">
        <x:f>'730餐菜单'!Q486+'730餐菜单'!Q487</x:f>
        <x:v>31.4</x:v>
      </x:c>
      <x:c r="K244" t="n">
        <x:f>SUM('食材明细'!F2908:F2909)+SUM('食材明细'!F2914:F2915)</x:f>
        <x:v>595</x:v>
      </x:c>
      <x:c r="L244" t="str">
        <x:v>仅午餐+晚餐；早餐、饮奶、水果、零食未计入</x:v>
      </x:c>
    </x:row>
    <x:row r="245" ht="23" customHeight="1">
      <x:c r="A245" t="n">
        <x:v>244</x:v>
      </x:c>
      <x:c r="B245" t="n">
        <x:v>35</x:v>
      </x:c>
      <x:c r="C245" t="str">
        <x:v>蒜香虾仁配竹笋绿豆芽｜土豆</x:v>
      </x:c>
      <x:c r="D245" t="str">
        <x:v>酸汤巴沙鱼配四季豆泡发木耳｜乌冬面</x:v>
      </x:c>
      <x:c r="E245" t="n">
        <x:f>'730餐菜单'!N488</x:f>
        <x:v>473</x:v>
      </x:c>
      <x:c r="F245" t="n">
        <x:f>'730餐菜单'!N489</x:f>
        <x:v>447</x:v>
      </x:c>
      <x:c r="G245" t="n">
        <x:f>E245+F245</x:f>
        <x:v>920</x:v>
      </x:c>
      <x:c r="H245" t="n">
        <x:f>'730餐菜单'!O488+'730餐菜单'!O489</x:f>
        <x:v>96.30000000000001</x:v>
      </x:c>
      <x:c r="I245" t="n">
        <x:f>'730餐菜单'!P488+'730餐菜单'!P489</x:f>
        <x:v>94.19999999999999</x:v>
      </x:c>
      <x:c r="J245" t="n">
        <x:f>'730餐菜单'!Q488+'730餐菜单'!Q489</x:f>
        <x:v>21.2</x:v>
      </x:c>
      <x:c r="K245" t="n">
        <x:f>SUM('食材明细'!F2920:F2921)+SUM('食材明细'!F2926:F2927)</x:f>
        <x:v>660</x:v>
      </x:c>
      <x:c r="L245" t="str">
        <x:v>仅午餐+晚餐；早餐、饮奶、水果、零食未计入</x:v>
      </x:c>
    </x:row>
    <x:row r="246" ht="23" customHeight="1">
      <x:c r="A246" t="n">
        <x:v>245</x:v>
      </x:c>
      <x:c r="B246" t="n">
        <x:v>35</x:v>
      </x:c>
      <x:c r="C246" t="str">
        <x:v>椒麻瘦牛肉配花菜泡发木耳｜杂粮饭</x:v>
      </x:c>
      <x:c r="D246" t="str">
        <x:v>椒麻牛里脊配茼蒿莴笋｜糙米饭</x:v>
      </x:c>
      <x:c r="E246" t="n">
        <x:f>'730餐菜单'!N490</x:f>
        <x:v>511</x:v>
      </x:c>
      <x:c r="F246" t="n">
        <x:f>'730餐菜单'!N491</x:f>
        <x:v>438</x:v>
      </x:c>
      <x:c r="G246" t="n">
        <x:f>E246+F246</x:f>
        <x:v>949</x:v>
      </x:c>
      <x:c r="H246" t="n">
        <x:f>'730餐菜单'!O490+'730餐菜单'!O491</x:f>
        <x:v>91</x:v>
      </x:c>
      <x:c r="I246" t="n">
        <x:f>'730餐菜单'!P490+'730餐菜单'!P491</x:f>
        <x:v>83.4</x:v>
      </x:c>
      <x:c r="J246" t="n">
        <x:f>'730餐菜单'!Q490+'730餐菜单'!Q491</x:f>
        <x:v>29.4</x:v>
      </x:c>
      <x:c r="K246" t="n">
        <x:f>SUM('食材明细'!F2932:F2933)+SUM('食材明细'!F2938:F2939)</x:f>
        <x:v>565</x:v>
      </x:c>
      <x:c r="L246" t="str">
        <x:v>仅午餐+晚餐；早餐、饮奶、水果、零食未计入</x:v>
      </x:c>
    </x:row>
    <x:row r="247" ht="23" customHeight="1">
      <x:c r="A247" t="n">
        <x:v>246</x:v>
      </x:c>
      <x:c r="B247" t="n">
        <x:v>36</x:v>
      </x:c>
      <x:c r="C247" t="str">
        <x:v>剁椒北豆腐虾仁烩莴笋彩椒｜燕麦饭</x:v>
      </x:c>
      <x:c r="D247" t="str">
        <x:v>番茄瘦牛肉配白萝卜｜糙米饭</x:v>
      </x:c>
      <x:c r="E247" t="n">
        <x:f>'730餐菜单'!N492</x:f>
        <x:v>556</x:v>
      </x:c>
      <x:c r="F247" t="n">
        <x:f>'730餐菜单'!N493</x:f>
        <x:v>428</x:v>
      </x:c>
      <x:c r="G247" t="n">
        <x:f>E247+F247</x:f>
        <x:v>984</x:v>
      </x:c>
      <x:c r="H247" t="n">
        <x:f>'730餐菜单'!O492+'730餐菜单'!O493</x:f>
        <x:v>87.4</x:v>
      </x:c>
      <x:c r="I247" t="n">
        <x:f>'730餐菜单'!P492+'730餐菜单'!P493</x:f>
        <x:v>91.6</x:v>
      </x:c>
      <x:c r="J247" t="n">
        <x:f>'730餐菜单'!Q492+'730餐菜单'!Q493</x:f>
        <x:v>31.1</x:v>
      </x:c>
      <x:c r="K247" t="n">
        <x:f>SUM('食材明细'!F2944:F2945)+SUM('食材明细'!F2950:F2951)</x:f>
        <x:v>630</x:v>
      </x:c>
      <x:c r="L247" t="str">
        <x:v>仅午餐+晚餐；早餐、饮奶、水果、零食未计入</x:v>
      </x:c>
    </x:row>
    <x:row r="248" ht="23" customHeight="1">
      <x:c r="A248" t="n">
        <x:v>247</x:v>
      </x:c>
      <x:c r="B248" t="n">
        <x:v>36</x:v>
      </x:c>
      <x:c r="C248" t="str">
        <x:v>番茄鲈鱼配绿豆芽｜糙米饭</x:v>
      </x:c>
      <x:c r="D248" t="str">
        <x:v>咖喱猪里脊配西葫芦番茄｜藜麦饭</x:v>
      </x:c>
      <x:c r="E248" t="n">
        <x:f>'730餐菜单'!N494</x:f>
        <x:v>522</x:v>
      </x:c>
      <x:c r="F248" t="n">
        <x:f>'730餐菜单'!N495</x:f>
        <x:v>469</x:v>
      </x:c>
      <x:c r="G248" t="n">
        <x:f>E248+F248</x:f>
        <x:v>991</x:v>
      </x:c>
      <x:c r="H248" t="n">
        <x:f>'730餐菜单'!O494+'730餐菜单'!O495</x:f>
        <x:v>93.6</x:v>
      </x:c>
      <x:c r="I248" t="n">
        <x:f>'730餐菜单'!P494+'730餐菜单'!P495</x:f>
        <x:v>92.1</x:v>
      </x:c>
      <x:c r="J248" t="n">
        <x:f>'730餐菜单'!Q494+'730餐菜单'!Q495</x:f>
        <x:v>28.5</x:v>
      </x:c>
      <x:c r="K248" t="n">
        <x:f>SUM('食材明细'!F2956:F2957)+SUM('食材明细'!F2962:F2963)</x:f>
        <x:v>660</x:v>
      </x:c>
      <x:c r="L248" t="str">
        <x:v>仅午餐+晚餐；早餐、饮奶、水果、零食未计入</x:v>
      </x:c>
    </x:row>
    <x:row r="249" ht="23" customHeight="1">
      <x:c r="A249" t="n">
        <x:v>248</x:v>
      </x:c>
      <x:c r="B249" t="n">
        <x:v>36</x:v>
      </x:c>
      <x:c r="C249" t="str">
        <x:v>剁椒鳕鱼配大白菜口蘑｜乌冬面</x:v>
      </x:c>
      <x:c r="D249" t="str">
        <x:v>椒麻北豆腐熟毛豆仁烩芹菜香菇｜杂粮饭</x:v>
      </x:c>
      <x:c r="E249" t="n">
        <x:f>'730餐菜单'!N496</x:f>
        <x:v>417</x:v>
      </x:c>
      <x:c r="F249" t="n">
        <x:f>'730餐菜单'!N497</x:f>
        <x:v>542</x:v>
      </x:c>
      <x:c r="G249" t="n">
        <x:f>E249+F249</x:f>
        <x:v>959</x:v>
      </x:c>
      <x:c r="H249" t="n">
        <x:f>'730餐菜单'!O496+'730餐菜单'!O497</x:f>
        <x:v>87</x:v>
      </x:c>
      <x:c r="I249" t="n">
        <x:f>'730餐菜单'!P496+'730餐菜单'!P497</x:f>
        <x:v>93.3</x:v>
      </x:c>
      <x:c r="J249" t="n">
        <x:f>'730餐菜单'!Q496+'730餐菜单'!Q497</x:f>
        <x:v>28.7</x:v>
      </x:c>
      <x:c r="K249" t="n">
        <x:f>SUM('食材明细'!F2968:F2969)+SUM('食材明细'!F2974:F2975)</x:f>
        <x:v>645</x:v>
      </x:c>
      <x:c r="L249" t="str">
        <x:v>仅午餐+晚餐；早餐、饮奶、水果、零食未计入</x:v>
      </x:c>
    </x:row>
    <x:row r="250" ht="23" customHeight="1">
      <x:c r="A250" t="n">
        <x:v>249</x:v>
      </x:c>
      <x:c r="B250" t="n">
        <x:v>36</x:v>
      </x:c>
      <x:c r="C250" t="str">
        <x:v>孜然鸡胸肉配秋葵紫甘蓝｜糙米饭</x:v>
      </x:c>
      <x:c r="D250" t="str">
        <x:v>柠檬虾仁配白萝卜番茄｜玉米</x:v>
      </x:c>
      <x:c r="E250" t="n">
        <x:f>'730餐菜单'!N498</x:f>
        <x:v>467</x:v>
      </x:c>
      <x:c r="F250" t="n">
        <x:f>'730餐菜单'!N499</x:f>
        <x:v>433</x:v>
      </x:c>
      <x:c r="G250" t="n">
        <x:f>E250+F250</x:f>
        <x:v>900</x:v>
      </x:c>
      <x:c r="H250" t="n">
        <x:f>'730餐菜单'!O498+'730餐菜单'!O499</x:f>
        <x:v>87.6</x:v>
      </x:c>
      <x:c r="I250" t="n">
        <x:f>'730餐菜单'!P498+'730餐菜单'!P499</x:f>
        <x:v>102.4</x:v>
      </x:c>
      <x:c r="J250" t="n">
        <x:f>'730餐菜单'!Q498+'730餐菜单'!Q499</x:f>
        <x:v>19.5</x:v>
      </x:c>
      <x:c r="K250" t="n">
        <x:f>SUM('食材明细'!F2980:F2981)+SUM('食材明细'!F2986:F2987)</x:f>
        <x:v>595</x:v>
      </x:c>
      <x:c r="L250" t="str">
        <x:v>仅午餐+晚餐；早餐、饮奶、水果、零食未计入</x:v>
      </x:c>
    </x:row>
    <x:row r="251" ht="23" customHeight="1">
      <x:c r="A251" t="n">
        <x:v>250</x:v>
      </x:c>
      <x:c r="B251" t="n">
        <x:v>36</x:v>
      </x:c>
      <x:c r="C251" t="str">
        <x:v>剁椒北豆腐配彩椒荷兰豆｜杂粮饭</x:v>
      </x:c>
      <x:c r="D251" t="str">
        <x:v>剁椒去皮鸡腿肉配西葫芦菜心｜米粉</x:v>
      </x:c>
      <x:c r="E251" t="n">
        <x:f>'730餐菜单'!N500</x:f>
        <x:v>583</x:v>
      </x:c>
      <x:c r="F251" t="n">
        <x:f>'730餐菜单'!N501</x:f>
        <x:v>367</x:v>
      </x:c>
      <x:c r="G251" t="n">
        <x:f>E251+F251</x:f>
        <x:v>950</x:v>
      </x:c>
      <x:c r="H251" t="n">
        <x:f>'730餐菜单'!O500+'730餐菜单'!O501</x:f>
        <x:v>75.69999999999999</x:v>
      </x:c>
      <x:c r="I251" t="n">
        <x:f>'730餐菜单'!P500+'730餐菜单'!P501</x:f>
        <x:v>92.5</x:v>
      </x:c>
      <x:c r="J251" t="n">
        <x:f>'730餐菜单'!Q500+'730餐菜单'!Q501</x:f>
        <x:v>33.8</x:v>
      </x:c>
      <x:c r="K251" t="n">
        <x:f>SUM('食材明细'!F2992:F2993)+SUM('食材明细'!F2998:F2999)</x:f>
        <x:v>630</x:v>
      </x:c>
      <x:c r="L251" t="str">
        <x:v>仅午餐+晚餐；早餐、饮奶、水果、零食未计入</x:v>
      </x:c>
    </x:row>
    <x:row r="252" ht="23" customHeight="1">
      <x:c r="A252" t="n">
        <x:v>251</x:v>
      </x:c>
      <x:c r="B252" t="n">
        <x:v>36</x:v>
      </x:c>
      <x:c r="C252" t="str">
        <x:v>酸汤鳕鱼配娃娃菜彩椒｜糙米饭</x:v>
      </x:c>
      <x:c r="D252" t="str">
        <x:v>豉汁北豆腐熟毛豆仁烩芹菜黄瓜｜荞麦面</x:v>
      </x:c>
      <x:c r="E252" t="n">
        <x:f>'730餐菜单'!N502</x:f>
        <x:v>421</x:v>
      </x:c>
      <x:c r="F252" t="n">
        <x:f>'730餐菜单'!N503</x:f>
        <x:v>539</x:v>
      </x:c>
      <x:c r="G252" t="n">
        <x:f>E252+F252</x:f>
        <x:v>960</x:v>
      </x:c>
      <x:c r="H252" t="n">
        <x:f>'730餐菜单'!O502+'730餐菜单'!O503</x:f>
        <x:v>85.8</x:v>
      </x:c>
      <x:c r="I252" t="n">
        <x:f>'730餐菜单'!P502+'730餐菜单'!P503</x:f>
        <x:v>85.1</x:v>
      </x:c>
      <x:c r="J252" t="n">
        <x:f>'730餐菜单'!Q502+'730餐菜单'!Q503</x:f>
        <x:v>32.900000000000006</x:v>
      </x:c>
      <x:c r="K252" t="n">
        <x:f>SUM('食材明细'!F3004:F3005)+SUM('食材明细'!F3010:F3011)</x:f>
        <x:v>640</x:v>
      </x:c>
      <x:c r="L252" t="str">
        <x:v>仅午餐+晚餐；早餐、饮奶、水果、零食未计入</x:v>
      </x:c>
    </x:row>
    <x:row r="253" ht="23" customHeight="1">
      <x:c r="A253" t="n">
        <x:v>252</x:v>
      </x:c>
      <x:c r="B253" t="n">
        <x:v>36</x:v>
      </x:c>
      <x:c r="C253" t="str">
        <x:v>花椒鲈鱼配荷兰豆西兰花｜紫薯</x:v>
      </x:c>
      <x:c r="D253" t="str">
        <x:v>葱姜清蒸花蛤肉配小白菜海带｜糙米饭</x:v>
      </x:c>
      <x:c r="E253" t="n">
        <x:f>'730餐菜单'!N504</x:f>
        <x:v>475</x:v>
      </x:c>
      <x:c r="F253" t="n">
        <x:f>'730餐菜单'!N505</x:f>
        <x:v>366</x:v>
      </x:c>
      <x:c r="G253" t="n">
        <x:f>E253+F253</x:f>
        <x:v>841</x:v>
      </x:c>
      <x:c r="H253" t="n">
        <x:f>'730餐菜单'!O504+'730餐菜单'!O505</x:f>
        <x:v>73.6</x:v>
      </x:c>
      <x:c r="I253" t="n">
        <x:f>'730餐菜单'!P504+'730餐菜单'!P505</x:f>
        <x:v>98.9</x:v>
      </x:c>
      <x:c r="J253" t="n">
        <x:f>'730餐菜单'!Q504+'730餐菜单'!Q505</x:f>
        <x:v>18.7</x:v>
      </x:c>
      <x:c r="K253" t="n">
        <x:f>SUM('食材明细'!F3016:F3017)+SUM('食材明细'!F3022:F3023)</x:f>
        <x:v>610</x:v>
      </x:c>
      <x:c r="L253" t="str">
        <x:v>仅午餐+晚餐；早餐、饮奶、水果、零食未计入</x:v>
      </x:c>
    </x:row>
    <x:row r="254" ht="23" customHeight="1">
      <x:c r="A254" t="n">
        <x:v>253</x:v>
      </x:c>
      <x:c r="B254" t="n">
        <x:v>37</x:v>
      </x:c>
      <x:c r="C254" t="str">
        <x:v>清汤鸡蛋北豆腐烩小白菜香菇｜燕麦饭</x:v>
      </x:c>
      <x:c r="D254" t="str">
        <x:v>蚝香北豆腐熟毛豆仁烩西兰花泡发木耳｜糙米饭</x:v>
      </x:c>
      <x:c r="E254" t="n">
        <x:f>'730餐菜单'!N506</x:f>
        <x:v>500</x:v>
      </x:c>
      <x:c r="F254" t="n">
        <x:f>'730餐菜单'!N507</x:f>
        <x:v>565</x:v>
      </x:c>
      <x:c r="G254" t="n">
        <x:f>E254+F254</x:f>
        <x:v>1065</x:v>
      </x:c>
      <x:c r="H254" t="n">
        <x:f>'730餐菜单'!O506+'730餐菜单'!O507</x:f>
        <x:v>74.9</x:v>
      </x:c>
      <x:c r="I254" t="n">
        <x:f>'730餐菜单'!P506+'730餐菜单'!P507</x:f>
        <x:v>104.6</x:v>
      </x:c>
      <x:c r="J254" t="n">
        <x:f>'730餐菜单'!Q506+'730餐菜单'!Q507</x:f>
        <x:v>44.5</x:v>
      </x:c>
      <x:c r="K254" t="n">
        <x:f>SUM('食材明细'!F3028:F3029)+SUM('食材明细'!F3034:F3035)</x:f>
        <x:v>520</x:v>
      </x:c>
      <x:c r="L254" t="str">
        <x:v>仅午餐+晚餐；早餐、饮奶、水果、零食未计入</x:v>
      </x:c>
    </x:row>
    <x:row r="255" ht="23" customHeight="1">
      <x:c r="A255" t="n">
        <x:v>254</x:v>
      </x:c>
      <x:c r="B255" t="n">
        <x:v>37</x:v>
      </x:c>
      <x:c r="C255" t="str">
        <x:v>葱姜清蒸虾仁配番茄莴笋｜糙米饭</x:v>
      </x:c>
      <x:c r="D255" t="str">
        <x:v>葱姜清蒸鸡蛋北豆腐烩芦笋金针菇｜杂粮饭</x:v>
      </x:c>
      <x:c r="E255" t="n">
        <x:f>'730餐菜单'!N508</x:f>
        <x:v>477</x:v>
      </x:c>
      <x:c r="F255" t="n">
        <x:f>'730餐菜单'!N509</x:f>
        <x:v>518</x:v>
      </x:c>
      <x:c r="G255" t="n">
        <x:f>E255+F255</x:f>
        <x:v>995</x:v>
      </x:c>
      <x:c r="H255" t="n">
        <x:f>'730餐菜单'!O508+'730餐菜单'!O509</x:f>
        <x:v>83.4</x:v>
      </x:c>
      <x:c r="I255" t="n">
        <x:f>'730餐菜单'!P508+'730餐菜单'!P509</x:f>
        <x:v>90.19999999999999</x:v>
      </x:c>
      <x:c r="J255" t="n">
        <x:f>'730餐菜单'!Q508+'730餐菜单'!Q509</x:f>
        <x:v>36.4</x:v>
      </x:c>
      <x:c r="K255" t="n">
        <x:f>SUM('食材明细'!F3040:F3041)+SUM('食材明细'!F3046:F3047)</x:f>
        <x:v>645</x:v>
      </x:c>
      <x:c r="L255" t="str">
        <x:v>仅午餐+晚餐；早餐、饮奶、水果、零食未计入</x:v>
      </x:c>
    </x:row>
    <x:row r="256" ht="23" customHeight="1">
      <x:c r="A256" t="n">
        <x:v>255</x:v>
      </x:c>
      <x:c r="B256" t="n">
        <x:v>37</x:v>
      </x:c>
      <x:c r="C256" t="str">
        <x:v>豉汁鳕鱼配荷兰豆彩椒｜糙米饭</x:v>
      </x:c>
      <x:c r="D256" t="str">
        <x:v>番茄三文鱼配荷兰豆｜白米饭</x:v>
      </x:c>
      <x:c r="E256" t="n">
        <x:f>'730餐菜单'!N510</x:f>
        <x:v>456</x:v>
      </x:c>
      <x:c r="F256" t="n">
        <x:f>'730餐菜单'!N511</x:f>
        <x:v>556</x:v>
      </x:c>
      <x:c r="G256" t="n">
        <x:f>E256+F256</x:f>
        <x:v>1012</x:v>
      </x:c>
      <x:c r="H256" t="n">
        <x:f>'730餐菜单'!O510+'730餐菜单'!O511</x:f>
        <x:v>81.30000000000001</x:v>
      </x:c>
      <x:c r="I256" t="n">
        <x:f>'730餐菜单'!P510+'730餐菜单'!P511</x:f>
        <x:v>99.30000000000001</x:v>
      </x:c>
      <x:c r="J256" t="n">
        <x:f>'730餐菜单'!Q510+'730餐菜单'!Q511</x:f>
        <x:v>31.1</x:v>
      </x:c>
      <x:c r="K256" t="n">
        <x:f>SUM('食材明细'!F3052:F3053)+SUM('食材明细'!F3058:F3059)</x:f>
        <x:v>610</x:v>
      </x:c>
      <x:c r="L256" t="str">
        <x:v>仅午餐+晚餐；早餐、饮奶、水果、零食未计入</x:v>
      </x:c>
    </x:row>
    <x:row r="257" ht="23" customHeight="1">
      <x:c r="A257" t="n">
        <x:v>256</x:v>
      </x:c>
      <x:c r="B257" t="n">
        <x:v>37</x:v>
      </x:c>
      <x:c r="C257" t="str">
        <x:v>葱姜清蒸鲈鱼配西兰花番茄｜藜麦饭</x:v>
      </x:c>
      <x:c r="D257" t="str">
        <x:v>酸汤三文鱼配西兰花紫甘蓝｜杂粮饭</x:v>
      </x:c>
      <x:c r="E257" t="n">
        <x:f>'730餐菜单'!N512</x:f>
        <x:v>526</x:v>
      </x:c>
      <x:c r="F257" t="n">
        <x:f>'730餐菜单'!N513</x:f>
        <x:v>460</x:v>
      </x:c>
      <x:c r="G257" t="n">
        <x:f>E257+F257</x:f>
        <x:v>986</x:v>
      </x:c>
      <x:c r="H257" t="n">
        <x:f>'730餐菜单'!O512+'730餐菜单'!O513</x:f>
        <x:v>86.1</x:v>
      </x:c>
      <x:c r="I257" t="n">
        <x:f>'730餐菜单'!P512+'730餐菜单'!P513</x:f>
        <x:v>90.5</x:v>
      </x:c>
      <x:c r="J257" t="n">
        <x:f>'730餐菜单'!Q512+'730餐菜单'!Q513</x:f>
        <x:v>33.6</x:v>
      </x:c>
      <x:c r="K257" t="n">
        <x:f>SUM('食材明细'!F3064:F3065)+SUM('食材明细'!F3070:F3071)</x:f>
        <x:v>565</x:v>
      </x:c>
      <x:c r="L257" t="str">
        <x:v>仅午餐+晚餐；早餐、饮奶、水果、零食未计入</x:v>
      </x:c>
    </x:row>
    <x:row r="258" ht="23" customHeight="1">
      <x:c r="A258" t="n">
        <x:v>257</x:v>
      </x:c>
      <x:c r="B258" t="n">
        <x:v>37</x:v>
      </x:c>
      <x:c r="C258" t="str">
        <x:v>番茄猪瘦肉配白萝卜｜杂粮饭</x:v>
      </x:c>
      <x:c r="D258" t="str">
        <x:v>清汤鸡蛋北豆腐烩番茄金针菇｜紫薯</x:v>
      </x:c>
      <x:c r="E258" t="n">
        <x:f>'730餐菜单'!N514</x:f>
        <x:v>456</x:v>
      </x:c>
      <x:c r="F258" t="n">
        <x:f>'730餐菜单'!N515</x:f>
        <x:v>480</x:v>
      </x:c>
      <x:c r="G258" t="n">
        <x:f>E258+F258</x:f>
        <x:v>936</x:v>
      </x:c>
      <x:c r="H258" t="n">
        <x:f>'730餐菜单'!O514+'730餐菜单'!O515</x:f>
        <x:v>68.3</x:v>
      </x:c>
      <x:c r="I258" t="n">
        <x:f>'730餐菜单'!P514+'730餐菜单'!P515</x:f>
        <x:v>87.5</x:v>
      </x:c>
      <x:c r="J258" t="n">
        <x:f>'730餐菜单'!Q514+'730餐菜单'!Q515</x:f>
        <x:v>36.8</x:v>
      </x:c>
      <x:c r="K258" t="n">
        <x:f>SUM('食材明细'!F3076:F3077)+SUM('食材明细'!F3082:F3083)</x:f>
        <x:v>555</x:v>
      </x:c>
      <x:c r="L258" t="str">
        <x:v>仅午餐+晚餐；早餐、饮奶、水果、零食未计入</x:v>
      </x:c>
    </x:row>
    <x:row r="259" ht="23" customHeight="1">
      <x:c r="A259" t="n">
        <x:v>258</x:v>
      </x:c>
      <x:c r="B259" t="n">
        <x:v>37</x:v>
      </x:c>
      <x:c r="C259" t="str">
        <x:v>无糖照烧猪瘦肉配娃娃菜洋葱｜乌冬面</x:v>
      </x:c>
      <x:c r="D259" t="str">
        <x:v>番茄虾仁配金针菇｜全麦面</x:v>
      </x:c>
      <x:c r="E259" t="n">
        <x:f>'730餐菜单'!N516</x:f>
        <x:v>559</x:v>
      </x:c>
      <x:c r="F259" t="n">
        <x:f>'730餐菜单'!N517</x:f>
        <x:v>521</x:v>
      </x:c>
      <x:c r="G259" t="n">
        <x:f>E259+F259</x:f>
        <x:v>1080</x:v>
      </x:c>
      <x:c r="H259" t="n">
        <x:f>'730餐菜单'!O516+'730餐菜单'!O517</x:f>
        <x:v>97.8</x:v>
      </x:c>
      <x:c r="I259" t="n">
        <x:f>'730餐菜单'!P516+'730餐菜单'!P517</x:f>
        <x:v>110</x:v>
      </x:c>
      <x:c r="J259" t="n">
        <x:f>'730餐菜单'!Q516+'730餐菜单'!Q517</x:f>
        <x:v>29.5</x:v>
      </x:c>
      <x:c r="K259" t="n">
        <x:f>SUM('食材明细'!F3088:F3089)+SUM('食材明细'!F3094:F3095)</x:f>
        <x:v>610</x:v>
      </x:c>
      <x:c r="L259" t="str">
        <x:v>仅午餐+晚餐；早餐、饮奶、水果、零食未计入</x:v>
      </x:c>
    </x:row>
    <x:row r="260" ht="23" customHeight="1">
      <x:c r="A260" t="n">
        <x:v>259</x:v>
      </x:c>
      <x:c r="B260" t="n">
        <x:v>37</x:v>
      </x:c>
      <x:c r="C260" t="str">
        <x:v>无糖照烧鸡里脊肉配西兰花洋葱｜全麦面</x:v>
      </x:c>
      <x:c r="D260" t="str">
        <x:v>葱姜清蒸虾仁配芦笋花菜｜红薯</x:v>
      </x:c>
      <x:c r="E260" t="n">
        <x:f>'730餐菜单'!N518</x:f>
        <x:v>556</x:v>
      </x:c>
      <x:c r="F260" t="n">
        <x:f>'730餐菜单'!N519</x:f>
        <x:v>362</x:v>
      </x:c>
      <x:c r="G260" t="n">
        <x:f>E260+F260</x:f>
        <x:v>918</x:v>
      </x:c>
      <x:c r="H260" t="n">
        <x:f>'730餐菜单'!O518+'730餐菜单'!O519</x:f>
        <x:v>94.9</x:v>
      </x:c>
      <x:c r="I260" t="n">
        <x:f>'730餐菜单'!P518+'730餐菜单'!P519</x:f>
        <x:v>105.5</x:v>
      </x:c>
      <x:c r="J260" t="n">
        <x:f>'730餐菜单'!Q518+'730餐菜单'!Q519</x:f>
        <x:v>17.3</x:v>
      </x:c>
      <x:c r="K260" t="n">
        <x:f>SUM('食材明细'!F3100:F3101)+SUM('食材明细'!F3106:F3107)</x:f>
        <x:v>640</x:v>
      </x:c>
      <x:c r="L260" t="str">
        <x:v>仅午餐+晚餐；早餐、饮奶、水果、零食未计入</x:v>
      </x:c>
    </x:row>
    <x:row r="261" ht="23" customHeight="1">
      <x:c r="A261" t="n">
        <x:v>260</x:v>
      </x:c>
      <x:c r="B261" t="n">
        <x:v>38</x:v>
      </x:c>
      <x:c r="C261" t="str">
        <x:v>葱姜清蒸嫩豆腐熟毛豆仁烩荷兰豆绿豆芽｜荞麦面</x:v>
      </x:c>
      <x:c r="D261" t="str">
        <x:v>清汤鳕鱼配芹菜紫甘蓝｜糙米饭</x:v>
      </x:c>
      <x:c r="E261" t="n">
        <x:f>'730餐菜单'!N520</x:f>
        <x:v>465</x:v>
      </x:c>
      <x:c r="F261" t="n">
        <x:f>'730餐菜单'!N521</x:f>
        <x:v>425</x:v>
      </x:c>
      <x:c r="G261" t="n">
        <x:f>E261+F261</x:f>
        <x:v>890</x:v>
      </x:c>
      <x:c r="H261" t="n">
        <x:f>'730餐菜单'!O520+'730餐菜单'!O521</x:f>
        <x:v>71.2</x:v>
      </x:c>
      <x:c r="I261" t="n">
        <x:f>'730餐菜单'!P520+'730餐菜单'!P521</x:f>
        <x:v>102.9</x:v>
      </x:c>
      <x:c r="J261" t="n">
        <x:f>'730餐菜单'!Q520+'730餐菜单'!Q521</x:f>
        <x:v>23.3</x:v>
      </x:c>
      <x:c r="K261" t="n">
        <x:f>SUM('食材明细'!F3112:F3113)+SUM('食材明细'!F3118:F3119)</x:f>
        <x:v>645</x:v>
      </x:c>
      <x:c r="L261" t="str">
        <x:v>仅午餐+晚餐；早餐、饮奶、水果、零食未计入</x:v>
      </x:c>
    </x:row>
    <x:row r="262" ht="23" customHeight="1">
      <x:c r="A262" t="n">
        <x:v>261</x:v>
      </x:c>
      <x:c r="B262" t="n">
        <x:v>38</x:v>
      </x:c>
      <x:c r="C262" t="str">
        <x:v>豉汁巴沙鱼配彩椒莴笋｜燕麦饭</x:v>
      </x:c>
      <x:c r="D262" t="str">
        <x:v>蒜香牛腱子配菜心芦笋｜荞麦饭</x:v>
      </x:c>
      <x:c r="E262" t="n">
        <x:f>'730餐菜单'!N522</x:f>
        <x:v>406</x:v>
      </x:c>
      <x:c r="F262" t="n">
        <x:f>'730餐菜单'!N523</x:f>
        <x:v>439</x:v>
      </x:c>
      <x:c r="G262" t="n">
        <x:f>E262+F262</x:f>
        <x:v>845</x:v>
      </x:c>
      <x:c r="H262" t="n">
        <x:f>'730餐菜单'!O522+'730餐菜单'!O523</x:f>
        <x:v>83.30000000000001</x:v>
      </x:c>
      <x:c r="I262" t="n">
        <x:f>'730餐菜单'!P522+'730餐菜单'!P523</x:f>
        <x:v>72.6</x:v>
      </x:c>
      <x:c r="J262" t="n">
        <x:f>'730餐菜单'!Q522+'730餐菜单'!Q523</x:f>
        <x:v>26.5</x:v>
      </x:c>
      <x:c r="K262" t="n">
        <x:f>SUM('食材明细'!F3124:F3125)+SUM('食材明细'!F3130:F3131)</x:f>
        <x:v>520</x:v>
      </x:c>
      <x:c r="L262" t="str">
        <x:v>仅午餐+晚餐；早餐、饮奶、水果、零食未计入</x:v>
      </x:c>
    </x:row>
    <x:row r="263" ht="23" customHeight="1">
      <x:c r="A263" t="n">
        <x:v>262</x:v>
      </x:c>
      <x:c r="B263" t="n">
        <x:v>38</x:v>
      </x:c>
      <x:c r="C263" t="str">
        <x:v>蒜香北豆腐熟毛豆仁烩芦笋黄瓜｜糙米饭</x:v>
      </x:c>
      <x:c r="D263" t="str">
        <x:v>剁椒猪里脊配竹笋黄瓜｜糙米饭</x:v>
      </x:c>
      <x:c r="E263" t="n">
        <x:f>'730餐菜单'!N524</x:f>
        <x:v>595</x:v>
      </x:c>
      <x:c r="F263" t="n">
        <x:f>'730餐菜单'!N525</x:f>
        <x:v>397</x:v>
      </x:c>
      <x:c r="G263" t="n">
        <x:f>E263+F263</x:f>
        <x:v>992</x:v>
      </x:c>
      <x:c r="H263" t="n">
        <x:f>'730餐菜单'!O524+'730餐菜单'!O525</x:f>
        <x:v>85.9</x:v>
      </x:c>
      <x:c r="I263" t="n">
        <x:f>'730餐菜单'!P524+'730餐菜单'!P525</x:f>
        <x:v>93.7</x:v>
      </x:c>
      <x:c r="J263" t="n">
        <x:f>'730餐菜单'!Q524+'730餐菜单'!Q525</x:f>
        <x:v>34.7</x:v>
      </x:c>
      <x:c r="K263" t="n">
        <x:f>SUM('食材明细'!F3136:F3137)+SUM('食材明细'!F3142:F3143)</x:f>
        <x:v>660</x:v>
      </x:c>
      <x:c r="L263" t="str">
        <x:v>仅午餐+晚餐；早餐、饮奶、水果、零食未计入</x:v>
      </x:c>
    </x:row>
    <x:row r="264" ht="23" customHeight="1">
      <x:c r="A264" t="n">
        <x:v>263</x:v>
      </x:c>
      <x:c r="B264" t="n">
        <x:v>38</x:v>
      </x:c>
      <x:c r="C264" t="str">
        <x:v>清汤巴沙鱼配生菜绿豆芽｜糙米饭</x:v>
      </x:c>
      <x:c r="D264" t="str">
        <x:v>柠檬鳕鱼配彩椒丝瓜｜燕麦饭</x:v>
      </x:c>
      <x:c r="E264" t="n">
        <x:f>'730餐菜单'!N526</x:f>
        <x:v>456</x:v>
      </x:c>
      <x:c r="F264" t="n">
        <x:f>'730餐菜单'!N527</x:f>
        <x:v>365</x:v>
      </x:c>
      <x:c r="G264" t="n">
        <x:f>E264+F264</x:f>
        <x:v>821</x:v>
      </x:c>
      <x:c r="H264" t="n">
        <x:f>'730餐菜单'!O526+'730餐菜单'!O527</x:f>
        <x:v>85.5</x:v>
      </x:c>
      <x:c r="I264" t="n">
        <x:f>'730餐菜单'!P526+'730餐菜单'!P527</x:f>
        <x:v>80.2</x:v>
      </x:c>
      <x:c r="J264" t="n">
        <x:f>'730餐菜单'!Q526+'730餐菜单'!Q527</x:f>
        <x:v>18.6</x:v>
      </x:c>
      <x:c r="K264" t="n">
        <x:f>SUM('食材明细'!F3148:F3149)+SUM('食材明细'!F3154:F3155)</x:f>
        <x:v>530</x:v>
      </x:c>
      <x:c r="L264" t="str">
        <x:v>仅午餐+晚餐；早餐、饮奶、水果、零食未计入</x:v>
      </x:c>
    </x:row>
    <x:row r="265" ht="23" customHeight="1">
      <x:c r="A265" t="n">
        <x:v>264</x:v>
      </x:c>
      <x:c r="B265" t="n">
        <x:v>38</x:v>
      </x:c>
      <x:c r="C265" t="str">
        <x:v>豉汁虾仁配四季豆金针菇｜乌冬面</x:v>
      </x:c>
      <x:c r="D265" t="str">
        <x:v>葱姜清蒸鲈鱼配莴笋口蘑｜杂粮饭</x:v>
      </x:c>
      <x:c r="E265" t="n">
        <x:f>'730餐菜单'!N528</x:f>
        <x:v>451</x:v>
      </x:c>
      <x:c r="F265" t="n">
        <x:f>'730餐菜单'!N529</x:f>
        <x:v>387</x:v>
      </x:c>
      <x:c r="G265" t="n">
        <x:f>E265+F265</x:f>
        <x:v>838</x:v>
      </x:c>
      <x:c r="H265" t="n">
        <x:f>'730餐菜单'!O528+'730餐菜单'!O529</x:f>
        <x:v>88.19999999999999</x:v>
      </x:c>
      <x:c r="I265" t="n">
        <x:f>'730餐菜单'!P528+'730餐菜单'!P529</x:f>
        <x:v>78.6</x:v>
      </x:c>
      <x:c r="J265" t="n">
        <x:f>'730餐菜单'!Q528+'730餐菜单'!Q529</x:f>
        <x:v>20.2</x:v>
      </x:c>
      <x:c r="K265" t="n">
        <x:f>SUM('食材明细'!F3160:F3161)+SUM('食材明细'!F3166:F3167)</x:f>
        <x:v>585</x:v>
      </x:c>
      <x:c r="L265" t="str">
        <x:v>仅午餐+晚餐；早餐、饮奶、水果、零食未计入</x:v>
      </x:c>
    </x:row>
    <x:row r="266" ht="23" customHeight="1">
      <x:c r="A266" t="n">
        <x:v>265</x:v>
      </x:c>
      <x:c r="B266" t="n">
        <x:v>38</x:v>
      </x:c>
      <x:c r="C266" t="str">
        <x:v>葱姜清蒸鳕鱼配荷兰豆香菇｜全麦面</x:v>
      </x:c>
      <x:c r="D266" t="str">
        <x:v>番茄嫩豆腐鸡蛋烩番茄胡萝卜｜荞麦饭</x:v>
      </x:c>
      <x:c r="E266" t="n">
        <x:f>'730餐菜单'!N530</x:f>
        <x:v>565</x:v>
      </x:c>
      <x:c r="F266" t="n">
        <x:f>'730餐菜单'!N531</x:f>
        <x:v>492</x:v>
      </x:c>
      <x:c r="G266" t="n">
        <x:f>E266+F266</x:f>
        <x:v>1057</x:v>
      </x:c>
      <x:c r="H266" t="n">
        <x:f>'730餐菜单'!O530+'730餐菜单'!O531</x:f>
        <x:v>87.3</x:v>
      </x:c>
      <x:c r="I266" t="n">
        <x:f>'730餐菜单'!P530+'730餐菜单'!P531</x:f>
        <x:v>106.8</x:v>
      </x:c>
      <x:c r="J266" t="n">
        <x:f>'730餐菜单'!Q530+'730餐菜单'!Q531</x:f>
        <x:v>33</x:v>
      </x:c>
      <x:c r="K266" t="n">
        <x:f>SUM('食材明细'!F3172:F3173)+SUM('食材明细'!F3178:F3179)</x:f>
        <x:v>565</x:v>
      </x:c>
      <x:c r="L266" t="str">
        <x:v>仅午餐+晚餐；早餐、饮奶、水果、零食未计入</x:v>
      </x:c>
    </x:row>
    <x:row r="267" ht="23" customHeight="1">
      <x:c r="A267" t="n">
        <x:v>266</x:v>
      </x:c>
      <x:c r="B267" t="n">
        <x:v>38</x:v>
      </x:c>
      <x:c r="C267" t="str">
        <x:v>菌菇猪里脊配莴笋杏鲍菇｜杂粮饭</x:v>
      </x:c>
      <x:c r="D267" t="str">
        <x:v>酸汤花蛤肉配冬瓜白萝卜｜全麦面</x:v>
      </x:c>
      <x:c r="E267" t="n">
        <x:f>'730餐菜单'!N532</x:f>
        <x:v>525</x:v>
      </x:c>
      <x:c r="F267" t="n">
        <x:f>'730餐菜单'!N533</x:f>
        <x:v>412</x:v>
      </x:c>
      <x:c r="G267" t="n">
        <x:f>E267+F267</x:f>
        <x:v>937</x:v>
      </x:c>
      <x:c r="H267" t="n">
        <x:f>'730餐菜单'!O532+'730餐菜单'!O533</x:f>
        <x:v>82.5</x:v>
      </x:c>
      <x:c r="I267" t="n">
        <x:f>'730餐菜单'!P532+'730餐菜单'!P533</x:f>
        <x:v>104.19999999999999</x:v>
      </x:c>
      <x:c r="J267" t="n">
        <x:f>'730餐菜单'!Q532+'730餐菜单'!Q533</x:f>
        <x:v>23.9</x:v>
      </x:c>
      <x:c r="K267" t="n">
        <x:f>SUM('食材明细'!F3184:F3185)+SUM('食材明细'!F3190:F3191)</x:f>
        <x:v>615</x:v>
      </x:c>
      <x:c r="L267" t="str">
        <x:v>仅午餐+晚餐；早餐、饮奶、水果、零食未计入</x:v>
      </x:c>
    </x:row>
    <x:row r="268" ht="23" customHeight="1">
      <x:c r="A268" t="n">
        <x:v>267</x:v>
      </x:c>
      <x:c r="B268" t="n">
        <x:v>39</x:v>
      </x:c>
      <x:c r="C268" t="str">
        <x:v>酸汤虾仁配四季豆泡发木耳｜土豆</x:v>
      </x:c>
      <x:c r="D268" t="str">
        <x:v>香醋北豆腐配菜心彩椒｜燕麦饭</x:v>
      </x:c>
      <x:c r="E268" t="n">
        <x:f>'730餐菜单'!N534</x:f>
        <x:v>367</x:v>
      </x:c>
      <x:c r="F268" t="n">
        <x:f>'730餐菜单'!N535</x:f>
        <x:v>495</x:v>
      </x:c>
      <x:c r="G268" t="n">
        <x:f>E268+F268</x:f>
        <x:v>862</x:v>
      </x:c>
      <x:c r="H268" t="n">
        <x:f>'730餐菜单'!O534+'730餐菜单'!O535</x:f>
        <x:v>74.4</x:v>
      </x:c>
      <x:c r="I268" t="n">
        <x:f>'730餐菜单'!P534+'730餐菜单'!P535</x:f>
        <x:v>89</x:v>
      </x:c>
      <x:c r="J268" t="n">
        <x:f>'730餐菜单'!Q534+'730餐菜单'!Q535</x:f>
        <x:v>27.2</x:v>
      </x:c>
      <x:c r="K268" t="n">
        <x:f>SUM('食材明细'!F3196:F3197)+SUM('食材明细'!F3202:F3203)</x:f>
        <x:v>595</x:v>
      </x:c>
      <x:c r="L268" t="str">
        <x:v>仅午餐+晚餐；早餐、饮奶、水果、零食未计入</x:v>
      </x:c>
    </x:row>
    <x:row r="269" ht="23" customHeight="1">
      <x:c r="A269" t="n">
        <x:v>268</x:v>
      </x:c>
      <x:c r="B269" t="n">
        <x:v>39</x:v>
      </x:c>
      <x:c r="C269" t="str">
        <x:v>酸汤虾仁配秋葵白萝卜｜山药</x:v>
      </x:c>
      <x:c r="D269" t="str">
        <x:v>蒜香北豆腐鸡蛋烩小白菜冬瓜｜山药</x:v>
      </x:c>
      <x:c r="E269" t="n">
        <x:f>'730餐菜单'!N536</x:f>
        <x:v>369</x:v>
      </x:c>
      <x:c r="F269" t="n">
        <x:f>'730餐菜单'!N537</x:f>
        <x:v>488</x:v>
      </x:c>
      <x:c r="G269" t="n">
        <x:f>E269+F269</x:f>
        <x:v>857</x:v>
      </x:c>
      <x:c r="H269" t="n">
        <x:f>'730餐菜单'!O536+'730餐菜单'!O537</x:f>
        <x:v>78.3</x:v>
      </x:c>
      <x:c r="I269" t="n">
        <x:f>'730餐菜单'!P536+'730餐菜单'!P537</x:f>
        <x:v>67.6</x:v>
      </x:c>
      <x:c r="J269" t="n">
        <x:f>'730餐菜单'!Q536+'730餐菜单'!Q537</x:f>
        <x:v>33.6</x:v>
      </x:c>
      <x:c r="K269" t="n">
        <x:f>SUM('食材明细'!F3208:F3209)+SUM('食材明细'!F3214:F3215)</x:f>
        <x:v>600</x:v>
      </x:c>
      <x:c r="L269" t="str">
        <x:v>仅午餐+晚餐；早餐、饮奶、水果、零食未计入</x:v>
      </x:c>
    </x:row>
    <x:row r="270" ht="23" customHeight="1">
      <x:c r="A270" t="n">
        <x:v>269</x:v>
      </x:c>
      <x:c r="B270" t="n">
        <x:v>39</x:v>
      </x:c>
      <x:c r="C270" t="str">
        <x:v>菌菇鲈鱼配四季豆金针菇｜荞麦饭</x:v>
      </x:c>
      <x:c r="D270" t="str">
        <x:v>椒麻去皮鸭胸肉配芹菜小白菜｜杂粮饭</x:v>
      </x:c>
      <x:c r="E270" t="n">
        <x:f>'730餐菜单'!N538</x:f>
        <x:v>440</x:v>
      </x:c>
      <x:c r="F270" t="n">
        <x:f>'730餐菜单'!N539</x:f>
        <x:v>424</x:v>
      </x:c>
      <x:c r="G270" t="n">
        <x:f>E270+F270</x:f>
        <x:v>864</x:v>
      </x:c>
      <x:c r="H270" t="n">
        <x:f>'730餐菜单'!O538+'730餐菜单'!O539</x:f>
        <x:v>78.8</x:v>
      </x:c>
      <x:c r="I270" t="n">
        <x:f>'730餐菜单'!P538+'730餐菜单'!P539</x:f>
        <x:v>84</x:v>
      </x:c>
      <x:c r="J270" t="n">
        <x:f>'730餐菜单'!Q538+'730餐菜单'!Q539</x:f>
        <x:v>25.9</x:v>
      </x:c>
      <x:c r="K270" t="n">
        <x:f>SUM('食材明细'!F3220:F3221)+SUM('食材明细'!F3226:F3227)</x:f>
        <x:v>610</x:v>
      </x:c>
      <x:c r="L270" t="str">
        <x:v>仅午餐+晚餐；早餐、饮奶、水果、零食未计入</x:v>
      </x:c>
    </x:row>
    <x:row r="271" ht="23" customHeight="1">
      <x:c r="A271" t="n">
        <x:v>270</x:v>
      </x:c>
      <x:c r="B271" t="n">
        <x:v>39</x:v>
      </x:c>
      <x:c r="C271" t="str">
        <x:v>番茄瘦牛肉配芦笋｜杂粮饭</x:v>
      </x:c>
      <x:c r="D271" t="str">
        <x:v>剁椒北豆腐配芦笋胡萝卜｜藜麦饭</x:v>
      </x:c>
      <x:c r="E271" t="n">
        <x:f>'730餐菜单'!N540</x:f>
        <x:v>530</x:v>
      </x:c>
      <x:c r="F271" t="n">
        <x:f>'730餐菜单'!N541</x:f>
        <x:v>446</x:v>
      </x:c>
      <x:c r="G271" t="n">
        <x:f>E271+F271</x:f>
        <x:v>976</x:v>
      </x:c>
      <x:c r="H271" t="n">
        <x:f>'730餐菜单'!O540+'730餐菜单'!O541</x:f>
        <x:v>84.9</x:v>
      </x:c>
      <x:c r="I271" t="n">
        <x:f>'730餐菜单'!P540+'730餐菜单'!P541</x:f>
        <x:v>87.9</x:v>
      </x:c>
      <x:c r="J271" t="n">
        <x:f>'730餐菜单'!Q540+'730餐菜单'!Q541</x:f>
        <x:v>34.8</x:v>
      </x:c>
      <x:c r="K271" t="n">
        <x:f>SUM('食材明细'!F3232:F3233)+SUM('食材明细'!F3238:F3239)</x:f>
        <x:v>600</x:v>
      </x:c>
      <x:c r="L271" t="str">
        <x:v>仅午餐+晚餐；早餐、饮奶、水果、零食未计入</x:v>
      </x:c>
    </x:row>
    <x:row r="272" ht="23" customHeight="1">
      <x:c r="A272" t="n">
        <x:v>271</x:v>
      </x:c>
      <x:c r="B272" t="n">
        <x:v>39</x:v>
      </x:c>
      <x:c r="C272" t="str">
        <x:v>咖喱牛里脊配丝瓜香菇｜杂粮饭</x:v>
      </x:c>
      <x:c r="D272" t="str">
        <x:v>酸汤虾仁配菠菜花菜｜杂粮饭</x:v>
      </x:c>
      <x:c r="E272" t="n">
        <x:f>'730餐菜单'!N542</x:f>
        <x:v>497</x:v>
      </x:c>
      <x:c r="F272" t="n">
        <x:f>'730餐菜单'!N543</x:f>
        <x:v>359</x:v>
      </x:c>
      <x:c r="G272" t="n">
        <x:f>E272+F272</x:f>
        <x:v>856</x:v>
      </x:c>
      <x:c r="H272" t="n">
        <x:f>'730餐菜单'!O542+'730餐菜单'!O543</x:f>
        <x:v>90.30000000000001</x:v>
      </x:c>
      <x:c r="I272" t="n">
        <x:f>'730餐菜单'!P542+'730餐菜单'!P543</x:f>
        <x:v>77.3</x:v>
      </x:c>
      <x:c r="J272" t="n">
        <x:f>'730餐菜单'!Q542+'730餐菜单'!Q543</x:f>
        <x:v>23.1</x:v>
      </x:c>
      <x:c r="K272" t="n">
        <x:f>SUM('食材明细'!F3244:F3245)+SUM('食材明细'!F3250:F3251)</x:f>
        <x:v>600</x:v>
      </x:c>
      <x:c r="L272" t="str">
        <x:v>仅午餐+晚餐；早餐、饮奶、水果、零食未计入</x:v>
      </x:c>
    </x:row>
    <x:row r="273" ht="23" customHeight="1">
      <x:c r="A273" t="n">
        <x:v>272</x:v>
      </x:c>
      <x:c r="B273" t="n">
        <x:v>39</x:v>
      </x:c>
      <x:c r="C273" t="str">
        <x:v>椒麻北豆腐虾仁烩冬瓜杏鲍菇｜糙米饭</x:v>
      </x:c>
      <x:c r="D273" t="str">
        <x:v>酸汤三文鱼配菜心花菜｜玉米</x:v>
      </x:c>
      <x:c r="E273" t="n">
        <x:f>'730餐菜单'!N544</x:f>
        <x:v>598</x:v>
      </x:c>
      <x:c r="F273" t="n">
        <x:f>'730餐菜单'!N545</x:f>
        <x:v>519</x:v>
      </x:c>
      <x:c r="G273" t="n">
        <x:f>E273+F273</x:f>
        <x:v>1117</x:v>
      </x:c>
      <x:c r="H273" t="n">
        <x:f>'730餐菜单'!O544+'730餐菜单'!O545</x:f>
        <x:v>92.1</x:v>
      </x:c>
      <x:c r="I273" t="n">
        <x:f>'730餐菜单'!P544+'730餐菜单'!P545</x:f>
        <x:v>91.4</x:v>
      </x:c>
      <x:c r="J273" t="n">
        <x:f>'730餐菜单'!Q544+'730餐菜单'!Q545</x:f>
        <x:v>46.5</x:v>
      </x:c>
      <x:c r="K273" t="n">
        <x:f>SUM('食材明细'!F3256:F3257)+SUM('食材明细'!F3262:F3263)</x:f>
        <x:v>600</x:v>
      </x:c>
      <x:c r="L273" t="str">
        <x:v>仅午餐+晚餐；早餐、饮奶、水果、零食未计入</x:v>
      </x:c>
    </x:row>
    <x:row r="274" ht="23" customHeight="1">
      <x:c r="A274" t="n">
        <x:v>273</x:v>
      </x:c>
      <x:c r="B274" t="n">
        <x:v>39</x:v>
      </x:c>
      <x:c r="C274" t="str">
        <x:v>酸汤鸡胸肉配丝瓜香菇｜燕麦饭</x:v>
      </x:c>
      <x:c r="D274" t="str">
        <x:v>清汤嫩豆腐鸡蛋烩白萝卜小白菜｜土豆</x:v>
      </x:c>
      <x:c r="E274" t="n">
        <x:f>'730餐菜单'!N546</x:f>
        <x:v>429</x:v>
      </x:c>
      <x:c r="F274" t="n">
        <x:f>'730餐菜单'!N547</x:f>
        <x:v>402</x:v>
      </x:c>
      <x:c r="G274" t="n">
        <x:f>E274+F274</x:f>
        <x:v>831</x:v>
      </x:c>
      <x:c r="H274" t="n">
        <x:f>'730餐菜单'!O546+'730餐菜单'!O547</x:f>
        <x:v>71.8</x:v>
      </x:c>
      <x:c r="I274" t="n">
        <x:f>'730餐菜单'!P546+'730餐菜单'!P547</x:f>
        <x:v>67.4</x:v>
      </x:c>
      <x:c r="J274" t="n">
        <x:f>'730餐菜单'!Q546+'730餐菜单'!Q547</x:f>
        <x:v>32.099999999999994</x:v>
      </x:c>
      <x:c r="K274" t="n">
        <x:f>SUM('食材明细'!F3268:F3269)+SUM('食材明细'!F3274:F3275)</x:f>
        <x:v>565</x:v>
      </x:c>
      <x:c r="L274" t="str">
        <x:v>仅午餐+晚餐；早餐、饮奶、水果、零食未计入</x:v>
      </x:c>
    </x:row>
    <x:row r="275" ht="23" customHeight="1">
      <x:c r="A275" t="n">
        <x:v>274</x:v>
      </x:c>
      <x:c r="B275" t="n">
        <x:v>40</x:v>
      </x:c>
      <x:c r="C275" t="str">
        <x:v>菌菇鲈鱼配菠菜杏鲍菇｜糙米饭</x:v>
      </x:c>
      <x:c r="D275" t="str">
        <x:v>蒜香去皮鸭胸肉配油麦菜海带｜藜麦饭</x:v>
      </x:c>
      <x:c r="E275" t="n">
        <x:f>'730餐菜单'!N548</x:f>
        <x:v>432</x:v>
      </x:c>
      <x:c r="F275" t="n">
        <x:f>'730餐菜单'!N549</x:f>
        <x:v>400</x:v>
      </x:c>
      <x:c r="G275" t="n">
        <x:f>E275+F275</x:f>
        <x:v>832</x:v>
      </x:c>
      <x:c r="H275" t="n">
        <x:f>'730餐菜单'!O548+'730餐菜单'!O549</x:f>
        <x:v>78.5</x:v>
      </x:c>
      <x:c r="I275" t="n">
        <x:f>'730餐菜单'!P548+'730餐菜单'!P549</x:f>
        <x:v>75.5</x:v>
      </x:c>
      <x:c r="J275" t="n">
        <x:f>'730餐菜单'!Q548+'730餐菜单'!Q549</x:f>
        <x:v>25.8</x:v>
      </x:c>
      <x:c r="K275" t="n">
        <x:f>SUM('食材明细'!F3280:F3281)+SUM('食材明细'!F3286:F3287)</x:f>
        <x:v>550</x:v>
      </x:c>
      <x:c r="L275" t="str">
        <x:v>仅午餐+晚餐；早餐、饮奶、水果、零食未计入</x:v>
      </x:c>
    </x:row>
    <x:row r="276" ht="23" customHeight="1">
      <x:c r="A276" t="n">
        <x:v>275</x:v>
      </x:c>
      <x:c r="B276" t="n">
        <x:v>40</x:v>
      </x:c>
      <x:c r="C276" t="str">
        <x:v>蒜香嫩豆腐鸡蛋烩芹菜西兰花｜燕麦饭</x:v>
      </x:c>
      <x:c r="D276" t="str">
        <x:v>清汤鳕鱼配大白菜番茄｜玉米</x:v>
      </x:c>
      <x:c r="E276" t="n">
        <x:f>'730餐菜单'!N550</x:f>
        <x:v>588</x:v>
      </x:c>
      <x:c r="F276" t="n">
        <x:f>'730餐菜单'!N551</x:f>
        <x:v>395</x:v>
      </x:c>
      <x:c r="G276" t="n">
        <x:f>E276+F276</x:f>
        <x:v>983</x:v>
      </x:c>
      <x:c r="H276" t="n">
        <x:f>'730餐菜单'!O550+'730餐菜单'!O551</x:f>
        <x:v>82</x:v>
      </x:c>
      <x:c r="I276" t="n">
        <x:f>'730餐菜单'!P550+'730餐菜单'!P551</x:f>
        <x:v>89.19999999999999</x:v>
      </x:c>
      <x:c r="J276" t="n">
        <x:f>'730餐菜单'!Q550+'730餐菜单'!Q551</x:f>
        <x:v>35.3</x:v>
      </x:c>
      <x:c r="K276" t="n">
        <x:f>SUM('食材明细'!F3292:F3293)+SUM('食材明细'!F3298:F3299)</x:f>
        <x:v>555</x:v>
      </x:c>
      <x:c r="L276" t="str">
        <x:v>仅午餐+晚餐；早餐、饮奶、水果、零食未计入</x:v>
      </x:c>
    </x:row>
    <x:row r="277" ht="23" customHeight="1">
      <x:c r="A277" t="n">
        <x:v>276</x:v>
      </x:c>
      <x:c r="B277" t="n">
        <x:v>40</x:v>
      </x:c>
      <x:c r="C277" t="str">
        <x:v>豉汁鸡蛋北豆腐烩小白菜香菇｜藜麦饭</x:v>
      </x:c>
      <x:c r="D277" t="str">
        <x:v>孜然瘦牛肉配莴笋西兰花｜糙米饭</x:v>
      </x:c>
      <x:c r="E277" t="n">
        <x:f>'730餐菜单'!N552</x:f>
        <x:v>492</x:v>
      </x:c>
      <x:c r="F277" t="n">
        <x:f>'730餐菜单'!N553</x:f>
        <x:v>480</x:v>
      </x:c>
      <x:c r="G277" t="n">
        <x:f>E277+F277</x:f>
        <x:v>972</x:v>
      </x:c>
      <x:c r="H277" t="n">
        <x:f>'730餐菜单'!O552+'730餐菜单'!O553</x:f>
        <x:v>80.30000000000001</x:v>
      </x:c>
      <x:c r="I277" t="n">
        <x:f>'730餐菜单'!P552+'730餐菜单'!P553</x:f>
        <x:v>86</x:v>
      </x:c>
      <x:c r="J277" t="n">
        <x:f>'730餐菜单'!Q552+'730餐菜单'!Q553</x:f>
        <x:v>36.7</x:v>
      </x:c>
      <x:c r="K277" t="n">
        <x:f>SUM('食材明细'!F3304:F3305)+SUM('食材明细'!F3310:F3311)</x:f>
        <x:v>580</x:v>
      </x:c>
      <x:c r="L277" t="str">
        <x:v>仅午餐+晚餐；早餐、饮奶、水果、零食未计入</x:v>
      </x:c>
    </x:row>
    <x:row r="278" ht="23" customHeight="1">
      <x:c r="A278" t="n">
        <x:v>277</x:v>
      </x:c>
      <x:c r="B278" t="n">
        <x:v>40</x:v>
      </x:c>
      <x:c r="C278" t="str">
        <x:v>孜然去皮鸭胸肉配茼蒿黄瓜｜糙米饭</x:v>
      </x:c>
      <x:c r="D278" t="str">
        <x:v>椒麻鱿鱼配西兰花海带｜玉米</x:v>
      </x:c>
      <x:c r="E278" t="n">
        <x:f>'730餐菜单'!N554</x:f>
        <x:v>465</x:v>
      </x:c>
      <x:c r="F278" t="n">
        <x:f>'730餐菜单'!N555</x:f>
        <x:v>414</x:v>
      </x:c>
      <x:c r="G278" t="n">
        <x:f>E278+F278</x:f>
        <x:v>879</x:v>
      </x:c>
      <x:c r="H278" t="n">
        <x:f>'730餐菜单'!O554+'730餐菜单'!O555</x:f>
        <x:v>83.4</x:v>
      </x:c>
      <x:c r="I278" t="n">
        <x:f>'730餐菜单'!P554+'730餐菜单'!P555</x:f>
        <x:v>77.7</x:v>
      </x:c>
      <x:c r="J278" t="n">
        <x:f>'730餐菜单'!Q554+'730餐菜单'!Q555</x:f>
        <x:v>28.3</x:v>
      </x:c>
      <x:c r="K278" t="n">
        <x:f>SUM('食材明细'!F3316:F3317)+SUM('食材明细'!F3322:F3323)</x:f>
        <x:v>585</x:v>
      </x:c>
      <x:c r="L278" t="str">
        <x:v>仅午餐+晚餐；早餐、饮奶、水果、零食未计入</x:v>
      </x:c>
    </x:row>
    <x:row r="279" ht="23" customHeight="1">
      <x:c r="A279" t="n">
        <x:v>278</x:v>
      </x:c>
      <x:c r="B279" t="n">
        <x:v>40</x:v>
      </x:c>
      <x:c r="C279" t="str">
        <x:v>花椒鲈鱼配番茄西兰花｜白米饭</x:v>
      </x:c>
      <x:c r="D279" t="str">
        <x:v>黑椒鸡胸肉配白萝卜绿豆芽｜燕麦饭</x:v>
      </x:c>
      <x:c r="E279" t="n">
        <x:f>'730餐菜单'!N556</x:f>
        <x:v>492</x:v>
      </x:c>
      <x:c r="F279" t="n">
        <x:f>'730餐菜单'!N557</x:f>
        <x:v>409</x:v>
      </x:c>
      <x:c r="G279" t="n">
        <x:f>E279+F279</x:f>
        <x:v>901</x:v>
      </x:c>
      <x:c r="H279" t="n">
        <x:f>'730餐菜单'!O556+'730餐菜单'!O557</x:f>
        <x:v>94.1</x:v>
      </x:c>
      <x:c r="I279" t="n">
        <x:f>'730餐菜单'!P556+'730餐菜单'!P557</x:f>
        <x:v>83.6</x:v>
      </x:c>
      <x:c r="J279" t="n">
        <x:f>'730餐菜单'!Q556+'730餐菜单'!Q557</x:f>
        <x:v>23.9</x:v>
      </x:c>
      <x:c r="K279" t="n">
        <x:f>SUM('食材明细'!F3328:F3329)+SUM('食材明细'!F3334:F3335)</x:f>
        <x:v>615</x:v>
      </x:c>
      <x:c r="L279" t="str">
        <x:v>仅午餐+晚餐；早餐、饮奶、水果、零食未计入</x:v>
      </x:c>
    </x:row>
    <x:row r="280" ht="23" customHeight="1">
      <x:c r="A280" t="n">
        <x:v>279</x:v>
      </x:c>
      <x:c r="B280" t="n">
        <x:v>40</x:v>
      </x:c>
      <x:c r="C280" t="str">
        <x:v>菌菇低盐火腿鸡蛋烩生菜口蘑｜杂粮饭</x:v>
      </x:c>
      <x:c r="D280" t="str">
        <x:v>清汤瘦牛肉配黄瓜彩椒｜荞麦饭</x:v>
      </x:c>
      <x:c r="E280" t="n">
        <x:f>'730餐菜单'!N558</x:f>
        <x:v>406</x:v>
      </x:c>
      <x:c r="F280" t="n">
        <x:f>'730餐菜单'!N559</x:f>
        <x:v>448</x:v>
      </x:c>
      <x:c r="G280" t="n">
        <x:f>E280+F280</x:f>
        <x:v>854</x:v>
      </x:c>
      <x:c r="H280" t="n">
        <x:f>'730餐菜单'!O558+'730餐菜单'!O559</x:f>
        <x:v>67.4</x:v>
      </x:c>
      <x:c r="I280" t="n">
        <x:f>'730餐菜单'!P558+'730餐菜单'!P559</x:f>
        <x:v>75.9</x:v>
      </x:c>
      <x:c r="J280" t="n">
        <x:f>'730餐菜单'!Q558+'730餐菜单'!Q559</x:f>
        <x:v>32.7</x:v>
      </x:c>
      <x:c r="K280" t="n">
        <x:f>SUM('食材明细'!F3340:F3341)+SUM('食材明细'!F3346:F3347)</x:f>
        <x:v>560</x:v>
      </x:c>
      <x:c r="L280" t="str">
        <x:v>仅午餐+晚餐；早餐、饮奶、水果、零食未计入</x:v>
      </x:c>
    </x:row>
    <x:row r="281" ht="23" customHeight="1">
      <x:c r="A281" t="n">
        <x:v>280</x:v>
      </x:c>
      <x:c r="B281" t="n">
        <x:v>40</x:v>
      </x:c>
      <x:c r="C281" t="str">
        <x:v>番茄去皮鸡腿肉配西兰花｜杂粮饭</x:v>
      </x:c>
      <x:c r="D281" t="str">
        <x:v>菌菇鸡蛋虾仁烩彩椒香菇｜藜麦饭</x:v>
      </x:c>
      <x:c r="E281" t="n">
        <x:f>'730餐菜单'!N560</x:f>
        <x:v>458</x:v>
      </x:c>
      <x:c r="F281" t="n">
        <x:f>'730餐菜单'!N561</x:f>
        <x:v>505</x:v>
      </x:c>
      <x:c r="G281" t="n">
        <x:f>E281+F281</x:f>
        <x:v>963</x:v>
      </x:c>
      <x:c r="H281" t="n">
        <x:f>'730餐菜单'!O560+'730餐菜单'!O561</x:f>
        <x:v>78.4</x:v>
      </x:c>
      <x:c r="I281" t="n">
        <x:f>'730餐菜单'!P560+'730餐菜单'!P561</x:f>
        <x:v>96.1</x:v>
      </x:c>
      <x:c r="J281" t="n">
        <x:f>'730餐菜单'!Q560+'730餐菜单'!Q561</x:f>
        <x:v>32.9</x:v>
      </x:c>
      <x:c r="K281" t="n">
        <x:f>SUM('食材明细'!F3352:F3353)+SUM('食材明细'!F3358:F3359)</x:f>
        <x:v>630</x:v>
      </x:c>
      <x:c r="L281" t="str">
        <x:v>仅午餐+晚餐；早餐、饮奶、水果、零食未计入</x:v>
      </x:c>
    </x:row>
    <x:row r="282" ht="23" customHeight="1">
      <x:c r="A282" t="n">
        <x:v>281</x:v>
      </x:c>
      <x:c r="B282" t="n">
        <x:v>41</x:v>
      </x:c>
      <x:c r="C282" t="str">
        <x:v>无糖照烧鸡胸肉配西兰花洋葱｜糙米饭</x:v>
      </x:c>
      <x:c r="D282" t="str">
        <x:v>花椒鸡里脊肉配紫甘蓝西兰花｜荞麦面</x:v>
      </x:c>
      <x:c r="E282" t="n">
        <x:f>'730餐菜单'!N562</x:f>
        <x:v>576</x:v>
      </x:c>
      <x:c r="F282" t="n">
        <x:f>'730餐菜单'!N563</x:f>
        <x:v>372</x:v>
      </x:c>
      <x:c r="G282" t="n">
        <x:f>E282+F282</x:f>
        <x:v>948</x:v>
      </x:c>
      <x:c r="H282" t="n">
        <x:f>'730餐菜单'!O562+'730餐菜单'!O563</x:f>
        <x:v>101.6</x:v>
      </x:c>
      <x:c r="I282" t="n">
        <x:f>'730餐菜单'!P562+'730餐菜单'!P563</x:f>
        <x:v>97.69999999999999</x:v>
      </x:c>
      <x:c r="J282" t="n">
        <x:f>'730餐菜单'!Q562+'730餐菜单'!Q563</x:f>
        <x:v>21</x:v>
      </x:c>
      <x:c r="K282" t="n">
        <x:f>SUM('食材明细'!F3364:F3365)+SUM('食材明细'!F3370:F3371)</x:f>
        <x:v>565</x:v>
      </x:c>
      <x:c r="L282" t="str">
        <x:v>仅午餐+晚餐；早餐、饮奶、水果、零食未计入</x:v>
      </x:c>
    </x:row>
    <x:row r="283" ht="23" customHeight="1">
      <x:c r="A283" t="n">
        <x:v>282</x:v>
      </x:c>
      <x:c r="B283" t="n">
        <x:v>41</x:v>
      </x:c>
      <x:c r="C283" t="str">
        <x:v>清汤低盐火腿鸡蛋烩冬瓜芦笋｜全麦面</x:v>
      </x:c>
      <x:c r="D283" t="str">
        <x:v>菌菇鸡蛋北豆腐烩苦瓜口蘑｜全麦面</x:v>
      </x:c>
      <x:c r="E283" t="n">
        <x:f>'730餐菜单'!N564</x:f>
        <x:v>387</x:v>
      </x:c>
      <x:c r="F283" t="n">
        <x:f>'730餐菜单'!N565</x:f>
        <x:v>510</x:v>
      </x:c>
      <x:c r="G283" t="n">
        <x:f>E283+F283</x:f>
        <x:v>897</x:v>
      </x:c>
      <x:c r="H283" t="n">
        <x:f>'730餐菜单'!O564+'730餐菜单'!O565</x:f>
        <x:v>59.5</x:v>
      </x:c>
      <x:c r="I283" t="n">
        <x:f>'730餐菜单'!P564+'730餐菜单'!P565</x:f>
        <x:v>91.1</x:v>
      </x:c>
      <x:c r="J283" t="n">
        <x:f>'730餐菜单'!Q564+'730餐菜单'!Q565</x:f>
        <x:v>37.6</x:v>
      </x:c>
      <x:c r="K283" t="n">
        <x:f>SUM('食材明细'!F3376:F3377)+SUM('食材明细'!F3382:F3383)</x:f>
        <x:v>565</x:v>
      </x:c>
      <x:c r="L283" t="str">
        <x:v>仅午餐+晚餐；早餐、饮奶、水果、零食未计入</x:v>
      </x:c>
    </x:row>
    <x:row r="284" ht="23" customHeight="1">
      <x:c r="A284" t="n">
        <x:v>283</x:v>
      </x:c>
      <x:c r="B284" t="n">
        <x:v>41</x:v>
      </x:c>
      <x:c r="C284" t="str">
        <x:v>蒜香扇贝肉配小白菜香菇｜乌冬面</x:v>
      </x:c>
      <x:c r="D284" t="str">
        <x:v>菌菇去皮鸡腿肉配彩椒香菇｜白米饭</x:v>
      </x:c>
      <x:c r="E284" t="n">
        <x:f>'730餐菜单'!N566</x:f>
        <x:v>448</x:v>
      </x:c>
      <x:c r="F284" t="n">
        <x:f>'730餐菜单'!N567</x:f>
        <x:v>436</x:v>
      </x:c>
      <x:c r="G284" t="n">
        <x:f>E284+F284</x:f>
        <x:v>884</x:v>
      </x:c>
      <x:c r="H284" t="n">
        <x:f>'730餐菜单'!O566+'730餐菜单'!O567</x:f>
        <x:v>85.4</x:v>
      </x:c>
      <x:c r="I284" t="n">
        <x:f>'730餐菜单'!P566+'730餐菜单'!P567</x:f>
        <x:v>93.6</x:v>
      </x:c>
      <x:c r="J284" t="n">
        <x:f>'730餐菜单'!Q566+'730餐菜单'!Q567</x:f>
        <x:v>20.200000000000003</x:v>
      </x:c>
      <x:c r="K284" t="n">
        <x:f>SUM('食材明细'!F3388:F3389)+SUM('食材明细'!F3394:F3395)</x:f>
        <x:v>615</x:v>
      </x:c>
      <x:c r="L284" t="str">
        <x:v>仅午餐+晚餐；早餐、饮奶、水果、零食未计入</x:v>
      </x:c>
    </x:row>
    <x:row r="285" ht="23" customHeight="1">
      <x:c r="A285" t="n">
        <x:v>284</x:v>
      </x:c>
      <x:c r="B285" t="n">
        <x:v>41</x:v>
      </x:c>
      <x:c r="C285" t="str">
        <x:v>蒜香虾仁配黄瓜玉米笋｜土豆</x:v>
      </x:c>
      <x:c r="D285" t="str">
        <x:v>香醋北豆腐配花菜洋葱｜燕麦饭</x:v>
      </x:c>
      <x:c r="E285" t="n">
        <x:f>'730餐菜单'!N568</x:f>
        <x:v>368</x:v>
      </x:c>
      <x:c r="F285" t="n">
        <x:f>'730餐菜单'!N569</x:f>
        <x:v>565</x:v>
      </x:c>
      <x:c r="G285" t="n">
        <x:f>E285+F285</x:f>
        <x:v>933</x:v>
      </x:c>
      <x:c r="H285" t="n">
        <x:f>'730餐菜单'!O568+'730餐菜单'!O569</x:f>
        <x:v>82.3</x:v>
      </x:c>
      <x:c r="I285" t="n">
        <x:f>'730餐菜单'!P568+'730餐菜单'!P569</x:f>
        <x:v>91.8</x:v>
      </x:c>
      <x:c r="J285" t="n">
        <x:f>'730餐菜单'!Q568+'730餐菜单'!Q569</x:f>
        <x:v>29.6</x:v>
      </x:c>
      <x:c r="K285" t="n">
        <x:f>SUM('食材明细'!F3400:F3401)+SUM('食材明细'!F3406:F3407)</x:f>
        <x:v>660</x:v>
      </x:c>
      <x:c r="L285" t="str">
        <x:v>仅午餐+晚餐；早餐、饮奶、水果、零食未计入</x:v>
      </x:c>
    </x:row>
    <x:row r="286" ht="23" customHeight="1">
      <x:c r="A286" t="n">
        <x:v>285</x:v>
      </x:c>
      <x:c r="B286" t="n">
        <x:v>41</x:v>
      </x:c>
      <x:c r="C286" t="str">
        <x:v>清汤北豆腐鸡蛋烩丝瓜番茄｜杂粮饭</x:v>
      </x:c>
      <x:c r="D286" t="str">
        <x:v>葱姜清蒸鳕鱼配荷兰豆芦笋｜红薯</x:v>
      </x:c>
      <x:c r="E286" t="n">
        <x:f>'730餐菜单'!N570</x:f>
        <x:v>547</x:v>
      </x:c>
      <x:c r="F286" t="n">
        <x:f>'730餐菜单'!N571</x:f>
        <x:v>420</x:v>
      </x:c>
      <x:c r="G286" t="n">
        <x:f>E286+F286</x:f>
        <x:v>967</x:v>
      </x:c>
      <x:c r="H286" t="n">
        <x:f>'730餐菜单'!O570+'730餐菜单'!O571</x:f>
        <x:v>81</x:v>
      </x:c>
      <x:c r="I286" t="n">
        <x:f>'730餐菜单'!P570+'730餐菜单'!P571</x:f>
        <x:v>98.1</x:v>
      </x:c>
      <x:c r="J286" t="n">
        <x:f>'730餐菜单'!Q570+'730餐菜单'!Q571</x:f>
        <x:v>29.5</x:v>
      </x:c>
      <x:c r="K286" t="n">
        <x:f>SUM('食材明细'!F3412:F3413)+SUM('食材明细'!F3418:F3419)</x:f>
        <x:v>595</x:v>
      </x:c>
      <x:c r="L286" t="str">
        <x:v>仅午餐+晚餐；早餐、饮奶、水果、零食未计入</x:v>
      </x:c>
    </x:row>
    <x:row r="287" ht="23" customHeight="1">
      <x:c r="A287" t="n">
        <x:v>286</x:v>
      </x:c>
      <x:c r="B287" t="n">
        <x:v>41</x:v>
      </x:c>
      <x:c r="C287" t="str">
        <x:v>剁椒猪瘦肉配黄瓜海带｜紫薯</x:v>
      </x:c>
      <x:c r="D287" t="str">
        <x:v>椒麻牛里脊配菜心番茄｜红薯</x:v>
      </x:c>
      <x:c r="E287" t="n">
        <x:f>'730餐菜单'!N572</x:f>
        <x:v>444</x:v>
      </x:c>
      <x:c r="F287" t="n">
        <x:f>'730餐菜单'!N573</x:f>
        <x:v>430</x:v>
      </x:c>
      <x:c r="G287" t="n">
        <x:f>E287+F287</x:f>
        <x:v>874</x:v>
      </x:c>
      <x:c r="H287" t="n">
        <x:f>'730餐菜单'!O572+'730餐菜单'!O573</x:f>
        <x:v>81.9</x:v>
      </x:c>
      <x:c r="I287" t="n">
        <x:f>'730餐菜单'!P572+'730餐菜单'!P573</x:f>
        <x:v>75.69999999999999</x:v>
      </x:c>
      <x:c r="J287" t="n">
        <x:f>'730餐菜单'!Q572+'730餐菜单'!Q573</x:f>
        <x:v>28</x:v>
      </x:c>
      <x:c r="K287" t="n">
        <x:f>SUM('食材明细'!F3424:F3425)+SUM('食材明细'!F3430:F3431)</x:f>
        <x:v>645</x:v>
      </x:c>
      <x:c r="L287" t="str">
        <x:v>仅午餐+晚餐；早餐、饮奶、水果、零食未计入</x:v>
      </x:c>
    </x:row>
    <x:row r="288" ht="23" customHeight="1">
      <x:c r="A288" t="n">
        <x:v>287</x:v>
      </x:c>
      <x:c r="B288" t="n">
        <x:v>41</x:v>
      </x:c>
      <x:c r="C288" t="str">
        <x:v>菌菇虾仁配荷兰豆香菇｜土豆</x:v>
      </x:c>
      <x:c r="D288" t="str">
        <x:v>蚝香北豆腐虾仁烩苦瓜小白菜｜荞麦饭</x:v>
      </x:c>
      <x:c r="E288" t="n">
        <x:f>'730餐菜单'!N574</x:f>
        <x:v>506</x:v>
      </x:c>
      <x:c r="F288" t="n">
        <x:f>'730餐菜单'!N575</x:f>
        <x:v>504</x:v>
      </x:c>
      <x:c r="G288" t="n">
        <x:f>E288+F288</x:f>
        <x:v>1010</x:v>
      </x:c>
      <x:c r="H288" t="n">
        <x:f>'730餐菜单'!O574+'730餐菜单'!O575</x:f>
        <x:v>96.30000000000001</x:v>
      </x:c>
      <x:c r="I288" t="n">
        <x:f>'730餐菜单'!P574+'730餐菜单'!P575</x:f>
        <x:v>90.9</x:v>
      </x:c>
      <x:c r="J288" t="n">
        <x:f>'730餐菜单'!Q574+'730餐菜单'!Q575</x:f>
        <x:v>31.4</x:v>
      </x:c>
      <x:c r="K288" t="n">
        <x:f>SUM('食材明细'!F3436:F3437)+SUM('食材明细'!F3442:F3443)</x:f>
        <x:v>595</x:v>
      </x:c>
      <x:c r="L288" t="str">
        <x:v>仅午餐+晚餐；早餐、饮奶、水果、零食未计入</x:v>
      </x:c>
    </x:row>
    <x:row r="289" ht="23" customHeight="1">
      <x:c r="A289" t="n">
        <x:v>288</x:v>
      </x:c>
      <x:c r="B289" t="n">
        <x:v>42</x:v>
      </x:c>
      <x:c r="C289" t="str">
        <x:v>酸汤鸡胸肉配菜心绿豆芽｜乌冬面</x:v>
      </x:c>
      <x:c r="D289" t="str">
        <x:v>豉汁虾仁配黄瓜菜心｜乌冬面</x:v>
      </x:c>
      <x:c r="E289" t="n">
        <x:f>'730餐菜单'!N576</x:f>
        <x:v>482</x:v>
      </x:c>
      <x:c r="F289" t="n">
        <x:f>'730餐菜单'!N577</x:f>
        <x:v>375</x:v>
      </x:c>
      <x:c r="G289" t="n">
        <x:f>E289+F289</x:f>
        <x:v>857</x:v>
      </x:c>
      <x:c r="H289" t="n">
        <x:f>'730餐菜单'!O576+'730餐菜单'!O577</x:f>
        <x:v>91.5</x:v>
      </x:c>
      <x:c r="I289" t="n">
        <x:f>'730餐菜单'!P576+'730餐菜单'!P577</x:f>
        <x:v>86.69999999999999</x:v>
      </x:c>
      <x:c r="J289" t="n">
        <x:f>'730餐菜单'!Q576+'730餐菜单'!Q577</x:f>
        <x:v>17.299999999999997</x:v>
      </x:c>
      <x:c r="K289" t="n">
        <x:f>SUM('食材明细'!F3448:F3449)+SUM('食材明细'!F3454:F3455)</x:f>
        <x:v>600</x:v>
      </x:c>
      <x:c r="L289" t="str">
        <x:v>仅午餐+晚餐；早餐、饮奶、水果、零食未计入</x:v>
      </x:c>
    </x:row>
    <x:row r="290" ht="23" customHeight="1">
      <x:c r="A290" t="n">
        <x:v>289</x:v>
      </x:c>
      <x:c r="B290" t="n">
        <x:v>42</x:v>
      </x:c>
      <x:c r="C290" t="str">
        <x:v>菌菇北豆腐熟毛豆仁烩生菜金针菇｜荞麦饭</x:v>
      </x:c>
      <x:c r="D290" t="str">
        <x:v>咖喱去皮鸡腿肉配紫甘蓝西兰花｜荞麦面</x:v>
      </x:c>
      <x:c r="E290" t="n">
        <x:f>'730餐菜单'!N578</x:f>
        <x:v>564</x:v>
      </x:c>
      <x:c r="F290" t="n">
        <x:f>'730餐菜单'!N579</x:f>
        <x:v>563</x:v>
      </x:c>
      <x:c r="G290" t="n">
        <x:f>E290+F290</x:f>
        <x:v>1127</x:v>
      </x:c>
      <x:c r="H290" t="n">
        <x:f>'730餐菜单'!O578+'730餐菜单'!O579</x:f>
        <x:v>98.1</x:v>
      </x:c>
      <x:c r="I290" t="n">
        <x:f>'730餐菜单'!P578+'730餐菜单'!P579</x:f>
        <x:v>106.19999999999999</x:v>
      </x:c>
      <x:c r="J290" t="n">
        <x:f>'730餐菜单'!Q578+'730餐菜单'!Q579</x:f>
        <x:v>40.4</x:v>
      </x:c>
      <x:c r="K290" t="n">
        <x:f>SUM('食材明细'!F3460:F3461)+SUM('食材明细'!F3466:F3467)</x:f>
        <x:v>630</x:v>
      </x:c>
      <x:c r="L290" t="str">
        <x:v>仅午餐+晚餐；早餐、饮奶、水果、零食未计入</x:v>
      </x:c>
    </x:row>
    <x:row r="291" ht="23" customHeight="1">
      <x:c r="A291" t="n">
        <x:v>290</x:v>
      </x:c>
      <x:c r="B291" t="n">
        <x:v>42</x:v>
      </x:c>
      <x:c r="C291" t="str">
        <x:v>花椒牛里脊配茼蒿丝瓜｜玉米</x:v>
      </x:c>
      <x:c r="D291" t="str">
        <x:v>豉汁北豆腐鸡蛋烩芹菜杏鲍菇｜糙米饭</x:v>
      </x:c>
      <x:c r="E291" t="n">
        <x:f>'730餐菜单'!N580</x:f>
        <x:v>477</x:v>
      </x:c>
      <x:c r="F291" t="n">
        <x:f>'730餐菜单'!N581</x:f>
        <x:v>587</x:v>
      </x:c>
      <x:c r="G291" t="n">
        <x:f>E291+F291</x:f>
        <x:v>1064</x:v>
      </x:c>
      <x:c r="H291" t="n">
        <x:f>'730餐菜单'!O580+'730餐菜单'!O581</x:f>
        <x:v>89.2</x:v>
      </x:c>
      <x:c r="I291" t="n">
        <x:f>'730餐菜单'!P580+'730餐菜单'!P581</x:f>
        <x:v>92.19999999999999</x:v>
      </x:c>
      <x:c r="J291" t="n">
        <x:f>'730餐菜单'!Q580+'730餐菜单'!Q581</x:f>
        <x:v>41.8</x:v>
      </x:c>
      <x:c r="K291" t="n">
        <x:f>SUM('食材明细'!F3472:F3473)+SUM('食材明细'!F3478:F3479)</x:f>
        <x:v>610</x:v>
      </x:c>
      <x:c r="L291" t="str">
        <x:v>仅午餐+晚餐；早餐、饮奶、水果、零食未计入</x:v>
      </x:c>
    </x:row>
    <x:row r="292" ht="23" customHeight="1">
      <x:c r="A292" t="n">
        <x:v>291</x:v>
      </x:c>
      <x:c r="B292" t="n">
        <x:v>42</x:v>
      </x:c>
      <x:c r="C292" t="str">
        <x:v>番茄嫩豆腐虾仁烩番茄香菇｜杂粮饭</x:v>
      </x:c>
      <x:c r="D292" t="str">
        <x:v>柠檬猪瘦肉配大白菜金针菇｜全麦面</x:v>
      </x:c>
      <x:c r="E292" t="n">
        <x:f>'730餐菜单'!N582</x:f>
        <x:v>516</x:v>
      </x:c>
      <x:c r="F292" t="n">
        <x:f>'730餐菜单'!N583</x:f>
        <x:v>471</x:v>
      </x:c>
      <x:c r="G292" t="n">
        <x:f>E292+F292</x:f>
        <x:v>987</x:v>
      </x:c>
      <x:c r="H292" t="n">
        <x:f>'730餐菜单'!O582+'730餐菜单'!O583</x:f>
        <x:v>85.8</x:v>
      </x:c>
      <x:c r="I292" t="n">
        <x:f>'730餐菜单'!P582+'730餐菜单'!P583</x:f>
        <x:v>89.19999999999999</x:v>
      </x:c>
      <x:c r="J292" t="n">
        <x:f>'730餐菜单'!Q582+'730餐菜单'!Q583</x:f>
        <x:v>34.2</x:v>
      </x:c>
      <x:c r="K292" t="n">
        <x:f>SUM('食材明细'!F3484:F3485)+SUM('食材明细'!F3490:F3491)</x:f>
        <x:v>615</x:v>
      </x:c>
      <x:c r="L292" t="str">
        <x:v>仅午餐+晚餐；早餐、饮奶、水果、零食未计入</x:v>
      </x:c>
    </x:row>
    <x:row r="293" ht="23" customHeight="1">
      <x:c r="A293" t="n">
        <x:v>292</x:v>
      </x:c>
      <x:c r="B293" t="n">
        <x:v>42</x:v>
      </x:c>
      <x:c r="C293" t="str">
        <x:v>剁椒鸡里脊肉配竹笋西兰花｜玉米</x:v>
      </x:c>
      <x:c r="D293" t="str">
        <x:v>柠檬猪里脊配菜心花菜｜玉米</x:v>
      </x:c>
      <x:c r="E293" t="n">
        <x:f>'730餐菜单'!N584</x:f>
        <x:v>554</x:v>
      </x:c>
      <x:c r="F293" t="n">
        <x:f>'730餐菜单'!N585</x:f>
        <x:v>569</x:v>
      </x:c>
      <x:c r="G293" t="n">
        <x:f>E293+F293</x:f>
        <x:v>1123</x:v>
      </x:c>
      <x:c r="H293" t="n">
        <x:f>'730餐菜单'!O584+'730餐菜单'!O585</x:f>
        <x:v>121.3</x:v>
      </x:c>
      <x:c r="I293" t="n">
        <x:f>'730餐菜单'!P584+'730餐菜单'!P585</x:f>
        <x:v>94.8</x:v>
      </x:c>
      <x:c r="J293" t="n">
        <x:f>'730餐菜单'!Q584+'730餐菜单'!Q585</x:f>
        <x:v>34.9</x:v>
      </x:c>
      <x:c r="K293" t="n">
        <x:f>SUM('食材明细'!F3496:F3497)+SUM('食材明细'!F3502:F3503)</x:f>
        <x:v>600</x:v>
      </x:c>
      <x:c r="L293" t="str">
        <x:v>仅午餐+晚餐；早餐、饮奶、水果、零食未计入</x:v>
      </x:c>
    </x:row>
    <x:row r="294" ht="23" customHeight="1">
      <x:c r="A294" t="n">
        <x:v>293</x:v>
      </x:c>
      <x:c r="B294" t="n">
        <x:v>42</x:v>
      </x:c>
      <x:c r="C294" t="str">
        <x:v>葱姜清蒸鱿鱼配菜心杏鲍菇｜燕麦饭</x:v>
      </x:c>
      <x:c r="D294" t="str">
        <x:v>菌菇去皮鸡腿肉配茼蒿口蘑｜紫薯</x:v>
      </x:c>
      <x:c r="E294" t="n">
        <x:f>'730餐菜单'!N586</x:f>
        <x:v>428</x:v>
      </x:c>
      <x:c r="F294" t="n">
        <x:f>'730餐菜单'!N587</x:f>
        <x:v>423</x:v>
      </x:c>
      <x:c r="G294" t="n">
        <x:f>E294+F294</x:f>
        <x:v>851</x:v>
      </x:c>
      <x:c r="H294" t="n">
        <x:f>'730餐菜单'!O586+'730餐菜单'!O587</x:f>
        <x:v>84.69999999999999</x:v>
      </x:c>
      <x:c r="I294" t="n">
        <x:f>'730餐菜单'!P586+'730餐菜单'!P587</x:f>
        <x:v>78.6</x:v>
      </x:c>
      <x:c r="J294" t="n">
        <x:f>'730餐菜单'!Q586+'730餐菜单'!Q587</x:f>
        <x:v>24.5</x:v>
      </x:c>
      <x:c r="K294" t="n">
        <x:f>SUM('食材明细'!F3508:F3509)+SUM('食材明细'!F3514:F3515)</x:f>
        <x:v>530</x:v>
      </x:c>
      <x:c r="L294" t="str">
        <x:v>仅午餐+晚餐；早餐、饮奶、水果、零食未计入</x:v>
      </x:c>
    </x:row>
    <x:row r="295" ht="23" customHeight="1">
      <x:c r="A295" t="n">
        <x:v>294</x:v>
      </x:c>
      <x:c r="B295" t="n">
        <x:v>42</x:v>
      </x:c>
      <x:c r="C295" t="str">
        <x:v>花椒瘦牛肉配苦瓜香菇｜糙米饭</x:v>
      </x:c>
      <x:c r="D295" t="str">
        <x:v>蚝香北豆腐虾仁烩西兰花泡发木耳｜米粉</x:v>
      </x:c>
      <x:c r="E295" t="n">
        <x:f>'730餐菜单'!N588</x:f>
        <x:v>553</x:v>
      </x:c>
      <x:c r="F295" t="n">
        <x:f>'730餐菜单'!N589</x:f>
        <x:v>571</x:v>
      </x:c>
      <x:c r="G295" t="n">
        <x:f>E295+F295</x:f>
        <x:v>1124</x:v>
      </x:c>
      <x:c r="H295" t="n">
        <x:f>'730餐菜单'!O588+'730餐菜单'!O589</x:f>
        <x:v>103.30000000000001</x:v>
      </x:c>
      <x:c r="I295" t="n">
        <x:f>'730餐菜单'!P588+'730餐菜单'!P589</x:f>
        <x:v>101.19999999999999</x:v>
      </x:c>
      <x:c r="J295" t="n">
        <x:f>'730餐菜单'!Q588+'730餐菜单'!Q589</x:f>
        <x:v>38.3</x:v>
      </x:c>
      <x:c r="K295" t="n">
        <x:f>SUM('食材明细'!F3520:F3521)+SUM('食材明细'!F3526:F3527)</x:f>
        <x:v>630</x:v>
      </x:c>
      <x:c r="L295" t="str">
        <x:v>仅午餐+晚餐；早餐、饮奶、水果、零食未计入</x:v>
      </x:c>
    </x:row>
    <x:row r="296" ht="23" customHeight="1">
      <x:c r="A296" t="n">
        <x:v>295</x:v>
      </x:c>
      <x:c r="B296" t="n">
        <x:v>43</x:v>
      </x:c>
      <x:c r="C296" t="str">
        <x:v>剁椒去皮鸡腿肉配大白菜胡萝卜｜紫薯</x:v>
      </x:c>
      <x:c r="D296" t="str">
        <x:v>清汤巴沙鱼配茼蒿菜心｜藜麦饭</x:v>
      </x:c>
      <x:c r="E296" t="n">
        <x:f>'730餐菜单'!N590</x:f>
        <x:v>454</x:v>
      </x:c>
      <x:c r="F296" t="n">
        <x:f>'730餐菜单'!N591</x:f>
        <x:v>452</x:v>
      </x:c>
      <x:c r="G296" t="n">
        <x:f>E296+F296</x:f>
        <x:v>906</x:v>
      </x:c>
      <x:c r="H296" t="n">
        <x:f>'730餐菜单'!O590+'730餐菜单'!O591</x:f>
        <x:v>84.19999999999999</x:v>
      </x:c>
      <x:c r="I296" t="n">
        <x:f>'730餐菜单'!P590+'730餐菜单'!P591</x:f>
        <x:v>83</x:v>
      </x:c>
      <x:c r="J296" t="n">
        <x:f>'730餐菜单'!Q590+'730餐菜单'!Q591</x:f>
        <x:v>28.700000000000003</x:v>
      </x:c>
      <x:c r="K296" t="n">
        <x:f>SUM('食材明细'!F3532:F3533)+SUM('食材明细'!F3538:F3539)</x:f>
        <x:v>630</x:v>
      </x:c>
      <x:c r="L296" t="str">
        <x:v>仅午餐+晚餐；早餐、饮奶、水果、零食未计入</x:v>
      </x:c>
    </x:row>
    <x:row r="297" ht="23" customHeight="1">
      <x:c r="A297" t="n">
        <x:v>296</x:v>
      </x:c>
      <x:c r="B297" t="n">
        <x:v>43</x:v>
      </x:c>
      <x:c r="C297" t="str">
        <x:v>剁椒鳕鱼配芦笋荷兰豆｜紫薯</x:v>
      </x:c>
      <x:c r="D297" t="str">
        <x:v>柠檬猪里脊配小白菜胡萝卜｜白米饭</x:v>
      </x:c>
      <x:c r="E297" t="n">
        <x:f>'730餐菜单'!N592</x:f>
        <x:v>469</x:v>
      </x:c>
      <x:c r="F297" t="n">
        <x:f>'730餐菜单'!N593</x:f>
        <x:v>437</x:v>
      </x:c>
      <x:c r="G297" t="n">
        <x:f>E297+F297</x:f>
        <x:v>906</x:v>
      </x:c>
      <x:c r="H297" t="n">
        <x:f>'730餐菜单'!O592+'730餐菜单'!O593</x:f>
        <x:v>90.30000000000001</x:v>
      </x:c>
      <x:c r="I297" t="n">
        <x:f>'730餐菜单'!P592+'730餐菜单'!P593</x:f>
        <x:v>88.1</x:v>
      </x:c>
      <x:c r="J297" t="n">
        <x:f>'730餐菜单'!Q592+'730餐菜单'!Q593</x:f>
        <x:v>21.299999999999997</x:v>
      </x:c>
      <x:c r="K297" t="n">
        <x:f>SUM('食材明细'!F3544:F3545)+SUM('食材明细'!F3550:F3551)</x:f>
        <x:v>565</x:v>
      </x:c>
      <x:c r="L297" t="str">
        <x:v>仅午餐+晚餐；早餐、饮奶、水果、零食未计入</x:v>
      </x:c>
    </x:row>
    <x:row r="298" ht="23" customHeight="1">
      <x:c r="A298" t="n">
        <x:v>297</x:v>
      </x:c>
      <x:c r="B298" t="n">
        <x:v>43</x:v>
      </x:c>
      <x:c r="C298" t="str">
        <x:v>柠檬扇贝肉配娃娃菜口蘑｜白米饭</x:v>
      </x:c>
      <x:c r="D298" t="str">
        <x:v>剁椒牛腱子配番茄西兰花｜红薯</x:v>
      </x:c>
      <x:c r="E298" t="n">
        <x:f>'730餐菜单'!N594</x:f>
        <x:v>457</x:v>
      </x:c>
      <x:c r="F298" t="n">
        <x:f>'730餐菜单'!N595</x:f>
        <x:v>423</x:v>
      </x:c>
      <x:c r="G298" t="n">
        <x:f>E298+F298</x:f>
        <x:v>880</x:v>
      </x:c>
      <x:c r="H298" t="n">
        <x:f>'730餐菜单'!O594+'730餐菜单'!O595</x:f>
        <x:v>82.5</x:v>
      </x:c>
      <x:c r="I298" t="n">
        <x:f>'730餐菜单'!P594+'730餐菜单'!P595</x:f>
        <x:v>87.3</x:v>
      </x:c>
      <x:c r="J298" t="n">
        <x:f>'730餐菜单'!Q594+'730餐菜单'!Q595</x:f>
        <x:v>24.2</x:v>
      </x:c>
      <x:c r="K298" t="n">
        <x:f>SUM('食材明细'!F3556:F3557)+SUM('食材明细'!F3562:F3563)</x:f>
        <x:v>565</x:v>
      </x:c>
      <x:c r="L298" t="str">
        <x:v>仅午餐+晚餐；早餐、饮奶、水果、零食未计入</x:v>
      </x:c>
    </x:row>
    <x:row r="299" ht="23" customHeight="1">
      <x:c r="A299" t="n">
        <x:v>298</x:v>
      </x:c>
      <x:c r="B299" t="n">
        <x:v>43</x:v>
      </x:c>
      <x:c r="C299" t="str">
        <x:v>酸汤鸡蛋北豆腐烩芦笋彩椒｜燕麦饭</x:v>
      </x:c>
      <x:c r="D299" t="str">
        <x:v>黑椒鱿鱼配冬瓜丝瓜｜藜麦饭</x:v>
      </x:c>
      <x:c r="E299" t="n">
        <x:f>'730餐菜单'!N596</x:f>
        <x:v>492</x:v>
      </x:c>
      <x:c r="F299" t="n">
        <x:f>'730餐菜单'!N597</x:f>
        <x:v>374</x:v>
      </x:c>
      <x:c r="G299" t="n">
        <x:f>E299+F299</x:f>
        <x:v>866</x:v>
      </x:c>
      <x:c r="H299" t="n">
        <x:f>'730餐菜单'!O596+'730餐菜单'!O597</x:f>
        <x:v>66.4</x:v>
      </x:c>
      <x:c r="I299" t="n">
        <x:f>'730餐菜单'!P596+'730餐菜单'!P597</x:f>
        <x:v>78.4</x:v>
      </x:c>
      <x:c r="J299" t="n">
        <x:f>'730餐菜单'!Q596+'730餐菜单'!Q597</x:f>
        <x:v>33.9</x:v>
      </x:c>
      <x:c r="K299" t="n">
        <x:f>SUM('食材明细'!F3568:F3569)+SUM('食材明细'!F3574:F3575)</x:f>
        <x:v>600</x:v>
      </x:c>
      <x:c r="L299" t="str">
        <x:v>仅午餐+晚餐；早餐、饮奶、水果、零食未计入</x:v>
      </x:c>
    </x:row>
    <x:row r="300" ht="23" customHeight="1">
      <x:c r="A300" t="n">
        <x:v>299</x:v>
      </x:c>
      <x:c r="B300" t="n">
        <x:v>43</x:v>
      </x:c>
      <x:c r="C300" t="str">
        <x:v>黑椒虾仁配西兰花泡发木耳｜乌冬面</x:v>
      </x:c>
      <x:c r="D300" t="str">
        <x:v>蒜香鸡里脊肉配冬瓜小白菜｜燕麦饭</x:v>
      </x:c>
      <x:c r="E300" t="n">
        <x:f>'730餐菜单'!N598</x:f>
        <x:v>533</x:v>
      </x:c>
      <x:c r="F300" t="n">
        <x:f>'730餐菜单'!N599</x:f>
        <x:v>375</x:v>
      </x:c>
      <x:c r="G300" t="n">
        <x:f>E300+F300</x:f>
        <x:v>908</x:v>
      </x:c>
      <x:c r="H300" t="n">
        <x:f>'730餐菜单'!O598+'730餐菜单'!O599</x:f>
        <x:v>100</x:v>
      </x:c>
      <x:c r="I300" t="n">
        <x:f>'730餐菜单'!P598+'730餐菜单'!P599</x:f>
        <x:v>79.80000000000001</x:v>
      </x:c>
      <x:c r="J300" t="n">
        <x:f>'730餐菜单'!Q598+'730餐菜单'!Q599</x:f>
        <x:v>23.5</x:v>
      </x:c>
      <x:c r="K300" t="n">
        <x:f>SUM('食材明细'!F3580:F3581)+SUM('食材明细'!F3586:F3587)</x:f>
        <x:v>595</x:v>
      </x:c>
      <x:c r="L300" t="str">
        <x:v>仅午餐+晚餐；早餐、饮奶、水果、零食未计入</x:v>
      </x:c>
    </x:row>
    <x:row r="301" ht="23" customHeight="1">
      <x:c r="A301" t="n">
        <x:v>300</x:v>
      </x:c>
      <x:c r="B301" t="n">
        <x:v>43</x:v>
      </x:c>
      <x:c r="C301" t="str">
        <x:v>咖喱去皮鸡腿肉配芹菜杏鲍菇｜玉米</x:v>
      </x:c>
      <x:c r="D301" t="str">
        <x:v>菌菇鲈鱼配花菜口蘑｜藜麦饭</x:v>
      </x:c>
      <x:c r="E301" t="n">
        <x:f>'730餐菜单'!N600</x:f>
        <x:v>604</x:v>
      </x:c>
      <x:c r="F301" t="n">
        <x:f>'730餐菜单'!N601</x:f>
        <x:v>399</x:v>
      </x:c>
      <x:c r="G301" t="n">
        <x:f>E301+F301</x:f>
        <x:v>1003</x:v>
      </x:c>
      <x:c r="H301" t="n">
        <x:f>'730餐菜单'!O600+'730餐菜单'!O601</x:f>
        <x:v>96.8</x:v>
      </x:c>
      <x:c r="I301" t="n">
        <x:f>'730餐菜单'!P600+'730餐菜单'!P601</x:f>
        <x:v>90.9</x:v>
      </x:c>
      <x:c r="J301" t="n">
        <x:f>'730餐菜单'!Q600+'730餐菜单'!Q601</x:f>
        <x:v>33.599999999999994</x:v>
      </x:c>
      <x:c r="K301" t="n">
        <x:f>SUM('食材明细'!F3592:F3593)+SUM('食材明细'!F3598:F3599)</x:f>
        <x:v>660</x:v>
      </x:c>
      <x:c r="L301" t="str">
        <x:v>仅午餐+晚餐；早餐、饮奶、水果、零食未计入</x:v>
      </x:c>
    </x:row>
    <x:row r="302" ht="23" customHeight="1">
      <x:c r="A302" t="n">
        <x:v>301</x:v>
      </x:c>
      <x:c r="B302" t="n">
        <x:v>43</x:v>
      </x:c>
      <x:c r="C302" t="str">
        <x:v>椒麻猪里脊配生菜小白菜｜红薯</x:v>
      </x:c>
      <x:c r="D302" t="str">
        <x:v>菌菇鲈鱼配秋葵杏鲍菇｜土豆</x:v>
      </x:c>
      <x:c r="E302" t="n">
        <x:f>'730餐菜单'!N602</x:f>
        <x:v>415</x:v>
      </x:c>
      <x:c r="F302" t="n">
        <x:f>'730餐菜单'!N603</x:f>
        <x:v>517</x:v>
      </x:c>
      <x:c r="G302" t="n">
        <x:f>E302+F302</x:f>
        <x:v>932</x:v>
      </x:c>
      <x:c r="H302" t="n">
        <x:f>'730餐菜单'!O602+'730餐菜单'!O603</x:f>
        <x:v>98.6</x:v>
      </x:c>
      <x:c r="I302" t="n">
        <x:f>'730餐菜单'!P602+'730餐菜单'!P603</x:f>
        <x:v>73.19999999999999</x:v>
      </x:c>
      <x:c r="J302" t="n">
        <x:f>'730餐菜单'!Q602+'730餐菜单'!Q603</x:f>
        <x:v>28.9</x:v>
      </x:c>
      <x:c r="K302" t="n">
        <x:f>SUM('食材明细'!F3604:F3605)+SUM('食材明细'!F3610:F3611)</x:f>
        <x:v>565</x:v>
      </x:c>
      <x:c r="L302" t="str">
        <x:v>仅午餐+晚餐；早餐、饮奶、水果、零食未计入</x:v>
      </x:c>
    </x:row>
    <x:row r="303" ht="23" customHeight="1">
      <x:c r="A303" t="n">
        <x:v>302</x:v>
      </x:c>
      <x:c r="B303" t="n">
        <x:v>44</x:v>
      </x:c>
      <x:c r="C303" t="str">
        <x:v>香醋鸡胸肉配小白菜胡萝卜｜红薯</x:v>
      </x:c>
      <x:c r="D303" t="str">
        <x:v>黑椒瘦牛肉配竹笋冬瓜｜荞麦饭</x:v>
      </x:c>
      <x:c r="E303" t="n">
        <x:f>'730餐菜单'!N604</x:f>
        <x:v>535</x:v>
      </x:c>
      <x:c r="F303" t="n">
        <x:f>'730餐菜单'!N605</x:f>
        <x:v>543</x:v>
      </x:c>
      <x:c r="G303" t="n">
        <x:f>E303+F303</x:f>
        <x:v>1078</x:v>
      </x:c>
      <x:c r="H303" t="n">
        <x:f>'730餐菜单'!O604+'730餐菜单'!O605</x:f>
        <x:v>110.5</x:v>
      </x:c>
      <x:c r="I303" t="n">
        <x:f>'730餐菜单'!P604+'730餐菜单'!P605</x:f>
        <x:v>92.1</x:v>
      </x:c>
      <x:c r="J303" t="n">
        <x:f>'730餐菜单'!Q604+'730餐菜单'!Q605</x:f>
        <x:v>33</x:v>
      </x:c>
      <x:c r="K303" t="n">
        <x:f>SUM('食材明细'!F3616:F3617)+SUM('食材明细'!F3622:F3623)</x:f>
        <x:v>565</x:v>
      </x:c>
      <x:c r="L303" t="str">
        <x:v>仅午餐+晚餐；早餐、饮奶、水果、零食未计入</x:v>
      </x:c>
    </x:row>
    <x:row r="304" ht="23" customHeight="1">
      <x:c r="A304" t="n">
        <x:v>303</x:v>
      </x:c>
      <x:c r="B304" t="n">
        <x:v>44</x:v>
      </x:c>
      <x:c r="C304" t="str">
        <x:v>椒麻北豆腐熟毛豆仁烩苦瓜丝瓜｜玉米</x:v>
      </x:c>
      <x:c r="D304" t="str">
        <x:v>菌菇鸡蛋北豆腐烩茼蒿口蘑｜土豆</x:v>
      </x:c>
      <x:c r="E304" t="n">
        <x:f>'730餐菜单'!N606</x:f>
        <x:v>495</x:v>
      </x:c>
      <x:c r="F304" t="n">
        <x:f>'730餐菜单'!N607</x:f>
        <x:v>436</x:v>
      </x:c>
      <x:c r="G304" t="n">
        <x:f>E304+F304</x:f>
        <x:v>931</x:v>
      </x:c>
      <x:c r="H304" t="n">
        <x:f>'730餐菜单'!O606+'730餐菜单'!O607</x:f>
        <x:v>73.1</x:v>
      </x:c>
      <x:c r="I304" t="n">
        <x:f>'730餐菜单'!P606+'730餐菜单'!P607</x:f>
        <x:v>77.6</x:v>
      </x:c>
      <x:c r="J304" t="n">
        <x:f>'730餐菜单'!Q606+'730餐菜单'!Q607</x:f>
        <x:v>42.400000000000006</x:v>
      </x:c>
      <x:c r="K304" t="n">
        <x:f>SUM('食材明细'!F3628:F3629)+SUM('食材明细'!F3634:F3635)</x:f>
        <x:v>615</x:v>
      </x:c>
      <x:c r="L304" t="str">
        <x:v>仅午餐+晚餐；早餐、饮奶、水果、零食未计入</x:v>
      </x:c>
    </x:row>
    <x:row r="305" ht="23" customHeight="1">
      <x:c r="A305" t="n">
        <x:v>304</x:v>
      </x:c>
      <x:c r="B305" t="n">
        <x:v>44</x:v>
      </x:c>
      <x:c r="C305" t="str">
        <x:v>孜然去皮鸡腿肉配生菜绿豆芽｜燕麦饭</x:v>
      </x:c>
      <x:c r="D305" t="str">
        <x:v>剁椒鲈鱼配莴笋口蘑｜燕麦饭</x:v>
      </x:c>
      <x:c r="E305" t="n">
        <x:f>'730餐菜单'!N608</x:f>
        <x:v>466</x:v>
      </x:c>
      <x:c r="F305" t="n">
        <x:f>'730餐菜单'!N609</x:f>
        <x:v>528</x:v>
      </x:c>
      <x:c r="G305" t="n">
        <x:f>E305+F305</x:f>
        <x:v>994</x:v>
      </x:c>
      <x:c r="H305" t="n">
        <x:f>'730餐菜单'!O608+'730餐菜单'!O609</x:f>
        <x:v>101.9</x:v>
      </x:c>
      <x:c r="I305" t="n">
        <x:f>'730餐菜单'!P608+'730餐菜单'!P609</x:f>
        <x:v>79.5</x:v>
      </x:c>
      <x:c r="J305" t="n">
        <x:f>'730餐菜单'!Q608+'730餐菜单'!Q609</x:f>
        <x:v>33.2</x:v>
      </x:c>
      <x:c r="K305" t="n">
        <x:f>SUM('食材明细'!F3640:F3641)+SUM('食材明细'!F3646:F3647)</x:f>
        <x:v>600</x:v>
      </x:c>
      <x:c r="L305" t="str">
        <x:v>仅午餐+晚餐；早餐、饮奶、水果、零食未计入</x:v>
      </x:c>
    </x:row>
    <x:row r="306" ht="23" customHeight="1">
      <x:c r="A306" t="n">
        <x:v>305</x:v>
      </x:c>
      <x:c r="B306" t="n">
        <x:v>44</x:v>
      </x:c>
      <x:c r="C306" t="str">
        <x:v>清汤北豆腐熟毛豆仁烩黄瓜西兰花｜燕麦饭</x:v>
      </x:c>
      <x:c r="D306" t="str">
        <x:v>清汤嫩豆腐鸡蛋烩芦笋杏鲍菇｜山药</x:v>
      </x:c>
      <x:c r="E306" t="n">
        <x:f>'730餐菜单'!N610</x:f>
        <x:v>563</x:v>
      </x:c>
      <x:c r="F306" t="n">
        <x:f>'730餐菜单'!N611</x:f>
        <x:v>395</x:v>
      </x:c>
      <x:c r="G306" t="n">
        <x:f>E306+F306</x:f>
        <x:v>958</x:v>
      </x:c>
      <x:c r="H306" t="n">
        <x:f>'730餐菜单'!O610+'730餐菜单'!O611</x:f>
        <x:v>69.9</x:v>
      </x:c>
      <x:c r="I306" t="n">
        <x:f>'730餐菜单'!P610+'730餐菜单'!P611</x:f>
        <x:v>83</x:v>
      </x:c>
      <x:c r="J306" t="n">
        <x:f>'730餐菜单'!Q610+'730餐菜单'!Q611</x:f>
        <x:v>43.599999999999994</x:v>
      </x:c>
      <x:c r="K306" t="n">
        <x:f>SUM('食材明细'!F3652:F3653)+SUM('食材明细'!F3658:F3659)</x:f>
        <x:v>610</x:v>
      </x:c>
      <x:c r="L306" t="str">
        <x:v>仅午餐+晚餐；早餐、饮奶、水果、零食未计入</x:v>
      </x:c>
    </x:row>
    <x:row r="307" ht="23" customHeight="1">
      <x:c r="A307" t="n">
        <x:v>306</x:v>
      </x:c>
      <x:c r="B307" t="n">
        <x:v>44</x:v>
      </x:c>
      <x:c r="C307" t="str">
        <x:v>蒜香鲈鱼配芦笋口蘑｜乌冬面</x:v>
      </x:c>
      <x:c r="D307" t="str">
        <x:v>清汤扇贝肉配冬瓜口蘑｜杂粮饭</x:v>
      </x:c>
      <x:c r="E307" t="n">
        <x:f>'730餐菜单'!N612</x:f>
        <x:v>497</x:v>
      </x:c>
      <x:c r="F307" t="n">
        <x:f>'730餐菜单'!N613</x:f>
        <x:v>400</x:v>
      </x:c>
      <x:c r="G307" t="n">
        <x:f>E307+F307</x:f>
        <x:v>897</x:v>
      </x:c>
      <x:c r="H307" t="n">
        <x:f>'730餐菜单'!O612+'730餐菜单'!O613</x:f>
        <x:v>88</x:v>
      </x:c>
      <x:c r="I307" t="n">
        <x:f>'730餐菜单'!P612+'730餐菜单'!P613</x:f>
        <x:v>93.8</x:v>
      </x:c>
      <x:c r="J307" t="n">
        <x:f>'730餐菜单'!Q612+'730餐菜单'!Q613</x:f>
        <x:v>20.6</x:v>
      </x:c>
      <x:c r="K307" t="n">
        <x:f>SUM('食材明细'!F3664:F3665)+SUM('食材明细'!F3670:F3671)</x:f>
        <x:v>615</x:v>
      </x:c>
      <x:c r="L307" t="str">
        <x:v>仅午餐+晚餐；早餐、饮奶、水果、零食未计入</x:v>
      </x:c>
    </x:row>
    <x:row r="308" ht="23" customHeight="1">
      <x:c r="A308" t="n">
        <x:v>307</x:v>
      </x:c>
      <x:c r="B308" t="n">
        <x:v>44</x:v>
      </x:c>
      <x:c r="C308" t="str">
        <x:v>蒜香北豆腐鸡蛋烩油麦菜玉米笋｜红薯</x:v>
      </x:c>
      <x:c r="D308" t="str">
        <x:v>香醋鱿鱼配竹笋冬瓜｜紫薯</x:v>
      </x:c>
      <x:c r="E308" t="n">
        <x:f>'730餐菜单'!N614</x:f>
        <x:v>608</x:v>
      </x:c>
      <x:c r="F308" t="n">
        <x:f>'730餐菜单'!N615</x:f>
        <x:v>369</x:v>
      </x:c>
      <x:c r="G308" t="n">
        <x:f>E308+F308</x:f>
        <x:v>977</x:v>
      </x:c>
      <x:c r="H308" t="n">
        <x:f>'730餐菜单'!O614+'730餐菜单'!O615</x:f>
        <x:v>78.6</x:v>
      </x:c>
      <x:c r="I308" t="n">
        <x:f>'730餐菜单'!P614+'730餐菜单'!P615</x:f>
        <x:v>97.69999999999999</x:v>
      </x:c>
      <x:c r="J308" t="n">
        <x:f>'730餐菜单'!Q614+'730餐菜单'!Q615</x:f>
        <x:v>32.8</x:v>
      </x:c>
      <x:c r="K308" t="n">
        <x:f>SUM('食材明细'!F3676:F3677)+SUM('食材明细'!F3682:F3683)</x:f>
        <x:v>600</x:v>
      </x:c>
      <x:c r="L308" t="str">
        <x:v>仅午餐+晚餐；早餐、饮奶、水果、零食未计入</x:v>
      </x:c>
    </x:row>
    <x:row r="309" ht="23" customHeight="1">
      <x:c r="A309" t="n">
        <x:v>308</x:v>
      </x:c>
      <x:c r="B309" t="n">
        <x:v>44</x:v>
      </x:c>
      <x:c r="C309" t="str">
        <x:v>清汤虾仁配西兰花玉米笋｜红薯</x:v>
      </x:c>
      <x:c r="D309" t="str">
        <x:v>清汤花蛤肉配丝瓜口蘑｜土豆</x:v>
      </x:c>
      <x:c r="E309" t="n">
        <x:f>'730餐菜单'!N616</x:f>
        <x:v>413</x:v>
      </x:c>
      <x:c r="F309" t="n">
        <x:f>'730餐菜单'!N617</x:f>
        <x:v>371</x:v>
      </x:c>
      <x:c r="G309" t="n">
        <x:f>E309+F309</x:f>
        <x:v>784</x:v>
      </x:c>
      <x:c r="H309" t="n">
        <x:f>'730餐菜单'!O616+'730餐菜单'!O617</x:f>
        <x:v>77</x:v>
      </x:c>
      <x:c r="I309" t="n">
        <x:f>'730餐菜单'!P616+'730餐菜单'!P617</x:f>
        <x:v>88.80000000000001</x:v>
      </x:c>
      <x:c r="J309" t="n">
        <x:f>'730餐菜单'!Q616+'730餐菜单'!Q617</x:f>
        <x:v>16.8</x:v>
      </x:c>
      <x:c r="K309" t="n">
        <x:f>SUM('食材明细'!F3688:F3689)+SUM('食材明细'!F3694:F3695)</x:f>
        <x:v>640</x:v>
      </x:c>
      <x:c r="L309" t="str">
        <x:v>仅午餐+晚餐；早餐、饮奶、水果、零食未计入</x:v>
      </x:c>
    </x:row>
    <x:row r="310" ht="23" customHeight="1">
      <x:c r="A310" t="n">
        <x:v>309</x:v>
      </x:c>
      <x:c r="B310" t="n">
        <x:v>45</x:v>
      </x:c>
      <x:c r="C310" t="str">
        <x:v>无糖照烧瘦牛肉配小白菜洋葱｜糙米饭</x:v>
      </x:c>
      <x:c r="D310" t="str">
        <x:v>柠檬虾仁配菠菜丝瓜｜米粉</x:v>
      </x:c>
      <x:c r="E310" t="n">
        <x:f>'730餐菜单'!N618</x:f>
        <x:v>483</x:v>
      </x:c>
      <x:c r="F310" t="n">
        <x:f>'730餐菜单'!N619</x:f>
        <x:v>476</x:v>
      </x:c>
      <x:c r="G310" t="n">
        <x:f>E310+F310</x:f>
        <x:v>959</x:v>
      </x:c>
      <x:c r="H310" t="n">
        <x:f>'730餐菜单'!O618+'730餐菜单'!O619</x:f>
        <x:v>99.3</x:v>
      </x:c>
      <x:c r="I310" t="n">
        <x:f>'730餐菜单'!P618+'730餐菜单'!P619</x:f>
        <x:v>89.6</x:v>
      </x:c>
      <x:c r="J310" t="n">
        <x:f>'730餐菜单'!Q618+'730餐菜单'!Q619</x:f>
        <x:v>24</x:v>
      </x:c>
      <x:c r="K310" t="n">
        <x:f>SUM('食材明细'!F3700:F3701)+SUM('食材明细'!F3706:F3707)</x:f>
        <x:v>595</x:v>
      </x:c>
      <x:c r="L310" t="str">
        <x:v>仅午餐+晚餐；早餐、饮奶、水果、零食未计入</x:v>
      </x:c>
    </x:row>
    <x:row r="311" ht="23" customHeight="1">
      <x:c r="A311" t="n">
        <x:v>310</x:v>
      </x:c>
      <x:c r="B311" t="n">
        <x:v>45</x:v>
      </x:c>
      <x:c r="C311" t="str">
        <x:v>番茄花蛤肉配口蘑｜杂粮饭</x:v>
      </x:c>
      <x:c r="D311" t="str">
        <x:v>孜然去皮鸭胸肉配芹菜芦笋｜糙米饭</x:v>
      </x:c>
      <x:c r="E311" t="n">
        <x:f>'730餐菜单'!N620</x:f>
        <x:v>417</x:v>
      </x:c>
      <x:c r="F311" t="n">
        <x:f>'730餐菜单'!N621</x:f>
        <x:v>435</x:v>
      </x:c>
      <x:c r="G311" t="n">
        <x:f>E311+F311</x:f>
        <x:v>852</x:v>
      </x:c>
      <x:c r="H311" t="n">
        <x:f>'730餐菜单'!O620+'730餐菜单'!O621</x:f>
        <x:v>70.2</x:v>
      </x:c>
      <x:c r="I311" t="n">
        <x:f>'730餐菜单'!P620+'730餐菜单'!P621</x:f>
        <x:v>88.7</x:v>
      </x:c>
      <x:c r="J311" t="n">
        <x:f>'730餐菜单'!Q620+'730餐菜单'!Q621</x:f>
        <x:v>26.6</x:v>
      </x:c>
      <x:c r="K311" t="n">
        <x:f>SUM('食材明细'!F3712:F3713)+SUM('食材明细'!F3718:F3719)</x:f>
        <x:v>660</x:v>
      </x:c>
      <x:c r="L311" t="str">
        <x:v>仅午餐+晚餐；早餐、饮奶、水果、零食未计入</x:v>
      </x:c>
    </x:row>
    <x:row r="312" ht="23" customHeight="1">
      <x:c r="A312" t="n">
        <x:v>311</x:v>
      </x:c>
      <x:c r="B312" t="n">
        <x:v>45</x:v>
      </x:c>
      <x:c r="C312" t="str">
        <x:v>清汤北豆腐配小白菜胡萝卜｜糙米饭</x:v>
      </x:c>
      <x:c r="D312" t="str">
        <x:v>椒麻鸡蛋北豆腐烩菠菜香菇｜燕麦饭</x:v>
      </x:c>
      <x:c r="E312" t="n">
        <x:f>'730餐菜单'!N622</x:f>
        <x:v>522</x:v>
      </x:c>
      <x:c r="F312" t="n">
        <x:f>'730餐菜单'!N623</x:f>
        <x:v>540</x:v>
      </x:c>
      <x:c r="G312" t="n">
        <x:f>E312+F312</x:f>
        <x:v>1062</x:v>
      </x:c>
      <x:c r="H312" t="n">
        <x:f>'730餐菜单'!O622+'730餐菜单'!O623</x:f>
        <x:v>75.1</x:v>
      </x:c>
      <x:c r="I312" t="n">
        <x:f>'730餐菜单'!P622+'730餐菜单'!P623</x:f>
        <x:v>95.6</x:v>
      </x:c>
      <x:c r="J312" t="n">
        <x:f>'730餐菜单'!Q622+'730餐菜单'!Q623</x:f>
        <x:v>47.8</x:v>
      </x:c>
      <x:c r="K312" t="n">
        <x:f>SUM('食材明细'!F3724:F3725)+SUM('食材明细'!F3730:F3731)</x:f>
        <x:v>610</x:v>
      </x:c>
      <x:c r="L312" t="str">
        <x:v>仅午餐+晚餐；早餐、饮奶、水果、零食未计入</x:v>
      </x:c>
    </x:row>
    <x:row r="313" ht="23" customHeight="1">
      <x:c r="A313" t="n">
        <x:v>312</x:v>
      </x:c>
      <x:c r="B313" t="n">
        <x:v>45</x:v>
      </x:c>
      <x:c r="C313" t="str">
        <x:v>菌菇鳕鱼配茼蒿金针菇｜糙米饭</x:v>
      </x:c>
      <x:c r="D313" t="str">
        <x:v>清汤鸡蛋虾仁烩西葫芦口蘑｜藜麦饭</x:v>
      </x:c>
      <x:c r="E313" t="n">
        <x:f>'730餐菜单'!N624</x:f>
        <x:v>411</x:v>
      </x:c>
      <x:c r="F313" t="n">
        <x:f>'730餐菜单'!N625</x:f>
        <x:v>434</x:v>
      </x:c>
      <x:c r="G313" t="n">
        <x:f>E313+F313</x:f>
        <x:v>845</x:v>
      </x:c>
      <x:c r="H313" t="n">
        <x:f>'730餐菜单'!O624+'730餐菜单'!O625</x:f>
        <x:v>81</x:v>
      </x:c>
      <x:c r="I313" t="n">
        <x:f>'730餐菜单'!P624+'730餐菜单'!P625</x:f>
        <x:v>70.7</x:v>
      </x:c>
      <x:c r="J313" t="n">
        <x:f>'730餐菜单'!Q624+'730餐菜单'!Q625</x:f>
        <x:v>28.5</x:v>
      </x:c>
      <x:c r="K313" t="n">
        <x:f>SUM('食材明细'!F3736:F3737)+SUM('食材明细'!F3742:F3743)</x:f>
        <x:v>630</x:v>
      </x:c>
      <x:c r="L313" t="str">
        <x:v>仅午餐+晚餐；早餐、饮奶、水果、零食未计入</x:v>
      </x:c>
    </x:row>
    <x:row r="314" ht="23" customHeight="1">
      <x:c r="A314" t="n">
        <x:v>313</x:v>
      </x:c>
      <x:c r="B314" t="n">
        <x:v>45</x:v>
      </x:c>
      <x:c r="C314" t="str">
        <x:v>孜然鸡里脊肉配黄瓜小白菜｜藜麦饭</x:v>
      </x:c>
      <x:c r="D314" t="str">
        <x:v>菌菇鳕鱼配冬瓜杏鲍菇｜米粉</x:v>
      </x:c>
      <x:c r="E314" t="n">
        <x:f>'730餐菜单'!N626</x:f>
        <x:v>401</x:v>
      </x:c>
      <x:c r="F314" t="n">
        <x:f>'730餐菜单'!N627</x:f>
        <x:v>414</x:v>
      </x:c>
      <x:c r="G314" t="n">
        <x:f>E314+F314</x:f>
        <x:v>815</x:v>
      </x:c>
      <x:c r="H314" t="n">
        <x:f>'730餐菜单'!O626+'730餐菜单'!O627</x:f>
        <x:v>87.69999999999999</x:v>
      </x:c>
      <x:c r="I314" t="n">
        <x:f>'730餐菜单'!P626+'730餐菜单'!P627</x:f>
        <x:v>77.1</x:v>
      </x:c>
      <x:c r="J314" t="n">
        <x:f>'730餐菜单'!Q626+'730餐菜单'!Q627</x:f>
        <x:v>17.3</x:v>
      </x:c>
      <x:c r="K314" t="n">
        <x:f>SUM('食材明细'!F3748:F3749)+SUM('食材明细'!F3754:F3755)</x:f>
        <x:v>600</x:v>
      </x:c>
      <x:c r="L314" t="str">
        <x:v>仅午餐+晚餐；早餐、饮奶、水果、零食未计入</x:v>
      </x:c>
    </x:row>
    <x:row r="315" ht="23" customHeight="1">
      <x:c r="A315" t="n">
        <x:v>314</x:v>
      </x:c>
      <x:c r="B315" t="n">
        <x:v>45</x:v>
      </x:c>
      <x:c r="C315" t="str">
        <x:v>花椒牛里脊配小白菜菜心｜燕麦饭</x:v>
      </x:c>
      <x:c r="D315" t="str">
        <x:v>黑椒扇贝肉配番茄金针菇｜藜麦饭</x:v>
      </x:c>
      <x:c r="E315" t="n">
        <x:f>'730餐菜单'!N628</x:f>
        <x:v>478</x:v>
      </x:c>
      <x:c r="F315" t="n">
        <x:f>'730餐菜单'!N629</x:f>
        <x:v>397</x:v>
      </x:c>
      <x:c r="G315" t="n">
        <x:f>E315+F315</x:f>
        <x:v>875</x:v>
      </x:c>
      <x:c r="H315" t="n">
        <x:f>'730餐菜单'!O628+'730餐菜单'!O629</x:f>
        <x:v>89.9</x:v>
      </x:c>
      <x:c r="I315" t="n">
        <x:f>'730餐菜单'!P628+'730餐菜单'!P629</x:f>
        <x:v>74.9</x:v>
      </x:c>
      <x:c r="J315" t="n">
        <x:f>'730餐菜单'!Q628+'730餐菜单'!Q629</x:f>
        <x:v>25.3</x:v>
      </x:c>
      <x:c r="K315" t="n">
        <x:f>SUM('食材明细'!F3760:F3761)+SUM('食材明细'!F3766:F3767)</x:f>
        <x:v>585</x:v>
      </x:c>
      <x:c r="L315" t="str">
        <x:v>仅午餐+晚餐；早餐、饮奶、水果、零食未计入</x:v>
      </x:c>
    </x:row>
    <x:row r="316" ht="23" customHeight="1">
      <x:c r="A316" t="n">
        <x:v>315</x:v>
      </x:c>
      <x:c r="B316" t="n">
        <x:v>45</x:v>
      </x:c>
      <x:c r="C316" t="str">
        <x:v>香醋虾仁配黄瓜白萝卜｜荞麦饭</x:v>
      </x:c>
      <x:c r="D316" t="str">
        <x:v>番茄嫩豆腐鸡蛋烩番茄绿豆芽｜糙米饭</x:v>
      </x:c>
      <x:c r="E316" t="n">
        <x:f>'730餐菜单'!N630</x:f>
        <x:v>372</x:v>
      </x:c>
      <x:c r="F316" t="n">
        <x:f>'730餐菜单'!N631</x:f>
        <x:v>486</x:v>
      </x:c>
      <x:c r="G316" t="n">
        <x:f>E316+F316</x:f>
        <x:v>858</x:v>
      </x:c>
      <x:c r="H316" t="n">
        <x:f>'730餐菜单'!O630+'730餐菜单'!O631</x:f>
        <x:v>65.9</x:v>
      </x:c>
      <x:c r="I316" t="n">
        <x:f>'730餐菜单'!P630+'730餐菜单'!P631</x:f>
        <x:v>87.5</x:v>
      </x:c>
      <x:c r="J316" t="n">
        <x:f>'730餐菜单'!Q630+'730餐菜单'!Q631</x:f>
        <x:v>28.4</x:v>
      </x:c>
      <x:c r="K316" t="n">
        <x:f>SUM('食材明细'!F3772:F3773)+SUM('食材明细'!F3778:F3779)</x:f>
        <x:v>550</x:v>
      </x:c>
      <x:c r="L316" t="str">
        <x:v>仅午餐+晚餐；早餐、饮奶、水果、零食未计入</x:v>
      </x:c>
    </x:row>
    <x:row r="317" ht="23" customHeight="1">
      <x:c r="A317" t="n">
        <x:v>316</x:v>
      </x:c>
      <x:c r="B317" t="n">
        <x:v>46</x:v>
      </x:c>
      <x:c r="C317" t="str">
        <x:v>葱姜清蒸鳕鱼配大白菜白萝卜｜糙米饭</x:v>
      </x:c>
      <x:c r="D317" t="str">
        <x:v>酸汤虾仁配生菜杏鲍菇｜藜麦饭</x:v>
      </x:c>
      <x:c r="E317" t="n">
        <x:f>'730餐菜单'!N632</x:f>
        <x:v>405</x:v>
      </x:c>
      <x:c r="F317" t="n">
        <x:f>'730餐菜单'!N633</x:f>
        <x:v>447</x:v>
      </x:c>
      <x:c r="G317" t="n">
        <x:f>E317+F317</x:f>
        <x:v>852</x:v>
      </x:c>
      <x:c r="H317" t="n">
        <x:f>'730餐菜单'!O632+'730餐菜单'!O633</x:f>
        <x:v>89.3</x:v>
      </x:c>
      <x:c r="I317" t="n">
        <x:f>'730餐菜单'!P632+'730餐菜单'!P633</x:f>
        <x:v>82.7</x:v>
      </x:c>
      <x:c r="J317" t="n">
        <x:f>'730餐菜单'!Q632+'730餐菜单'!Q633</x:f>
        <x:v>18.2</x:v>
      </x:c>
      <x:c r="K317" t="n">
        <x:f>SUM('食材明细'!F3784:F3785)+SUM('食材明细'!F3790:F3791)</x:f>
        <x:v>585</x:v>
      </x:c>
      <x:c r="L317" t="str">
        <x:v>仅午餐+晚餐；早餐、饮奶、水果、零食未计入</x:v>
      </x:c>
    </x:row>
    <x:row r="318" ht="23" customHeight="1">
      <x:c r="A318" t="n">
        <x:v>317</x:v>
      </x:c>
      <x:c r="B318" t="n">
        <x:v>46</x:v>
      </x:c>
      <x:c r="C318" t="str">
        <x:v>番茄花蛤肉配菜心｜白米饭</x:v>
      </x:c>
      <x:c r="D318" t="str">
        <x:v>酸汤巴沙鱼配丝瓜菜心｜红薯</x:v>
      </x:c>
      <x:c r="E318" t="n">
        <x:f>'730餐菜单'!N634</x:f>
        <x:v>436</x:v>
      </x:c>
      <x:c r="F318" t="n">
        <x:f>'730餐菜单'!N635</x:f>
        <x:v>435</x:v>
      </x:c>
      <x:c r="G318" t="n">
        <x:f>E318+F318</x:f>
        <x:v>871</x:v>
      </x:c>
      <x:c r="H318" t="n">
        <x:f>'730餐菜单'!O634+'730餐菜单'!O635</x:f>
        <x:v>79.4</x:v>
      </x:c>
      <x:c r="I318" t="n">
        <x:f>'730餐菜单'!P634+'730餐菜单'!P635</x:f>
        <x:v>101.7</x:v>
      </x:c>
      <x:c r="J318" t="n">
        <x:f>'730餐菜单'!Q634+'730餐菜单'!Q635</x:f>
        <x:v>18.2</x:v>
      </x:c>
      <x:c r="K318" t="n">
        <x:f>SUM('食材明细'!F3796:F3797)+SUM('食材明细'!F3802:F3803)</x:f>
        <x:v>645</x:v>
      </x:c>
      <x:c r="L318" t="str">
        <x:v>仅午餐+晚餐；早餐、饮奶、水果、零食未计入</x:v>
      </x:c>
    </x:row>
    <x:row r="319" ht="23" customHeight="1">
      <x:c r="A319" t="n">
        <x:v>318</x:v>
      </x:c>
      <x:c r="B319" t="n">
        <x:v>46</x:v>
      </x:c>
      <x:c r="C319" t="str">
        <x:v>奥尔良风味鸡胸肉配彩椒口蘑｜杂粮饭</x:v>
      </x:c>
      <x:c r="D319" t="str">
        <x:v>菌菇北豆腐虾仁烩彩椒金针菇｜乌冬面</x:v>
      </x:c>
      <x:c r="E319" t="n">
        <x:f>'730餐菜单'!N636</x:f>
        <x:v>472</x:v>
      </x:c>
      <x:c r="F319" t="n">
        <x:f>'730餐菜单'!N637</x:f>
        <x:v>606</x:v>
      </x:c>
      <x:c r="G319" t="n">
        <x:f>E319+F319</x:f>
        <x:v>1078</x:v>
      </x:c>
      <x:c r="H319" t="n">
        <x:f>'730餐菜单'!O636+'730餐菜单'!O637</x:f>
        <x:v>106.5</x:v>
      </x:c>
      <x:c r="I319" t="n">
        <x:f>'730餐菜单'!P636+'730餐菜单'!P637</x:f>
        <x:v>96.30000000000001</x:v>
      </x:c>
      <x:c r="J319" t="n">
        <x:f>'730餐菜单'!Q636+'730餐菜单'!Q637</x:f>
        <x:v>33.1</x:v>
      </x:c>
      <x:c r="K319" t="n">
        <x:f>SUM('食材明细'!F3808:F3809)+SUM('食材明细'!F3814:F3815)</x:f>
        <x:v>630</x:v>
      </x:c>
      <x:c r="L319" t="str">
        <x:v>仅午餐+晚餐；早餐、饮奶、水果、零食未计入</x:v>
      </x:c>
    </x:row>
    <x:row r="320" ht="23" customHeight="1">
      <x:c r="A320" t="n">
        <x:v>319</x:v>
      </x:c>
      <x:c r="B320" t="n">
        <x:v>46</x:v>
      </x:c>
      <x:c r="C320" t="str">
        <x:v>蚝香猪瘦肉配茼蒿小白菜｜白米饭</x:v>
      </x:c>
      <x:c r="D320" t="str">
        <x:v>菌菇鸡胸肉配紫甘蓝香菇｜米粉</x:v>
      </x:c>
      <x:c r="E320" t="n">
        <x:f>'730餐菜单'!N638</x:f>
        <x:v>466</x:v>
      </x:c>
      <x:c r="F320" t="n">
        <x:f>'730餐菜单'!N639</x:f>
        <x:v>435</x:v>
      </x:c>
      <x:c r="G320" t="n">
        <x:f>E320+F320</x:f>
        <x:v>901</x:v>
      </x:c>
      <x:c r="H320" t="n">
        <x:f>'730餐菜单'!O638+'730餐菜单'!O639</x:f>
        <x:v>88.19999999999999</x:v>
      </x:c>
      <x:c r="I320" t="n">
        <x:f>'730餐菜单'!P638+'730餐菜单'!P639</x:f>
        <x:v>89.80000000000001</x:v>
      </x:c>
      <x:c r="J320" t="n">
        <x:f>'730餐菜单'!Q638+'730餐菜单'!Q639</x:f>
        <x:v>23.4</x:v>
      </x:c>
      <x:c r="K320" t="n">
        <x:f>SUM('食材明细'!F3820:F3821)+SUM('食材明细'!F3826:F3827)</x:f>
        <x:v>600</x:v>
      </x:c>
      <x:c r="L320" t="str">
        <x:v>仅午餐+晚餐；早餐、饮奶、水果、零食未计入</x:v>
      </x:c>
    </x:row>
    <x:row r="321" ht="23" customHeight="1">
      <x:c r="A321" t="n">
        <x:v>320</x:v>
      </x:c>
      <x:c r="B321" t="n">
        <x:v>46</x:v>
      </x:c>
      <x:c r="C321" t="str">
        <x:v>柠檬牛里脊配芹菜胡萝卜｜荞麦面</x:v>
      </x:c>
      <x:c r="D321" t="str">
        <x:v>无糖照烧鸡胸肉配西兰花洋葱｜乌冬面</x:v>
      </x:c>
      <x:c r="E321" t="n">
        <x:f>'730餐菜单'!N640</x:f>
        <x:v>522</x:v>
      </x:c>
      <x:c r="F321" t="n">
        <x:f>'730餐菜单'!N641</x:f>
        <x:v>421</x:v>
      </x:c>
      <x:c r="G321" t="n">
        <x:f>E321+F321</x:f>
        <x:v>943</x:v>
      </x:c>
      <x:c r="H321" t="n">
        <x:f>'730餐菜单'!O640+'730餐菜单'!O641</x:f>
        <x:v>89</x:v>
      </x:c>
      <x:c r="I321" t="n">
        <x:f>'730餐菜单'!P640+'730餐菜单'!P641</x:f>
        <x:v>101.9</x:v>
      </x:c>
      <x:c r="J321" t="n">
        <x:f>'730餐菜单'!Q640+'730餐菜单'!Q641</x:f>
        <x:v>22</x:v>
      </x:c>
      <x:c r="K321" t="n">
        <x:f>SUM('食材明细'!F3832:F3833)+SUM('食材明细'!F3838:F3839)</x:f>
        <x:v>610</x:v>
      </x:c>
      <x:c r="L321" t="str">
        <x:v>仅午餐+晚餐；早餐、饮奶、水果、零食未计入</x:v>
      </x:c>
    </x:row>
    <x:row r="322" ht="23" customHeight="1">
      <x:c r="A322" t="n">
        <x:v>321</x:v>
      </x:c>
      <x:c r="B322" t="n">
        <x:v>46</x:v>
      </x:c>
      <x:c r="C322" t="str">
        <x:v>清汤猪里脊配生菜口蘑｜米粉</x:v>
      </x:c>
      <x:c r="D322" t="str">
        <x:v>葱姜清蒸三文鱼配小白菜口蘑｜米粉</x:v>
      </x:c>
      <x:c r="E322" t="n">
        <x:f>'730餐菜单'!N642</x:f>
        <x:v>478</x:v>
      </x:c>
      <x:c r="F322" t="n">
        <x:f>'730餐菜单'!N643</x:f>
        <x:v>492</x:v>
      </x:c>
      <x:c r="G322" t="n">
        <x:f>E322+F322</x:f>
        <x:v>970</x:v>
      </x:c>
      <x:c r="H322" t="n">
        <x:f>'730餐菜单'!O642+'730餐菜单'!O643</x:f>
        <x:v>80.4</x:v>
      </x:c>
      <x:c r="I322" t="n">
        <x:f>'730餐菜单'!P642+'730餐菜单'!P643</x:f>
        <x:v>87.6</x:v>
      </x:c>
      <x:c r="J322" t="n">
        <x:f>'730餐菜单'!Q642+'730餐菜单'!Q643</x:f>
        <x:v>33.2</x:v>
      </x:c>
      <x:c r="K322" t="n">
        <x:f>SUM('食材明细'!F3844:F3845)+SUM('食材明细'!F3850:F3851)</x:f>
        <x:v>630</x:v>
      </x:c>
      <x:c r="L322" t="str">
        <x:v>仅午餐+晚餐；早餐、饮奶、水果、零食未计入</x:v>
      </x:c>
    </x:row>
    <x:row r="323" ht="23" customHeight="1">
      <x:c r="A323" t="n">
        <x:v>322</x:v>
      </x:c>
      <x:c r="B323" t="n">
        <x:v>46</x:v>
      </x:c>
      <x:c r="C323" t="str">
        <x:v>蒜香鱿鱼配黄瓜泡发木耳｜杂粮饭</x:v>
      </x:c>
      <x:c r="D323" t="str">
        <x:v>剁椒鸡蛋北豆腐烩菠菜娃娃菜｜土豆</x:v>
      </x:c>
      <x:c r="E323" t="n">
        <x:f>'730餐菜单'!N644</x:f>
        <x:v>437</x:v>
      </x:c>
      <x:c r="F323" t="n">
        <x:f>'730餐菜单'!N645</x:f>
        <x:v>472</x:v>
      </x:c>
      <x:c r="G323" t="n">
        <x:f>E323+F323</x:f>
        <x:v>909</x:v>
      </x:c>
      <x:c r="H323" t="n">
        <x:f>'730餐菜单'!O644+'730餐菜单'!O645</x:f>
        <x:v>71.9</x:v>
      </x:c>
      <x:c r="I323" t="n">
        <x:f>'730餐菜单'!P644+'730餐菜单'!P645</x:f>
        <x:v>88.69999999999999</x:v>
      </x:c>
      <x:c r="J323" t="n">
        <x:f>'730餐菜单'!Q644+'730餐菜单'!Q645</x:f>
        <x:v>32.1</x:v>
      </x:c>
      <x:c r="K323" t="n">
        <x:f>SUM('食材明细'!F3856:F3857)+SUM('食材明细'!F3862:F3863)</x:f>
        <x:v>595</x:v>
      </x:c>
      <x:c r="L323" t="str">
        <x:v>仅午餐+晚餐；早餐、饮奶、水果、零食未计入</x:v>
      </x:c>
    </x:row>
    <x:row r="324" ht="23" customHeight="1">
      <x:c r="A324" t="n">
        <x:v>323</x:v>
      </x:c>
      <x:c r="B324" t="n">
        <x:v>47</x:v>
      </x:c>
      <x:c r="C324" t="str">
        <x:v>菌菇嫩豆腐鸡蛋烩茼蒿香菇｜杂粮饭</x:v>
      </x:c>
      <x:c r="D324" t="str">
        <x:v>孜然鸡胸肉配娃娃菜杏鲍菇｜荞麦饭</x:v>
      </x:c>
      <x:c r="E324" t="n">
        <x:f>'730餐菜单'!N646</x:f>
        <x:v>520</x:v>
      </x:c>
      <x:c r="F324" t="n">
        <x:f>'730餐菜单'!N647</x:f>
        <x:v>445</x:v>
      </x:c>
      <x:c r="G324" t="n">
        <x:f>E324+F324</x:f>
        <x:v>965</x:v>
      </x:c>
      <x:c r="H324" t="n">
        <x:f>'730餐菜单'!O646+'730餐菜单'!O647</x:f>
        <x:v>84.69999999999999</x:v>
      </x:c>
      <x:c r="I324" t="n">
        <x:f>'730餐菜单'!P646+'730餐菜单'!P647</x:f>
        <x:v>88.1</x:v>
      </x:c>
      <x:c r="J324" t="n">
        <x:f>'730餐菜单'!Q646+'730餐菜单'!Q647</x:f>
        <x:v>33.3</x:v>
      </x:c>
      <x:c r="K324" t="n">
        <x:f>SUM('食材明细'!F3868:F3869)+SUM('食材明细'!F3874:F3875)</x:f>
        <x:v>615</x:v>
      </x:c>
      <x:c r="L324" t="str">
        <x:v>仅午餐+晚餐；早餐、饮奶、水果、零食未计入</x:v>
      </x:c>
    </x:row>
    <x:row r="325" ht="23" customHeight="1">
      <x:c r="A325" t="n">
        <x:v>324</x:v>
      </x:c>
      <x:c r="B325" t="n">
        <x:v>47</x:v>
      </x:c>
      <x:c r="C325" t="str">
        <x:v>豉汁三文鱼配秋葵泡发木耳｜燕麦饭</x:v>
      </x:c>
      <x:c r="D325" t="str">
        <x:v>椒麻瘦牛肉配荷兰豆玉米笋｜红薯</x:v>
      </x:c>
      <x:c r="E325" t="n">
        <x:f>'730餐菜单'!N648</x:f>
        <x:v>495</x:v>
      </x:c>
      <x:c r="F325" t="n">
        <x:f>'730餐菜单'!N649</x:f>
        <x:v>468</x:v>
      </x:c>
      <x:c r="G325" t="n">
        <x:f>E325+F325</x:f>
        <x:v>963</x:v>
      </x:c>
      <x:c r="H325" t="n">
        <x:f>'730餐菜单'!O648+'730餐菜单'!O649</x:f>
        <x:v>78.5</x:v>
      </x:c>
      <x:c r="I325" t="n">
        <x:f>'730餐菜单'!P648+'730餐菜单'!P649</x:f>
        <x:v>93.5</x:v>
      </x:c>
      <x:c r="J325" t="n">
        <x:f>'730餐菜单'!Q648+'730餐菜单'!Q649</x:f>
        <x:v>31.9</x:v>
      </x:c>
      <x:c r="K325" t="n">
        <x:f>SUM('食材明细'!F3880:F3881)+SUM('食材明细'!F3886:F3887)</x:f>
        <x:v>600</x:v>
      </x:c>
      <x:c r="L325" t="str">
        <x:v>仅午餐+晚餐；早餐、饮奶、水果、零食未计入</x:v>
      </x:c>
    </x:row>
    <x:row r="326" ht="23" customHeight="1">
      <x:c r="A326" t="n">
        <x:v>325</x:v>
      </x:c>
      <x:c r="B326" t="n">
        <x:v>47</x:v>
      </x:c>
      <x:c r="C326" t="str">
        <x:v>黑椒牛里脊配苦瓜杏鲍菇｜燕麦饭</x:v>
      </x:c>
      <x:c r="D326" t="str">
        <x:v>椒麻虾仁配菠菜芦笋｜红薯</x:v>
      </x:c>
      <x:c r="E326" t="n">
        <x:f>'730餐菜单'!N650</x:f>
        <x:v>501</x:v>
      </x:c>
      <x:c r="F326" t="n">
        <x:f>'730餐菜单'!N651</x:f>
        <x:v>474</x:v>
      </x:c>
      <x:c r="G326" t="n">
        <x:f>E326+F326</x:f>
        <x:v>975</x:v>
      </x:c>
      <x:c r="H326" t="n">
        <x:f>'730餐菜单'!O650+'730餐菜单'!O651</x:f>
        <x:v>100.2</x:v>
      </x:c>
      <x:c r="I326" t="n">
        <x:f>'730餐菜单'!P650+'730餐菜单'!P651</x:f>
        <x:v>82.6</x:v>
      </x:c>
      <x:c r="J326" t="n">
        <x:f>'730餐菜单'!Q650+'730餐菜单'!Q651</x:f>
        <x:v>30.4</x:v>
      </x:c>
      <x:c r="K326" t="n">
        <x:f>SUM('食材明细'!F3892:F3893)+SUM('食材明细'!F3898:F3899)</x:f>
        <x:v>555</x:v>
      </x:c>
      <x:c r="L326" t="str">
        <x:v>仅午餐+晚餐；早餐、饮奶、水果、零食未计入</x:v>
      </x:c>
    </x:row>
    <x:row r="327" ht="23" customHeight="1">
      <x:c r="A327" t="n">
        <x:v>326</x:v>
      </x:c>
      <x:c r="B327" t="n">
        <x:v>47</x:v>
      </x:c>
      <x:c r="C327" t="str">
        <x:v>豉汁北豆腐鸡蛋烩大白菜洋葱｜红薯</x:v>
      </x:c>
      <x:c r="D327" t="str">
        <x:v>清汤猪瘦肉配番茄丝瓜｜藜麦饭</x:v>
      </x:c>
      <x:c r="E327" t="n">
        <x:f>'730餐菜单'!N652</x:f>
        <x:v>570</x:v>
      </x:c>
      <x:c r="F327" t="n">
        <x:f>'730餐菜单'!N653</x:f>
        <x:v>429</x:v>
      </x:c>
      <x:c r="G327" t="n">
        <x:f>E327+F327</x:f>
        <x:v>999</x:v>
      </x:c>
      <x:c r="H327" t="n">
        <x:f>'730餐菜单'!O652+'730餐菜单'!O653</x:f>
        <x:v>80.8</x:v>
      </x:c>
      <x:c r="I327" t="n">
        <x:f>'730餐菜单'!P652+'730餐菜单'!P653</x:f>
        <x:v>88.30000000000001</x:v>
      </x:c>
      <x:c r="J327" t="n">
        <x:f>'730餐菜单'!Q652+'730餐菜单'!Q653</x:f>
        <x:v>38.4</x:v>
      </x:c>
      <x:c r="K327" t="n">
        <x:f>SUM('食材明细'!F3904:F3905)+SUM('食材明细'!F3910:F3911)</x:f>
        <x:v>565</x:v>
      </x:c>
      <x:c r="L327" t="str">
        <x:v>仅午餐+晚餐；早餐、饮奶、水果、零食未计入</x:v>
      </x:c>
    </x:row>
    <x:row r="328" ht="23" customHeight="1">
      <x:c r="A328" t="n">
        <x:v>327</x:v>
      </x:c>
      <x:c r="B328" t="n">
        <x:v>47</x:v>
      </x:c>
      <x:c r="C328" t="str">
        <x:v>咖喱瘦牛肉配丝瓜口蘑｜杂粮饭</x:v>
      </x:c>
      <x:c r="D328" t="str">
        <x:v>香醋鸡里脊肉配荷兰豆莴笋｜糙米饭</x:v>
      </x:c>
      <x:c r="E328" t="n">
        <x:f>'730餐菜单'!N654</x:f>
        <x:v>493</x:v>
      </x:c>
      <x:c r="F328" t="n">
        <x:f>'730餐菜单'!N655</x:f>
        <x:v>404</x:v>
      </x:c>
      <x:c r="G328" t="n">
        <x:f>E328+F328</x:f>
        <x:v>897</x:v>
      </x:c>
      <x:c r="H328" t="n">
        <x:f>'730餐菜单'!O654+'730餐菜单'!O655</x:f>
        <x:v>96.9</x:v>
      </x:c>
      <x:c r="I328" t="n">
        <x:f>'730餐菜单'!P654+'730餐菜单'!P655</x:f>
        <x:v>83.4</x:v>
      </x:c>
      <x:c r="J328" t="n">
        <x:f>'730餐菜单'!Q654+'730餐菜单'!Q655</x:f>
        <x:v>20.3</x:v>
      </x:c>
      <x:c r="K328" t="n">
        <x:f>SUM('食材明细'!F3916:F3917)+SUM('食材明细'!F3922:F3923)</x:f>
        <x:v>565</x:v>
      </x:c>
      <x:c r="L328" t="str">
        <x:v>仅午餐+晚餐；早餐、饮奶、水果、零食未计入</x:v>
      </x:c>
    </x:row>
    <x:row r="329" ht="23" customHeight="1">
      <x:c r="A329" t="n">
        <x:v>328</x:v>
      </x:c>
      <x:c r="B329" t="n">
        <x:v>47</x:v>
      </x:c>
      <x:c r="C329" t="str">
        <x:v>葱姜清蒸虾仁配菠菜口蘑｜燕麦饭</x:v>
      </x:c>
      <x:c r="D329" t="str">
        <x:v>椒麻鸡胸肉配娃娃菜海带｜杂粮饭</x:v>
      </x:c>
      <x:c r="E329" t="n">
        <x:f>'730餐菜单'!N656</x:f>
        <x:v>398</x:v>
      </x:c>
      <x:c r="F329" t="n">
        <x:f>'730餐菜单'!N657</x:f>
        <x:v>438</x:v>
      </x:c>
      <x:c r="G329" t="n">
        <x:f>E329+F329</x:f>
        <x:v>836</x:v>
      </x:c>
      <x:c r="H329" t="n">
        <x:f>'730餐菜单'!O656+'730餐菜单'!O657</x:f>
        <x:v>93.1</x:v>
      </x:c>
      <x:c r="I329" t="n">
        <x:f>'730餐菜单'!P656+'730餐菜单'!P657</x:f>
        <x:v>76.5</x:v>
      </x:c>
      <x:c r="J329" t="n">
        <x:f>'730餐菜单'!Q656+'730餐菜单'!Q657</x:f>
        <x:v>20.299999999999997</x:v>
      </x:c>
      <x:c r="K329" t="n">
        <x:f>SUM('食材明细'!F3928:F3929)+SUM('食材明细'!F3934:F3935)</x:f>
        <x:v>630</x:v>
      </x:c>
      <x:c r="L329" t="str">
        <x:v>仅午餐+晚餐；早餐、饮奶、水果、零食未计入</x:v>
      </x:c>
    </x:row>
    <x:row r="330" ht="23" customHeight="1">
      <x:c r="A330" t="n">
        <x:v>329</x:v>
      </x:c>
      <x:c r="B330" t="n">
        <x:v>47</x:v>
      </x:c>
      <x:c r="C330" t="str">
        <x:v>蚝香瘦牛肉配荷兰豆绿豆芽｜藜麦饭</x:v>
      </x:c>
      <x:c r="D330" t="str">
        <x:v>黑椒鱿鱼配菠菜冬瓜｜荞麦面</x:v>
      </x:c>
      <x:c r="E330" t="n">
        <x:f>'730餐菜单'!N658</x:f>
        <x:v>491</x:v>
      </x:c>
      <x:c r="F330" t="n">
        <x:f>'730餐菜单'!N659</x:f>
        <x:v>375</x:v>
      </x:c>
      <x:c r="G330" t="n">
        <x:f>E330+F330</x:f>
        <x:v>866</x:v>
      </x:c>
      <x:c r="H330" t="n">
        <x:f>'730餐菜单'!O658+'730餐菜单'!O659</x:f>
        <x:v>84.4</x:v>
      </x:c>
      <x:c r="I330" t="n">
        <x:f>'730餐菜单'!P658+'730餐菜单'!P659</x:f>
        <x:v>81</x:v>
      </x:c>
      <x:c r="J330" t="n">
        <x:f>'730餐菜单'!Q658+'730餐菜单'!Q659</x:f>
        <x:v>23.3</x:v>
      </x:c>
      <x:c r="K330" t="n">
        <x:f>SUM('食材明细'!F3940:F3941)+SUM('食材明细'!F3946:F3947)</x:f>
        <x:v>535</x:v>
      </x:c>
      <x:c r="L330" t="str">
        <x:v>仅午餐+晚餐；早餐、饮奶、水果、零食未计入</x:v>
      </x:c>
    </x:row>
    <x:row r="331" ht="23" customHeight="1">
      <x:c r="A331" t="n">
        <x:v>330</x:v>
      </x:c>
      <x:c r="B331" t="n">
        <x:v>48</x:v>
      </x:c>
      <x:c r="C331" t="str">
        <x:v>番茄巴沙鱼配金针菇｜糙米饭</x:v>
      </x:c>
      <x:c r="D331" t="str">
        <x:v>蚝香鸡蛋北豆腐烩番茄金针菇｜糙米饭</x:v>
      </x:c>
      <x:c r="E331" t="n">
        <x:f>'730餐菜单'!N660</x:f>
        <x:v>463</x:v>
      </x:c>
      <x:c r="F331" t="n">
        <x:f>'730餐菜单'!N661</x:f>
        <x:v>455</x:v>
      </x:c>
      <x:c r="G331" t="n">
        <x:f>E331+F331</x:f>
        <x:v>918</x:v>
      </x:c>
      <x:c r="H331" t="n">
        <x:f>'730餐菜单'!O660+'730餐菜单'!O661</x:f>
        <x:v>75.4</x:v>
      </x:c>
      <x:c r="I331" t="n">
        <x:f>'730餐菜单'!P660+'730餐菜单'!P661</x:f>
        <x:v>84.6</x:v>
      </x:c>
      <x:c r="J331" t="n">
        <x:f>'730餐菜单'!Q660+'730餐菜单'!Q661</x:f>
        <x:v>33.2</x:v>
      </x:c>
      <x:c r="K331" t="n">
        <x:f>SUM('食材明细'!F3952:F3953)+SUM('食材明细'!F3958:F3959)</x:f>
        <x:v>535</x:v>
      </x:c>
      <x:c r="L331" t="str">
        <x:v>仅午餐+晚餐；早餐、饮奶、水果、零食未计入</x:v>
      </x:c>
    </x:row>
    <x:row r="332" ht="23" customHeight="1">
      <x:c r="A332" t="n">
        <x:v>331</x:v>
      </x:c>
      <x:c r="B332" t="n">
        <x:v>48</x:v>
      </x:c>
      <x:c r="C332" t="str">
        <x:v>葱姜清蒸鱿鱼配芹菜白萝卜｜糙米饭</x:v>
      </x:c>
      <x:c r="D332" t="str">
        <x:v>菌菇嫩豆腐虾仁烩竹笋口蘑｜白米饭</x:v>
      </x:c>
      <x:c r="E332" t="n">
        <x:f>'730餐菜单'!N662</x:f>
        <x:v>425</x:v>
      </x:c>
      <x:c r="F332" t="n">
        <x:f>'730餐菜单'!N663</x:f>
        <x:v>429</x:v>
      </x:c>
      <x:c r="G332" t="n">
        <x:f>E332+F332</x:f>
        <x:v>854</x:v>
      </x:c>
      <x:c r="H332" t="n">
        <x:f>'730餐菜单'!O662+'730餐菜单'!O663</x:f>
        <x:v>78.2</x:v>
      </x:c>
      <x:c r="I332" t="n">
        <x:f>'730餐菜单'!P662+'730餐菜单'!P663</x:f>
        <x:v>86.3</x:v>
      </x:c>
      <x:c r="J332" t="n">
        <x:f>'730餐菜单'!Q662+'730餐菜单'!Q663</x:f>
        <x:v>22.6</x:v>
      </x:c>
      <x:c r="K332" t="n">
        <x:f>SUM('食材明细'!F3964:F3965)+SUM('食材明细'!F3970:F3971)</x:f>
        <x:v>625</x:v>
      </x:c>
      <x:c r="L332" t="str">
        <x:v>仅午餐+晚餐；早餐、饮奶、水果、零食未计入</x:v>
      </x:c>
    </x:row>
    <x:row r="333" ht="23" customHeight="1">
      <x:c r="A333" t="n">
        <x:v>332</x:v>
      </x:c>
      <x:c r="B333" t="n">
        <x:v>48</x:v>
      </x:c>
      <x:c r="C333" t="str">
        <x:v>清汤北豆腐鸡蛋烩紫甘蓝金针菇｜魔芋丝</x:v>
      </x:c>
      <x:c r="D333" t="str">
        <x:v>黑椒扇贝肉配娃娃菜香菇｜燕麦饭</x:v>
      </x:c>
      <x:c r="E333" t="n">
        <x:f>'730餐菜单'!N664</x:f>
        <x:v>468</x:v>
      </x:c>
      <x:c r="F333" t="n">
        <x:f>'730餐菜单'!N665</x:f>
        <x:v>367</x:v>
      </x:c>
      <x:c r="G333" t="n">
        <x:f>E333+F333</x:f>
        <x:v>835</x:v>
      </x:c>
      <x:c r="H333" t="n">
        <x:f>'730餐菜单'!O664+'730餐菜单'!O665</x:f>
        <x:v>75</x:v>
      </x:c>
      <x:c r="I333" t="n">
        <x:f>'730餐菜单'!P664+'730餐菜单'!P665</x:f>
        <x:v>69.19999999999999</x:v>
      </x:c>
      <x:c r="J333" t="n">
        <x:f>'730餐菜单'!Q664+'730餐菜单'!Q665</x:f>
        <x:v>32.4</x:v>
      </x:c>
      <x:c r="K333" t="n">
        <x:f>SUM('食材明细'!F3976:F3977)+SUM('食材明细'!F3982:F3983)</x:f>
        <x:v>615</x:v>
      </x:c>
      <x:c r="L333" t="str">
        <x:v>仅午餐+晚餐；早餐、饮奶、水果、零食未计入</x:v>
      </x:c>
    </x:row>
    <x:row r="334" ht="23" customHeight="1">
      <x:c r="A334" t="n">
        <x:v>333</x:v>
      </x:c>
      <x:c r="B334" t="n">
        <x:v>48</x:v>
      </x:c>
      <x:c r="C334" t="str">
        <x:v>豉汁瘦牛肉配莴笋口蘑｜糙米饭</x:v>
      </x:c>
      <x:c r="D334" t="str">
        <x:v>无糖照烧牛腱子配娃娃菜洋葱｜乌冬面</x:v>
      </x:c>
      <x:c r="E334" t="n">
        <x:f>'730餐菜单'!N666</x:f>
        <x:v>415</x:v>
      </x:c>
      <x:c r="F334" t="n">
        <x:f>'730餐菜单'!N667</x:f>
        <x:v>511</x:v>
      </x:c>
      <x:c r="G334" t="n">
        <x:f>E334+F334</x:f>
        <x:v>926</x:v>
      </x:c>
      <x:c r="H334" t="n">
        <x:f>'730餐菜单'!O666+'730餐菜单'!O667</x:f>
        <x:v>81</x:v>
      </x:c>
      <x:c r="I334" t="n">
        <x:f>'730餐菜单'!P666+'730餐菜单'!P667</x:f>
        <x:v>86</x:v>
      </x:c>
      <x:c r="J334" t="n">
        <x:f>'730餐菜单'!Q666+'730餐菜单'!Q667</x:f>
        <x:v>28.6</x:v>
      </x:c>
      <x:c r="K334" t="n">
        <x:f>SUM('食材明细'!F3988:F3989)+SUM('食材明细'!F3994:F3995)</x:f>
        <x:v>550</x:v>
      </x:c>
      <x:c r="L334" t="str">
        <x:v>仅午餐+晚餐；早餐、饮奶、水果、零食未计入</x:v>
      </x:c>
    </x:row>
    <x:row r="335" ht="23" customHeight="1">
      <x:c r="A335" t="n">
        <x:v>334</x:v>
      </x:c>
      <x:c r="B335" t="n">
        <x:v>48</x:v>
      </x:c>
      <x:c r="C335" t="str">
        <x:v>孜然瘦牛肉配油麦菜彩椒｜山药</x:v>
      </x:c>
      <x:c r="D335" t="str">
        <x:v>花椒鲈鱼配冬瓜彩椒｜燕麦饭</x:v>
      </x:c>
      <x:c r="E335" t="n">
        <x:f>'730餐菜单'!N668</x:f>
        <x:v>429</x:v>
      </x:c>
      <x:c r="F335" t="n">
        <x:f>'730餐菜单'!N669</x:f>
        <x:v>419</x:v>
      </x:c>
      <x:c r="G335" t="n">
        <x:f>E335+F335</x:f>
        <x:v>848</x:v>
      </x:c>
      <x:c r="H335" t="n">
        <x:f>'730餐菜单'!O668+'730餐菜单'!O669</x:f>
        <x:v>85.5</x:v>
      </x:c>
      <x:c r="I335" t="n">
        <x:f>'730餐菜单'!P668+'730餐菜单'!P669</x:f>
        <x:v>67.4</x:v>
      </x:c>
      <x:c r="J335" t="n">
        <x:f>'730餐菜单'!Q668+'730餐菜单'!Q669</x:f>
        <x:v>27</x:v>
      </x:c>
      <x:c r="K335" t="n">
        <x:f>SUM('食材明细'!F4000:F4001)+SUM('食材明细'!F4006:F4007)</x:f>
        <x:v>555</x:v>
      </x:c>
      <x:c r="L335" t="str">
        <x:v>仅午餐+晚餐；早餐、饮奶、水果、零食未计入</x:v>
      </x:c>
    </x:row>
    <x:row r="336" ht="23" customHeight="1">
      <x:c r="A336" t="n">
        <x:v>335</x:v>
      </x:c>
      <x:c r="B336" t="n">
        <x:v>48</x:v>
      </x:c>
      <x:c r="C336" t="str">
        <x:v>柠檬扇贝肉配冬瓜香菇｜全麦面</x:v>
      </x:c>
      <x:c r="D336" t="str">
        <x:v>香醋牛里脊配番茄泡发木耳｜玉米</x:v>
      </x:c>
      <x:c r="E336" t="n">
        <x:f>'730餐菜单'!N670</x:f>
        <x:v>492</x:v>
      </x:c>
      <x:c r="F336" t="n">
        <x:f>'730餐菜单'!N671</x:f>
        <x:v>398</x:v>
      </x:c>
      <x:c r="G336" t="n">
        <x:f>E336+F336</x:f>
        <x:v>890</x:v>
      </x:c>
      <x:c r="H336" t="n">
        <x:f>'730餐菜单'!O670+'730餐菜单'!O671</x:f>
        <x:v>86.4</x:v>
      </x:c>
      <x:c r="I336" t="n">
        <x:f>'730餐菜单'!P670+'730餐菜单'!P671</x:f>
        <x:v>93.80000000000001</x:v>
      </x:c>
      <x:c r="J336" t="n">
        <x:f>'730餐菜单'!Q670+'730餐菜单'!Q671</x:f>
        <x:v>22.200000000000003</x:v>
      </x:c>
      <x:c r="K336" t="n">
        <x:f>SUM('食材明细'!F4012:F4013)+SUM('食材明细'!F4018:F4019)</x:f>
        <x:v>595</x:v>
      </x:c>
      <x:c r="L336" t="str">
        <x:v>仅午餐+晚餐；早餐、饮奶、水果、零食未计入</x:v>
      </x:c>
    </x:row>
    <x:row r="337" ht="23" customHeight="1">
      <x:c r="A337" t="n">
        <x:v>336</x:v>
      </x:c>
      <x:c r="B337" t="n">
        <x:v>48</x:v>
      </x:c>
      <x:c r="C337" t="str">
        <x:v>蒜香猪里脊配莴笋番茄｜白米饭</x:v>
      </x:c>
      <x:c r="D337" t="str">
        <x:v>椒麻去皮鸡腿肉配菜心丝瓜｜燕麦饭</x:v>
      </x:c>
      <x:c r="E337" t="n">
        <x:f>'730餐菜单'!N672</x:f>
        <x:v>477</x:v>
      </x:c>
      <x:c r="F337" t="n">
        <x:f>'730餐菜单'!N673</x:f>
        <x:v>356</x:v>
      </x:c>
      <x:c r="G337" t="n">
        <x:f>E337+F337</x:f>
        <x:v>833</x:v>
      </x:c>
      <x:c r="H337" t="n">
        <x:f>'730餐菜单'!O672+'730餐菜单'!O673</x:f>
        <x:v>81.9</x:v>
      </x:c>
      <x:c r="I337" t="n">
        <x:f>'730餐菜单'!P672+'730餐菜单'!P673</x:f>
        <x:v>72.8</x:v>
      </x:c>
      <x:c r="J337" t="n">
        <x:f>'730餐菜单'!Q672+'730餐菜单'!Q673</x:f>
        <x:v>24.8</x:v>
      </x:c>
      <x:c r="K337" t="n">
        <x:f>SUM('食材明细'!F4024:F4025)+SUM('食材明细'!F4030:F4031)</x:f>
        <x:v>615</x:v>
      </x:c>
      <x:c r="L337" t="str">
        <x:v>仅午餐+晚餐；早餐、饮奶、水果、零食未计入</x:v>
      </x:c>
    </x:row>
    <x:row r="338" ht="23" customHeight="1">
      <x:c r="A338" t="n">
        <x:v>337</x:v>
      </x:c>
      <x:c r="B338" t="n">
        <x:v>49</x:v>
      </x:c>
      <x:c r="C338" t="str">
        <x:v>剁椒嫩豆腐鸡蛋烩油麦菜花菜｜杂粮饭</x:v>
      </x:c>
      <x:c r="D338" t="str">
        <x:v>番茄去皮鸡腿肉配西兰花｜糙米饭</x:v>
      </x:c>
      <x:c r="E338" t="n">
        <x:f>'730餐菜单'!N674</x:f>
        <x:v>543</x:v>
      </x:c>
      <x:c r="F338" t="n">
        <x:f>'730餐菜单'!N675</x:f>
        <x:v>438</x:v>
      </x:c>
      <x:c r="G338" t="n">
        <x:f>E338+F338</x:f>
        <x:v>981</x:v>
      </x:c>
      <x:c r="H338" t="n">
        <x:f>'730餐菜单'!O674+'730餐菜单'!O675</x:f>
        <x:v>76.7</x:v>
      </x:c>
      <x:c r="I338" t="n">
        <x:f>'730餐菜单'!P674+'730餐菜单'!P675</x:f>
        <x:v>89.4</x:v>
      </x:c>
      <x:c r="J338" t="n">
        <x:f>'730餐菜单'!Q674+'730餐菜单'!Q675</x:f>
        <x:v>37.7</x:v>
      </x:c>
      <x:c r="K338" t="n">
        <x:f>SUM('食材明细'!F4036:F4037)+SUM('食材明细'!F4042:F4043)</x:f>
        <x:v>545</x:v>
      </x:c>
      <x:c r="L338" t="str">
        <x:v>仅午餐+晚餐；早餐、饮奶、水果、零食未计入</x:v>
      </x:c>
    </x:row>
    <x:row r="339" ht="23" customHeight="1">
      <x:c r="A339" t="n">
        <x:v>338</x:v>
      </x:c>
      <x:c r="B339" t="n">
        <x:v>49</x:v>
      </x:c>
      <x:c r="C339" t="str">
        <x:v>菌菇鸡胸肉配紫甘蓝杏鲍菇｜糙米饭</x:v>
      </x:c>
      <x:c r="D339" t="str">
        <x:v>黑椒猪里脊配芹菜口蘑｜紫薯</x:v>
      </x:c>
      <x:c r="E339" t="n">
        <x:f>'730餐菜单'!N676</x:f>
        <x:v>551</x:v>
      </x:c>
      <x:c r="F339" t="n">
        <x:f>'730餐菜单'!N677</x:f>
        <x:v>393</x:v>
      </x:c>
      <x:c r="G339" t="n">
        <x:f>E339+F339</x:f>
        <x:v>944</x:v>
      </x:c>
      <x:c r="H339" t="n">
        <x:f>'730餐菜单'!O676+'730餐菜单'!O677</x:f>
        <x:v>95.8</x:v>
      </x:c>
      <x:c r="I339" t="n">
        <x:f>'730餐菜单'!P676+'730餐菜单'!P677</x:f>
        <x:v>94.5</x:v>
      </x:c>
      <x:c r="J339" t="n">
        <x:f>'730餐菜单'!Q676+'730餐菜单'!Q677</x:f>
        <x:v>22.6</x:v>
      </x:c>
      <x:c r="K339" t="n">
        <x:f>SUM('食材明细'!F4048:F4049)+SUM('食材明细'!F4054:F4055)</x:f>
        <x:v>645</x:v>
      </x:c>
      <x:c r="L339" t="str">
        <x:v>仅午餐+晚餐；早餐、饮奶、水果、零食未计入</x:v>
      </x:c>
    </x:row>
    <x:row r="340" ht="23" customHeight="1">
      <x:c r="A340" t="n">
        <x:v>339</x:v>
      </x:c>
      <x:c r="B340" t="n">
        <x:v>49</x:v>
      </x:c>
      <x:c r="C340" t="str">
        <x:v>花椒猪里脊配苦瓜泡发木耳｜杂粮饭</x:v>
      </x:c>
      <x:c r="D340" t="str">
        <x:v>蒜香巴沙鱼配芹菜小白菜｜土豆</x:v>
      </x:c>
      <x:c r="E340" t="n">
        <x:f>'730餐菜单'!N678</x:f>
        <x:v>443</x:v>
      </x:c>
      <x:c r="F340" t="n">
        <x:f>'730餐菜单'!N679</x:f>
        <x:v>371</x:v>
      </x:c>
      <x:c r="G340" t="n">
        <x:f>E340+F340</x:f>
        <x:v>814</x:v>
      </x:c>
      <x:c r="H340" t="n">
        <x:f>'730餐菜单'!O678+'730餐菜单'!O679</x:f>
        <x:v>77.4</x:v>
      </x:c>
      <x:c r="I340" t="n">
        <x:f>'730餐菜单'!P678+'730餐菜单'!P679</x:f>
        <x:v>84.4</x:v>
      </x:c>
      <x:c r="J340" t="n">
        <x:f>'730餐菜单'!Q678+'730餐菜单'!Q679</x:f>
        <x:v>19.9</x:v>
      </x:c>
      <x:c r="K340" t="n">
        <x:f>SUM('食材明细'!F4060:F4061)+SUM('食材明细'!F4066:F4067)</x:f>
        <x:v>630</x:v>
      </x:c>
      <x:c r="L340" t="str">
        <x:v>仅午餐+晚餐；早餐、饮奶、水果、零食未计入</x:v>
      </x:c>
    </x:row>
    <x:row r="341" ht="23" customHeight="1">
      <x:c r="A341" t="n">
        <x:v>340</x:v>
      </x:c>
      <x:c r="B341" t="n">
        <x:v>49</x:v>
      </x:c>
      <x:c r="C341" t="str">
        <x:v>花椒猪瘦肉配大白菜绿豆芽｜糙米饭</x:v>
      </x:c>
      <x:c r="D341" t="str">
        <x:v>清汤瘦牛肉配荷兰豆芦笋｜米粉</x:v>
      </x:c>
      <x:c r="E341" t="n">
        <x:f>'730餐菜单'!N680</x:f>
        <x:v>484</x:v>
      </x:c>
      <x:c r="F341" t="n">
        <x:f>'730餐菜单'!N681</x:f>
        <x:v>429</x:v>
      </x:c>
      <x:c r="G341" t="n">
        <x:f>E341+F341</x:f>
        <x:v>913</x:v>
      </x:c>
      <x:c r="H341" t="n">
        <x:f>'730餐菜单'!O680+'730餐菜单'!O681</x:f>
        <x:v>83.4</x:v>
      </x:c>
      <x:c r="I341" t="n">
        <x:f>'730餐菜单'!P680+'730餐菜单'!P681</x:f>
        <x:v>80.5</x:v>
      </x:c>
      <x:c r="J341" t="n">
        <x:f>'730餐菜单'!Q680+'730餐菜单'!Q681</x:f>
        <x:v>30</x:v>
      </x:c>
      <x:c r="K341" t="n">
        <x:f>SUM('食材明细'!F4072:F4073)+SUM('食材明细'!F4078:F4079)</x:f>
        <x:v>535</x:v>
      </x:c>
      <x:c r="L341" t="str">
        <x:v>仅午餐+晚餐；早餐、饮奶、水果、零食未计入</x:v>
      </x:c>
    </x:row>
    <x:row r="342" ht="23" customHeight="1">
      <x:c r="A342" t="n">
        <x:v>341</x:v>
      </x:c>
      <x:c r="B342" t="n">
        <x:v>49</x:v>
      </x:c>
      <x:c r="C342" t="str">
        <x:v>咖喱猪里脊配荷兰豆杏鲍菇｜山药</x:v>
      </x:c>
      <x:c r="D342" t="str">
        <x:v>孜然鸡胸肉配小白菜口蘑｜藜麦饭</x:v>
      </x:c>
      <x:c r="E342" t="n">
        <x:f>'730餐菜单'!N682</x:f>
        <x:v>422</x:v>
      </x:c>
      <x:c r="F342" t="n">
        <x:f>'730餐菜单'!N683</x:f>
        <x:v>442</x:v>
      </x:c>
      <x:c r="G342" t="n">
        <x:f>E342+F342</x:f>
        <x:v>864</x:v>
      </x:c>
      <x:c r="H342" t="n">
        <x:f>'730餐菜单'!O682+'730餐菜单'!O683</x:f>
        <x:v>95</x:v>
      </x:c>
      <x:c r="I342" t="n">
        <x:f>'730餐菜单'!P682+'730餐菜单'!P683</x:f>
        <x:v>74.6</x:v>
      </x:c>
      <x:c r="J342" t="n">
        <x:f>'730餐菜单'!Q682+'730餐菜单'!Q683</x:f>
        <x:v>22.5</x:v>
      </x:c>
      <x:c r="K342" t="n">
        <x:f>SUM('食材明细'!F4084:F4085)+SUM('食材明细'!F4090:F4091)</x:f>
        <x:v>585</x:v>
      </x:c>
      <x:c r="L342" t="str">
        <x:v>仅午餐+晚餐；早餐、饮奶、水果、零食未计入</x:v>
      </x:c>
    </x:row>
    <x:row r="343" ht="23" customHeight="1">
      <x:c r="A343" t="n">
        <x:v>342</x:v>
      </x:c>
      <x:c r="B343" t="n">
        <x:v>49</x:v>
      </x:c>
      <x:c r="C343" t="str">
        <x:v>蒜香虾仁配花菜小白菜｜荞麦面</x:v>
      </x:c>
      <x:c r="D343" t="str">
        <x:v>黑椒去皮鸡腿肉配秋葵口蘑｜杂粮饭</x:v>
      </x:c>
      <x:c r="E343" t="n">
        <x:f>'730餐菜单'!N684</x:f>
        <x:v>461</x:v>
      </x:c>
      <x:c r="F343" t="n">
        <x:f>'730餐菜单'!N685</x:f>
        <x:v>469</x:v>
      </x:c>
      <x:c r="G343" t="n">
        <x:f>E343+F343</x:f>
        <x:v>930</x:v>
      </x:c>
      <x:c r="H343" t="n">
        <x:f>'730餐菜单'!O684+'730餐菜单'!O685</x:f>
        <x:v>95.6</x:v>
      </x:c>
      <x:c r="I343" t="n">
        <x:f>'730餐菜单'!P684+'730餐菜单'!P685</x:f>
        <x:v>93</x:v>
      </x:c>
      <x:c r="J343" t="n">
        <x:f>'730餐菜单'!Q684+'730餐菜单'!Q685</x:f>
        <x:v>23.1</x:v>
      </x:c>
      <x:c r="K343" t="n">
        <x:f>SUM('食材明细'!F4096:F4097)+SUM('食材明细'!F4102:F4103)</x:f>
        <x:v>645</x:v>
      </x:c>
      <x:c r="L343" t="str">
        <x:v>仅午餐+晚餐；早餐、饮奶、水果、零食未计入</x:v>
      </x:c>
    </x:row>
    <x:row r="344" ht="23" customHeight="1">
      <x:c r="A344" t="n">
        <x:v>343</x:v>
      </x:c>
      <x:c r="B344" t="n">
        <x:v>49</x:v>
      </x:c>
      <x:c r="C344" t="str">
        <x:v>咖喱去皮鸡腿肉配芹菜彩椒｜杂粮饭</x:v>
      </x:c>
      <x:c r="D344" t="str">
        <x:v>黑椒虾仁配紫甘蓝莴笋｜荞麦饭</x:v>
      </x:c>
      <x:c r="E344" t="n">
        <x:f>'730餐菜单'!N686</x:f>
        <x:v>502</x:v>
      </x:c>
      <x:c r="F344" t="n">
        <x:f>'730餐菜单'!N687</x:f>
        <x:v>435</x:v>
      </x:c>
      <x:c r="G344" t="n">
        <x:f>E344+F344</x:f>
        <x:v>937</x:v>
      </x:c>
      <x:c r="H344" t="n">
        <x:f>'730餐菜单'!O686+'730餐菜单'!O687</x:f>
        <x:v>85.80000000000001</x:v>
      </x:c>
      <x:c r="I344" t="n">
        <x:f>'730餐菜单'!P686+'730餐菜单'!P687</x:f>
        <x:v>97.7</x:v>
      </x:c>
      <x:c r="J344" t="n">
        <x:f>'730餐菜单'!Q686+'730餐菜单'!Q687</x:f>
        <x:v>24.9</x:v>
      </x:c>
      <x:c r="K344" t="n">
        <x:f>SUM('食材明细'!F4108:F4109)+SUM('食材明细'!F4114:F4115)</x:f>
        <x:v>610</x:v>
      </x:c>
      <x:c r="L344" t="str">
        <x:v>仅午餐+晚餐；早餐、饮奶、水果、零食未计入</x:v>
      </x:c>
    </x:row>
    <x:row r="345" ht="23" customHeight="1">
      <x:c r="A345" t="n">
        <x:v>344</x:v>
      </x:c>
      <x:c r="B345" t="n">
        <x:v>50</x:v>
      </x:c>
      <x:c r="C345" t="str">
        <x:v>剁椒巴沙鱼配紫甘蓝小白菜｜杂粮饭</x:v>
      </x:c>
      <x:c r="D345" t="str">
        <x:v>番茄去皮鸭胸肉配海带｜土豆</x:v>
      </x:c>
      <x:c r="E345" t="n">
        <x:f>'730餐菜单'!N688</x:f>
        <x:v>446</x:v>
      </x:c>
      <x:c r="F345" t="n">
        <x:f>'730餐菜单'!N689</x:f>
        <x:v>439</x:v>
      </x:c>
      <x:c r="G345" t="n">
        <x:f>E345+F345</x:f>
        <x:v>885</x:v>
      </x:c>
      <x:c r="H345" t="n">
        <x:f>'730餐菜单'!O688+'730餐菜单'!O689</x:f>
        <x:v>78.4</x:v>
      </x:c>
      <x:c r="I345" t="n">
        <x:f>'730餐菜单'!P688+'730餐菜单'!P689</x:f>
        <x:v>81.6</x:v>
      </x:c>
      <x:c r="J345" t="n">
        <x:f>'730餐菜单'!Q688+'730餐菜单'!Q689</x:f>
        <x:v>28.4</x:v>
      </x:c>
      <x:c r="K345" t="n">
        <x:f>SUM('食材明细'!F4120:F4121)+SUM('食材明细'!F4126:F4127)</x:f>
        <x:v>675</x:v>
      </x:c>
      <x:c r="L345" t="str">
        <x:v>仅午餐+晚餐；早餐、饮奶、水果、零食未计入</x:v>
      </x:c>
    </x:row>
    <x:row r="346" ht="23" customHeight="1">
      <x:c r="A346" t="n">
        <x:v>345</x:v>
      </x:c>
      <x:c r="B346" t="n">
        <x:v>50</x:v>
      </x:c>
      <x:c r="C346" t="str">
        <x:v>豉汁鲈鱼配西兰花金针菇｜白米饭</x:v>
      </x:c>
      <x:c r="D346" t="str">
        <x:v>黑椒去皮鸡腿肉配四季豆胡萝卜｜荞麦饭</x:v>
      </x:c>
      <x:c r="E346" t="n">
        <x:f>'730餐菜单'!N690</x:f>
        <x:v>536</x:v>
      </x:c>
      <x:c r="F346" t="n">
        <x:f>'730餐菜单'!N691</x:f>
        <x:v>507</x:v>
      </x:c>
      <x:c r="G346" t="n">
        <x:f>E346+F346</x:f>
        <x:v>1043</x:v>
      </x:c>
      <x:c r="H346" t="n">
        <x:f>'730餐菜单'!O690+'730餐菜单'!O691</x:f>
        <x:v>96.7</x:v>
      </x:c>
      <x:c r="I346" t="n">
        <x:f>'730餐菜单'!P690+'730餐菜单'!P691</x:f>
        <x:v>106.2</x:v>
      </x:c>
      <x:c r="J346" t="n">
        <x:f>'730餐菜单'!Q690+'730餐菜单'!Q691</x:f>
        <x:v>29.6</x:v>
      </x:c>
      <x:c r="K346" t="n">
        <x:f>SUM('食材明细'!F4132:F4133)+SUM('食材明细'!F4138:F4139)</x:f>
        <x:v>625</x:v>
      </x:c>
      <x:c r="L346" t="str">
        <x:v>仅午餐+晚餐；早餐、饮奶、水果、零食未计入</x:v>
      </x:c>
    </x:row>
    <x:row r="347" ht="23" customHeight="1">
      <x:c r="A347" t="n">
        <x:v>346</x:v>
      </x:c>
      <x:c r="B347" t="n">
        <x:v>50</x:v>
      </x:c>
      <x:c r="C347" t="str">
        <x:v>豉汁虾仁配西兰花紫甘蓝｜土豆</x:v>
      </x:c>
      <x:c r="D347" t="str">
        <x:v>清汤去皮鸡腿肉配芦笋西兰花｜白米饭</x:v>
      </x:c>
      <x:c r="E347" t="n">
        <x:f>'730餐菜单'!N692</x:f>
        <x:v>379</x:v>
      </x:c>
      <x:c r="F347" t="n">
        <x:f>'730餐菜单'!N693</x:f>
        <x:v>484</x:v>
      </x:c>
      <x:c r="G347" t="n">
        <x:f>E347+F347</x:f>
        <x:v>863</x:v>
      </x:c>
      <x:c r="H347" t="n">
        <x:f>'730餐菜单'!O692+'730餐菜单'!O693</x:f>
        <x:v>84.6</x:v>
      </x:c>
      <x:c r="I347" t="n">
        <x:f>'730餐菜单'!P692+'730餐菜单'!P693</x:f>
        <x:v>90.80000000000001</x:v>
      </x:c>
      <x:c r="J347" t="n">
        <x:f>'730餐菜单'!Q692+'730餐菜单'!Q693</x:f>
        <x:v>21.9</x:v>
      </x:c>
      <x:c r="K347" t="n">
        <x:f>SUM('食材明细'!F4144:F4145)+SUM('食材明细'!F4150:F4151)</x:f>
        <x:v>595</x:v>
      </x:c>
      <x:c r="L347" t="str">
        <x:v>仅午餐+晚餐；早餐、饮奶、水果、零食未计入</x:v>
      </x:c>
    </x:row>
    <x:row r="348" ht="23" customHeight="1">
      <x:c r="A348" t="n">
        <x:v>347</x:v>
      </x:c>
      <x:c r="B348" t="n">
        <x:v>50</x:v>
      </x:c>
      <x:c r="C348" t="str">
        <x:v>蚝香去皮鸡腿肉配竹笋冬瓜｜白米饭</x:v>
      </x:c>
      <x:c r="D348" t="str">
        <x:v>葱姜清蒸鸡里脊肉配娃娃菜海带｜燕麦饭</x:v>
      </x:c>
      <x:c r="E348" t="n">
        <x:f>'730餐菜单'!N694</x:f>
        <x:v>500</x:v>
      </x:c>
      <x:c r="F348" t="n">
        <x:f>'730餐菜单'!N695</x:f>
        <x:v>430</x:v>
      </x:c>
      <x:c r="G348" t="n">
        <x:f>E348+F348</x:f>
        <x:v>930</x:v>
      </x:c>
      <x:c r="H348" t="n">
        <x:f>'730餐菜单'!O694+'730餐菜单'!O695</x:f>
        <x:v>89.8</x:v>
      </x:c>
      <x:c r="I348" t="n">
        <x:f>'730餐菜单'!P694+'730餐菜单'!P695</x:f>
        <x:v>92.69999999999999</x:v>
      </x:c>
      <x:c r="J348" t="n">
        <x:f>'730餐菜单'!Q694+'730餐菜单'!Q695</x:f>
        <x:v>24.4</x:v>
      </x:c>
      <x:c r="K348" t="n">
        <x:f>SUM('食材明细'!F4156:F4157)+SUM('食材明细'!F4162:F4163)</x:f>
        <x:v>565</x:v>
      </x:c>
      <x:c r="L348" t="str">
        <x:v>仅午餐+晚餐；早餐、饮奶、水果、零食未计入</x:v>
      </x:c>
    </x:row>
    <x:row r="349" ht="23" customHeight="1">
      <x:c r="A349" t="n">
        <x:v>348</x:v>
      </x:c>
      <x:c r="B349" t="n">
        <x:v>50</x:v>
      </x:c>
      <x:c r="C349" t="str">
        <x:v>葱姜清蒸去皮鸡腿肉配冬瓜洋葱｜荞麦饭</x:v>
      </x:c>
      <x:c r="D349" t="str">
        <x:v>蚝香嫩豆腐熟毛豆仁烩大白菜泡发木耳｜藜麦饭</x:v>
      </x:c>
      <x:c r="E349" t="n">
        <x:f>'730餐菜单'!N696</x:f>
        <x:v>457</x:v>
      </x:c>
      <x:c r="F349" t="n">
        <x:f>'730餐菜单'!N697</x:f>
        <x:v>419</x:v>
      </x:c>
      <x:c r="G349" t="n">
        <x:f>E349+F349</x:f>
        <x:v>876</x:v>
      </x:c>
      <x:c r="H349" t="n">
        <x:f>'730餐菜单'!O696+'730餐菜单'!O697</x:f>
        <x:v>69.2</x:v>
      </x:c>
      <x:c r="I349" t="n">
        <x:f>'730餐菜单'!P696+'730餐菜单'!P697</x:f>
        <x:v>87.8</x:v>
      </x:c>
      <x:c r="J349" t="n">
        <x:f>'730餐菜单'!Q696+'730餐菜单'!Q697</x:f>
        <x:v>29.799999999999997</x:v>
      </x:c>
      <x:c r="K349" t="n">
        <x:f>SUM('食材明细'!F4168:F4169)+SUM('食材明细'!F4174:F4175)</x:f>
        <x:v>555</x:v>
      </x:c>
      <x:c r="L349" t="str">
        <x:v>仅午餐+晚餐；早餐、饮奶、水果、零食未计入</x:v>
      </x:c>
    </x:row>
    <x:row r="350" ht="23" customHeight="1">
      <x:c r="A350" t="n">
        <x:v>349</x:v>
      </x:c>
      <x:c r="B350" t="n">
        <x:v>50</x:v>
      </x:c>
      <x:c r="C350" t="str">
        <x:v>蒜香鱿鱼配菜心香菇｜土豆</x:v>
      </x:c>
      <x:c r="D350" t="str">
        <x:v>花椒鲈鱼配菠菜西兰花｜荞麦面</x:v>
      </x:c>
      <x:c r="E350" t="n">
        <x:f>'730餐菜单'!N698</x:f>
        <x:v>400</x:v>
      </x:c>
      <x:c r="F350" t="n">
        <x:f>'730餐菜单'!N699</x:f>
        <x:v>478</x:v>
      </x:c>
      <x:c r="G350" t="n">
        <x:f>E350+F350</x:f>
        <x:v>878</x:v>
      </x:c>
      <x:c r="H350" t="n">
        <x:f>'730餐菜单'!O698+'730餐菜单'!O699</x:f>
        <x:v>89.7</x:v>
      </x:c>
      <x:c r="I350" t="n">
        <x:f>'730餐菜单'!P698+'730餐菜单'!P699</x:f>
        <x:v>85.8</x:v>
      </x:c>
      <x:c r="J350" t="n">
        <x:f>'730餐菜单'!Q698+'730餐菜单'!Q699</x:f>
        <x:v>21.9</x:v>
      </x:c>
      <x:c r="K350" t="n">
        <x:f>SUM('食材明细'!F4180:F4181)+SUM('食材明细'!F4186:F4187)</x:f>
        <x:v>520</x:v>
      </x:c>
      <x:c r="L350" t="str">
        <x:v>仅午餐+晚餐；早餐、饮奶、水果、零食未计入</x:v>
      </x:c>
    </x:row>
    <x:row r="351" ht="23" customHeight="1">
      <x:c r="A351" t="n">
        <x:v>350</x:v>
      </x:c>
      <x:c r="B351" t="n">
        <x:v>50</x:v>
      </x:c>
      <x:c r="C351" t="str">
        <x:v>蒜香去皮鸡腿肉配秋葵丝瓜｜红薯</x:v>
      </x:c>
      <x:c r="D351" t="str">
        <x:v>蒜香牛腱子配娃娃菜玉米笋｜红薯</x:v>
      </x:c>
      <x:c r="E351" t="n">
        <x:f>'730餐菜单'!N700</x:f>
        <x:v>426</x:v>
      </x:c>
      <x:c r="F351" t="n">
        <x:f>'730餐菜单'!N701</x:f>
        <x:v>454</x:v>
      </x:c>
      <x:c r="G351" t="n">
        <x:f>E351+F351</x:f>
        <x:v>880</x:v>
      </x:c>
      <x:c r="H351" t="n">
        <x:f>'730餐菜单'!O700+'730餐菜单'!O701</x:f>
        <x:v>83.5</x:v>
      </x:c>
      <x:c r="I351" t="n">
        <x:f>'730餐菜单'!P700+'730餐菜单'!P701</x:f>
        <x:v>77.9</x:v>
      </x:c>
      <x:c r="J351" t="n">
        <x:f>'730餐菜单'!Q700+'730餐菜单'!Q701</x:f>
        <x:v>28.1</x:v>
      </x:c>
      <x:c r="K351" t="n">
        <x:f>SUM('食材明细'!F4192:F4193)+SUM('食材明细'!F4198:F4199)</x:f>
        <x:v>580</x:v>
      </x:c>
      <x:c r="L351" t="str">
        <x:v>仅午餐+晚餐；早餐、饮奶、水果、零食未计入</x:v>
      </x:c>
    </x:row>
    <x:row r="352" ht="23" customHeight="1">
      <x:c r="A352" t="n">
        <x:v>351</x:v>
      </x:c>
      <x:c r="B352" t="n">
        <x:v>51</x:v>
      </x:c>
      <x:c r="C352" t="str">
        <x:v>菌菇鳕鱼配荷兰豆口蘑｜杂粮饭</x:v>
      </x:c>
      <x:c r="D352" t="str">
        <x:v>豉汁牛里脊配番茄花菜｜乌冬面</x:v>
      </x:c>
      <x:c r="E352" t="n">
        <x:f>'730餐菜单'!N702</x:f>
        <x:v>456</x:v>
      </x:c>
      <x:c r="F352" t="n">
        <x:f>'730餐菜单'!N703</x:f>
        <x:v>439</x:v>
      </x:c>
      <x:c r="G352" t="n">
        <x:f>E352+F352</x:f>
        <x:v>895</x:v>
      </x:c>
      <x:c r="H352" t="n">
        <x:f>'730餐菜单'!O702+'730餐菜单'!O703</x:f>
        <x:v>86.4</x:v>
      </x:c>
      <x:c r="I352" t="n">
        <x:f>'730餐菜单'!P702+'730餐菜单'!P703</x:f>
        <x:v>92.19999999999999</x:v>
      </x:c>
      <x:c r="J352" t="n">
        <x:f>'730餐菜单'!Q702+'730餐菜单'!Q703</x:f>
        <x:v>20.5</x:v>
      </x:c>
      <x:c r="K352" t="n">
        <x:f>SUM('食材明细'!F4204:F4205)+SUM('食材明细'!F4210:F4211)</x:f>
        <x:v>595</x:v>
      </x:c>
      <x:c r="L352" t="str">
        <x:v>仅午餐+晚餐；早餐、饮奶、水果、零食未计入</x:v>
      </x:c>
    </x:row>
    <x:row r="353" ht="23" customHeight="1">
      <x:c r="A353" t="n">
        <x:v>352</x:v>
      </x:c>
      <x:c r="B353" t="n">
        <x:v>51</x:v>
      </x:c>
      <x:c r="C353" t="str">
        <x:v>黑椒猪里脊配彩椒丝瓜｜糙米饭</x:v>
      </x:c>
      <x:c r="D353" t="str">
        <x:v>菌菇虾仁配竹笋金针菇｜藜麦饭</x:v>
      </x:c>
      <x:c r="E353" t="n">
        <x:f>'730餐菜单'!N704</x:f>
        <x:v>477</x:v>
      </x:c>
      <x:c r="F353" t="n">
        <x:f>'730餐菜单'!N705</x:f>
        <x:v>372</x:v>
      </x:c>
      <x:c r="G353" t="n">
        <x:f>E353+F353</x:f>
        <x:v>849</x:v>
      </x:c>
      <x:c r="H353" t="n">
        <x:f>'730餐菜单'!O704+'730餐菜单'!O705</x:f>
        <x:v>84.8</x:v>
      </x:c>
      <x:c r="I353" t="n">
        <x:f>'730餐菜单'!P704+'730餐菜单'!P705</x:f>
        <x:v>81.9</x:v>
      </x:c>
      <x:c r="J353" t="n">
        <x:f>'730餐菜单'!Q704+'730餐菜单'!Q705</x:f>
        <x:v>22.1</x:v>
      </x:c>
      <x:c r="K353" t="n">
        <x:f>SUM('食材明细'!F4216:F4217)+SUM('食材明细'!F4222:F4223)</x:f>
        <x:v>600</x:v>
      </x:c>
      <x:c r="L353" t="str">
        <x:v>仅午餐+晚餐；早餐、饮奶、水果、零食未计入</x:v>
      </x:c>
    </x:row>
    <x:row r="354" ht="23" customHeight="1">
      <x:c r="A354" t="n">
        <x:v>353</x:v>
      </x:c>
      <x:c r="B354" t="n">
        <x:v>51</x:v>
      </x:c>
      <x:c r="C354" t="str">
        <x:v>蒜香虾仁配秋葵杏鲍菇｜荞麦面</x:v>
      </x:c>
      <x:c r="D354" t="str">
        <x:v>无糖照烧瘦牛肉配西兰花洋葱｜乌冬面</x:v>
      </x:c>
      <x:c r="E354" t="n">
        <x:f>'730餐菜单'!N706</x:f>
        <x:v>406</x:v>
      </x:c>
      <x:c r="F354" t="n">
        <x:f>'730餐菜单'!N707</x:f>
        <x:v>486</x:v>
      </x:c>
      <x:c r="G354" t="n">
        <x:f>E354+F354</x:f>
        <x:v>892</x:v>
      </x:c>
      <x:c r="H354" t="n">
        <x:f>'730餐菜单'!O706+'730餐菜单'!O707</x:f>
        <x:v>83.6</x:v>
      </x:c>
      <x:c r="I354" t="n">
        <x:f>'730餐菜单'!P706+'730餐菜单'!P707</x:f>
        <x:v>97.6</x:v>
      </x:c>
      <x:c r="J354" t="n">
        <x:f>'730餐菜单'!Q706+'730餐菜单'!Q707</x:f>
        <x:v>21.200000000000003</x:v>
      </x:c>
      <x:c r="K354" t="n">
        <x:f>SUM('食材明细'!F4228:F4229)+SUM('食材明细'!F4234:F4235)</x:f>
        <x:v>645</x:v>
      </x:c>
      <x:c r="L354" t="str">
        <x:v>仅午餐+晚餐；早餐、饮奶、水果、零食未计入</x:v>
      </x:c>
    </x:row>
    <x:row r="355" ht="23" customHeight="1">
      <x:c r="A355" t="n">
        <x:v>354</x:v>
      </x:c>
      <x:c r="B355" t="n">
        <x:v>51</x:v>
      </x:c>
      <x:c r="C355" t="str">
        <x:v>无糖照烧瘦牛肉配彩椒洋葱｜全麦面</x:v>
      </x:c>
      <x:c r="D355" t="str">
        <x:v>黑椒鸡里脊肉配荷兰豆金针菇｜糙米饭</x:v>
      </x:c>
      <x:c r="E355" t="n">
        <x:f>'730餐菜单'!N708</x:f>
        <x:v>534</x:v>
      </x:c>
      <x:c r="F355" t="n">
        <x:f>'730餐菜单'!N709</x:f>
        <x:v>459</x:v>
      </x:c>
      <x:c r="G355" t="n">
        <x:f>E355+F355</x:f>
        <x:v>993</x:v>
      </x:c>
      <x:c r="H355" t="n">
        <x:f>'730餐菜单'!O708+'730餐菜单'!O709</x:f>
        <x:v>88.3</x:v>
      </x:c>
      <x:c r="I355" t="n">
        <x:f>'730餐菜单'!P708+'730餐菜单'!P709</x:f>
        <x:v>107</x:v>
      </x:c>
      <x:c r="J355" t="n">
        <x:f>'730餐菜单'!Q708+'730餐菜单'!Q709</x:f>
        <x:v>25.2</x:v>
      </x:c>
      <x:c r="K355" t="n">
        <x:f>SUM('食材明细'!F4240:F4241)+SUM('食材明细'!F4246:F4247)</x:f>
        <x:v>515</x:v>
      </x:c>
      <x:c r="L355" t="str">
        <x:v>仅午餐+晚餐；早餐、饮奶、水果、零食未计入</x:v>
      </x:c>
    </x:row>
    <x:row r="356" ht="23" customHeight="1">
      <x:c r="A356" t="n">
        <x:v>355</x:v>
      </x:c>
      <x:c r="B356" t="n">
        <x:v>51</x:v>
      </x:c>
      <x:c r="C356" t="str">
        <x:v>椒麻瘦牛肉配菠菜黄瓜｜土豆</x:v>
      </x:c>
      <x:c r="D356" t="str">
        <x:v>豉汁鸡蛋嫩豆腐烩芦笋彩椒｜乌冬面</x:v>
      </x:c>
      <x:c r="E356" t="n">
        <x:f>'730餐菜单'!N710</x:f>
        <x:v>433</x:v>
      </x:c>
      <x:c r="F356" t="n">
        <x:f>'730餐菜单'!N711</x:f>
        <x:v>481</x:v>
      </x:c>
      <x:c r="G356" t="n">
        <x:f>E356+F356</x:f>
        <x:v>914</x:v>
      </x:c>
      <x:c r="H356" t="n">
        <x:f>'730餐菜单'!O710+'730餐菜单'!O711</x:f>
        <x:v>71.2</x:v>
      </x:c>
      <x:c r="I356" t="n">
        <x:f>'730餐菜单'!P710+'730餐菜单'!P711</x:f>
        <x:v>82.1</x:v>
      </x:c>
      <x:c r="J356" t="n">
        <x:f>'730餐菜单'!Q710+'730餐菜单'!Q711</x:f>
        <x:v>35</x:v>
      </x:c>
      <x:c r="K356" t="n">
        <x:f>SUM('食材明细'!F4252:F4253)+SUM('食材明细'!F4258:F4259)</x:f>
        <x:v>610</x:v>
      </x:c>
      <x:c r="L356" t="str">
        <x:v>仅午餐+晚餐；早餐、饮奶、水果、零食未计入</x:v>
      </x:c>
    </x:row>
    <x:row r="357" ht="23" customHeight="1">
      <x:c r="A357" t="n">
        <x:v>356</x:v>
      </x:c>
      <x:c r="B357" t="n">
        <x:v>51</x:v>
      </x:c>
      <x:c r="C357" t="str">
        <x:v>番茄鸡里脊肉配芦笋｜杂粮饭</x:v>
      </x:c>
      <x:c r="D357" t="str">
        <x:v>菌菇北豆腐配西兰花杏鲍菇｜紫薯</x:v>
      </x:c>
      <x:c r="E357" t="n">
        <x:f>'730餐菜单'!N712</x:f>
        <x:v>444</x:v>
      </x:c>
      <x:c r="F357" t="n">
        <x:f>'730餐菜单'!N713</x:f>
        <x:v>492</x:v>
      </x:c>
      <x:c r="G357" t="n">
        <x:f>E357+F357</x:f>
        <x:v>936</x:v>
      </x:c>
      <x:c r="H357" t="n">
        <x:f>'730餐菜单'!O712+'730餐菜单'!O713</x:f>
        <x:v>84.5</x:v>
      </x:c>
      <x:c r="I357" t="n">
        <x:f>'730餐菜单'!P712+'730餐菜单'!P713</x:f>
        <x:v>95.6</x:v>
      </x:c>
      <x:c r="J357" t="n">
        <x:f>'730餐菜单'!Q712+'730餐菜单'!Q713</x:f>
        <x:v>28.4</x:v>
      </x:c>
      <x:c r="K357" t="n">
        <x:f>SUM('食材明细'!F4264:F4265)+SUM('食材明细'!F4270:F4271)</x:f>
        <x:v>615</x:v>
      </x:c>
      <x:c r="L357" t="str">
        <x:v>仅午餐+晚餐；早餐、饮奶、水果、零食未计入</x:v>
      </x:c>
    </x:row>
    <x:row r="358" ht="23" customHeight="1">
      <x:c r="A358" t="n">
        <x:v>357</x:v>
      </x:c>
      <x:c r="B358" t="n">
        <x:v>51</x:v>
      </x:c>
      <x:c r="C358" t="str">
        <x:v>剁椒三文鱼配西兰花玉米笋｜白米饭</x:v>
      </x:c>
      <x:c r="D358" t="str">
        <x:v>柠檬虾仁配彩椒黄瓜｜全麦面</x:v>
      </x:c>
      <x:c r="E358" t="n">
        <x:f>'730餐菜单'!N714</x:f>
        <x:v>536</x:v>
      </x:c>
      <x:c r="F358" t="n">
        <x:f>'730餐菜单'!N715</x:f>
        <x:v>365</x:v>
      </x:c>
      <x:c r="G358" t="n">
        <x:f>E358+F358</x:f>
        <x:v>901</x:v>
      </x:c>
      <x:c r="H358" t="n">
        <x:f>'730餐菜单'!O714+'730餐菜单'!O715</x:f>
        <x:v>78.4</x:v>
      </x:c>
      <x:c r="I358" t="n">
        <x:f>'730餐菜单'!P714+'730餐菜单'!P715</x:f>
        <x:v>89.7</x:v>
      </x:c>
      <x:c r="J358" t="n">
        <x:f>'730餐菜单'!Q714+'730餐菜单'!Q715</x:f>
        <x:v>27.200000000000003</x:v>
      </x:c>
      <x:c r="K358" t="n">
        <x:f>SUM('食材明细'!F4276:F4277)+SUM('食材明细'!F4282:F4283)</x:f>
        <x:v>610</x:v>
      </x:c>
      <x:c r="L358" t="str">
        <x:v>仅午餐+晚餐；早餐、饮奶、水果、零食未计入</x:v>
      </x:c>
    </x:row>
    <x:row r="359" ht="23" customHeight="1">
      <x:c r="A359" t="n">
        <x:v>358</x:v>
      </x:c>
      <x:c r="B359" t="n">
        <x:v>52</x:v>
      </x:c>
      <x:c r="C359" t="str">
        <x:v>酸汤虾仁配花菜绿豆芽｜燕麦饭</x:v>
      </x:c>
      <x:c r="D359" t="str">
        <x:v>清汤巴沙鱼配花菜口蘑｜红薯</x:v>
      </x:c>
      <x:c r="E359" t="n">
        <x:f>'730餐菜单'!N716</x:f>
        <x:v>379</x:v>
      </x:c>
      <x:c r="F359" t="n">
        <x:f>'730餐菜单'!N717</x:f>
        <x:v>418</x:v>
      </x:c>
      <x:c r="G359" t="n">
        <x:f>E359+F359</x:f>
        <x:v>797</x:v>
      </x:c>
      <x:c r="H359" t="n">
        <x:f>'730餐菜单'!O716+'730餐菜单'!O717</x:f>
        <x:v>85.6</x:v>
      </x:c>
      <x:c r="I359" t="n">
        <x:f>'730餐菜单'!P716+'730餐菜单'!P717</x:f>
        <x:v>79.69999999999999</x:v>
      </x:c>
      <x:c r="J359" t="n">
        <x:f>'730餐菜单'!Q716+'730餐菜单'!Q717</x:f>
        <x:v>19.299999999999997</x:v>
      </x:c>
      <x:c r="K359" t="n">
        <x:f>SUM('食材明细'!F4288:F4289)+SUM('食材明细'!F4294:F4295)</x:f>
        <x:v>630</x:v>
      </x:c>
      <x:c r="L359" t="str">
        <x:v>仅午餐+晚餐；早餐、饮奶、水果、零食未计入</x:v>
      </x:c>
    </x:row>
    <x:row r="360" ht="23" customHeight="1">
      <x:c r="A360" t="n">
        <x:v>359</x:v>
      </x:c>
      <x:c r="B360" t="n">
        <x:v>52</x:v>
      </x:c>
      <x:c r="C360" t="str">
        <x:v>蒜香虾仁配黄瓜芦笋｜白米饭</x:v>
      </x:c>
      <x:c r="D360" t="str">
        <x:v>番茄嫩豆腐鸡蛋烩番茄冬瓜｜杂粮饭</x:v>
      </x:c>
      <x:c r="E360" t="n">
        <x:f>'730餐菜单'!N718</x:f>
        <x:v>396</x:v>
      </x:c>
      <x:c r="F360" t="n">
        <x:f>'730餐菜单'!N719</x:f>
        <x:v>452</x:v>
      </x:c>
      <x:c r="G360" t="n">
        <x:f>E360+F360</x:f>
        <x:v>848</x:v>
      </x:c>
      <x:c r="H360" t="n">
        <x:f>'730餐菜单'!O718+'730餐菜单'!O719</x:f>
        <x:v>69</x:v>
      </x:c>
      <x:c r="I360" t="n">
        <x:f>'730餐菜单'!P718+'730餐菜单'!P719</x:f>
        <x:v>89.19999999999999</x:v>
      </x:c>
      <x:c r="J360" t="n">
        <x:f>'730餐菜单'!Q718+'730餐菜单'!Q719</x:f>
        <x:v>25</x:v>
      </x:c>
      <x:c r="K360" t="n">
        <x:f>SUM('食材明细'!F4300:F4301)+SUM('食材明细'!F4306:F4307)</x:f>
        <x:v>580</x:v>
      </x:c>
      <x:c r="L360" t="str">
        <x:v>仅午餐+晚餐；早餐、饮奶、水果、零食未计入</x:v>
      </x:c>
    </x:row>
    <x:row r="361" ht="23" customHeight="1">
      <x:c r="A361" t="n">
        <x:v>360</x:v>
      </x:c>
      <x:c r="B361" t="n">
        <x:v>52</x:v>
      </x:c>
      <x:c r="C361" t="str">
        <x:v>柠檬去皮鸡腿肉配冬瓜荷兰豆｜红薯</x:v>
      </x:c>
      <x:c r="D361" t="str">
        <x:v>花椒牛里脊配黄瓜泡发木耳｜藜麦饭</x:v>
      </x:c>
      <x:c r="E361" t="n">
        <x:f>'730餐菜单'!N720</x:f>
        <x:v>427</x:v>
      </x:c>
      <x:c r="F361" t="n">
        <x:f>'730餐菜单'!N721</x:f>
        <x:v>478</x:v>
      </x:c>
      <x:c r="G361" t="n">
        <x:f>E361+F361</x:f>
        <x:v>905</x:v>
      </x:c>
      <x:c r="H361" t="n">
        <x:f>'730餐菜单'!O720+'730餐菜单'!O721</x:f>
        <x:v>85</x:v>
      </x:c>
      <x:c r="I361" t="n">
        <x:f>'730餐菜单'!P720+'730餐菜单'!P721</x:f>
        <x:v>76.2</x:v>
      </x:c>
      <x:c r="J361" t="n">
        <x:f>'730餐菜单'!Q720+'730餐菜单'!Q721</x:f>
        <x:v>30.4</x:v>
      </x:c>
      <x:c r="K361" t="n">
        <x:f>SUM('食材明细'!F4312:F4313)+SUM('食材明细'!F4318:F4319)</x:f>
        <x:v>570</x:v>
      </x:c>
      <x:c r="L361" t="str">
        <x:v>仅午餐+晚餐；早餐、饮奶、水果、零食未计入</x:v>
      </x:c>
    </x:row>
    <x:row r="362" ht="23" customHeight="1">
      <x:c r="A362" t="n">
        <x:v>361</x:v>
      </x:c>
      <x:c r="B362" t="n">
        <x:v>52</x:v>
      </x:c>
      <x:c r="C362" t="str">
        <x:v>番茄去皮鸡腿肉配西兰花｜荞麦饭</x:v>
      </x:c>
      <x:c r="D362" t="str">
        <x:v>咖喱牛里脊配西葫芦冬瓜｜荞麦饭</x:v>
      </x:c>
      <x:c r="E362" t="n">
        <x:f>'730餐菜单'!N722</x:f>
        <x:v>530</x:v>
      </x:c>
      <x:c r="F362" t="n">
        <x:f>'730餐菜单'!N723</x:f>
        <x:v>396</x:v>
      </x:c>
      <x:c r="G362" t="n">
        <x:f>E362+F362</x:f>
        <x:v>926</x:v>
      </x:c>
      <x:c r="H362" t="n">
        <x:f>'730餐菜单'!O722+'730餐菜单'!O723</x:f>
        <x:v>83.9</x:v>
      </x:c>
      <x:c r="I362" t="n">
        <x:f>'730餐菜单'!P722+'730餐菜单'!P723</x:f>
        <x:v>83.5</x:v>
      </x:c>
      <x:c r="J362" t="n">
        <x:f>'730餐菜单'!Q722+'730餐菜单'!Q723</x:f>
        <x:v>30.799999999999997</x:v>
      </x:c>
      <x:c r="K362" t="n">
        <x:f>SUM('食材明细'!F4324:F4325)+SUM('食材明细'!F4330:F4331)</x:f>
        <x:v>555</x:v>
      </x:c>
      <x:c r="L362" t="str">
        <x:v>仅午餐+晚餐；早餐、饮奶、水果、零食未计入</x:v>
      </x:c>
    </x:row>
    <x:row r="363" ht="23" customHeight="1">
      <x:c r="A363" t="n">
        <x:v>362</x:v>
      </x:c>
      <x:c r="B363" t="n">
        <x:v>52</x:v>
      </x:c>
      <x:c r="C363" t="str">
        <x:v>柠檬鱿鱼配四季豆小白菜｜玉米</x:v>
      </x:c>
      <x:c r="D363" t="str">
        <x:v>香醋鸡蛋嫩豆腐烩芦笋娃娃菜｜藜麦饭</x:v>
      </x:c>
      <x:c r="E363" t="n">
        <x:f>'730餐菜单'!N724</x:f>
        <x:v>434</x:v>
      </x:c>
      <x:c r="F363" t="n">
        <x:f>'730餐菜单'!N725</x:f>
        <x:v>466</x:v>
      </x:c>
      <x:c r="G363" t="n">
        <x:f>E363+F363</x:f>
        <x:v>900</x:v>
      </x:c>
      <x:c r="H363" t="n">
        <x:f>'730餐菜单'!O724+'730餐菜单'!O725</x:f>
        <x:v>72.5</x:v>
      </x:c>
      <x:c r="I363" t="n">
        <x:f>'730餐菜单'!P724+'730餐菜单'!P725</x:f>
        <x:v>85</x:v>
      </x:c>
      <x:c r="J363" t="n">
        <x:f>'730餐菜单'!Q724+'730餐菜单'!Q725</x:f>
        <x:v>32.6</x:v>
      </x:c>
      <x:c r="K363" t="n">
        <x:f>SUM('食材明细'!F4336:F4337)+SUM('食材明细'!F4342:F4343)</x:f>
        <x:v>550</x:v>
      </x:c>
      <x:c r="L363" t="str">
        <x:v>仅午餐+晚餐；早餐、饮奶、水果、零食未计入</x:v>
      </x:c>
    </x:row>
    <x:row r="364" ht="23" customHeight="1">
      <x:c r="A364" t="n">
        <x:v>363</x:v>
      </x:c>
      <x:c r="B364" t="n">
        <x:v>52</x:v>
      </x:c>
      <x:c r="C364" t="str">
        <x:v>番茄北豆腐熟毛豆仁烩番茄玉米笋｜土豆</x:v>
      </x:c>
      <x:c r="D364" t="str">
        <x:v>奥尔良风味鸡里脊肉配西兰花洋葱｜荞麦饭</x:v>
      </x:c>
      <x:c r="E364" t="n">
        <x:f>'730餐菜单'!N726</x:f>
        <x:v>544</x:v>
      </x:c>
      <x:c r="F364" t="n">
        <x:f>'730餐菜单'!N727</x:f>
        <x:v>520</x:v>
      </x:c>
      <x:c r="G364" t="n">
        <x:f>E364+F364</x:f>
        <x:v>1064</x:v>
      </x:c>
      <x:c r="H364" t="n">
        <x:f>'730餐菜单'!O726+'730餐菜单'!O727</x:f>
        <x:v>99.8</x:v>
      </x:c>
      <x:c r="I364" t="n">
        <x:f>'730餐菜单'!P726+'730餐菜单'!P727</x:f>
        <x:v>90.3</x:v>
      </x:c>
      <x:c r="J364" t="n">
        <x:f>'730餐菜单'!Q726+'730餐菜单'!Q727</x:f>
        <x:v>37.6</x:v>
      </x:c>
      <x:c r="K364" t="n">
        <x:f>SUM('食材明细'!F4348:F4349)+SUM('食材明细'!F4354:F4355)</x:f>
        <x:v>610</x:v>
      </x:c>
      <x:c r="L364" t="str">
        <x:v>仅午餐+晚餐；早餐、饮奶、水果、零食未计入</x:v>
      </x:c>
    </x:row>
    <x:row r="365" ht="23" customHeight="1">
      <x:c r="A365" t="n">
        <x:v>364</x:v>
      </x:c>
      <x:c r="B365" t="n">
        <x:v>52</x:v>
      </x:c>
      <x:c r="C365" t="str">
        <x:v>菌菇去皮鸡腿肉配紫甘蓝杏鲍菇｜荞麦饭</x:v>
      </x:c>
      <x:c r="D365" t="str">
        <x:v>葱姜清蒸牛里脊配茼蒿洋葱｜荞麦面</x:v>
      </x:c>
      <x:c r="E365" t="n">
        <x:f>'730餐菜单'!N728</x:f>
        <x:v>548</x:v>
      </x:c>
      <x:c r="F365" t="n">
        <x:f>'730餐菜单'!N729</x:f>
        <x:v>514</x:v>
      </x:c>
      <x:c r="G365" t="n">
        <x:f>E365+F365</x:f>
        <x:v>1062</x:v>
      </x:c>
      <x:c r="H365" t="n">
        <x:f>'730餐菜单'!O728+'730餐菜单'!O729</x:f>
        <x:v>95.6</x:v>
      </x:c>
      <x:c r="I365" t="n">
        <x:f>'730餐菜单'!P728+'730餐菜单'!P729</x:f>
        <x:v>100.1</x:v>
      </x:c>
      <x:c r="J365" t="n">
        <x:f>'730餐菜单'!Q728+'730餐菜单'!Q729</x:f>
        <x:v>33.400000000000006</x:v>
      </x:c>
      <x:c r="K365" t="n">
        <x:f>SUM('食材明细'!F4360:F4361)+SUM('食材明细'!F4366:F4367)</x:f>
        <x:v>630</x:v>
      </x:c>
      <x:c r="L365" t="str">
        <x:v>仅午餐+晚餐；早餐、饮奶、水果、零食未计入</x:v>
      </x:c>
    </x:row>
    <x:row r="366" ht="23" customHeight="1">
      <x:c r="A366" t="n">
        <x:v>365</x:v>
      </x:c>
      <x:c r="B366" t="n">
        <x:v>53</x:v>
      </x:c>
      <x:c r="C366" t="str">
        <x:v>清汤虾仁配冬瓜紫甘蓝｜糙米饭</x:v>
      </x:c>
      <x:c r="D366" t="str">
        <x:v>椒麻三文鱼配西葫芦荷兰豆｜糙米饭</x:v>
      </x:c>
      <x:c r="E366" t="n">
        <x:f>'730餐菜单'!N730</x:f>
        <x:v>428</x:v>
      </x:c>
      <x:c r="F366" t="n">
        <x:f>'730餐菜单'!N731</x:f>
        <x:v>539</x:v>
      </x:c>
      <x:c r="G366" t="n">
        <x:f>E366+F366</x:f>
        <x:v>967</x:v>
      </x:c>
      <x:c r="H366" t="n">
        <x:f>'730餐菜单'!O730+'730餐菜单'!O731</x:f>
        <x:v>74.2</x:v>
      </x:c>
      <x:c r="I366" t="n">
        <x:f>'730餐菜单'!P730+'730餐菜单'!P731</x:f>
        <x:v>91</x:v>
      </x:c>
      <x:c r="J366" t="n">
        <x:f>'730餐菜单'!Q730+'730餐菜单'!Q731</x:f>
        <x:v>34.4</x:v>
      </x:c>
      <x:c r="K366" t="n">
        <x:f>SUM('食材明细'!F4372:F4373)+SUM('食材明细'!F4378:F4379)</x:f>
        <x:v>600</x:v>
      </x:c>
      <x:c r="L366" t="str">
        <x:v>仅午餐+晚餐；早餐、饮奶、水果、零食未计入</x:v>
      </x:c>
    </x:row>
  </x:sheetData>
  <x:pageMargins left="0.7" right="0.7" top="0.75" bottom="0.75" header="0.3" footer="0.3"/>
  <x:tableParts count="1">
    <x:tablePart xmlns:r="http://schemas.openxmlformats.org/officeDocument/2006/relationships" r:id="R4931485e5cb04682"/>
  </x:tableParts>
</x:worksheet>
</file>

<file path=xl/worksheets/sheet4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0" hidden="0" customWidth="1"/>
    <x:col min="4" max="4" width="10" hidden="0" customWidth="1"/>
    <x:col min="5" max="5" width="52" hidden="0" customWidth="1"/>
    <x:col min="6" max="6" width="18" hidden="0" customWidth="1"/>
    <x:col min="7" max="7" width="17" hidden="0" customWidth="1"/>
    <x:col min="8" max="8" width="72" hidden="0" customWidth="1"/>
    <x:col min="9" max="9" width="75" hidden="0" customWidth="1"/>
  </x:cols>
  <x:sheetData>
    <x:row r="1" ht="29" customHeight="1">
      <x:c r="A1" s="5" t="str">
        <x:v>精选序号</x:v>
      </x:c>
      <x:c r="B1" s="5" t="str">
        <x:v>菜单ID</x:v>
      </x:c>
      <x:c r="C1" s="5" t="str">
        <x:v>第几天</x:v>
      </x:c>
      <x:c r="D1" s="5" t="str">
        <x:v>餐次</x:v>
      </x:c>
      <x:c r="E1" s="5" t="str">
        <x:v>菜名</x:v>
      </x:c>
      <x:c r="F1" s="5" t="str">
        <x:v>估算千卡</x:v>
      </x:c>
      <x:c r="G1" s="5" t="str">
        <x:v>蛋白质 g</x:v>
      </x:c>
      <x:c r="H1" s="5" t="str">
        <x:v>用料</x:v>
      </x:c>
      <x:c r="I1" s="5" t="str">
        <x:v>做法</x:v>
      </x:c>
    </x:row>
    <x:row r="2" ht="36" customHeight="1">
      <x:c r="A2" t="n">
        <x:v>1</x:v>
      </x:c>
      <x:c r="B2" t="n">
        <x:v>1</x:v>
      </x:c>
      <x:c r="C2" t="n">
        <x:v>1</x:v>
      </x:c>
      <x:c r="D2" t="str">
        <x:v>午餐</x:v>
      </x:c>
      <x:c r="E2" s="10" t="str">
        <x:v>西兰花牛肉口蘑｜糙米饭</x:v>
      </x:c>
      <x:c r="F2" t="n">
        <x:f>'730餐菜单'!N2</x:f>
        <x:v>505</x:v>
      </x:c>
      <x:c r="G2" t="n">
        <x:f>'730餐菜单'!O2</x:f>
        <x:v>49.3</x:v>
      </x:c>
      <x:c r="H2" s="10" t="str">
        <x:f>'730餐菜单'!G2</x:f>
        <x:v>瘦牛肉175g、西兰花180g、口蘑130g、糙米饭135g、烹调油5g</x:v>
      </x:c>
      <x:c r="I2" s="10" t="str">
        <x:f>'730餐菜单'!L2</x:f>
        <x:v>锅加少量水和油，先把主食材煮熟，再烩两种蔬菜，收汁撒黑椒；糙米饭另煮熟或蒸好后同餐食用。</x:v>
      </x:c>
    </x:row>
    <x:row r="3" ht="36" customHeight="1">
      <x:c r="A3" t="n">
        <x:v>2</x:v>
      </x:c>
      <x:c r="B3" t="n">
        <x:v>2</x:v>
      </x:c>
      <x:c r="C3" t="n">
        <x:v>1</x:v>
      </x:c>
      <x:c r="D3" t="str">
        <x:v>晚餐</x:v>
      </x:c>
      <x:c r="E3" s="10" t="str">
        <x:v>无糖奥尔良鸡排口蘑西兰花｜玉米</x:v>
      </x:c>
      <x:c r="F3" t="n">
        <x:f>'730餐菜单'!N3</x:f>
        <x:v>451</x:v>
      </x:c>
      <x:c r="G3" t="n">
        <x:f>'730餐菜单'!O3</x:f>
        <x:v>54.5</x:v>
      </x:c>
      <x:c r="H3" s="10" t="str">
        <x:f>'730餐菜单'!G3</x:f>
        <x:v>鸡胸肉180g、西兰花165g、口蘑135g、玉米125g、烹调油4g</x:v>
      </x:c>
      <x:c r="I3" s="10" t="str">
        <x:f>'730餐菜单'!L3</x:f>
        <x:v>鸡胸肉拍薄成鸡排；用无糖香辛料腌肉15分钟，蒸或少油焖熟，配菜煮熟；玉米另煮熟或蒸好后同餐食用。</x:v>
      </x:c>
    </x:row>
    <x:row r="4" ht="36" customHeight="1">
      <x:c r="A4" t="n">
        <x:v>3</x:v>
      </x:c>
      <x:c r="B4" t="n">
        <x:v>3</x:v>
      </x:c>
      <x:c r="C4" t="n">
        <x:v>2</x:v>
      </x:c>
      <x:c r="D4" t="str">
        <x:v>午餐</x:v>
      </x:c>
      <x:c r="E4" s="10" t="str">
        <x:v>洋葱鸡腿香菇焖饭｜燕麦饭</x:v>
      </x:c>
      <x:c r="F4" t="n">
        <x:f>'730餐菜单'!N4</x:f>
        <x:v>517</x:v>
      </x:c>
      <x:c r="G4" t="n">
        <x:f>'730餐菜单'!O4</x:f>
        <x:v>45.1</x:v>
      </x:c>
      <x:c r="H4" s="10" t="str">
        <x:f>'730餐菜单'!G4</x:f>
        <x:v>去皮鸡腿肉180g、洋葱150g、香菇140g、燕麦饭135g、烹调油4g</x:v>
      </x:c>
      <x:c r="I4" s="10" t="str">
        <x:f>'730餐菜单'!L4</x:f>
        <x:v>先去皮去骨并切薄，充分加热；食材与菌菇加少量水焖熟，出锅前加少量低盐生抽；燕麦饭另煮熟或蒸好后同餐食用。</x:v>
      </x:c>
    </x:row>
    <x:row r="5" ht="36" customHeight="1">
      <x:c r="A5" t="n">
        <x:v>4</x:v>
      </x:c>
      <x:c r="B5" t="n">
        <x:v>4</x:v>
      </x:c>
      <x:c r="C5" t="n">
        <x:v>2</x:v>
      </x:c>
      <x:c r="D5" t="str">
        <x:v>晚餐</x:v>
      </x:c>
      <x:c r="E5" s="10" t="str">
        <x:v>彩椒牛肉西兰花｜藜麦饭</x:v>
      </x:c>
      <x:c r="F5" t="n">
        <x:f>'730餐菜单'!N5</x:f>
        <x:v>540</x:v>
      </x:c>
      <x:c r="G5" t="n">
        <x:f>'730餐菜单'!O5</x:f>
        <x:v>49.2</x:v>
      </x:c>
      <x:c r="H5" s="10" t="str">
        <x:f>'730餐菜单'!G5</x:f>
        <x:v>牛里脊175g、彩椒155g、西兰花170g、藜麦饭140g、烹调油5g</x:v>
      </x:c>
      <x:c r="I5" s="10" t="str">
        <x:f>'730餐菜单'!L5</x:f>
        <x:v>锅加少量水和油，先把主食材煮熟，再烩两种蔬菜，收汁撒黑椒；藜麦饭另煮熟或蒸好后同餐食用。</x:v>
      </x:c>
    </x:row>
    <x:row r="6" ht="36" customHeight="1">
      <x:c r="A6" t="n">
        <x:v>5</x:v>
      </x:c>
      <x:c r="B6" t="n">
        <x:v>5</x:v>
      </x:c>
      <x:c r="C6" t="n">
        <x:v>3</x:v>
      </x:c>
      <x:c r="D6" t="str">
        <x:v>午餐</x:v>
      </x:c>
      <x:c r="E6" s="10" t="str">
        <x:v>无糖番茄鸡蛋牛肉烩杂粮饭</x:v>
      </x:c>
      <x:c r="F6" t="n">
        <x:f>'730餐菜单'!N6</x:f>
        <x:v>568</x:v>
      </x:c>
      <x:c r="G6" t="n">
        <x:f>'730餐菜单'!O6</x:f>
        <x:v>44.1</x:v>
      </x:c>
      <x:c r="H6" s="10" t="str">
        <x:f>'730餐菜单'!G6</x:f>
        <x:v>瘦牛肉135g、鸡蛋60g、番茄190g、洋葱115g、杂粮饭160g、烹调油5g</x:v>
      </x:c>
      <x:c r="I6" s="10" t="str">
        <x:f>'730餐菜单'!L6</x:f>
        <x:v>番茄出汁后加入主食材和少量水，轻炖至熟，再放配菜；杂粮饭另煮熟或蒸好后同餐食用。</x:v>
      </x:c>
    </x:row>
    <x:row r="7" ht="36" customHeight="1">
      <x:c r="A7" t="n">
        <x:v>6</x:v>
      </x:c>
      <x:c r="B7" t="n">
        <x:v>6</x:v>
      </x:c>
      <x:c r="C7" t="n">
        <x:v>3</x:v>
      </x:c>
      <x:c r="D7" t="str">
        <x:v>晚餐</x:v>
      </x:c>
      <x:c r="E7" s="10" t="str">
        <x:v>无糖照烧肥牛豆腐乌冬面</x:v>
      </x:c>
      <x:c r="F7" t="n">
        <x:f>'730餐菜单'!N7</x:f>
        <x:v>588</x:v>
      </x:c>
      <x:c r="G7" t="n">
        <x:f>'730餐菜单'!O7</x:f>
        <x:v>36.8</x:v>
      </x:c>
      <x:c r="H7" s="10" t="str">
        <x:f>'730餐菜单'!G7</x:f>
        <x:v>肥牛卷95g、北豆腐115g、小白菜180g、口蘑125g、乌冬面135g、烹调油3g</x:v>
      </x:c>
      <x:c r="I7" s="10" t="str">
        <x:f>'730餐菜单'!L7</x:f>
        <x:v>肥牛先汆水撇去浮油；生抽与米醋调汁，不加糖；肉菜加水煮熟后略收汁；面/魔芋丝煮熟后与菜合碗。</x:v>
      </x:c>
    </x:row>
    <x:row r="8" ht="36" customHeight="1">
      <x:c r="A8" t="n">
        <x:v>7</x:v>
      </x:c>
      <x:c r="B8" t="n">
        <x:v>7</x:v>
      </x:c>
      <x:c r="C8" t="n">
        <x:v>4</x:v>
      </x:c>
      <x:c r="D8" t="str">
        <x:v>午餐</x:v>
      </x:c>
      <x:c r="E8" s="10" t="str">
        <x:v>什锦火腿鸡蛋彩椒口蘑蒸碗｜糙米饭</x:v>
      </x:c>
      <x:c r="F8" t="n">
        <x:f>'730餐菜单'!N8</x:f>
        <x:v>460</x:v>
      </x:c>
      <x:c r="G8" t="n">
        <x:f>'730餐菜单'!O8</x:f>
        <x:v>29.3</x:v>
      </x:c>
      <x:c r="H8" s="10" t="str">
        <x:f>'730餐菜单'!G8</x:f>
        <x:v>低盐火腿40g、鸡蛋110g、彩椒160g、口蘑150g、糙米饭120g、烹调油3g</x:v>
      </x:c>
      <x:c r="I8" s="10" t="str">
        <x:f>'730餐菜单'!L8</x:f>
        <x:v>火腿仅用于提味，另用蛋或豆腐提供蛋白；切片腌5分钟；肉和配菜入盘，蒸至熟透；淋葱姜汁；糙米饭另煮熟或蒸好后同餐食用。</x:v>
      </x:c>
    </x:row>
    <x:row r="9" ht="36" customHeight="1">
      <x:c r="A9" t="n">
        <x:v>8</x:v>
      </x:c>
      <x:c r="B9" t="n">
        <x:v>8</x:v>
      </x:c>
      <x:c r="C9" t="n">
        <x:v>4</x:v>
      </x:c>
      <x:c r="D9" t="str">
        <x:v>晚餐</x:v>
      </x:c>
      <x:c r="E9" s="10" t="str">
        <x:v>豉汁清蒸鲈鱼娃娃菜香菇｜紫薯</x:v>
      </x:c>
      <x:c r="F9" t="n">
        <x:f>'730餐菜单'!N9</x:f>
        <x:v>427</x:v>
      </x:c>
      <x:c r="G9" t="n">
        <x:f>'730餐菜单'!O9</x:f>
        <x:v>45.2</x:v>
      </x:c>
      <x:c r="H9" s="10" t="str">
        <x:f>'730餐菜单'!G9</x:f>
        <x:v>鲈鱼200g、娃娃菜165g、香菇140g、紫薯120g、烹调油3g</x:v>
      </x:c>
      <x:c r="I9" s="10" t="str">
        <x:f>'730餐菜单'!L9</x:f>
        <x:v>鱼肉去刺，彻底做熟；豆豉冲洗剁碎，与姜末拌主食材后蒸熟；蔬菜另煮；紫薯另煮熟或蒸好后同餐食用。</x:v>
      </x:c>
    </x:row>
    <x:row r="10" ht="36" customHeight="1">
      <x:c r="A10" t="n">
        <x:v>9</x:v>
      </x:c>
      <x:c r="B10" t="n">
        <x:v>9</x:v>
      </x:c>
      <x:c r="C10" t="n">
        <x:v>5</x:v>
      </x:c>
      <x:c r="D10" t="str">
        <x:v>午餐</x:v>
      </x:c>
      <x:c r="E10" s="10" t="str">
        <x:v>番茄虾仁嫩豆腐小白菜汤｜玉米</x:v>
      </x:c>
      <x:c r="F10" t="n">
        <x:f>'730餐菜单'!N10</x:f>
        <x:v>451</x:v>
      </x:c>
      <x:c r="G10" t="n">
        <x:f>'730餐菜单'!O10</x:f>
        <x:v>46.7</x:v>
      </x:c>
      <x:c r="H10" s="10" t="str">
        <x:f>'730餐菜单'!G10</x:f>
        <x:v>虾仁160g、嫩豆腐160g、番茄170g、小白菜160g、玉米125g、烹调油3g</x:v>
      </x:c>
      <x:c r="I10" s="10" t="str">
        <x:f>'730餐菜单'!L10</x:f>
        <x:v>番茄出汁后加入主食材和少量水，轻炖至熟，再放配菜；玉米另煮熟或蒸好后同餐食用。</x:v>
      </x:c>
    </x:row>
    <x:row r="11" ht="36" customHeight="1">
      <x:c r="A11" t="n">
        <x:v>10</x:v>
      </x:c>
      <x:c r="B11" t="n">
        <x:v>10</x:v>
      </x:c>
      <x:c r="C11" t="n">
        <x:v>5</x:v>
      </x:c>
      <x:c r="D11" t="str">
        <x:v>晚餐</x:v>
      </x:c>
      <x:c r="E11" s="10" t="str">
        <x:v>蒜香鸡丝黄瓜木耳｜杂粮饭</x:v>
      </x:c>
      <x:c r="F11" t="n">
        <x:f>'730餐菜单'!N11</x:f>
        <x:v>433</x:v>
      </x:c>
      <x:c r="G11" t="n">
        <x:f>'730餐菜单'!O11</x:f>
        <x:v>46.2</x:v>
      </x:c>
      <x:c r="H11" s="10" t="str">
        <x:f>'730餐菜单'!G11</x:f>
        <x:v>鸡胸肉170g、黄瓜160g、泡发木耳150g、杂粮饭120g、烹调油5g</x:v>
      </x:c>
      <x:c r="I11" s="10" t="str">
        <x:f>'730餐菜单'!L11</x:f>
        <x:v>食材分别煮至熟，淋香醋蒜汁，拌匀即食；杂粮饭另煮熟或蒸好后同餐食用。</x:v>
      </x:c>
    </x:row>
    <x:row r="12" ht="36" customHeight="1">
      <x:c r="A12" t="n">
        <x:v>11</x:v>
      </x:c>
      <x:c r="B12" t="n">
        <x:v>11</x:v>
      </x:c>
      <x:c r="C12" t="n">
        <x:v>6</x:v>
      </x:c>
      <x:c r="D12" t="str">
        <x:v>午餐</x:v>
      </x:c>
      <x:c r="E12" s="10" t="str">
        <x:v>清蒸鳕鱼西兰花口蘑｜紫薯</x:v>
      </x:c>
      <x:c r="F12" t="n">
        <x:f>'730餐菜单'!N12</x:f>
        <x:v>440</x:v>
      </x:c>
      <x:c r="G12" t="n">
        <x:f>'730餐菜单'!O12</x:f>
        <x:v>49.9</x:v>
      </x:c>
      <x:c r="H12" s="10" t="str">
        <x:f>'730餐菜单'!G12</x:f>
        <x:v>鳕鱼210g、西兰花190g、口蘑150g、紫薯135g、烹调油4g</x:v>
      </x:c>
      <x:c r="I12" s="10" t="str">
        <x:f>'730餐菜单'!L12</x:f>
        <x:v>鱼肉去刺，彻底做熟；食材切块，撒蒜末；上锅蒸熟，蔬菜另焯后拌匀；紫薯另煮熟或蒸好后同餐食用。</x:v>
      </x:c>
    </x:row>
    <x:row r="13" ht="36" customHeight="1">
      <x:c r="A13" t="n">
        <x:v>12</x:v>
      </x:c>
      <x:c r="B13" t="n">
        <x:v>12</x:v>
      </x:c>
      <x:c r="C13" t="n">
        <x:v>6</x:v>
      </x:c>
      <x:c r="D13" t="str">
        <x:v>晚餐</x:v>
      </x:c>
      <x:c r="E13" s="10" t="str">
        <x:v>丝瓜鸡蛋虾仁蒸碗｜荞麦饭</x:v>
      </x:c>
      <x:c r="F13" t="n">
        <x:f>'730餐菜单'!N13</x:f>
        <x:v>495</x:v>
      </x:c>
      <x:c r="G13" t="n">
        <x:f>'730餐菜单'!O13</x:f>
        <x:v>41</x:v>
      </x:c>
      <x:c r="H13" s="10" t="str">
        <x:f>'730餐菜单'!G13</x:f>
        <x:v>鸡蛋115g、虾仁90g、丝瓜170g、香菇130g、荞麦饭130g、烹调油3g</x:v>
      </x:c>
      <x:c r="I13" s="10" t="str">
        <x:f>'730餐菜单'!L13</x:f>
        <x:v>鸡蛋先打散成蛋液；切片腌5分钟；肉和配菜入盘，蒸至熟透；淋葱姜汁；荞麦饭另煮熟或蒸好后同餐食用。</x:v>
      </x:c>
    </x:row>
    <x:row r="14" ht="36" customHeight="1">
      <x:c r="A14" t="n">
        <x:v>13</x:v>
      </x:c>
      <x:c r="B14" t="n">
        <x:v>519</x:v>
      </x:c>
      <x:c r="C14" t="n">
        <x:v>260</x:v>
      </x:c>
      <x:c r="D14" t="str">
        <x:v>午餐</x:v>
      </x:c>
      <x:c r="E14" s="10" t="str">
        <x:v>葱姜清蒸嫩豆腐熟毛豆仁烩荷兰豆绿豆芽｜荞麦面</x:v>
      </x:c>
      <x:c r="F14" t="n">
        <x:f>'730餐菜单'!N520</x:f>
        <x:v>465</x:v>
      </x:c>
      <x:c r="G14" t="n">
        <x:f>'730餐菜单'!O520</x:f>
        <x:v>32.1</x:v>
      </x:c>
      <x:c r="H14" s="10" t="str">
        <x:f>'730餐菜单'!G520</x:f>
        <x:v>嫩豆腐260g、熟毛豆仁50g、荷兰豆160g、绿豆芽140g、荞麦面110g、烹调油4g</x:v>
      </x:c>
      <x:c r="I14" s="10" t="str">
        <x:f>'730餐菜单'!L520</x:f>
        <x:v>切片腌5分钟；肉和配菜入盘，蒸至熟透；淋葱姜汁；面/魔芋丝煮熟后与菜合碗。</x:v>
      </x:c>
    </x:row>
    <x:row r="15" ht="36" customHeight="1">
      <x:c r="A15" t="n">
        <x:v>14</x:v>
      </x:c>
      <x:c r="B15" t="n">
        <x:v>659</x:v>
      </x:c>
      <x:c r="C15" t="n">
        <x:v>330</x:v>
      </x:c>
      <x:c r="D15" t="str">
        <x:v>午餐</x:v>
      </x:c>
      <x:c r="E15" s="10" t="str">
        <x:v>番茄巴沙鱼配金针菇｜糙米饭</x:v>
      </x:c>
      <x:c r="F15" t="n">
        <x:f>'730餐菜单'!N660</x:f>
        <x:v>463</x:v>
      </x:c>
      <x:c r="G15" t="n">
        <x:f>'730餐菜单'!O660</x:f>
        <x:v>42.1</x:v>
      </x:c>
      <x:c r="H15" s="10" t="str">
        <x:f>'730餐菜单'!G660</x:f>
        <x:v>巴沙鱼200g、番茄175g、金针菇110g、糙米饭150g、烹调油5g</x:v>
      </x:c>
      <x:c r="I15" s="10" t="str">
        <x:f>'730餐菜单'!L660</x:f>
        <x:v>鱼肉去刺，彻底做熟；番茄出汁后加入主食材和少量水，轻炖至熟，再放配菜；糙米饭另煮熟或蒸好后同餐食用。</x:v>
      </x:c>
    </x:row>
    <x:row r="16" ht="36" customHeight="1">
      <x:c r="A16" t="n">
        <x:v>15</x:v>
      </x:c>
      <x:c r="B16" t="n">
        <x:v>683</x:v>
      </x:c>
      <x:c r="C16" t="n">
        <x:v>342</x:v>
      </x:c>
      <x:c r="D16" t="str">
        <x:v>午餐</x:v>
      </x:c>
      <x:c r="E16" s="10" t="str">
        <x:v>蒜香虾仁配花菜小白菜｜荞麦面</x:v>
      </x:c>
      <x:c r="F16" t="n">
        <x:f>'730餐菜单'!N684</x:f>
        <x:v>461</x:v>
      </x:c>
      <x:c r="G16" t="n">
        <x:f>'730餐菜单'!O684</x:f>
        <x:v>48.7</x:v>
      </x:c>
      <x:c r="H16" s="10" t="str">
        <x:f>'730餐菜单'!G684</x:f>
        <x:v>虾仁190g、花菜190g、小白菜140g、荞麦面165g、烹调油5g</x:v>
      </x:c>
      <x:c r="I16" s="10" t="str">
        <x:f>'730餐菜单'!L684</x:f>
        <x:v>食材切块，撒蒜末；上锅蒸熟，蔬菜另焯后拌匀；面/魔芋丝煮熟后与菜合碗。</x:v>
      </x:c>
    </x:row>
    <x:row r="17" ht="36" customHeight="1">
      <x:c r="A17" t="n">
        <x:v>16</x:v>
      </x:c>
      <x:c r="B17" t="n">
        <x:v>637</x:v>
      </x:c>
      <x:c r="C17" t="n">
        <x:v>319</x:v>
      </x:c>
      <x:c r="D17" t="str">
        <x:v>午餐</x:v>
      </x:c>
      <x:c r="E17" s="10" t="str">
        <x:v>蚝香猪瘦肉配茼蒿小白菜｜白米饭</x:v>
      </x:c>
      <x:c r="F17" t="n">
        <x:f>'730餐菜单'!N638</x:f>
        <x:v>466</x:v>
      </x:c>
      <x:c r="G17" t="n">
        <x:f>'730餐菜单'!O638</x:f>
        <x:v>39.8</x:v>
      </x:c>
      <x:c r="H17" s="10" t="str">
        <x:f>'730餐菜单'!G638</x:f>
        <x:v>猪瘦肉155g、茼蒿175g、小白菜125g、白米饭135g、烹调油5g</x:v>
      </x:c>
      <x:c r="I17" s="10" t="str">
        <x:f>'730餐菜单'!L638</x:f>
        <x:v>主食材和蔬菜少油少水烩熟，起锅前点少量蚝油；白米饭另煮熟或蒸好后同餐食用。</x:v>
      </x:c>
    </x:row>
    <x:row r="18" ht="36" customHeight="1">
      <x:c r="A18" t="n">
        <x:v>17</x:v>
      </x:c>
      <x:c r="B18" t="n">
        <x:v>553</x:v>
      </x:c>
      <x:c r="C18" t="n">
        <x:v>277</x:v>
      </x:c>
      <x:c r="D18" t="str">
        <x:v>午餐</x:v>
      </x:c>
      <x:c r="E18" s="10" t="str">
        <x:v>孜然去皮鸭胸肉配茼蒿黄瓜｜糙米饭</x:v>
      </x:c>
      <x:c r="F18" t="n">
        <x:f>'730餐菜单'!N554</x:f>
        <x:v>465</x:v>
      </x:c>
      <x:c r="G18" t="n">
        <x:f>'730餐菜单'!O554</x:f>
        <x:v>41.8</x:v>
      </x:c>
      <x:c r="H18" s="10" t="str">
        <x:f>'730餐菜单'!G554</x:f>
        <x:v>去皮鸭胸肉185g、茼蒿160g、黄瓜110g、糙米饭110g、烹调油3g</x:v>
      </x:c>
      <x:c r="I18" s="10" t="str">
        <x:f>'730餐菜单'!L554</x:f>
        <x:v>主食材用少量油和水焖熟，下蔬菜翻拌，撒孜然；糙米饭另煮熟或蒸好后同餐食用。</x:v>
      </x:c>
    </x:row>
    <x:row r="19" ht="36" customHeight="1">
      <x:c r="A19" t="n">
        <x:v>18</x:v>
      </x:c>
      <x:c r="B19" t="n">
        <x:v>474</x:v>
      </x:c>
      <x:c r="C19" t="n">
        <x:v>237</x:v>
      </x:c>
      <x:c r="D19" t="str">
        <x:v>晚餐</x:v>
      </x:c>
      <x:c r="E19" s="10" t="str">
        <x:v>剁椒瘦牛肉配花菜芦笋｜糙米饭</x:v>
      </x:c>
      <x:c r="F19" t="n">
        <x:f>'730餐菜单'!N475</x:f>
        <x:v>465</x:v>
      </x:c>
      <x:c r="G19" t="n">
        <x:f>'730餐菜单'!O475</x:f>
        <x:v>45.4</x:v>
      </x:c>
      <x:c r="H19" s="10" t="str">
        <x:f>'730餐菜单'!G475</x:f>
        <x:v>瘦牛肉170g、花菜190g、芦笋140g、糙米饭110g、烹调油6g</x:v>
      </x:c>
      <x:c r="I19" s="10" t="str">
        <x:f>'730餐菜单'!L475</x:f>
        <x:v>主食材铺少量低盐剁椒蒸熟，配菜焯熟后摆盘；糙米饭另煮熟或蒸好后同餐食用。</x:v>
      </x:c>
    </x:row>
    <x:row r="20" ht="36" customHeight="1">
      <x:c r="A20" t="n">
        <x:v>19</x:v>
      </x:c>
      <x:c r="B20" t="n">
        <x:v>724</x:v>
      </x:c>
      <x:c r="C20" t="n">
        <x:v>362</x:v>
      </x:c>
      <x:c r="D20" t="str">
        <x:v>晚餐</x:v>
      </x:c>
      <x:c r="E20" s="10" t="str">
        <x:v>香醋鸡蛋嫩豆腐烩芦笋娃娃菜｜藜麦饭</x:v>
      </x:c>
      <x:c r="F20" t="n">
        <x:f>'730餐菜单'!N725</x:f>
        <x:v>466</x:v>
      </x:c>
      <x:c r="G20" t="n">
        <x:f>'730餐菜单'!O725</x:f>
        <x:v>30.5</x:v>
      </x:c>
      <x:c r="H20" s="10" t="str">
        <x:f>'730餐菜单'!G725</x:f>
        <x:v>鸡蛋120g、嫩豆腐110g、芦笋140g、娃娃菜110g、藜麦饭110g、烹调油6g</x:v>
      </x:c>
      <x:c r="I20" s="10" t="str">
        <x:f>'730餐菜单'!L725</x:f>
        <x:v>鸡蛋先打散成蛋液；食材分别煮至熟，淋香醋蒜汁，拌匀即食；藜麦饭另煮熟或蒸好后同餐食用。</x:v>
      </x:c>
    </x:row>
    <x:row r="21" ht="36" customHeight="1">
      <x:c r="A21" t="n">
        <x:v>20</x:v>
      </x:c>
      <x:c r="B21" t="n">
        <x:v>142</x:v>
      </x:c>
      <x:c r="C21" t="n">
        <x:v>71</x:v>
      </x:c>
      <x:c r="D21" t="str">
        <x:v>晚餐</x:v>
      </x:c>
      <x:c r="E21" s="10" t="str">
        <x:v>椒麻鳕鱼配茼蒿玉米笋｜白米饭</x:v>
      </x:c>
      <x:c r="F21" t="n">
        <x:f>'730餐菜单'!N143</x:f>
        <x:v>463</x:v>
      </x:c>
      <x:c r="G21" t="n">
        <x:f>'730餐菜单'!O143</x:f>
        <x:v>52.8</x:v>
      </x:c>
      <x:c r="H21" s="10" t="str">
        <x:f>'730餐菜单'!G143</x:f>
        <x:v>鳕鱼200g、北豆腐90g、茼蒿140g、玉米笋155g、白米饭80g、烹调油5g</x:v>
      </x:c>
      <x:c r="I21" s="10" t="str">
        <x:f>'730餐菜单'!L143</x:f>
        <x:v>鱼肉去刺，彻底做熟；花椒温水浸出味道，煮熟主食材和配菜，少油拌汁；白米饭另煮熟或蒸好后同餐食用。</x:v>
      </x:c>
    </x:row>
    <x:row r="22" ht="36" customHeight="1">
      <x:c r="A22" t="n">
        <x:v>21</x:v>
      </x:c>
      <x:c r="B22" t="n">
        <x:v>298</x:v>
      </x:c>
      <x:c r="C22" t="n">
        <x:v>149</x:v>
      </x:c>
      <x:c r="D22" t="str">
        <x:v>晚餐</x:v>
      </x:c>
      <x:c r="E22" s="10" t="str">
        <x:v>柠檬花蛤肉配冬瓜海带｜杂粮饭</x:v>
      </x:c>
      <x:c r="F22" t="n">
        <x:f>'730餐菜单'!N299</x:f>
        <x:v>459</x:v>
      </x:c>
      <x:c r="G22" t="n">
        <x:f>'730餐菜单'!O299</x:f>
        <x:v>37.9</x:v>
      </x:c>
      <x:c r="H22" s="10" t="str">
        <x:f>'730餐菜单'!G299</x:f>
        <x:v>花蛤肉190g、嫩豆腐160g、冬瓜160g、海带110g、杂粮饭110g、烹调油6g</x:v>
      </x:c>
      <x:c r="I22" s="10" t="str">
        <x:f>'730餐菜单'!L299</x:f>
        <x:v>柠檬片垫底，主食材蒸熟，蔬菜短焯后摆盘；杂粮饭另煮熟或蒸好后同餐食用。</x:v>
      </x:c>
    </x:row>
    <x:row r="23" ht="36" customHeight="1">
      <x:c r="A23" t="n">
        <x:v>22</x:v>
      </x:c>
      <x:c r="B23" t="n">
        <x:v>607</x:v>
      </x:c>
      <x:c r="C23" t="n">
        <x:v>304</x:v>
      </x:c>
      <x:c r="D23" t="str">
        <x:v>午餐</x:v>
      </x:c>
      <x:c r="E23" s="10" t="str">
        <x:v>孜然去皮鸡腿肉配生菜绿豆芽｜燕麦饭</x:v>
      </x:c>
      <x:c r="F23" t="n">
        <x:f>'730餐菜单'!N608</x:f>
        <x:v>466</x:v>
      </x:c>
      <x:c r="G23" t="n">
        <x:f>'730餐菜单'!O608</x:f>
        <x:v>45.9</x:v>
      </x:c>
      <x:c r="H23" s="10" t="str">
        <x:f>'730餐菜单'!G608</x:f>
        <x:v>去皮鸡腿肉175g、生菜160g、绿豆芽155g、燕麦饭125g、烹调油4g</x:v>
      </x:c>
      <x:c r="I23" s="10" t="str">
        <x:f>'730餐菜单'!L608</x:f>
        <x:v>先去皮去骨并切薄，充分加热；主食材用少量油和水焖熟，下蔬菜翻拌，撒孜然；燕麦饭另煮熟或蒸好后同餐食用。</x:v>
      </x:c>
    </x:row>
    <x:row r="24" ht="36" customHeight="1">
      <x:c r="A24" t="n">
        <x:v>23</x:v>
      </x:c>
      <x:c r="B24" t="n">
        <x:v>104</x:v>
      </x:c>
      <x:c r="C24" t="n">
        <x:v>52</x:v>
      </x:c>
      <x:c r="D24" t="str">
        <x:v>晚餐</x:v>
      </x:c>
      <x:c r="E24" s="10" t="str">
        <x:v>咖喱牛里脊配紫甘蓝金针菇｜白米饭</x:v>
      </x:c>
      <x:c r="F24" t="n">
        <x:f>'730餐菜单'!N105</x:f>
        <x:v>466</x:v>
      </x:c>
      <x:c r="G24" t="n">
        <x:f>'730餐菜单'!O105</x:f>
        <x:v>41.5</x:v>
      </x:c>
      <x:c r="H24" s="10" t="str">
        <x:f>'730餐菜单'!G105</x:f>
        <x:v>牛里脊160g、紫甘蓝175g、金针菇125g、白米饭95g、烹调油6g</x:v>
      </x:c>
      <x:c r="I24" s="10" t="str">
        <x:f>'730餐菜单'!L105</x:f>
        <x:v>用咖喱粉而非高脂咖喱块，加水轻炖主食材和蔬菜；白米饭另煮熟或蒸好后同餐食用。</x:v>
      </x:c>
    </x:row>
    <x:row r="25" ht="36" customHeight="1">
      <x:c r="A25" t="n">
        <x:v>24</x:v>
      </x:c>
      <x:c r="B25" t="n">
        <x:v>355</x:v>
      </x:c>
      <x:c r="C25" t="n">
        <x:v>178</x:v>
      </x:c>
      <x:c r="D25" t="str">
        <x:v>午餐</x:v>
      </x:c>
      <x:c r="E25" s="10" t="str">
        <x:v>柠檬猪里脊配芹菜莴笋｜杂粮饭</x:v>
      </x:c>
      <x:c r="F25" t="n">
        <x:f>'730餐菜单'!N356</x:f>
        <x:v>467</x:v>
      </x:c>
      <x:c r="G25" t="n">
        <x:f>'730餐菜单'!O356</x:f>
        <x:v>41.9</x:v>
      </x:c>
      <x:c r="H25" s="10" t="str">
        <x:f>'730餐菜单'!G356</x:f>
        <x:v>猪里脊165g、芹菜140g、莴笋125g、杂粮饭150g、烹调油6g</x:v>
      </x:c>
      <x:c r="I25" s="10" t="str">
        <x:f>'730餐菜单'!L356</x:f>
        <x:v>柠檬片垫底，主食材蒸熟，蔬菜短焯后摆盘；杂粮饭另煮熟或蒸好后同餐食用。</x:v>
      </x:c>
    </x:row>
    <x:row r="26" ht="36" customHeight="1">
      <x:c r="A26" t="n">
        <x:v>25</x:v>
      </x:c>
      <x:c r="B26" t="n">
        <x:v>177</x:v>
      </x:c>
      <x:c r="C26" t="n">
        <x:v>89</x:v>
      </x:c>
      <x:c r="D26" t="str">
        <x:v>午餐</x:v>
      </x:c>
      <x:c r="E26" s="10" t="str">
        <x:v>酸汤嫩豆腐鸡蛋烩花菜莴笋｜山药</x:v>
      </x:c>
      <x:c r="F26" t="n">
        <x:f>'730餐菜单'!N178</x:f>
        <x:v>466</x:v>
      </x:c>
      <x:c r="G26" t="n">
        <x:f>'730餐菜单'!O178</x:f>
        <x:v>31.9</x:v>
      </x:c>
      <x:c r="H26" s="10" t="str">
        <x:f>'730餐菜单'!G178</x:f>
        <x:v>嫩豆腐280g、鸡蛋85g、花菜160g、莴笋140g、山药150g、烹调油4g</x:v>
      </x:c>
      <x:c r="I26" s="10" t="str">
        <x:f>'730餐菜单'!L178</x:f>
        <x:v>番茄煮成酸汤，主食材汆熟，加入蔬菜再煮2～5分钟；山药另煮熟或蒸好后同餐食用。</x:v>
      </x:c>
    </x:row>
    <x:row r="27" ht="36" customHeight="1">
      <x:c r="A27" t="n">
        <x:v>26</x:v>
      </x:c>
      <x:c r="B27" t="n">
        <x:v>167</x:v>
      </x:c>
      <x:c r="C27" t="n">
        <x:v>84</x:v>
      </x:c>
      <x:c r="D27" t="str">
        <x:v>午餐</x:v>
      </x:c>
      <x:c r="E27" s="10" t="str">
        <x:v>菌菇鱿鱼配芦笋香菇｜杂粮饭</x:v>
      </x:c>
      <x:c r="F27" t="n">
        <x:f>'730餐菜单'!N168</x:f>
        <x:v>459</x:v>
      </x:c>
      <x:c r="G27" t="n">
        <x:f>'730餐菜单'!O168</x:f>
        <x:v>42.4</x:v>
      </x:c>
      <x:c r="H27" s="10" t="str">
        <x:f>'730餐菜单'!G168</x:f>
        <x:v>鱿鱼190g、芦笋160g、香菇110g、杂粮饭135g、烹调油6g</x:v>
      </x:c>
      <x:c r="I27" s="10" t="str">
        <x:f>'730餐菜单'!L168</x:f>
        <x:v>食材与菌菇加少量水焖熟，出锅前加少量低盐生抽；杂粮饭另煮熟或蒸好后同餐食用。</x:v>
      </x:c>
    </x:row>
    <x:row r="28" ht="36" customHeight="1">
      <x:c r="A28" t="n">
        <x:v>27</x:v>
      </x:c>
      <x:c r="B28" t="n">
        <x:v>79</x:v>
      </x:c>
      <x:c r="C28" t="n">
        <x:v>40</x:v>
      </x:c>
      <x:c r="D28" t="str">
        <x:v>午餐</x:v>
      </x:c>
      <x:c r="E28" s="10" t="str">
        <x:v>柠檬三文鱼配丝瓜芦笋｜糙米饭</x:v>
      </x:c>
      <x:c r="F28" t="n">
        <x:f>'730餐菜单'!N80</x:f>
        <x:v>462</x:v>
      </x:c>
      <x:c r="G28" t="n">
        <x:f>'730餐菜单'!O80</x:f>
        <x:v>32</x:v>
      </x:c>
      <x:c r="H28" s="10" t="str">
        <x:f>'730餐菜单'!G80</x:f>
        <x:v>三文鱼120g、丝瓜175g、芦笋155g、糙米饭110g、烹调油3g</x:v>
      </x:c>
      <x:c r="I28" s="10" t="str">
        <x:f>'730餐菜单'!L80</x:f>
        <x:v>鱼肉去刺，彻底做熟；柠檬片垫底，主食材蒸熟，蔬菜短焯后摆盘；糙米饭另煮熟或蒸好后同餐食用。</x:v>
      </x:c>
    </x:row>
    <x:row r="29" ht="36" customHeight="1">
      <x:c r="A29" t="n">
        <x:v>28</x:v>
      </x:c>
      <x:c r="B29" t="n">
        <x:v>84</x:v>
      </x:c>
      <x:c r="C29" t="n">
        <x:v>42</x:v>
      </x:c>
      <x:c r="D29" t="str">
        <x:v>晚餐</x:v>
      </x:c>
      <x:c r="E29" s="10" t="str">
        <x:v>黑椒鸡胸肉配荷兰豆冬瓜｜山药</x:v>
      </x:c>
      <x:c r="F29" t="n">
        <x:f>'730餐菜单'!N85</x:f>
        <x:v>466</x:v>
      </x:c>
      <x:c r="G29" t="n">
        <x:f>'730餐菜单'!O85</x:f>
        <x:v>54.3</x:v>
      </x:c>
      <x:c r="H29" s="10" t="str">
        <x:f>'730餐菜单'!G85</x:f>
        <x:v>鸡胸肉170g、熟毛豆仁70g、荷兰豆160g、冬瓜110g、山药125g、烹调油4g</x:v>
      </x:c>
      <x:c r="I29" s="10" t="str">
        <x:f>'730餐菜单'!L85</x:f>
        <x:v>锅加少量水和油，先把主食材煮熟，再烩两种蔬菜，收汁撒黑椒；山药另煮熟或蒸好后同餐食用。</x:v>
      </x:c>
    </x:row>
    <x:row r="30" ht="36" customHeight="1">
      <x:c r="A30" t="n">
        <x:v>29</x:v>
      </x:c>
      <x:c r="B30" t="n">
        <x:v>88</x:v>
      </x:c>
      <x:c r="C30" t="n">
        <x:v>44</x:v>
      </x:c>
      <x:c r="D30" t="str">
        <x:v>晚餐</x:v>
      </x:c>
      <x:c r="E30" s="10" t="str">
        <x:v>蚝香牛腱子配苦瓜胡萝卜｜糙米饭</x:v>
      </x:c>
      <x:c r="F30" t="n">
        <x:f>'730餐菜单'!N89</x:f>
        <x:v>467</x:v>
      </x:c>
      <x:c r="G30" t="n">
        <x:f>'730餐菜单'!O89</x:f>
        <x:v>40.8</x:v>
      </x:c>
      <x:c r="H30" s="10" t="str">
        <x:f>'730餐菜单'!G89</x:f>
        <x:v>牛腱子170g、苦瓜160g、胡萝卜155g、糙米饭80g、烹调油5g</x:v>
      </x:c>
      <x:c r="I30" s="10" t="str">
        <x:f>'730餐菜单'!L89</x:f>
        <x:v>主食材和蔬菜少油少水烩熟，起锅前点少量蚝油；糙米饭另煮熟或蒸好后同餐食用。</x:v>
      </x:c>
    </x:row>
    <x:row r="31" ht="36" customHeight="1">
      <x:c r="A31" t="n">
        <x:v>30</x:v>
      </x:c>
      <x:c r="B31" t="n">
        <x:v>140</x:v>
      </x:c>
      <x:c r="C31" t="n">
        <x:v>70</x:v>
      </x:c>
      <x:c r="D31" t="str">
        <x:v>晚餐</x:v>
      </x:c>
      <x:c r="E31" s="10" t="str">
        <x:v>豉汁鸡蛋嫩豆腐烩芦笋口蘑｜白米饭</x:v>
      </x:c>
      <x:c r="F31" t="n">
        <x:f>'730餐菜单'!N141</x:f>
        <x:v>467</x:v>
      </x:c>
      <x:c r="G31" t="n">
        <x:f>'730餐菜单'!O141</x:f>
        <x:v>32</x:v>
      </x:c>
      <x:c r="H31" s="10" t="str">
        <x:f>'730餐菜单'!G141</x:f>
        <x:v>鸡蛋100g、嫩豆腐160g、芦笋175g、口蘑125g、白米饭125g、烹调油3g</x:v>
      </x:c>
      <x:c r="I31" s="10" t="str">
        <x:f>'730餐菜单'!L141</x:f>
        <x:v>鸡蛋先打散成蛋液；豆豉冲洗剁碎，与姜末拌主食材后蒸熟；蔬菜另煮；白米饭另煮熟或蒸好后同餐食用。</x:v>
      </x:c>
    </x:row>
  </x:sheetData>
  <x:pageMargins left="0.7" right="0.7" top="0.75" bottom="0.75" header="0.3" footer="0.3"/>
  <x:tableParts count="1">
    <x:tablePart xmlns:r="http://schemas.openxmlformats.org/officeDocument/2006/relationships" r:id="R0e45c2352c944e3f"/>
  </x:tableParts>
</x:worksheet>
</file>

<file path=xl/worksheets/sheet5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4" hidden="0" customWidth="1"/>
    <x:col min="5" max="5" width="19" hidden="0" customWidth="1"/>
    <x:col min="6" max="6" width="14" hidden="0" customWidth="1"/>
    <x:col min="7" max="7" width="17" hidden="0" customWidth="1"/>
    <x:col min="8" max="8" width="19" hidden="0" customWidth="1"/>
    <x:col min="9" max="9" width="17" hidden="0" customWidth="1"/>
    <x:col min="10" max="10" width="16" hidden="0" customWidth="1"/>
    <x:col min="11" max="11" width="18" hidden="0" customWidth="1"/>
    <x:col min="12" max="12" width="17" hidden="0" customWidth="1"/>
    <x:col min="13" max="13" width="16" hidden="0" customWidth="1"/>
    <x:col min="14" max="14" width="16" hidden="0" customWidth="1"/>
    <x:col min="15" max="15" width="29" hidden="0" customWidth="1"/>
  </x:cols>
  <x:sheetData>
    <x:row r="1" ht="29" customHeight="1">
      <x:c r="A1" s="5" t="str">
        <x:v>菜单编号</x:v>
      </x:c>
      <x:c r="B1" s="5" t="str">
        <x:v>第几天</x:v>
      </x:c>
      <x:c r="C1" s="5" t="str">
        <x:v>餐次</x:v>
      </x:c>
      <x:c r="D1" s="5" t="str">
        <x:v>食材类别</x:v>
      </x:c>
      <x:c r="E1" s="5" t="str">
        <x:v>食材</x:v>
      </x:c>
      <x:c r="F1" s="5" t="str">
        <x:v>用量 g</x:v>
      </x:c>
      <x:c r="G1" s="5" t="str">
        <x:v>每100g热量</x:v>
      </x:c>
      <x:c r="H1" s="5" t="str">
        <x:v>食材热量 kcal</x:v>
      </x:c>
      <x:c r="I1" s="5" t="str">
        <x:v>每100g蛋白</x:v>
      </x:c>
      <x:c r="J1" s="5" t="str">
        <x:v>食材蛋白 g</x:v>
      </x:c>
      <x:c r="K1" s="5" t="str">
        <x:v>每100g碳水</x:v>
      </x:c>
      <x:c r="L1" s="5" t="str">
        <x:v>食材碳水 g</x:v>
      </x:c>
      <x:c r="M1" s="5" t="str">
        <x:v>每100g脂肪</x:v>
      </x:c>
      <x:c r="N1" s="5" t="str">
        <x:v>食材脂肪 g</x:v>
      </x:c>
      <x:c r="O1" s="5" t="str">
        <x:v>称量口径</x:v>
      </x:c>
    </x:row>
    <x:row r="2" ht="23" customHeight="1">
      <x:c r="A2" t="n">
        <x:v>1</x:v>
      </x:c>
      <x:c r="B2" t="n">
        <x:v>1</x:v>
      </x:c>
      <x:c r="C2" t="str">
        <x:v>午餐</x:v>
      </x:c>
      <x:c r="D2" t="str">
        <x:v>牛肉</x:v>
      </x:c>
      <x:c r="E2" t="str">
        <x:v>瘦牛肉</x:v>
      </x:c>
      <x:c r="F2" t="n">
        <x:v>175</x:v>
      </x:c>
      <x:c r="G2" t="n">
        <x:v>125</x:v>
      </x:c>
      <x:c r="H2" t="n">
        <x:f>ROUND(F2*G2/100,2)</x:f>
        <x:v>218.75</x:v>
      </x:c>
      <x:c r="I2" t="n">
        <x:v>21</x:v>
      </x:c>
      <x:c r="J2" t="n">
        <x:f>ROUND(F2*I2/100,2)</x:f>
        <x:v>36.75</x:v>
      </x:c>
      <x:c r="K2" t="n">
        <x:v>0</x:v>
      </x:c>
      <x:c r="L2" t="n">
        <x:f>ROUND(F2*K2/100,2)</x:f>
        <x:v>0</x:v>
      </x:c>
      <x:c r="M2" t="n">
        <x:v>4</x:v>
      </x:c>
      <x:c r="N2" t="n">
        <x:f>ROUND(F2*M2/100,2)</x:f>
        <x:v>7</x:v>
      </x:c>
      <x:c r="O2" t="str">
        <x:v>生重</x:v>
      </x:c>
    </x:row>
    <x:row r="3" ht="23" customHeight="1">
      <x:c r="A3" t="n">
        <x:v>1</x:v>
      </x:c>
      <x:c r="B3" t="n">
        <x:v>1</x:v>
      </x:c>
      <x:c r="C3" t="str">
        <x:v>午餐</x:v>
      </x:c>
      <x:c r="D3" t="str"/>
      <x:c r="E3" t="str"/>
      <x:c r="F3" t="n">
        <x:v>0</x:v>
      </x:c>
      <x:c r="G3" t="n">
        <x:v>0</x:v>
      </x:c>
      <x:c r="H3" t="n">
        <x:f>ROUND(F3*G3/100,2)</x:f>
        <x:v>0</x:v>
      </x:c>
      <x:c r="I3" t="n">
        <x:v>0</x:v>
      </x:c>
      <x:c r="J3" t="n">
        <x:f>ROUND(F3*I3/100,2)</x:f>
        <x:v>0</x:v>
      </x:c>
      <x:c r="K3" t="n">
        <x:v>0</x:v>
      </x:c>
      <x:c r="L3" t="n">
        <x:f>ROUND(F3*K3/100,2)</x:f>
        <x:v>0</x:v>
      </x:c>
      <x:c r="M3" t="n">
        <x:v>0</x:v>
      </x:c>
      <x:c r="N3" t="n">
        <x:f>ROUND(F3*M3/100,2)</x:f>
        <x:v>0</x:v>
      </x:c>
      <x:c r="O3" t="str"/>
    </x:row>
    <x:row r="4" ht="23" customHeight="1">
      <x:c r="A4" t="n">
        <x:v>1</x:v>
      </x:c>
      <x:c r="B4" t="n">
        <x:v>1</x:v>
      </x:c>
      <x:c r="C4" t="str">
        <x:v>午餐</x:v>
      </x:c>
      <x:c r="D4" t="str">
        <x:v>蔬菜</x:v>
      </x:c>
      <x:c r="E4" t="str">
        <x:v>西兰花</x:v>
      </x:c>
      <x:c r="F4" t="n">
        <x:v>180</x:v>
      </x:c>
      <x:c r="G4" t="n">
        <x:v>34</x:v>
      </x:c>
      <x:c r="H4" t="n">
        <x:f>ROUND(F4*G4/100,2)</x:f>
        <x:v>61.2</x:v>
      </x:c>
      <x:c r="I4" t="n">
        <x:v>2.8</x:v>
      </x:c>
      <x:c r="J4" t="n">
        <x:f>ROUND(F4*I4/100,2)</x:f>
        <x:v>5.04</x:v>
      </x:c>
      <x:c r="K4" t="n">
        <x:v>7</x:v>
      </x:c>
      <x:c r="L4" t="n">
        <x:f>ROUND(F4*K4/100,2)</x:f>
        <x:v>12.6</x:v>
      </x:c>
      <x:c r="M4" t="n">
        <x:v>0.4</x:v>
      </x:c>
      <x:c r="N4" t="n">
        <x:f>ROUND(F4*M4/100,2)</x:f>
        <x:v>0.72</x:v>
      </x:c>
      <x:c r="O4" t="str">
        <x:v>生重</x:v>
      </x:c>
    </x:row>
    <x:row r="5" ht="23" customHeight="1">
      <x:c r="A5" t="n">
        <x:v>1</x:v>
      </x:c>
      <x:c r="B5" t="n">
        <x:v>1</x:v>
      </x:c>
      <x:c r="C5" t="str">
        <x:v>午餐</x:v>
      </x:c>
      <x:c r="D5" t="str">
        <x:v>菌菇</x:v>
      </x:c>
      <x:c r="E5" t="str">
        <x:v>口蘑</x:v>
      </x:c>
      <x:c r="F5" t="n">
        <x:v>130</x:v>
      </x:c>
      <x:c r="G5" t="n">
        <x:v>22</x:v>
      </x:c>
      <x:c r="H5" t="n">
        <x:f>ROUND(F5*G5/100,2)</x:f>
        <x:v>28.6</x:v>
      </x:c>
      <x:c r="I5" t="n">
        <x:v>3.1</x:v>
      </x:c>
      <x:c r="J5" t="n">
        <x:f>ROUND(F5*I5/100,2)</x:f>
        <x:v>4.03</x:v>
      </x:c>
      <x:c r="K5" t="n">
        <x:v>3.3</x:v>
      </x:c>
      <x:c r="L5" t="n">
        <x:f>ROUND(F5*K5/100,2)</x:f>
        <x:v>4.29</x:v>
      </x:c>
      <x:c r="M5" t="n">
        <x:v>0.3</x:v>
      </x:c>
      <x:c r="N5" t="n">
        <x:f>ROUND(F5*M5/100,2)</x:f>
        <x:v>0.39</x:v>
      </x:c>
      <x:c r="O5" t="str">
        <x:v>生重</x:v>
      </x:c>
    </x:row>
    <x:row r="6" ht="23" customHeight="1">
      <x:c r="A6" t="n">
        <x:v>1</x:v>
      </x:c>
      <x:c r="B6" t="n">
        <x:v>1</x:v>
      </x:c>
      <x:c r="C6" t="str">
        <x:v>午餐</x:v>
      </x:c>
      <x:c r="D6" t="str">
        <x:v>主食</x:v>
      </x:c>
      <x:c r="E6" t="str">
        <x:v>糙米饭</x:v>
      </x:c>
      <x:c r="F6" t="n">
        <x:v>135</x:v>
      </x:c>
      <x:c r="G6" t="n">
        <x:v>112</x:v>
      </x:c>
      <x:c r="H6" t="n">
        <x:f>ROUND(F6*G6/100,2)</x:f>
        <x:v>151.2</x:v>
      </x:c>
      <x:c r="I6" t="n">
        <x:v>2.6</x:v>
      </x:c>
      <x:c r="J6" t="n">
        <x:f>ROUND(F6*I6/100,2)</x:f>
        <x:v>3.51</x:v>
      </x:c>
      <x:c r="K6" t="n">
        <x:v>23.5</x:v>
      </x:c>
      <x:c r="L6" t="n">
        <x:f>ROUND(F6*K6/100,2)</x:f>
        <x:v>31.73</x:v>
      </x:c>
      <x:c r="M6" t="n">
        <x:v>0.9</x:v>
      </x:c>
      <x:c r="N6" t="n">
        <x:f>ROUND(F6*M6/100,2)</x:f>
        <x:v>1.22</x:v>
      </x:c>
      <x:c r="O6" t="str">
        <x:v>熟重</x:v>
      </x:c>
    </x:row>
    <x:row r="7" ht="23" customHeight="1">
      <x:c r="A7" t="n">
        <x:v>1</x:v>
      </x:c>
      <x:c r="B7" t="n">
        <x:v>1</x:v>
      </x:c>
      <x:c r="C7" t="str">
        <x:v>午餐</x:v>
      </x:c>
      <x:c r="D7" t="str">
        <x:v>油脂</x:v>
      </x:c>
      <x:c r="E7" t="str">
        <x:v>烹调油</x:v>
      </x:c>
      <x:c r="F7" t="n">
        <x:v>5</x:v>
      </x:c>
      <x:c r="G7" t="n">
        <x:v>900</x:v>
      </x:c>
      <x:c r="H7" t="n">
        <x:f>ROUND(F7*G7/100,2)</x:f>
        <x:v>45</x:v>
      </x:c>
      <x:c r="I7" t="n">
        <x:v>0</x:v>
      </x:c>
      <x:c r="J7" t="n">
        <x:f>ROUND(F7*I7/100,2)</x:f>
        <x:v>0</x:v>
      </x:c>
      <x:c r="K7" t="n">
        <x:v>0</x:v>
      </x:c>
      <x:c r="L7" t="n">
        <x:f>ROUND(F7*K7/100,2)</x:f>
        <x:v>0</x:v>
      </x:c>
      <x:c r="M7" t="n">
        <x:v>100</x:v>
      </x:c>
      <x:c r="N7" t="n">
        <x:f>ROUND(F7*M7/100,2)</x:f>
        <x:v>5</x:v>
      </x:c>
      <x:c r="O7" t="str">
        <x:v>实际用油重</x:v>
      </x:c>
    </x:row>
    <x:row r="8" ht="23" customHeight="1">
      <x:c r="A8" t="n">
        <x:v>2</x:v>
      </x:c>
      <x:c r="B8" t="n">
        <x:v>1</x:v>
      </x:c>
      <x:c r="C8" t="str">
        <x:v>晚餐</x:v>
      </x:c>
      <x:c r="D8" t="str">
        <x:v>禽肉</x:v>
      </x:c>
      <x:c r="E8" t="str">
        <x:v>鸡胸肉</x:v>
      </x:c>
      <x:c r="F8" t="n">
        <x:v>180</x:v>
      </x:c>
      <x:c r="G8" t="n">
        <x:v>110</x:v>
      </x:c>
      <x:c r="H8" t="n">
        <x:f>ROUND(F8*G8/100,2)</x:f>
        <x:v>198</x:v>
      </x:c>
      <x:c r="I8" t="n">
        <x:v>23</x:v>
      </x:c>
      <x:c r="J8" t="n">
        <x:f>ROUND(F8*I8/100,2)</x:f>
        <x:v>41.4</x:v>
      </x:c>
      <x:c r="K8" t="n">
        <x:v>0</x:v>
      </x:c>
      <x:c r="L8" t="n">
        <x:f>ROUND(F8*K8/100,2)</x:f>
        <x:v>0</x:v>
      </x:c>
      <x:c r="M8" t="n">
        <x:v>2</x:v>
      </x:c>
      <x:c r="N8" t="n">
        <x:f>ROUND(F8*M8/100,2)</x:f>
        <x:v>3.6</x:v>
      </x:c>
      <x:c r="O8" t="str">
        <x:v>生重</x:v>
      </x:c>
    </x:row>
    <x:row r="9" ht="23" customHeight="1">
      <x:c r="A9" t="n">
        <x:v>2</x:v>
      </x:c>
      <x:c r="B9" t="n">
        <x:v>1</x:v>
      </x:c>
      <x:c r="C9" t="str">
        <x:v>晚餐</x:v>
      </x:c>
      <x:c r="D9" t="str"/>
      <x:c r="E9" t="str"/>
      <x:c r="F9" t="n">
        <x:v>0</x:v>
      </x:c>
      <x:c r="G9" t="n">
        <x:v>0</x:v>
      </x:c>
      <x:c r="H9" t="n">
        <x:f>ROUND(F9*G9/100,2)</x:f>
        <x:v>0</x:v>
      </x:c>
      <x:c r="I9" t="n">
        <x:v>0</x:v>
      </x:c>
      <x:c r="J9" t="n">
        <x:f>ROUND(F9*I9/100,2)</x:f>
        <x:v>0</x:v>
      </x:c>
      <x:c r="K9" t="n">
        <x:v>0</x:v>
      </x:c>
      <x:c r="L9" t="n">
        <x:f>ROUND(F9*K9/100,2)</x:f>
        <x:v>0</x:v>
      </x:c>
      <x:c r="M9" t="n">
        <x:v>0</x:v>
      </x:c>
      <x:c r="N9" t="n">
        <x:f>ROUND(F9*M9/100,2)</x:f>
        <x:v>0</x:v>
      </x:c>
      <x:c r="O9" t="str"/>
    </x:row>
    <x:row r="10" ht="23" customHeight="1">
      <x:c r="A10" t="n">
        <x:v>2</x:v>
      </x:c>
      <x:c r="B10" t="n">
        <x:v>1</x:v>
      </x:c>
      <x:c r="C10" t="str">
        <x:v>晚餐</x:v>
      </x:c>
      <x:c r="D10" t="str">
        <x:v>蔬菜</x:v>
      </x:c>
      <x:c r="E10" t="str">
        <x:v>西兰花</x:v>
      </x:c>
      <x:c r="F10" t="n">
        <x:v>165</x:v>
      </x:c>
      <x:c r="G10" t="n">
        <x:v>34</x:v>
      </x:c>
      <x:c r="H10" t="n">
        <x:f>ROUND(F10*G10/100,2)</x:f>
        <x:v>56.1</x:v>
      </x:c>
      <x:c r="I10" t="n">
        <x:v>2.8</x:v>
      </x:c>
      <x:c r="J10" t="n">
        <x:f>ROUND(F10*I10/100,2)</x:f>
        <x:v>4.62</x:v>
      </x:c>
      <x:c r="K10" t="n">
        <x:v>7</x:v>
      </x:c>
      <x:c r="L10" t="n">
        <x:f>ROUND(F10*K10/100,2)</x:f>
        <x:v>11.55</x:v>
      </x:c>
      <x:c r="M10" t="n">
        <x:v>0.4</x:v>
      </x:c>
      <x:c r="N10" t="n">
        <x:f>ROUND(F10*M10/100,2)</x:f>
        <x:v>0.66</x:v>
      </x:c>
      <x:c r="O10" t="str">
        <x:v>生重</x:v>
      </x:c>
    </x:row>
    <x:row r="11" ht="23" customHeight="1">
      <x:c r="A11" t="n">
        <x:v>2</x:v>
      </x:c>
      <x:c r="B11" t="n">
        <x:v>1</x:v>
      </x:c>
      <x:c r="C11" t="str">
        <x:v>晚餐</x:v>
      </x:c>
      <x:c r="D11" t="str">
        <x:v>菌菇</x:v>
      </x:c>
      <x:c r="E11" t="str">
        <x:v>口蘑</x:v>
      </x:c>
      <x:c r="F11" t="n">
        <x:v>135</x:v>
      </x:c>
      <x:c r="G11" t="n">
        <x:v>22</x:v>
      </x:c>
      <x:c r="H11" t="n">
        <x:f>ROUND(F11*G11/100,2)</x:f>
        <x:v>29.7</x:v>
      </x:c>
      <x:c r="I11" t="n">
        <x:v>3.1</x:v>
      </x:c>
      <x:c r="J11" t="n">
        <x:f>ROUND(F11*I11/100,2)</x:f>
        <x:v>4.18</x:v>
      </x:c>
      <x:c r="K11" t="n">
        <x:v>3.3</x:v>
      </x:c>
      <x:c r="L11" t="n">
        <x:f>ROUND(F11*K11/100,2)</x:f>
        <x:v>4.46</x:v>
      </x:c>
      <x:c r="M11" t="n">
        <x:v>0.3</x:v>
      </x:c>
      <x:c r="N11" t="n">
        <x:f>ROUND(F11*M11/100,2)</x:f>
        <x:v>0.41</x:v>
      </x:c>
      <x:c r="O11" t="str">
        <x:v>生重</x:v>
      </x:c>
    </x:row>
    <x:row r="12" ht="23" customHeight="1">
      <x:c r="A12" t="n">
        <x:v>2</x:v>
      </x:c>
      <x:c r="B12" t="n">
        <x:v>1</x:v>
      </x:c>
      <x:c r="C12" t="str">
        <x:v>晚餐</x:v>
      </x:c>
      <x:c r="D12" t="str">
        <x:v>主食</x:v>
      </x:c>
      <x:c r="E12" t="str">
        <x:v>玉米</x:v>
      </x:c>
      <x:c r="F12" t="n">
        <x:v>125</x:v>
      </x:c>
      <x:c r="G12" t="n">
        <x:v>105</x:v>
      </x:c>
      <x:c r="H12" t="n">
        <x:f>ROUND(F12*G12/100,2)</x:f>
        <x:v>131.25</x:v>
      </x:c>
      <x:c r="I12" t="n">
        <x:v>3.4</x:v>
      </x:c>
      <x:c r="J12" t="n">
        <x:f>ROUND(F12*I12/100,2)</x:f>
        <x:v>4.25</x:v>
      </x:c>
      <x:c r="K12" t="n">
        <x:v>22</x:v>
      </x:c>
      <x:c r="L12" t="n">
        <x:f>ROUND(F12*K12/100,2)</x:f>
        <x:v>27.5</x:v>
      </x:c>
      <x:c r="M12" t="n">
        <x:v>1.5</x:v>
      </x:c>
      <x:c r="N12" t="n">
        <x:f>ROUND(F12*M12/100,2)</x:f>
        <x:v>1.88</x:v>
      </x:c>
      <x:c r="O12" t="str">
        <x:v>蒸熟净重</x:v>
      </x:c>
    </x:row>
    <x:row r="13" ht="23" customHeight="1">
      <x:c r="A13" t="n">
        <x:v>2</x:v>
      </x:c>
      <x:c r="B13" t="n">
        <x:v>1</x:v>
      </x:c>
      <x:c r="C13" t="str">
        <x:v>晚餐</x:v>
      </x:c>
      <x:c r="D13" t="str">
        <x:v>油脂</x:v>
      </x:c>
      <x:c r="E13" t="str">
        <x:v>烹调油</x:v>
      </x:c>
      <x:c r="F13" t="n">
        <x:v>4</x:v>
      </x:c>
      <x:c r="G13" t="n">
        <x:v>900</x:v>
      </x:c>
      <x:c r="H13" t="n">
        <x:f>ROUND(F13*G13/100,2)</x:f>
        <x:v>36</x:v>
      </x:c>
      <x:c r="I13" t="n">
        <x:v>0</x:v>
      </x:c>
      <x:c r="J13" t="n">
        <x:f>ROUND(F13*I13/100,2)</x:f>
        <x:v>0</x:v>
      </x:c>
      <x:c r="K13" t="n">
        <x:v>0</x:v>
      </x:c>
      <x:c r="L13" t="n">
        <x:f>ROUND(F13*K13/100,2)</x:f>
        <x:v>0</x:v>
      </x:c>
      <x:c r="M13" t="n">
        <x:v>100</x:v>
      </x:c>
      <x:c r="N13" t="n">
        <x:f>ROUND(F13*M13/100,2)</x:f>
        <x:v>4</x:v>
      </x:c>
      <x:c r="O13" t="str">
        <x:v>实际用油重</x:v>
      </x:c>
    </x:row>
    <x:row r="14" ht="23" customHeight="1">
      <x:c r="A14" t="n">
        <x:v>3</x:v>
      </x:c>
      <x:c r="B14" t="n">
        <x:v>2</x:v>
      </x:c>
      <x:c r="C14" t="str">
        <x:v>午餐</x:v>
      </x:c>
      <x:c r="D14" t="str">
        <x:v>禽肉</x:v>
      </x:c>
      <x:c r="E14" t="str">
        <x:v>去皮鸡腿肉</x:v>
      </x:c>
      <x:c r="F14" t="n">
        <x:v>180</x:v>
      </x:c>
      <x:c r="G14" t="n">
        <x:v>125</x:v>
      </x:c>
      <x:c r="H14" t="n">
        <x:f>ROUND(F14*G14/100,2)</x:f>
        <x:v>225</x:v>
      </x:c>
      <x:c r="I14" t="n">
        <x:v>20</x:v>
      </x:c>
      <x:c r="J14" t="n">
        <x:f>ROUND(F14*I14/100,2)</x:f>
        <x:v>36</x:v>
      </x:c>
      <x:c r="K14" t="n">
        <x:v>0</x:v>
      </x:c>
      <x:c r="L14" t="n">
        <x:f>ROUND(F14*K14/100,2)</x:f>
        <x:v>0</x:v>
      </x:c>
      <x:c r="M14" t="n">
        <x:v>5</x:v>
      </x:c>
      <x:c r="N14" t="n">
        <x:f>ROUND(F14*M14/100,2)</x:f>
        <x:v>9</x:v>
      </x:c>
      <x:c r="O14" t="str">
        <x:v>生重</x:v>
      </x:c>
    </x:row>
    <x:row r="15" ht="23" customHeight="1">
      <x:c r="A15" t="n">
        <x:v>3</x:v>
      </x:c>
      <x:c r="B15" t="n">
        <x:v>2</x:v>
      </x:c>
      <x:c r="C15" t="str">
        <x:v>午餐</x:v>
      </x:c>
      <x:c r="D15" t="str"/>
      <x:c r="E15" t="str"/>
      <x:c r="F15" t="n">
        <x:v>0</x:v>
      </x:c>
      <x:c r="G15" t="n">
        <x:v>0</x:v>
      </x:c>
      <x:c r="H15" t="n">
        <x:f>ROUND(F15*G15/100,2)</x:f>
        <x:v>0</x:v>
      </x:c>
      <x:c r="I15" t="n">
        <x:v>0</x:v>
      </x:c>
      <x:c r="J15" t="n">
        <x:f>ROUND(F15*I15/100,2)</x:f>
        <x:v>0</x:v>
      </x:c>
      <x:c r="K15" t="n">
        <x:v>0</x:v>
      </x:c>
      <x:c r="L15" t="n">
        <x:f>ROUND(F15*K15/100,2)</x:f>
        <x:v>0</x:v>
      </x:c>
      <x:c r="M15" t="n">
        <x:v>0</x:v>
      </x:c>
      <x:c r="N15" t="n">
        <x:f>ROUND(F15*M15/100,2)</x:f>
        <x:v>0</x:v>
      </x:c>
      <x:c r="O15" t="str"/>
    </x:row>
    <x:row r="16" ht="23" customHeight="1">
      <x:c r="A16" t="n">
        <x:v>3</x:v>
      </x:c>
      <x:c r="B16" t="n">
        <x:v>2</x:v>
      </x:c>
      <x:c r="C16" t="str">
        <x:v>午餐</x:v>
      </x:c>
      <x:c r="D16" t="str">
        <x:v>蔬菜</x:v>
      </x:c>
      <x:c r="E16" t="str">
        <x:v>洋葱</x:v>
      </x:c>
      <x:c r="F16" t="n">
        <x:v>150</x:v>
      </x:c>
      <x:c r="G16" t="n">
        <x:v>40</x:v>
      </x:c>
      <x:c r="H16" t="n">
        <x:f>ROUND(F16*G16/100,2)</x:f>
        <x:v>60</x:v>
      </x:c>
      <x:c r="I16" t="n">
        <x:v>1.1</x:v>
      </x:c>
      <x:c r="J16" t="n">
        <x:f>ROUND(F16*I16/100,2)</x:f>
        <x:v>1.65</x:v>
      </x:c>
      <x:c r="K16" t="n">
        <x:v>9.3</x:v>
      </x:c>
      <x:c r="L16" t="n">
        <x:f>ROUND(F16*K16/100,2)</x:f>
        <x:v>13.95</x:v>
      </x:c>
      <x:c r="M16" t="n">
        <x:v>0.1</x:v>
      </x:c>
      <x:c r="N16" t="n">
        <x:f>ROUND(F16*M16/100,2)</x:f>
        <x:v>0.15</x:v>
      </x:c>
      <x:c r="O16" t="str">
        <x:v>生重</x:v>
      </x:c>
    </x:row>
    <x:row r="17" ht="23" customHeight="1">
      <x:c r="A17" t="n">
        <x:v>3</x:v>
      </x:c>
      <x:c r="B17" t="n">
        <x:v>2</x:v>
      </x:c>
      <x:c r="C17" t="str">
        <x:v>午餐</x:v>
      </x:c>
      <x:c r="D17" t="str">
        <x:v>菌菇</x:v>
      </x:c>
      <x:c r="E17" t="str">
        <x:v>香菇</x:v>
      </x:c>
      <x:c r="F17" t="n">
        <x:v>140</x:v>
      </x:c>
      <x:c r="G17" t="n">
        <x:v>34</x:v>
      </x:c>
      <x:c r="H17" t="n">
        <x:f>ROUND(F17*G17/100,2)</x:f>
        <x:v>47.6</x:v>
      </x:c>
      <x:c r="I17" t="n">
        <x:v>2.2</x:v>
      </x:c>
      <x:c r="J17" t="n">
        <x:f>ROUND(F17*I17/100,2)</x:f>
        <x:v>3.08</x:v>
      </x:c>
      <x:c r="K17" t="n">
        <x:v>6.8</x:v>
      </x:c>
      <x:c r="L17" t="n">
        <x:f>ROUND(F17*K17/100,2)</x:f>
        <x:v>9.52</x:v>
      </x:c>
      <x:c r="M17" t="n">
        <x:v>0.5</x:v>
      </x:c>
      <x:c r="N17" t="n">
        <x:f>ROUND(F17*M17/100,2)</x:f>
        <x:v>0.7</x:v>
      </x:c>
      <x:c r="O17" t="str">
        <x:v>生重</x:v>
      </x:c>
    </x:row>
    <x:row r="18" ht="23" customHeight="1">
      <x:c r="A18" t="n">
        <x:v>3</x:v>
      </x:c>
      <x:c r="B18" t="n">
        <x:v>2</x:v>
      </x:c>
      <x:c r="C18" t="str">
        <x:v>午餐</x:v>
      </x:c>
      <x:c r="D18" t="str">
        <x:v>主食</x:v>
      </x:c>
      <x:c r="E18" t="str">
        <x:v>燕麦饭</x:v>
      </x:c>
      <x:c r="F18" t="n">
        <x:v>135</x:v>
      </x:c>
      <x:c r="G18" t="n">
        <x:v>110</x:v>
      </x:c>
      <x:c r="H18" t="n">
        <x:f>ROUND(F18*G18/100,2)</x:f>
        <x:v>148.5</x:v>
      </x:c>
      <x:c r="I18" t="n">
        <x:v>3.2</x:v>
      </x:c>
      <x:c r="J18" t="n">
        <x:f>ROUND(F18*I18/100,2)</x:f>
        <x:v>4.32</x:v>
      </x:c>
      <x:c r="K18" t="n">
        <x:v>21</x:v>
      </x:c>
      <x:c r="L18" t="n">
        <x:f>ROUND(F18*K18/100,2)</x:f>
        <x:v>28.35</x:v>
      </x:c>
      <x:c r="M18" t="n">
        <x:v>1.8</x:v>
      </x:c>
      <x:c r="N18" t="n">
        <x:f>ROUND(F18*M18/100,2)</x:f>
        <x:v>2.43</x:v>
      </x:c>
      <x:c r="O18" t="str">
        <x:v>熟重</x:v>
      </x:c>
    </x:row>
    <x:row r="19" ht="23" customHeight="1">
      <x:c r="A19" t="n">
        <x:v>3</x:v>
      </x:c>
      <x:c r="B19" t="n">
        <x:v>2</x:v>
      </x:c>
      <x:c r="C19" t="str">
        <x:v>午餐</x:v>
      </x:c>
      <x:c r="D19" t="str">
        <x:v>油脂</x:v>
      </x:c>
      <x:c r="E19" t="str">
        <x:v>烹调油</x:v>
      </x:c>
      <x:c r="F19" t="n">
        <x:v>4</x:v>
      </x:c>
      <x:c r="G19" t="n">
        <x:v>900</x:v>
      </x:c>
      <x:c r="H19" t="n">
        <x:f>ROUND(F19*G19/100,2)</x:f>
        <x:v>36</x:v>
      </x:c>
      <x:c r="I19" t="n">
        <x:v>0</x:v>
      </x:c>
      <x:c r="J19" t="n">
        <x:f>ROUND(F19*I19/100,2)</x:f>
        <x:v>0</x:v>
      </x:c>
      <x:c r="K19" t="n">
        <x:v>0</x:v>
      </x:c>
      <x:c r="L19" t="n">
        <x:f>ROUND(F19*K19/100,2)</x:f>
        <x:v>0</x:v>
      </x:c>
      <x:c r="M19" t="n">
        <x:v>100</x:v>
      </x:c>
      <x:c r="N19" t="n">
        <x:f>ROUND(F19*M19/100,2)</x:f>
        <x:v>4</x:v>
      </x:c>
      <x:c r="O19" t="str">
        <x:v>实际用油重</x:v>
      </x:c>
    </x:row>
    <x:row r="20" ht="23" customHeight="1">
      <x:c r="A20" t="n">
        <x:v>4</x:v>
      </x:c>
      <x:c r="B20" t="n">
        <x:v>2</x:v>
      </x:c>
      <x:c r="C20" t="str">
        <x:v>晚餐</x:v>
      </x:c>
      <x:c r="D20" t="str">
        <x:v>牛肉</x:v>
      </x:c>
      <x:c r="E20" t="str">
        <x:v>牛里脊</x:v>
      </x:c>
      <x:c r="F20" t="n">
        <x:v>175</x:v>
      </x:c>
      <x:c r="G20" t="n">
        <x:v>130</x:v>
      </x:c>
      <x:c r="H20" t="n">
        <x:f>ROUND(F20*G20/100,2)</x:f>
        <x:v>227.5</x:v>
      </x:c>
      <x:c r="I20" t="n">
        <x:v>21</x:v>
      </x:c>
      <x:c r="J20" t="n">
        <x:f>ROUND(F20*I20/100,2)</x:f>
        <x:v>36.75</x:v>
      </x:c>
      <x:c r="K20" t="n">
        <x:v>0</x:v>
      </x:c>
      <x:c r="L20" t="n">
        <x:f>ROUND(F20*K20/100,2)</x:f>
        <x:v>0</x:v>
      </x:c>
      <x:c r="M20" t="n">
        <x:v>4.8</x:v>
      </x:c>
      <x:c r="N20" t="n">
        <x:f>ROUND(F20*M20/100,2)</x:f>
        <x:v>8.4</x:v>
      </x:c>
      <x:c r="O20" t="str">
        <x:v>生重</x:v>
      </x:c>
    </x:row>
    <x:row r="21" ht="23" customHeight="1">
      <x:c r="A21" t="n">
        <x:v>4</x:v>
      </x:c>
      <x:c r="B21" t="n">
        <x:v>2</x:v>
      </x:c>
      <x:c r="C21" t="str">
        <x:v>晚餐</x:v>
      </x:c>
      <x:c r="D21" t="str"/>
      <x:c r="E21" t="str"/>
      <x:c r="F21" t="n">
        <x:v>0</x:v>
      </x:c>
      <x:c r="G21" t="n">
        <x:v>0</x:v>
      </x:c>
      <x:c r="H21" t="n">
        <x:f>ROUND(F21*G21/100,2)</x:f>
        <x:v>0</x:v>
      </x:c>
      <x:c r="I21" t="n">
        <x:v>0</x:v>
      </x:c>
      <x:c r="J21" t="n">
        <x:f>ROUND(F21*I21/100,2)</x:f>
        <x:v>0</x:v>
      </x:c>
      <x:c r="K21" t="n">
        <x:v>0</x:v>
      </x:c>
      <x:c r="L21" t="n">
        <x:f>ROUND(F21*K21/100,2)</x:f>
        <x:v>0</x:v>
      </x:c>
      <x:c r="M21" t="n">
        <x:v>0</x:v>
      </x:c>
      <x:c r="N21" t="n">
        <x:f>ROUND(F21*M21/100,2)</x:f>
        <x:v>0</x:v>
      </x:c>
      <x:c r="O21" t="str"/>
    </x:row>
    <x:row r="22" ht="23" customHeight="1">
      <x:c r="A22" t="n">
        <x:v>4</x:v>
      </x:c>
      <x:c r="B22" t="n">
        <x:v>2</x:v>
      </x:c>
      <x:c r="C22" t="str">
        <x:v>晚餐</x:v>
      </x:c>
      <x:c r="D22" t="str">
        <x:v>蔬菜</x:v>
      </x:c>
      <x:c r="E22" t="str">
        <x:v>彩椒</x:v>
      </x:c>
      <x:c r="F22" t="n">
        <x:v>155</x:v>
      </x:c>
      <x:c r="G22" t="n">
        <x:v>27</x:v>
      </x:c>
      <x:c r="H22" t="n">
        <x:f>ROUND(F22*G22/100,2)</x:f>
        <x:v>41.85</x:v>
      </x:c>
      <x:c r="I22" t="n">
        <x:v>1</x:v>
      </x:c>
      <x:c r="J22" t="n">
        <x:f>ROUND(F22*I22/100,2)</x:f>
        <x:v>1.55</x:v>
      </x:c>
      <x:c r="K22" t="n">
        <x:v>6.1</x:v>
      </x:c>
      <x:c r="L22" t="n">
        <x:f>ROUND(F22*K22/100,2)</x:f>
        <x:v>9.46</x:v>
      </x:c>
      <x:c r="M22" t="n">
        <x:v>0.2</x:v>
      </x:c>
      <x:c r="N22" t="n">
        <x:f>ROUND(F22*M22/100,2)</x:f>
        <x:v>0.31</x:v>
      </x:c>
      <x:c r="O22" t="str">
        <x:v>生重</x:v>
      </x:c>
    </x:row>
    <x:row r="23" ht="23" customHeight="1">
      <x:c r="A23" t="n">
        <x:v>4</x:v>
      </x:c>
      <x:c r="B23" t="n">
        <x:v>2</x:v>
      </x:c>
      <x:c r="C23" t="str">
        <x:v>晚餐</x:v>
      </x:c>
      <x:c r="D23" t="str">
        <x:v>蔬菜</x:v>
      </x:c>
      <x:c r="E23" t="str">
        <x:v>西兰花</x:v>
      </x:c>
      <x:c r="F23" t="n">
        <x:v>170</x:v>
      </x:c>
      <x:c r="G23" t="n">
        <x:v>34</x:v>
      </x:c>
      <x:c r="H23" t="n">
        <x:f>ROUND(F23*G23/100,2)</x:f>
        <x:v>57.8</x:v>
      </x:c>
      <x:c r="I23" t="n">
        <x:v>2.8</x:v>
      </x:c>
      <x:c r="J23" t="n">
        <x:f>ROUND(F23*I23/100,2)</x:f>
        <x:v>4.76</x:v>
      </x:c>
      <x:c r="K23" t="n">
        <x:v>7</x:v>
      </x:c>
      <x:c r="L23" t="n">
        <x:f>ROUND(F23*K23/100,2)</x:f>
        <x:v>11.9</x:v>
      </x:c>
      <x:c r="M23" t="n">
        <x:v>0.4</x:v>
      </x:c>
      <x:c r="N23" t="n">
        <x:f>ROUND(F23*M23/100,2)</x:f>
        <x:v>0.68</x:v>
      </x:c>
      <x:c r="O23" t="str">
        <x:v>生重</x:v>
      </x:c>
    </x:row>
    <x:row r="24" ht="23" customHeight="1">
      <x:c r="A24" t="n">
        <x:v>4</x:v>
      </x:c>
      <x:c r="B24" t="n">
        <x:v>2</x:v>
      </x:c>
      <x:c r="C24" t="str">
        <x:v>晚餐</x:v>
      </x:c>
      <x:c r="D24" t="str">
        <x:v>主食</x:v>
      </x:c>
      <x:c r="E24" t="str">
        <x:v>藜麦饭</x:v>
      </x:c>
      <x:c r="F24" t="n">
        <x:v>140</x:v>
      </x:c>
      <x:c r="G24" t="n">
        <x:v>120</x:v>
      </x:c>
      <x:c r="H24" t="n">
        <x:f>ROUND(F24*G24/100,2)</x:f>
        <x:v>168</x:v>
      </x:c>
      <x:c r="I24" t="n">
        <x:v>4.4</x:v>
      </x:c>
      <x:c r="J24" t="n">
        <x:f>ROUND(F24*I24/100,2)</x:f>
        <x:v>6.16</x:v>
      </x:c>
      <x:c r="K24" t="n">
        <x:v>21.3</x:v>
      </x:c>
      <x:c r="L24" t="n">
        <x:f>ROUND(F24*K24/100,2)</x:f>
        <x:v>29.82</x:v>
      </x:c>
      <x:c r="M24" t="n">
        <x:v>1.9</x:v>
      </x:c>
      <x:c r="N24" t="n">
        <x:f>ROUND(F24*M24/100,2)</x:f>
        <x:v>2.66</x:v>
      </x:c>
      <x:c r="O24" t="str">
        <x:v>熟重</x:v>
      </x:c>
    </x:row>
    <x:row r="25" ht="23" customHeight="1">
      <x:c r="A25" t="n">
        <x:v>4</x:v>
      </x:c>
      <x:c r="B25" t="n">
        <x:v>2</x:v>
      </x:c>
      <x:c r="C25" t="str">
        <x:v>晚餐</x:v>
      </x:c>
      <x:c r="D25" t="str">
        <x:v>油脂</x:v>
      </x:c>
      <x:c r="E25" t="str">
        <x:v>烹调油</x:v>
      </x:c>
      <x:c r="F25" t="n">
        <x:v>5</x:v>
      </x:c>
      <x:c r="G25" t="n">
        <x:v>900</x:v>
      </x:c>
      <x:c r="H25" t="n">
        <x:f>ROUND(F25*G25/100,2)</x:f>
        <x:v>45</x:v>
      </x:c>
      <x:c r="I25" t="n">
        <x:v>0</x:v>
      </x:c>
      <x:c r="J25" t="n">
        <x:f>ROUND(F25*I25/100,2)</x:f>
        <x:v>0</x:v>
      </x:c>
      <x:c r="K25" t="n">
        <x:v>0</x:v>
      </x:c>
      <x:c r="L25" t="n">
        <x:f>ROUND(F25*K25/100,2)</x:f>
        <x:v>0</x:v>
      </x:c>
      <x:c r="M25" t="n">
        <x:v>100</x:v>
      </x:c>
      <x:c r="N25" t="n">
        <x:f>ROUND(F25*M25/100,2)</x:f>
        <x:v>5</x:v>
      </x:c>
      <x:c r="O25" t="str">
        <x:v>实际用油重</x:v>
      </x:c>
    </x:row>
    <x:row r="26" ht="23" customHeight="1">
      <x:c r="A26" t="n">
        <x:v>5</x:v>
      </x:c>
      <x:c r="B26" t="n">
        <x:v>3</x:v>
      </x:c>
      <x:c r="C26" t="str">
        <x:v>午餐</x:v>
      </x:c>
      <x:c r="D26" t="str">
        <x:v>牛肉</x:v>
      </x:c>
      <x:c r="E26" t="str">
        <x:v>瘦牛肉</x:v>
      </x:c>
      <x:c r="F26" t="n">
        <x:v>135</x:v>
      </x:c>
      <x:c r="G26" t="n">
        <x:v>125</x:v>
      </x:c>
      <x:c r="H26" t="n">
        <x:f>ROUND(F26*G26/100,2)</x:f>
        <x:v>168.75</x:v>
      </x:c>
      <x:c r="I26" t="n">
        <x:v>21</x:v>
      </x:c>
      <x:c r="J26" t="n">
        <x:f>ROUND(F26*I26/100,2)</x:f>
        <x:v>28.35</x:v>
      </x:c>
      <x:c r="K26" t="n">
        <x:v>0</x:v>
      </x:c>
      <x:c r="L26" t="n">
        <x:f>ROUND(F26*K26/100,2)</x:f>
        <x:v>0</x:v>
      </x:c>
      <x:c r="M26" t="n">
        <x:v>4</x:v>
      </x:c>
      <x:c r="N26" t="n">
        <x:f>ROUND(F26*M26/100,2)</x:f>
        <x:v>5.4</x:v>
      </x:c>
      <x:c r="O26" t="str">
        <x:v>生重</x:v>
      </x:c>
    </x:row>
    <x:row r="27" ht="23" customHeight="1">
      <x:c r="A27" t="n">
        <x:v>5</x:v>
      </x:c>
      <x:c r="B27" t="n">
        <x:v>3</x:v>
      </x:c>
      <x:c r="C27" t="str">
        <x:v>午餐</x:v>
      </x:c>
      <x:c r="D27" t="str">
        <x:v>豆蛋</x:v>
      </x:c>
      <x:c r="E27" t="str">
        <x:v>鸡蛋</x:v>
      </x:c>
      <x:c r="F27" t="n">
        <x:v>60</x:v>
      </x:c>
      <x:c r="G27" t="n">
        <x:v>144</x:v>
      </x:c>
      <x:c r="H27" t="n">
        <x:f>ROUND(F27*G27/100,2)</x:f>
        <x:v>86.4</x:v>
      </x:c>
      <x:c r="I27" t="n">
        <x:v>13</x:v>
      </x:c>
      <x:c r="J27" t="n">
        <x:f>ROUND(F27*I27/100,2)</x:f>
        <x:v>7.8</x:v>
      </x:c>
      <x:c r="K27" t="n">
        <x:v>1.1</x:v>
      </x:c>
      <x:c r="L27" t="n">
        <x:f>ROUND(F27*K27/100,2)</x:f>
        <x:v>0.66</x:v>
      </x:c>
      <x:c r="M27" t="n">
        <x:v>10</x:v>
      </x:c>
      <x:c r="N27" t="n">
        <x:f>ROUND(F27*M27/100,2)</x:f>
        <x:v>6</x:v>
      </x:c>
      <x:c r="O27" t="str">
        <x:v>去壳可食重</x:v>
      </x:c>
    </x:row>
    <x:row r="28" ht="23" customHeight="1">
      <x:c r="A28" t="n">
        <x:v>5</x:v>
      </x:c>
      <x:c r="B28" t="n">
        <x:v>3</x:v>
      </x:c>
      <x:c r="C28" t="str">
        <x:v>午餐</x:v>
      </x:c>
      <x:c r="D28" t="str">
        <x:v>蔬菜</x:v>
      </x:c>
      <x:c r="E28" t="str">
        <x:v>番茄</x:v>
      </x:c>
      <x:c r="F28" t="n">
        <x:v>190</x:v>
      </x:c>
      <x:c r="G28" t="n">
        <x:v>20</x:v>
      </x:c>
      <x:c r="H28" t="n">
        <x:f>ROUND(F28*G28/100,2)</x:f>
        <x:v>38</x:v>
      </x:c>
      <x:c r="I28" t="n">
        <x:v>0.9</x:v>
      </x:c>
      <x:c r="J28" t="n">
        <x:f>ROUND(F28*I28/100,2)</x:f>
        <x:v>1.71</x:v>
      </x:c>
      <x:c r="K28" t="n">
        <x:v>4</x:v>
      </x:c>
      <x:c r="L28" t="n">
        <x:f>ROUND(F28*K28/100,2)</x:f>
        <x:v>7.6</x:v>
      </x:c>
      <x:c r="M28" t="n">
        <x:v>0.2</x:v>
      </x:c>
      <x:c r="N28" t="n">
        <x:f>ROUND(F28*M28/100,2)</x:f>
        <x:v>0.38</x:v>
      </x:c>
      <x:c r="O28" t="str">
        <x:v>生重</x:v>
      </x:c>
    </x:row>
    <x:row r="29" ht="23" customHeight="1">
      <x:c r="A29" t="n">
        <x:v>5</x:v>
      </x:c>
      <x:c r="B29" t="n">
        <x:v>3</x:v>
      </x:c>
      <x:c r="C29" t="str">
        <x:v>午餐</x:v>
      </x:c>
      <x:c r="D29" t="str">
        <x:v>蔬菜</x:v>
      </x:c>
      <x:c r="E29" t="str">
        <x:v>洋葱</x:v>
      </x:c>
      <x:c r="F29" t="n">
        <x:v>115</x:v>
      </x:c>
      <x:c r="G29" t="n">
        <x:v>40</x:v>
      </x:c>
      <x:c r="H29" t="n">
        <x:f>ROUND(F29*G29/100,2)</x:f>
        <x:v>46</x:v>
      </x:c>
      <x:c r="I29" t="n">
        <x:v>1.1</x:v>
      </x:c>
      <x:c r="J29" t="n">
        <x:f>ROUND(F29*I29/100,2)</x:f>
        <x:v>1.27</x:v>
      </x:c>
      <x:c r="K29" t="n">
        <x:v>9.3</x:v>
      </x:c>
      <x:c r="L29" t="n">
        <x:f>ROUND(F29*K29/100,2)</x:f>
        <x:v>10.7</x:v>
      </x:c>
      <x:c r="M29" t="n">
        <x:v>0.1</x:v>
      </x:c>
      <x:c r="N29" t="n">
        <x:f>ROUND(F29*M29/100,2)</x:f>
        <x:v>0.12</x:v>
      </x:c>
      <x:c r="O29" t="str">
        <x:v>生重</x:v>
      </x:c>
    </x:row>
    <x:row r="30" ht="23" customHeight="1">
      <x:c r="A30" t="n">
        <x:v>5</x:v>
      </x:c>
      <x:c r="B30" t="n">
        <x:v>3</x:v>
      </x:c>
      <x:c r="C30" t="str">
        <x:v>午餐</x:v>
      </x:c>
      <x:c r="D30" t="str">
        <x:v>主食</x:v>
      </x:c>
      <x:c r="E30" t="str">
        <x:v>杂粮饭</x:v>
      </x:c>
      <x:c r="F30" t="n">
        <x:v>160</x:v>
      </x:c>
      <x:c r="G30" t="n">
        <x:v>115</x:v>
      </x:c>
      <x:c r="H30" t="n">
        <x:f>ROUND(F30*G30/100,2)</x:f>
        <x:v>184</x:v>
      </x:c>
      <x:c r="I30" t="n">
        <x:v>3.1</x:v>
      </x:c>
      <x:c r="J30" t="n">
        <x:f>ROUND(F30*I30/100,2)</x:f>
        <x:v>4.96</x:v>
      </x:c>
      <x:c r="K30" t="n">
        <x:v>23.5</x:v>
      </x:c>
      <x:c r="L30" t="n">
        <x:f>ROUND(F30*K30/100,2)</x:f>
        <x:v>37.6</x:v>
      </x:c>
      <x:c r="M30" t="n">
        <x:v>1.1</x:v>
      </x:c>
      <x:c r="N30" t="n">
        <x:f>ROUND(F30*M30/100,2)</x:f>
        <x:v>1.76</x:v>
      </x:c>
      <x:c r="O30" t="str">
        <x:v>熟重</x:v>
      </x:c>
    </x:row>
    <x:row r="31" ht="23" customHeight="1">
      <x:c r="A31" t="n">
        <x:v>5</x:v>
      </x:c>
      <x:c r="B31" t="n">
        <x:v>3</x:v>
      </x:c>
      <x:c r="C31" t="str">
        <x:v>午餐</x:v>
      </x:c>
      <x:c r="D31" t="str">
        <x:v>油脂</x:v>
      </x:c>
      <x:c r="E31" t="str">
        <x:v>烹调油</x:v>
      </x:c>
      <x:c r="F31" t="n">
        <x:v>5</x:v>
      </x:c>
      <x:c r="G31" t="n">
        <x:v>900</x:v>
      </x:c>
      <x:c r="H31" t="n">
        <x:f>ROUND(F31*G31/100,2)</x:f>
        <x:v>45</x:v>
      </x:c>
      <x:c r="I31" t="n">
        <x:v>0</x:v>
      </x:c>
      <x:c r="J31" t="n">
        <x:f>ROUND(F31*I31/100,2)</x:f>
        <x:v>0</x:v>
      </x:c>
      <x:c r="K31" t="n">
        <x:v>0</x:v>
      </x:c>
      <x:c r="L31" t="n">
        <x:f>ROUND(F31*K31/100,2)</x:f>
        <x:v>0</x:v>
      </x:c>
      <x:c r="M31" t="n">
        <x:v>100</x:v>
      </x:c>
      <x:c r="N31" t="n">
        <x:f>ROUND(F31*M31/100,2)</x:f>
        <x:v>5</x:v>
      </x:c>
      <x:c r="O31" t="str">
        <x:v>实际用油重</x:v>
      </x:c>
    </x:row>
    <x:row r="32" ht="23" customHeight="1">
      <x:c r="A32" t="n">
        <x:v>6</x:v>
      </x:c>
      <x:c r="B32" t="n">
        <x:v>3</x:v>
      </x:c>
      <x:c r="C32" t="str">
        <x:v>晚餐</x:v>
      </x:c>
      <x:c r="D32" t="str">
        <x:v>牛肉</x:v>
      </x:c>
      <x:c r="E32" t="str">
        <x:v>肥牛卷</x:v>
      </x:c>
      <x:c r="F32" t="n">
        <x:v>95</x:v>
      </x:c>
      <x:c r="G32" t="n">
        <x:v>250</x:v>
      </x:c>
      <x:c r="H32" t="n">
        <x:f>ROUND(F32*G32/100,2)</x:f>
        <x:v>237.5</x:v>
      </x:c>
      <x:c r="I32" t="n">
        <x:v>16</x:v>
      </x:c>
      <x:c r="J32" t="n">
        <x:f>ROUND(F32*I32/100,2)</x:f>
        <x:v>15.2</x:v>
      </x:c>
      <x:c r="K32" t="n">
        <x:v>1</x:v>
      </x:c>
      <x:c r="L32" t="n">
        <x:f>ROUND(F32*K32/100,2)</x:f>
        <x:v>0.95</x:v>
      </x:c>
      <x:c r="M32" t="n">
        <x:v>20</x:v>
      </x:c>
      <x:c r="N32" t="n">
        <x:f>ROUND(F32*M32/100,2)</x:f>
        <x:v>19</x:v>
      </x:c>
      <x:c r="O32" t="str">
        <x:v>生重；以包装为准</x:v>
      </x:c>
    </x:row>
    <x:row r="33" ht="23" customHeight="1">
      <x:c r="A33" t="n">
        <x:v>6</x:v>
      </x:c>
      <x:c r="B33" t="n">
        <x:v>3</x:v>
      </x:c>
      <x:c r="C33" t="str">
        <x:v>晚餐</x:v>
      </x:c>
      <x:c r="D33" t="str">
        <x:v>豆蛋</x:v>
      </x:c>
      <x:c r="E33" t="str">
        <x:v>北豆腐</x:v>
      </x:c>
      <x:c r="F33" t="n">
        <x:v>115</x:v>
      </x:c>
      <x:c r="G33" t="n">
        <x:v>90</x:v>
      </x:c>
      <x:c r="H33" t="n">
        <x:f>ROUND(F33*G33/100,2)</x:f>
        <x:v>103.5</x:v>
      </x:c>
      <x:c r="I33" t="n">
        <x:v>10</x:v>
      </x:c>
      <x:c r="J33" t="n">
        <x:f>ROUND(F33*I33/100,2)</x:f>
        <x:v>11.5</x:v>
      </x:c>
      <x:c r="K33" t="n">
        <x:v>2</x:v>
      </x:c>
      <x:c r="L33" t="n">
        <x:f>ROUND(F33*K33/100,2)</x:f>
        <x:v>2.3</x:v>
      </x:c>
      <x:c r="M33" t="n">
        <x:v>5</x:v>
      </x:c>
      <x:c r="N33" t="n">
        <x:f>ROUND(F33*M33/100,2)</x:f>
        <x:v>5.75</x:v>
      </x:c>
      <x:c r="O33" t="str">
        <x:v>净重</x:v>
      </x:c>
    </x:row>
    <x:row r="34" ht="23" customHeight="1">
      <x:c r="A34" t="n">
        <x:v>6</x:v>
      </x:c>
      <x:c r="B34" t="n">
        <x:v>3</x:v>
      </x:c>
      <x:c r="C34" t="str">
        <x:v>晚餐</x:v>
      </x:c>
      <x:c r="D34" t="str">
        <x:v>蔬菜</x:v>
      </x:c>
      <x:c r="E34" t="str">
        <x:v>小白菜</x:v>
      </x:c>
      <x:c r="F34" t="n">
        <x:v>180</x:v>
      </x:c>
      <x:c r="G34" t="n">
        <x:v>17</x:v>
      </x:c>
      <x:c r="H34" t="n">
        <x:f>ROUND(F34*G34/100,2)</x:f>
        <x:v>30.6</x:v>
      </x:c>
      <x:c r="I34" t="n">
        <x:v>1.6</x:v>
      </x:c>
      <x:c r="J34" t="n">
        <x:f>ROUND(F34*I34/100,2)</x:f>
        <x:v>2.88</x:v>
      </x:c>
      <x:c r="K34" t="n">
        <x:v>2.8</x:v>
      </x:c>
      <x:c r="L34" t="n">
        <x:f>ROUND(F34*K34/100,2)</x:f>
        <x:v>5.04</x:v>
      </x:c>
      <x:c r="M34" t="n">
        <x:v>0.2</x:v>
      </x:c>
      <x:c r="N34" t="n">
        <x:f>ROUND(F34*M34/100,2)</x:f>
        <x:v>0.36</x:v>
      </x:c>
      <x:c r="O34" t="str">
        <x:v>生重</x:v>
      </x:c>
    </x:row>
    <x:row r="35" ht="23" customHeight="1">
      <x:c r="A35" t="n">
        <x:v>6</x:v>
      </x:c>
      <x:c r="B35" t="n">
        <x:v>3</x:v>
      </x:c>
      <x:c r="C35" t="str">
        <x:v>晚餐</x:v>
      </x:c>
      <x:c r="D35" t="str">
        <x:v>菌菇</x:v>
      </x:c>
      <x:c r="E35" t="str">
        <x:v>口蘑</x:v>
      </x:c>
      <x:c r="F35" t="n">
        <x:v>125</x:v>
      </x:c>
      <x:c r="G35" t="n">
        <x:v>22</x:v>
      </x:c>
      <x:c r="H35" t="n">
        <x:f>ROUND(F35*G35/100,2)</x:f>
        <x:v>27.5</x:v>
      </x:c>
      <x:c r="I35" t="n">
        <x:v>3.1</x:v>
      </x:c>
      <x:c r="J35" t="n">
        <x:f>ROUND(F35*I35/100,2)</x:f>
        <x:v>3.88</x:v>
      </x:c>
      <x:c r="K35" t="n">
        <x:v>3.3</x:v>
      </x:c>
      <x:c r="L35" t="n">
        <x:f>ROUND(F35*K35/100,2)</x:f>
        <x:v>4.13</x:v>
      </x:c>
      <x:c r="M35" t="n">
        <x:v>0.3</x:v>
      </x:c>
      <x:c r="N35" t="n">
        <x:f>ROUND(F35*M35/100,2)</x:f>
        <x:v>0.38</x:v>
      </x:c>
      <x:c r="O35" t="str">
        <x:v>生重</x:v>
      </x:c>
    </x:row>
    <x:row r="36" ht="23" customHeight="1">
      <x:c r="A36" t="n">
        <x:v>6</x:v>
      </x:c>
      <x:c r="B36" t="n">
        <x:v>3</x:v>
      </x:c>
      <x:c r="C36" t="str">
        <x:v>晚餐</x:v>
      </x:c>
      <x:c r="D36" t="str">
        <x:v>主食</x:v>
      </x:c>
      <x:c r="E36" t="str">
        <x:v>乌冬面</x:v>
      </x:c>
      <x:c r="F36" t="n">
        <x:v>135</x:v>
      </x:c>
      <x:c r="G36" t="n">
        <x:v>120</x:v>
      </x:c>
      <x:c r="H36" t="n">
        <x:f>ROUND(F36*G36/100,2)</x:f>
        <x:v>162</x:v>
      </x:c>
      <x:c r="I36" t="n">
        <x:v>2.5</x:v>
      </x:c>
      <x:c r="J36" t="n">
        <x:f>ROUND(F36*I36/100,2)</x:f>
        <x:v>3.38</x:v>
      </x:c>
      <x:c r="K36" t="n">
        <x:v>25</x:v>
      </x:c>
      <x:c r="L36" t="n">
        <x:f>ROUND(F36*K36/100,2)</x:f>
        <x:v>33.75</x:v>
      </x:c>
      <x:c r="M36" t="n">
        <x:v>0.6</x:v>
      </x:c>
      <x:c r="N36" t="n">
        <x:f>ROUND(F36*M36/100,2)</x:f>
        <x:v>0.81</x:v>
      </x:c>
      <x:c r="O36" t="str">
        <x:v>煮熟沥水重</x:v>
      </x:c>
    </x:row>
    <x:row r="37" ht="23" customHeight="1">
      <x:c r="A37" t="n">
        <x:v>6</x:v>
      </x:c>
      <x:c r="B37" t="n">
        <x:v>3</x:v>
      </x:c>
      <x:c r="C37" t="str">
        <x:v>晚餐</x:v>
      </x:c>
      <x:c r="D37" t="str">
        <x:v>油脂</x:v>
      </x:c>
      <x:c r="E37" t="str">
        <x:v>烹调油</x:v>
      </x:c>
      <x:c r="F37" t="n">
        <x:v>3</x:v>
      </x:c>
      <x:c r="G37" t="n">
        <x:v>900</x:v>
      </x:c>
      <x:c r="H37" t="n">
        <x:f>ROUND(F37*G37/100,2)</x:f>
        <x:v>27</x:v>
      </x:c>
      <x:c r="I37" t="n">
        <x:v>0</x:v>
      </x:c>
      <x:c r="J37" t="n">
        <x:f>ROUND(F37*I37/100,2)</x:f>
        <x:v>0</x:v>
      </x:c>
      <x:c r="K37" t="n">
        <x:v>0</x:v>
      </x:c>
      <x:c r="L37" t="n">
        <x:f>ROUND(F37*K37/100,2)</x:f>
        <x:v>0</x:v>
      </x:c>
      <x:c r="M37" t="n">
        <x:v>100</x:v>
      </x:c>
      <x:c r="N37" t="n">
        <x:f>ROUND(F37*M37/100,2)</x:f>
        <x:v>3</x:v>
      </x:c>
      <x:c r="O37" t="str">
        <x:v>实际用油重</x:v>
      </x:c>
    </x:row>
    <x:row r="38" ht="23" customHeight="1">
      <x:c r="A38" t="n">
        <x:v>7</x:v>
      </x:c>
      <x:c r="B38" t="n">
        <x:v>4</x:v>
      </x:c>
      <x:c r="C38" t="str">
        <x:v>午餐</x:v>
      </x:c>
      <x:c r="D38" t="str">
        <x:v>加工肉</x:v>
      </x:c>
      <x:c r="E38" t="str">
        <x:v>低盐火腿</x:v>
      </x:c>
      <x:c r="F38" t="n">
        <x:v>40</x:v>
      </x:c>
      <x:c r="G38" t="n">
        <x:v>160</x:v>
      </x:c>
      <x:c r="H38" t="n">
        <x:f>ROUND(F38*G38/100,2)</x:f>
        <x:v>64</x:v>
      </x:c>
      <x:c r="I38" t="n">
        <x:v>14</x:v>
      </x:c>
      <x:c r="J38" t="n">
        <x:f>ROUND(F38*I38/100,2)</x:f>
        <x:v>5.6</x:v>
      </x:c>
      <x:c r="K38" t="n">
        <x:v>5</x:v>
      </x:c>
      <x:c r="L38" t="n">
        <x:f>ROUND(F38*K38/100,2)</x:f>
        <x:v>2</x:v>
      </x:c>
      <x:c r="M38" t="n">
        <x:v>9</x:v>
      </x:c>
      <x:c r="N38" t="n">
        <x:f>ROUND(F38*M38/100,2)</x:f>
        <x:v>3.6</x:v>
      </x:c>
      <x:c r="O38" t="str">
        <x:v>以品牌标签为准</x:v>
      </x:c>
    </x:row>
    <x:row r="39" ht="23" customHeight="1">
      <x:c r="A39" t="n">
        <x:v>7</x:v>
      </x:c>
      <x:c r="B39" t="n">
        <x:v>4</x:v>
      </x:c>
      <x:c r="C39" t="str">
        <x:v>午餐</x:v>
      </x:c>
      <x:c r="D39" t="str">
        <x:v>豆蛋</x:v>
      </x:c>
      <x:c r="E39" t="str">
        <x:v>鸡蛋</x:v>
      </x:c>
      <x:c r="F39" t="n">
        <x:v>110</x:v>
      </x:c>
      <x:c r="G39" t="n">
        <x:v>144</x:v>
      </x:c>
      <x:c r="H39" t="n">
        <x:f>ROUND(F39*G39/100,2)</x:f>
        <x:v>158.4</x:v>
      </x:c>
      <x:c r="I39" t="n">
        <x:v>13</x:v>
      </x:c>
      <x:c r="J39" t="n">
        <x:f>ROUND(F39*I39/100,2)</x:f>
        <x:v>14.3</x:v>
      </x:c>
      <x:c r="K39" t="n">
        <x:v>1.1</x:v>
      </x:c>
      <x:c r="L39" t="n">
        <x:f>ROUND(F39*K39/100,2)</x:f>
        <x:v>1.21</x:v>
      </x:c>
      <x:c r="M39" t="n">
        <x:v>10</x:v>
      </x:c>
      <x:c r="N39" t="n">
        <x:f>ROUND(F39*M39/100,2)</x:f>
        <x:v>11</x:v>
      </x:c>
      <x:c r="O39" t="str">
        <x:v>去壳可食重</x:v>
      </x:c>
    </x:row>
    <x:row r="40" ht="23" customHeight="1">
      <x:c r="A40" t="n">
        <x:v>7</x:v>
      </x:c>
      <x:c r="B40" t="n">
        <x:v>4</x:v>
      </x:c>
      <x:c r="C40" t="str">
        <x:v>午餐</x:v>
      </x:c>
      <x:c r="D40" t="str">
        <x:v>蔬菜</x:v>
      </x:c>
      <x:c r="E40" t="str">
        <x:v>彩椒</x:v>
      </x:c>
      <x:c r="F40" t="n">
        <x:v>160</x:v>
      </x:c>
      <x:c r="G40" t="n">
        <x:v>27</x:v>
      </x:c>
      <x:c r="H40" t="n">
        <x:f>ROUND(F40*G40/100,2)</x:f>
        <x:v>43.2</x:v>
      </x:c>
      <x:c r="I40" t="n">
        <x:v>1</x:v>
      </x:c>
      <x:c r="J40" t="n">
        <x:f>ROUND(F40*I40/100,2)</x:f>
        <x:v>1.6</x:v>
      </x:c>
      <x:c r="K40" t="n">
        <x:v>6.1</x:v>
      </x:c>
      <x:c r="L40" t="n">
        <x:f>ROUND(F40*K40/100,2)</x:f>
        <x:v>9.76</x:v>
      </x:c>
      <x:c r="M40" t="n">
        <x:v>0.2</x:v>
      </x:c>
      <x:c r="N40" t="n">
        <x:f>ROUND(F40*M40/100,2)</x:f>
        <x:v>0.32</x:v>
      </x:c>
      <x:c r="O40" t="str">
        <x:v>生重</x:v>
      </x:c>
    </x:row>
    <x:row r="41" ht="23" customHeight="1">
      <x:c r="A41" t="n">
        <x:v>7</x:v>
      </x:c>
      <x:c r="B41" t="n">
        <x:v>4</x:v>
      </x:c>
      <x:c r="C41" t="str">
        <x:v>午餐</x:v>
      </x:c>
      <x:c r="D41" t="str">
        <x:v>菌菇</x:v>
      </x:c>
      <x:c r="E41" t="str">
        <x:v>口蘑</x:v>
      </x:c>
      <x:c r="F41" t="n">
        <x:v>150</x:v>
      </x:c>
      <x:c r="G41" t="n">
        <x:v>22</x:v>
      </x:c>
      <x:c r="H41" t="n">
        <x:f>ROUND(F41*G41/100,2)</x:f>
        <x:v>33</x:v>
      </x:c>
      <x:c r="I41" t="n">
        <x:v>3.1</x:v>
      </x:c>
      <x:c r="J41" t="n">
        <x:f>ROUND(F41*I41/100,2)</x:f>
        <x:v>4.65</x:v>
      </x:c>
      <x:c r="K41" t="n">
        <x:v>3.3</x:v>
      </x:c>
      <x:c r="L41" t="n">
        <x:f>ROUND(F41*K41/100,2)</x:f>
        <x:v>4.95</x:v>
      </x:c>
      <x:c r="M41" t="n">
        <x:v>0.3</x:v>
      </x:c>
      <x:c r="N41" t="n">
        <x:f>ROUND(F41*M41/100,2)</x:f>
        <x:v>0.45</x:v>
      </x:c>
      <x:c r="O41" t="str">
        <x:v>生重</x:v>
      </x:c>
    </x:row>
    <x:row r="42" ht="23" customHeight="1">
      <x:c r="A42" t="n">
        <x:v>7</x:v>
      </x:c>
      <x:c r="B42" t="n">
        <x:v>4</x:v>
      </x:c>
      <x:c r="C42" t="str">
        <x:v>午餐</x:v>
      </x:c>
      <x:c r="D42" t="str">
        <x:v>主食</x:v>
      </x:c>
      <x:c r="E42" t="str">
        <x:v>糙米饭</x:v>
      </x:c>
      <x:c r="F42" t="n">
        <x:v>120</x:v>
      </x:c>
      <x:c r="G42" t="n">
        <x:v>112</x:v>
      </x:c>
      <x:c r="H42" t="n">
        <x:f>ROUND(F42*G42/100,2)</x:f>
        <x:v>134.4</x:v>
      </x:c>
      <x:c r="I42" t="n">
        <x:v>2.6</x:v>
      </x:c>
      <x:c r="J42" t="n">
        <x:f>ROUND(F42*I42/100,2)</x:f>
        <x:v>3.12</x:v>
      </x:c>
      <x:c r="K42" t="n">
        <x:v>23.5</x:v>
      </x:c>
      <x:c r="L42" t="n">
        <x:f>ROUND(F42*K42/100,2)</x:f>
        <x:v>28.2</x:v>
      </x:c>
      <x:c r="M42" t="n">
        <x:v>0.9</x:v>
      </x:c>
      <x:c r="N42" t="n">
        <x:f>ROUND(F42*M42/100,2)</x:f>
        <x:v>1.08</x:v>
      </x:c>
      <x:c r="O42" t="str">
        <x:v>熟重</x:v>
      </x:c>
    </x:row>
    <x:row r="43" ht="23" customHeight="1">
      <x:c r="A43" t="n">
        <x:v>7</x:v>
      </x:c>
      <x:c r="B43" t="n">
        <x:v>4</x:v>
      </x:c>
      <x:c r="C43" t="str">
        <x:v>午餐</x:v>
      </x:c>
      <x:c r="D43" t="str">
        <x:v>油脂</x:v>
      </x:c>
      <x:c r="E43" t="str">
        <x:v>烹调油</x:v>
      </x:c>
      <x:c r="F43" t="n">
        <x:v>3</x:v>
      </x:c>
      <x:c r="G43" t="n">
        <x:v>900</x:v>
      </x:c>
      <x:c r="H43" t="n">
        <x:f>ROUND(F43*G43/100,2)</x:f>
        <x:v>27</x:v>
      </x:c>
      <x:c r="I43" t="n">
        <x:v>0</x:v>
      </x:c>
      <x:c r="J43" t="n">
        <x:f>ROUND(F43*I43/100,2)</x:f>
        <x:v>0</x:v>
      </x:c>
      <x:c r="K43" t="n">
        <x:v>0</x:v>
      </x:c>
      <x:c r="L43" t="n">
        <x:f>ROUND(F43*K43/100,2)</x:f>
        <x:v>0</x:v>
      </x:c>
      <x:c r="M43" t="n">
        <x:v>100</x:v>
      </x:c>
      <x:c r="N43" t="n">
        <x:f>ROUND(F43*M43/100,2)</x:f>
        <x:v>3</x:v>
      </x:c>
      <x:c r="O43" t="str">
        <x:v>实际用油重</x:v>
      </x:c>
    </x:row>
    <x:row r="44" ht="23" customHeight="1">
      <x:c r="A44" t="n">
        <x:v>8</x:v>
      </x:c>
      <x:c r="B44" t="n">
        <x:v>4</x:v>
      </x:c>
      <x:c r="C44" t="str">
        <x:v>晚餐</x:v>
      </x:c>
      <x:c r="D44" t="str">
        <x:v>鱼类</x:v>
      </x:c>
      <x:c r="E44" t="str">
        <x:v>鲈鱼</x:v>
      </x:c>
      <x:c r="F44" t="n">
        <x:v>200</x:v>
      </x:c>
      <x:c r="G44" t="n">
        <x:v>105</x:v>
      </x:c>
      <x:c r="H44" t="n">
        <x:f>ROUND(F44*G44/100,2)</x:f>
        <x:v>210</x:v>
      </x:c>
      <x:c r="I44" t="n">
        <x:v>19</x:v>
      </x:c>
      <x:c r="J44" t="n">
        <x:f>ROUND(F44*I44/100,2)</x:f>
        <x:v>38</x:v>
      </x:c>
      <x:c r="K44" t="n">
        <x:v>0</x:v>
      </x:c>
      <x:c r="L44" t="n">
        <x:f>ROUND(F44*K44/100,2)</x:f>
        <x:v>0</x:v>
      </x:c>
      <x:c r="M44" t="n">
        <x:v>3</x:v>
      </x:c>
      <x:c r="N44" t="n">
        <x:f>ROUND(F44*M44/100,2)</x:f>
        <x:v>6</x:v>
      </x:c>
      <x:c r="O44" t="str">
        <x:v>净鱼肉生重</x:v>
      </x:c>
    </x:row>
    <x:row r="45" ht="23" customHeight="1">
      <x:c r="A45" t="n">
        <x:v>8</x:v>
      </x:c>
      <x:c r="B45" t="n">
        <x:v>4</x:v>
      </x:c>
      <x:c r="C45" t="str">
        <x:v>晚餐</x:v>
      </x:c>
      <x:c r="D45" t="str"/>
      <x:c r="E45" t="str"/>
      <x:c r="F45" t="n">
        <x:v>0</x:v>
      </x:c>
      <x:c r="G45" t="n">
        <x:v>0</x:v>
      </x:c>
      <x:c r="H45" t="n">
        <x:f>ROUND(F45*G45/100,2)</x:f>
        <x:v>0</x:v>
      </x:c>
      <x:c r="I45" t="n">
        <x:v>0</x:v>
      </x:c>
      <x:c r="J45" t="n">
        <x:f>ROUND(F45*I45/100,2)</x:f>
        <x:v>0</x:v>
      </x:c>
      <x:c r="K45" t="n">
        <x:v>0</x:v>
      </x:c>
      <x:c r="L45" t="n">
        <x:f>ROUND(F45*K45/100,2)</x:f>
        <x:v>0</x:v>
      </x:c>
      <x:c r="M45" t="n">
        <x:v>0</x:v>
      </x:c>
      <x:c r="N45" t="n">
        <x:f>ROUND(F45*M45/100,2)</x:f>
        <x:v>0</x:v>
      </x:c>
      <x:c r="O45" t="str"/>
    </x:row>
    <x:row r="46" ht="23" customHeight="1">
      <x:c r="A46" t="n">
        <x:v>8</x:v>
      </x:c>
      <x:c r="B46" t="n">
        <x:v>4</x:v>
      </x:c>
      <x:c r="C46" t="str">
        <x:v>晚餐</x:v>
      </x:c>
      <x:c r="D46" t="str">
        <x:v>蔬菜</x:v>
      </x:c>
      <x:c r="E46" t="str">
        <x:v>娃娃菜</x:v>
      </x:c>
      <x:c r="F46" t="n">
        <x:v>165</x:v>
      </x:c>
      <x:c r="G46" t="n">
        <x:v>17</x:v>
      </x:c>
      <x:c r="H46" t="n">
        <x:f>ROUND(F46*G46/100,2)</x:f>
        <x:v>28.05</x:v>
      </x:c>
      <x:c r="I46" t="n">
        <x:v>1.3</x:v>
      </x:c>
      <x:c r="J46" t="n">
        <x:f>ROUND(F46*I46/100,2)</x:f>
        <x:v>2.15</x:v>
      </x:c>
      <x:c r="K46" t="n">
        <x:v>3</x:v>
      </x:c>
      <x:c r="L46" t="n">
        <x:f>ROUND(F46*K46/100,2)</x:f>
        <x:v>4.95</x:v>
      </x:c>
      <x:c r="M46" t="n">
        <x:v>0.2</x:v>
      </x:c>
      <x:c r="N46" t="n">
        <x:f>ROUND(F46*M46/100,2)</x:f>
        <x:v>0.33</x:v>
      </x:c>
      <x:c r="O46" t="str">
        <x:v>生重</x:v>
      </x:c>
    </x:row>
    <x:row r="47" ht="23" customHeight="1">
      <x:c r="A47" t="n">
        <x:v>8</x:v>
      </x:c>
      <x:c r="B47" t="n">
        <x:v>4</x:v>
      </x:c>
      <x:c r="C47" t="str">
        <x:v>晚餐</x:v>
      </x:c>
      <x:c r="D47" t="str">
        <x:v>菌菇</x:v>
      </x:c>
      <x:c r="E47" t="str">
        <x:v>香菇</x:v>
      </x:c>
      <x:c r="F47" t="n">
        <x:v>140</x:v>
      </x:c>
      <x:c r="G47" t="n">
        <x:v>34</x:v>
      </x:c>
      <x:c r="H47" t="n">
        <x:f>ROUND(F47*G47/100,2)</x:f>
        <x:v>47.6</x:v>
      </x:c>
      <x:c r="I47" t="n">
        <x:v>2.2</x:v>
      </x:c>
      <x:c r="J47" t="n">
        <x:f>ROUND(F47*I47/100,2)</x:f>
        <x:v>3.08</x:v>
      </x:c>
      <x:c r="K47" t="n">
        <x:v>6.8</x:v>
      </x:c>
      <x:c r="L47" t="n">
        <x:f>ROUND(F47*K47/100,2)</x:f>
        <x:v>9.52</x:v>
      </x:c>
      <x:c r="M47" t="n">
        <x:v>0.5</x:v>
      </x:c>
      <x:c r="N47" t="n">
        <x:f>ROUND(F47*M47/100,2)</x:f>
        <x:v>0.7</x:v>
      </x:c>
      <x:c r="O47" t="str">
        <x:v>生重</x:v>
      </x:c>
    </x:row>
    <x:row r="48" ht="23" customHeight="1">
      <x:c r="A48" t="n">
        <x:v>8</x:v>
      </x:c>
      <x:c r="B48" t="n">
        <x:v>4</x:v>
      </x:c>
      <x:c r="C48" t="str">
        <x:v>晚餐</x:v>
      </x:c>
      <x:c r="D48" t="str">
        <x:v>主食</x:v>
      </x:c>
      <x:c r="E48" t="str">
        <x:v>紫薯</x:v>
      </x:c>
      <x:c r="F48" t="n">
        <x:v>120</x:v>
      </x:c>
      <x:c r="G48" t="n">
        <x:v>95</x:v>
      </x:c>
      <x:c r="H48" t="n">
        <x:f>ROUND(F48*G48/100,2)</x:f>
        <x:v>114</x:v>
      </x:c>
      <x:c r="I48" t="n">
        <x:v>1.6</x:v>
      </x:c>
      <x:c r="J48" t="n">
        <x:f>ROUND(F48*I48/100,2)</x:f>
        <x:v>1.92</x:v>
      </x:c>
      <x:c r="K48" t="n">
        <x:v>22</x:v>
      </x:c>
      <x:c r="L48" t="n">
        <x:f>ROUND(F48*K48/100,2)</x:f>
        <x:v>26.4</x:v>
      </x:c>
      <x:c r="M48" t="n">
        <x:v>0.1</x:v>
      </x:c>
      <x:c r="N48" t="n">
        <x:f>ROUND(F48*M48/100,2)</x:f>
        <x:v>0.12</x:v>
      </x:c>
      <x:c r="O48" t="str">
        <x:v>蒸熟净重</x:v>
      </x:c>
    </x:row>
    <x:row r="49" ht="23" customHeight="1">
      <x:c r="A49" t="n">
        <x:v>8</x:v>
      </x:c>
      <x:c r="B49" t="n">
        <x:v>4</x:v>
      </x:c>
      <x:c r="C49" t="str">
        <x:v>晚餐</x:v>
      </x:c>
      <x:c r="D49" t="str">
        <x:v>油脂</x:v>
      </x:c>
      <x:c r="E49" t="str">
        <x:v>烹调油</x:v>
      </x:c>
      <x:c r="F49" t="n">
        <x:v>3</x:v>
      </x:c>
      <x:c r="G49" t="n">
        <x:v>900</x:v>
      </x:c>
      <x:c r="H49" t="n">
        <x:f>ROUND(F49*G49/100,2)</x:f>
        <x:v>27</x:v>
      </x:c>
      <x:c r="I49" t="n">
        <x:v>0</x:v>
      </x:c>
      <x:c r="J49" t="n">
        <x:f>ROUND(F49*I49/100,2)</x:f>
        <x:v>0</x:v>
      </x:c>
      <x:c r="K49" t="n">
        <x:v>0</x:v>
      </x:c>
      <x:c r="L49" t="n">
        <x:f>ROUND(F49*K49/100,2)</x:f>
        <x:v>0</x:v>
      </x:c>
      <x:c r="M49" t="n">
        <x:v>100</x:v>
      </x:c>
      <x:c r="N49" t="n">
        <x:f>ROUND(F49*M49/100,2)</x:f>
        <x:v>3</x:v>
      </x:c>
      <x:c r="O49" t="str">
        <x:v>实际用油重</x:v>
      </x:c>
    </x:row>
    <x:row r="50" ht="23" customHeight="1">
      <x:c r="A50" t="n">
        <x:v>9</x:v>
      </x:c>
      <x:c r="B50" t="n">
        <x:v>5</x:v>
      </x:c>
      <x:c r="C50" t="str">
        <x:v>午餐</x:v>
      </x:c>
      <x:c r="D50" t="str">
        <x:v>海鲜</x:v>
      </x:c>
      <x:c r="E50" t="str">
        <x:v>虾仁</x:v>
      </x:c>
      <x:c r="F50" t="n">
        <x:v>160</x:v>
      </x:c>
      <x:c r="G50" t="n">
        <x:v>90</x:v>
      </x:c>
      <x:c r="H50" t="n">
        <x:f>ROUND(F50*G50/100,2)</x:f>
        <x:v>144</x:v>
      </x:c>
      <x:c r="I50" t="n">
        <x:v>19</x:v>
      </x:c>
      <x:c r="J50" t="n">
        <x:f>ROUND(F50*I50/100,2)</x:f>
        <x:v>30.4</x:v>
      </x:c>
      <x:c r="K50" t="n">
        <x:v>0.4</x:v>
      </x:c>
      <x:c r="L50" t="n">
        <x:f>ROUND(F50*K50/100,2)</x:f>
        <x:v>0.64</x:v>
      </x:c>
      <x:c r="M50" t="n">
        <x:v>1.1</x:v>
      </x:c>
      <x:c r="N50" t="n">
        <x:f>ROUND(F50*M50/100,2)</x:f>
        <x:v>1.76</x:v>
      </x:c>
      <x:c r="O50" t="str">
        <x:v>生重</x:v>
      </x:c>
    </x:row>
    <x:row r="51" ht="23" customHeight="1">
      <x:c r="A51" t="n">
        <x:v>9</x:v>
      </x:c>
      <x:c r="B51" t="n">
        <x:v>5</x:v>
      </x:c>
      <x:c r="C51" t="str">
        <x:v>午餐</x:v>
      </x:c>
      <x:c r="D51" t="str">
        <x:v>豆蛋</x:v>
      </x:c>
      <x:c r="E51" t="str">
        <x:v>嫩豆腐</x:v>
      </x:c>
      <x:c r="F51" t="n">
        <x:v>160</x:v>
      </x:c>
      <x:c r="G51" t="n">
        <x:v>55</x:v>
      </x:c>
      <x:c r="H51" t="n">
        <x:f>ROUND(F51*G51/100,2)</x:f>
        <x:v>88</x:v>
      </x:c>
      <x:c r="I51" t="n">
        <x:v>5</x:v>
      </x:c>
      <x:c r="J51" t="n">
        <x:f>ROUND(F51*I51/100,2)</x:f>
        <x:v>8</x:v>
      </x:c>
      <x:c r="K51" t="n">
        <x:v>2</x:v>
      </x:c>
      <x:c r="L51" t="n">
        <x:f>ROUND(F51*K51/100,2)</x:f>
        <x:v>3.2</x:v>
      </x:c>
      <x:c r="M51" t="n">
        <x:v>2.8</x:v>
      </x:c>
      <x:c r="N51" t="n">
        <x:f>ROUND(F51*M51/100,2)</x:f>
        <x:v>4.48</x:v>
      </x:c>
      <x:c r="O51" t="str">
        <x:v>净重</x:v>
      </x:c>
    </x:row>
    <x:row r="52" ht="23" customHeight="1">
      <x:c r="A52" t="n">
        <x:v>9</x:v>
      </x:c>
      <x:c r="B52" t="n">
        <x:v>5</x:v>
      </x:c>
      <x:c r="C52" t="str">
        <x:v>午餐</x:v>
      </x:c>
      <x:c r="D52" t="str">
        <x:v>蔬菜</x:v>
      </x:c>
      <x:c r="E52" t="str">
        <x:v>番茄</x:v>
      </x:c>
      <x:c r="F52" t="n">
        <x:v>170</x:v>
      </x:c>
      <x:c r="G52" t="n">
        <x:v>20</x:v>
      </x:c>
      <x:c r="H52" t="n">
        <x:f>ROUND(F52*G52/100,2)</x:f>
        <x:v>34</x:v>
      </x:c>
      <x:c r="I52" t="n">
        <x:v>0.9</x:v>
      </x:c>
      <x:c r="J52" t="n">
        <x:f>ROUND(F52*I52/100,2)</x:f>
        <x:v>1.53</x:v>
      </x:c>
      <x:c r="K52" t="n">
        <x:v>4</x:v>
      </x:c>
      <x:c r="L52" t="n">
        <x:f>ROUND(F52*K52/100,2)</x:f>
        <x:v>6.8</x:v>
      </x:c>
      <x:c r="M52" t="n">
        <x:v>0.2</x:v>
      </x:c>
      <x:c r="N52" t="n">
        <x:f>ROUND(F52*M52/100,2)</x:f>
        <x:v>0.34</x:v>
      </x:c>
      <x:c r="O52" t="str">
        <x:v>生重</x:v>
      </x:c>
    </x:row>
    <x:row r="53" ht="23" customHeight="1">
      <x:c r="A53" t="n">
        <x:v>9</x:v>
      </x:c>
      <x:c r="B53" t="n">
        <x:v>5</x:v>
      </x:c>
      <x:c r="C53" t="str">
        <x:v>午餐</x:v>
      </x:c>
      <x:c r="D53" t="str">
        <x:v>蔬菜</x:v>
      </x:c>
      <x:c r="E53" t="str">
        <x:v>小白菜</x:v>
      </x:c>
      <x:c r="F53" t="n">
        <x:v>160</x:v>
      </x:c>
      <x:c r="G53" t="n">
        <x:v>17</x:v>
      </x:c>
      <x:c r="H53" t="n">
        <x:f>ROUND(F53*G53/100,2)</x:f>
        <x:v>27.2</x:v>
      </x:c>
      <x:c r="I53" t="n">
        <x:v>1.6</x:v>
      </x:c>
      <x:c r="J53" t="n">
        <x:f>ROUND(F53*I53/100,2)</x:f>
        <x:v>2.56</x:v>
      </x:c>
      <x:c r="K53" t="n">
        <x:v>2.8</x:v>
      </x:c>
      <x:c r="L53" t="n">
        <x:f>ROUND(F53*K53/100,2)</x:f>
        <x:v>4.48</x:v>
      </x:c>
      <x:c r="M53" t="n">
        <x:v>0.2</x:v>
      </x:c>
      <x:c r="N53" t="n">
        <x:f>ROUND(F53*M53/100,2)</x:f>
        <x:v>0.32</x:v>
      </x:c>
      <x:c r="O53" t="str">
        <x:v>生重</x:v>
      </x:c>
    </x:row>
    <x:row r="54" ht="23" customHeight="1">
      <x:c r="A54" t="n">
        <x:v>9</x:v>
      </x:c>
      <x:c r="B54" t="n">
        <x:v>5</x:v>
      </x:c>
      <x:c r="C54" t="str">
        <x:v>午餐</x:v>
      </x:c>
      <x:c r="D54" t="str">
        <x:v>主食</x:v>
      </x:c>
      <x:c r="E54" t="str">
        <x:v>玉米</x:v>
      </x:c>
      <x:c r="F54" t="n">
        <x:v>125</x:v>
      </x:c>
      <x:c r="G54" t="n">
        <x:v>105</x:v>
      </x:c>
      <x:c r="H54" t="n">
        <x:f>ROUND(F54*G54/100,2)</x:f>
        <x:v>131.25</x:v>
      </x:c>
      <x:c r="I54" t="n">
        <x:v>3.4</x:v>
      </x:c>
      <x:c r="J54" t="n">
        <x:f>ROUND(F54*I54/100,2)</x:f>
        <x:v>4.25</x:v>
      </x:c>
      <x:c r="K54" t="n">
        <x:v>22</x:v>
      </x:c>
      <x:c r="L54" t="n">
        <x:f>ROUND(F54*K54/100,2)</x:f>
        <x:v>27.5</x:v>
      </x:c>
      <x:c r="M54" t="n">
        <x:v>1.5</x:v>
      </x:c>
      <x:c r="N54" t="n">
        <x:f>ROUND(F54*M54/100,2)</x:f>
        <x:v>1.88</x:v>
      </x:c>
      <x:c r="O54" t="str">
        <x:v>蒸熟净重</x:v>
      </x:c>
    </x:row>
    <x:row r="55" ht="23" customHeight="1">
      <x:c r="A55" t="n">
        <x:v>9</x:v>
      </x:c>
      <x:c r="B55" t="n">
        <x:v>5</x:v>
      </x:c>
      <x:c r="C55" t="str">
        <x:v>午餐</x:v>
      </x:c>
      <x:c r="D55" t="str">
        <x:v>油脂</x:v>
      </x:c>
      <x:c r="E55" t="str">
        <x:v>烹调油</x:v>
      </x:c>
      <x:c r="F55" t="n">
        <x:v>3</x:v>
      </x:c>
      <x:c r="G55" t="n">
        <x:v>900</x:v>
      </x:c>
      <x:c r="H55" t="n">
        <x:f>ROUND(F55*G55/100,2)</x:f>
        <x:v>27</x:v>
      </x:c>
      <x:c r="I55" t="n">
        <x:v>0</x:v>
      </x:c>
      <x:c r="J55" t="n">
        <x:f>ROUND(F55*I55/100,2)</x:f>
        <x:v>0</x:v>
      </x:c>
      <x:c r="K55" t="n">
        <x:v>0</x:v>
      </x:c>
      <x:c r="L55" t="n">
        <x:f>ROUND(F55*K55/100,2)</x:f>
        <x:v>0</x:v>
      </x:c>
      <x:c r="M55" t="n">
        <x:v>100</x:v>
      </x:c>
      <x:c r="N55" t="n">
        <x:f>ROUND(F55*M55/100,2)</x:f>
        <x:v>3</x:v>
      </x:c>
      <x:c r="O55" t="str">
        <x:v>实际用油重</x:v>
      </x:c>
    </x:row>
    <x:row r="56" ht="23" customHeight="1">
      <x:c r="A56" t="n">
        <x:v>10</x:v>
      </x:c>
      <x:c r="B56" t="n">
        <x:v>5</x:v>
      </x:c>
      <x:c r="C56" t="str">
        <x:v>晚餐</x:v>
      </x:c>
      <x:c r="D56" t="str">
        <x:v>禽肉</x:v>
      </x:c>
      <x:c r="E56" t="str">
        <x:v>鸡胸肉</x:v>
      </x:c>
      <x:c r="F56" t="n">
        <x:v>170</x:v>
      </x:c>
      <x:c r="G56" t="n">
        <x:v>110</x:v>
      </x:c>
      <x:c r="H56" t="n">
        <x:f>ROUND(F56*G56/100,2)</x:f>
        <x:v>187</x:v>
      </x:c>
      <x:c r="I56" t="n">
        <x:v>23</x:v>
      </x:c>
      <x:c r="J56" t="n">
        <x:f>ROUND(F56*I56/100,2)</x:f>
        <x:v>39.1</x:v>
      </x:c>
      <x:c r="K56" t="n">
        <x:v>0</x:v>
      </x:c>
      <x:c r="L56" t="n">
        <x:f>ROUND(F56*K56/100,2)</x:f>
        <x:v>0</x:v>
      </x:c>
      <x:c r="M56" t="n">
        <x:v>2</x:v>
      </x:c>
      <x:c r="N56" t="n">
        <x:f>ROUND(F56*M56/100,2)</x:f>
        <x:v>3.4</x:v>
      </x:c>
      <x:c r="O56" t="str">
        <x:v>生重</x:v>
      </x:c>
    </x:row>
    <x:row r="57" ht="23" customHeight="1">
      <x:c r="A57" t="n">
        <x:v>10</x:v>
      </x:c>
      <x:c r="B57" t="n">
        <x:v>5</x:v>
      </x:c>
      <x:c r="C57" t="str">
        <x:v>晚餐</x:v>
      </x:c>
      <x:c r="D57" t="str"/>
      <x:c r="E57" t="str"/>
      <x:c r="F57" t="n">
        <x:v>0</x:v>
      </x:c>
      <x:c r="G57" t="n">
        <x:v>0</x:v>
      </x:c>
      <x:c r="H57" t="n">
        <x:f>ROUND(F57*G57/100,2)</x:f>
        <x:v>0</x:v>
      </x:c>
      <x:c r="I57" t="n">
        <x:v>0</x:v>
      </x:c>
      <x:c r="J57" t="n">
        <x:f>ROUND(F57*I57/100,2)</x:f>
        <x:v>0</x:v>
      </x:c>
      <x:c r="K57" t="n">
        <x:v>0</x:v>
      </x:c>
      <x:c r="L57" t="n">
        <x:f>ROUND(F57*K57/100,2)</x:f>
        <x:v>0</x:v>
      </x:c>
      <x:c r="M57" t="n">
        <x:v>0</x:v>
      </x:c>
      <x:c r="N57" t="n">
        <x:f>ROUND(F57*M57/100,2)</x:f>
        <x:v>0</x:v>
      </x:c>
      <x:c r="O57" t="str"/>
    </x:row>
    <x:row r="58" ht="23" customHeight="1">
      <x:c r="A58" t="n">
        <x:v>10</x:v>
      </x:c>
      <x:c r="B58" t="n">
        <x:v>5</x:v>
      </x:c>
      <x:c r="C58" t="str">
        <x:v>晚餐</x:v>
      </x:c>
      <x:c r="D58" t="str">
        <x:v>蔬菜</x:v>
      </x:c>
      <x:c r="E58" t="str">
        <x:v>黄瓜</x:v>
      </x:c>
      <x:c r="F58" t="n">
        <x:v>160</x:v>
      </x:c>
      <x:c r="G58" t="n">
        <x:v>16</x:v>
      </x:c>
      <x:c r="H58" t="n">
        <x:f>ROUND(F58*G58/100,2)</x:f>
        <x:v>25.6</x:v>
      </x:c>
      <x:c r="I58" t="n">
        <x:v>0.7</x:v>
      </x:c>
      <x:c r="J58" t="n">
        <x:f>ROUND(F58*I58/100,2)</x:f>
        <x:v>1.12</x:v>
      </x:c>
      <x:c r="K58" t="n">
        <x:v>3.6</x:v>
      </x:c>
      <x:c r="L58" t="n">
        <x:f>ROUND(F58*K58/100,2)</x:f>
        <x:v>5.76</x:v>
      </x:c>
      <x:c r="M58" t="n">
        <x:v>0.1</x:v>
      </x:c>
      <x:c r="N58" t="n">
        <x:f>ROUND(F58*M58/100,2)</x:f>
        <x:v>0.16</x:v>
      </x:c>
      <x:c r="O58" t="str">
        <x:v>生重</x:v>
      </x:c>
    </x:row>
    <x:row r="59" ht="23" customHeight="1">
      <x:c r="A59" t="n">
        <x:v>10</x:v>
      </x:c>
      <x:c r="B59" t="n">
        <x:v>5</x:v>
      </x:c>
      <x:c r="C59" t="str">
        <x:v>晚餐</x:v>
      </x:c>
      <x:c r="D59" t="str">
        <x:v>菌菇</x:v>
      </x:c>
      <x:c r="E59" t="str">
        <x:v>泡发木耳</x:v>
      </x:c>
      <x:c r="F59" t="n">
        <x:v>150</x:v>
      </x:c>
      <x:c r="G59" t="n">
        <x:v>25</x:v>
      </x:c>
      <x:c r="H59" t="n">
        <x:f>ROUND(F59*G59/100,2)</x:f>
        <x:v>37.5</x:v>
      </x:c>
      <x:c r="I59" t="n">
        <x:v>1.5</x:v>
      </x:c>
      <x:c r="J59" t="n">
        <x:f>ROUND(F59*I59/100,2)</x:f>
        <x:v>2.25</x:v>
      </x:c>
      <x:c r="K59" t="n">
        <x:v>6</x:v>
      </x:c>
      <x:c r="L59" t="n">
        <x:f>ROUND(F59*K59/100,2)</x:f>
        <x:v>9</x:v>
      </x:c>
      <x:c r="M59" t="n">
        <x:v>0.1</x:v>
      </x:c>
      <x:c r="N59" t="n">
        <x:f>ROUND(F59*M59/100,2)</x:f>
        <x:v>0.15</x:v>
      </x:c>
      <x:c r="O59" t="str">
        <x:v>泡发沥水重</x:v>
      </x:c>
    </x:row>
    <x:row r="60" ht="23" customHeight="1">
      <x:c r="A60" t="n">
        <x:v>10</x:v>
      </x:c>
      <x:c r="B60" t="n">
        <x:v>5</x:v>
      </x:c>
      <x:c r="C60" t="str">
        <x:v>晚餐</x:v>
      </x:c>
      <x:c r="D60" t="str">
        <x:v>主食</x:v>
      </x:c>
      <x:c r="E60" t="str">
        <x:v>杂粮饭</x:v>
      </x:c>
      <x:c r="F60" t="n">
        <x:v>120</x:v>
      </x:c>
      <x:c r="G60" t="n">
        <x:v>115</x:v>
      </x:c>
      <x:c r="H60" t="n">
        <x:f>ROUND(F60*G60/100,2)</x:f>
        <x:v>138</x:v>
      </x:c>
      <x:c r="I60" t="n">
        <x:v>3.1</x:v>
      </x:c>
      <x:c r="J60" t="n">
        <x:f>ROUND(F60*I60/100,2)</x:f>
        <x:v>3.72</x:v>
      </x:c>
      <x:c r="K60" t="n">
        <x:v>23.5</x:v>
      </x:c>
      <x:c r="L60" t="n">
        <x:f>ROUND(F60*K60/100,2)</x:f>
        <x:v>28.2</x:v>
      </x:c>
      <x:c r="M60" t="n">
        <x:v>1.1</x:v>
      </x:c>
      <x:c r="N60" t="n">
        <x:f>ROUND(F60*M60/100,2)</x:f>
        <x:v>1.32</x:v>
      </x:c>
      <x:c r="O60" t="str">
        <x:v>熟重</x:v>
      </x:c>
    </x:row>
    <x:row r="61" ht="23" customHeight="1">
      <x:c r="A61" t="n">
        <x:v>10</x:v>
      </x:c>
      <x:c r="B61" t="n">
        <x:v>5</x:v>
      </x:c>
      <x:c r="C61" t="str">
        <x:v>晚餐</x:v>
      </x:c>
      <x:c r="D61" t="str">
        <x:v>油脂</x:v>
      </x:c>
      <x:c r="E61" t="str">
        <x:v>烹调油</x:v>
      </x:c>
      <x:c r="F61" t="n">
        <x:v>5</x:v>
      </x:c>
      <x:c r="G61" t="n">
        <x:v>900</x:v>
      </x:c>
      <x:c r="H61" t="n">
        <x:f>ROUND(F61*G61/100,2)</x:f>
        <x:v>45</x:v>
      </x:c>
      <x:c r="I61" t="n">
        <x:v>0</x:v>
      </x:c>
      <x:c r="J61" t="n">
        <x:f>ROUND(F61*I61/100,2)</x:f>
        <x:v>0</x:v>
      </x:c>
      <x:c r="K61" t="n">
        <x:v>0</x:v>
      </x:c>
      <x:c r="L61" t="n">
        <x:f>ROUND(F61*K61/100,2)</x:f>
        <x:v>0</x:v>
      </x:c>
      <x:c r="M61" t="n">
        <x:v>100</x:v>
      </x:c>
      <x:c r="N61" t="n">
        <x:f>ROUND(F61*M61/100,2)</x:f>
        <x:v>5</x:v>
      </x:c>
      <x:c r="O61" t="str">
        <x:v>实际用油重</x:v>
      </x:c>
    </x:row>
    <x:row r="62" ht="23" customHeight="1">
      <x:c r="A62" t="n">
        <x:v>11</x:v>
      </x:c>
      <x:c r="B62" t="n">
        <x:v>6</x:v>
      </x:c>
      <x:c r="C62" t="str">
        <x:v>午餐</x:v>
      </x:c>
      <x:c r="D62" t="str">
        <x:v>鱼类</x:v>
      </x:c>
      <x:c r="E62" t="str">
        <x:v>鳕鱼</x:v>
      </x:c>
      <x:c r="F62" t="n">
        <x:v>210</x:v>
      </x:c>
      <x:c r="G62" t="n">
        <x:v>85</x:v>
      </x:c>
      <x:c r="H62" t="n">
        <x:f>ROUND(F62*G62/100,2)</x:f>
        <x:v>178.5</x:v>
      </x:c>
      <x:c r="I62" t="n">
        <x:v>18</x:v>
      </x:c>
      <x:c r="J62" t="n">
        <x:f>ROUND(F62*I62/100,2)</x:f>
        <x:v>37.8</x:v>
      </x:c>
      <x:c r="K62" t="n">
        <x:v>0</x:v>
      </x:c>
      <x:c r="L62" t="n">
        <x:f>ROUND(F62*K62/100,2)</x:f>
        <x:v>0</x:v>
      </x:c>
      <x:c r="M62" t="n">
        <x:v>0.8</x:v>
      </x:c>
      <x:c r="N62" t="n">
        <x:f>ROUND(F62*M62/100,2)</x:f>
        <x:v>1.68</x:v>
      </x:c>
      <x:c r="O62" t="str">
        <x:v>净鱼肉生重</x:v>
      </x:c>
    </x:row>
    <x:row r="63" ht="23" customHeight="1">
      <x:c r="A63" t="n">
        <x:v>11</x:v>
      </x:c>
      <x:c r="B63" t="n">
        <x:v>6</x:v>
      </x:c>
      <x:c r="C63" t="str">
        <x:v>午餐</x:v>
      </x:c>
      <x:c r="D63" t="str"/>
      <x:c r="E63" t="str"/>
      <x:c r="F63" t="n">
        <x:v>0</x:v>
      </x:c>
      <x:c r="G63" t="n">
        <x:v>0</x:v>
      </x:c>
      <x:c r="H63" t="n">
        <x:f>ROUND(F63*G63/100,2)</x:f>
        <x:v>0</x:v>
      </x:c>
      <x:c r="I63" t="n">
        <x:v>0</x:v>
      </x:c>
      <x:c r="J63" t="n">
        <x:f>ROUND(F63*I63/100,2)</x:f>
        <x:v>0</x:v>
      </x:c>
      <x:c r="K63" t="n">
        <x:v>0</x:v>
      </x:c>
      <x:c r="L63" t="n">
        <x:f>ROUND(F63*K63/100,2)</x:f>
        <x:v>0</x:v>
      </x:c>
      <x:c r="M63" t="n">
        <x:v>0</x:v>
      </x:c>
      <x:c r="N63" t="n">
        <x:f>ROUND(F63*M63/100,2)</x:f>
        <x:v>0</x:v>
      </x:c>
      <x:c r="O63" t="str"/>
    </x:row>
    <x:row r="64" ht="23" customHeight="1">
      <x:c r="A64" t="n">
        <x:v>11</x:v>
      </x:c>
      <x:c r="B64" t="n">
        <x:v>6</x:v>
      </x:c>
      <x:c r="C64" t="str">
        <x:v>午餐</x:v>
      </x:c>
      <x:c r="D64" t="str">
        <x:v>蔬菜</x:v>
      </x:c>
      <x:c r="E64" t="str">
        <x:v>西兰花</x:v>
      </x:c>
      <x:c r="F64" t="n">
        <x:v>190</x:v>
      </x:c>
      <x:c r="G64" t="n">
        <x:v>34</x:v>
      </x:c>
      <x:c r="H64" t="n">
        <x:f>ROUND(F64*G64/100,2)</x:f>
        <x:v>64.6</x:v>
      </x:c>
      <x:c r="I64" t="n">
        <x:v>2.8</x:v>
      </x:c>
      <x:c r="J64" t="n">
        <x:f>ROUND(F64*I64/100,2)</x:f>
        <x:v>5.32</x:v>
      </x:c>
      <x:c r="K64" t="n">
        <x:v>7</x:v>
      </x:c>
      <x:c r="L64" t="n">
        <x:f>ROUND(F64*K64/100,2)</x:f>
        <x:v>13.3</x:v>
      </x:c>
      <x:c r="M64" t="n">
        <x:v>0.4</x:v>
      </x:c>
      <x:c r="N64" t="n">
        <x:f>ROUND(F64*M64/100,2)</x:f>
        <x:v>0.76</x:v>
      </x:c>
      <x:c r="O64" t="str">
        <x:v>生重</x:v>
      </x:c>
    </x:row>
    <x:row r="65" ht="23" customHeight="1">
      <x:c r="A65" t="n">
        <x:v>11</x:v>
      </x:c>
      <x:c r="B65" t="n">
        <x:v>6</x:v>
      </x:c>
      <x:c r="C65" t="str">
        <x:v>午餐</x:v>
      </x:c>
      <x:c r="D65" t="str">
        <x:v>菌菇</x:v>
      </x:c>
      <x:c r="E65" t="str">
        <x:v>口蘑</x:v>
      </x:c>
      <x:c r="F65" t="n">
        <x:v>150</x:v>
      </x:c>
      <x:c r="G65" t="n">
        <x:v>22</x:v>
      </x:c>
      <x:c r="H65" t="n">
        <x:f>ROUND(F65*G65/100,2)</x:f>
        <x:v>33</x:v>
      </x:c>
      <x:c r="I65" t="n">
        <x:v>3.1</x:v>
      </x:c>
      <x:c r="J65" t="n">
        <x:f>ROUND(F65*I65/100,2)</x:f>
        <x:v>4.65</x:v>
      </x:c>
      <x:c r="K65" t="n">
        <x:v>3.3</x:v>
      </x:c>
      <x:c r="L65" t="n">
        <x:f>ROUND(F65*K65/100,2)</x:f>
        <x:v>4.95</x:v>
      </x:c>
      <x:c r="M65" t="n">
        <x:v>0.3</x:v>
      </x:c>
      <x:c r="N65" t="n">
        <x:f>ROUND(F65*M65/100,2)</x:f>
        <x:v>0.45</x:v>
      </x:c>
      <x:c r="O65" t="str">
        <x:v>生重</x:v>
      </x:c>
    </x:row>
    <x:row r="66" ht="23" customHeight="1">
      <x:c r="A66" t="n">
        <x:v>11</x:v>
      </x:c>
      <x:c r="B66" t="n">
        <x:v>6</x:v>
      </x:c>
      <x:c r="C66" t="str">
        <x:v>午餐</x:v>
      </x:c>
      <x:c r="D66" t="str">
        <x:v>主食</x:v>
      </x:c>
      <x:c r="E66" t="str">
        <x:v>紫薯</x:v>
      </x:c>
      <x:c r="F66" t="n">
        <x:v>135</x:v>
      </x:c>
      <x:c r="G66" t="n">
        <x:v>95</x:v>
      </x:c>
      <x:c r="H66" t="n">
        <x:f>ROUND(F66*G66/100,2)</x:f>
        <x:v>128.25</x:v>
      </x:c>
      <x:c r="I66" t="n">
        <x:v>1.6</x:v>
      </x:c>
      <x:c r="J66" t="n">
        <x:f>ROUND(F66*I66/100,2)</x:f>
        <x:v>2.16</x:v>
      </x:c>
      <x:c r="K66" t="n">
        <x:v>22</x:v>
      </x:c>
      <x:c r="L66" t="n">
        <x:f>ROUND(F66*K66/100,2)</x:f>
        <x:v>29.7</x:v>
      </x:c>
      <x:c r="M66" t="n">
        <x:v>0.1</x:v>
      </x:c>
      <x:c r="N66" t="n">
        <x:f>ROUND(F66*M66/100,2)</x:f>
        <x:v>0.14</x:v>
      </x:c>
      <x:c r="O66" t="str">
        <x:v>蒸熟净重</x:v>
      </x:c>
    </x:row>
    <x:row r="67" ht="23" customHeight="1">
      <x:c r="A67" t="n">
        <x:v>11</x:v>
      </x:c>
      <x:c r="B67" t="n">
        <x:v>6</x:v>
      </x:c>
      <x:c r="C67" t="str">
        <x:v>午餐</x:v>
      </x:c>
      <x:c r="D67" t="str">
        <x:v>油脂</x:v>
      </x:c>
      <x:c r="E67" t="str">
        <x:v>烹调油</x:v>
      </x:c>
      <x:c r="F67" t="n">
        <x:v>4</x:v>
      </x:c>
      <x:c r="G67" t="n">
        <x:v>900</x:v>
      </x:c>
      <x:c r="H67" t="n">
        <x:f>ROUND(F67*G67/100,2)</x:f>
        <x:v>36</x:v>
      </x:c>
      <x:c r="I67" t="n">
        <x:v>0</x:v>
      </x:c>
      <x:c r="J67" t="n">
        <x:f>ROUND(F67*I67/100,2)</x:f>
        <x:v>0</x:v>
      </x:c>
      <x:c r="K67" t="n">
        <x:v>0</x:v>
      </x:c>
      <x:c r="L67" t="n">
        <x:f>ROUND(F67*K67/100,2)</x:f>
        <x:v>0</x:v>
      </x:c>
      <x:c r="M67" t="n">
        <x:v>100</x:v>
      </x:c>
      <x:c r="N67" t="n">
        <x:f>ROUND(F67*M67/100,2)</x:f>
        <x:v>4</x:v>
      </x:c>
      <x:c r="O67" t="str">
        <x:v>实际用油重</x:v>
      </x:c>
    </x:row>
    <x:row r="68" ht="23" customHeight="1">
      <x:c r="A68" t="n">
        <x:v>12</x:v>
      </x:c>
      <x:c r="B68" t="n">
        <x:v>6</x:v>
      </x:c>
      <x:c r="C68" t="str">
        <x:v>晚餐</x:v>
      </x:c>
      <x:c r="D68" t="str">
        <x:v>豆蛋</x:v>
      </x:c>
      <x:c r="E68" t="str">
        <x:v>鸡蛋</x:v>
      </x:c>
      <x:c r="F68" t="n">
        <x:v>115</x:v>
      </x:c>
      <x:c r="G68" t="n">
        <x:v>144</x:v>
      </x:c>
      <x:c r="H68" t="n">
        <x:f>ROUND(F68*G68/100,2)</x:f>
        <x:v>165.6</x:v>
      </x:c>
      <x:c r="I68" t="n">
        <x:v>13</x:v>
      </x:c>
      <x:c r="J68" t="n">
        <x:f>ROUND(F68*I68/100,2)</x:f>
        <x:v>14.95</x:v>
      </x:c>
      <x:c r="K68" t="n">
        <x:v>1.1</x:v>
      </x:c>
      <x:c r="L68" t="n">
        <x:f>ROUND(F68*K68/100,2)</x:f>
        <x:v>1.27</x:v>
      </x:c>
      <x:c r="M68" t="n">
        <x:v>10</x:v>
      </x:c>
      <x:c r="N68" t="n">
        <x:f>ROUND(F68*M68/100,2)</x:f>
        <x:v>11.5</x:v>
      </x:c>
      <x:c r="O68" t="str">
        <x:v>去壳可食重</x:v>
      </x:c>
    </x:row>
    <x:row r="69" ht="23" customHeight="1">
      <x:c r="A69" t="n">
        <x:v>12</x:v>
      </x:c>
      <x:c r="B69" t="n">
        <x:v>6</x:v>
      </x:c>
      <x:c r="C69" t="str">
        <x:v>晚餐</x:v>
      </x:c>
      <x:c r="D69" t="str">
        <x:v>海鲜</x:v>
      </x:c>
      <x:c r="E69" t="str">
        <x:v>虾仁</x:v>
      </x:c>
      <x:c r="F69" t="n">
        <x:v>90</x:v>
      </x:c>
      <x:c r="G69" t="n">
        <x:v>90</x:v>
      </x:c>
      <x:c r="H69" t="n">
        <x:f>ROUND(F69*G69/100,2)</x:f>
        <x:v>81</x:v>
      </x:c>
      <x:c r="I69" t="n">
        <x:v>19</x:v>
      </x:c>
      <x:c r="J69" t="n">
        <x:f>ROUND(F69*I69/100,2)</x:f>
        <x:v>17.1</x:v>
      </x:c>
      <x:c r="K69" t="n">
        <x:v>0.4</x:v>
      </x:c>
      <x:c r="L69" t="n">
        <x:f>ROUND(F69*K69/100,2)</x:f>
        <x:v>0.36</x:v>
      </x:c>
      <x:c r="M69" t="n">
        <x:v>1.1</x:v>
      </x:c>
      <x:c r="N69" t="n">
        <x:f>ROUND(F69*M69/100,2)</x:f>
        <x:v>0.99</x:v>
      </x:c>
      <x:c r="O69" t="str">
        <x:v>生重</x:v>
      </x:c>
    </x:row>
    <x:row r="70" ht="23" customHeight="1">
      <x:c r="A70" t="n">
        <x:v>12</x:v>
      </x:c>
      <x:c r="B70" t="n">
        <x:v>6</x:v>
      </x:c>
      <x:c r="C70" t="str">
        <x:v>晚餐</x:v>
      </x:c>
      <x:c r="D70" t="str">
        <x:v>蔬菜</x:v>
      </x:c>
      <x:c r="E70" t="str">
        <x:v>丝瓜</x:v>
      </x:c>
      <x:c r="F70" t="n">
        <x:v>170</x:v>
      </x:c>
      <x:c r="G70" t="n">
        <x:v>20</x:v>
      </x:c>
      <x:c r="H70" t="n">
        <x:f>ROUND(F70*G70/100,2)</x:f>
        <x:v>34</x:v>
      </x:c>
      <x:c r="I70" t="n">
        <x:v>1</x:v>
      </x:c>
      <x:c r="J70" t="n">
        <x:f>ROUND(F70*I70/100,2)</x:f>
        <x:v>1.7</x:v>
      </x:c>
      <x:c r="K70" t="n">
        <x:v>4</x:v>
      </x:c>
      <x:c r="L70" t="n">
        <x:f>ROUND(F70*K70/100,2)</x:f>
        <x:v>6.8</x:v>
      </x:c>
      <x:c r="M70" t="n">
        <x:v>0.2</x:v>
      </x:c>
      <x:c r="N70" t="n">
        <x:f>ROUND(F70*M70/100,2)</x:f>
        <x:v>0.34</x:v>
      </x:c>
      <x:c r="O70" t="str">
        <x:v>生重</x:v>
      </x:c>
    </x:row>
    <x:row r="71" ht="23" customHeight="1">
      <x:c r="A71" t="n">
        <x:v>12</x:v>
      </x:c>
      <x:c r="B71" t="n">
        <x:v>6</x:v>
      </x:c>
      <x:c r="C71" t="str">
        <x:v>晚餐</x:v>
      </x:c>
      <x:c r="D71" t="str">
        <x:v>菌菇</x:v>
      </x:c>
      <x:c r="E71" t="str">
        <x:v>香菇</x:v>
      </x:c>
      <x:c r="F71" t="n">
        <x:v>130</x:v>
      </x:c>
      <x:c r="G71" t="n">
        <x:v>34</x:v>
      </x:c>
      <x:c r="H71" t="n">
        <x:f>ROUND(F71*G71/100,2)</x:f>
        <x:v>44.2</x:v>
      </x:c>
      <x:c r="I71" t="n">
        <x:v>2.2</x:v>
      </x:c>
      <x:c r="J71" t="n">
        <x:f>ROUND(F71*I71/100,2)</x:f>
        <x:v>2.86</x:v>
      </x:c>
      <x:c r="K71" t="n">
        <x:v>6.8</x:v>
      </x:c>
      <x:c r="L71" t="n">
        <x:f>ROUND(F71*K71/100,2)</x:f>
        <x:v>8.84</x:v>
      </x:c>
      <x:c r="M71" t="n">
        <x:v>0.5</x:v>
      </x:c>
      <x:c r="N71" t="n">
        <x:f>ROUND(F71*M71/100,2)</x:f>
        <x:v>0.65</x:v>
      </x:c>
      <x:c r="O71" t="str">
        <x:v>生重</x:v>
      </x:c>
    </x:row>
    <x:row r="72" ht="23" customHeight="1">
      <x:c r="A72" t="n">
        <x:v>12</x:v>
      </x:c>
      <x:c r="B72" t="n">
        <x:v>6</x:v>
      </x:c>
      <x:c r="C72" t="str">
        <x:v>晚餐</x:v>
      </x:c>
      <x:c r="D72" t="str">
        <x:v>主食</x:v>
      </x:c>
      <x:c r="E72" t="str">
        <x:v>荞麦饭</x:v>
      </x:c>
      <x:c r="F72" t="n">
        <x:v>130</x:v>
      </x:c>
      <x:c r="G72" t="n">
        <x:v>110</x:v>
      </x:c>
      <x:c r="H72" t="n">
        <x:f>ROUND(F72*G72/100,2)</x:f>
        <x:v>143</x:v>
      </x:c>
      <x:c r="I72" t="n">
        <x:v>3.4</x:v>
      </x:c>
      <x:c r="J72" t="n">
        <x:f>ROUND(F72*I72/100,2)</x:f>
        <x:v>4.42</x:v>
      </x:c>
      <x:c r="K72" t="n">
        <x:v>22</x:v>
      </x:c>
      <x:c r="L72" t="n">
        <x:f>ROUND(F72*K72/100,2)</x:f>
        <x:v>28.6</x:v>
      </x:c>
      <x:c r="M72" t="n">
        <x:v>1.1</x:v>
      </x:c>
      <x:c r="N72" t="n">
        <x:f>ROUND(F72*M72/100,2)</x:f>
        <x:v>1.43</x:v>
      </x:c>
      <x:c r="O72" t="str">
        <x:v>熟重</x:v>
      </x:c>
    </x:row>
    <x:row r="73" ht="23" customHeight="1">
      <x:c r="A73" t="n">
        <x:v>12</x:v>
      </x:c>
      <x:c r="B73" t="n">
        <x:v>6</x:v>
      </x:c>
      <x:c r="C73" t="str">
        <x:v>晚餐</x:v>
      </x:c>
      <x:c r="D73" t="str">
        <x:v>油脂</x:v>
      </x:c>
      <x:c r="E73" t="str">
        <x:v>烹调油</x:v>
      </x:c>
      <x:c r="F73" t="n">
        <x:v>3</x:v>
      </x:c>
      <x:c r="G73" t="n">
        <x:v>900</x:v>
      </x:c>
      <x:c r="H73" t="n">
        <x:f>ROUND(F73*G73/100,2)</x:f>
        <x:v>27</x:v>
      </x:c>
      <x:c r="I73" t="n">
        <x:v>0</x:v>
      </x:c>
      <x:c r="J73" t="n">
        <x:f>ROUND(F73*I73/100,2)</x:f>
        <x:v>0</x:v>
      </x:c>
      <x:c r="K73" t="n">
        <x:v>0</x:v>
      </x:c>
      <x:c r="L73" t="n">
        <x:f>ROUND(F73*K73/100,2)</x:f>
        <x:v>0</x:v>
      </x:c>
      <x:c r="M73" t="n">
        <x:v>100</x:v>
      </x:c>
      <x:c r="N73" t="n">
        <x:f>ROUND(F73*M73/100,2)</x:f>
        <x:v>3</x:v>
      </x:c>
      <x:c r="O73" t="str">
        <x:v>实际用油重</x:v>
      </x:c>
    </x:row>
    <x:row r="74" ht="23" customHeight="1">
      <x:c r="A74" t="n">
        <x:v>13</x:v>
      </x:c>
      <x:c r="B74" t="n">
        <x:v>7</x:v>
      </x:c>
      <x:c r="C74" t="str">
        <x:v>午餐</x:v>
      </x:c>
      <x:c r="D74" t="str">
        <x:v>海鲜</x:v>
      </x:c>
      <x:c r="E74" t="str">
        <x:v>花蛤肉</x:v>
      </x:c>
      <x:c r="F74" t="n">
        <x:v>170</x:v>
      </x:c>
      <x:c r="G74" t="n">
        <x:v>75</x:v>
      </x:c>
      <x:c r="H74" t="n">
        <x:f>ROUND(F74*G74/100,2)</x:f>
        <x:v>127.5</x:v>
      </x:c>
      <x:c r="I74" t="n">
        <x:v>13</x:v>
      </x:c>
      <x:c r="J74" t="n">
        <x:f>ROUND(F74*I74/100,2)</x:f>
        <x:v>22.1</x:v>
      </x:c>
      <x:c r="K74" t="n">
        <x:v>3.5</x:v>
      </x:c>
      <x:c r="L74" t="n">
        <x:f>ROUND(F74*K74/100,2)</x:f>
        <x:v>5.95</x:v>
      </x:c>
      <x:c r="M74" t="n">
        <x:v>1</x:v>
      </x:c>
      <x:c r="N74" t="n">
        <x:f>ROUND(F74*M74/100,2)</x:f>
        <x:v>1.7</x:v>
      </x:c>
      <x:c r="O74" t="str">
        <x:v>净肉生重</x:v>
      </x:c>
    </x:row>
    <x:row r="75" ht="23" customHeight="1">
      <x:c r="A75" t="n">
        <x:v>13</x:v>
      </x:c>
      <x:c r="B75" t="n">
        <x:v>7</x:v>
      </x:c>
      <x:c r="C75" t="str">
        <x:v>午餐</x:v>
      </x:c>
      <x:c r="D75" t="str"/>
      <x:c r="E75" t="str"/>
      <x:c r="F75" t="n">
        <x:v>0</x:v>
      </x:c>
      <x:c r="G75" t="n">
        <x:v>0</x:v>
      </x:c>
      <x:c r="H75" t="n">
        <x:f>ROUND(F75*G75/100,2)</x:f>
        <x:v>0</x:v>
      </x:c>
      <x:c r="I75" t="n">
        <x:v>0</x:v>
      </x:c>
      <x:c r="J75" t="n">
        <x:f>ROUND(F75*I75/100,2)</x:f>
        <x:v>0</x:v>
      </x:c>
      <x:c r="K75" t="n">
        <x:v>0</x:v>
      </x:c>
      <x:c r="L75" t="n">
        <x:f>ROUND(F75*K75/100,2)</x:f>
        <x:v>0</x:v>
      </x:c>
      <x:c r="M75" t="n">
        <x:v>0</x:v>
      </x:c>
      <x:c r="N75" t="n">
        <x:f>ROUND(F75*M75/100,2)</x:f>
        <x:v>0</x:v>
      </x:c>
      <x:c r="O75" t="str"/>
    </x:row>
    <x:row r="76" ht="23" customHeight="1">
      <x:c r="A76" t="n">
        <x:v>13</x:v>
      </x:c>
      <x:c r="B76" t="n">
        <x:v>7</x:v>
      </x:c>
      <x:c r="C76" t="str">
        <x:v>午餐</x:v>
      </x:c>
      <x:c r="D76" t="str">
        <x:v>蔬菜</x:v>
      </x:c>
      <x:c r="E76" t="str">
        <x:v>冬瓜</x:v>
      </x:c>
      <x:c r="F76" t="n">
        <x:v>175</x:v>
      </x:c>
      <x:c r="G76" t="n">
        <x:v>13</x:v>
      </x:c>
      <x:c r="H76" t="n">
        <x:f>ROUND(F76*G76/100,2)</x:f>
        <x:v>22.75</x:v>
      </x:c>
      <x:c r="I76" t="n">
        <x:v>0.4</x:v>
      </x:c>
      <x:c r="J76" t="n">
        <x:f>ROUND(F76*I76/100,2)</x:f>
        <x:v>0.7</x:v>
      </x:c>
      <x:c r="K76" t="n">
        <x:v>3</x:v>
      </x:c>
      <x:c r="L76" t="n">
        <x:f>ROUND(F76*K76/100,2)</x:f>
        <x:v>5.25</x:v>
      </x:c>
      <x:c r="M76" t="n">
        <x:v>0.2</x:v>
      </x:c>
      <x:c r="N76" t="n">
        <x:f>ROUND(F76*M76/100,2)</x:f>
        <x:v>0.35</x:v>
      </x:c>
      <x:c r="O76" t="str">
        <x:v>生重</x:v>
      </x:c>
    </x:row>
    <x:row r="77" ht="23" customHeight="1">
      <x:c r="A77" t="n">
        <x:v>13</x:v>
      </x:c>
      <x:c r="B77" t="n">
        <x:v>7</x:v>
      </x:c>
      <x:c r="C77" t="str">
        <x:v>午餐</x:v>
      </x:c>
      <x:c r="D77" t="str">
        <x:v>蔬菜</x:v>
      </x:c>
      <x:c r="E77" t="str">
        <x:v>海带</x:v>
      </x:c>
      <x:c r="F77" t="n">
        <x:v>140</x:v>
      </x:c>
      <x:c r="G77" t="n">
        <x:v>25</x:v>
      </x:c>
      <x:c r="H77" t="n">
        <x:f>ROUND(F77*G77/100,2)</x:f>
        <x:v>35</x:v>
      </x:c>
      <x:c r="I77" t="n">
        <x:v>1</x:v>
      </x:c>
      <x:c r="J77" t="n">
        <x:f>ROUND(F77*I77/100,2)</x:f>
        <x:v>1.4</x:v>
      </x:c>
      <x:c r="K77" t="n">
        <x:v>5</x:v>
      </x:c>
      <x:c r="L77" t="n">
        <x:f>ROUND(F77*K77/100,2)</x:f>
        <x:v>7</x:v>
      </x:c>
      <x:c r="M77" t="n">
        <x:v>0.1</x:v>
      </x:c>
      <x:c r="N77" t="n">
        <x:f>ROUND(F77*M77/100,2)</x:f>
        <x:v>0.14</x:v>
      </x:c>
      <x:c r="O77" t="str">
        <x:v>泡发沥水重</x:v>
      </x:c>
    </x:row>
    <x:row r="78" ht="23" customHeight="1">
      <x:c r="A78" t="n">
        <x:v>13</x:v>
      </x:c>
      <x:c r="B78" t="n">
        <x:v>7</x:v>
      </x:c>
      <x:c r="C78" t="str">
        <x:v>午餐</x:v>
      </x:c>
      <x:c r="D78" t="str">
        <x:v>主食</x:v>
      </x:c>
      <x:c r="E78" t="str">
        <x:v>全麦面</x:v>
      </x:c>
      <x:c r="F78" t="n">
        <x:v>110</x:v>
      </x:c>
      <x:c r="G78" t="n">
        <x:v>124</x:v>
      </x:c>
      <x:c r="H78" t="n">
        <x:f>ROUND(F78*G78/100,2)</x:f>
        <x:v>136.4</x:v>
      </x:c>
      <x:c r="I78" t="n">
        <x:v>5</x:v>
      </x:c>
      <x:c r="J78" t="n">
        <x:f>ROUND(F78*I78/100,2)</x:f>
        <x:v>5.5</x:v>
      </x:c>
      <x:c r="K78" t="n">
        <x:v>25</x:v>
      </x:c>
      <x:c r="L78" t="n">
        <x:f>ROUND(F78*K78/100,2)</x:f>
        <x:v>27.5</x:v>
      </x:c>
      <x:c r="M78" t="n">
        <x:v>1.1</x:v>
      </x:c>
      <x:c r="N78" t="n">
        <x:f>ROUND(F78*M78/100,2)</x:f>
        <x:v>1.21</x:v>
      </x:c>
      <x:c r="O78" t="str">
        <x:v>煮熟沥水重</x:v>
      </x:c>
    </x:row>
    <x:row r="79" ht="23" customHeight="1">
      <x:c r="A79" t="n">
        <x:v>13</x:v>
      </x:c>
      <x:c r="B79" t="n">
        <x:v>7</x:v>
      </x:c>
      <x:c r="C79" t="str">
        <x:v>午餐</x:v>
      </x:c>
      <x:c r="D79" t="str">
        <x:v>油脂</x:v>
      </x:c>
      <x:c r="E79" t="str">
        <x:v>烹调油</x:v>
      </x:c>
      <x:c r="F79" t="n">
        <x:v>5</x:v>
      </x:c>
      <x:c r="G79" t="n">
        <x:v>900</x:v>
      </x:c>
      <x:c r="H79" t="n">
        <x:f>ROUND(F79*G79/100,2)</x:f>
        <x:v>45</x:v>
      </x:c>
      <x:c r="I79" t="n">
        <x:v>0</x:v>
      </x:c>
      <x:c r="J79" t="n">
        <x:f>ROUND(F79*I79/100,2)</x:f>
        <x:v>0</x:v>
      </x:c>
      <x:c r="K79" t="n">
        <x:v>0</x:v>
      </x:c>
      <x:c r="L79" t="n">
        <x:f>ROUND(F79*K79/100,2)</x:f>
        <x:v>0</x:v>
      </x:c>
      <x:c r="M79" t="n">
        <x:v>100</x:v>
      </x:c>
      <x:c r="N79" t="n">
        <x:f>ROUND(F79*M79/100,2)</x:f>
        <x:v>5</x:v>
      </x:c>
      <x:c r="O79" t="str">
        <x:v>实际用油重</x:v>
      </x:c>
    </x:row>
    <x:row r="80" ht="23" customHeight="1">
      <x:c r="A80" t="n">
        <x:v>14</x:v>
      </x:c>
      <x:c r="B80" t="n">
        <x:v>7</x:v>
      </x:c>
      <x:c r="C80" t="str">
        <x:v>晚餐</x:v>
      </x:c>
      <x:c r="D80" t="str">
        <x:v>鱼类</x:v>
      </x:c>
      <x:c r="E80" t="str">
        <x:v>巴沙鱼</x:v>
      </x:c>
      <x:c r="F80" t="n">
        <x:v>175</x:v>
      </x:c>
      <x:c r="G80" t="n">
        <x:v>90</x:v>
      </x:c>
      <x:c r="H80" t="n">
        <x:f>ROUND(F80*G80/100,2)</x:f>
        <x:v>157.5</x:v>
      </x:c>
      <x:c r="I80" t="n">
        <x:v>17</x:v>
      </x:c>
      <x:c r="J80" t="n">
        <x:f>ROUND(F80*I80/100,2)</x:f>
        <x:v>29.75</x:v>
      </x:c>
      <x:c r="K80" t="n">
        <x:v>0</x:v>
      </x:c>
      <x:c r="L80" t="n">
        <x:f>ROUND(F80*K80/100,2)</x:f>
        <x:v>0</x:v>
      </x:c>
      <x:c r="M80" t="n">
        <x:v>2.3</x:v>
      </x:c>
      <x:c r="N80" t="n">
        <x:f>ROUND(F80*M80/100,2)</x:f>
        <x:v>4.02</x:v>
      </x:c>
      <x:c r="O80" t="str">
        <x:v>净鱼肉生重</x:v>
      </x:c>
    </x:row>
    <x:row r="81" ht="23" customHeight="1">
      <x:c r="A81" t="n">
        <x:v>14</x:v>
      </x:c>
      <x:c r="B81" t="n">
        <x:v>7</x:v>
      </x:c>
      <x:c r="C81" t="str">
        <x:v>晚餐</x:v>
      </x:c>
      <x:c r="D81" t="str"/>
      <x:c r="E81" t="str"/>
      <x:c r="F81" t="n">
        <x:v>0</x:v>
      </x:c>
      <x:c r="G81" t="n">
        <x:v>0</x:v>
      </x:c>
      <x:c r="H81" t="n">
        <x:f>ROUND(F81*G81/100,2)</x:f>
        <x:v>0</x:v>
      </x:c>
      <x:c r="I81" t="n">
        <x:v>0</x:v>
      </x:c>
      <x:c r="J81" t="n">
        <x:f>ROUND(F81*I81/100,2)</x:f>
        <x:v>0</x:v>
      </x:c>
      <x:c r="K81" t="n">
        <x:v>0</x:v>
      </x:c>
      <x:c r="L81" t="n">
        <x:f>ROUND(F81*K81/100,2)</x:f>
        <x:v>0</x:v>
      </x:c>
      <x:c r="M81" t="n">
        <x:v>0</x:v>
      </x:c>
      <x:c r="N81" t="n">
        <x:f>ROUND(F81*M81/100,2)</x:f>
        <x:v>0</x:v>
      </x:c>
      <x:c r="O81" t="str"/>
    </x:row>
    <x:row r="82" ht="23" customHeight="1">
      <x:c r="A82" t="n">
        <x:v>14</x:v>
      </x:c>
      <x:c r="B82" t="n">
        <x:v>7</x:v>
      </x:c>
      <x:c r="C82" t="str">
        <x:v>晚餐</x:v>
      </x:c>
      <x:c r="D82" t="str">
        <x:v>蔬菜</x:v>
      </x:c>
      <x:c r="E82" t="str">
        <x:v>彩椒</x:v>
      </x:c>
      <x:c r="F82" t="n">
        <x:v>140</x:v>
      </x:c>
      <x:c r="G82" t="n">
        <x:v>27</x:v>
      </x:c>
      <x:c r="H82" t="n">
        <x:f>ROUND(F82*G82/100,2)</x:f>
        <x:v>37.8</x:v>
      </x:c>
      <x:c r="I82" t="n">
        <x:v>1</x:v>
      </x:c>
      <x:c r="J82" t="n">
        <x:f>ROUND(F82*I82/100,2)</x:f>
        <x:v>1.4</x:v>
      </x:c>
      <x:c r="K82" t="n">
        <x:v>6.1</x:v>
      </x:c>
      <x:c r="L82" t="n">
        <x:f>ROUND(F82*K82/100,2)</x:f>
        <x:v>8.54</x:v>
      </x:c>
      <x:c r="M82" t="n">
        <x:v>0.2</x:v>
      </x:c>
      <x:c r="N82" t="n">
        <x:f>ROUND(F82*M82/100,2)</x:f>
        <x:v>0.28</x:v>
      </x:c>
      <x:c r="O82" t="str">
        <x:v>生重</x:v>
      </x:c>
    </x:row>
    <x:row r="83" ht="23" customHeight="1">
      <x:c r="A83" t="n">
        <x:v>14</x:v>
      </x:c>
      <x:c r="B83" t="n">
        <x:v>7</x:v>
      </x:c>
      <x:c r="C83" t="str">
        <x:v>晚餐</x:v>
      </x:c>
      <x:c r="D83" t="str">
        <x:v>菌菇</x:v>
      </x:c>
      <x:c r="E83" t="str">
        <x:v>香菇</x:v>
      </x:c>
      <x:c r="F83" t="n">
        <x:v>155</x:v>
      </x:c>
      <x:c r="G83" t="n">
        <x:v>34</x:v>
      </x:c>
      <x:c r="H83" t="n">
        <x:f>ROUND(F83*G83/100,2)</x:f>
        <x:v>52.7</x:v>
      </x:c>
      <x:c r="I83" t="n">
        <x:v>2.2</x:v>
      </x:c>
      <x:c r="J83" t="n">
        <x:f>ROUND(F83*I83/100,2)</x:f>
        <x:v>3.41</x:v>
      </x:c>
      <x:c r="K83" t="n">
        <x:v>6.8</x:v>
      </x:c>
      <x:c r="L83" t="n">
        <x:f>ROUND(F83*K83/100,2)</x:f>
        <x:v>10.54</x:v>
      </x:c>
      <x:c r="M83" t="n">
        <x:v>0.5</x:v>
      </x:c>
      <x:c r="N83" t="n">
        <x:f>ROUND(F83*M83/100,2)</x:f>
        <x:v>0.78</x:v>
      </x:c>
      <x:c r="O83" t="str">
        <x:v>生重</x:v>
      </x:c>
    </x:row>
    <x:row r="84" ht="23" customHeight="1">
      <x:c r="A84" t="n">
        <x:v>14</x:v>
      </x:c>
      <x:c r="B84" t="n">
        <x:v>7</x:v>
      </x:c>
      <x:c r="C84" t="str">
        <x:v>晚餐</x:v>
      </x:c>
      <x:c r="D84" t="str">
        <x:v>主食</x:v>
      </x:c>
      <x:c r="E84" t="str">
        <x:v>藜麦饭</x:v>
      </x:c>
      <x:c r="F84" t="n">
        <x:v>80</x:v>
      </x:c>
      <x:c r="G84" t="n">
        <x:v>120</x:v>
      </x:c>
      <x:c r="H84" t="n">
        <x:f>ROUND(F84*G84/100,2)</x:f>
        <x:v>96</x:v>
      </x:c>
      <x:c r="I84" t="n">
        <x:v>4.4</x:v>
      </x:c>
      <x:c r="J84" t="n">
        <x:f>ROUND(F84*I84/100,2)</x:f>
        <x:v>3.52</x:v>
      </x:c>
      <x:c r="K84" t="n">
        <x:v>21.3</x:v>
      </x:c>
      <x:c r="L84" t="n">
        <x:f>ROUND(F84*K84/100,2)</x:f>
        <x:v>17.04</x:v>
      </x:c>
      <x:c r="M84" t="n">
        <x:v>1.9</x:v>
      </x:c>
      <x:c r="N84" t="n">
        <x:f>ROUND(F84*M84/100,2)</x:f>
        <x:v>1.52</x:v>
      </x:c>
      <x:c r="O84" t="str">
        <x:v>熟重</x:v>
      </x:c>
    </x:row>
    <x:row r="85" ht="23" customHeight="1">
      <x:c r="A85" t="n">
        <x:v>14</x:v>
      </x:c>
      <x:c r="B85" t="n">
        <x:v>7</x:v>
      </x:c>
      <x:c r="C85" t="str">
        <x:v>晚餐</x:v>
      </x:c>
      <x:c r="D85" t="str">
        <x:v>油脂</x:v>
      </x:c>
      <x:c r="E85" t="str">
        <x:v>烹调油</x:v>
      </x:c>
      <x:c r="F85" t="n">
        <x:v>4</x:v>
      </x:c>
      <x:c r="G85" t="n">
        <x:v>900</x:v>
      </x:c>
      <x:c r="H85" t="n">
        <x:f>ROUND(F85*G85/100,2)</x:f>
        <x:v>36</x:v>
      </x:c>
      <x:c r="I85" t="n">
        <x:v>0</x:v>
      </x:c>
      <x:c r="J85" t="n">
        <x:f>ROUND(F85*I85/100,2)</x:f>
        <x:v>0</x:v>
      </x:c>
      <x:c r="K85" t="n">
        <x:v>0</x:v>
      </x:c>
      <x:c r="L85" t="n">
        <x:f>ROUND(F85*K85/100,2)</x:f>
        <x:v>0</x:v>
      </x:c>
      <x:c r="M85" t="n">
        <x:v>100</x:v>
      </x:c>
      <x:c r="N85" t="n">
        <x:f>ROUND(F85*M85/100,2)</x:f>
        <x:v>4</x:v>
      </x:c>
      <x:c r="O85" t="str">
        <x:v>实际用油重</x:v>
      </x:c>
    </x:row>
    <x:row r="86" ht="23" customHeight="1">
      <x:c r="A86" t="n">
        <x:v>15</x:v>
      </x:c>
      <x:c r="B86" t="n">
        <x:v>8</x:v>
      </x:c>
      <x:c r="C86" t="str">
        <x:v>午餐</x:v>
      </x:c>
      <x:c r="D86" t="str">
        <x:v>豆蛋</x:v>
      </x:c>
      <x:c r="E86" t="str">
        <x:v>鸡蛋</x:v>
      </x:c>
      <x:c r="F86" t="n">
        <x:v>120</x:v>
      </x:c>
      <x:c r="G86" t="n">
        <x:v>144</x:v>
      </x:c>
      <x:c r="H86" t="n">
        <x:f>ROUND(F86*G86/100,2)</x:f>
        <x:v>172.8</x:v>
      </x:c>
      <x:c r="I86" t="n">
        <x:v>13</x:v>
      </x:c>
      <x:c r="J86" t="n">
        <x:f>ROUND(F86*I86/100,2)</x:f>
        <x:v>15.6</x:v>
      </x:c>
      <x:c r="K86" t="n">
        <x:v>1.1</x:v>
      </x:c>
      <x:c r="L86" t="n">
        <x:f>ROUND(F86*K86/100,2)</x:f>
        <x:v>1.32</x:v>
      </x:c>
      <x:c r="M86" t="n">
        <x:v>10</x:v>
      </x:c>
      <x:c r="N86" t="n">
        <x:f>ROUND(F86*M86/100,2)</x:f>
        <x:v>12</x:v>
      </x:c>
      <x:c r="O86" t="str">
        <x:v>去壳可食重</x:v>
      </x:c>
    </x:row>
    <x:row r="87" ht="23" customHeight="1">
      <x:c r="A87" t="n">
        <x:v>15</x:v>
      </x:c>
      <x:c r="B87" t="n">
        <x:v>8</x:v>
      </x:c>
      <x:c r="C87" t="str">
        <x:v>午餐</x:v>
      </x:c>
      <x:c r="D87" t="str">
        <x:v>豆蛋</x:v>
      </x:c>
      <x:c r="E87" t="str">
        <x:v>北豆腐</x:v>
      </x:c>
      <x:c r="F87" t="n">
        <x:v>130</x:v>
      </x:c>
      <x:c r="G87" t="n">
        <x:v>90</x:v>
      </x:c>
      <x:c r="H87" t="n">
        <x:f>ROUND(F87*G87/100,2)</x:f>
        <x:v>117</x:v>
      </x:c>
      <x:c r="I87" t="n">
        <x:v>10</x:v>
      </x:c>
      <x:c r="J87" t="n">
        <x:f>ROUND(F87*I87/100,2)</x:f>
        <x:v>13</x:v>
      </x:c>
      <x:c r="K87" t="n">
        <x:v>2</x:v>
      </x:c>
      <x:c r="L87" t="n">
        <x:f>ROUND(F87*K87/100,2)</x:f>
        <x:v>2.6</x:v>
      </x:c>
      <x:c r="M87" t="n">
        <x:v>5</x:v>
      </x:c>
      <x:c r="N87" t="n">
        <x:f>ROUND(F87*M87/100,2)</x:f>
        <x:v>6.5</x:v>
      </x:c>
      <x:c r="O87" t="str">
        <x:v>净重</x:v>
      </x:c>
    </x:row>
    <x:row r="88" ht="23" customHeight="1">
      <x:c r="A88" t="n">
        <x:v>15</x:v>
      </x:c>
      <x:c r="B88" t="n">
        <x:v>8</x:v>
      </x:c>
      <x:c r="C88" t="str">
        <x:v>午餐</x:v>
      </x:c>
      <x:c r="D88" t="str">
        <x:v>蔬菜</x:v>
      </x:c>
      <x:c r="E88" t="str">
        <x:v>丝瓜</x:v>
      </x:c>
      <x:c r="F88" t="n">
        <x:v>190</x:v>
      </x:c>
      <x:c r="G88" t="n">
        <x:v>20</x:v>
      </x:c>
      <x:c r="H88" t="n">
        <x:f>ROUND(F88*G88/100,2)</x:f>
        <x:v>38</x:v>
      </x:c>
      <x:c r="I88" t="n">
        <x:v>1</x:v>
      </x:c>
      <x:c r="J88" t="n">
        <x:f>ROUND(F88*I88/100,2)</x:f>
        <x:v>1.9</x:v>
      </x:c>
      <x:c r="K88" t="n">
        <x:v>4</x:v>
      </x:c>
      <x:c r="L88" t="n">
        <x:f>ROUND(F88*K88/100,2)</x:f>
        <x:v>7.6</x:v>
      </x:c>
      <x:c r="M88" t="n">
        <x:v>0.2</x:v>
      </x:c>
      <x:c r="N88" t="n">
        <x:f>ROUND(F88*M88/100,2)</x:f>
        <x:v>0.38</x:v>
      </x:c>
      <x:c r="O88" t="str">
        <x:v>生重</x:v>
      </x:c>
    </x:row>
    <x:row r="89" ht="23" customHeight="1">
      <x:c r="A89" t="n">
        <x:v>15</x:v>
      </x:c>
      <x:c r="B89" t="n">
        <x:v>8</x:v>
      </x:c>
      <x:c r="C89" t="str">
        <x:v>午餐</x:v>
      </x:c>
      <x:c r="D89" t="str">
        <x:v>蔬菜</x:v>
      </x:c>
      <x:c r="E89" t="str">
        <x:v>洋葱</x:v>
      </x:c>
      <x:c r="F89" t="n">
        <x:v>140</x:v>
      </x:c>
      <x:c r="G89" t="n">
        <x:v>40</x:v>
      </x:c>
      <x:c r="H89" t="n">
        <x:f>ROUND(F89*G89/100,2)</x:f>
        <x:v>56</x:v>
      </x:c>
      <x:c r="I89" t="n">
        <x:v>1.1</x:v>
      </x:c>
      <x:c r="J89" t="n">
        <x:f>ROUND(F89*I89/100,2)</x:f>
        <x:v>1.54</x:v>
      </x:c>
      <x:c r="K89" t="n">
        <x:v>9.3</x:v>
      </x:c>
      <x:c r="L89" t="n">
        <x:f>ROUND(F89*K89/100,2)</x:f>
        <x:v>13.02</x:v>
      </x:c>
      <x:c r="M89" t="n">
        <x:v>0.1</x:v>
      </x:c>
      <x:c r="N89" t="n">
        <x:f>ROUND(F89*M89/100,2)</x:f>
        <x:v>0.14</x:v>
      </x:c>
      <x:c r="O89" t="str">
        <x:v>生重</x:v>
      </x:c>
    </x:row>
    <x:row r="90" ht="23" customHeight="1">
      <x:c r="A90" t="n">
        <x:v>15</x:v>
      </x:c>
      <x:c r="B90" t="n">
        <x:v>8</x:v>
      </x:c>
      <x:c r="C90" t="str">
        <x:v>午餐</x:v>
      </x:c>
      <x:c r="D90" t="str">
        <x:v>主食</x:v>
      </x:c>
      <x:c r="E90" t="str">
        <x:v>白米饭</x:v>
      </x:c>
      <x:c r="F90" t="n">
        <x:v>125</x:v>
      </x:c>
      <x:c r="G90" t="n">
        <x:v>116</x:v>
      </x:c>
      <x:c r="H90" t="n">
        <x:f>ROUND(F90*G90/100,2)</x:f>
        <x:v>145</x:v>
      </x:c>
      <x:c r="I90" t="n">
        <x:v>2.6</x:v>
      </x:c>
      <x:c r="J90" t="n">
        <x:f>ROUND(F90*I90/100,2)</x:f>
        <x:v>3.25</x:v>
      </x:c>
      <x:c r="K90" t="n">
        <x:v>25.6</x:v>
      </x:c>
      <x:c r="L90" t="n">
        <x:f>ROUND(F90*K90/100,2)</x:f>
        <x:v>32</x:v>
      </x:c>
      <x:c r="M90" t="n">
        <x:v>0.3</x:v>
      </x:c>
      <x:c r="N90" t="n">
        <x:f>ROUND(F90*M90/100,2)</x:f>
        <x:v>0.38</x:v>
      </x:c>
      <x:c r="O90" t="str">
        <x:v>熟重</x:v>
      </x:c>
    </x:row>
    <x:row r="91" ht="23" customHeight="1">
      <x:c r="A91" t="n">
        <x:v>15</x:v>
      </x:c>
      <x:c r="B91" t="n">
        <x:v>8</x:v>
      </x:c>
      <x:c r="C91" t="str">
        <x:v>午餐</x:v>
      </x:c>
      <x:c r="D91" t="str">
        <x:v>油脂</x:v>
      </x:c>
      <x:c r="E91" t="str">
        <x:v>烹调油</x:v>
      </x:c>
      <x:c r="F91" t="n">
        <x:v>5</x:v>
      </x:c>
      <x:c r="G91" t="n">
        <x:v>900</x:v>
      </x:c>
      <x:c r="H91" t="n">
        <x:f>ROUND(F91*G91/100,2)</x:f>
        <x:v>45</x:v>
      </x:c>
      <x:c r="I91" t="n">
        <x:v>0</x:v>
      </x:c>
      <x:c r="J91" t="n">
        <x:f>ROUND(F91*I91/100,2)</x:f>
        <x:v>0</x:v>
      </x:c>
      <x:c r="K91" t="n">
        <x:v>0</x:v>
      </x:c>
      <x:c r="L91" t="n">
        <x:f>ROUND(F91*K91/100,2)</x:f>
        <x:v>0</x:v>
      </x:c>
      <x:c r="M91" t="n">
        <x:v>100</x:v>
      </x:c>
      <x:c r="N91" t="n">
        <x:f>ROUND(F91*M91/100,2)</x:f>
        <x:v>5</x:v>
      </x:c>
      <x:c r="O91" t="str">
        <x:v>实际用油重</x:v>
      </x:c>
    </x:row>
    <x:row r="92" ht="23" customHeight="1">
      <x:c r="A92" t="n">
        <x:v>16</x:v>
      </x:c>
      <x:c r="B92" t="n">
        <x:v>8</x:v>
      </x:c>
      <x:c r="C92" t="str">
        <x:v>晚餐</x:v>
      </x:c>
      <x:c r="D92" t="str">
        <x:v>猪肉</x:v>
      </x:c>
      <x:c r="E92" t="str">
        <x:v>猪瘦肉</x:v>
      </x:c>
      <x:c r="F92" t="n">
        <x:v>170</x:v>
      </x:c>
      <x:c r="G92" t="n">
        <x:v>130</x:v>
      </x:c>
      <x:c r="H92" t="n">
        <x:f>ROUND(F92*G92/100,2)</x:f>
        <x:v>221</x:v>
      </x:c>
      <x:c r="I92" t="n">
        <x:v>20</x:v>
      </x:c>
      <x:c r="J92" t="n">
        <x:f>ROUND(F92*I92/100,2)</x:f>
        <x:v>34</x:v>
      </x:c>
      <x:c r="K92" t="n">
        <x:v>0</x:v>
      </x:c>
      <x:c r="L92" t="n">
        <x:f>ROUND(F92*K92/100,2)</x:f>
        <x:v>0</x:v>
      </x:c>
      <x:c r="M92" t="n">
        <x:v>5.5</x:v>
      </x:c>
      <x:c r="N92" t="n">
        <x:f>ROUND(F92*M92/100,2)</x:f>
        <x:v>9.35</x:v>
      </x:c>
      <x:c r="O92" t="str">
        <x:v>生重</x:v>
      </x:c>
    </x:row>
    <x:row r="93" ht="23" customHeight="1">
      <x:c r="A93" t="n">
        <x:v>16</x:v>
      </x:c>
      <x:c r="B93" t="n">
        <x:v>8</x:v>
      </x:c>
      <x:c r="C93" t="str">
        <x:v>晚餐</x:v>
      </x:c>
      <x:c r="D93" t="str"/>
      <x:c r="E93" t="str"/>
      <x:c r="F93" t="n">
        <x:v>0</x:v>
      </x:c>
      <x:c r="G93" t="n">
        <x:v>0</x:v>
      </x:c>
      <x:c r="H93" t="n">
        <x:f>ROUND(F93*G93/100,2)</x:f>
        <x:v>0</x:v>
      </x:c>
      <x:c r="I93" t="n">
        <x:v>0</x:v>
      </x:c>
      <x:c r="J93" t="n">
        <x:f>ROUND(F93*I93/100,2)</x:f>
        <x:v>0</x:v>
      </x:c>
      <x:c r="K93" t="n">
        <x:v>0</x:v>
      </x:c>
      <x:c r="L93" t="n">
        <x:f>ROUND(F93*K93/100,2)</x:f>
        <x:v>0</x:v>
      </x:c>
      <x:c r="M93" t="n">
        <x:v>0</x:v>
      </x:c>
      <x:c r="N93" t="n">
        <x:f>ROUND(F93*M93/100,2)</x:f>
        <x:v>0</x:v>
      </x:c>
      <x:c r="O93" t="str"/>
    </x:row>
    <x:row r="94" ht="23" customHeight="1">
      <x:c r="A94" t="n">
        <x:v>16</x:v>
      </x:c>
      <x:c r="B94" t="n">
        <x:v>8</x:v>
      </x:c>
      <x:c r="C94" t="str">
        <x:v>晚餐</x:v>
      </x:c>
      <x:c r="D94" t="str">
        <x:v>蔬菜</x:v>
      </x:c>
      <x:c r="E94" t="str">
        <x:v>莴笋</x:v>
      </x:c>
      <x:c r="F94" t="n">
        <x:v>190</x:v>
      </x:c>
      <x:c r="G94" t="n">
        <x:v>15</x:v>
      </x:c>
      <x:c r="H94" t="n">
        <x:f>ROUND(F94*G94/100,2)</x:f>
        <x:v>28.5</x:v>
      </x:c>
      <x:c r="I94" t="n">
        <x:v>1</x:v>
      </x:c>
      <x:c r="J94" t="n">
        <x:f>ROUND(F94*I94/100,2)</x:f>
        <x:v>1.9</x:v>
      </x:c>
      <x:c r="K94" t="n">
        <x:v>2.8</x:v>
      </x:c>
      <x:c r="L94" t="n">
        <x:f>ROUND(F94*K94/100,2)</x:f>
        <x:v>5.32</x:v>
      </x:c>
      <x:c r="M94" t="n">
        <x:v>0.1</x:v>
      </x:c>
      <x:c r="N94" t="n">
        <x:f>ROUND(F94*M94/100,2)</x:f>
        <x:v>0.19</x:v>
      </x:c>
      <x:c r="O94" t="str">
        <x:v>生重</x:v>
      </x:c>
    </x:row>
    <x:row r="95" ht="23" customHeight="1">
      <x:c r="A95" t="n">
        <x:v>16</x:v>
      </x:c>
      <x:c r="B95" t="n">
        <x:v>8</x:v>
      </x:c>
      <x:c r="C95" t="str">
        <x:v>晚餐</x:v>
      </x:c>
      <x:c r="D95" t="str">
        <x:v>蔬菜</x:v>
      </x:c>
      <x:c r="E95" t="str">
        <x:v>冬瓜</x:v>
      </x:c>
      <x:c r="F95" t="n">
        <x:v>110</x:v>
      </x:c>
      <x:c r="G95" t="n">
        <x:v>13</x:v>
      </x:c>
      <x:c r="H95" t="n">
        <x:f>ROUND(F95*G95/100,2)</x:f>
        <x:v>14.3</x:v>
      </x:c>
      <x:c r="I95" t="n">
        <x:v>0.4</x:v>
      </x:c>
      <x:c r="J95" t="n">
        <x:f>ROUND(F95*I95/100,2)</x:f>
        <x:v>0.44</x:v>
      </x:c>
      <x:c r="K95" t="n">
        <x:v>3</x:v>
      </x:c>
      <x:c r="L95" t="n">
        <x:f>ROUND(F95*K95/100,2)</x:f>
        <x:v>3.3</x:v>
      </x:c>
      <x:c r="M95" t="n">
        <x:v>0.2</x:v>
      </x:c>
      <x:c r="N95" t="n">
        <x:f>ROUND(F95*M95/100,2)</x:f>
        <x:v>0.22</x:v>
      </x:c>
      <x:c r="O95" t="str">
        <x:v>生重</x:v>
      </x:c>
    </x:row>
    <x:row r="96" ht="23" customHeight="1">
      <x:c r="A96" t="n">
        <x:v>16</x:v>
      </x:c>
      <x:c r="B96" t="n">
        <x:v>8</x:v>
      </x:c>
      <x:c r="C96" t="str">
        <x:v>晚餐</x:v>
      </x:c>
      <x:c r="D96" t="str">
        <x:v>主食</x:v>
      </x:c>
      <x:c r="E96" t="str">
        <x:v>糙米饭</x:v>
      </x:c>
      <x:c r="F96" t="n">
        <x:v>125</x:v>
      </x:c>
      <x:c r="G96" t="n">
        <x:v>112</x:v>
      </x:c>
      <x:c r="H96" t="n">
        <x:f>ROUND(F96*G96/100,2)</x:f>
        <x:v>140</x:v>
      </x:c>
      <x:c r="I96" t="n">
        <x:v>2.6</x:v>
      </x:c>
      <x:c r="J96" t="n">
        <x:f>ROUND(F96*I96/100,2)</x:f>
        <x:v>3.25</x:v>
      </x:c>
      <x:c r="K96" t="n">
        <x:v>23.5</x:v>
      </x:c>
      <x:c r="L96" t="n">
        <x:f>ROUND(F96*K96/100,2)</x:f>
        <x:v>29.38</x:v>
      </x:c>
      <x:c r="M96" t="n">
        <x:v>0.9</x:v>
      </x:c>
      <x:c r="N96" t="n">
        <x:f>ROUND(F96*M96/100,2)</x:f>
        <x:v>1.13</x:v>
      </x:c>
      <x:c r="O96" t="str">
        <x:v>熟重</x:v>
      </x:c>
    </x:row>
    <x:row r="97" ht="23" customHeight="1">
      <x:c r="A97" t="n">
        <x:v>16</x:v>
      </x:c>
      <x:c r="B97" t="n">
        <x:v>8</x:v>
      </x:c>
      <x:c r="C97" t="str">
        <x:v>晚餐</x:v>
      </x:c>
      <x:c r="D97" t="str">
        <x:v>油脂</x:v>
      </x:c>
      <x:c r="E97" t="str">
        <x:v>烹调油</x:v>
      </x:c>
      <x:c r="F97" t="n">
        <x:v>5</x:v>
      </x:c>
      <x:c r="G97" t="n">
        <x:v>900</x:v>
      </x:c>
      <x:c r="H97" t="n">
        <x:f>ROUND(F97*G97/100,2)</x:f>
        <x:v>45</x:v>
      </x:c>
      <x:c r="I97" t="n">
        <x:v>0</x:v>
      </x:c>
      <x:c r="J97" t="n">
        <x:f>ROUND(F97*I97/100,2)</x:f>
        <x:v>0</x:v>
      </x:c>
      <x:c r="K97" t="n">
        <x:v>0</x:v>
      </x:c>
      <x:c r="L97" t="n">
        <x:f>ROUND(F97*K97/100,2)</x:f>
        <x:v>0</x:v>
      </x:c>
      <x:c r="M97" t="n">
        <x:v>100</x:v>
      </x:c>
      <x:c r="N97" t="n">
        <x:f>ROUND(F97*M97/100,2)</x:f>
        <x:v>5</x:v>
      </x:c>
      <x:c r="O97" t="str">
        <x:v>实际用油重</x:v>
      </x:c>
    </x:row>
    <x:row r="98" ht="23" customHeight="1">
      <x:c r="A98" t="n">
        <x:v>17</x:v>
      </x:c>
      <x:c r="B98" t="n">
        <x:v>9</x:v>
      </x:c>
      <x:c r="C98" t="str">
        <x:v>午餐</x:v>
      </x:c>
      <x:c r="D98" t="str">
        <x:v>豆蛋</x:v>
      </x:c>
      <x:c r="E98" t="str">
        <x:v>鸡蛋</x:v>
      </x:c>
      <x:c r="F98" t="n">
        <x:v>110</x:v>
      </x:c>
      <x:c r="G98" t="n">
        <x:v>144</x:v>
      </x:c>
      <x:c r="H98" t="n">
        <x:f>ROUND(F98*G98/100,2)</x:f>
        <x:v>158.4</x:v>
      </x:c>
      <x:c r="I98" t="n">
        <x:v>13</x:v>
      </x:c>
      <x:c r="J98" t="n">
        <x:f>ROUND(F98*I98/100,2)</x:f>
        <x:v>14.3</x:v>
      </x:c>
      <x:c r="K98" t="n">
        <x:v>1.1</x:v>
      </x:c>
      <x:c r="L98" t="n">
        <x:f>ROUND(F98*K98/100,2)</x:f>
        <x:v>1.21</x:v>
      </x:c>
      <x:c r="M98" t="n">
        <x:v>10</x:v>
      </x:c>
      <x:c r="N98" t="n">
        <x:f>ROUND(F98*M98/100,2)</x:f>
        <x:v>11</x:v>
      </x:c>
      <x:c r="O98" t="str">
        <x:v>去壳可食重</x:v>
      </x:c>
    </x:row>
    <x:row r="99" ht="23" customHeight="1">
      <x:c r="A99" t="n">
        <x:v>17</x:v>
      </x:c>
      <x:c r="B99" t="n">
        <x:v>9</x:v>
      </x:c>
      <x:c r="C99" t="str">
        <x:v>午餐</x:v>
      </x:c>
      <x:c r="D99" t="str">
        <x:v>豆蛋</x:v>
      </x:c>
      <x:c r="E99" t="str">
        <x:v>嫩豆腐</x:v>
      </x:c>
      <x:c r="F99" t="n">
        <x:v>110</x:v>
      </x:c>
      <x:c r="G99" t="n">
        <x:v>55</x:v>
      </x:c>
      <x:c r="H99" t="n">
        <x:f>ROUND(F99*G99/100,2)</x:f>
        <x:v>60.5</x:v>
      </x:c>
      <x:c r="I99" t="n">
        <x:v>5</x:v>
      </x:c>
      <x:c r="J99" t="n">
        <x:f>ROUND(F99*I99/100,2)</x:f>
        <x:v>5.5</x:v>
      </x:c>
      <x:c r="K99" t="n">
        <x:v>2</x:v>
      </x:c>
      <x:c r="L99" t="n">
        <x:f>ROUND(F99*K99/100,2)</x:f>
        <x:v>2.2</x:v>
      </x:c>
      <x:c r="M99" t="n">
        <x:v>2.8</x:v>
      </x:c>
      <x:c r="N99" t="n">
        <x:f>ROUND(F99*M99/100,2)</x:f>
        <x:v>3.08</x:v>
      </x:c>
      <x:c r="O99" t="str">
        <x:v>净重</x:v>
      </x:c>
    </x:row>
    <x:row r="100" ht="23" customHeight="1">
      <x:c r="A100" t="n">
        <x:v>17</x:v>
      </x:c>
      <x:c r="B100" t="n">
        <x:v>9</x:v>
      </x:c>
      <x:c r="C100" t="str">
        <x:v>午餐</x:v>
      </x:c>
      <x:c r="D100" t="str">
        <x:v>蔬菜</x:v>
      </x:c>
      <x:c r="E100" t="str">
        <x:v>小白菜</x:v>
      </x:c>
      <x:c r="F100" t="n">
        <x:v>140</x:v>
      </x:c>
      <x:c r="G100" t="n">
        <x:v>17</x:v>
      </x:c>
      <x:c r="H100" t="n">
        <x:f>ROUND(F100*G100/100,2)</x:f>
        <x:v>23.8</x:v>
      </x:c>
      <x:c r="I100" t="n">
        <x:v>1.6</x:v>
      </x:c>
      <x:c r="J100" t="n">
        <x:f>ROUND(F100*I100/100,2)</x:f>
        <x:v>2.24</x:v>
      </x:c>
      <x:c r="K100" t="n">
        <x:v>2.8</x:v>
      </x:c>
      <x:c r="L100" t="n">
        <x:f>ROUND(F100*K100/100,2)</x:f>
        <x:v>3.92</x:v>
      </x:c>
      <x:c r="M100" t="n">
        <x:v>0.2</x:v>
      </x:c>
      <x:c r="N100" t="n">
        <x:f>ROUND(F100*M100/100,2)</x:f>
        <x:v>0.28</x:v>
      </x:c>
      <x:c r="O100" t="str">
        <x:v>生重</x:v>
      </x:c>
    </x:row>
    <x:row r="101" ht="23" customHeight="1">
      <x:c r="A101" t="n">
        <x:v>17</x:v>
      </x:c>
      <x:c r="B101" t="n">
        <x:v>9</x:v>
      </x:c>
      <x:c r="C101" t="str">
        <x:v>午餐</x:v>
      </x:c>
      <x:c r="D101" t="str">
        <x:v>菌菇</x:v>
      </x:c>
      <x:c r="E101" t="str">
        <x:v>香菇</x:v>
      </x:c>
      <x:c r="F101" t="n">
        <x:v>155</x:v>
      </x:c>
      <x:c r="G101" t="n">
        <x:v>34</x:v>
      </x:c>
      <x:c r="H101" t="n">
        <x:f>ROUND(F101*G101/100,2)</x:f>
        <x:v>52.7</x:v>
      </x:c>
      <x:c r="I101" t="n">
        <x:v>2.2</x:v>
      </x:c>
      <x:c r="J101" t="n">
        <x:f>ROUND(F101*I101/100,2)</x:f>
        <x:v>3.41</x:v>
      </x:c>
      <x:c r="K101" t="n">
        <x:v>6.8</x:v>
      </x:c>
      <x:c r="L101" t="n">
        <x:f>ROUND(F101*K101/100,2)</x:f>
        <x:v>10.54</x:v>
      </x:c>
      <x:c r="M101" t="n">
        <x:v>0.5</x:v>
      </x:c>
      <x:c r="N101" t="n">
        <x:f>ROUND(F101*M101/100,2)</x:f>
        <x:v>0.78</x:v>
      </x:c>
      <x:c r="O101" t="str">
        <x:v>生重</x:v>
      </x:c>
    </x:row>
    <x:row r="102" ht="23" customHeight="1">
      <x:c r="A102" t="n">
        <x:v>17</x:v>
      </x:c>
      <x:c r="B102" t="n">
        <x:v>9</x:v>
      </x:c>
      <x:c r="C102" t="str">
        <x:v>午餐</x:v>
      </x:c>
      <x:c r="D102" t="str">
        <x:v>主食</x:v>
      </x:c>
      <x:c r="E102" t="str">
        <x:v>荞麦面</x:v>
      </x:c>
      <x:c r="F102" t="n">
        <x:v>110</x:v>
      </x:c>
      <x:c r="G102" t="n">
        <x:v>105</x:v>
      </x:c>
      <x:c r="H102" t="n">
        <x:f>ROUND(F102*G102/100,2)</x:f>
        <x:v>115.5</x:v>
      </x:c>
      <x:c r="I102" t="n">
        <x:v>4</x:v>
      </x:c>
      <x:c r="J102" t="n">
        <x:f>ROUND(F102*I102/100,2)</x:f>
        <x:v>4.4</x:v>
      </x:c>
      <x:c r="K102" t="n">
        <x:v>21</x:v>
      </x:c>
      <x:c r="L102" t="n">
        <x:f>ROUND(F102*K102/100,2)</x:f>
        <x:v>23.1</x:v>
      </x:c>
      <x:c r="M102" t="n">
        <x:v>0.7</x:v>
      </x:c>
      <x:c r="N102" t="n">
        <x:f>ROUND(F102*M102/100,2)</x:f>
        <x:v>0.77</x:v>
      </x:c>
      <x:c r="O102" t="str">
        <x:v>煮熟沥水重</x:v>
      </x:c>
    </x:row>
    <x:row r="103" ht="23" customHeight="1">
      <x:c r="A103" t="n">
        <x:v>17</x:v>
      </x:c>
      <x:c r="B103" t="n">
        <x:v>9</x:v>
      </x:c>
      <x:c r="C103" t="str">
        <x:v>午餐</x:v>
      </x:c>
      <x:c r="D103" t="str">
        <x:v>油脂</x:v>
      </x:c>
      <x:c r="E103" t="str">
        <x:v>烹调油</x:v>
      </x:c>
      <x:c r="F103" t="n">
        <x:v>4</x:v>
      </x:c>
      <x:c r="G103" t="n">
        <x:v>900</x:v>
      </x:c>
      <x:c r="H103" t="n">
        <x:f>ROUND(F103*G103/100,2)</x:f>
        <x:v>36</x:v>
      </x:c>
      <x:c r="I103" t="n">
        <x:v>0</x:v>
      </x:c>
      <x:c r="J103" t="n">
        <x:f>ROUND(F103*I103/100,2)</x:f>
        <x:v>0</x:v>
      </x:c>
      <x:c r="K103" t="n">
        <x:v>0</x:v>
      </x:c>
      <x:c r="L103" t="n">
        <x:f>ROUND(F103*K103/100,2)</x:f>
        <x:v>0</x:v>
      </x:c>
      <x:c r="M103" t="n">
        <x:v>100</x:v>
      </x:c>
      <x:c r="N103" t="n">
        <x:f>ROUND(F103*M103/100,2)</x:f>
        <x:v>4</x:v>
      </x:c>
      <x:c r="O103" t="str">
        <x:v>实际用油重</x:v>
      </x:c>
    </x:row>
    <x:row r="104" ht="23" customHeight="1">
      <x:c r="A104" t="n">
        <x:v>18</x:v>
      </x:c>
      <x:c r="B104" t="n">
        <x:v>9</x:v>
      </x:c>
      <x:c r="C104" t="str">
        <x:v>晚餐</x:v>
      </x:c>
      <x:c r="D104" t="str">
        <x:v>鱼类</x:v>
      </x:c>
      <x:c r="E104" t="str">
        <x:v>巴沙鱼</x:v>
      </x:c>
      <x:c r="F104" t="n">
        <x:v>200</x:v>
      </x:c>
      <x:c r="G104" t="n">
        <x:v>90</x:v>
      </x:c>
      <x:c r="H104" t="n">
        <x:f>ROUND(F104*G104/100,2)</x:f>
        <x:v>180</x:v>
      </x:c>
      <x:c r="I104" t="n">
        <x:v>17</x:v>
      </x:c>
      <x:c r="J104" t="n">
        <x:f>ROUND(F104*I104/100,2)</x:f>
        <x:v>34</x:v>
      </x:c>
      <x:c r="K104" t="n">
        <x:v>0</x:v>
      </x:c>
      <x:c r="L104" t="n">
        <x:f>ROUND(F104*K104/100,2)</x:f>
        <x:v>0</x:v>
      </x:c>
      <x:c r="M104" t="n">
        <x:v>2.3</x:v>
      </x:c>
      <x:c r="N104" t="n">
        <x:f>ROUND(F104*M104/100,2)</x:f>
        <x:v>4.6</x:v>
      </x:c>
      <x:c r="O104" t="str">
        <x:v>净鱼肉生重</x:v>
      </x:c>
    </x:row>
    <x:row r="105" ht="23" customHeight="1">
      <x:c r="A105" t="n">
        <x:v>18</x:v>
      </x:c>
      <x:c r="B105" t="n">
        <x:v>9</x:v>
      </x:c>
      <x:c r="C105" t="str">
        <x:v>晚餐</x:v>
      </x:c>
      <x:c r="D105" t="str"/>
      <x:c r="E105" t="str"/>
      <x:c r="F105" t="n">
        <x:v>0</x:v>
      </x:c>
      <x:c r="G105" t="n">
        <x:v>0</x:v>
      </x:c>
      <x:c r="H105" t="n">
        <x:f>ROUND(F105*G105/100,2)</x:f>
        <x:v>0</x:v>
      </x:c>
      <x:c r="I105" t="n">
        <x:v>0</x:v>
      </x:c>
      <x:c r="J105" t="n">
        <x:f>ROUND(F105*I105/100,2)</x:f>
        <x:v>0</x:v>
      </x:c>
      <x:c r="K105" t="n">
        <x:v>0</x:v>
      </x:c>
      <x:c r="L105" t="n">
        <x:f>ROUND(F105*K105/100,2)</x:f>
        <x:v>0</x:v>
      </x:c>
      <x:c r="M105" t="n">
        <x:v>0</x:v>
      </x:c>
      <x:c r="N105" t="n">
        <x:f>ROUND(F105*M105/100,2)</x:f>
        <x:v>0</x:v>
      </x:c>
      <x:c r="O105" t="str"/>
    </x:row>
    <x:row r="106" ht="23" customHeight="1">
      <x:c r="A106" t="n">
        <x:v>18</x:v>
      </x:c>
      <x:c r="B106" t="n">
        <x:v>9</x:v>
      </x:c>
      <x:c r="C106" t="str">
        <x:v>晚餐</x:v>
      </x:c>
      <x:c r="D106" t="str">
        <x:v>蔬菜</x:v>
      </x:c>
      <x:c r="E106" t="str">
        <x:v>紫甘蓝</x:v>
      </x:c>
      <x:c r="F106" t="n">
        <x:v>160</x:v>
      </x:c>
      <x:c r="G106" t="n">
        <x:v>31</x:v>
      </x:c>
      <x:c r="H106" t="n">
        <x:f>ROUND(F106*G106/100,2)</x:f>
        <x:v>49.6</x:v>
      </x:c>
      <x:c r="I106" t="n">
        <x:v>1.4</x:v>
      </x:c>
      <x:c r="J106" t="n">
        <x:f>ROUND(F106*I106/100,2)</x:f>
        <x:v>2.24</x:v>
      </x:c>
      <x:c r="K106" t="n">
        <x:v>7.3</x:v>
      </x:c>
      <x:c r="L106" t="n">
        <x:f>ROUND(F106*K106/100,2)</x:f>
        <x:v>11.68</x:v>
      </x:c>
      <x:c r="M106" t="n">
        <x:v>0.1</x:v>
      </x:c>
      <x:c r="N106" t="n">
        <x:f>ROUND(F106*M106/100,2)</x:f>
        <x:v>0.16</x:v>
      </x:c>
      <x:c r="O106" t="str">
        <x:v>生重</x:v>
      </x:c>
    </x:row>
    <x:row r="107" ht="23" customHeight="1">
      <x:c r="A107" t="n">
        <x:v>18</x:v>
      </x:c>
      <x:c r="B107" t="n">
        <x:v>9</x:v>
      </x:c>
      <x:c r="C107" t="str">
        <x:v>晚餐</x:v>
      </x:c>
      <x:c r="D107" t="str">
        <x:v>蔬菜</x:v>
      </x:c>
      <x:c r="E107" t="str">
        <x:v>彩椒</x:v>
      </x:c>
      <x:c r="F107" t="n">
        <x:v>155</x:v>
      </x:c>
      <x:c r="G107" t="n">
        <x:v>27</x:v>
      </x:c>
      <x:c r="H107" t="n">
        <x:f>ROUND(F107*G107/100,2)</x:f>
        <x:v>41.85</x:v>
      </x:c>
      <x:c r="I107" t="n">
        <x:v>1</x:v>
      </x:c>
      <x:c r="J107" t="n">
        <x:f>ROUND(F107*I107/100,2)</x:f>
        <x:v>1.55</x:v>
      </x:c>
      <x:c r="K107" t="n">
        <x:v>6.1</x:v>
      </x:c>
      <x:c r="L107" t="n">
        <x:f>ROUND(F107*K107/100,2)</x:f>
        <x:v>9.46</x:v>
      </x:c>
      <x:c r="M107" t="n">
        <x:v>0.2</x:v>
      </x:c>
      <x:c r="N107" t="n">
        <x:f>ROUND(F107*M107/100,2)</x:f>
        <x:v>0.31</x:v>
      </x:c>
      <x:c r="O107" t="str">
        <x:v>生重</x:v>
      </x:c>
    </x:row>
    <x:row r="108" ht="23" customHeight="1">
      <x:c r="A108" t="n">
        <x:v>18</x:v>
      </x:c>
      <x:c r="B108" t="n">
        <x:v>9</x:v>
      </x:c>
      <x:c r="C108" t="str">
        <x:v>晚餐</x:v>
      </x:c>
      <x:c r="D108" t="str">
        <x:v>主食</x:v>
      </x:c>
      <x:c r="E108" t="str">
        <x:v>玉米</x:v>
      </x:c>
      <x:c r="F108" t="n">
        <x:v>80</x:v>
      </x:c>
      <x:c r="G108" t="n">
        <x:v>105</x:v>
      </x:c>
      <x:c r="H108" t="n">
        <x:f>ROUND(F108*G108/100,2)</x:f>
        <x:v>84</x:v>
      </x:c>
      <x:c r="I108" t="n">
        <x:v>3.4</x:v>
      </x:c>
      <x:c r="J108" t="n">
        <x:f>ROUND(F108*I108/100,2)</x:f>
        <x:v>2.72</x:v>
      </x:c>
      <x:c r="K108" t="n">
        <x:v>22</x:v>
      </x:c>
      <x:c r="L108" t="n">
        <x:f>ROUND(F108*K108/100,2)</x:f>
        <x:v>17.6</x:v>
      </x:c>
      <x:c r="M108" t="n">
        <x:v>1.5</x:v>
      </x:c>
      <x:c r="N108" t="n">
        <x:f>ROUND(F108*M108/100,2)</x:f>
        <x:v>1.2</x:v>
      </x:c>
      <x:c r="O108" t="str">
        <x:v>蒸熟净重</x:v>
      </x:c>
    </x:row>
    <x:row r="109" ht="23" customHeight="1">
      <x:c r="A109" t="n">
        <x:v>18</x:v>
      </x:c>
      <x:c r="B109" t="n">
        <x:v>9</x:v>
      </x:c>
      <x:c r="C109" t="str">
        <x:v>晚餐</x:v>
      </x:c>
      <x:c r="D109" t="str">
        <x:v>油脂</x:v>
      </x:c>
      <x:c r="E109" t="str">
        <x:v>烹调油</x:v>
      </x:c>
      <x:c r="F109" t="n">
        <x:v>4</x:v>
      </x:c>
      <x:c r="G109" t="n">
        <x:v>900</x:v>
      </x:c>
      <x:c r="H109" t="n">
        <x:f>ROUND(F109*G109/100,2)</x:f>
        <x:v>36</x:v>
      </x:c>
      <x:c r="I109" t="n">
        <x:v>0</x:v>
      </x:c>
      <x:c r="J109" t="n">
        <x:f>ROUND(F109*I109/100,2)</x:f>
        <x:v>0</x:v>
      </x:c>
      <x:c r="K109" t="n">
        <x:v>0</x:v>
      </x:c>
      <x:c r="L109" t="n">
        <x:f>ROUND(F109*K109/100,2)</x:f>
        <x:v>0</x:v>
      </x:c>
      <x:c r="M109" t="n">
        <x:v>100</x:v>
      </x:c>
      <x:c r="N109" t="n">
        <x:f>ROUND(F109*M109/100,2)</x:f>
        <x:v>4</x:v>
      </x:c>
      <x:c r="O109" t="str">
        <x:v>实际用油重</x:v>
      </x:c>
    </x:row>
    <x:row r="110" ht="23" customHeight="1">
      <x:c r="A110" t="n">
        <x:v>19</x:v>
      </x:c>
      <x:c r="B110" t="n">
        <x:v>10</x:v>
      </x:c>
      <x:c r="C110" t="str">
        <x:v>午餐</x:v>
      </x:c>
      <x:c r="D110" t="str">
        <x:v>禽肉</x:v>
      </x:c>
      <x:c r="E110" t="str">
        <x:v>鸡胸肉</x:v>
      </x:c>
      <x:c r="F110" t="n">
        <x:v>185</x:v>
      </x:c>
      <x:c r="G110" t="n">
        <x:v>110</x:v>
      </x:c>
      <x:c r="H110" t="n">
        <x:f>ROUND(F110*G110/100,2)</x:f>
        <x:v>203.5</x:v>
      </x:c>
      <x:c r="I110" t="n">
        <x:v>23</x:v>
      </x:c>
      <x:c r="J110" t="n">
        <x:f>ROUND(F110*I110/100,2)</x:f>
        <x:v>42.55</x:v>
      </x:c>
      <x:c r="K110" t="n">
        <x:v>0</x:v>
      </x:c>
      <x:c r="L110" t="n">
        <x:f>ROUND(F110*K110/100,2)</x:f>
        <x:v>0</x:v>
      </x:c>
      <x:c r="M110" t="n">
        <x:v>2</x:v>
      </x:c>
      <x:c r="N110" t="n">
        <x:f>ROUND(F110*M110/100,2)</x:f>
        <x:v>3.7</x:v>
      </x:c>
      <x:c r="O110" t="str">
        <x:v>生重</x:v>
      </x:c>
    </x:row>
    <x:row r="111" ht="23" customHeight="1">
      <x:c r="A111" t="n">
        <x:v>19</x:v>
      </x:c>
      <x:c r="B111" t="n">
        <x:v>10</x:v>
      </x:c>
      <x:c r="C111" t="str">
        <x:v>午餐</x:v>
      </x:c>
      <x:c r="D111" t="str"/>
      <x:c r="E111" t="str"/>
      <x:c r="F111" t="n">
        <x:v>0</x:v>
      </x:c>
      <x:c r="G111" t="n">
        <x:v>0</x:v>
      </x:c>
      <x:c r="H111" t="n">
        <x:f>ROUND(F111*G111/100,2)</x:f>
        <x:v>0</x:v>
      </x:c>
      <x:c r="I111" t="n">
        <x:v>0</x:v>
      </x:c>
      <x:c r="J111" t="n">
        <x:f>ROUND(F111*I111/100,2)</x:f>
        <x:v>0</x:v>
      </x:c>
      <x:c r="K111" t="n">
        <x:v>0</x:v>
      </x:c>
      <x:c r="L111" t="n">
        <x:f>ROUND(F111*K111/100,2)</x:f>
        <x:v>0</x:v>
      </x:c>
      <x:c r="M111" t="n">
        <x:v>0</x:v>
      </x:c>
      <x:c r="N111" t="n">
        <x:f>ROUND(F111*M111/100,2)</x:f>
        <x:v>0</x:v>
      </x:c>
      <x:c r="O111" t="str"/>
    </x:row>
    <x:row r="112" ht="23" customHeight="1">
      <x:c r="A112" t="n">
        <x:v>19</x:v>
      </x:c>
      <x:c r="B112" t="n">
        <x:v>10</x:v>
      </x:c>
      <x:c r="C112" t="str">
        <x:v>午餐</x:v>
      </x:c>
      <x:c r="D112" t="str">
        <x:v>蔬菜</x:v>
      </x:c>
      <x:c r="E112" t="str">
        <x:v>苦瓜</x:v>
      </x:c>
      <x:c r="F112" t="n">
        <x:v>140</x:v>
      </x:c>
      <x:c r="G112" t="n">
        <x:v>19</x:v>
      </x:c>
      <x:c r="H112" t="n">
        <x:f>ROUND(F112*G112/100,2)</x:f>
        <x:v>26.6</x:v>
      </x:c>
      <x:c r="I112" t="n">
        <x:v>1</x:v>
      </x:c>
      <x:c r="J112" t="n">
        <x:f>ROUND(F112*I112/100,2)</x:f>
        <x:v>1.4</x:v>
      </x:c>
      <x:c r="K112" t="n">
        <x:v>4.1</x:v>
      </x:c>
      <x:c r="L112" t="n">
        <x:f>ROUND(F112*K112/100,2)</x:f>
        <x:v>5.74</x:v>
      </x:c>
      <x:c r="M112" t="n">
        <x:v>0.2</x:v>
      </x:c>
      <x:c r="N112" t="n">
        <x:f>ROUND(F112*M112/100,2)</x:f>
        <x:v>0.28</x:v>
      </x:c>
      <x:c r="O112" t="str">
        <x:v>生重</x:v>
      </x:c>
    </x:row>
    <x:row r="113" ht="23" customHeight="1">
      <x:c r="A113" t="n">
        <x:v>19</x:v>
      </x:c>
      <x:c r="B113" t="n">
        <x:v>10</x:v>
      </x:c>
      <x:c r="C113" t="str">
        <x:v>午餐</x:v>
      </x:c>
      <x:c r="D113" t="str">
        <x:v>蔬菜</x:v>
      </x:c>
      <x:c r="E113" t="str">
        <x:v>胡萝卜</x:v>
      </x:c>
      <x:c r="F113" t="n">
        <x:v>110</x:v>
      </x:c>
      <x:c r="G113" t="n">
        <x:v>41</x:v>
      </x:c>
      <x:c r="H113" t="n">
        <x:f>ROUND(F113*G113/100,2)</x:f>
        <x:v>45.1</x:v>
      </x:c>
      <x:c r="I113" t="n">
        <x:v>0.9</x:v>
      </x:c>
      <x:c r="J113" t="n">
        <x:f>ROUND(F113*I113/100,2)</x:f>
        <x:v>0.99</x:v>
      </x:c>
      <x:c r="K113" t="n">
        <x:v>10</x:v>
      </x:c>
      <x:c r="L113" t="n">
        <x:f>ROUND(F113*K113/100,2)</x:f>
        <x:v>11</x:v>
      </x:c>
      <x:c r="M113" t="n">
        <x:v>0.2</x:v>
      </x:c>
      <x:c r="N113" t="n">
        <x:f>ROUND(F113*M113/100,2)</x:f>
        <x:v>0.22</x:v>
      </x:c>
      <x:c r="O113" t="str">
        <x:v>生重</x:v>
      </x:c>
    </x:row>
    <x:row r="114" ht="23" customHeight="1">
      <x:c r="A114" t="n">
        <x:v>19</x:v>
      </x:c>
      <x:c r="B114" t="n">
        <x:v>10</x:v>
      </x:c>
      <x:c r="C114" t="str">
        <x:v>午餐</x:v>
      </x:c>
      <x:c r="D114" t="str">
        <x:v>主食</x:v>
      </x:c>
      <x:c r="E114" t="str">
        <x:v>山药</x:v>
      </x:c>
      <x:c r="F114" t="n">
        <x:v>125</x:v>
      </x:c>
      <x:c r="G114" t="n">
        <x:v>62</x:v>
      </x:c>
      <x:c r="H114" t="n">
        <x:f>ROUND(F114*G114/100,2)</x:f>
        <x:v>77.5</x:v>
      </x:c>
      <x:c r="I114" t="n">
        <x:v>1.5</x:v>
      </x:c>
      <x:c r="J114" t="n">
        <x:f>ROUND(F114*I114/100,2)</x:f>
        <x:v>1.88</x:v>
      </x:c>
      <x:c r="K114" t="n">
        <x:v>14.1</x:v>
      </x:c>
      <x:c r="L114" t="n">
        <x:f>ROUND(F114*K114/100,2)</x:f>
        <x:v>17.63</x:v>
      </x:c>
      <x:c r="M114" t="n">
        <x:v>0.1</x:v>
      </x:c>
      <x:c r="N114" t="n">
        <x:f>ROUND(F114*M114/100,2)</x:f>
        <x:v>0.13</x:v>
      </x:c>
      <x:c r="O114" t="str">
        <x:v>蒸熟净重</x:v>
      </x:c>
    </x:row>
    <x:row r="115" ht="23" customHeight="1">
      <x:c r="A115" t="n">
        <x:v>19</x:v>
      </x:c>
      <x:c r="B115" t="n">
        <x:v>10</x:v>
      </x:c>
      <x:c r="C115" t="str">
        <x:v>午餐</x:v>
      </x:c>
      <x:c r="D115" t="str">
        <x:v>油脂</x:v>
      </x:c>
      <x:c r="E115" t="str">
        <x:v>烹调油</x:v>
      </x:c>
      <x:c r="F115" t="n">
        <x:v>5</x:v>
      </x:c>
      <x:c r="G115" t="n">
        <x:v>900</x:v>
      </x:c>
      <x:c r="H115" t="n">
        <x:f>ROUND(F115*G115/100,2)</x:f>
        <x:v>45</x:v>
      </x:c>
      <x:c r="I115" t="n">
        <x:v>0</x:v>
      </x:c>
      <x:c r="J115" t="n">
        <x:f>ROUND(F115*I115/100,2)</x:f>
        <x:v>0</x:v>
      </x:c>
      <x:c r="K115" t="n">
        <x:v>0</x:v>
      </x:c>
      <x:c r="L115" t="n">
        <x:f>ROUND(F115*K115/100,2)</x:f>
        <x:v>0</x:v>
      </x:c>
      <x:c r="M115" t="n">
        <x:v>100</x:v>
      </x:c>
      <x:c r="N115" t="n">
        <x:f>ROUND(F115*M115/100,2)</x:f>
        <x:v>5</x:v>
      </x:c>
      <x:c r="O115" t="str">
        <x:v>实际用油重</x:v>
      </x:c>
    </x:row>
    <x:row r="116" ht="23" customHeight="1">
      <x:c r="A116" t="n">
        <x:v>20</x:v>
      </x:c>
      <x:c r="B116" t="n">
        <x:v>10</x:v>
      </x:c>
      <x:c r="C116" t="str">
        <x:v>晚餐</x:v>
      </x:c>
      <x:c r="D116" t="str">
        <x:v>禽肉</x:v>
      </x:c>
      <x:c r="E116" t="str">
        <x:v>鸡里脊肉</x:v>
      </x:c>
      <x:c r="F116" t="n">
        <x:v>160</x:v>
      </x:c>
      <x:c r="G116" t="n">
        <x:v>110</x:v>
      </x:c>
      <x:c r="H116" t="n">
        <x:f>ROUND(F116*G116/100,2)</x:f>
        <x:v>176</x:v>
      </x:c>
      <x:c r="I116" t="n">
        <x:v>23</x:v>
      </x:c>
      <x:c r="J116" t="n">
        <x:f>ROUND(F116*I116/100,2)</x:f>
        <x:v>36.8</x:v>
      </x:c>
      <x:c r="K116" t="n">
        <x:v>0</x:v>
      </x:c>
      <x:c r="L116" t="n">
        <x:f>ROUND(F116*K116/100,2)</x:f>
        <x:v>0</x:v>
      </x:c>
      <x:c r="M116" t="n">
        <x:v>1.8</x:v>
      </x:c>
      <x:c r="N116" t="n">
        <x:f>ROUND(F116*M116/100,2)</x:f>
        <x:v>2.88</x:v>
      </x:c>
      <x:c r="O116" t="str">
        <x:v>生重</x:v>
      </x:c>
    </x:row>
    <x:row r="117" ht="23" customHeight="1">
      <x:c r="A117" t="n">
        <x:v>20</x:v>
      </x:c>
      <x:c r="B117" t="n">
        <x:v>10</x:v>
      </x:c>
      <x:c r="C117" t="str">
        <x:v>晚餐</x:v>
      </x:c>
      <x:c r="D117" t="str"/>
      <x:c r="E117" t="str"/>
      <x:c r="F117" t="n">
        <x:v>0</x:v>
      </x:c>
      <x:c r="G117" t="n">
        <x:v>0</x:v>
      </x:c>
      <x:c r="H117" t="n">
        <x:f>ROUND(F117*G117/100,2)</x:f>
        <x:v>0</x:v>
      </x:c>
      <x:c r="I117" t="n">
        <x:v>0</x:v>
      </x:c>
      <x:c r="J117" t="n">
        <x:f>ROUND(F117*I117/100,2)</x:f>
        <x:v>0</x:v>
      </x:c>
      <x:c r="K117" t="n">
        <x:v>0</x:v>
      </x:c>
      <x:c r="L117" t="n">
        <x:f>ROUND(F117*K117/100,2)</x:f>
        <x:v>0</x:v>
      </x:c>
      <x:c r="M117" t="n">
        <x:v>0</x:v>
      </x:c>
      <x:c r="N117" t="n">
        <x:f>ROUND(F117*M117/100,2)</x:f>
        <x:v>0</x:v>
      </x:c>
      <x:c r="O117" t="str"/>
    </x:row>
    <x:row r="118" ht="23" customHeight="1">
      <x:c r="A118" t="n">
        <x:v>20</x:v>
      </x:c>
      <x:c r="B118" t="n">
        <x:v>10</x:v>
      </x:c>
      <x:c r="C118" t="str">
        <x:v>晚餐</x:v>
      </x:c>
      <x:c r="D118" t="str">
        <x:v>蔬菜</x:v>
      </x:c>
      <x:c r="E118" t="str">
        <x:v>番茄</x:v>
      </x:c>
      <x:c r="F118" t="n">
        <x:v>140</x:v>
      </x:c>
      <x:c r="G118" t="n">
        <x:v>20</x:v>
      </x:c>
      <x:c r="H118" t="n">
        <x:f>ROUND(F118*G118/100,2)</x:f>
        <x:v>28</x:v>
      </x:c>
      <x:c r="I118" t="n">
        <x:v>0.9</x:v>
      </x:c>
      <x:c r="J118" t="n">
        <x:f>ROUND(F118*I118/100,2)</x:f>
        <x:v>1.26</x:v>
      </x:c>
      <x:c r="K118" t="n">
        <x:v>4</x:v>
      </x:c>
      <x:c r="L118" t="n">
        <x:f>ROUND(F118*K118/100,2)</x:f>
        <x:v>5.6</x:v>
      </x:c>
      <x:c r="M118" t="n">
        <x:v>0.2</x:v>
      </x:c>
      <x:c r="N118" t="n">
        <x:f>ROUND(F118*M118/100,2)</x:f>
        <x:v>0.28</x:v>
      </x:c>
      <x:c r="O118" t="str">
        <x:v>生重</x:v>
      </x:c>
    </x:row>
    <x:row r="119" ht="23" customHeight="1">
      <x:c r="A119" t="n">
        <x:v>20</x:v>
      </x:c>
      <x:c r="B119" t="n">
        <x:v>10</x:v>
      </x:c>
      <x:c r="C119" t="str">
        <x:v>晚餐</x:v>
      </x:c>
      <x:c r="D119" t="str">
        <x:v>蔬菜</x:v>
      </x:c>
      <x:c r="E119" t="str">
        <x:v>西兰花</x:v>
      </x:c>
      <x:c r="F119" t="n">
        <x:v>110</x:v>
      </x:c>
      <x:c r="G119" t="n">
        <x:v>34</x:v>
      </x:c>
      <x:c r="H119" t="n">
        <x:f>ROUND(F119*G119/100,2)</x:f>
        <x:v>37.4</x:v>
      </x:c>
      <x:c r="I119" t="n">
        <x:v>2.8</x:v>
      </x:c>
      <x:c r="J119" t="n">
        <x:f>ROUND(F119*I119/100,2)</x:f>
        <x:v>3.08</x:v>
      </x:c>
      <x:c r="K119" t="n">
        <x:v>7</x:v>
      </x:c>
      <x:c r="L119" t="n">
        <x:f>ROUND(F119*K119/100,2)</x:f>
        <x:v>7.7</x:v>
      </x:c>
      <x:c r="M119" t="n">
        <x:v>0.4</x:v>
      </x:c>
      <x:c r="N119" t="n">
        <x:f>ROUND(F119*M119/100,2)</x:f>
        <x:v>0.44</x:v>
      </x:c>
      <x:c r="O119" t="str">
        <x:v>生重</x:v>
      </x:c>
    </x:row>
    <x:row r="120" ht="23" customHeight="1">
      <x:c r="A120" t="n">
        <x:v>20</x:v>
      </x:c>
      <x:c r="B120" t="n">
        <x:v>10</x:v>
      </x:c>
      <x:c r="C120" t="str">
        <x:v>晚餐</x:v>
      </x:c>
      <x:c r="D120" t="str">
        <x:v>主食</x:v>
      </x:c>
      <x:c r="E120" t="str">
        <x:v>全麦面</x:v>
      </x:c>
      <x:c r="F120" t="n">
        <x:v>95</x:v>
      </x:c>
      <x:c r="G120" t="n">
        <x:v>124</x:v>
      </x:c>
      <x:c r="H120" t="n">
        <x:f>ROUND(F120*G120/100,2)</x:f>
        <x:v>117.8</x:v>
      </x:c>
      <x:c r="I120" t="n">
        <x:v>5</x:v>
      </x:c>
      <x:c r="J120" t="n">
        <x:f>ROUND(F120*I120/100,2)</x:f>
        <x:v>4.75</x:v>
      </x:c>
      <x:c r="K120" t="n">
        <x:v>25</x:v>
      </x:c>
      <x:c r="L120" t="n">
        <x:f>ROUND(F120*K120/100,2)</x:f>
        <x:v>23.75</x:v>
      </x:c>
      <x:c r="M120" t="n">
        <x:v>1.1</x:v>
      </x:c>
      <x:c r="N120" t="n">
        <x:f>ROUND(F120*M120/100,2)</x:f>
        <x:v>1.05</x:v>
      </x:c>
      <x:c r="O120" t="str">
        <x:v>煮熟沥水重</x:v>
      </x:c>
    </x:row>
    <x:row r="121" ht="23" customHeight="1">
      <x:c r="A121" t="n">
        <x:v>20</x:v>
      </x:c>
      <x:c r="B121" t="n">
        <x:v>10</x:v>
      </x:c>
      <x:c r="C121" t="str">
        <x:v>晚餐</x:v>
      </x:c>
      <x:c r="D121" t="str">
        <x:v>油脂</x:v>
      </x:c>
      <x:c r="E121" t="str">
        <x:v>烹调油</x:v>
      </x:c>
      <x:c r="F121" t="n">
        <x:v>4</x:v>
      </x:c>
      <x:c r="G121" t="n">
        <x:v>900</x:v>
      </x:c>
      <x:c r="H121" t="n">
        <x:f>ROUND(F121*G121/100,2)</x:f>
        <x:v>36</x:v>
      </x:c>
      <x:c r="I121" t="n">
        <x:v>0</x:v>
      </x:c>
      <x:c r="J121" t="n">
        <x:f>ROUND(F121*I121/100,2)</x:f>
        <x:v>0</x:v>
      </x:c>
      <x:c r="K121" t="n">
        <x:v>0</x:v>
      </x:c>
      <x:c r="L121" t="n">
        <x:f>ROUND(F121*K121/100,2)</x:f>
        <x:v>0</x:v>
      </x:c>
      <x:c r="M121" t="n">
        <x:v>100</x:v>
      </x:c>
      <x:c r="N121" t="n">
        <x:f>ROUND(F121*M121/100,2)</x:f>
        <x:v>4</x:v>
      </x:c>
      <x:c r="O121" t="str">
        <x:v>实际用油重</x:v>
      </x:c>
    </x:row>
    <x:row r="122" ht="23" customHeight="1">
      <x:c r="A122" t="n">
        <x:v>21</x:v>
      </x:c>
      <x:c r="B122" t="n">
        <x:v>11</x:v>
      </x:c>
      <x:c r="C122" t="str">
        <x:v>午餐</x:v>
      </x:c>
      <x:c r="D122" t="str">
        <x:v>海鲜</x:v>
      </x:c>
      <x:c r="E122" t="str">
        <x:v>扇贝肉</x:v>
      </x:c>
      <x:c r="F122" t="n">
        <x:v>210</x:v>
      </x:c>
      <x:c r="G122" t="n">
        <x:v>90</x:v>
      </x:c>
      <x:c r="H122" t="n">
        <x:f>ROUND(F122*G122/100,2)</x:f>
        <x:v>189</x:v>
      </x:c>
      <x:c r="I122" t="n">
        <x:v>17</x:v>
      </x:c>
      <x:c r="J122" t="n">
        <x:f>ROUND(F122*I122/100,2)</x:f>
        <x:v>35.7</x:v>
      </x:c>
      <x:c r="K122" t="n">
        <x:v>3</x:v>
      </x:c>
      <x:c r="L122" t="n">
        <x:f>ROUND(F122*K122/100,2)</x:f>
        <x:v>6.3</x:v>
      </x:c>
      <x:c r="M122" t="n">
        <x:v>0.8</x:v>
      </x:c>
      <x:c r="N122" t="n">
        <x:f>ROUND(F122*M122/100,2)</x:f>
        <x:v>1.68</x:v>
      </x:c>
      <x:c r="O122" t="str">
        <x:v>生重</x:v>
      </x:c>
    </x:row>
    <x:row r="123" ht="23" customHeight="1">
      <x:c r="A123" t="n">
        <x:v>21</x:v>
      </x:c>
      <x:c r="B123" t="n">
        <x:v>11</x:v>
      </x:c>
      <x:c r="C123" t="str">
        <x:v>午餐</x:v>
      </x:c>
      <x:c r="D123" t="str"/>
      <x:c r="E123" t="str"/>
      <x:c r="F123" t="n">
        <x:v>0</x:v>
      </x:c>
      <x:c r="G123" t="n">
        <x:v>0</x:v>
      </x:c>
      <x:c r="H123" t="n">
        <x:f>ROUND(F123*G123/100,2)</x:f>
        <x:v>0</x:v>
      </x:c>
      <x:c r="I123" t="n">
        <x:v>0</x:v>
      </x:c>
      <x:c r="J123" t="n">
        <x:f>ROUND(F123*I123/100,2)</x:f>
        <x:v>0</x:v>
      </x:c>
      <x:c r="K123" t="n">
        <x:v>0</x:v>
      </x:c>
      <x:c r="L123" t="n">
        <x:f>ROUND(F123*K123/100,2)</x:f>
        <x:v>0</x:v>
      </x:c>
      <x:c r="M123" t="n">
        <x:v>0</x:v>
      </x:c>
      <x:c r="N123" t="n">
        <x:f>ROUND(F123*M123/100,2)</x:f>
        <x:v>0</x:v>
      </x:c>
      <x:c r="O123" t="str"/>
    </x:row>
    <x:row r="124" ht="23" customHeight="1">
      <x:c r="A124" t="n">
        <x:v>21</x:v>
      </x:c>
      <x:c r="B124" t="n">
        <x:v>11</x:v>
      </x:c>
      <x:c r="C124" t="str">
        <x:v>午餐</x:v>
      </x:c>
      <x:c r="D124" t="str">
        <x:v>蔬菜</x:v>
      </x:c>
      <x:c r="E124" t="str">
        <x:v>娃娃菜</x:v>
      </x:c>
      <x:c r="F124" t="n">
        <x:v>160</x:v>
      </x:c>
      <x:c r="G124" t="n">
        <x:v>17</x:v>
      </x:c>
      <x:c r="H124" t="n">
        <x:f>ROUND(F124*G124/100,2)</x:f>
        <x:v>27.2</x:v>
      </x:c>
      <x:c r="I124" t="n">
        <x:v>1.3</x:v>
      </x:c>
      <x:c r="J124" t="n">
        <x:f>ROUND(F124*I124/100,2)</x:f>
        <x:v>2.08</x:v>
      </x:c>
      <x:c r="K124" t="n">
        <x:v>3</x:v>
      </x:c>
      <x:c r="L124" t="n">
        <x:f>ROUND(F124*K124/100,2)</x:f>
        <x:v>4.8</x:v>
      </x:c>
      <x:c r="M124" t="n">
        <x:v>0.2</x:v>
      </x:c>
      <x:c r="N124" t="n">
        <x:f>ROUND(F124*M124/100,2)</x:f>
        <x:v>0.32</x:v>
      </x:c>
      <x:c r="O124" t="str">
        <x:v>生重</x:v>
      </x:c>
    </x:row>
    <x:row r="125" ht="23" customHeight="1">
      <x:c r="A125" t="n">
        <x:v>21</x:v>
      </x:c>
      <x:c r="B125" t="n">
        <x:v>11</x:v>
      </x:c>
      <x:c r="C125" t="str">
        <x:v>午餐</x:v>
      </x:c>
      <x:c r="D125" t="str">
        <x:v>蔬菜</x:v>
      </x:c>
      <x:c r="E125" t="str">
        <x:v>白萝卜</x:v>
      </x:c>
      <x:c r="F125" t="n">
        <x:v>140</x:v>
      </x:c>
      <x:c r="G125" t="n">
        <x:v>18</x:v>
      </x:c>
      <x:c r="H125" t="n">
        <x:f>ROUND(F125*G125/100,2)</x:f>
        <x:v>25.2</x:v>
      </x:c>
      <x:c r="I125" t="n">
        <x:v>0.6</x:v>
      </x:c>
      <x:c r="J125" t="n">
        <x:f>ROUND(F125*I125/100,2)</x:f>
        <x:v>0.84</x:v>
      </x:c>
      <x:c r="K125" t="n">
        <x:v>4</x:v>
      </x:c>
      <x:c r="L125" t="n">
        <x:f>ROUND(F125*K125/100,2)</x:f>
        <x:v>5.6</x:v>
      </x:c>
      <x:c r="M125" t="n">
        <x:v>0.1</x:v>
      </x:c>
      <x:c r="N125" t="n">
        <x:f>ROUND(F125*M125/100,2)</x:f>
        <x:v>0.14</x:v>
      </x:c>
      <x:c r="O125" t="str">
        <x:v>生重</x:v>
      </x:c>
    </x:row>
    <x:row r="126" ht="23" customHeight="1">
      <x:c r="A126" t="n">
        <x:v>21</x:v>
      </x:c>
      <x:c r="B126" t="n">
        <x:v>11</x:v>
      </x:c>
      <x:c r="C126" t="str">
        <x:v>午餐</x:v>
      </x:c>
      <x:c r="D126" t="str">
        <x:v>主食</x:v>
      </x:c>
      <x:c r="E126" t="str">
        <x:v>红薯</x:v>
      </x:c>
      <x:c r="F126" t="n">
        <x:v>150</x:v>
      </x:c>
      <x:c r="G126" t="n">
        <x:v>88</x:v>
      </x:c>
      <x:c r="H126" t="n">
        <x:f>ROUND(F126*G126/100,2)</x:f>
        <x:v>132</x:v>
      </x:c>
      <x:c r="I126" t="n">
        <x:v>1.6</x:v>
      </x:c>
      <x:c r="J126" t="n">
        <x:f>ROUND(F126*I126/100,2)</x:f>
        <x:v>2.4</x:v>
      </x:c>
      <x:c r="K126" t="n">
        <x:v>20.5</x:v>
      </x:c>
      <x:c r="L126" t="n">
        <x:f>ROUND(F126*K126/100,2)</x:f>
        <x:v>30.75</x:v>
      </x:c>
      <x:c r="M126" t="n">
        <x:v>0.1</x:v>
      </x:c>
      <x:c r="N126" t="n">
        <x:f>ROUND(F126*M126/100,2)</x:f>
        <x:v>0.15</x:v>
      </x:c>
      <x:c r="O126" t="str">
        <x:v>蒸熟净重</x:v>
      </x:c>
    </x:row>
    <x:row r="127" ht="23" customHeight="1">
      <x:c r="A127" t="n">
        <x:v>21</x:v>
      </x:c>
      <x:c r="B127" t="n">
        <x:v>11</x:v>
      </x:c>
      <x:c r="C127" t="str">
        <x:v>午餐</x:v>
      </x:c>
      <x:c r="D127" t="str">
        <x:v>油脂</x:v>
      </x:c>
      <x:c r="E127" t="str">
        <x:v>烹调油</x:v>
      </x:c>
      <x:c r="F127" t="n">
        <x:v>6</x:v>
      </x:c>
      <x:c r="G127" t="n">
        <x:v>900</x:v>
      </x:c>
      <x:c r="H127" t="n">
        <x:f>ROUND(F127*G127/100,2)</x:f>
        <x:v>54</x:v>
      </x:c>
      <x:c r="I127" t="n">
        <x:v>0</x:v>
      </x:c>
      <x:c r="J127" t="n">
        <x:f>ROUND(F127*I127/100,2)</x:f>
        <x:v>0</x:v>
      </x:c>
      <x:c r="K127" t="n">
        <x:v>0</x:v>
      </x:c>
      <x:c r="L127" t="n">
        <x:f>ROUND(F127*K127/100,2)</x:f>
        <x:v>0</x:v>
      </x:c>
      <x:c r="M127" t="n">
        <x:v>100</x:v>
      </x:c>
      <x:c r="N127" t="n">
        <x:f>ROUND(F127*M127/100,2)</x:f>
        <x:v>6</x:v>
      </x:c>
      <x:c r="O127" t="str">
        <x:v>实际用油重</x:v>
      </x:c>
    </x:row>
    <x:row r="128" ht="23" customHeight="1">
      <x:c r="A128" t="n">
        <x:v>22</x:v>
      </x:c>
      <x:c r="B128" t="n">
        <x:v>11</x:v>
      </x:c>
      <x:c r="C128" t="str">
        <x:v>晚餐</x:v>
      </x:c>
      <x:c r="D128" t="str">
        <x:v>牛肉</x:v>
      </x:c>
      <x:c r="E128" t="str">
        <x:v>肥牛卷</x:v>
      </x:c>
      <x:c r="F128" t="n">
        <x:v>105</x:v>
      </x:c>
      <x:c r="G128" t="n">
        <x:v>250</x:v>
      </x:c>
      <x:c r="H128" t="n">
        <x:f>ROUND(F128*G128/100,2)</x:f>
        <x:v>262.5</x:v>
      </x:c>
      <x:c r="I128" t="n">
        <x:v>16</x:v>
      </x:c>
      <x:c r="J128" t="n">
        <x:f>ROUND(F128*I128/100,2)</x:f>
        <x:v>16.8</x:v>
      </x:c>
      <x:c r="K128" t="n">
        <x:v>1</x:v>
      </x:c>
      <x:c r="L128" t="n">
        <x:f>ROUND(F128*K128/100,2)</x:f>
        <x:v>1.05</x:v>
      </x:c>
      <x:c r="M128" t="n">
        <x:v>20</x:v>
      </x:c>
      <x:c r="N128" t="n">
        <x:f>ROUND(F128*M128/100,2)</x:f>
        <x:v>21</x:v>
      </x:c>
      <x:c r="O128" t="str">
        <x:v>生重；以包装为准</x:v>
      </x:c>
    </x:row>
    <x:row r="129" ht="23" customHeight="1">
      <x:c r="A129" t="n">
        <x:v>22</x:v>
      </x:c>
      <x:c r="B129" t="n">
        <x:v>11</x:v>
      </x:c>
      <x:c r="C129" t="str">
        <x:v>晚餐</x:v>
      </x:c>
      <x:c r="D129" t="str">
        <x:v>豆蛋</x:v>
      </x:c>
      <x:c r="E129" t="str">
        <x:v>北豆腐</x:v>
      </x:c>
      <x:c r="F129" t="n">
        <x:v>110</x:v>
      </x:c>
      <x:c r="G129" t="n">
        <x:v>90</x:v>
      </x:c>
      <x:c r="H129" t="n">
        <x:f>ROUND(F129*G129/100,2)</x:f>
        <x:v>99</x:v>
      </x:c>
      <x:c r="I129" t="n">
        <x:v>10</x:v>
      </x:c>
      <x:c r="J129" t="n">
        <x:f>ROUND(F129*I129/100,2)</x:f>
        <x:v>11</x:v>
      </x:c>
      <x:c r="K129" t="n">
        <x:v>2</x:v>
      </x:c>
      <x:c r="L129" t="n">
        <x:f>ROUND(F129*K129/100,2)</x:f>
        <x:v>2.2</x:v>
      </x:c>
      <x:c r="M129" t="n">
        <x:v>5</x:v>
      </x:c>
      <x:c r="N129" t="n">
        <x:f>ROUND(F129*M129/100,2)</x:f>
        <x:v>5.5</x:v>
      </x:c>
      <x:c r="O129" t="str">
        <x:v>净重</x:v>
      </x:c>
    </x:row>
    <x:row r="130" ht="23" customHeight="1">
      <x:c r="A130" t="n">
        <x:v>22</x:v>
      </x:c>
      <x:c r="B130" t="n">
        <x:v>11</x:v>
      </x:c>
      <x:c r="C130" t="str">
        <x:v>晚餐</x:v>
      </x:c>
      <x:c r="D130" t="str">
        <x:v>蔬菜</x:v>
      </x:c>
      <x:c r="E130" t="str">
        <x:v>荷兰豆</x:v>
      </x:c>
      <x:c r="F130" t="n">
        <x:v>190</x:v>
      </x:c>
      <x:c r="G130" t="n">
        <x:v>42</x:v>
      </x:c>
      <x:c r="H130" t="n">
        <x:f>ROUND(F130*G130/100,2)</x:f>
        <x:v>79.8</x:v>
      </x:c>
      <x:c r="I130" t="n">
        <x:v>2.8</x:v>
      </x:c>
      <x:c r="J130" t="n">
        <x:f>ROUND(F130*I130/100,2)</x:f>
        <x:v>5.32</x:v>
      </x:c>
      <x:c r="K130" t="n">
        <x:v>7.5</x:v>
      </x:c>
      <x:c r="L130" t="n">
        <x:f>ROUND(F130*K130/100,2)</x:f>
        <x:v>14.25</x:v>
      </x:c>
      <x:c r="M130" t="n">
        <x:v>0.3</x:v>
      </x:c>
      <x:c r="N130" t="n">
        <x:f>ROUND(F130*M130/100,2)</x:f>
        <x:v>0.57</x:v>
      </x:c>
      <x:c r="O130" t="str">
        <x:v>生重</x:v>
      </x:c>
    </x:row>
    <x:row r="131" ht="23" customHeight="1">
      <x:c r="A131" t="n">
        <x:v>22</x:v>
      </x:c>
      <x:c r="B131" t="n">
        <x:v>11</x:v>
      </x:c>
      <x:c r="C131" t="str">
        <x:v>晚餐</x:v>
      </x:c>
      <x:c r="D131" t="str">
        <x:v>菌菇</x:v>
      </x:c>
      <x:c r="E131" t="str">
        <x:v>香菇</x:v>
      </x:c>
      <x:c r="F131" t="n">
        <x:v>140</x:v>
      </x:c>
      <x:c r="G131" t="n">
        <x:v>34</x:v>
      </x:c>
      <x:c r="H131" t="n">
        <x:f>ROUND(F131*G131/100,2)</x:f>
        <x:v>47.6</x:v>
      </x:c>
      <x:c r="I131" t="n">
        <x:v>2.2</x:v>
      </x:c>
      <x:c r="J131" t="n">
        <x:f>ROUND(F131*I131/100,2)</x:f>
        <x:v>3.08</x:v>
      </x:c>
      <x:c r="K131" t="n">
        <x:v>6.8</x:v>
      </x:c>
      <x:c r="L131" t="n">
        <x:f>ROUND(F131*K131/100,2)</x:f>
        <x:v>9.52</x:v>
      </x:c>
      <x:c r="M131" t="n">
        <x:v>0.5</x:v>
      </x:c>
      <x:c r="N131" t="n">
        <x:f>ROUND(F131*M131/100,2)</x:f>
        <x:v>0.7</x:v>
      </x:c>
      <x:c r="O131" t="str">
        <x:v>生重</x:v>
      </x:c>
    </x:row>
    <x:row r="132" ht="23" customHeight="1">
      <x:c r="A132" t="n">
        <x:v>22</x:v>
      </x:c>
      <x:c r="B132" t="n">
        <x:v>11</x:v>
      </x:c>
      <x:c r="C132" t="str">
        <x:v>晚餐</x:v>
      </x:c>
      <x:c r="D132" t="str">
        <x:v>主食</x:v>
      </x:c>
      <x:c r="E132" t="str">
        <x:v>燕麦饭</x:v>
      </x:c>
      <x:c r="F132" t="n">
        <x:v>125</x:v>
      </x:c>
      <x:c r="G132" t="n">
        <x:v>110</x:v>
      </x:c>
      <x:c r="H132" t="n">
        <x:f>ROUND(F132*G132/100,2)</x:f>
        <x:v>137.5</x:v>
      </x:c>
      <x:c r="I132" t="n">
        <x:v>3.2</x:v>
      </x:c>
      <x:c r="J132" t="n">
        <x:f>ROUND(F132*I132/100,2)</x:f>
        <x:v>4</x:v>
      </x:c>
      <x:c r="K132" t="n">
        <x:v>21</x:v>
      </x:c>
      <x:c r="L132" t="n">
        <x:f>ROUND(F132*K132/100,2)</x:f>
        <x:v>26.25</x:v>
      </x:c>
      <x:c r="M132" t="n">
        <x:v>1.8</x:v>
      </x:c>
      <x:c r="N132" t="n">
        <x:f>ROUND(F132*M132/100,2)</x:f>
        <x:v>2.25</x:v>
      </x:c>
      <x:c r="O132" t="str">
        <x:v>熟重</x:v>
      </x:c>
    </x:row>
    <x:row r="133" ht="23" customHeight="1">
      <x:c r="A133" t="n">
        <x:v>22</x:v>
      </x:c>
      <x:c r="B133" t="n">
        <x:v>11</x:v>
      </x:c>
      <x:c r="C133" t="str">
        <x:v>晚餐</x:v>
      </x:c>
      <x:c r="D133" t="str">
        <x:v>油脂</x:v>
      </x:c>
      <x:c r="E133" t="str">
        <x:v>烹调油</x:v>
      </x:c>
      <x:c r="F133" t="n">
        <x:v>3</x:v>
      </x:c>
      <x:c r="G133" t="n">
        <x:v>900</x:v>
      </x:c>
      <x:c r="H133" t="n">
        <x:f>ROUND(F133*G133/100,2)</x:f>
        <x:v>27</x:v>
      </x:c>
      <x:c r="I133" t="n">
        <x:v>0</x:v>
      </x:c>
      <x:c r="J133" t="n">
        <x:f>ROUND(F133*I133/100,2)</x:f>
        <x:v>0</x:v>
      </x:c>
      <x:c r="K133" t="n">
        <x:v>0</x:v>
      </x:c>
      <x:c r="L133" t="n">
        <x:f>ROUND(F133*K133/100,2)</x:f>
        <x:v>0</x:v>
      </x:c>
      <x:c r="M133" t="n">
        <x:v>100</x:v>
      </x:c>
      <x:c r="N133" t="n">
        <x:f>ROUND(F133*M133/100,2)</x:f>
        <x:v>3</x:v>
      </x:c>
      <x:c r="O133" t="str">
        <x:v>实际用油重</x:v>
      </x:c>
    </x:row>
    <x:row r="134" ht="23" customHeight="1">
      <x:c r="A134" t="n">
        <x:v>23</x:v>
      </x:c>
      <x:c r="B134" t="n">
        <x:v>12</x:v>
      </x:c>
      <x:c r="C134" t="str">
        <x:v>午餐</x:v>
      </x:c>
      <x:c r="D134" t="str">
        <x:v>鱼类</x:v>
      </x:c>
      <x:c r="E134" t="str">
        <x:v>鲈鱼</x:v>
      </x:c>
      <x:c r="F134" t="n">
        <x:v>175</x:v>
      </x:c>
      <x:c r="G134" t="n">
        <x:v>105</x:v>
      </x:c>
      <x:c r="H134" t="n">
        <x:f>ROUND(F134*G134/100,2)</x:f>
        <x:v>183.75</x:v>
      </x:c>
      <x:c r="I134" t="n">
        <x:v>19</x:v>
      </x:c>
      <x:c r="J134" t="n">
        <x:f>ROUND(F134*I134/100,2)</x:f>
        <x:v>33.25</x:v>
      </x:c>
      <x:c r="K134" t="n">
        <x:v>0</x:v>
      </x:c>
      <x:c r="L134" t="n">
        <x:f>ROUND(F134*K134/100,2)</x:f>
        <x:v>0</x:v>
      </x:c>
      <x:c r="M134" t="n">
        <x:v>3</x:v>
      </x:c>
      <x:c r="N134" t="n">
        <x:f>ROUND(F134*M134/100,2)</x:f>
        <x:v>5.25</x:v>
      </x:c>
      <x:c r="O134" t="str">
        <x:v>净鱼肉生重</x:v>
      </x:c>
    </x:row>
    <x:row r="135" ht="23" customHeight="1">
      <x:c r="A135" t="n">
        <x:v>23</x:v>
      </x:c>
      <x:c r="B135" t="n">
        <x:v>12</x:v>
      </x:c>
      <x:c r="C135" t="str">
        <x:v>午餐</x:v>
      </x:c>
      <x:c r="D135" t="str"/>
      <x:c r="E135" t="str"/>
      <x:c r="F135" t="n">
        <x:v>0</x:v>
      </x:c>
      <x:c r="G135" t="n">
        <x:v>0</x:v>
      </x:c>
      <x:c r="H135" t="n">
        <x:f>ROUND(F135*G135/100,2)</x:f>
        <x:v>0</x:v>
      </x:c>
      <x:c r="I135" t="n">
        <x:v>0</x:v>
      </x:c>
      <x:c r="J135" t="n">
        <x:f>ROUND(F135*I135/100,2)</x:f>
        <x:v>0</x:v>
      </x:c>
      <x:c r="K135" t="n">
        <x:v>0</x:v>
      </x:c>
      <x:c r="L135" t="n">
        <x:f>ROUND(F135*K135/100,2)</x:f>
        <x:v>0</x:v>
      </x:c>
      <x:c r="M135" t="n">
        <x:v>0</x:v>
      </x:c>
      <x:c r="N135" t="n">
        <x:f>ROUND(F135*M135/100,2)</x:f>
        <x:v>0</x:v>
      </x:c>
      <x:c r="O135" t="str"/>
    </x:row>
    <x:row r="136" ht="23" customHeight="1">
      <x:c r="A136" t="n">
        <x:v>23</x:v>
      </x:c>
      <x:c r="B136" t="n">
        <x:v>12</x:v>
      </x:c>
      <x:c r="C136" t="str">
        <x:v>午餐</x:v>
      </x:c>
      <x:c r="D136" t="str">
        <x:v>蔬菜</x:v>
      </x:c>
      <x:c r="E136" t="str">
        <x:v>荷兰豆</x:v>
      </x:c>
      <x:c r="F136" t="n">
        <x:v>140</x:v>
      </x:c>
      <x:c r="G136" t="n">
        <x:v>42</x:v>
      </x:c>
      <x:c r="H136" t="n">
        <x:f>ROUND(F136*G136/100,2)</x:f>
        <x:v>58.8</x:v>
      </x:c>
      <x:c r="I136" t="n">
        <x:v>2.8</x:v>
      </x:c>
      <x:c r="J136" t="n">
        <x:f>ROUND(F136*I136/100,2)</x:f>
        <x:v>3.92</x:v>
      </x:c>
      <x:c r="K136" t="n">
        <x:v>7.5</x:v>
      </x:c>
      <x:c r="L136" t="n">
        <x:f>ROUND(F136*K136/100,2)</x:f>
        <x:v>10.5</x:v>
      </x:c>
      <x:c r="M136" t="n">
        <x:v>0.3</x:v>
      </x:c>
      <x:c r="N136" t="n">
        <x:f>ROUND(F136*M136/100,2)</x:f>
        <x:v>0.42</x:v>
      </x:c>
      <x:c r="O136" t="str">
        <x:v>生重</x:v>
      </x:c>
    </x:row>
    <x:row r="137" ht="23" customHeight="1">
      <x:c r="A137" t="n">
        <x:v>23</x:v>
      </x:c>
      <x:c r="B137" t="n">
        <x:v>12</x:v>
      </x:c>
      <x:c r="C137" t="str">
        <x:v>午餐</x:v>
      </x:c>
      <x:c r="D137" t="str">
        <x:v>菌菇</x:v>
      </x:c>
      <x:c r="E137" t="str">
        <x:v>杏鲍菇</x:v>
      </x:c>
      <x:c r="F137" t="n">
        <x:v>125</x:v>
      </x:c>
      <x:c r="G137" t="n">
        <x:v>35</x:v>
      </x:c>
      <x:c r="H137" t="n">
        <x:f>ROUND(F137*G137/100,2)</x:f>
        <x:v>43.75</x:v>
      </x:c>
      <x:c r="I137" t="n">
        <x:v>2</x:v>
      </x:c>
      <x:c r="J137" t="n">
        <x:f>ROUND(F137*I137/100,2)</x:f>
        <x:v>2.5</x:v>
      </x:c>
      <x:c r="K137" t="n">
        <x:v>7.4</x:v>
      </x:c>
      <x:c r="L137" t="n">
        <x:f>ROUND(F137*K137/100,2)</x:f>
        <x:v>9.25</x:v>
      </x:c>
      <x:c r="M137" t="n">
        <x:v>0.3</x:v>
      </x:c>
      <x:c r="N137" t="n">
        <x:f>ROUND(F137*M137/100,2)</x:f>
        <x:v>0.38</x:v>
      </x:c>
      <x:c r="O137" t="str">
        <x:v>生重</x:v>
      </x:c>
    </x:row>
    <x:row r="138" ht="23" customHeight="1">
      <x:c r="A138" t="n">
        <x:v>23</x:v>
      </x:c>
      <x:c r="B138" t="n">
        <x:v>12</x:v>
      </x:c>
      <x:c r="C138" t="str">
        <x:v>午餐</x:v>
      </x:c>
      <x:c r="D138" t="str">
        <x:v>主食</x:v>
      </x:c>
      <x:c r="E138" t="str">
        <x:v>红薯</x:v>
      </x:c>
      <x:c r="F138" t="n">
        <x:v>150</x:v>
      </x:c>
      <x:c r="G138" t="n">
        <x:v>88</x:v>
      </x:c>
      <x:c r="H138" t="n">
        <x:f>ROUND(F138*G138/100,2)</x:f>
        <x:v>132</x:v>
      </x:c>
      <x:c r="I138" t="n">
        <x:v>1.6</x:v>
      </x:c>
      <x:c r="J138" t="n">
        <x:f>ROUND(F138*I138/100,2)</x:f>
        <x:v>2.4</x:v>
      </x:c>
      <x:c r="K138" t="n">
        <x:v>20.5</x:v>
      </x:c>
      <x:c r="L138" t="n">
        <x:f>ROUND(F138*K138/100,2)</x:f>
        <x:v>30.75</x:v>
      </x:c>
      <x:c r="M138" t="n">
        <x:v>0.1</x:v>
      </x:c>
      <x:c r="N138" t="n">
        <x:f>ROUND(F138*M138/100,2)</x:f>
        <x:v>0.15</x:v>
      </x:c>
      <x:c r="O138" t="str">
        <x:v>蒸熟净重</x:v>
      </x:c>
    </x:row>
    <x:row r="139" ht="23" customHeight="1">
      <x:c r="A139" t="n">
        <x:v>23</x:v>
      </x:c>
      <x:c r="B139" t="n">
        <x:v>12</x:v>
      </x:c>
      <x:c r="C139" t="str">
        <x:v>午餐</x:v>
      </x:c>
      <x:c r="D139" t="str">
        <x:v>油脂</x:v>
      </x:c>
      <x:c r="E139" t="str">
        <x:v>烹调油</x:v>
      </x:c>
      <x:c r="F139" t="n">
        <x:v>3</x:v>
      </x:c>
      <x:c r="G139" t="n">
        <x:v>900</x:v>
      </x:c>
      <x:c r="H139" t="n">
        <x:f>ROUND(F139*G139/100,2)</x:f>
        <x:v>27</x:v>
      </x:c>
      <x:c r="I139" t="n">
        <x:v>0</x:v>
      </x:c>
      <x:c r="J139" t="n">
        <x:f>ROUND(F139*I139/100,2)</x:f>
        <x:v>0</x:v>
      </x:c>
      <x:c r="K139" t="n">
        <x:v>0</x:v>
      </x:c>
      <x:c r="L139" t="n">
        <x:f>ROUND(F139*K139/100,2)</x:f>
        <x:v>0</x:v>
      </x:c>
      <x:c r="M139" t="n">
        <x:v>100</x:v>
      </x:c>
      <x:c r="N139" t="n">
        <x:f>ROUND(F139*M139/100,2)</x:f>
        <x:v>3</x:v>
      </x:c>
      <x:c r="O139" t="str">
        <x:v>实际用油重</x:v>
      </x:c>
    </x:row>
    <x:row r="140" ht="23" customHeight="1">
      <x:c r="A140" t="n">
        <x:v>24</x:v>
      </x:c>
      <x:c r="B140" t="n">
        <x:v>12</x:v>
      </x:c>
      <x:c r="C140" t="str">
        <x:v>晚餐</x:v>
      </x:c>
      <x:c r="D140" t="str">
        <x:v>鱼类</x:v>
      </x:c>
      <x:c r="E140" t="str">
        <x:v>三文鱼</x:v>
      </x:c>
      <x:c r="F140" t="n">
        <x:v>120</x:v>
      </x:c>
      <x:c r="G140" t="n">
        <x:v>205</x:v>
      </x:c>
      <x:c r="H140" t="n">
        <x:f>ROUND(F140*G140/100,2)</x:f>
        <x:v>246</x:v>
      </x:c>
      <x:c r="I140" t="n">
        <x:v>20</x:v>
      </x:c>
      <x:c r="J140" t="n">
        <x:f>ROUND(F140*I140/100,2)</x:f>
        <x:v>24</x:v>
      </x:c>
      <x:c r="K140" t="n">
        <x:v>0</x:v>
      </x:c>
      <x:c r="L140" t="n">
        <x:f>ROUND(F140*K140/100,2)</x:f>
        <x:v>0</x:v>
      </x:c>
      <x:c r="M140" t="n">
        <x:v>13</x:v>
      </x:c>
      <x:c r="N140" t="n">
        <x:f>ROUND(F140*M140/100,2)</x:f>
        <x:v>15.6</x:v>
      </x:c>
      <x:c r="O140" t="str">
        <x:v>净鱼肉生重</x:v>
      </x:c>
    </x:row>
    <x:row r="141" ht="23" customHeight="1">
      <x:c r="A141" t="n">
        <x:v>24</x:v>
      </x:c>
      <x:c r="B141" t="n">
        <x:v>12</x:v>
      </x:c>
      <x:c r="C141" t="str">
        <x:v>晚餐</x:v>
      </x:c>
      <x:c r="D141" t="str"/>
      <x:c r="E141" t="str"/>
      <x:c r="F141" t="n">
        <x:v>0</x:v>
      </x:c>
      <x:c r="G141" t="n">
        <x:v>0</x:v>
      </x:c>
      <x:c r="H141" t="n">
        <x:f>ROUND(F141*G141/100,2)</x:f>
        <x:v>0</x:v>
      </x:c>
      <x:c r="I141" t="n">
        <x:v>0</x:v>
      </x:c>
      <x:c r="J141" t="n">
        <x:f>ROUND(F141*I141/100,2)</x:f>
        <x:v>0</x:v>
      </x:c>
      <x:c r="K141" t="n">
        <x:v>0</x:v>
      </x:c>
      <x:c r="L141" t="n">
        <x:f>ROUND(F141*K141/100,2)</x:f>
        <x:v>0</x:v>
      </x:c>
      <x:c r="M141" t="n">
        <x:v>0</x:v>
      </x:c>
      <x:c r="N141" t="n">
        <x:f>ROUND(F141*M141/100,2)</x:f>
        <x:v>0</x:v>
      </x:c>
      <x:c r="O141" t="str"/>
    </x:row>
    <x:row r="142" ht="23" customHeight="1">
      <x:c r="A142" t="n">
        <x:v>24</x:v>
      </x:c>
      <x:c r="B142" t="n">
        <x:v>12</x:v>
      </x:c>
      <x:c r="C142" t="str">
        <x:v>晚餐</x:v>
      </x:c>
      <x:c r="D142" t="str">
        <x:v>蔬菜</x:v>
      </x:c>
      <x:c r="E142" t="str">
        <x:v>彩椒</x:v>
      </x:c>
      <x:c r="F142" t="n">
        <x:v>175</x:v>
      </x:c>
      <x:c r="G142" t="n">
        <x:v>27</x:v>
      </x:c>
      <x:c r="H142" t="n">
        <x:f>ROUND(F142*G142/100,2)</x:f>
        <x:v>47.25</x:v>
      </x:c>
      <x:c r="I142" t="n">
        <x:v>1</x:v>
      </x:c>
      <x:c r="J142" t="n">
        <x:f>ROUND(F142*I142/100,2)</x:f>
        <x:v>1.75</x:v>
      </x:c>
      <x:c r="K142" t="n">
        <x:v>6.1</x:v>
      </x:c>
      <x:c r="L142" t="n">
        <x:f>ROUND(F142*K142/100,2)</x:f>
        <x:v>10.68</x:v>
      </x:c>
      <x:c r="M142" t="n">
        <x:v>0.2</x:v>
      </x:c>
      <x:c r="N142" t="n">
        <x:f>ROUND(F142*M142/100,2)</x:f>
        <x:v>0.35</x:v>
      </x:c>
      <x:c r="O142" t="str">
        <x:v>生重</x:v>
      </x:c>
    </x:row>
    <x:row r="143" ht="23" customHeight="1">
      <x:c r="A143" t="n">
        <x:v>24</x:v>
      </x:c>
      <x:c r="B143" t="n">
        <x:v>12</x:v>
      </x:c>
      <x:c r="C143" t="str">
        <x:v>晚餐</x:v>
      </x:c>
      <x:c r="D143" t="str">
        <x:v>菌菇</x:v>
      </x:c>
      <x:c r="E143" t="str">
        <x:v>香菇</x:v>
      </x:c>
      <x:c r="F143" t="n">
        <x:v>140</x:v>
      </x:c>
      <x:c r="G143" t="n">
        <x:v>34</x:v>
      </x:c>
      <x:c r="H143" t="n">
        <x:f>ROUND(F143*G143/100,2)</x:f>
        <x:v>47.6</x:v>
      </x:c>
      <x:c r="I143" t="n">
        <x:v>2.2</x:v>
      </x:c>
      <x:c r="J143" t="n">
        <x:f>ROUND(F143*I143/100,2)</x:f>
        <x:v>3.08</x:v>
      </x:c>
      <x:c r="K143" t="n">
        <x:v>6.8</x:v>
      </x:c>
      <x:c r="L143" t="n">
        <x:f>ROUND(F143*K143/100,2)</x:f>
        <x:v>9.52</x:v>
      </x:c>
      <x:c r="M143" t="n">
        <x:v>0.5</x:v>
      </x:c>
      <x:c r="N143" t="n">
        <x:f>ROUND(F143*M143/100,2)</x:f>
        <x:v>0.7</x:v>
      </x:c>
      <x:c r="O143" t="str">
        <x:v>生重</x:v>
      </x:c>
    </x:row>
    <x:row r="144" ht="23" customHeight="1">
      <x:c r="A144" t="n">
        <x:v>24</x:v>
      </x:c>
      <x:c r="B144" t="n">
        <x:v>12</x:v>
      </x:c>
      <x:c r="C144" t="str">
        <x:v>晚餐</x:v>
      </x:c>
      <x:c r="D144" t="str">
        <x:v>主食</x:v>
      </x:c>
      <x:c r="E144" t="str">
        <x:v>糙米饭</x:v>
      </x:c>
      <x:c r="F144" t="n">
        <x:v>135</x:v>
      </x:c>
      <x:c r="G144" t="n">
        <x:v>112</x:v>
      </x:c>
      <x:c r="H144" t="n">
        <x:f>ROUND(F144*G144/100,2)</x:f>
        <x:v>151.2</x:v>
      </x:c>
      <x:c r="I144" t="n">
        <x:v>2.6</x:v>
      </x:c>
      <x:c r="J144" t="n">
        <x:f>ROUND(F144*I144/100,2)</x:f>
        <x:v>3.51</x:v>
      </x:c>
      <x:c r="K144" t="n">
        <x:v>23.5</x:v>
      </x:c>
      <x:c r="L144" t="n">
        <x:f>ROUND(F144*K144/100,2)</x:f>
        <x:v>31.73</x:v>
      </x:c>
      <x:c r="M144" t="n">
        <x:v>0.9</x:v>
      </x:c>
      <x:c r="N144" t="n">
        <x:f>ROUND(F144*M144/100,2)</x:f>
        <x:v>1.22</x:v>
      </x:c>
      <x:c r="O144" t="str">
        <x:v>熟重</x:v>
      </x:c>
    </x:row>
    <x:row r="145" ht="23" customHeight="1">
      <x:c r="A145" t="n">
        <x:v>24</x:v>
      </x:c>
      <x:c r="B145" t="n">
        <x:v>12</x:v>
      </x:c>
      <x:c r="C145" t="str">
        <x:v>晚餐</x:v>
      </x:c>
      <x:c r="D145" t="str">
        <x:v>油脂</x:v>
      </x:c>
      <x:c r="E145" t="str">
        <x:v>烹调油</x:v>
      </x:c>
      <x:c r="F145" t="n">
        <x:v>3</x:v>
      </x:c>
      <x:c r="G145" t="n">
        <x:v>900</x:v>
      </x:c>
      <x:c r="H145" t="n">
        <x:f>ROUND(F145*G145/100,2)</x:f>
        <x:v>27</x:v>
      </x:c>
      <x:c r="I145" t="n">
        <x:v>0</x:v>
      </x:c>
      <x:c r="J145" t="n">
        <x:f>ROUND(F145*I145/100,2)</x:f>
        <x:v>0</x:v>
      </x:c>
      <x:c r="K145" t="n">
        <x:v>0</x:v>
      </x:c>
      <x:c r="L145" t="n">
        <x:f>ROUND(F145*K145/100,2)</x:f>
        <x:v>0</x:v>
      </x:c>
      <x:c r="M145" t="n">
        <x:v>100</x:v>
      </x:c>
      <x:c r="N145" t="n">
        <x:f>ROUND(F145*M145/100,2)</x:f>
        <x:v>3</x:v>
      </x:c>
      <x:c r="O145" t="str">
        <x:v>实际用油重</x:v>
      </x:c>
    </x:row>
    <x:row r="146" ht="23" customHeight="1">
      <x:c r="A146" t="n">
        <x:v>25</x:v>
      </x:c>
      <x:c r="B146" t="n">
        <x:v>13</x:v>
      </x:c>
      <x:c r="C146" t="str">
        <x:v>午餐</x:v>
      </x:c>
      <x:c r="D146" t="str">
        <x:v>牛肉</x:v>
      </x:c>
      <x:c r="E146" t="str">
        <x:v>瘦牛肉</x:v>
      </x:c>
      <x:c r="F146" t="n">
        <x:v>175</x:v>
      </x:c>
      <x:c r="G146" t="n">
        <x:v>125</x:v>
      </x:c>
      <x:c r="H146" t="n">
        <x:f>ROUND(F146*G146/100,2)</x:f>
        <x:v>218.75</x:v>
      </x:c>
      <x:c r="I146" t="n">
        <x:v>21</x:v>
      </x:c>
      <x:c r="J146" t="n">
        <x:f>ROUND(F146*I146/100,2)</x:f>
        <x:v>36.75</x:v>
      </x:c>
      <x:c r="K146" t="n">
        <x:v>0</x:v>
      </x:c>
      <x:c r="L146" t="n">
        <x:f>ROUND(F146*K146/100,2)</x:f>
        <x:v>0</x:v>
      </x:c>
      <x:c r="M146" t="n">
        <x:v>4</x:v>
      </x:c>
      <x:c r="N146" t="n">
        <x:f>ROUND(F146*M146/100,2)</x:f>
        <x:v>7</x:v>
      </x:c>
      <x:c r="O146" t="str">
        <x:v>生重</x:v>
      </x:c>
    </x:row>
    <x:row r="147" ht="23" customHeight="1">
      <x:c r="A147" t="n">
        <x:v>25</x:v>
      </x:c>
      <x:c r="B147" t="n">
        <x:v>13</x:v>
      </x:c>
      <x:c r="C147" t="str">
        <x:v>午餐</x:v>
      </x:c>
      <x:c r="D147" t="str"/>
      <x:c r="E147" t="str"/>
      <x:c r="F147" t="n">
        <x:v>0</x:v>
      </x:c>
      <x:c r="G147" t="n">
        <x:v>0</x:v>
      </x:c>
      <x:c r="H147" t="n">
        <x:f>ROUND(F147*G147/100,2)</x:f>
        <x:v>0</x:v>
      </x:c>
      <x:c r="I147" t="n">
        <x:v>0</x:v>
      </x:c>
      <x:c r="J147" t="n">
        <x:f>ROUND(F147*I147/100,2)</x:f>
        <x:v>0</x:v>
      </x:c>
      <x:c r="K147" t="n">
        <x:v>0</x:v>
      </x:c>
      <x:c r="L147" t="n">
        <x:f>ROUND(F147*K147/100,2)</x:f>
        <x:v>0</x:v>
      </x:c>
      <x:c r="M147" t="n">
        <x:v>0</x:v>
      </x:c>
      <x:c r="N147" t="n">
        <x:f>ROUND(F147*M147/100,2)</x:f>
        <x:v>0</x:v>
      </x:c>
      <x:c r="O147" t="str"/>
    </x:row>
    <x:row r="148" ht="23" customHeight="1">
      <x:c r="A148" t="n">
        <x:v>25</x:v>
      </x:c>
      <x:c r="B148" t="n">
        <x:v>13</x:v>
      </x:c>
      <x:c r="C148" t="str">
        <x:v>午餐</x:v>
      </x:c>
      <x:c r="D148" t="str">
        <x:v>蔬菜</x:v>
      </x:c>
      <x:c r="E148" t="str">
        <x:v>番茄</x:v>
      </x:c>
      <x:c r="F148" t="n">
        <x:v>190</x:v>
      </x:c>
      <x:c r="G148" t="n">
        <x:v>20</x:v>
      </x:c>
      <x:c r="H148" t="n">
        <x:f>ROUND(F148*G148/100,2)</x:f>
        <x:v>38</x:v>
      </x:c>
      <x:c r="I148" t="n">
        <x:v>0.9</x:v>
      </x:c>
      <x:c r="J148" t="n">
        <x:f>ROUND(F148*I148/100,2)</x:f>
        <x:v>1.71</x:v>
      </x:c>
      <x:c r="K148" t="n">
        <x:v>4</x:v>
      </x:c>
      <x:c r="L148" t="n">
        <x:f>ROUND(F148*K148/100,2)</x:f>
        <x:v>7.6</x:v>
      </x:c>
      <x:c r="M148" t="n">
        <x:v>0.2</x:v>
      </x:c>
      <x:c r="N148" t="n">
        <x:f>ROUND(F148*M148/100,2)</x:f>
        <x:v>0.38</x:v>
      </x:c>
      <x:c r="O148" t="str">
        <x:v>生重</x:v>
      </x:c>
    </x:row>
    <x:row r="149" ht="23" customHeight="1">
      <x:c r="A149" t="n">
        <x:v>25</x:v>
      </x:c>
      <x:c r="B149" t="n">
        <x:v>13</x:v>
      </x:c>
      <x:c r="C149" t="str">
        <x:v>午餐</x:v>
      </x:c>
      <x:c r="D149" t="str">
        <x:v>菌菇</x:v>
      </x:c>
      <x:c r="E149" t="str">
        <x:v>泡发木耳</x:v>
      </x:c>
      <x:c r="F149" t="n">
        <x:v>155</x:v>
      </x:c>
      <x:c r="G149" t="n">
        <x:v>25</x:v>
      </x:c>
      <x:c r="H149" t="n">
        <x:f>ROUND(F149*G149/100,2)</x:f>
        <x:v>38.75</x:v>
      </x:c>
      <x:c r="I149" t="n">
        <x:v>1.5</x:v>
      </x:c>
      <x:c r="J149" t="n">
        <x:f>ROUND(F149*I149/100,2)</x:f>
        <x:v>2.33</x:v>
      </x:c>
      <x:c r="K149" t="n">
        <x:v>6</x:v>
      </x:c>
      <x:c r="L149" t="n">
        <x:f>ROUND(F149*K149/100,2)</x:f>
        <x:v>9.3</x:v>
      </x:c>
      <x:c r="M149" t="n">
        <x:v>0.1</x:v>
      </x:c>
      <x:c r="N149" t="n">
        <x:f>ROUND(F149*M149/100,2)</x:f>
        <x:v>0.16</x:v>
      </x:c>
      <x:c r="O149" t="str">
        <x:v>泡发沥水重</x:v>
      </x:c>
    </x:row>
    <x:row r="150" ht="23" customHeight="1">
      <x:c r="A150" t="n">
        <x:v>25</x:v>
      </x:c>
      <x:c r="B150" t="n">
        <x:v>13</x:v>
      </x:c>
      <x:c r="C150" t="str">
        <x:v>午餐</x:v>
      </x:c>
      <x:c r="D150" t="str">
        <x:v>主食</x:v>
      </x:c>
      <x:c r="E150" t="str">
        <x:v>杂粮饭</x:v>
      </x:c>
      <x:c r="F150" t="n">
        <x:v>110</x:v>
      </x:c>
      <x:c r="G150" t="n">
        <x:v>115</x:v>
      </x:c>
      <x:c r="H150" t="n">
        <x:f>ROUND(F150*G150/100,2)</x:f>
        <x:v>126.5</x:v>
      </x:c>
      <x:c r="I150" t="n">
        <x:v>3.1</x:v>
      </x:c>
      <x:c r="J150" t="n">
        <x:f>ROUND(F150*I150/100,2)</x:f>
        <x:v>3.41</x:v>
      </x:c>
      <x:c r="K150" t="n">
        <x:v>23.5</x:v>
      </x:c>
      <x:c r="L150" t="n">
        <x:f>ROUND(F150*K150/100,2)</x:f>
        <x:v>25.85</x:v>
      </x:c>
      <x:c r="M150" t="n">
        <x:v>1.1</x:v>
      </x:c>
      <x:c r="N150" t="n">
        <x:f>ROUND(F150*M150/100,2)</x:f>
        <x:v>1.21</x:v>
      </x:c>
      <x:c r="O150" t="str">
        <x:v>熟重</x:v>
      </x:c>
    </x:row>
    <x:row r="151" ht="23" customHeight="1">
      <x:c r="A151" t="n">
        <x:v>25</x:v>
      </x:c>
      <x:c r="B151" t="n">
        <x:v>13</x:v>
      </x:c>
      <x:c r="C151" t="str">
        <x:v>午餐</x:v>
      </x:c>
      <x:c r="D151" t="str">
        <x:v>油脂</x:v>
      </x:c>
      <x:c r="E151" t="str">
        <x:v>烹调油</x:v>
      </x:c>
      <x:c r="F151" t="n">
        <x:v>5</x:v>
      </x:c>
      <x:c r="G151" t="n">
        <x:v>900</x:v>
      </x:c>
      <x:c r="H151" t="n">
        <x:f>ROUND(F151*G151/100,2)</x:f>
        <x:v>45</x:v>
      </x:c>
      <x:c r="I151" t="n">
        <x:v>0</x:v>
      </x:c>
      <x:c r="J151" t="n">
        <x:f>ROUND(F151*I151/100,2)</x:f>
        <x:v>0</x:v>
      </x:c>
      <x:c r="K151" t="n">
        <x:v>0</x:v>
      </x:c>
      <x:c r="L151" t="n">
        <x:f>ROUND(F151*K151/100,2)</x:f>
        <x:v>0</x:v>
      </x:c>
      <x:c r="M151" t="n">
        <x:v>100</x:v>
      </x:c>
      <x:c r="N151" t="n">
        <x:f>ROUND(F151*M151/100,2)</x:f>
        <x:v>5</x:v>
      </x:c>
      <x:c r="O151" t="str">
        <x:v>实际用油重</x:v>
      </x:c>
    </x:row>
    <x:row r="152" ht="23" customHeight="1">
      <x:c r="A152" t="n">
        <x:v>26</x:v>
      </x:c>
      <x:c r="B152" t="n">
        <x:v>13</x:v>
      </x:c>
      <x:c r="C152" t="str">
        <x:v>晚餐</x:v>
      </x:c>
      <x:c r="D152" t="str">
        <x:v>禽肉</x:v>
      </x:c>
      <x:c r="E152" t="str">
        <x:v>去皮鸡腿肉</x:v>
      </x:c>
      <x:c r="F152" t="n">
        <x:v>180</x:v>
      </x:c>
      <x:c r="G152" t="n">
        <x:v>125</x:v>
      </x:c>
      <x:c r="H152" t="n">
        <x:f>ROUND(F152*G152/100,2)</x:f>
        <x:v>225</x:v>
      </x:c>
      <x:c r="I152" t="n">
        <x:v>20</x:v>
      </x:c>
      <x:c r="J152" t="n">
        <x:f>ROUND(F152*I152/100,2)</x:f>
        <x:v>36</x:v>
      </x:c>
      <x:c r="K152" t="n">
        <x:v>0</x:v>
      </x:c>
      <x:c r="L152" t="n">
        <x:f>ROUND(F152*K152/100,2)</x:f>
        <x:v>0</x:v>
      </x:c>
      <x:c r="M152" t="n">
        <x:v>5</x:v>
      </x:c>
      <x:c r="N152" t="n">
        <x:f>ROUND(F152*M152/100,2)</x:f>
        <x:v>9</x:v>
      </x:c>
      <x:c r="O152" t="str">
        <x:v>生重</x:v>
      </x:c>
    </x:row>
    <x:row r="153" ht="23" customHeight="1">
      <x:c r="A153" t="n">
        <x:v>26</x:v>
      </x:c>
      <x:c r="B153" t="n">
        <x:v>13</x:v>
      </x:c>
      <x:c r="C153" t="str">
        <x:v>晚餐</x:v>
      </x:c>
      <x:c r="D153" t="str"/>
      <x:c r="E153" t="str"/>
      <x:c r="F153" t="n">
        <x:v>0</x:v>
      </x:c>
      <x:c r="G153" t="n">
        <x:v>0</x:v>
      </x:c>
      <x:c r="H153" t="n">
        <x:f>ROUND(F153*G153/100,2)</x:f>
        <x:v>0</x:v>
      </x:c>
      <x:c r="I153" t="n">
        <x:v>0</x:v>
      </x:c>
      <x:c r="J153" t="n">
        <x:f>ROUND(F153*I153/100,2)</x:f>
        <x:v>0</x:v>
      </x:c>
      <x:c r="K153" t="n">
        <x:v>0</x:v>
      </x:c>
      <x:c r="L153" t="n">
        <x:f>ROUND(F153*K153/100,2)</x:f>
        <x:v>0</x:v>
      </x:c>
      <x:c r="M153" t="n">
        <x:v>0</x:v>
      </x:c>
      <x:c r="N153" t="n">
        <x:f>ROUND(F153*M153/100,2)</x:f>
        <x:v>0</x:v>
      </x:c>
      <x:c r="O153" t="str"/>
    </x:row>
    <x:row r="154" ht="23" customHeight="1">
      <x:c r="A154" t="n">
        <x:v>26</x:v>
      </x:c>
      <x:c r="B154" t="n">
        <x:v>13</x:v>
      </x:c>
      <x:c r="C154" t="str">
        <x:v>晚餐</x:v>
      </x:c>
      <x:c r="D154" t="str">
        <x:v>蔬菜</x:v>
      </x:c>
      <x:c r="E154" t="str">
        <x:v>白萝卜</x:v>
      </x:c>
      <x:c r="F154" t="n">
        <x:v>190</x:v>
      </x:c>
      <x:c r="G154" t="n">
        <x:v>18</x:v>
      </x:c>
      <x:c r="H154" t="n">
        <x:f>ROUND(F154*G154/100,2)</x:f>
        <x:v>34.2</x:v>
      </x:c>
      <x:c r="I154" t="n">
        <x:v>0.6</x:v>
      </x:c>
      <x:c r="J154" t="n">
        <x:f>ROUND(F154*I154/100,2)</x:f>
        <x:v>1.14</x:v>
      </x:c>
      <x:c r="K154" t="n">
        <x:v>4</x:v>
      </x:c>
      <x:c r="L154" t="n">
        <x:f>ROUND(F154*K154/100,2)</x:f>
        <x:v>7.6</x:v>
      </x:c>
      <x:c r="M154" t="n">
        <x:v>0.1</x:v>
      </x:c>
      <x:c r="N154" t="n">
        <x:f>ROUND(F154*M154/100,2)</x:f>
        <x:v>0.19</x:v>
      </x:c>
      <x:c r="O154" t="str">
        <x:v>生重</x:v>
      </x:c>
    </x:row>
    <x:row r="155" ht="23" customHeight="1">
      <x:c r="A155" t="n">
        <x:v>26</x:v>
      </x:c>
      <x:c r="B155" t="n">
        <x:v>13</x:v>
      </x:c>
      <x:c r="C155" t="str">
        <x:v>晚餐</x:v>
      </x:c>
      <x:c r="D155" t="str">
        <x:v>蔬菜</x:v>
      </x:c>
      <x:c r="E155" t="str">
        <x:v>绿豆芽</x:v>
      </x:c>
      <x:c r="F155" t="n">
        <x:v>125</x:v>
      </x:c>
      <x:c r="G155" t="n">
        <x:v>31</x:v>
      </x:c>
      <x:c r="H155" t="n">
        <x:f>ROUND(F155*G155/100,2)</x:f>
        <x:v>38.75</x:v>
      </x:c>
      <x:c r="I155" t="n">
        <x:v>3</x:v>
      </x:c>
      <x:c r="J155" t="n">
        <x:f>ROUND(F155*I155/100,2)</x:f>
        <x:v>3.75</x:v>
      </x:c>
      <x:c r="K155" t="n">
        <x:v>6</x:v>
      </x:c>
      <x:c r="L155" t="n">
        <x:f>ROUND(F155*K155/100,2)</x:f>
        <x:v>7.5</x:v>
      </x:c>
      <x:c r="M155" t="n">
        <x:v>0.2</x:v>
      </x:c>
      <x:c r="N155" t="n">
        <x:f>ROUND(F155*M155/100,2)</x:f>
        <x:v>0.25</x:v>
      </x:c>
      <x:c r="O155" t="str">
        <x:v>生重</x:v>
      </x:c>
    </x:row>
    <x:row r="156" ht="23" customHeight="1">
      <x:c r="A156" t="n">
        <x:v>26</x:v>
      </x:c>
      <x:c r="B156" t="n">
        <x:v>13</x:v>
      </x:c>
      <x:c r="C156" t="str">
        <x:v>晚餐</x:v>
      </x:c>
      <x:c r="D156" t="str">
        <x:v>主食</x:v>
      </x:c>
      <x:c r="E156" t="str">
        <x:v>糙米饭</x:v>
      </x:c>
      <x:c r="F156" t="n">
        <x:v>135</x:v>
      </x:c>
      <x:c r="G156" t="n">
        <x:v>112</x:v>
      </x:c>
      <x:c r="H156" t="n">
        <x:f>ROUND(F156*G156/100,2)</x:f>
        <x:v>151.2</x:v>
      </x:c>
      <x:c r="I156" t="n">
        <x:v>2.6</x:v>
      </x:c>
      <x:c r="J156" t="n">
        <x:f>ROUND(F156*I156/100,2)</x:f>
        <x:v>3.51</x:v>
      </x:c>
      <x:c r="K156" t="n">
        <x:v>23.5</x:v>
      </x:c>
      <x:c r="L156" t="n">
        <x:f>ROUND(F156*K156/100,2)</x:f>
        <x:v>31.73</x:v>
      </x:c>
      <x:c r="M156" t="n">
        <x:v>0.9</x:v>
      </x:c>
      <x:c r="N156" t="n">
        <x:f>ROUND(F156*M156/100,2)</x:f>
        <x:v>1.22</x:v>
      </x:c>
      <x:c r="O156" t="str">
        <x:v>熟重</x:v>
      </x:c>
    </x:row>
    <x:row r="157" ht="23" customHeight="1">
      <x:c r="A157" t="n">
        <x:v>26</x:v>
      </x:c>
      <x:c r="B157" t="n">
        <x:v>13</x:v>
      </x:c>
      <x:c r="C157" t="str">
        <x:v>晚餐</x:v>
      </x:c>
      <x:c r="D157" t="str">
        <x:v>油脂</x:v>
      </x:c>
      <x:c r="E157" t="str">
        <x:v>烹调油</x:v>
      </x:c>
      <x:c r="F157" t="n">
        <x:v>6</x:v>
      </x:c>
      <x:c r="G157" t="n">
        <x:v>900</x:v>
      </x:c>
      <x:c r="H157" t="n">
        <x:f>ROUND(F157*G157/100,2)</x:f>
        <x:v>54</x:v>
      </x:c>
      <x:c r="I157" t="n">
        <x:v>0</x:v>
      </x:c>
      <x:c r="J157" t="n">
        <x:f>ROUND(F157*I157/100,2)</x:f>
        <x:v>0</x:v>
      </x:c>
      <x:c r="K157" t="n">
        <x:v>0</x:v>
      </x:c>
      <x:c r="L157" t="n">
        <x:f>ROUND(F157*K157/100,2)</x:f>
        <x:v>0</x:v>
      </x:c>
      <x:c r="M157" t="n">
        <x:v>100</x:v>
      </x:c>
      <x:c r="N157" t="n">
        <x:f>ROUND(F157*M157/100,2)</x:f>
        <x:v>6</x:v>
      </x:c>
      <x:c r="O157" t="str">
        <x:v>实际用油重</x:v>
      </x:c>
    </x:row>
    <x:row r="158" ht="23" customHeight="1">
      <x:c r="A158" t="n">
        <x:v>27</x:v>
      </x:c>
      <x:c r="B158" t="n">
        <x:v>14</x:v>
      </x:c>
      <x:c r="C158" t="str">
        <x:v>午餐</x:v>
      </x:c>
      <x:c r="D158" t="str">
        <x:v>牛肉</x:v>
      </x:c>
      <x:c r="E158" t="str">
        <x:v>肥牛卷</x:v>
      </x:c>
      <x:c r="F158" t="n">
        <x:v>95</x:v>
      </x:c>
      <x:c r="G158" t="n">
        <x:v>250</x:v>
      </x:c>
      <x:c r="H158" t="n">
        <x:f>ROUND(F158*G158/100,2)</x:f>
        <x:v>237.5</x:v>
      </x:c>
      <x:c r="I158" t="n">
        <x:v>16</x:v>
      </x:c>
      <x:c r="J158" t="n">
        <x:f>ROUND(F158*I158/100,2)</x:f>
        <x:v>15.2</x:v>
      </x:c>
      <x:c r="K158" t="n">
        <x:v>1</x:v>
      </x:c>
      <x:c r="L158" t="n">
        <x:f>ROUND(F158*K158/100,2)</x:f>
        <x:v>0.95</x:v>
      </x:c>
      <x:c r="M158" t="n">
        <x:v>20</x:v>
      </x:c>
      <x:c r="N158" t="n">
        <x:f>ROUND(F158*M158/100,2)</x:f>
        <x:v>19</x:v>
      </x:c>
      <x:c r="O158" t="str">
        <x:v>生重；以包装为准</x:v>
      </x:c>
    </x:row>
    <x:row r="159" ht="23" customHeight="1">
      <x:c r="A159" t="n">
        <x:v>27</x:v>
      </x:c>
      <x:c r="B159" t="n">
        <x:v>14</x:v>
      </x:c>
      <x:c r="C159" t="str">
        <x:v>午餐</x:v>
      </x:c>
      <x:c r="D159" t="str">
        <x:v>豆蛋</x:v>
      </x:c>
      <x:c r="E159" t="str">
        <x:v>北豆腐</x:v>
      </x:c>
      <x:c r="F159" t="n">
        <x:v>90</x:v>
      </x:c>
      <x:c r="G159" t="n">
        <x:v>90</x:v>
      </x:c>
      <x:c r="H159" t="n">
        <x:f>ROUND(F159*G159/100,2)</x:f>
        <x:v>81</x:v>
      </x:c>
      <x:c r="I159" t="n">
        <x:v>10</x:v>
      </x:c>
      <x:c r="J159" t="n">
        <x:f>ROUND(F159*I159/100,2)</x:f>
        <x:v>9</x:v>
      </x:c>
      <x:c r="K159" t="n">
        <x:v>2</x:v>
      </x:c>
      <x:c r="L159" t="n">
        <x:f>ROUND(F159*K159/100,2)</x:f>
        <x:v>1.8</x:v>
      </x:c>
      <x:c r="M159" t="n">
        <x:v>5</x:v>
      </x:c>
      <x:c r="N159" t="n">
        <x:f>ROUND(F159*M159/100,2)</x:f>
        <x:v>4.5</x:v>
      </x:c>
      <x:c r="O159" t="str">
        <x:v>净重</x:v>
      </x:c>
    </x:row>
    <x:row r="160" ht="23" customHeight="1">
      <x:c r="A160" t="n">
        <x:v>27</x:v>
      </x:c>
      <x:c r="B160" t="n">
        <x:v>14</x:v>
      </x:c>
      <x:c r="C160" t="str">
        <x:v>午餐</x:v>
      </x:c>
      <x:c r="D160" t="str">
        <x:v>蔬菜</x:v>
      </x:c>
      <x:c r="E160" t="str">
        <x:v>芹菜</x:v>
      </x:c>
      <x:c r="F160" t="n">
        <x:v>175</x:v>
      </x:c>
      <x:c r="G160" t="n">
        <x:v>17</x:v>
      </x:c>
      <x:c r="H160" t="n">
        <x:f>ROUND(F160*G160/100,2)</x:f>
        <x:v>29.75</x:v>
      </x:c>
      <x:c r="I160" t="n">
        <x:v>1</x:v>
      </x:c>
      <x:c r="J160" t="n">
        <x:f>ROUND(F160*I160/100,2)</x:f>
        <x:v>1.75</x:v>
      </x:c>
      <x:c r="K160" t="n">
        <x:v>3.5</x:v>
      </x:c>
      <x:c r="L160" t="n">
        <x:f>ROUND(F160*K160/100,2)</x:f>
        <x:v>6.13</x:v>
      </x:c>
      <x:c r="M160" t="n">
        <x:v>0.1</x:v>
      </x:c>
      <x:c r="N160" t="n">
        <x:f>ROUND(F160*M160/100,2)</x:f>
        <x:v>0.18</x:v>
      </x:c>
      <x:c r="O160" t="str">
        <x:v>生重</x:v>
      </x:c>
    </x:row>
    <x:row r="161" ht="23" customHeight="1">
      <x:c r="A161" t="n">
        <x:v>27</x:v>
      </x:c>
      <x:c r="B161" t="n">
        <x:v>14</x:v>
      </x:c>
      <x:c r="C161" t="str">
        <x:v>午餐</x:v>
      </x:c>
      <x:c r="D161" t="str">
        <x:v>菌菇</x:v>
      </x:c>
      <x:c r="E161" t="str">
        <x:v>香菇</x:v>
      </x:c>
      <x:c r="F161" t="n">
        <x:v>155</x:v>
      </x:c>
      <x:c r="G161" t="n">
        <x:v>34</x:v>
      </x:c>
      <x:c r="H161" t="n">
        <x:f>ROUND(F161*G161/100,2)</x:f>
        <x:v>52.7</x:v>
      </x:c>
      <x:c r="I161" t="n">
        <x:v>2.2</x:v>
      </x:c>
      <x:c r="J161" t="n">
        <x:f>ROUND(F161*I161/100,2)</x:f>
        <x:v>3.41</x:v>
      </x:c>
      <x:c r="K161" t="n">
        <x:v>6.8</x:v>
      </x:c>
      <x:c r="L161" t="n">
        <x:f>ROUND(F161*K161/100,2)</x:f>
        <x:v>10.54</x:v>
      </x:c>
      <x:c r="M161" t="n">
        <x:v>0.5</x:v>
      </x:c>
      <x:c r="N161" t="n">
        <x:f>ROUND(F161*M161/100,2)</x:f>
        <x:v>0.78</x:v>
      </x:c>
      <x:c r="O161" t="str">
        <x:v>生重</x:v>
      </x:c>
    </x:row>
    <x:row r="162" ht="23" customHeight="1">
      <x:c r="A162" t="n">
        <x:v>27</x:v>
      </x:c>
      <x:c r="B162" t="n">
        <x:v>14</x:v>
      </x:c>
      <x:c r="C162" t="str">
        <x:v>午餐</x:v>
      </x:c>
      <x:c r="D162" t="str">
        <x:v>主食</x:v>
      </x:c>
      <x:c r="E162" t="str">
        <x:v>土豆</x:v>
      </x:c>
      <x:c r="F162" t="n">
        <x:v>125</x:v>
      </x:c>
      <x:c r="G162" t="n">
        <x:v>78</x:v>
      </x:c>
      <x:c r="H162" t="n">
        <x:f>ROUND(F162*G162/100,2)</x:f>
        <x:v>97.5</x:v>
      </x:c>
      <x:c r="I162" t="n">
        <x:v>2</x:v>
      </x:c>
      <x:c r="J162" t="n">
        <x:f>ROUND(F162*I162/100,2)</x:f>
        <x:v>2.5</x:v>
      </x:c>
      <x:c r="K162" t="n">
        <x:v>17.2</x:v>
      </x:c>
      <x:c r="L162" t="n">
        <x:f>ROUND(F162*K162/100,2)</x:f>
        <x:v>21.5</x:v>
      </x:c>
      <x:c r="M162" t="n">
        <x:v>0.1</x:v>
      </x:c>
      <x:c r="N162" t="n">
        <x:f>ROUND(F162*M162/100,2)</x:f>
        <x:v>0.13</x:v>
      </x:c>
      <x:c r="O162" t="str">
        <x:v>蒸熟净重</x:v>
      </x:c>
    </x:row>
    <x:row r="163" ht="23" customHeight="1">
      <x:c r="A163" t="n">
        <x:v>27</x:v>
      </x:c>
      <x:c r="B163" t="n">
        <x:v>14</x:v>
      </x:c>
      <x:c r="C163" t="str">
        <x:v>午餐</x:v>
      </x:c>
      <x:c r="D163" t="str">
        <x:v>油脂</x:v>
      </x:c>
      <x:c r="E163" t="str">
        <x:v>烹调油</x:v>
      </x:c>
      <x:c r="F163" t="n">
        <x:v>5</x:v>
      </x:c>
      <x:c r="G163" t="n">
        <x:v>900</x:v>
      </x:c>
      <x:c r="H163" t="n">
        <x:f>ROUND(F163*G163/100,2)</x:f>
        <x:v>45</x:v>
      </x:c>
      <x:c r="I163" t="n">
        <x:v>0</x:v>
      </x:c>
      <x:c r="J163" t="n">
        <x:f>ROUND(F163*I163/100,2)</x:f>
        <x:v>0</x:v>
      </x:c>
      <x:c r="K163" t="n">
        <x:v>0</x:v>
      </x:c>
      <x:c r="L163" t="n">
        <x:f>ROUND(F163*K163/100,2)</x:f>
        <x:v>0</x:v>
      </x:c>
      <x:c r="M163" t="n">
        <x:v>100</x:v>
      </x:c>
      <x:c r="N163" t="n">
        <x:f>ROUND(F163*M163/100,2)</x:f>
        <x:v>5</x:v>
      </x:c>
      <x:c r="O163" t="str">
        <x:v>实际用油重</x:v>
      </x:c>
    </x:row>
    <x:row r="164" ht="23" customHeight="1">
      <x:c r="A164" t="n">
        <x:v>28</x:v>
      </x:c>
      <x:c r="B164" t="n">
        <x:v>14</x:v>
      </x:c>
      <x:c r="C164" t="str">
        <x:v>晚餐</x:v>
      </x:c>
      <x:c r="D164" t="str">
        <x:v>豆蛋</x:v>
      </x:c>
      <x:c r="E164" t="str">
        <x:v>鸡蛋</x:v>
      </x:c>
      <x:c r="F164" t="n">
        <x:v>120</x:v>
      </x:c>
      <x:c r="G164" t="n">
        <x:v>144</x:v>
      </x:c>
      <x:c r="H164" t="n">
        <x:f>ROUND(F164*G164/100,2)</x:f>
        <x:v>172.8</x:v>
      </x:c>
      <x:c r="I164" t="n">
        <x:v>13</x:v>
      </x:c>
      <x:c r="J164" t="n">
        <x:f>ROUND(F164*I164/100,2)</x:f>
        <x:v>15.6</x:v>
      </x:c>
      <x:c r="K164" t="n">
        <x:v>1.1</x:v>
      </x:c>
      <x:c r="L164" t="n">
        <x:f>ROUND(F164*K164/100,2)</x:f>
        <x:v>1.32</x:v>
      </x:c>
      <x:c r="M164" t="n">
        <x:v>10</x:v>
      </x:c>
      <x:c r="N164" t="n">
        <x:f>ROUND(F164*M164/100,2)</x:f>
        <x:v>12</x:v>
      </x:c>
      <x:c r="O164" t="str">
        <x:v>去壳可食重</x:v>
      </x:c>
    </x:row>
    <x:row r="165" ht="23" customHeight="1">
      <x:c r="A165" t="n">
        <x:v>28</x:v>
      </x:c>
      <x:c r="B165" t="n">
        <x:v>14</x:v>
      </x:c>
      <x:c r="C165" t="str">
        <x:v>晚餐</x:v>
      </x:c>
      <x:c r="D165" t="str">
        <x:v>豆蛋</x:v>
      </x:c>
      <x:c r="E165" t="str">
        <x:v>嫩豆腐</x:v>
      </x:c>
      <x:c r="F165" t="n">
        <x:v>110</x:v>
      </x:c>
      <x:c r="G165" t="n">
        <x:v>55</x:v>
      </x:c>
      <x:c r="H165" t="n">
        <x:f>ROUND(F165*G165/100,2)</x:f>
        <x:v>60.5</x:v>
      </x:c>
      <x:c r="I165" t="n">
        <x:v>5</x:v>
      </x:c>
      <x:c r="J165" t="n">
        <x:f>ROUND(F165*I165/100,2)</x:f>
        <x:v>5.5</x:v>
      </x:c>
      <x:c r="K165" t="n">
        <x:v>2</x:v>
      </x:c>
      <x:c r="L165" t="n">
        <x:f>ROUND(F165*K165/100,2)</x:f>
        <x:v>2.2</x:v>
      </x:c>
      <x:c r="M165" t="n">
        <x:v>2.8</x:v>
      </x:c>
      <x:c r="N165" t="n">
        <x:f>ROUND(F165*M165/100,2)</x:f>
        <x:v>3.08</x:v>
      </x:c>
      <x:c r="O165" t="str">
        <x:v>净重</x:v>
      </x:c>
    </x:row>
    <x:row r="166" ht="23" customHeight="1">
      <x:c r="A166" t="n">
        <x:v>28</x:v>
      </x:c>
      <x:c r="B166" t="n">
        <x:v>14</x:v>
      </x:c>
      <x:c r="C166" t="str">
        <x:v>晚餐</x:v>
      </x:c>
      <x:c r="D166" t="str">
        <x:v>蔬菜</x:v>
      </x:c>
      <x:c r="E166" t="str">
        <x:v>小白菜</x:v>
      </x:c>
      <x:c r="F166" t="n">
        <x:v>175</x:v>
      </x:c>
      <x:c r="G166" t="n">
        <x:v>17</x:v>
      </x:c>
      <x:c r="H166" t="n">
        <x:f>ROUND(F166*G166/100,2)</x:f>
        <x:v>29.75</x:v>
      </x:c>
      <x:c r="I166" t="n">
        <x:v>1.6</x:v>
      </x:c>
      <x:c r="J166" t="n">
        <x:f>ROUND(F166*I166/100,2)</x:f>
        <x:v>2.8</x:v>
      </x:c>
      <x:c r="K166" t="n">
        <x:v>2.8</x:v>
      </x:c>
      <x:c r="L166" t="n">
        <x:f>ROUND(F166*K166/100,2)</x:f>
        <x:v>4.9</x:v>
      </x:c>
      <x:c r="M166" t="n">
        <x:v>0.2</x:v>
      </x:c>
      <x:c r="N166" t="n">
        <x:f>ROUND(F166*M166/100,2)</x:f>
        <x:v>0.35</x:v>
      </x:c>
      <x:c r="O166" t="str">
        <x:v>生重</x:v>
      </x:c>
    </x:row>
    <x:row r="167" ht="23" customHeight="1">
      <x:c r="A167" t="n">
        <x:v>28</x:v>
      </x:c>
      <x:c r="B167" t="n">
        <x:v>14</x:v>
      </x:c>
      <x:c r="C167" t="str">
        <x:v>晚餐</x:v>
      </x:c>
      <x:c r="D167" t="str">
        <x:v>蔬菜</x:v>
      </x:c>
      <x:c r="E167" t="str">
        <x:v>洋葱</x:v>
      </x:c>
      <x:c r="F167" t="n">
        <x:v>125</x:v>
      </x:c>
      <x:c r="G167" t="n">
        <x:v>40</x:v>
      </x:c>
      <x:c r="H167" t="n">
        <x:f>ROUND(F167*G167/100,2)</x:f>
        <x:v>50</x:v>
      </x:c>
      <x:c r="I167" t="n">
        <x:v>1.1</x:v>
      </x:c>
      <x:c r="J167" t="n">
        <x:f>ROUND(F167*I167/100,2)</x:f>
        <x:v>1.38</x:v>
      </x:c>
      <x:c r="K167" t="n">
        <x:v>9.3</x:v>
      </x:c>
      <x:c r="L167" t="n">
        <x:f>ROUND(F167*K167/100,2)</x:f>
        <x:v>11.63</x:v>
      </x:c>
      <x:c r="M167" t="n">
        <x:v>0.1</x:v>
      </x:c>
      <x:c r="N167" t="n">
        <x:f>ROUND(F167*M167/100,2)</x:f>
        <x:v>0.13</x:v>
      </x:c>
      <x:c r="O167" t="str">
        <x:v>生重</x:v>
      </x:c>
    </x:row>
    <x:row r="168" ht="23" customHeight="1">
      <x:c r="A168" t="n">
        <x:v>28</x:v>
      </x:c>
      <x:c r="B168" t="n">
        <x:v>14</x:v>
      </x:c>
      <x:c r="C168" t="str">
        <x:v>晚餐</x:v>
      </x:c>
      <x:c r="D168" t="str">
        <x:v>主食</x:v>
      </x:c>
      <x:c r="E168" t="str">
        <x:v>燕麦饭</x:v>
      </x:c>
      <x:c r="F168" t="n">
        <x:v>135</x:v>
      </x:c>
      <x:c r="G168" t="n">
        <x:v>110</x:v>
      </x:c>
      <x:c r="H168" t="n">
        <x:f>ROUND(F168*G168/100,2)</x:f>
        <x:v>148.5</x:v>
      </x:c>
      <x:c r="I168" t="n">
        <x:v>3.2</x:v>
      </x:c>
      <x:c r="J168" t="n">
        <x:f>ROUND(F168*I168/100,2)</x:f>
        <x:v>4.32</x:v>
      </x:c>
      <x:c r="K168" t="n">
        <x:v>21</x:v>
      </x:c>
      <x:c r="L168" t="n">
        <x:f>ROUND(F168*K168/100,2)</x:f>
        <x:v>28.35</x:v>
      </x:c>
      <x:c r="M168" t="n">
        <x:v>1.8</x:v>
      </x:c>
      <x:c r="N168" t="n">
        <x:f>ROUND(F168*M168/100,2)</x:f>
        <x:v>2.43</x:v>
      </x:c>
      <x:c r="O168" t="str">
        <x:v>熟重</x:v>
      </x:c>
    </x:row>
    <x:row r="169" ht="23" customHeight="1">
      <x:c r="A169" t="n">
        <x:v>28</x:v>
      </x:c>
      <x:c r="B169" t="n">
        <x:v>14</x:v>
      </x:c>
      <x:c r="C169" t="str">
        <x:v>晚餐</x:v>
      </x:c>
      <x:c r="D169" t="str">
        <x:v>油脂</x:v>
      </x:c>
      <x:c r="E169" t="str">
        <x:v>烹调油</x:v>
      </x:c>
      <x:c r="F169" t="n">
        <x:v>6</x:v>
      </x:c>
      <x:c r="G169" t="n">
        <x:v>900</x:v>
      </x:c>
      <x:c r="H169" t="n">
        <x:f>ROUND(F169*G169/100,2)</x:f>
        <x:v>54</x:v>
      </x:c>
      <x:c r="I169" t="n">
        <x:v>0</x:v>
      </x:c>
      <x:c r="J169" t="n">
        <x:f>ROUND(F169*I169/100,2)</x:f>
        <x:v>0</x:v>
      </x:c>
      <x:c r="K169" t="n">
        <x:v>0</x:v>
      </x:c>
      <x:c r="L169" t="n">
        <x:f>ROUND(F169*K169/100,2)</x:f>
        <x:v>0</x:v>
      </x:c>
      <x:c r="M169" t="n">
        <x:v>100</x:v>
      </x:c>
      <x:c r="N169" t="n">
        <x:f>ROUND(F169*M169/100,2)</x:f>
        <x:v>6</x:v>
      </x:c>
      <x:c r="O169" t="str">
        <x:v>实际用油重</x:v>
      </x:c>
    </x:row>
    <x:row r="170" ht="23" customHeight="1">
      <x:c r="A170" t="n">
        <x:v>29</x:v>
      </x:c>
      <x:c r="B170" t="n">
        <x:v>15</x:v>
      </x:c>
      <x:c r="C170" t="str">
        <x:v>午餐</x:v>
      </x:c>
      <x:c r="D170" t="str">
        <x:v>猪肉</x:v>
      </x:c>
      <x:c r="E170" t="str">
        <x:v>猪里脊</x:v>
      </x:c>
      <x:c r="F170" t="n">
        <x:v>185</x:v>
      </x:c>
      <x:c r="G170" t="n">
        <x:v>120</x:v>
      </x:c>
      <x:c r="H170" t="n">
        <x:f>ROUND(F170*G170/100,2)</x:f>
        <x:v>222</x:v>
      </x:c>
      <x:c r="I170" t="n">
        <x:v>21</x:v>
      </x:c>
      <x:c r="J170" t="n">
        <x:f>ROUND(F170*I170/100,2)</x:f>
        <x:v>38.85</x:v>
      </x:c>
      <x:c r="K170" t="n">
        <x:v>0</x:v>
      </x:c>
      <x:c r="L170" t="n">
        <x:f>ROUND(F170*K170/100,2)</x:f>
        <x:v>0</x:v>
      </x:c>
      <x:c r="M170" t="n">
        <x:v>3.5</x:v>
      </x:c>
      <x:c r="N170" t="n">
        <x:f>ROUND(F170*M170/100,2)</x:f>
        <x:v>6.48</x:v>
      </x:c>
      <x:c r="O170" t="str">
        <x:v>生重</x:v>
      </x:c>
    </x:row>
    <x:row r="171" ht="23" customHeight="1">
      <x:c r="A171" t="n">
        <x:v>29</x:v>
      </x:c>
      <x:c r="B171" t="n">
        <x:v>15</x:v>
      </x:c>
      <x:c r="C171" t="str">
        <x:v>午餐</x:v>
      </x:c>
      <x:c r="D171" t="str"/>
      <x:c r="E171" t="str"/>
      <x:c r="F171" t="n">
        <x:v>0</x:v>
      </x:c>
      <x:c r="G171" t="n">
        <x:v>0</x:v>
      </x:c>
      <x:c r="H171" t="n">
        <x:f>ROUND(F171*G171/100,2)</x:f>
        <x:v>0</x:v>
      </x:c>
      <x:c r="I171" t="n">
        <x:v>0</x:v>
      </x:c>
      <x:c r="J171" t="n">
        <x:f>ROUND(F171*I171/100,2)</x:f>
        <x:v>0</x:v>
      </x:c>
      <x:c r="K171" t="n">
        <x:v>0</x:v>
      </x:c>
      <x:c r="L171" t="n">
        <x:f>ROUND(F171*K171/100,2)</x:f>
        <x:v>0</x:v>
      </x:c>
      <x:c r="M171" t="n">
        <x:v>0</x:v>
      </x:c>
      <x:c r="N171" t="n">
        <x:f>ROUND(F171*M171/100,2)</x:f>
        <x:v>0</x:v>
      </x:c>
      <x:c r="O171" t="str"/>
    </x:row>
    <x:row r="172" ht="23" customHeight="1">
      <x:c r="A172" t="n">
        <x:v>29</x:v>
      </x:c>
      <x:c r="B172" t="n">
        <x:v>15</x:v>
      </x:c>
      <x:c r="C172" t="str">
        <x:v>午餐</x:v>
      </x:c>
      <x:c r="D172" t="str">
        <x:v>蔬菜</x:v>
      </x:c>
      <x:c r="E172" t="str">
        <x:v>番茄</x:v>
      </x:c>
      <x:c r="F172" t="n">
        <x:v>160</x:v>
      </x:c>
      <x:c r="G172" t="n">
        <x:v>20</x:v>
      </x:c>
      <x:c r="H172" t="n">
        <x:f>ROUND(F172*G172/100,2)</x:f>
        <x:v>32</x:v>
      </x:c>
      <x:c r="I172" t="n">
        <x:v>0.9</x:v>
      </x:c>
      <x:c r="J172" t="n">
        <x:f>ROUND(F172*I172/100,2)</x:f>
        <x:v>1.44</x:v>
      </x:c>
      <x:c r="K172" t="n">
        <x:v>4</x:v>
      </x:c>
      <x:c r="L172" t="n">
        <x:f>ROUND(F172*K172/100,2)</x:f>
        <x:v>6.4</x:v>
      </x:c>
      <x:c r="M172" t="n">
        <x:v>0.2</x:v>
      </x:c>
      <x:c r="N172" t="n">
        <x:f>ROUND(F172*M172/100,2)</x:f>
        <x:v>0.32</x:v>
      </x:c>
      <x:c r="O172" t="str">
        <x:v>生重</x:v>
      </x:c>
    </x:row>
    <x:row r="173" ht="23" customHeight="1">
      <x:c r="A173" t="n">
        <x:v>29</x:v>
      </x:c>
      <x:c r="B173" t="n">
        <x:v>15</x:v>
      </x:c>
      <x:c r="C173" t="str">
        <x:v>午餐</x:v>
      </x:c>
      <x:c r="D173" t="str">
        <x:v>蔬菜</x:v>
      </x:c>
      <x:c r="E173" t="str">
        <x:v>胡萝卜</x:v>
      </x:c>
      <x:c r="F173" t="n">
        <x:v>140</x:v>
      </x:c>
      <x:c r="G173" t="n">
        <x:v>41</x:v>
      </x:c>
      <x:c r="H173" t="n">
        <x:f>ROUND(F173*G173/100,2)</x:f>
        <x:v>57.4</x:v>
      </x:c>
      <x:c r="I173" t="n">
        <x:v>0.9</x:v>
      </x:c>
      <x:c r="J173" t="n">
        <x:f>ROUND(F173*I173/100,2)</x:f>
        <x:v>1.26</x:v>
      </x:c>
      <x:c r="K173" t="n">
        <x:v>10</x:v>
      </x:c>
      <x:c r="L173" t="n">
        <x:f>ROUND(F173*K173/100,2)</x:f>
        <x:v>14</x:v>
      </x:c>
      <x:c r="M173" t="n">
        <x:v>0.2</x:v>
      </x:c>
      <x:c r="N173" t="n">
        <x:f>ROUND(F173*M173/100,2)</x:f>
        <x:v>0.28</x:v>
      </x:c>
      <x:c r="O173" t="str">
        <x:v>生重</x:v>
      </x:c>
    </x:row>
    <x:row r="174" ht="23" customHeight="1">
      <x:c r="A174" t="n">
        <x:v>29</x:v>
      </x:c>
      <x:c r="B174" t="n">
        <x:v>15</x:v>
      </x:c>
      <x:c r="C174" t="str">
        <x:v>午餐</x:v>
      </x:c>
      <x:c r="D174" t="str">
        <x:v>主食</x:v>
      </x:c>
      <x:c r="E174" t="str">
        <x:v>紫薯</x:v>
      </x:c>
      <x:c r="F174" t="n">
        <x:v>165</x:v>
      </x:c>
      <x:c r="G174" t="n">
        <x:v>95</x:v>
      </x:c>
      <x:c r="H174" t="n">
        <x:f>ROUND(F174*G174/100,2)</x:f>
        <x:v>156.75</x:v>
      </x:c>
      <x:c r="I174" t="n">
        <x:v>1.6</x:v>
      </x:c>
      <x:c r="J174" t="n">
        <x:f>ROUND(F174*I174/100,2)</x:f>
        <x:v>2.64</x:v>
      </x:c>
      <x:c r="K174" t="n">
        <x:v>22</x:v>
      </x:c>
      <x:c r="L174" t="n">
        <x:f>ROUND(F174*K174/100,2)</x:f>
        <x:v>36.3</x:v>
      </x:c>
      <x:c r="M174" t="n">
        <x:v>0.1</x:v>
      </x:c>
      <x:c r="N174" t="n">
        <x:f>ROUND(F174*M174/100,2)</x:f>
        <x:v>0.17</x:v>
      </x:c>
      <x:c r="O174" t="str">
        <x:v>蒸熟净重</x:v>
      </x:c>
    </x:row>
    <x:row r="175" ht="23" customHeight="1">
      <x:c r="A175" t="n">
        <x:v>29</x:v>
      </x:c>
      <x:c r="B175" t="n">
        <x:v>15</x:v>
      </x:c>
      <x:c r="C175" t="str">
        <x:v>午餐</x:v>
      </x:c>
      <x:c r="D175" t="str">
        <x:v>油脂</x:v>
      </x:c>
      <x:c r="E175" t="str">
        <x:v>烹调油</x:v>
      </x:c>
      <x:c r="F175" t="n">
        <x:v>5</x:v>
      </x:c>
      <x:c r="G175" t="n">
        <x:v>900</x:v>
      </x:c>
      <x:c r="H175" t="n">
        <x:f>ROUND(F175*G175/100,2)</x:f>
        <x:v>45</x:v>
      </x:c>
      <x:c r="I175" t="n">
        <x:v>0</x:v>
      </x:c>
      <x:c r="J175" t="n">
        <x:f>ROUND(F175*I175/100,2)</x:f>
        <x:v>0</x:v>
      </x:c>
      <x:c r="K175" t="n">
        <x:v>0</x:v>
      </x:c>
      <x:c r="L175" t="n">
        <x:f>ROUND(F175*K175/100,2)</x:f>
        <x:v>0</x:v>
      </x:c>
      <x:c r="M175" t="n">
        <x:v>100</x:v>
      </x:c>
      <x:c r="N175" t="n">
        <x:f>ROUND(F175*M175/100,2)</x:f>
        <x:v>5</x:v>
      </x:c>
      <x:c r="O175" t="str">
        <x:v>实际用油重</x:v>
      </x:c>
    </x:row>
    <x:row r="176" ht="23" customHeight="1">
      <x:c r="A176" t="n">
        <x:v>30</x:v>
      </x:c>
      <x:c r="B176" t="n">
        <x:v>15</x:v>
      </x:c>
      <x:c r="C176" t="str">
        <x:v>晚餐</x:v>
      </x:c>
      <x:c r="D176" t="str">
        <x:v>牛肉</x:v>
      </x:c>
      <x:c r="E176" t="str">
        <x:v>牛里脊</x:v>
      </x:c>
      <x:c r="F176" t="n">
        <x:v>145</x:v>
      </x:c>
      <x:c r="G176" t="n">
        <x:v>130</x:v>
      </x:c>
      <x:c r="H176" t="n">
        <x:f>ROUND(F176*G176/100,2)</x:f>
        <x:v>188.5</x:v>
      </x:c>
      <x:c r="I176" t="n">
        <x:v>21</x:v>
      </x:c>
      <x:c r="J176" t="n">
        <x:f>ROUND(F176*I176/100,2)</x:f>
        <x:v>30.45</x:v>
      </x:c>
      <x:c r="K176" t="n">
        <x:v>0</x:v>
      </x:c>
      <x:c r="L176" t="n">
        <x:f>ROUND(F176*K176/100,2)</x:f>
        <x:v>0</x:v>
      </x:c>
      <x:c r="M176" t="n">
        <x:v>4.8</x:v>
      </x:c>
      <x:c r="N176" t="n">
        <x:f>ROUND(F176*M176/100,2)</x:f>
        <x:v>6.96</x:v>
      </x:c>
      <x:c r="O176" t="str">
        <x:v>生重</x:v>
      </x:c>
    </x:row>
    <x:row r="177" ht="23" customHeight="1">
      <x:c r="A177" t="n">
        <x:v>30</x:v>
      </x:c>
      <x:c r="B177" t="n">
        <x:v>15</x:v>
      </x:c>
      <x:c r="C177" t="str">
        <x:v>晚餐</x:v>
      </x:c>
      <x:c r="D177" t="str"/>
      <x:c r="E177" t="str"/>
      <x:c r="F177" t="n">
        <x:v>0</x:v>
      </x:c>
      <x:c r="G177" t="n">
        <x:v>0</x:v>
      </x:c>
      <x:c r="H177" t="n">
        <x:f>ROUND(F177*G177/100,2)</x:f>
        <x:v>0</x:v>
      </x:c>
      <x:c r="I177" t="n">
        <x:v>0</x:v>
      </x:c>
      <x:c r="J177" t="n">
        <x:f>ROUND(F177*I177/100,2)</x:f>
        <x:v>0</x:v>
      </x:c>
      <x:c r="K177" t="n">
        <x:v>0</x:v>
      </x:c>
      <x:c r="L177" t="n">
        <x:f>ROUND(F177*K177/100,2)</x:f>
        <x:v>0</x:v>
      </x:c>
      <x:c r="M177" t="n">
        <x:v>0</x:v>
      </x:c>
      <x:c r="N177" t="n">
        <x:f>ROUND(F177*M177/100,2)</x:f>
        <x:v>0</x:v>
      </x:c>
      <x:c r="O177" t="str"/>
    </x:row>
    <x:row r="178" ht="23" customHeight="1">
      <x:c r="A178" t="n">
        <x:v>30</x:v>
      </x:c>
      <x:c r="B178" t="n">
        <x:v>15</x:v>
      </x:c>
      <x:c r="C178" t="str">
        <x:v>晚餐</x:v>
      </x:c>
      <x:c r="D178" t="str">
        <x:v>蔬菜</x:v>
      </x:c>
      <x:c r="E178" t="str">
        <x:v>小白菜</x:v>
      </x:c>
      <x:c r="F178" t="n">
        <x:v>175</x:v>
      </x:c>
      <x:c r="G178" t="n">
        <x:v>17</x:v>
      </x:c>
      <x:c r="H178" t="n">
        <x:f>ROUND(F178*G178/100,2)</x:f>
        <x:v>29.75</x:v>
      </x:c>
      <x:c r="I178" t="n">
        <x:v>1.6</x:v>
      </x:c>
      <x:c r="J178" t="n">
        <x:f>ROUND(F178*I178/100,2)</x:f>
        <x:v>2.8</x:v>
      </x:c>
      <x:c r="K178" t="n">
        <x:v>2.8</x:v>
      </x:c>
      <x:c r="L178" t="n">
        <x:f>ROUND(F178*K178/100,2)</x:f>
        <x:v>4.9</x:v>
      </x:c>
      <x:c r="M178" t="n">
        <x:v>0.2</x:v>
      </x:c>
      <x:c r="N178" t="n">
        <x:f>ROUND(F178*M178/100,2)</x:f>
        <x:v>0.35</x:v>
      </x:c>
      <x:c r="O178" t="str">
        <x:v>生重</x:v>
      </x:c>
    </x:row>
    <x:row r="179" ht="23" customHeight="1">
      <x:c r="A179" t="n">
        <x:v>30</x:v>
      </x:c>
      <x:c r="B179" t="n">
        <x:v>15</x:v>
      </x:c>
      <x:c r="C179" t="str">
        <x:v>晚餐</x:v>
      </x:c>
      <x:c r="D179" t="str">
        <x:v>菌菇</x:v>
      </x:c>
      <x:c r="E179" t="str">
        <x:v>香菇</x:v>
      </x:c>
      <x:c r="F179" t="n">
        <x:v>140</x:v>
      </x:c>
      <x:c r="G179" t="n">
        <x:v>34</x:v>
      </x:c>
      <x:c r="H179" t="n">
        <x:f>ROUND(F179*G179/100,2)</x:f>
        <x:v>47.6</x:v>
      </x:c>
      <x:c r="I179" t="n">
        <x:v>2.2</x:v>
      </x:c>
      <x:c r="J179" t="n">
        <x:f>ROUND(F179*I179/100,2)</x:f>
        <x:v>3.08</x:v>
      </x:c>
      <x:c r="K179" t="n">
        <x:v>6.8</x:v>
      </x:c>
      <x:c r="L179" t="n">
        <x:f>ROUND(F179*K179/100,2)</x:f>
        <x:v>9.52</x:v>
      </x:c>
      <x:c r="M179" t="n">
        <x:v>0.5</x:v>
      </x:c>
      <x:c r="N179" t="n">
        <x:f>ROUND(F179*M179/100,2)</x:f>
        <x:v>0.7</x:v>
      </x:c>
      <x:c r="O179" t="str">
        <x:v>生重</x:v>
      </x:c>
    </x:row>
    <x:row r="180" ht="23" customHeight="1">
      <x:c r="A180" t="n">
        <x:v>30</x:v>
      </x:c>
      <x:c r="B180" t="n">
        <x:v>15</x:v>
      </x:c>
      <x:c r="C180" t="str">
        <x:v>晚餐</x:v>
      </x:c>
      <x:c r="D180" t="str">
        <x:v>主食</x:v>
      </x:c>
      <x:c r="E180" t="str">
        <x:v>燕麦饭</x:v>
      </x:c>
      <x:c r="F180" t="n">
        <x:v>110</x:v>
      </x:c>
      <x:c r="G180" t="n">
        <x:v>110</x:v>
      </x:c>
      <x:c r="H180" t="n">
        <x:f>ROUND(F180*G180/100,2)</x:f>
        <x:v>121</x:v>
      </x:c>
      <x:c r="I180" t="n">
        <x:v>3.2</x:v>
      </x:c>
      <x:c r="J180" t="n">
        <x:f>ROUND(F180*I180/100,2)</x:f>
        <x:v>3.52</x:v>
      </x:c>
      <x:c r="K180" t="n">
        <x:v>21</x:v>
      </x:c>
      <x:c r="L180" t="n">
        <x:f>ROUND(F180*K180/100,2)</x:f>
        <x:v>23.1</x:v>
      </x:c>
      <x:c r="M180" t="n">
        <x:v>1.8</x:v>
      </x:c>
      <x:c r="N180" t="n">
        <x:f>ROUND(F180*M180/100,2)</x:f>
        <x:v>1.98</x:v>
      </x:c>
      <x:c r="O180" t="str">
        <x:v>熟重</x:v>
      </x:c>
    </x:row>
    <x:row r="181" ht="23" customHeight="1">
      <x:c r="A181" t="n">
        <x:v>30</x:v>
      </x:c>
      <x:c r="B181" t="n">
        <x:v>15</x:v>
      </x:c>
      <x:c r="C181" t="str">
        <x:v>晚餐</x:v>
      </x:c>
      <x:c r="D181" t="str">
        <x:v>油脂</x:v>
      </x:c>
      <x:c r="E181" t="str">
        <x:v>烹调油</x:v>
      </x:c>
      <x:c r="F181" t="n">
        <x:v>3</x:v>
      </x:c>
      <x:c r="G181" t="n">
        <x:v>900</x:v>
      </x:c>
      <x:c r="H181" t="n">
        <x:f>ROUND(F181*G181/100,2)</x:f>
        <x:v>27</x:v>
      </x:c>
      <x:c r="I181" t="n">
        <x:v>0</x:v>
      </x:c>
      <x:c r="J181" t="n">
        <x:f>ROUND(F181*I181/100,2)</x:f>
        <x:v>0</x:v>
      </x:c>
      <x:c r="K181" t="n">
        <x:v>0</x:v>
      </x:c>
      <x:c r="L181" t="n">
        <x:f>ROUND(F181*K181/100,2)</x:f>
        <x:v>0</x:v>
      </x:c>
      <x:c r="M181" t="n">
        <x:v>100</x:v>
      </x:c>
      <x:c r="N181" t="n">
        <x:f>ROUND(F181*M181/100,2)</x:f>
        <x:v>3</x:v>
      </x:c>
      <x:c r="O181" t="str">
        <x:v>实际用油重</x:v>
      </x:c>
    </x:row>
    <x:row r="182" ht="23" customHeight="1">
      <x:c r="A182" t="n">
        <x:v>31</x:v>
      </x:c>
      <x:c r="B182" t="n">
        <x:v>16</x:v>
      </x:c>
      <x:c r="C182" t="str">
        <x:v>午餐</x:v>
      </x:c>
      <x:c r="D182" t="str">
        <x:v>海鲜</x:v>
      </x:c>
      <x:c r="E182" t="str">
        <x:v>虾仁</x:v>
      </x:c>
      <x:c r="F182" t="n">
        <x:v>160</x:v>
      </x:c>
      <x:c r="G182" t="n">
        <x:v>90</x:v>
      </x:c>
      <x:c r="H182" t="n">
        <x:f>ROUND(F182*G182/100,2)</x:f>
        <x:v>144</x:v>
      </x:c>
      <x:c r="I182" t="n">
        <x:v>19</x:v>
      </x:c>
      <x:c r="J182" t="n">
        <x:f>ROUND(F182*I182/100,2)</x:f>
        <x:v>30.4</x:v>
      </x:c>
      <x:c r="K182" t="n">
        <x:v>0.4</x:v>
      </x:c>
      <x:c r="L182" t="n">
        <x:f>ROUND(F182*K182/100,2)</x:f>
        <x:v>0.64</x:v>
      </x:c>
      <x:c r="M182" t="n">
        <x:v>1.1</x:v>
      </x:c>
      <x:c r="N182" t="n">
        <x:f>ROUND(F182*M182/100,2)</x:f>
        <x:v>1.76</x:v>
      </x:c>
      <x:c r="O182" t="str">
        <x:v>生重</x:v>
      </x:c>
    </x:row>
    <x:row r="183" ht="23" customHeight="1">
      <x:c r="A183" t="n">
        <x:v>31</x:v>
      </x:c>
      <x:c r="B183" t="n">
        <x:v>16</x:v>
      </x:c>
      <x:c r="C183" t="str">
        <x:v>午餐</x:v>
      </x:c>
      <x:c r="D183" t="str">
        <x:v>豆蛋</x:v>
      </x:c>
      <x:c r="E183" t="str">
        <x:v>熟毛豆仁</x:v>
      </x:c>
      <x:c r="F183" t="n">
        <x:v>70</x:v>
      </x:c>
      <x:c r="G183" t="n">
        <x:v>120</x:v>
      </x:c>
      <x:c r="H183" t="n">
        <x:f>ROUND(F183*G183/100,2)</x:f>
        <x:v>84</x:v>
      </x:c>
      <x:c r="I183" t="n">
        <x:v>12</x:v>
      </x:c>
      <x:c r="J183" t="n">
        <x:f>ROUND(F183*I183/100,2)</x:f>
        <x:v>8.4</x:v>
      </x:c>
      <x:c r="K183" t="n">
        <x:v>9</x:v>
      </x:c>
      <x:c r="L183" t="n">
        <x:f>ROUND(F183*K183/100,2)</x:f>
        <x:v>6.3</x:v>
      </x:c>
      <x:c r="M183" t="n">
        <x:v>5</x:v>
      </x:c>
      <x:c r="N183" t="n">
        <x:f>ROUND(F183*M183/100,2)</x:f>
        <x:v>3.5</x:v>
      </x:c>
      <x:c r="O183" t="str">
        <x:v>熟重</x:v>
      </x:c>
    </x:row>
    <x:row r="184" ht="23" customHeight="1">
      <x:c r="A184" t="n">
        <x:v>31</x:v>
      </x:c>
      <x:c r="B184" t="n">
        <x:v>16</x:v>
      </x:c>
      <x:c r="C184" t="str">
        <x:v>午餐</x:v>
      </x:c>
      <x:c r="D184" t="str">
        <x:v>蔬菜</x:v>
      </x:c>
      <x:c r="E184" t="str">
        <x:v>彩椒</x:v>
      </x:c>
      <x:c r="F184" t="n">
        <x:v>160</x:v>
      </x:c>
      <x:c r="G184" t="n">
        <x:v>27</x:v>
      </x:c>
      <x:c r="H184" t="n">
        <x:f>ROUND(F184*G184/100,2)</x:f>
        <x:v>43.2</x:v>
      </x:c>
      <x:c r="I184" t="n">
        <x:v>1</x:v>
      </x:c>
      <x:c r="J184" t="n">
        <x:f>ROUND(F184*I184/100,2)</x:f>
        <x:v>1.6</x:v>
      </x:c>
      <x:c r="K184" t="n">
        <x:v>6.1</x:v>
      </x:c>
      <x:c r="L184" t="n">
        <x:f>ROUND(F184*K184/100,2)</x:f>
        <x:v>9.76</x:v>
      </x:c>
      <x:c r="M184" t="n">
        <x:v>0.2</x:v>
      </x:c>
      <x:c r="N184" t="n">
        <x:f>ROUND(F184*M184/100,2)</x:f>
        <x:v>0.32</x:v>
      </x:c>
      <x:c r="O184" t="str">
        <x:v>生重</x:v>
      </x:c>
    </x:row>
    <x:row r="185" ht="23" customHeight="1">
      <x:c r="A185" t="n">
        <x:v>31</x:v>
      </x:c>
      <x:c r="B185" t="n">
        <x:v>16</x:v>
      </x:c>
      <x:c r="C185" t="str">
        <x:v>午餐</x:v>
      </x:c>
      <x:c r="D185" t="str">
        <x:v>蔬菜</x:v>
      </x:c>
      <x:c r="E185" t="str">
        <x:v>小白菜</x:v>
      </x:c>
      <x:c r="F185" t="n">
        <x:v>110</x:v>
      </x:c>
      <x:c r="G185" t="n">
        <x:v>17</x:v>
      </x:c>
      <x:c r="H185" t="n">
        <x:f>ROUND(F185*G185/100,2)</x:f>
        <x:v>18.7</x:v>
      </x:c>
      <x:c r="I185" t="n">
        <x:v>1.6</x:v>
      </x:c>
      <x:c r="J185" t="n">
        <x:f>ROUND(F185*I185/100,2)</x:f>
        <x:v>1.76</x:v>
      </x:c>
      <x:c r="K185" t="n">
        <x:v>2.8</x:v>
      </x:c>
      <x:c r="L185" t="n">
        <x:f>ROUND(F185*K185/100,2)</x:f>
        <x:v>3.08</x:v>
      </x:c>
      <x:c r="M185" t="n">
        <x:v>0.2</x:v>
      </x:c>
      <x:c r="N185" t="n">
        <x:f>ROUND(F185*M185/100,2)</x:f>
        <x:v>0.22</x:v>
      </x:c>
      <x:c r="O185" t="str">
        <x:v>生重</x:v>
      </x:c>
    </x:row>
    <x:row r="186" ht="23" customHeight="1">
      <x:c r="A186" t="n">
        <x:v>31</x:v>
      </x:c>
      <x:c r="B186" t="n">
        <x:v>16</x:v>
      </x:c>
      <x:c r="C186" t="str">
        <x:v>午餐</x:v>
      </x:c>
      <x:c r="D186" t="str">
        <x:v>主食</x:v>
      </x:c>
      <x:c r="E186" t="str">
        <x:v>玉米</x:v>
      </x:c>
      <x:c r="F186" t="n">
        <x:v>150</x:v>
      </x:c>
      <x:c r="G186" t="n">
        <x:v>105</x:v>
      </x:c>
      <x:c r="H186" t="n">
        <x:f>ROUND(F186*G186/100,2)</x:f>
        <x:v>157.5</x:v>
      </x:c>
      <x:c r="I186" t="n">
        <x:v>3.4</x:v>
      </x:c>
      <x:c r="J186" t="n">
        <x:f>ROUND(F186*I186/100,2)</x:f>
        <x:v>5.1</x:v>
      </x:c>
      <x:c r="K186" t="n">
        <x:v>22</x:v>
      </x:c>
      <x:c r="L186" t="n">
        <x:f>ROUND(F186*K186/100,2)</x:f>
        <x:v>33</x:v>
      </x:c>
      <x:c r="M186" t="n">
        <x:v>1.5</x:v>
      </x:c>
      <x:c r="N186" t="n">
        <x:f>ROUND(F186*M186/100,2)</x:f>
        <x:v>2.25</x:v>
      </x:c>
      <x:c r="O186" t="str">
        <x:v>蒸熟净重</x:v>
      </x:c>
    </x:row>
    <x:row r="187" ht="23" customHeight="1">
      <x:c r="A187" t="n">
        <x:v>31</x:v>
      </x:c>
      <x:c r="B187" t="n">
        <x:v>16</x:v>
      </x:c>
      <x:c r="C187" t="str">
        <x:v>午餐</x:v>
      </x:c>
      <x:c r="D187" t="str">
        <x:v>油脂</x:v>
      </x:c>
      <x:c r="E187" t="str">
        <x:v>烹调油</x:v>
      </x:c>
      <x:c r="F187" t="n">
        <x:v>5</x:v>
      </x:c>
      <x:c r="G187" t="n">
        <x:v>900</x:v>
      </x:c>
      <x:c r="H187" t="n">
        <x:f>ROUND(F187*G187/100,2)</x:f>
        <x:v>45</x:v>
      </x:c>
      <x:c r="I187" t="n">
        <x:v>0</x:v>
      </x:c>
      <x:c r="J187" t="n">
        <x:f>ROUND(F187*I187/100,2)</x:f>
        <x:v>0</x:v>
      </x:c>
      <x:c r="K187" t="n">
        <x:v>0</x:v>
      </x:c>
      <x:c r="L187" t="n">
        <x:f>ROUND(F187*K187/100,2)</x:f>
        <x:v>0</x:v>
      </x:c>
      <x:c r="M187" t="n">
        <x:v>100</x:v>
      </x:c>
      <x:c r="N187" t="n">
        <x:f>ROUND(F187*M187/100,2)</x:f>
        <x:v>5</x:v>
      </x:c>
      <x:c r="O187" t="str">
        <x:v>实际用油重</x:v>
      </x:c>
    </x:row>
    <x:row r="188" ht="23" customHeight="1">
      <x:c r="A188" t="n">
        <x:v>32</x:v>
      </x:c>
      <x:c r="B188" t="n">
        <x:v>16</x:v>
      </x:c>
      <x:c r="C188" t="str">
        <x:v>晚餐</x:v>
      </x:c>
      <x:c r="D188" t="str">
        <x:v>禽肉</x:v>
      </x:c>
      <x:c r="E188" t="str">
        <x:v>鸡胸肉</x:v>
      </x:c>
      <x:c r="F188" t="n">
        <x:v>170</x:v>
      </x:c>
      <x:c r="G188" t="n">
        <x:v>110</x:v>
      </x:c>
      <x:c r="H188" t="n">
        <x:f>ROUND(F188*G188/100,2)</x:f>
        <x:v>187</x:v>
      </x:c>
      <x:c r="I188" t="n">
        <x:v>23</x:v>
      </x:c>
      <x:c r="J188" t="n">
        <x:f>ROUND(F188*I188/100,2)</x:f>
        <x:v>39.1</x:v>
      </x:c>
      <x:c r="K188" t="n">
        <x:v>0</x:v>
      </x:c>
      <x:c r="L188" t="n">
        <x:f>ROUND(F188*K188/100,2)</x:f>
        <x:v>0</x:v>
      </x:c>
      <x:c r="M188" t="n">
        <x:v>2</x:v>
      </x:c>
      <x:c r="N188" t="n">
        <x:f>ROUND(F188*M188/100,2)</x:f>
        <x:v>3.4</x:v>
      </x:c>
      <x:c r="O188" t="str">
        <x:v>生重</x:v>
      </x:c>
    </x:row>
    <x:row r="189" ht="23" customHeight="1">
      <x:c r="A189" t="n">
        <x:v>32</x:v>
      </x:c>
      <x:c r="B189" t="n">
        <x:v>16</x:v>
      </x:c>
      <x:c r="C189" t="str">
        <x:v>晚餐</x:v>
      </x:c>
      <x:c r="D189" t="str"/>
      <x:c r="E189" t="str"/>
      <x:c r="F189" t="n">
        <x:v>0</x:v>
      </x:c>
      <x:c r="G189" t="n">
        <x:v>0</x:v>
      </x:c>
      <x:c r="H189" t="n">
        <x:f>ROUND(F189*G189/100,2)</x:f>
        <x:v>0</x:v>
      </x:c>
      <x:c r="I189" t="n">
        <x:v>0</x:v>
      </x:c>
      <x:c r="J189" t="n">
        <x:f>ROUND(F189*I189/100,2)</x:f>
        <x:v>0</x:v>
      </x:c>
      <x:c r="K189" t="n">
        <x:v>0</x:v>
      </x:c>
      <x:c r="L189" t="n">
        <x:f>ROUND(F189*K189/100,2)</x:f>
        <x:v>0</x:v>
      </x:c>
      <x:c r="M189" t="n">
        <x:v>0</x:v>
      </x:c>
      <x:c r="N189" t="n">
        <x:f>ROUND(F189*M189/100,2)</x:f>
        <x:v>0</x:v>
      </x:c>
      <x:c r="O189" t="str"/>
    </x:row>
    <x:row r="190" ht="23" customHeight="1">
      <x:c r="A190" t="n">
        <x:v>32</x:v>
      </x:c>
      <x:c r="B190" t="n">
        <x:v>16</x:v>
      </x:c>
      <x:c r="C190" t="str">
        <x:v>晚餐</x:v>
      </x:c>
      <x:c r="D190" t="str">
        <x:v>蔬菜</x:v>
      </x:c>
      <x:c r="E190" t="str">
        <x:v>花菜</x:v>
      </x:c>
      <x:c r="F190" t="n">
        <x:v>160</x:v>
      </x:c>
      <x:c r="G190" t="n">
        <x:v>25</x:v>
      </x:c>
      <x:c r="H190" t="n">
        <x:f>ROUND(F190*G190/100,2)</x:f>
        <x:v>40</x:v>
      </x:c>
      <x:c r="I190" t="n">
        <x:v>2</x:v>
      </x:c>
      <x:c r="J190" t="n">
        <x:f>ROUND(F190*I190/100,2)</x:f>
        <x:v>3.2</x:v>
      </x:c>
      <x:c r="K190" t="n">
        <x:v>5</x:v>
      </x:c>
      <x:c r="L190" t="n">
        <x:f>ROUND(F190*K190/100,2)</x:f>
        <x:v>8</x:v>
      </x:c>
      <x:c r="M190" t="n">
        <x:v>0.3</x:v>
      </x:c>
      <x:c r="N190" t="n">
        <x:f>ROUND(F190*M190/100,2)</x:f>
        <x:v>0.48</x:v>
      </x:c>
      <x:c r="O190" t="str">
        <x:v>生重</x:v>
      </x:c>
    </x:row>
    <x:row r="191" ht="23" customHeight="1">
      <x:c r="A191" t="n">
        <x:v>32</x:v>
      </x:c>
      <x:c r="B191" t="n">
        <x:v>16</x:v>
      </x:c>
      <x:c r="C191" t="str">
        <x:v>晚餐</x:v>
      </x:c>
      <x:c r="D191" t="str">
        <x:v>蔬菜</x:v>
      </x:c>
      <x:c r="E191" t="str">
        <x:v>胡萝卜</x:v>
      </x:c>
      <x:c r="F191" t="n">
        <x:v>125</x:v>
      </x:c>
      <x:c r="G191" t="n">
        <x:v>41</x:v>
      </x:c>
      <x:c r="H191" t="n">
        <x:f>ROUND(F191*G191/100,2)</x:f>
        <x:v>51.25</x:v>
      </x:c>
      <x:c r="I191" t="n">
        <x:v>0.9</x:v>
      </x:c>
      <x:c r="J191" t="n">
        <x:f>ROUND(F191*I191/100,2)</x:f>
        <x:v>1.13</x:v>
      </x:c>
      <x:c r="K191" t="n">
        <x:v>10</x:v>
      </x:c>
      <x:c r="L191" t="n">
        <x:f>ROUND(F191*K191/100,2)</x:f>
        <x:v>12.5</x:v>
      </x:c>
      <x:c r="M191" t="n">
        <x:v>0.2</x:v>
      </x:c>
      <x:c r="N191" t="n">
        <x:f>ROUND(F191*M191/100,2)</x:f>
        <x:v>0.25</x:v>
      </x:c>
      <x:c r="O191" t="str">
        <x:v>生重</x:v>
      </x:c>
    </x:row>
    <x:row r="192" ht="23" customHeight="1">
      <x:c r="A192" t="n">
        <x:v>32</x:v>
      </x:c>
      <x:c r="B192" t="n">
        <x:v>16</x:v>
      </x:c>
      <x:c r="C192" t="str">
        <x:v>晚餐</x:v>
      </x:c>
      <x:c r="D192" t="str">
        <x:v>主食</x:v>
      </x:c>
      <x:c r="E192" t="str">
        <x:v>紫薯</x:v>
      </x:c>
      <x:c r="F192" t="n">
        <x:v>110</x:v>
      </x:c>
      <x:c r="G192" t="n">
        <x:v>95</x:v>
      </x:c>
      <x:c r="H192" t="n">
        <x:f>ROUND(F192*G192/100,2)</x:f>
        <x:v>104.5</x:v>
      </x:c>
      <x:c r="I192" t="n">
        <x:v>1.6</x:v>
      </x:c>
      <x:c r="J192" t="n">
        <x:f>ROUND(F192*I192/100,2)</x:f>
        <x:v>1.76</x:v>
      </x:c>
      <x:c r="K192" t="n">
        <x:v>22</x:v>
      </x:c>
      <x:c r="L192" t="n">
        <x:f>ROUND(F192*K192/100,2)</x:f>
        <x:v>24.2</x:v>
      </x:c>
      <x:c r="M192" t="n">
        <x:v>0.1</x:v>
      </x:c>
      <x:c r="N192" t="n">
        <x:f>ROUND(F192*M192/100,2)</x:f>
        <x:v>0.11</x:v>
      </x:c>
      <x:c r="O192" t="str">
        <x:v>蒸熟净重</x:v>
      </x:c>
    </x:row>
    <x:row r="193" ht="23" customHeight="1">
      <x:c r="A193" t="n">
        <x:v>32</x:v>
      </x:c>
      <x:c r="B193" t="n">
        <x:v>16</x:v>
      </x:c>
      <x:c r="C193" t="str">
        <x:v>晚餐</x:v>
      </x:c>
      <x:c r="D193" t="str">
        <x:v>油脂</x:v>
      </x:c>
      <x:c r="E193" t="str">
        <x:v>烹调油</x:v>
      </x:c>
      <x:c r="F193" t="n">
        <x:v>4</x:v>
      </x:c>
      <x:c r="G193" t="n">
        <x:v>900</x:v>
      </x:c>
      <x:c r="H193" t="n">
        <x:f>ROUND(F193*G193/100,2)</x:f>
        <x:v>36</x:v>
      </x:c>
      <x:c r="I193" t="n">
        <x:v>0</x:v>
      </x:c>
      <x:c r="J193" t="n">
        <x:f>ROUND(F193*I193/100,2)</x:f>
        <x:v>0</x:v>
      </x:c>
      <x:c r="K193" t="n">
        <x:v>0</x:v>
      </x:c>
      <x:c r="L193" t="n">
        <x:f>ROUND(F193*K193/100,2)</x:f>
        <x:v>0</x:v>
      </x:c>
      <x:c r="M193" t="n">
        <x:v>100</x:v>
      </x:c>
      <x:c r="N193" t="n">
        <x:f>ROUND(F193*M193/100,2)</x:f>
        <x:v>4</x:v>
      </x:c>
      <x:c r="O193" t="str">
        <x:v>实际用油重</x:v>
      </x:c>
    </x:row>
    <x:row r="194" ht="23" customHeight="1">
      <x:c r="A194" t="n">
        <x:v>33</x:v>
      </x:c>
      <x:c r="B194" t="n">
        <x:v>17</x:v>
      </x:c>
      <x:c r="C194" t="str">
        <x:v>午餐</x:v>
      </x:c>
      <x:c r="D194" t="str">
        <x:v>豆蛋</x:v>
      </x:c>
      <x:c r="E194" t="str">
        <x:v>鸡蛋</x:v>
      </x:c>
      <x:c r="F194" t="n">
        <x:v>120</x:v>
      </x:c>
      <x:c r="G194" t="n">
        <x:v>144</x:v>
      </x:c>
      <x:c r="H194" t="n">
        <x:f>ROUND(F194*G194/100,2)</x:f>
        <x:v>172.8</x:v>
      </x:c>
      <x:c r="I194" t="n">
        <x:v>13</x:v>
      </x:c>
      <x:c r="J194" t="n">
        <x:f>ROUND(F194*I194/100,2)</x:f>
        <x:v>15.6</x:v>
      </x:c>
      <x:c r="K194" t="n">
        <x:v>1.1</x:v>
      </x:c>
      <x:c r="L194" t="n">
        <x:f>ROUND(F194*K194/100,2)</x:f>
        <x:v>1.32</x:v>
      </x:c>
      <x:c r="M194" t="n">
        <x:v>10</x:v>
      </x:c>
      <x:c r="N194" t="n">
        <x:f>ROUND(F194*M194/100,2)</x:f>
        <x:v>12</x:v>
      </x:c>
      <x:c r="O194" t="str">
        <x:v>去壳可食重</x:v>
      </x:c>
    </x:row>
    <x:row r="195" ht="23" customHeight="1">
      <x:c r="A195" t="n">
        <x:v>33</x:v>
      </x:c>
      <x:c r="B195" t="n">
        <x:v>17</x:v>
      </x:c>
      <x:c r="C195" t="str">
        <x:v>午餐</x:v>
      </x:c>
      <x:c r="D195" t="str">
        <x:v>豆蛋</x:v>
      </x:c>
      <x:c r="E195" t="str">
        <x:v>北豆腐</x:v>
      </x:c>
      <x:c r="F195" t="n">
        <x:v>130</x:v>
      </x:c>
      <x:c r="G195" t="n">
        <x:v>90</x:v>
      </x:c>
      <x:c r="H195" t="n">
        <x:f>ROUND(F195*G195/100,2)</x:f>
        <x:v>117</x:v>
      </x:c>
      <x:c r="I195" t="n">
        <x:v>10</x:v>
      </x:c>
      <x:c r="J195" t="n">
        <x:f>ROUND(F195*I195/100,2)</x:f>
        <x:v>13</x:v>
      </x:c>
      <x:c r="K195" t="n">
        <x:v>2</x:v>
      </x:c>
      <x:c r="L195" t="n">
        <x:f>ROUND(F195*K195/100,2)</x:f>
        <x:v>2.6</x:v>
      </x:c>
      <x:c r="M195" t="n">
        <x:v>5</x:v>
      </x:c>
      <x:c r="N195" t="n">
        <x:f>ROUND(F195*M195/100,2)</x:f>
        <x:v>6.5</x:v>
      </x:c>
      <x:c r="O195" t="str">
        <x:v>净重</x:v>
      </x:c>
    </x:row>
    <x:row r="196" ht="23" customHeight="1">
      <x:c r="A196" t="n">
        <x:v>33</x:v>
      </x:c>
      <x:c r="B196" t="n">
        <x:v>17</x:v>
      </x:c>
      <x:c r="C196" t="str">
        <x:v>午餐</x:v>
      </x:c>
      <x:c r="D196" t="str">
        <x:v>蔬菜</x:v>
      </x:c>
      <x:c r="E196" t="str">
        <x:v>番茄</x:v>
      </x:c>
      <x:c r="F196" t="n">
        <x:v>175</x:v>
      </x:c>
      <x:c r="G196" t="n">
        <x:v>20</x:v>
      </x:c>
      <x:c r="H196" t="n">
        <x:f>ROUND(F196*G196/100,2)</x:f>
        <x:v>35</x:v>
      </x:c>
      <x:c r="I196" t="n">
        <x:v>0.9</x:v>
      </x:c>
      <x:c r="J196" t="n">
        <x:f>ROUND(F196*I196/100,2)</x:f>
        <x:v>1.58</x:v>
      </x:c>
      <x:c r="K196" t="n">
        <x:v>4</x:v>
      </x:c>
      <x:c r="L196" t="n">
        <x:f>ROUND(F196*K196/100,2)</x:f>
        <x:v>7</x:v>
      </x:c>
      <x:c r="M196" t="n">
        <x:v>0.2</x:v>
      </x:c>
      <x:c r="N196" t="n">
        <x:f>ROUND(F196*M196/100,2)</x:f>
        <x:v>0.35</x:v>
      </x:c>
      <x:c r="O196" t="str">
        <x:v>生重</x:v>
      </x:c>
    </x:row>
    <x:row r="197" ht="23" customHeight="1">
      <x:c r="A197" t="n">
        <x:v>33</x:v>
      </x:c>
      <x:c r="B197" t="n">
        <x:v>17</x:v>
      </x:c>
      <x:c r="C197" t="str">
        <x:v>午餐</x:v>
      </x:c>
      <x:c r="D197" t="str">
        <x:v>菌菇</x:v>
      </x:c>
      <x:c r="E197" t="str">
        <x:v>金针菇</x:v>
      </x:c>
      <x:c r="F197" t="n">
        <x:v>155</x:v>
      </x:c>
      <x:c r="G197" t="n">
        <x:v>32</x:v>
      </x:c>
      <x:c r="H197" t="n">
        <x:f>ROUND(F197*G197/100,2)</x:f>
        <x:v>49.6</x:v>
      </x:c>
      <x:c r="I197" t="n">
        <x:v>2.4</x:v>
      </x:c>
      <x:c r="J197" t="n">
        <x:f>ROUND(F197*I197/100,2)</x:f>
        <x:v>3.72</x:v>
      </x:c>
      <x:c r="K197" t="n">
        <x:v>6.4</x:v>
      </x:c>
      <x:c r="L197" t="n">
        <x:f>ROUND(F197*K197/100,2)</x:f>
        <x:v>9.92</x:v>
      </x:c>
      <x:c r="M197" t="n">
        <x:v>0.2</x:v>
      </x:c>
      <x:c r="N197" t="n">
        <x:f>ROUND(F197*M197/100,2)</x:f>
        <x:v>0.31</x:v>
      </x:c>
      <x:c r="O197" t="str">
        <x:v>生重</x:v>
      </x:c>
    </x:row>
    <x:row r="198" ht="23" customHeight="1">
      <x:c r="A198" t="n">
        <x:v>33</x:v>
      </x:c>
      <x:c r="B198" t="n">
        <x:v>17</x:v>
      </x:c>
      <x:c r="C198" t="str">
        <x:v>午餐</x:v>
      </x:c>
      <x:c r="D198" t="str">
        <x:v>主食</x:v>
      </x:c>
      <x:c r="E198" t="str">
        <x:v>燕麦饭</x:v>
      </x:c>
      <x:c r="F198" t="n">
        <x:v>150</x:v>
      </x:c>
      <x:c r="G198" t="n">
        <x:v>110</x:v>
      </x:c>
      <x:c r="H198" t="n">
        <x:f>ROUND(F198*G198/100,2)</x:f>
        <x:v>165</x:v>
      </x:c>
      <x:c r="I198" t="n">
        <x:v>3.2</x:v>
      </x:c>
      <x:c r="J198" t="n">
        <x:f>ROUND(F198*I198/100,2)</x:f>
        <x:v>4.8</x:v>
      </x:c>
      <x:c r="K198" t="n">
        <x:v>21</x:v>
      </x:c>
      <x:c r="L198" t="n">
        <x:f>ROUND(F198*K198/100,2)</x:f>
        <x:v>31.5</x:v>
      </x:c>
      <x:c r="M198" t="n">
        <x:v>1.8</x:v>
      </x:c>
      <x:c r="N198" t="n">
        <x:f>ROUND(F198*M198/100,2)</x:f>
        <x:v>2.7</x:v>
      </x:c>
      <x:c r="O198" t="str">
        <x:v>熟重</x:v>
      </x:c>
    </x:row>
    <x:row r="199" ht="23" customHeight="1">
      <x:c r="A199" t="n">
        <x:v>33</x:v>
      </x:c>
      <x:c r="B199" t="n">
        <x:v>17</x:v>
      </x:c>
      <x:c r="C199" t="str">
        <x:v>午餐</x:v>
      </x:c>
      <x:c r="D199" t="str">
        <x:v>油脂</x:v>
      </x:c>
      <x:c r="E199" t="str">
        <x:v>烹调油</x:v>
      </x:c>
      <x:c r="F199" t="n">
        <x:v>5</x:v>
      </x:c>
      <x:c r="G199" t="n">
        <x:v>900</x:v>
      </x:c>
      <x:c r="H199" t="n">
        <x:f>ROUND(F199*G199/100,2)</x:f>
        <x:v>45</x:v>
      </x:c>
      <x:c r="I199" t="n">
        <x:v>0</x:v>
      </x:c>
      <x:c r="J199" t="n">
        <x:f>ROUND(F199*I199/100,2)</x:f>
        <x:v>0</x:v>
      </x:c>
      <x:c r="K199" t="n">
        <x:v>0</x:v>
      </x:c>
      <x:c r="L199" t="n">
        <x:f>ROUND(F199*K199/100,2)</x:f>
        <x:v>0</x:v>
      </x:c>
      <x:c r="M199" t="n">
        <x:v>100</x:v>
      </x:c>
      <x:c r="N199" t="n">
        <x:f>ROUND(F199*M199/100,2)</x:f>
        <x:v>5</x:v>
      </x:c>
      <x:c r="O199" t="str">
        <x:v>实际用油重</x:v>
      </x:c>
    </x:row>
    <x:row r="200" ht="23" customHeight="1">
      <x:c r="A200" t="n">
        <x:v>34</x:v>
      </x:c>
      <x:c r="B200" t="n">
        <x:v>17</x:v>
      </x:c>
      <x:c r="C200" t="str">
        <x:v>晚餐</x:v>
      </x:c>
      <x:c r="D200" t="str">
        <x:v>禽肉</x:v>
      </x:c>
      <x:c r="E200" t="str">
        <x:v>鸡胸肉</x:v>
      </x:c>
      <x:c r="F200" t="n">
        <x:v>160</x:v>
      </x:c>
      <x:c r="G200" t="n">
        <x:v>110</x:v>
      </x:c>
      <x:c r="H200" t="n">
        <x:f>ROUND(F200*G200/100,2)</x:f>
        <x:v>176</x:v>
      </x:c>
      <x:c r="I200" t="n">
        <x:v>23</x:v>
      </x:c>
      <x:c r="J200" t="n">
        <x:f>ROUND(F200*I200/100,2)</x:f>
        <x:v>36.8</x:v>
      </x:c>
      <x:c r="K200" t="n">
        <x:v>0</x:v>
      </x:c>
      <x:c r="L200" t="n">
        <x:f>ROUND(F200*K200/100,2)</x:f>
        <x:v>0</x:v>
      </x:c>
      <x:c r="M200" t="n">
        <x:v>2</x:v>
      </x:c>
      <x:c r="N200" t="n">
        <x:f>ROUND(F200*M200/100,2)</x:f>
        <x:v>3.2</x:v>
      </x:c>
      <x:c r="O200" t="str">
        <x:v>生重</x:v>
      </x:c>
    </x:row>
    <x:row r="201" ht="23" customHeight="1">
      <x:c r="A201" t="n">
        <x:v>34</x:v>
      </x:c>
      <x:c r="B201" t="n">
        <x:v>17</x:v>
      </x:c>
      <x:c r="C201" t="str">
        <x:v>晚餐</x:v>
      </x:c>
      <x:c r="D201" t="str"/>
      <x:c r="E201" t="str"/>
      <x:c r="F201" t="n">
        <x:v>0</x:v>
      </x:c>
      <x:c r="G201" t="n">
        <x:v>0</x:v>
      </x:c>
      <x:c r="H201" t="n">
        <x:f>ROUND(F201*G201/100,2)</x:f>
        <x:v>0</x:v>
      </x:c>
      <x:c r="I201" t="n">
        <x:v>0</x:v>
      </x:c>
      <x:c r="J201" t="n">
        <x:f>ROUND(F201*I201/100,2)</x:f>
        <x:v>0</x:v>
      </x:c>
      <x:c r="K201" t="n">
        <x:v>0</x:v>
      </x:c>
      <x:c r="L201" t="n">
        <x:f>ROUND(F201*K201/100,2)</x:f>
        <x:v>0</x:v>
      </x:c>
      <x:c r="M201" t="n">
        <x:v>0</x:v>
      </x:c>
      <x:c r="N201" t="n">
        <x:f>ROUND(F201*M201/100,2)</x:f>
        <x:v>0</x:v>
      </x:c>
      <x:c r="O201" t="str"/>
    </x:row>
    <x:row r="202" ht="23" customHeight="1">
      <x:c r="A202" t="n">
        <x:v>34</x:v>
      </x:c>
      <x:c r="B202" t="n">
        <x:v>17</x:v>
      </x:c>
      <x:c r="C202" t="str">
        <x:v>晚餐</x:v>
      </x:c>
      <x:c r="D202" t="str">
        <x:v>蔬菜</x:v>
      </x:c>
      <x:c r="E202" t="str">
        <x:v>秋葵</x:v>
      </x:c>
      <x:c r="F202" t="n">
        <x:v>160</x:v>
      </x:c>
      <x:c r="G202" t="n">
        <x:v>33</x:v>
      </x:c>
      <x:c r="H202" t="n">
        <x:f>ROUND(F202*G202/100,2)</x:f>
        <x:v>52.8</x:v>
      </x:c>
      <x:c r="I202" t="n">
        <x:v>1.9</x:v>
      </x:c>
      <x:c r="J202" t="n">
        <x:f>ROUND(F202*I202/100,2)</x:f>
        <x:v>3.04</x:v>
      </x:c>
      <x:c r="K202" t="n">
        <x:v>7.5</x:v>
      </x:c>
      <x:c r="L202" t="n">
        <x:f>ROUND(F202*K202/100,2)</x:f>
        <x:v>12</x:v>
      </x:c>
      <x:c r="M202" t="n">
        <x:v>0.2</x:v>
      </x:c>
      <x:c r="N202" t="n">
        <x:f>ROUND(F202*M202/100,2)</x:f>
        <x:v>0.32</x:v>
      </x:c>
      <x:c r="O202" t="str">
        <x:v>生重</x:v>
      </x:c>
    </x:row>
    <x:row r="203" ht="23" customHeight="1">
      <x:c r="A203" t="n">
        <x:v>34</x:v>
      </x:c>
      <x:c r="B203" t="n">
        <x:v>17</x:v>
      </x:c>
      <x:c r="C203" t="str">
        <x:v>晚餐</x:v>
      </x:c>
      <x:c r="D203" t="str">
        <x:v>菌菇</x:v>
      </x:c>
      <x:c r="E203" t="str">
        <x:v>泡发木耳</x:v>
      </x:c>
      <x:c r="F203" t="n">
        <x:v>140</x:v>
      </x:c>
      <x:c r="G203" t="n">
        <x:v>25</x:v>
      </x:c>
      <x:c r="H203" t="n">
        <x:f>ROUND(F203*G203/100,2)</x:f>
        <x:v>35</x:v>
      </x:c>
      <x:c r="I203" t="n">
        <x:v>1.5</x:v>
      </x:c>
      <x:c r="J203" t="n">
        <x:f>ROUND(F203*I203/100,2)</x:f>
        <x:v>2.1</x:v>
      </x:c>
      <x:c r="K203" t="n">
        <x:v>6</x:v>
      </x:c>
      <x:c r="L203" t="n">
        <x:f>ROUND(F203*K203/100,2)</x:f>
        <x:v>8.4</x:v>
      </x:c>
      <x:c r="M203" t="n">
        <x:v>0.1</x:v>
      </x:c>
      <x:c r="N203" t="n">
        <x:f>ROUND(F203*M203/100,2)</x:f>
        <x:v>0.14</x:v>
      </x:c>
      <x:c r="O203" t="str">
        <x:v>泡发沥水重</x:v>
      </x:c>
    </x:row>
    <x:row r="204" ht="23" customHeight="1">
      <x:c r="A204" t="n">
        <x:v>34</x:v>
      </x:c>
      <x:c r="B204" t="n">
        <x:v>17</x:v>
      </x:c>
      <x:c r="C204" t="str">
        <x:v>晚餐</x:v>
      </x:c>
      <x:c r="D204" t="str">
        <x:v>主食</x:v>
      </x:c>
      <x:c r="E204" t="str">
        <x:v>杂粮饭</x:v>
      </x:c>
      <x:c r="F204" t="n">
        <x:v>110</x:v>
      </x:c>
      <x:c r="G204" t="n">
        <x:v>115</x:v>
      </x:c>
      <x:c r="H204" t="n">
        <x:f>ROUND(F204*G204/100,2)</x:f>
        <x:v>126.5</x:v>
      </x:c>
      <x:c r="I204" t="n">
        <x:v>3.1</x:v>
      </x:c>
      <x:c r="J204" t="n">
        <x:f>ROUND(F204*I204/100,2)</x:f>
        <x:v>3.41</x:v>
      </x:c>
      <x:c r="K204" t="n">
        <x:v>23.5</x:v>
      </x:c>
      <x:c r="L204" t="n">
        <x:f>ROUND(F204*K204/100,2)</x:f>
        <x:v>25.85</x:v>
      </x:c>
      <x:c r="M204" t="n">
        <x:v>1.1</x:v>
      </x:c>
      <x:c r="N204" t="n">
        <x:f>ROUND(F204*M204/100,2)</x:f>
        <x:v>1.21</x:v>
      </x:c>
      <x:c r="O204" t="str">
        <x:v>熟重</x:v>
      </x:c>
    </x:row>
    <x:row r="205" ht="23" customHeight="1">
      <x:c r="A205" t="n">
        <x:v>34</x:v>
      </x:c>
      <x:c r="B205" t="n">
        <x:v>17</x:v>
      </x:c>
      <x:c r="C205" t="str">
        <x:v>晚餐</x:v>
      </x:c>
      <x:c r="D205" t="str">
        <x:v>油脂</x:v>
      </x:c>
      <x:c r="E205" t="str">
        <x:v>烹调油</x:v>
      </x:c>
      <x:c r="F205" t="n">
        <x:v>5</x:v>
      </x:c>
      <x:c r="G205" t="n">
        <x:v>900</x:v>
      </x:c>
      <x:c r="H205" t="n">
        <x:f>ROUND(F205*G205/100,2)</x:f>
        <x:v>45</x:v>
      </x:c>
      <x:c r="I205" t="n">
        <x:v>0</x:v>
      </x:c>
      <x:c r="J205" t="n">
        <x:f>ROUND(F205*I205/100,2)</x:f>
        <x:v>0</x:v>
      </x:c>
      <x:c r="K205" t="n">
        <x:v>0</x:v>
      </x:c>
      <x:c r="L205" t="n">
        <x:f>ROUND(F205*K205/100,2)</x:f>
        <x:v>0</x:v>
      </x:c>
      <x:c r="M205" t="n">
        <x:v>100</x:v>
      </x:c>
      <x:c r="N205" t="n">
        <x:f>ROUND(F205*M205/100,2)</x:f>
        <x:v>5</x:v>
      </x:c>
      <x:c r="O205" t="str">
        <x:v>实际用油重</x:v>
      </x:c>
    </x:row>
    <x:row r="206" ht="23" customHeight="1">
      <x:c r="A206" t="n">
        <x:v>35</x:v>
      </x:c>
      <x:c r="B206" t="n">
        <x:v>18</x:v>
      </x:c>
      <x:c r="C206" t="str">
        <x:v>午餐</x:v>
      </x:c>
      <x:c r="D206" t="str">
        <x:v>禽肉</x:v>
      </x:c>
      <x:c r="E206" t="str">
        <x:v>鸡胸肉</x:v>
      </x:c>
      <x:c r="F206" t="n">
        <x:v>155</x:v>
      </x:c>
      <x:c r="G206" t="n">
        <x:v>110</x:v>
      </x:c>
      <x:c r="H206" t="n">
        <x:f>ROUND(F206*G206/100,2)</x:f>
        <x:v>170.5</x:v>
      </x:c>
      <x:c r="I206" t="n">
        <x:v>23</x:v>
      </x:c>
      <x:c r="J206" t="n">
        <x:f>ROUND(F206*I206/100,2)</x:f>
        <x:v>35.65</x:v>
      </x:c>
      <x:c r="K206" t="n">
        <x:v>0</x:v>
      </x:c>
      <x:c r="L206" t="n">
        <x:f>ROUND(F206*K206/100,2)</x:f>
        <x:v>0</x:v>
      </x:c>
      <x:c r="M206" t="n">
        <x:v>2</x:v>
      </x:c>
      <x:c r="N206" t="n">
        <x:f>ROUND(F206*M206/100,2)</x:f>
        <x:v>3.1</x:v>
      </x:c>
      <x:c r="O206" t="str">
        <x:v>生重</x:v>
      </x:c>
    </x:row>
    <x:row r="207" ht="23" customHeight="1">
      <x:c r="A207" t="n">
        <x:v>35</x:v>
      </x:c>
      <x:c r="B207" t="n">
        <x:v>18</x:v>
      </x:c>
      <x:c r="C207" t="str">
        <x:v>午餐</x:v>
      </x:c>
      <x:c r="D207" t="str"/>
      <x:c r="E207" t="str"/>
      <x:c r="F207" t="n">
        <x:v>0</x:v>
      </x:c>
      <x:c r="G207" t="n">
        <x:v>0</x:v>
      </x:c>
      <x:c r="H207" t="n">
        <x:f>ROUND(F207*G207/100,2)</x:f>
        <x:v>0</x:v>
      </x:c>
      <x:c r="I207" t="n">
        <x:v>0</x:v>
      </x:c>
      <x:c r="J207" t="n">
        <x:f>ROUND(F207*I207/100,2)</x:f>
        <x:v>0</x:v>
      </x:c>
      <x:c r="K207" t="n">
        <x:v>0</x:v>
      </x:c>
      <x:c r="L207" t="n">
        <x:f>ROUND(F207*K207/100,2)</x:f>
        <x:v>0</x:v>
      </x:c>
      <x:c r="M207" t="n">
        <x:v>0</x:v>
      </x:c>
      <x:c r="N207" t="n">
        <x:f>ROUND(F207*M207/100,2)</x:f>
        <x:v>0</x:v>
      </x:c>
      <x:c r="O207" t="str"/>
    </x:row>
    <x:row r="208" ht="23" customHeight="1">
      <x:c r="A208" t="n">
        <x:v>35</x:v>
      </x:c>
      <x:c r="B208" t="n">
        <x:v>18</x:v>
      </x:c>
      <x:c r="C208" t="str">
        <x:v>午餐</x:v>
      </x:c>
      <x:c r="D208" t="str">
        <x:v>蔬菜</x:v>
      </x:c>
      <x:c r="E208" t="str">
        <x:v>四季豆</x:v>
      </x:c>
      <x:c r="F208" t="n">
        <x:v>140</x:v>
      </x:c>
      <x:c r="G208" t="n">
        <x:v>31</x:v>
      </x:c>
      <x:c r="H208" t="n">
        <x:f>ROUND(F208*G208/100,2)</x:f>
        <x:v>43.4</x:v>
      </x:c>
      <x:c r="I208" t="n">
        <x:v>1.8</x:v>
      </x:c>
      <x:c r="J208" t="n">
        <x:f>ROUND(F208*I208/100,2)</x:f>
        <x:v>2.52</x:v>
      </x:c>
      <x:c r="K208" t="n">
        <x:v>7</x:v>
      </x:c>
      <x:c r="L208" t="n">
        <x:f>ROUND(F208*K208/100,2)</x:f>
        <x:v>9.8</x:v>
      </x:c>
      <x:c r="M208" t="n">
        <x:v>0.1</x:v>
      </x:c>
      <x:c r="N208" t="n">
        <x:f>ROUND(F208*M208/100,2)</x:f>
        <x:v>0.14</x:v>
      </x:c>
      <x:c r="O208" t="str">
        <x:v>生重</x:v>
      </x:c>
    </x:row>
    <x:row r="209" ht="23" customHeight="1">
      <x:c r="A209" t="n">
        <x:v>35</x:v>
      </x:c>
      <x:c r="B209" t="n">
        <x:v>18</x:v>
      </x:c>
      <x:c r="C209" t="str">
        <x:v>午餐</x:v>
      </x:c>
      <x:c r="D209" t="str">
        <x:v>蔬菜</x:v>
      </x:c>
      <x:c r="E209" t="str">
        <x:v>彩椒</x:v>
      </x:c>
      <x:c r="F209" t="n">
        <x:v>125</x:v>
      </x:c>
      <x:c r="G209" t="n">
        <x:v>27</x:v>
      </x:c>
      <x:c r="H209" t="n">
        <x:f>ROUND(F209*G209/100,2)</x:f>
        <x:v>33.75</x:v>
      </x:c>
      <x:c r="I209" t="n">
        <x:v>1</x:v>
      </x:c>
      <x:c r="J209" t="n">
        <x:f>ROUND(F209*I209/100,2)</x:f>
        <x:v>1.25</x:v>
      </x:c>
      <x:c r="K209" t="n">
        <x:v>6.1</x:v>
      </x:c>
      <x:c r="L209" t="n">
        <x:f>ROUND(F209*K209/100,2)</x:f>
        <x:v>7.63</x:v>
      </x:c>
      <x:c r="M209" t="n">
        <x:v>0.2</x:v>
      </x:c>
      <x:c r="N209" t="n">
        <x:f>ROUND(F209*M209/100,2)</x:f>
        <x:v>0.25</x:v>
      </x:c>
      <x:c r="O209" t="str">
        <x:v>生重</x:v>
      </x:c>
    </x:row>
    <x:row r="210" ht="23" customHeight="1">
      <x:c r="A210" t="n">
        <x:v>35</x:v>
      </x:c>
      <x:c r="B210" t="n">
        <x:v>18</x:v>
      </x:c>
      <x:c r="C210" t="str">
        <x:v>午餐</x:v>
      </x:c>
      <x:c r="D210" t="str">
        <x:v>主食</x:v>
      </x:c>
      <x:c r="E210" t="str">
        <x:v>玉米</x:v>
      </x:c>
      <x:c r="F210" t="n">
        <x:v>135</x:v>
      </x:c>
      <x:c r="G210" t="n">
        <x:v>105</x:v>
      </x:c>
      <x:c r="H210" t="n">
        <x:f>ROUND(F210*G210/100,2)</x:f>
        <x:v>141.75</x:v>
      </x:c>
      <x:c r="I210" t="n">
        <x:v>3.4</x:v>
      </x:c>
      <x:c r="J210" t="n">
        <x:f>ROUND(F210*I210/100,2)</x:f>
        <x:v>4.59</x:v>
      </x:c>
      <x:c r="K210" t="n">
        <x:v>22</x:v>
      </x:c>
      <x:c r="L210" t="n">
        <x:f>ROUND(F210*K210/100,2)</x:f>
        <x:v>29.7</x:v>
      </x:c>
      <x:c r="M210" t="n">
        <x:v>1.5</x:v>
      </x:c>
      <x:c r="N210" t="n">
        <x:f>ROUND(F210*M210/100,2)</x:f>
        <x:v>2.03</x:v>
      </x:c>
      <x:c r="O210" t="str">
        <x:v>蒸熟净重</x:v>
      </x:c>
    </x:row>
    <x:row r="211" ht="23" customHeight="1">
      <x:c r="A211" t="n">
        <x:v>35</x:v>
      </x:c>
      <x:c r="B211" t="n">
        <x:v>18</x:v>
      </x:c>
      <x:c r="C211" t="str">
        <x:v>午餐</x:v>
      </x:c>
      <x:c r="D211" t="str">
        <x:v>油脂</x:v>
      </x:c>
      <x:c r="E211" t="str">
        <x:v>烹调油</x:v>
      </x:c>
      <x:c r="F211" t="n">
        <x:v>5</x:v>
      </x:c>
      <x:c r="G211" t="n">
        <x:v>900</x:v>
      </x:c>
      <x:c r="H211" t="n">
        <x:f>ROUND(F211*G211/100,2)</x:f>
        <x:v>45</x:v>
      </x:c>
      <x:c r="I211" t="n">
        <x:v>0</x:v>
      </x:c>
      <x:c r="J211" t="n">
        <x:f>ROUND(F211*I211/100,2)</x:f>
        <x:v>0</x:v>
      </x:c>
      <x:c r="K211" t="n">
        <x:v>0</x:v>
      </x:c>
      <x:c r="L211" t="n">
        <x:f>ROUND(F211*K211/100,2)</x:f>
        <x:v>0</x:v>
      </x:c>
      <x:c r="M211" t="n">
        <x:v>100</x:v>
      </x:c>
      <x:c r="N211" t="n">
        <x:f>ROUND(F211*M211/100,2)</x:f>
        <x:v>5</x:v>
      </x:c>
      <x:c r="O211" t="str">
        <x:v>实际用油重</x:v>
      </x:c>
    </x:row>
    <x:row r="212" ht="23" customHeight="1">
      <x:c r="A212" t="n">
        <x:v>36</x:v>
      </x:c>
      <x:c r="B212" t="n">
        <x:v>18</x:v>
      </x:c>
      <x:c r="C212" t="str">
        <x:v>晚餐</x:v>
      </x:c>
      <x:c r="D212" t="str">
        <x:v>猪肉</x:v>
      </x:c>
      <x:c r="E212" t="str">
        <x:v>猪瘦肉</x:v>
      </x:c>
      <x:c r="F212" t="n">
        <x:v>145</x:v>
      </x:c>
      <x:c r="G212" t="n">
        <x:v>130</x:v>
      </x:c>
      <x:c r="H212" t="n">
        <x:f>ROUND(F212*G212/100,2)</x:f>
        <x:v>188.5</x:v>
      </x:c>
      <x:c r="I212" t="n">
        <x:v>20</x:v>
      </x:c>
      <x:c r="J212" t="n">
        <x:f>ROUND(F212*I212/100,2)</x:f>
        <x:v>29</x:v>
      </x:c>
      <x:c r="K212" t="n">
        <x:v>0</x:v>
      </x:c>
      <x:c r="L212" t="n">
        <x:f>ROUND(F212*K212/100,2)</x:f>
        <x:v>0</x:v>
      </x:c>
      <x:c r="M212" t="n">
        <x:v>5.5</x:v>
      </x:c>
      <x:c r="N212" t="n">
        <x:f>ROUND(F212*M212/100,2)</x:f>
        <x:v>7.98</x:v>
      </x:c>
      <x:c r="O212" t="str">
        <x:v>生重</x:v>
      </x:c>
    </x:row>
    <x:row r="213" ht="23" customHeight="1">
      <x:c r="A213" t="n">
        <x:v>36</x:v>
      </x:c>
      <x:c r="B213" t="n">
        <x:v>18</x:v>
      </x:c>
      <x:c r="C213" t="str">
        <x:v>晚餐</x:v>
      </x:c>
      <x:c r="D213" t="str"/>
      <x:c r="E213" t="str"/>
      <x:c r="F213" t="n">
        <x:v>0</x:v>
      </x:c>
      <x:c r="G213" t="n">
        <x:v>0</x:v>
      </x:c>
      <x:c r="H213" t="n">
        <x:f>ROUND(F213*G213/100,2)</x:f>
        <x:v>0</x:v>
      </x:c>
      <x:c r="I213" t="n">
        <x:v>0</x:v>
      </x:c>
      <x:c r="J213" t="n">
        <x:f>ROUND(F213*I213/100,2)</x:f>
        <x:v>0</x:v>
      </x:c>
      <x:c r="K213" t="n">
        <x:v>0</x:v>
      </x:c>
      <x:c r="L213" t="n">
        <x:f>ROUND(F213*K213/100,2)</x:f>
        <x:v>0</x:v>
      </x:c>
      <x:c r="M213" t="n">
        <x:v>0</x:v>
      </x:c>
      <x:c r="N213" t="n">
        <x:f>ROUND(F213*M213/100,2)</x:f>
        <x:v>0</x:v>
      </x:c>
      <x:c r="O213" t="str"/>
    </x:row>
    <x:row r="214" ht="23" customHeight="1">
      <x:c r="A214" t="n">
        <x:v>36</x:v>
      </x:c>
      <x:c r="B214" t="n">
        <x:v>18</x:v>
      </x:c>
      <x:c r="C214" t="str">
        <x:v>晚餐</x:v>
      </x:c>
      <x:c r="D214" t="str">
        <x:v>蔬菜</x:v>
      </x:c>
      <x:c r="E214" t="str">
        <x:v>大白菜</x:v>
      </x:c>
      <x:c r="F214" t="n">
        <x:v>140</x:v>
      </x:c>
      <x:c r="G214" t="n">
        <x:v>17</x:v>
      </x:c>
      <x:c r="H214" t="n">
        <x:f>ROUND(F214*G214/100,2)</x:f>
        <x:v>23.8</x:v>
      </x:c>
      <x:c r="I214" t="n">
        <x:v>1.5</x:v>
      </x:c>
      <x:c r="J214" t="n">
        <x:f>ROUND(F214*I214/100,2)</x:f>
        <x:v>2.1</x:v>
      </x:c>
      <x:c r="K214" t="n">
        <x:v>3.2</x:v>
      </x:c>
      <x:c r="L214" t="n">
        <x:f>ROUND(F214*K214/100,2)</x:f>
        <x:v>4.48</x:v>
      </x:c>
      <x:c r="M214" t="n">
        <x:v>0.1</x:v>
      </x:c>
      <x:c r="N214" t="n">
        <x:f>ROUND(F214*M214/100,2)</x:f>
        <x:v>0.14</x:v>
      </x:c>
      <x:c r="O214" t="str">
        <x:v>生重</x:v>
      </x:c>
    </x:row>
    <x:row r="215" ht="23" customHeight="1">
      <x:c r="A215" t="n">
        <x:v>36</x:v>
      </x:c>
      <x:c r="B215" t="n">
        <x:v>18</x:v>
      </x:c>
      <x:c r="C215" t="str">
        <x:v>晚餐</x:v>
      </x:c>
      <x:c r="D215" t="str">
        <x:v>蔬菜</x:v>
      </x:c>
      <x:c r="E215" t="str">
        <x:v>洋葱</x:v>
      </x:c>
      <x:c r="F215" t="n">
        <x:v>140</x:v>
      </x:c>
      <x:c r="G215" t="n">
        <x:v>40</x:v>
      </x:c>
      <x:c r="H215" t="n">
        <x:f>ROUND(F215*G215/100,2)</x:f>
        <x:v>56</x:v>
      </x:c>
      <x:c r="I215" t="n">
        <x:v>1.1</x:v>
      </x:c>
      <x:c r="J215" t="n">
        <x:f>ROUND(F215*I215/100,2)</x:f>
        <x:v>1.54</x:v>
      </x:c>
      <x:c r="K215" t="n">
        <x:v>9.3</x:v>
      </x:c>
      <x:c r="L215" t="n">
        <x:f>ROUND(F215*K215/100,2)</x:f>
        <x:v>13.02</x:v>
      </x:c>
      <x:c r="M215" t="n">
        <x:v>0.1</x:v>
      </x:c>
      <x:c r="N215" t="n">
        <x:f>ROUND(F215*M215/100,2)</x:f>
        <x:v>0.14</x:v>
      </x:c>
      <x:c r="O215" t="str">
        <x:v>生重</x:v>
      </x:c>
    </x:row>
    <x:row r="216" ht="23" customHeight="1">
      <x:c r="A216" t="n">
        <x:v>36</x:v>
      </x:c>
      <x:c r="B216" t="n">
        <x:v>18</x:v>
      </x:c>
      <x:c r="C216" t="str">
        <x:v>晚餐</x:v>
      </x:c>
      <x:c r="D216" t="str">
        <x:v>主食</x:v>
      </x:c>
      <x:c r="E216" t="str">
        <x:v>杂粮饭</x:v>
      </x:c>
      <x:c r="F216" t="n">
        <x:v>80</x:v>
      </x:c>
      <x:c r="G216" t="n">
        <x:v>115</x:v>
      </x:c>
      <x:c r="H216" t="n">
        <x:f>ROUND(F216*G216/100,2)</x:f>
        <x:v>92</x:v>
      </x:c>
      <x:c r="I216" t="n">
        <x:v>3.1</x:v>
      </x:c>
      <x:c r="J216" t="n">
        <x:f>ROUND(F216*I216/100,2)</x:f>
        <x:v>2.48</x:v>
      </x:c>
      <x:c r="K216" t="n">
        <x:v>23.5</x:v>
      </x:c>
      <x:c r="L216" t="n">
        <x:f>ROUND(F216*K216/100,2)</x:f>
        <x:v>18.8</x:v>
      </x:c>
      <x:c r="M216" t="n">
        <x:v>1.1</x:v>
      </x:c>
      <x:c r="N216" t="n">
        <x:f>ROUND(F216*M216/100,2)</x:f>
        <x:v>0.88</x:v>
      </x:c>
      <x:c r="O216" t="str">
        <x:v>熟重</x:v>
      </x:c>
    </x:row>
    <x:row r="217" ht="23" customHeight="1">
      <x:c r="A217" t="n">
        <x:v>36</x:v>
      </x:c>
      <x:c r="B217" t="n">
        <x:v>18</x:v>
      </x:c>
      <x:c r="C217" t="str">
        <x:v>晚餐</x:v>
      </x:c>
      <x:c r="D217" t="str">
        <x:v>油脂</x:v>
      </x:c>
      <x:c r="E217" t="str">
        <x:v>烹调油</x:v>
      </x:c>
      <x:c r="F217" t="n">
        <x:v>6</x:v>
      </x:c>
      <x:c r="G217" t="n">
        <x:v>900</x:v>
      </x:c>
      <x:c r="H217" t="n">
        <x:f>ROUND(F217*G217/100,2)</x:f>
        <x:v>54</x:v>
      </x:c>
      <x:c r="I217" t="n">
        <x:v>0</x:v>
      </x:c>
      <x:c r="J217" t="n">
        <x:f>ROUND(F217*I217/100,2)</x:f>
        <x:v>0</x:v>
      </x:c>
      <x:c r="K217" t="n">
        <x:v>0</x:v>
      </x:c>
      <x:c r="L217" t="n">
        <x:f>ROUND(F217*K217/100,2)</x:f>
        <x:v>0</x:v>
      </x:c>
      <x:c r="M217" t="n">
        <x:v>100</x:v>
      </x:c>
      <x:c r="N217" t="n">
        <x:f>ROUND(F217*M217/100,2)</x:f>
        <x:v>6</x:v>
      </x:c>
      <x:c r="O217" t="str">
        <x:v>实际用油重</x:v>
      </x:c>
    </x:row>
    <x:row r="218" ht="23" customHeight="1">
      <x:c r="A218" t="n">
        <x:v>37</x:v>
      </x:c>
      <x:c r="B218" t="n">
        <x:v>19</x:v>
      </x:c>
      <x:c r="C218" t="str">
        <x:v>午餐</x:v>
      </x:c>
      <x:c r="D218" t="str">
        <x:v>猪肉</x:v>
      </x:c>
      <x:c r="E218" t="str">
        <x:v>猪瘦肉</x:v>
      </x:c>
      <x:c r="F218" t="n">
        <x:v>155</x:v>
      </x:c>
      <x:c r="G218" t="n">
        <x:v>130</x:v>
      </x:c>
      <x:c r="H218" t="n">
        <x:f>ROUND(F218*G218/100,2)</x:f>
        <x:v>201.5</x:v>
      </x:c>
      <x:c r="I218" t="n">
        <x:v>20</x:v>
      </x:c>
      <x:c r="J218" t="n">
        <x:f>ROUND(F218*I218/100,2)</x:f>
        <x:v>31</x:v>
      </x:c>
      <x:c r="K218" t="n">
        <x:v>0</x:v>
      </x:c>
      <x:c r="L218" t="n">
        <x:f>ROUND(F218*K218/100,2)</x:f>
        <x:v>0</x:v>
      </x:c>
      <x:c r="M218" t="n">
        <x:v>5.5</x:v>
      </x:c>
      <x:c r="N218" t="n">
        <x:f>ROUND(F218*M218/100,2)</x:f>
        <x:v>8.53</x:v>
      </x:c>
      <x:c r="O218" t="str">
        <x:v>生重</x:v>
      </x:c>
    </x:row>
    <x:row r="219" ht="23" customHeight="1">
      <x:c r="A219" t="n">
        <x:v>37</x:v>
      </x:c>
      <x:c r="B219" t="n">
        <x:v>19</x:v>
      </x:c>
      <x:c r="C219" t="str">
        <x:v>午餐</x:v>
      </x:c>
      <x:c r="D219" t="str"/>
      <x:c r="E219" t="str"/>
      <x:c r="F219" t="n">
        <x:v>0</x:v>
      </x:c>
      <x:c r="G219" t="n">
        <x:v>0</x:v>
      </x:c>
      <x:c r="H219" t="n">
        <x:f>ROUND(F219*G219/100,2)</x:f>
        <x:v>0</x:v>
      </x:c>
      <x:c r="I219" t="n">
        <x:v>0</x:v>
      </x:c>
      <x:c r="J219" t="n">
        <x:f>ROUND(F219*I219/100,2)</x:f>
        <x:v>0</x:v>
      </x:c>
      <x:c r="K219" t="n">
        <x:v>0</x:v>
      </x:c>
      <x:c r="L219" t="n">
        <x:f>ROUND(F219*K219/100,2)</x:f>
        <x:v>0</x:v>
      </x:c>
      <x:c r="M219" t="n">
        <x:v>0</x:v>
      </x:c>
      <x:c r="N219" t="n">
        <x:f>ROUND(F219*M219/100,2)</x:f>
        <x:v>0</x:v>
      </x:c>
      <x:c r="O219" t="str"/>
    </x:row>
    <x:row r="220" ht="23" customHeight="1">
      <x:c r="A220" t="n">
        <x:v>37</x:v>
      </x:c>
      <x:c r="B220" t="n">
        <x:v>19</x:v>
      </x:c>
      <x:c r="C220" t="str">
        <x:v>午餐</x:v>
      </x:c>
      <x:c r="D220" t="str">
        <x:v>蔬菜</x:v>
      </x:c>
      <x:c r="E220" t="str">
        <x:v>彩椒</x:v>
      </x:c>
      <x:c r="F220" t="n">
        <x:v>160</x:v>
      </x:c>
      <x:c r="G220" t="n">
        <x:v>27</x:v>
      </x:c>
      <x:c r="H220" t="n">
        <x:f>ROUND(F220*G220/100,2)</x:f>
        <x:v>43.2</x:v>
      </x:c>
      <x:c r="I220" t="n">
        <x:v>1</x:v>
      </x:c>
      <x:c r="J220" t="n">
        <x:f>ROUND(F220*I220/100,2)</x:f>
        <x:v>1.6</x:v>
      </x:c>
      <x:c r="K220" t="n">
        <x:v>6.1</x:v>
      </x:c>
      <x:c r="L220" t="n">
        <x:f>ROUND(F220*K220/100,2)</x:f>
        <x:v>9.76</x:v>
      </x:c>
      <x:c r="M220" t="n">
        <x:v>0.2</x:v>
      </x:c>
      <x:c r="N220" t="n">
        <x:f>ROUND(F220*M220/100,2)</x:f>
        <x:v>0.32</x:v>
      </x:c>
      <x:c r="O220" t="str">
        <x:v>生重</x:v>
      </x:c>
    </x:row>
    <x:row r="221" ht="23" customHeight="1">
      <x:c r="A221" t="n">
        <x:v>37</x:v>
      </x:c>
      <x:c r="B221" t="n">
        <x:v>19</x:v>
      </x:c>
      <x:c r="C221" t="str">
        <x:v>午餐</x:v>
      </x:c>
      <x:c r="D221" t="str">
        <x:v>蔬菜</x:v>
      </x:c>
      <x:c r="E221" t="str">
        <x:v>洋葱</x:v>
      </x:c>
      <x:c r="F221" t="n">
        <x:v>110</x:v>
      </x:c>
      <x:c r="G221" t="n">
        <x:v>40</x:v>
      </x:c>
      <x:c r="H221" t="n">
        <x:f>ROUND(F221*G221/100,2)</x:f>
        <x:v>44</x:v>
      </x:c>
      <x:c r="I221" t="n">
        <x:v>1.1</x:v>
      </x:c>
      <x:c r="J221" t="n">
        <x:f>ROUND(F221*I221/100,2)</x:f>
        <x:v>1.21</x:v>
      </x:c>
      <x:c r="K221" t="n">
        <x:v>9.3</x:v>
      </x:c>
      <x:c r="L221" t="n">
        <x:f>ROUND(F221*K221/100,2)</x:f>
        <x:v>10.23</x:v>
      </x:c>
      <x:c r="M221" t="n">
        <x:v>0.1</x:v>
      </x:c>
      <x:c r="N221" t="n">
        <x:f>ROUND(F221*M221/100,2)</x:f>
        <x:v>0.11</x:v>
      </x:c>
      <x:c r="O221" t="str">
        <x:v>生重</x:v>
      </x:c>
    </x:row>
    <x:row r="222" ht="23" customHeight="1">
      <x:c r="A222" t="n">
        <x:v>37</x:v>
      </x:c>
      <x:c r="B222" t="n">
        <x:v>19</x:v>
      </x:c>
      <x:c r="C222" t="str">
        <x:v>午餐</x:v>
      </x:c>
      <x:c r="D222" t="str">
        <x:v>主食</x:v>
      </x:c>
      <x:c r="E222" t="str">
        <x:v>荞麦面</x:v>
      </x:c>
      <x:c r="F222" t="n">
        <x:v>150</x:v>
      </x:c>
      <x:c r="G222" t="n">
        <x:v>105</x:v>
      </x:c>
      <x:c r="H222" t="n">
        <x:f>ROUND(F222*G222/100,2)</x:f>
        <x:v>157.5</x:v>
      </x:c>
      <x:c r="I222" t="n">
        <x:v>4</x:v>
      </x:c>
      <x:c r="J222" t="n">
        <x:f>ROUND(F222*I222/100,2)</x:f>
        <x:v>6</x:v>
      </x:c>
      <x:c r="K222" t="n">
        <x:v>21</x:v>
      </x:c>
      <x:c r="L222" t="n">
        <x:f>ROUND(F222*K222/100,2)</x:f>
        <x:v>31.5</x:v>
      </x:c>
      <x:c r="M222" t="n">
        <x:v>0.7</x:v>
      </x:c>
      <x:c r="N222" t="n">
        <x:f>ROUND(F222*M222/100,2)</x:f>
        <x:v>1.05</x:v>
      </x:c>
      <x:c r="O222" t="str">
        <x:v>煮熟沥水重</x:v>
      </x:c>
    </x:row>
    <x:row r="223" ht="23" customHeight="1">
      <x:c r="A223" t="n">
        <x:v>37</x:v>
      </x:c>
      <x:c r="B223" t="n">
        <x:v>19</x:v>
      </x:c>
      <x:c r="C223" t="str">
        <x:v>午餐</x:v>
      </x:c>
      <x:c r="D223" t="str">
        <x:v>油脂</x:v>
      </x:c>
      <x:c r="E223" t="str">
        <x:v>烹调油</x:v>
      </x:c>
      <x:c r="F223" t="n">
        <x:v>6</x:v>
      </x:c>
      <x:c r="G223" t="n">
        <x:v>900</x:v>
      </x:c>
      <x:c r="H223" t="n">
        <x:f>ROUND(F223*G223/100,2)</x:f>
        <x:v>54</x:v>
      </x:c>
      <x:c r="I223" t="n">
        <x:v>0</x:v>
      </x:c>
      <x:c r="J223" t="n">
        <x:f>ROUND(F223*I223/100,2)</x:f>
        <x:v>0</x:v>
      </x:c>
      <x:c r="K223" t="n">
        <x:v>0</x:v>
      </x:c>
      <x:c r="L223" t="n">
        <x:f>ROUND(F223*K223/100,2)</x:f>
        <x:v>0</x:v>
      </x:c>
      <x:c r="M223" t="n">
        <x:v>100</x:v>
      </x:c>
      <x:c r="N223" t="n">
        <x:f>ROUND(F223*M223/100,2)</x:f>
        <x:v>6</x:v>
      </x:c>
      <x:c r="O223" t="str">
        <x:v>实际用油重</x:v>
      </x:c>
    </x:row>
    <x:row r="224" ht="23" customHeight="1">
      <x:c r="A224" t="n">
        <x:v>38</x:v>
      </x:c>
      <x:c r="B224" t="n">
        <x:v>19</x:v>
      </x:c>
      <x:c r="C224" t="str">
        <x:v>晚餐</x:v>
      </x:c>
      <x:c r="D224" t="str">
        <x:v>禽肉</x:v>
      </x:c>
      <x:c r="E224" t="str">
        <x:v>鸡胸肉</x:v>
      </x:c>
      <x:c r="F224" t="n">
        <x:v>160</x:v>
      </x:c>
      <x:c r="G224" t="n">
        <x:v>110</x:v>
      </x:c>
      <x:c r="H224" t="n">
        <x:f>ROUND(F224*G224/100,2)</x:f>
        <x:v>176</x:v>
      </x:c>
      <x:c r="I224" t="n">
        <x:v>23</x:v>
      </x:c>
      <x:c r="J224" t="n">
        <x:f>ROUND(F224*I224/100,2)</x:f>
        <x:v>36.8</x:v>
      </x:c>
      <x:c r="K224" t="n">
        <x:v>0</x:v>
      </x:c>
      <x:c r="L224" t="n">
        <x:f>ROUND(F224*K224/100,2)</x:f>
        <x:v>0</x:v>
      </x:c>
      <x:c r="M224" t="n">
        <x:v>2</x:v>
      </x:c>
      <x:c r="N224" t="n">
        <x:f>ROUND(F224*M224/100,2)</x:f>
        <x:v>3.2</x:v>
      </x:c>
      <x:c r="O224" t="str">
        <x:v>生重</x:v>
      </x:c>
    </x:row>
    <x:row r="225" ht="23" customHeight="1">
      <x:c r="A225" t="n">
        <x:v>38</x:v>
      </x:c>
      <x:c r="B225" t="n">
        <x:v>19</x:v>
      </x:c>
      <x:c r="C225" t="str">
        <x:v>晚餐</x:v>
      </x:c>
      <x:c r="D225" t="str"/>
      <x:c r="E225" t="str"/>
      <x:c r="F225" t="n">
        <x:v>0</x:v>
      </x:c>
      <x:c r="G225" t="n">
        <x:v>0</x:v>
      </x:c>
      <x:c r="H225" t="n">
        <x:f>ROUND(F225*G225/100,2)</x:f>
        <x:v>0</x:v>
      </x:c>
      <x:c r="I225" t="n">
        <x:v>0</x:v>
      </x:c>
      <x:c r="J225" t="n">
        <x:f>ROUND(F225*I225/100,2)</x:f>
        <x:v>0</x:v>
      </x:c>
      <x:c r="K225" t="n">
        <x:v>0</x:v>
      </x:c>
      <x:c r="L225" t="n">
        <x:f>ROUND(F225*K225/100,2)</x:f>
        <x:v>0</x:v>
      </x:c>
      <x:c r="M225" t="n">
        <x:v>0</x:v>
      </x:c>
      <x:c r="N225" t="n">
        <x:f>ROUND(F225*M225/100,2)</x:f>
        <x:v>0</x:v>
      </x:c>
      <x:c r="O225" t="str"/>
    </x:row>
    <x:row r="226" ht="23" customHeight="1">
      <x:c r="A226" t="n">
        <x:v>38</x:v>
      </x:c>
      <x:c r="B226" t="n">
        <x:v>19</x:v>
      </x:c>
      <x:c r="C226" t="str">
        <x:v>晚餐</x:v>
      </x:c>
      <x:c r="D226" t="str">
        <x:v>蔬菜</x:v>
      </x:c>
      <x:c r="E226" t="str">
        <x:v>白萝卜</x:v>
      </x:c>
      <x:c r="F226" t="n">
        <x:v>175</x:v>
      </x:c>
      <x:c r="G226" t="n">
        <x:v>18</x:v>
      </x:c>
      <x:c r="H226" t="n">
        <x:f>ROUND(F226*G226/100,2)</x:f>
        <x:v>31.5</x:v>
      </x:c>
      <x:c r="I226" t="n">
        <x:v>0.6</x:v>
      </x:c>
      <x:c r="J226" t="n">
        <x:f>ROUND(F226*I226/100,2)</x:f>
        <x:v>1.05</x:v>
      </x:c>
      <x:c r="K226" t="n">
        <x:v>4</x:v>
      </x:c>
      <x:c r="L226" t="n">
        <x:f>ROUND(F226*K226/100,2)</x:f>
        <x:v>7</x:v>
      </x:c>
      <x:c r="M226" t="n">
        <x:v>0.1</x:v>
      </x:c>
      <x:c r="N226" t="n">
        <x:f>ROUND(F226*M226/100,2)</x:f>
        <x:v>0.18</x:v>
      </x:c>
      <x:c r="O226" t="str">
        <x:v>生重</x:v>
      </x:c>
    </x:row>
    <x:row r="227" ht="23" customHeight="1">
      <x:c r="A227" t="n">
        <x:v>38</x:v>
      </x:c>
      <x:c r="B227" t="n">
        <x:v>19</x:v>
      </x:c>
      <x:c r="C227" t="str">
        <x:v>晚餐</x:v>
      </x:c>
      <x:c r="D227" t="str">
        <x:v>菌菇</x:v>
      </x:c>
      <x:c r="E227" t="str">
        <x:v>香菇</x:v>
      </x:c>
      <x:c r="F227" t="n">
        <x:v>155</x:v>
      </x:c>
      <x:c r="G227" t="n">
        <x:v>34</x:v>
      </x:c>
      <x:c r="H227" t="n">
        <x:f>ROUND(F227*G227/100,2)</x:f>
        <x:v>52.7</x:v>
      </x:c>
      <x:c r="I227" t="n">
        <x:v>2.2</x:v>
      </x:c>
      <x:c r="J227" t="n">
        <x:f>ROUND(F227*I227/100,2)</x:f>
        <x:v>3.41</x:v>
      </x:c>
      <x:c r="K227" t="n">
        <x:v>6.8</x:v>
      </x:c>
      <x:c r="L227" t="n">
        <x:f>ROUND(F227*K227/100,2)</x:f>
        <x:v>10.54</x:v>
      </x:c>
      <x:c r="M227" t="n">
        <x:v>0.5</x:v>
      </x:c>
      <x:c r="N227" t="n">
        <x:f>ROUND(F227*M227/100,2)</x:f>
        <x:v>0.78</x:v>
      </x:c>
      <x:c r="O227" t="str">
        <x:v>生重</x:v>
      </x:c>
    </x:row>
    <x:row r="228" ht="23" customHeight="1">
      <x:c r="A228" t="n">
        <x:v>38</x:v>
      </x:c>
      <x:c r="B228" t="n">
        <x:v>19</x:v>
      </x:c>
      <x:c r="C228" t="str">
        <x:v>晚餐</x:v>
      </x:c>
      <x:c r="D228" t="str">
        <x:v>主食</x:v>
      </x:c>
      <x:c r="E228" t="str">
        <x:v>杂粮饭</x:v>
      </x:c>
      <x:c r="F228" t="n">
        <x:v>80</x:v>
      </x:c>
      <x:c r="G228" t="n">
        <x:v>115</x:v>
      </x:c>
      <x:c r="H228" t="n">
        <x:f>ROUND(F228*G228/100,2)</x:f>
        <x:v>92</x:v>
      </x:c>
      <x:c r="I228" t="n">
        <x:v>3.1</x:v>
      </x:c>
      <x:c r="J228" t="n">
        <x:f>ROUND(F228*I228/100,2)</x:f>
        <x:v>2.48</x:v>
      </x:c>
      <x:c r="K228" t="n">
        <x:v>23.5</x:v>
      </x:c>
      <x:c r="L228" t="n">
        <x:f>ROUND(F228*K228/100,2)</x:f>
        <x:v>18.8</x:v>
      </x:c>
      <x:c r="M228" t="n">
        <x:v>1.1</x:v>
      </x:c>
      <x:c r="N228" t="n">
        <x:f>ROUND(F228*M228/100,2)</x:f>
        <x:v>0.88</x:v>
      </x:c>
      <x:c r="O228" t="str">
        <x:v>熟重</x:v>
      </x:c>
    </x:row>
    <x:row r="229" ht="23" customHeight="1">
      <x:c r="A229" t="n">
        <x:v>38</x:v>
      </x:c>
      <x:c r="B229" t="n">
        <x:v>19</x:v>
      </x:c>
      <x:c r="C229" t="str">
        <x:v>晚餐</x:v>
      </x:c>
      <x:c r="D229" t="str">
        <x:v>油脂</x:v>
      </x:c>
      <x:c r="E229" t="str">
        <x:v>烹调油</x:v>
      </x:c>
      <x:c r="F229" t="n">
        <x:v>5</x:v>
      </x:c>
      <x:c r="G229" t="n">
        <x:v>900</x:v>
      </x:c>
      <x:c r="H229" t="n">
        <x:f>ROUND(F229*G229/100,2)</x:f>
        <x:v>45</x:v>
      </x:c>
      <x:c r="I229" t="n">
        <x:v>0</x:v>
      </x:c>
      <x:c r="J229" t="n">
        <x:f>ROUND(F229*I229/100,2)</x:f>
        <x:v>0</x:v>
      </x:c>
      <x:c r="K229" t="n">
        <x:v>0</x:v>
      </x:c>
      <x:c r="L229" t="n">
        <x:f>ROUND(F229*K229/100,2)</x:f>
        <x:v>0</x:v>
      </x:c>
      <x:c r="M229" t="n">
        <x:v>100</x:v>
      </x:c>
      <x:c r="N229" t="n">
        <x:f>ROUND(F229*M229/100,2)</x:f>
        <x:v>5</x:v>
      </x:c>
      <x:c r="O229" t="str">
        <x:v>实际用油重</x:v>
      </x:c>
    </x:row>
    <x:row r="230" ht="23" customHeight="1">
      <x:c r="A230" t="n">
        <x:v>39</x:v>
      </x:c>
      <x:c r="B230" t="n">
        <x:v>20</x:v>
      </x:c>
      <x:c r="C230" t="str">
        <x:v>午餐</x:v>
      </x:c>
      <x:c r="D230" t="str">
        <x:v>牛肉</x:v>
      </x:c>
      <x:c r="E230" t="str">
        <x:v>瘦牛肉</x:v>
      </x:c>
      <x:c r="F230" t="n">
        <x:v>175</x:v>
      </x:c>
      <x:c r="G230" t="n">
        <x:v>125</x:v>
      </x:c>
      <x:c r="H230" t="n">
        <x:f>ROUND(F230*G230/100,2)</x:f>
        <x:v>218.75</x:v>
      </x:c>
      <x:c r="I230" t="n">
        <x:v>21</x:v>
      </x:c>
      <x:c r="J230" t="n">
        <x:f>ROUND(F230*I230/100,2)</x:f>
        <x:v>36.75</x:v>
      </x:c>
      <x:c r="K230" t="n">
        <x:v>0</x:v>
      </x:c>
      <x:c r="L230" t="n">
        <x:f>ROUND(F230*K230/100,2)</x:f>
        <x:v>0</x:v>
      </x:c>
      <x:c r="M230" t="n">
        <x:v>4</x:v>
      </x:c>
      <x:c r="N230" t="n">
        <x:f>ROUND(F230*M230/100,2)</x:f>
        <x:v>7</x:v>
      </x:c>
      <x:c r="O230" t="str">
        <x:v>生重</x:v>
      </x:c>
    </x:row>
    <x:row r="231" ht="23" customHeight="1">
      <x:c r="A231" t="n">
        <x:v>39</x:v>
      </x:c>
      <x:c r="B231" t="n">
        <x:v>20</x:v>
      </x:c>
      <x:c r="C231" t="str">
        <x:v>午餐</x:v>
      </x:c>
      <x:c r="D231" t="str"/>
      <x:c r="E231" t="str"/>
      <x:c r="F231" t="n">
        <x:v>0</x:v>
      </x:c>
      <x:c r="G231" t="n">
        <x:v>0</x:v>
      </x:c>
      <x:c r="H231" t="n">
        <x:f>ROUND(F231*G231/100,2)</x:f>
        <x:v>0</x:v>
      </x:c>
      <x:c r="I231" t="n">
        <x:v>0</x:v>
      </x:c>
      <x:c r="J231" t="n">
        <x:f>ROUND(F231*I231/100,2)</x:f>
        <x:v>0</x:v>
      </x:c>
      <x:c r="K231" t="n">
        <x:v>0</x:v>
      </x:c>
      <x:c r="L231" t="n">
        <x:f>ROUND(F231*K231/100,2)</x:f>
        <x:v>0</x:v>
      </x:c>
      <x:c r="M231" t="n">
        <x:v>0</x:v>
      </x:c>
      <x:c r="N231" t="n">
        <x:f>ROUND(F231*M231/100,2)</x:f>
        <x:v>0</x:v>
      </x:c>
      <x:c r="O231" t="str"/>
    </x:row>
    <x:row r="232" ht="23" customHeight="1">
      <x:c r="A232" t="n">
        <x:v>39</x:v>
      </x:c>
      <x:c r="B232" t="n">
        <x:v>20</x:v>
      </x:c>
      <x:c r="C232" t="str">
        <x:v>午餐</x:v>
      </x:c>
      <x:c r="D232" t="str">
        <x:v>蔬菜</x:v>
      </x:c>
      <x:c r="E232" t="str">
        <x:v>冬瓜</x:v>
      </x:c>
      <x:c r="F232" t="n">
        <x:v>175</x:v>
      </x:c>
      <x:c r="G232" t="n">
        <x:v>13</x:v>
      </x:c>
      <x:c r="H232" t="n">
        <x:f>ROUND(F232*G232/100,2)</x:f>
        <x:v>22.75</x:v>
      </x:c>
      <x:c r="I232" t="n">
        <x:v>0.4</x:v>
      </x:c>
      <x:c r="J232" t="n">
        <x:f>ROUND(F232*I232/100,2)</x:f>
        <x:v>0.7</x:v>
      </x:c>
      <x:c r="K232" t="n">
        <x:v>3</x:v>
      </x:c>
      <x:c r="L232" t="n">
        <x:f>ROUND(F232*K232/100,2)</x:f>
        <x:v>5.25</x:v>
      </x:c>
      <x:c r="M232" t="n">
        <x:v>0.2</x:v>
      </x:c>
      <x:c r="N232" t="n">
        <x:f>ROUND(F232*M232/100,2)</x:f>
        <x:v>0.35</x:v>
      </x:c>
      <x:c r="O232" t="str">
        <x:v>生重</x:v>
      </x:c>
    </x:row>
    <x:row r="233" ht="23" customHeight="1">
      <x:c r="A233" t="n">
        <x:v>39</x:v>
      </x:c>
      <x:c r="B233" t="n">
        <x:v>20</x:v>
      </x:c>
      <x:c r="C233" t="str">
        <x:v>午餐</x:v>
      </x:c>
      <x:c r="D233" t="str">
        <x:v>菌菇</x:v>
      </x:c>
      <x:c r="E233" t="str">
        <x:v>金针菇</x:v>
      </x:c>
      <x:c r="F233" t="n">
        <x:v>140</x:v>
      </x:c>
      <x:c r="G233" t="n">
        <x:v>32</x:v>
      </x:c>
      <x:c r="H233" t="n">
        <x:f>ROUND(F233*G233/100,2)</x:f>
        <x:v>44.8</x:v>
      </x:c>
      <x:c r="I233" t="n">
        <x:v>2.4</x:v>
      </x:c>
      <x:c r="J233" t="n">
        <x:f>ROUND(F233*I233/100,2)</x:f>
        <x:v>3.36</x:v>
      </x:c>
      <x:c r="K233" t="n">
        <x:v>6.4</x:v>
      </x:c>
      <x:c r="L233" t="n">
        <x:f>ROUND(F233*K233/100,2)</x:f>
        <x:v>8.96</x:v>
      </x:c>
      <x:c r="M233" t="n">
        <x:v>0.2</x:v>
      </x:c>
      <x:c r="N233" t="n">
        <x:f>ROUND(F233*M233/100,2)</x:f>
        <x:v>0.28</x:v>
      </x:c>
      <x:c r="O233" t="str">
        <x:v>生重</x:v>
      </x:c>
    </x:row>
    <x:row r="234" ht="23" customHeight="1">
      <x:c r="A234" t="n">
        <x:v>39</x:v>
      </x:c>
      <x:c r="B234" t="n">
        <x:v>20</x:v>
      </x:c>
      <x:c r="C234" t="str">
        <x:v>午餐</x:v>
      </x:c>
      <x:c r="D234" t="str">
        <x:v>主食</x:v>
      </x:c>
      <x:c r="E234" t="str">
        <x:v>荞麦面</x:v>
      </x:c>
      <x:c r="F234" t="n">
        <x:v>135</x:v>
      </x:c>
      <x:c r="G234" t="n">
        <x:v>105</x:v>
      </x:c>
      <x:c r="H234" t="n">
        <x:f>ROUND(F234*G234/100,2)</x:f>
        <x:v>141.75</x:v>
      </x:c>
      <x:c r="I234" t="n">
        <x:v>4</x:v>
      </x:c>
      <x:c r="J234" t="n">
        <x:f>ROUND(F234*I234/100,2)</x:f>
        <x:v>5.4</x:v>
      </x:c>
      <x:c r="K234" t="n">
        <x:v>21</x:v>
      </x:c>
      <x:c r="L234" t="n">
        <x:f>ROUND(F234*K234/100,2)</x:f>
        <x:v>28.35</x:v>
      </x:c>
      <x:c r="M234" t="n">
        <x:v>0.7</x:v>
      </x:c>
      <x:c r="N234" t="n">
        <x:f>ROUND(F234*M234/100,2)</x:f>
        <x:v>0.95</x:v>
      </x:c>
      <x:c r="O234" t="str">
        <x:v>煮熟沥水重</x:v>
      </x:c>
    </x:row>
    <x:row r="235" ht="23" customHeight="1">
      <x:c r="A235" t="n">
        <x:v>39</x:v>
      </x:c>
      <x:c r="B235" t="n">
        <x:v>20</x:v>
      </x:c>
      <x:c r="C235" t="str">
        <x:v>午餐</x:v>
      </x:c>
      <x:c r="D235" t="str">
        <x:v>油脂</x:v>
      </x:c>
      <x:c r="E235" t="str">
        <x:v>烹调油</x:v>
      </x:c>
      <x:c r="F235" t="n">
        <x:v>3</x:v>
      </x:c>
      <x:c r="G235" t="n">
        <x:v>900</x:v>
      </x:c>
      <x:c r="H235" t="n">
        <x:f>ROUND(F235*G235/100,2)</x:f>
        <x:v>27</x:v>
      </x:c>
      <x:c r="I235" t="n">
        <x:v>0</x:v>
      </x:c>
      <x:c r="J235" t="n">
        <x:f>ROUND(F235*I235/100,2)</x:f>
        <x:v>0</x:v>
      </x:c>
      <x:c r="K235" t="n">
        <x:v>0</x:v>
      </x:c>
      <x:c r="L235" t="n">
        <x:f>ROUND(F235*K235/100,2)</x:f>
        <x:v>0</x:v>
      </x:c>
      <x:c r="M235" t="n">
        <x:v>100</x:v>
      </x:c>
      <x:c r="N235" t="n">
        <x:f>ROUND(F235*M235/100,2)</x:f>
        <x:v>3</x:v>
      </x:c>
      <x:c r="O235" t="str">
        <x:v>实际用油重</x:v>
      </x:c>
    </x:row>
    <x:row r="236" ht="23" customHeight="1">
      <x:c r="A236" t="n">
        <x:v>40</x:v>
      </x:c>
      <x:c r="B236" t="n">
        <x:v>20</x:v>
      </x:c>
      <x:c r="C236" t="str">
        <x:v>晚餐</x:v>
      </x:c>
      <x:c r="D236" t="str">
        <x:v>豆蛋</x:v>
      </x:c>
      <x:c r="E236" t="str">
        <x:v>北豆腐</x:v>
      </x:c>
      <x:c r="F236" t="n">
        <x:v>300</x:v>
      </x:c>
      <x:c r="G236" t="n">
        <x:v>90</x:v>
      </x:c>
      <x:c r="H236" t="n">
        <x:f>ROUND(F236*G236/100,2)</x:f>
        <x:v>270</x:v>
      </x:c>
      <x:c r="I236" t="n">
        <x:v>10</x:v>
      </x:c>
      <x:c r="J236" t="n">
        <x:f>ROUND(F236*I236/100,2)</x:f>
        <x:v>30</x:v>
      </x:c>
      <x:c r="K236" t="n">
        <x:v>2</x:v>
      </x:c>
      <x:c r="L236" t="n">
        <x:f>ROUND(F236*K236/100,2)</x:f>
        <x:v>6</x:v>
      </x:c>
      <x:c r="M236" t="n">
        <x:v>5</x:v>
      </x:c>
      <x:c r="N236" t="n">
        <x:f>ROUND(F236*M236/100,2)</x:f>
        <x:v>15</x:v>
      </x:c>
      <x:c r="O236" t="str">
        <x:v>净重</x:v>
      </x:c>
    </x:row>
    <x:row r="237" ht="23" customHeight="1">
      <x:c r="A237" t="n">
        <x:v>40</x:v>
      </x:c>
      <x:c r="B237" t="n">
        <x:v>20</x:v>
      </x:c>
      <x:c r="C237" t="str">
        <x:v>晚餐</x:v>
      </x:c>
      <x:c r="D237" t="str"/>
      <x:c r="E237" t="str"/>
      <x:c r="F237" t="n">
        <x:v>0</x:v>
      </x:c>
      <x:c r="G237" t="n">
        <x:v>0</x:v>
      </x:c>
      <x:c r="H237" t="n">
        <x:f>ROUND(F237*G237/100,2)</x:f>
        <x:v>0</x:v>
      </x:c>
      <x:c r="I237" t="n">
        <x:v>0</x:v>
      </x:c>
      <x:c r="J237" t="n">
        <x:f>ROUND(F237*I237/100,2)</x:f>
        <x:v>0</x:v>
      </x:c>
      <x:c r="K237" t="n">
        <x:v>0</x:v>
      </x:c>
      <x:c r="L237" t="n">
        <x:f>ROUND(F237*K237/100,2)</x:f>
        <x:v>0</x:v>
      </x:c>
      <x:c r="M237" t="n">
        <x:v>0</x:v>
      </x:c>
      <x:c r="N237" t="n">
        <x:f>ROUND(F237*M237/100,2)</x:f>
        <x:v>0</x:v>
      </x:c>
      <x:c r="O237" t="str"/>
    </x:row>
    <x:row r="238" ht="23" customHeight="1">
      <x:c r="A238" t="n">
        <x:v>40</x:v>
      </x:c>
      <x:c r="B238" t="n">
        <x:v>20</x:v>
      </x:c>
      <x:c r="C238" t="str">
        <x:v>晚餐</x:v>
      </x:c>
      <x:c r="D238" t="str">
        <x:v>蔬菜</x:v>
      </x:c>
      <x:c r="E238" t="str">
        <x:v>白萝卜</x:v>
      </x:c>
      <x:c r="F238" t="n">
        <x:v>160</x:v>
      </x:c>
      <x:c r="G238" t="n">
        <x:v>18</x:v>
      </x:c>
      <x:c r="H238" t="n">
        <x:f>ROUND(F238*G238/100,2)</x:f>
        <x:v>28.8</x:v>
      </x:c>
      <x:c r="I238" t="n">
        <x:v>0.6</x:v>
      </x:c>
      <x:c r="J238" t="n">
        <x:f>ROUND(F238*I238/100,2)</x:f>
        <x:v>0.96</x:v>
      </x:c>
      <x:c r="K238" t="n">
        <x:v>4</x:v>
      </x:c>
      <x:c r="L238" t="n">
        <x:f>ROUND(F238*K238/100,2)</x:f>
        <x:v>6.4</x:v>
      </x:c>
      <x:c r="M238" t="n">
        <x:v>0.1</x:v>
      </x:c>
      <x:c r="N238" t="n">
        <x:f>ROUND(F238*M238/100,2)</x:f>
        <x:v>0.16</x:v>
      </x:c>
      <x:c r="O238" t="str">
        <x:v>生重</x:v>
      </x:c>
    </x:row>
    <x:row r="239" ht="23" customHeight="1">
      <x:c r="A239" t="n">
        <x:v>40</x:v>
      </x:c>
      <x:c r="B239" t="n">
        <x:v>20</x:v>
      </x:c>
      <x:c r="C239" t="str">
        <x:v>晚餐</x:v>
      </x:c>
      <x:c r="D239" t="str">
        <x:v>蔬菜</x:v>
      </x:c>
      <x:c r="E239" t="str">
        <x:v>荷兰豆</x:v>
      </x:c>
      <x:c r="F239" t="n">
        <x:v>140</x:v>
      </x:c>
      <x:c r="G239" t="n">
        <x:v>42</x:v>
      </x:c>
      <x:c r="H239" t="n">
        <x:f>ROUND(F239*G239/100,2)</x:f>
        <x:v>58.8</x:v>
      </x:c>
      <x:c r="I239" t="n">
        <x:v>2.8</x:v>
      </x:c>
      <x:c r="J239" t="n">
        <x:f>ROUND(F239*I239/100,2)</x:f>
        <x:v>3.92</x:v>
      </x:c>
      <x:c r="K239" t="n">
        <x:v>7.5</x:v>
      </x:c>
      <x:c r="L239" t="n">
        <x:f>ROUND(F239*K239/100,2)</x:f>
        <x:v>10.5</x:v>
      </x:c>
      <x:c r="M239" t="n">
        <x:v>0.3</x:v>
      </x:c>
      <x:c r="N239" t="n">
        <x:f>ROUND(F239*M239/100,2)</x:f>
        <x:v>0.42</x:v>
      </x:c>
      <x:c r="O239" t="str">
        <x:v>生重</x:v>
      </x:c>
    </x:row>
    <x:row r="240" ht="23" customHeight="1">
      <x:c r="A240" t="n">
        <x:v>40</x:v>
      </x:c>
      <x:c r="B240" t="n">
        <x:v>20</x:v>
      </x:c>
      <x:c r="C240" t="str">
        <x:v>晚餐</x:v>
      </x:c>
      <x:c r="D240" t="str">
        <x:v>主食</x:v>
      </x:c>
      <x:c r="E240" t="str">
        <x:v>杂粮饭</x:v>
      </x:c>
      <x:c r="F240" t="n">
        <x:v>95</x:v>
      </x:c>
      <x:c r="G240" t="n">
        <x:v>115</x:v>
      </x:c>
      <x:c r="H240" t="n">
        <x:f>ROUND(F240*G240/100,2)</x:f>
        <x:v>109.25</x:v>
      </x:c>
      <x:c r="I240" t="n">
        <x:v>3.1</x:v>
      </x:c>
      <x:c r="J240" t="n">
        <x:f>ROUND(F240*I240/100,2)</x:f>
        <x:v>2.95</x:v>
      </x:c>
      <x:c r="K240" t="n">
        <x:v>23.5</x:v>
      </x:c>
      <x:c r="L240" t="n">
        <x:f>ROUND(F240*K240/100,2)</x:f>
        <x:v>22.33</x:v>
      </x:c>
      <x:c r="M240" t="n">
        <x:v>1.1</x:v>
      </x:c>
      <x:c r="N240" t="n">
        <x:f>ROUND(F240*M240/100,2)</x:f>
        <x:v>1.05</x:v>
      </x:c>
      <x:c r="O240" t="str">
        <x:v>熟重</x:v>
      </x:c>
    </x:row>
    <x:row r="241" ht="23" customHeight="1">
      <x:c r="A241" t="n">
        <x:v>40</x:v>
      </x:c>
      <x:c r="B241" t="n">
        <x:v>20</x:v>
      </x:c>
      <x:c r="C241" t="str">
        <x:v>晚餐</x:v>
      </x:c>
      <x:c r="D241" t="str">
        <x:v>油脂</x:v>
      </x:c>
      <x:c r="E241" t="str">
        <x:v>烹调油</x:v>
      </x:c>
      <x:c r="F241" t="n">
        <x:v>4</x:v>
      </x:c>
      <x:c r="G241" t="n">
        <x:v>900</x:v>
      </x:c>
      <x:c r="H241" t="n">
        <x:f>ROUND(F241*G241/100,2)</x:f>
        <x:v>36</x:v>
      </x:c>
      <x:c r="I241" t="n">
        <x:v>0</x:v>
      </x:c>
      <x:c r="J241" t="n">
        <x:f>ROUND(F241*I241/100,2)</x:f>
        <x:v>0</x:v>
      </x:c>
      <x:c r="K241" t="n">
        <x:v>0</x:v>
      </x:c>
      <x:c r="L241" t="n">
        <x:f>ROUND(F241*K241/100,2)</x:f>
        <x:v>0</x:v>
      </x:c>
      <x:c r="M241" t="n">
        <x:v>100</x:v>
      </x:c>
      <x:c r="N241" t="n">
        <x:f>ROUND(F241*M241/100,2)</x:f>
        <x:v>4</x:v>
      </x:c>
      <x:c r="O241" t="str">
        <x:v>实际用油重</x:v>
      </x:c>
    </x:row>
    <x:row r="242" ht="23" customHeight="1">
      <x:c r="A242" t="n">
        <x:v>41</x:v>
      </x:c>
      <x:c r="B242" t="n">
        <x:v>21</x:v>
      </x:c>
      <x:c r="C242" t="str">
        <x:v>午餐</x:v>
      </x:c>
      <x:c r="D242" t="str">
        <x:v>鱼类</x:v>
      </x:c>
      <x:c r="E242" t="str">
        <x:v>鲈鱼</x:v>
      </x:c>
      <x:c r="F242" t="n">
        <x:v>215</x:v>
      </x:c>
      <x:c r="G242" t="n">
        <x:v>105</x:v>
      </x:c>
      <x:c r="H242" t="n">
        <x:f>ROUND(F242*G242/100,2)</x:f>
        <x:v>225.75</x:v>
      </x:c>
      <x:c r="I242" t="n">
        <x:v>19</x:v>
      </x:c>
      <x:c r="J242" t="n">
        <x:f>ROUND(F242*I242/100,2)</x:f>
        <x:v>40.85</x:v>
      </x:c>
      <x:c r="K242" t="n">
        <x:v>0</x:v>
      </x:c>
      <x:c r="L242" t="n">
        <x:f>ROUND(F242*K242/100,2)</x:f>
        <x:v>0</x:v>
      </x:c>
      <x:c r="M242" t="n">
        <x:v>3</x:v>
      </x:c>
      <x:c r="N242" t="n">
        <x:f>ROUND(F242*M242/100,2)</x:f>
        <x:v>6.45</x:v>
      </x:c>
      <x:c r="O242" t="str">
        <x:v>净鱼肉生重</x:v>
      </x:c>
    </x:row>
    <x:row r="243" ht="23" customHeight="1">
      <x:c r="A243" t="n">
        <x:v>41</x:v>
      </x:c>
      <x:c r="B243" t="n">
        <x:v>21</x:v>
      </x:c>
      <x:c r="C243" t="str">
        <x:v>午餐</x:v>
      </x:c>
      <x:c r="D243" t="str"/>
      <x:c r="E243" t="str"/>
      <x:c r="F243" t="n">
        <x:v>0</x:v>
      </x:c>
      <x:c r="G243" t="n">
        <x:v>0</x:v>
      </x:c>
      <x:c r="H243" t="n">
        <x:f>ROUND(F243*G243/100,2)</x:f>
        <x:v>0</x:v>
      </x:c>
      <x:c r="I243" t="n">
        <x:v>0</x:v>
      </x:c>
      <x:c r="J243" t="n">
        <x:f>ROUND(F243*I243/100,2)</x:f>
        <x:v>0</x:v>
      </x:c>
      <x:c r="K243" t="n">
        <x:v>0</x:v>
      </x:c>
      <x:c r="L243" t="n">
        <x:f>ROUND(F243*K243/100,2)</x:f>
        <x:v>0</x:v>
      </x:c>
      <x:c r="M243" t="n">
        <x:v>0</x:v>
      </x:c>
      <x:c r="N243" t="n">
        <x:f>ROUND(F243*M243/100,2)</x:f>
        <x:v>0</x:v>
      </x:c>
      <x:c r="O243" t="str"/>
    </x:row>
    <x:row r="244" ht="23" customHeight="1">
      <x:c r="A244" t="n">
        <x:v>41</x:v>
      </x:c>
      <x:c r="B244" t="n">
        <x:v>21</x:v>
      </x:c>
      <x:c r="C244" t="str">
        <x:v>午餐</x:v>
      </x:c>
      <x:c r="D244" t="str">
        <x:v>蔬菜</x:v>
      </x:c>
      <x:c r="E244" t="str">
        <x:v>西兰花</x:v>
      </x:c>
      <x:c r="F244" t="n">
        <x:v>190</x:v>
      </x:c>
      <x:c r="G244" t="n">
        <x:v>34</x:v>
      </x:c>
      <x:c r="H244" t="n">
        <x:f>ROUND(F244*G244/100,2)</x:f>
        <x:v>64.6</x:v>
      </x:c>
      <x:c r="I244" t="n">
        <x:v>2.8</x:v>
      </x:c>
      <x:c r="J244" t="n">
        <x:f>ROUND(F244*I244/100,2)</x:f>
        <x:v>5.32</x:v>
      </x:c>
      <x:c r="K244" t="n">
        <x:v>7</x:v>
      </x:c>
      <x:c r="L244" t="n">
        <x:f>ROUND(F244*K244/100,2)</x:f>
        <x:v>13.3</x:v>
      </x:c>
      <x:c r="M244" t="n">
        <x:v>0.4</x:v>
      </x:c>
      <x:c r="N244" t="n">
        <x:f>ROUND(F244*M244/100,2)</x:f>
        <x:v>0.76</x:v>
      </x:c>
      <x:c r="O244" t="str">
        <x:v>生重</x:v>
      </x:c>
    </x:row>
    <x:row r="245" ht="23" customHeight="1">
      <x:c r="A245" t="n">
        <x:v>41</x:v>
      </x:c>
      <x:c r="B245" t="n">
        <x:v>21</x:v>
      </x:c>
      <x:c r="C245" t="str">
        <x:v>午餐</x:v>
      </x:c>
      <x:c r="D245" t="str">
        <x:v>蔬菜</x:v>
      </x:c>
      <x:c r="E245" t="str">
        <x:v>荷兰豆</x:v>
      </x:c>
      <x:c r="F245" t="n">
        <x:v>110</x:v>
      </x:c>
      <x:c r="G245" t="n">
        <x:v>42</x:v>
      </x:c>
      <x:c r="H245" t="n">
        <x:f>ROUND(F245*G245/100,2)</x:f>
        <x:v>46.2</x:v>
      </x:c>
      <x:c r="I245" t="n">
        <x:v>2.8</x:v>
      </x:c>
      <x:c r="J245" t="n">
        <x:f>ROUND(F245*I245/100,2)</x:f>
        <x:v>3.08</x:v>
      </x:c>
      <x:c r="K245" t="n">
        <x:v>7.5</x:v>
      </x:c>
      <x:c r="L245" t="n">
        <x:f>ROUND(F245*K245/100,2)</x:f>
        <x:v>8.25</x:v>
      </x:c>
      <x:c r="M245" t="n">
        <x:v>0.3</x:v>
      </x:c>
      <x:c r="N245" t="n">
        <x:f>ROUND(F245*M245/100,2)</x:f>
        <x:v>0.33</x:v>
      </x:c>
      <x:c r="O245" t="str">
        <x:v>生重</x:v>
      </x:c>
    </x:row>
    <x:row r="246" ht="23" customHeight="1">
      <x:c r="A246" t="n">
        <x:v>41</x:v>
      </x:c>
      <x:c r="B246" t="n">
        <x:v>21</x:v>
      </x:c>
      <x:c r="C246" t="str">
        <x:v>午餐</x:v>
      </x:c>
      <x:c r="D246" t="str">
        <x:v>主食</x:v>
      </x:c>
      <x:c r="E246" t="str">
        <x:v>杂粮饭</x:v>
      </x:c>
      <x:c r="F246" t="n">
        <x:v>125</x:v>
      </x:c>
      <x:c r="G246" t="n">
        <x:v>115</x:v>
      </x:c>
      <x:c r="H246" t="n">
        <x:f>ROUND(F246*G246/100,2)</x:f>
        <x:v>143.75</x:v>
      </x:c>
      <x:c r="I246" t="n">
        <x:v>3.1</x:v>
      </x:c>
      <x:c r="J246" t="n">
        <x:f>ROUND(F246*I246/100,2)</x:f>
        <x:v>3.88</x:v>
      </x:c>
      <x:c r="K246" t="n">
        <x:v>23.5</x:v>
      </x:c>
      <x:c r="L246" t="n">
        <x:f>ROUND(F246*K246/100,2)</x:f>
        <x:v>29.38</x:v>
      </x:c>
      <x:c r="M246" t="n">
        <x:v>1.1</x:v>
      </x:c>
      <x:c r="N246" t="n">
        <x:f>ROUND(F246*M246/100,2)</x:f>
        <x:v>1.38</x:v>
      </x:c>
      <x:c r="O246" t="str">
        <x:v>熟重</x:v>
      </x:c>
    </x:row>
    <x:row r="247" ht="23" customHeight="1">
      <x:c r="A247" t="n">
        <x:v>41</x:v>
      </x:c>
      <x:c r="B247" t="n">
        <x:v>21</x:v>
      </x:c>
      <x:c r="C247" t="str">
        <x:v>午餐</x:v>
      </x:c>
      <x:c r="D247" t="str">
        <x:v>油脂</x:v>
      </x:c>
      <x:c r="E247" t="str">
        <x:v>烹调油</x:v>
      </x:c>
      <x:c r="F247" t="n">
        <x:v>6</x:v>
      </x:c>
      <x:c r="G247" t="n">
        <x:v>900</x:v>
      </x:c>
      <x:c r="H247" t="n">
        <x:f>ROUND(F247*G247/100,2)</x:f>
        <x:v>54</x:v>
      </x:c>
      <x:c r="I247" t="n">
        <x:v>0</x:v>
      </x:c>
      <x:c r="J247" t="n">
        <x:f>ROUND(F247*I247/100,2)</x:f>
        <x:v>0</x:v>
      </x:c>
      <x:c r="K247" t="n">
        <x:v>0</x:v>
      </x:c>
      <x:c r="L247" t="n">
        <x:f>ROUND(F247*K247/100,2)</x:f>
        <x:v>0</x:v>
      </x:c>
      <x:c r="M247" t="n">
        <x:v>100</x:v>
      </x:c>
      <x:c r="N247" t="n">
        <x:f>ROUND(F247*M247/100,2)</x:f>
        <x:v>6</x:v>
      </x:c>
      <x:c r="O247" t="str">
        <x:v>实际用油重</x:v>
      </x:c>
    </x:row>
    <x:row r="248" ht="23" customHeight="1">
      <x:c r="A248" t="n">
        <x:v>42</x:v>
      </x:c>
      <x:c r="B248" t="n">
        <x:v>21</x:v>
      </x:c>
      <x:c r="C248" t="str">
        <x:v>晚餐</x:v>
      </x:c>
      <x:c r="D248" t="str">
        <x:v>海鲜</x:v>
      </x:c>
      <x:c r="E248" t="str">
        <x:v>虾仁</x:v>
      </x:c>
      <x:c r="F248" t="n">
        <x:v>190</x:v>
      </x:c>
      <x:c r="G248" t="n">
        <x:v>90</x:v>
      </x:c>
      <x:c r="H248" t="n">
        <x:f>ROUND(F248*G248/100,2)</x:f>
        <x:v>171</x:v>
      </x:c>
      <x:c r="I248" t="n">
        <x:v>19</x:v>
      </x:c>
      <x:c r="J248" t="n">
        <x:f>ROUND(F248*I248/100,2)</x:f>
        <x:v>36.1</x:v>
      </x:c>
      <x:c r="K248" t="n">
        <x:v>0.4</x:v>
      </x:c>
      <x:c r="L248" t="n">
        <x:f>ROUND(F248*K248/100,2)</x:f>
        <x:v>0.76</x:v>
      </x:c>
      <x:c r="M248" t="n">
        <x:v>1.1</x:v>
      </x:c>
      <x:c r="N248" t="n">
        <x:f>ROUND(F248*M248/100,2)</x:f>
        <x:v>2.09</x:v>
      </x:c>
      <x:c r="O248" t="str">
        <x:v>生重</x:v>
      </x:c>
    </x:row>
    <x:row r="249" ht="23" customHeight="1">
      <x:c r="A249" t="n">
        <x:v>42</x:v>
      </x:c>
      <x:c r="B249" t="n">
        <x:v>21</x:v>
      </x:c>
      <x:c r="C249" t="str">
        <x:v>晚餐</x:v>
      </x:c>
      <x:c r="D249" t="str"/>
      <x:c r="E249" t="str"/>
      <x:c r="F249" t="n">
        <x:v>0</x:v>
      </x:c>
      <x:c r="G249" t="n">
        <x:v>0</x:v>
      </x:c>
      <x:c r="H249" t="n">
        <x:f>ROUND(F249*G249/100,2)</x:f>
        <x:v>0</x:v>
      </x:c>
      <x:c r="I249" t="n">
        <x:v>0</x:v>
      </x:c>
      <x:c r="J249" t="n">
        <x:f>ROUND(F249*I249/100,2)</x:f>
        <x:v>0</x:v>
      </x:c>
      <x:c r="K249" t="n">
        <x:v>0</x:v>
      </x:c>
      <x:c r="L249" t="n">
        <x:f>ROUND(F249*K249/100,2)</x:f>
        <x:v>0</x:v>
      </x:c>
      <x:c r="M249" t="n">
        <x:v>0</x:v>
      </x:c>
      <x:c r="N249" t="n">
        <x:f>ROUND(F249*M249/100,2)</x:f>
        <x:v>0</x:v>
      </x:c>
      <x:c r="O249" t="str"/>
    </x:row>
    <x:row r="250" ht="23" customHeight="1">
      <x:c r="A250" t="n">
        <x:v>42</x:v>
      </x:c>
      <x:c r="B250" t="n">
        <x:v>21</x:v>
      </x:c>
      <x:c r="C250" t="str">
        <x:v>晚餐</x:v>
      </x:c>
      <x:c r="D250" t="str">
        <x:v>蔬菜</x:v>
      </x:c>
      <x:c r="E250" t="str">
        <x:v>冬瓜</x:v>
      </x:c>
      <x:c r="F250" t="n">
        <x:v>140</x:v>
      </x:c>
      <x:c r="G250" t="n">
        <x:v>13</x:v>
      </x:c>
      <x:c r="H250" t="n">
        <x:f>ROUND(F250*G250/100,2)</x:f>
        <x:v>18.2</x:v>
      </x:c>
      <x:c r="I250" t="n">
        <x:v>0.4</x:v>
      </x:c>
      <x:c r="J250" t="n">
        <x:f>ROUND(F250*I250/100,2)</x:f>
        <x:v>0.56</x:v>
      </x:c>
      <x:c r="K250" t="n">
        <x:v>3</x:v>
      </x:c>
      <x:c r="L250" t="n">
        <x:f>ROUND(F250*K250/100,2)</x:f>
        <x:v>4.2</x:v>
      </x:c>
      <x:c r="M250" t="n">
        <x:v>0.2</x:v>
      </x:c>
      <x:c r="N250" t="n">
        <x:f>ROUND(F250*M250/100,2)</x:f>
        <x:v>0.28</x:v>
      </x:c>
      <x:c r="O250" t="str">
        <x:v>生重</x:v>
      </x:c>
    </x:row>
    <x:row r="251" ht="23" customHeight="1">
      <x:c r="A251" t="n">
        <x:v>42</x:v>
      </x:c>
      <x:c r="B251" t="n">
        <x:v>21</x:v>
      </x:c>
      <x:c r="C251" t="str">
        <x:v>晚餐</x:v>
      </x:c>
      <x:c r="D251" t="str">
        <x:v>菌菇</x:v>
      </x:c>
      <x:c r="E251" t="str">
        <x:v>泡发木耳</x:v>
      </x:c>
      <x:c r="F251" t="n">
        <x:v>140</x:v>
      </x:c>
      <x:c r="G251" t="n">
        <x:v>25</x:v>
      </x:c>
      <x:c r="H251" t="n">
        <x:f>ROUND(F251*G251/100,2)</x:f>
        <x:v>35</x:v>
      </x:c>
      <x:c r="I251" t="n">
        <x:v>1.5</x:v>
      </x:c>
      <x:c r="J251" t="n">
        <x:f>ROUND(F251*I251/100,2)</x:f>
        <x:v>2.1</x:v>
      </x:c>
      <x:c r="K251" t="n">
        <x:v>6</x:v>
      </x:c>
      <x:c r="L251" t="n">
        <x:f>ROUND(F251*K251/100,2)</x:f>
        <x:v>8.4</x:v>
      </x:c>
      <x:c r="M251" t="n">
        <x:v>0.1</x:v>
      </x:c>
      <x:c r="N251" t="n">
        <x:f>ROUND(F251*M251/100,2)</x:f>
        <x:v>0.14</x:v>
      </x:c>
      <x:c r="O251" t="str">
        <x:v>泡发沥水重</x:v>
      </x:c>
    </x:row>
    <x:row r="252" ht="23" customHeight="1">
      <x:c r="A252" t="n">
        <x:v>42</x:v>
      </x:c>
      <x:c r="B252" t="n">
        <x:v>21</x:v>
      </x:c>
      <x:c r="C252" t="str">
        <x:v>晚餐</x:v>
      </x:c>
      <x:c r="D252" t="str">
        <x:v>主食</x:v>
      </x:c>
      <x:c r="E252" t="str">
        <x:v>杂粮饭</x:v>
      </x:c>
      <x:c r="F252" t="n">
        <x:v>125</x:v>
      </x:c>
      <x:c r="G252" t="n">
        <x:v>115</x:v>
      </x:c>
      <x:c r="H252" t="n">
        <x:f>ROUND(F252*G252/100,2)</x:f>
        <x:v>143.75</x:v>
      </x:c>
      <x:c r="I252" t="n">
        <x:v>3.1</x:v>
      </x:c>
      <x:c r="J252" t="n">
        <x:f>ROUND(F252*I252/100,2)</x:f>
        <x:v>3.88</x:v>
      </x:c>
      <x:c r="K252" t="n">
        <x:v>23.5</x:v>
      </x:c>
      <x:c r="L252" t="n">
        <x:f>ROUND(F252*K252/100,2)</x:f>
        <x:v>29.38</x:v>
      </x:c>
      <x:c r="M252" t="n">
        <x:v>1.1</x:v>
      </x:c>
      <x:c r="N252" t="n">
        <x:f>ROUND(F252*M252/100,2)</x:f>
        <x:v>1.38</x:v>
      </x:c>
      <x:c r="O252" t="str">
        <x:v>熟重</x:v>
      </x:c>
    </x:row>
    <x:row r="253" ht="23" customHeight="1">
      <x:c r="A253" t="n">
        <x:v>42</x:v>
      </x:c>
      <x:c r="B253" t="n">
        <x:v>21</x:v>
      </x:c>
      <x:c r="C253" t="str">
        <x:v>晚餐</x:v>
      </x:c>
      <x:c r="D253" t="str">
        <x:v>油脂</x:v>
      </x:c>
      <x:c r="E253" t="str">
        <x:v>烹调油</x:v>
      </x:c>
      <x:c r="F253" t="n">
        <x:v>3</x:v>
      </x:c>
      <x:c r="G253" t="n">
        <x:v>900</x:v>
      </x:c>
      <x:c r="H253" t="n">
        <x:f>ROUND(F253*G253/100,2)</x:f>
        <x:v>27</x:v>
      </x:c>
      <x:c r="I253" t="n">
        <x:v>0</x:v>
      </x:c>
      <x:c r="J253" t="n">
        <x:f>ROUND(F253*I253/100,2)</x:f>
        <x:v>0</x:v>
      </x:c>
      <x:c r="K253" t="n">
        <x:v>0</x:v>
      </x:c>
      <x:c r="L253" t="n">
        <x:f>ROUND(F253*K253/100,2)</x:f>
        <x:v>0</x:v>
      </x:c>
      <x:c r="M253" t="n">
        <x:v>100</x:v>
      </x:c>
      <x:c r="N253" t="n">
        <x:f>ROUND(F253*M253/100,2)</x:f>
        <x:v>3</x:v>
      </x:c>
      <x:c r="O253" t="str">
        <x:v>实际用油重</x:v>
      </x:c>
    </x:row>
    <x:row r="254" ht="23" customHeight="1">
      <x:c r="A254" t="n">
        <x:v>43</x:v>
      </x:c>
      <x:c r="B254" t="n">
        <x:v>22</x:v>
      </x:c>
      <x:c r="C254" t="str">
        <x:v>午餐</x:v>
      </x:c>
      <x:c r="D254" t="str">
        <x:v>禽肉</x:v>
      </x:c>
      <x:c r="E254" t="str">
        <x:v>鸡胸肉</x:v>
      </x:c>
      <x:c r="F254" t="n">
        <x:v>155</x:v>
      </x:c>
      <x:c r="G254" t="n">
        <x:v>110</x:v>
      </x:c>
      <x:c r="H254" t="n">
        <x:f>ROUND(F254*G254/100,2)</x:f>
        <x:v>170.5</x:v>
      </x:c>
      <x:c r="I254" t="n">
        <x:v>23</x:v>
      </x:c>
      <x:c r="J254" t="n">
        <x:f>ROUND(F254*I254/100,2)</x:f>
        <x:v>35.65</x:v>
      </x:c>
      <x:c r="K254" t="n">
        <x:v>0</x:v>
      </x:c>
      <x:c r="L254" t="n">
        <x:f>ROUND(F254*K254/100,2)</x:f>
        <x:v>0</x:v>
      </x:c>
      <x:c r="M254" t="n">
        <x:v>2</x:v>
      </x:c>
      <x:c r="N254" t="n">
        <x:f>ROUND(F254*M254/100,2)</x:f>
        <x:v>3.1</x:v>
      </x:c>
      <x:c r="O254" t="str">
        <x:v>生重</x:v>
      </x:c>
    </x:row>
    <x:row r="255" ht="23" customHeight="1">
      <x:c r="A255" t="n">
        <x:v>43</x:v>
      </x:c>
      <x:c r="B255" t="n">
        <x:v>22</x:v>
      </x:c>
      <x:c r="C255" t="str">
        <x:v>午餐</x:v>
      </x:c>
      <x:c r="D255" t="str"/>
      <x:c r="E255" t="str"/>
      <x:c r="F255" t="n">
        <x:v>0</x:v>
      </x:c>
      <x:c r="G255" t="n">
        <x:v>0</x:v>
      </x:c>
      <x:c r="H255" t="n">
        <x:f>ROUND(F255*G255/100,2)</x:f>
        <x:v>0</x:v>
      </x:c>
      <x:c r="I255" t="n">
        <x:v>0</x:v>
      </x:c>
      <x:c r="J255" t="n">
        <x:f>ROUND(F255*I255/100,2)</x:f>
        <x:v>0</x:v>
      </x:c>
      <x:c r="K255" t="n">
        <x:v>0</x:v>
      </x:c>
      <x:c r="L255" t="n">
        <x:f>ROUND(F255*K255/100,2)</x:f>
        <x:v>0</x:v>
      </x:c>
      <x:c r="M255" t="n">
        <x:v>0</x:v>
      </x:c>
      <x:c r="N255" t="n">
        <x:f>ROUND(F255*M255/100,2)</x:f>
        <x:v>0</x:v>
      </x:c>
      <x:c r="O255" t="str"/>
    </x:row>
    <x:row r="256" ht="23" customHeight="1">
      <x:c r="A256" t="n">
        <x:v>43</x:v>
      </x:c>
      <x:c r="B256" t="n">
        <x:v>22</x:v>
      </x:c>
      <x:c r="C256" t="str">
        <x:v>午餐</x:v>
      </x:c>
      <x:c r="D256" t="str">
        <x:v>蔬菜</x:v>
      </x:c>
      <x:c r="E256" t="str">
        <x:v>菠菜</x:v>
      </x:c>
      <x:c r="F256" t="n">
        <x:v>160</x:v>
      </x:c>
      <x:c r="G256" t="n">
        <x:v>23</x:v>
      </x:c>
      <x:c r="H256" t="n">
        <x:f>ROUND(F256*G256/100,2)</x:f>
        <x:v>36.8</x:v>
      </x:c>
      <x:c r="I256" t="n">
        <x:v>2.9</x:v>
      </x:c>
      <x:c r="J256" t="n">
        <x:f>ROUND(F256*I256/100,2)</x:f>
        <x:v>4.64</x:v>
      </x:c>
      <x:c r="K256" t="n">
        <x:v>3.6</x:v>
      </x:c>
      <x:c r="L256" t="n">
        <x:f>ROUND(F256*K256/100,2)</x:f>
        <x:v>5.76</x:v>
      </x:c>
      <x:c r="M256" t="n">
        <x:v>0.4</x:v>
      </x:c>
      <x:c r="N256" t="n">
        <x:f>ROUND(F256*M256/100,2)</x:f>
        <x:v>0.64</x:v>
      </x:c>
      <x:c r="O256" t="str">
        <x:v>生重</x:v>
      </x:c>
    </x:row>
    <x:row r="257" ht="23" customHeight="1">
      <x:c r="A257" t="n">
        <x:v>43</x:v>
      </x:c>
      <x:c r="B257" t="n">
        <x:v>22</x:v>
      </x:c>
      <x:c r="C257" t="str">
        <x:v>午餐</x:v>
      </x:c>
      <x:c r="D257" t="str">
        <x:v>蔬菜</x:v>
      </x:c>
      <x:c r="E257" t="str">
        <x:v>海带</x:v>
      </x:c>
      <x:c r="F257" t="n">
        <x:v>110</x:v>
      </x:c>
      <x:c r="G257" t="n">
        <x:v>25</x:v>
      </x:c>
      <x:c r="H257" t="n">
        <x:f>ROUND(F257*G257/100,2)</x:f>
        <x:v>27.5</x:v>
      </x:c>
      <x:c r="I257" t="n">
        <x:v>1</x:v>
      </x:c>
      <x:c r="J257" t="n">
        <x:f>ROUND(F257*I257/100,2)</x:f>
        <x:v>1.1</x:v>
      </x:c>
      <x:c r="K257" t="n">
        <x:v>5</x:v>
      </x:c>
      <x:c r="L257" t="n">
        <x:f>ROUND(F257*K257/100,2)</x:f>
        <x:v>5.5</x:v>
      </x:c>
      <x:c r="M257" t="n">
        <x:v>0.1</x:v>
      </x:c>
      <x:c r="N257" t="n">
        <x:f>ROUND(F257*M257/100,2)</x:f>
        <x:v>0.11</x:v>
      </x:c>
      <x:c r="O257" t="str">
        <x:v>泡发沥水重</x:v>
      </x:c>
    </x:row>
    <x:row r="258" ht="23" customHeight="1">
      <x:c r="A258" t="n">
        <x:v>43</x:v>
      </x:c>
      <x:c r="B258" t="n">
        <x:v>22</x:v>
      </x:c>
      <x:c r="C258" t="str">
        <x:v>午餐</x:v>
      </x:c>
      <x:c r="D258" t="str">
        <x:v>主食</x:v>
      </x:c>
      <x:c r="E258" t="str">
        <x:v>土豆</x:v>
      </x:c>
      <x:c r="F258" t="n">
        <x:v>125</x:v>
      </x:c>
      <x:c r="G258" t="n">
        <x:v>78</x:v>
      </x:c>
      <x:c r="H258" t="n">
        <x:f>ROUND(F258*G258/100,2)</x:f>
        <x:v>97.5</x:v>
      </x:c>
      <x:c r="I258" t="n">
        <x:v>2</x:v>
      </x:c>
      <x:c r="J258" t="n">
        <x:f>ROUND(F258*I258/100,2)</x:f>
        <x:v>2.5</x:v>
      </x:c>
      <x:c r="K258" t="n">
        <x:v>17.2</x:v>
      </x:c>
      <x:c r="L258" t="n">
        <x:f>ROUND(F258*K258/100,2)</x:f>
        <x:v>21.5</x:v>
      </x:c>
      <x:c r="M258" t="n">
        <x:v>0.1</x:v>
      </x:c>
      <x:c r="N258" t="n">
        <x:f>ROUND(F258*M258/100,2)</x:f>
        <x:v>0.13</x:v>
      </x:c>
      <x:c r="O258" t="str">
        <x:v>蒸熟净重</x:v>
      </x:c>
    </x:row>
    <x:row r="259" ht="23" customHeight="1">
      <x:c r="A259" t="n">
        <x:v>43</x:v>
      </x:c>
      <x:c r="B259" t="n">
        <x:v>22</x:v>
      </x:c>
      <x:c r="C259" t="str">
        <x:v>午餐</x:v>
      </x:c>
      <x:c r="D259" t="str">
        <x:v>油脂</x:v>
      </x:c>
      <x:c r="E259" t="str">
        <x:v>烹调油</x:v>
      </x:c>
      <x:c r="F259" t="n">
        <x:v>3</x:v>
      </x:c>
      <x:c r="G259" t="n">
        <x:v>900</x:v>
      </x:c>
      <x:c r="H259" t="n">
        <x:f>ROUND(F259*G259/100,2)</x:f>
        <x:v>27</x:v>
      </x:c>
      <x:c r="I259" t="n">
        <x:v>0</x:v>
      </x:c>
      <x:c r="J259" t="n">
        <x:f>ROUND(F259*I259/100,2)</x:f>
        <x:v>0</x:v>
      </x:c>
      <x:c r="K259" t="n">
        <x:v>0</x:v>
      </x:c>
      <x:c r="L259" t="n">
        <x:f>ROUND(F259*K259/100,2)</x:f>
        <x:v>0</x:v>
      </x:c>
      <x:c r="M259" t="n">
        <x:v>100</x:v>
      </x:c>
      <x:c r="N259" t="n">
        <x:f>ROUND(F259*M259/100,2)</x:f>
        <x:v>3</x:v>
      </x:c>
      <x:c r="O259" t="str">
        <x:v>实际用油重</x:v>
      </x:c>
    </x:row>
    <x:row r="260" ht="23" customHeight="1">
      <x:c r="A260" t="n">
        <x:v>44</x:v>
      </x:c>
      <x:c r="B260" t="n">
        <x:v>22</x:v>
      </x:c>
      <x:c r="C260" t="str">
        <x:v>晚餐</x:v>
      </x:c>
      <x:c r="D260" t="str">
        <x:v>鱼类</x:v>
      </x:c>
      <x:c r="E260" t="str">
        <x:v>三文鱼</x:v>
      </x:c>
      <x:c r="F260" t="n">
        <x:v>135</x:v>
      </x:c>
      <x:c r="G260" t="n">
        <x:v>205</x:v>
      </x:c>
      <x:c r="H260" t="n">
        <x:f>ROUND(F260*G260/100,2)</x:f>
        <x:v>276.75</x:v>
      </x:c>
      <x:c r="I260" t="n">
        <x:v>20</x:v>
      </x:c>
      <x:c r="J260" t="n">
        <x:f>ROUND(F260*I260/100,2)</x:f>
        <x:v>27</x:v>
      </x:c>
      <x:c r="K260" t="n">
        <x:v>0</x:v>
      </x:c>
      <x:c r="L260" t="n">
        <x:f>ROUND(F260*K260/100,2)</x:f>
        <x:v>0</x:v>
      </x:c>
      <x:c r="M260" t="n">
        <x:v>13</x:v>
      </x:c>
      <x:c r="N260" t="n">
        <x:f>ROUND(F260*M260/100,2)</x:f>
        <x:v>17.55</x:v>
      </x:c>
      <x:c r="O260" t="str">
        <x:v>净鱼肉生重</x:v>
      </x:c>
    </x:row>
    <x:row r="261" ht="23" customHeight="1">
      <x:c r="A261" t="n">
        <x:v>44</x:v>
      </x:c>
      <x:c r="B261" t="n">
        <x:v>22</x:v>
      </x:c>
      <x:c r="C261" t="str">
        <x:v>晚餐</x:v>
      </x:c>
      <x:c r="D261" t="str"/>
      <x:c r="E261" t="str"/>
      <x:c r="F261" t="n">
        <x:v>0</x:v>
      </x:c>
      <x:c r="G261" t="n">
        <x:v>0</x:v>
      </x:c>
      <x:c r="H261" t="n">
        <x:f>ROUND(F261*G261/100,2)</x:f>
        <x:v>0</x:v>
      </x:c>
      <x:c r="I261" t="n">
        <x:v>0</x:v>
      </x:c>
      <x:c r="J261" t="n">
        <x:f>ROUND(F261*I261/100,2)</x:f>
        <x:v>0</x:v>
      </x:c>
      <x:c r="K261" t="n">
        <x:v>0</x:v>
      </x:c>
      <x:c r="L261" t="n">
        <x:f>ROUND(F261*K261/100,2)</x:f>
        <x:v>0</x:v>
      </x:c>
      <x:c r="M261" t="n">
        <x:v>0</x:v>
      </x:c>
      <x:c r="N261" t="n">
        <x:f>ROUND(F261*M261/100,2)</x:f>
        <x:v>0</x:v>
      </x:c>
      <x:c r="O261" t="str"/>
    </x:row>
    <x:row r="262" ht="23" customHeight="1">
      <x:c r="A262" t="n">
        <x:v>44</x:v>
      </x:c>
      <x:c r="B262" t="n">
        <x:v>22</x:v>
      </x:c>
      <x:c r="C262" t="str">
        <x:v>晚餐</x:v>
      </x:c>
      <x:c r="D262" t="str">
        <x:v>蔬菜</x:v>
      </x:c>
      <x:c r="E262" t="str">
        <x:v>小白菜</x:v>
      </x:c>
      <x:c r="F262" t="n">
        <x:v>140</x:v>
      </x:c>
      <x:c r="G262" t="n">
        <x:v>17</x:v>
      </x:c>
      <x:c r="H262" t="n">
        <x:f>ROUND(F262*G262/100,2)</x:f>
        <x:v>23.8</x:v>
      </x:c>
      <x:c r="I262" t="n">
        <x:v>1.6</x:v>
      </x:c>
      <x:c r="J262" t="n">
        <x:f>ROUND(F262*I262/100,2)</x:f>
        <x:v>2.24</x:v>
      </x:c>
      <x:c r="K262" t="n">
        <x:v>2.8</x:v>
      </x:c>
      <x:c r="L262" t="n">
        <x:f>ROUND(F262*K262/100,2)</x:f>
        <x:v>3.92</x:v>
      </x:c>
      <x:c r="M262" t="n">
        <x:v>0.2</x:v>
      </x:c>
      <x:c r="N262" t="n">
        <x:f>ROUND(F262*M262/100,2)</x:f>
        <x:v>0.28</x:v>
      </x:c>
      <x:c r="O262" t="str">
        <x:v>生重</x:v>
      </x:c>
    </x:row>
    <x:row r="263" ht="23" customHeight="1">
      <x:c r="A263" t="n">
        <x:v>44</x:v>
      </x:c>
      <x:c r="B263" t="n">
        <x:v>22</x:v>
      </x:c>
      <x:c r="C263" t="str">
        <x:v>晚餐</x:v>
      </x:c>
      <x:c r="D263" t="str">
        <x:v>蔬菜</x:v>
      </x:c>
      <x:c r="E263" t="str">
        <x:v>荷兰豆</x:v>
      </x:c>
      <x:c r="F263" t="n">
        <x:v>155</x:v>
      </x:c>
      <x:c r="G263" t="n">
        <x:v>42</x:v>
      </x:c>
      <x:c r="H263" t="n">
        <x:f>ROUND(F263*G263/100,2)</x:f>
        <x:v>65.1</x:v>
      </x:c>
      <x:c r="I263" t="n">
        <x:v>2.8</x:v>
      </x:c>
      <x:c r="J263" t="n">
        <x:f>ROUND(F263*I263/100,2)</x:f>
        <x:v>4.34</x:v>
      </x:c>
      <x:c r="K263" t="n">
        <x:v>7.5</x:v>
      </x:c>
      <x:c r="L263" t="n">
        <x:f>ROUND(F263*K263/100,2)</x:f>
        <x:v>11.63</x:v>
      </x:c>
      <x:c r="M263" t="n">
        <x:v>0.3</x:v>
      </x:c>
      <x:c r="N263" t="n">
        <x:f>ROUND(F263*M263/100,2)</x:f>
        <x:v>0.47</x:v>
      </x:c>
      <x:c r="O263" t="str">
        <x:v>生重</x:v>
      </x:c>
    </x:row>
    <x:row r="264" ht="23" customHeight="1">
      <x:c r="A264" t="n">
        <x:v>44</x:v>
      </x:c>
      <x:c r="B264" t="n">
        <x:v>22</x:v>
      </x:c>
      <x:c r="C264" t="str">
        <x:v>晚餐</x:v>
      </x:c>
      <x:c r="D264" t="str">
        <x:v>主食</x:v>
      </x:c>
      <x:c r="E264" t="str">
        <x:v>红薯</x:v>
      </x:c>
      <x:c r="F264" t="n">
        <x:v>95</x:v>
      </x:c>
      <x:c r="G264" t="n">
        <x:v>88</x:v>
      </x:c>
      <x:c r="H264" t="n">
        <x:f>ROUND(F264*G264/100,2)</x:f>
        <x:v>83.6</x:v>
      </x:c>
      <x:c r="I264" t="n">
        <x:v>1.6</x:v>
      </x:c>
      <x:c r="J264" t="n">
        <x:f>ROUND(F264*I264/100,2)</x:f>
        <x:v>1.52</x:v>
      </x:c>
      <x:c r="K264" t="n">
        <x:v>20.5</x:v>
      </x:c>
      <x:c r="L264" t="n">
        <x:f>ROUND(F264*K264/100,2)</x:f>
        <x:v>19.48</x:v>
      </x:c>
      <x:c r="M264" t="n">
        <x:v>0.1</x:v>
      </x:c>
      <x:c r="N264" t="n">
        <x:f>ROUND(F264*M264/100,2)</x:f>
        <x:v>0.1</x:v>
      </x:c>
      <x:c r="O264" t="str">
        <x:v>蒸熟净重</x:v>
      </x:c>
    </x:row>
    <x:row r="265" ht="23" customHeight="1">
      <x:c r="A265" t="n">
        <x:v>44</x:v>
      </x:c>
      <x:c r="B265" t="n">
        <x:v>22</x:v>
      </x:c>
      <x:c r="C265" t="str">
        <x:v>晚餐</x:v>
      </x:c>
      <x:c r="D265" t="str">
        <x:v>油脂</x:v>
      </x:c>
      <x:c r="E265" t="str">
        <x:v>烹调油</x:v>
      </x:c>
      <x:c r="F265" t="n">
        <x:v>3</x:v>
      </x:c>
      <x:c r="G265" t="n">
        <x:v>900</x:v>
      </x:c>
      <x:c r="H265" t="n">
        <x:f>ROUND(F265*G265/100,2)</x:f>
        <x:v>27</x:v>
      </x:c>
      <x:c r="I265" t="n">
        <x:v>0</x:v>
      </x:c>
      <x:c r="J265" t="n">
        <x:f>ROUND(F265*I265/100,2)</x:f>
        <x:v>0</x:v>
      </x:c>
      <x:c r="K265" t="n">
        <x:v>0</x:v>
      </x:c>
      <x:c r="L265" t="n">
        <x:f>ROUND(F265*K265/100,2)</x:f>
        <x:v>0</x:v>
      </x:c>
      <x:c r="M265" t="n">
        <x:v>100</x:v>
      </x:c>
      <x:c r="N265" t="n">
        <x:f>ROUND(F265*M265/100,2)</x:f>
        <x:v>3</x:v>
      </x:c>
      <x:c r="O265" t="str">
        <x:v>实际用油重</x:v>
      </x:c>
    </x:row>
    <x:row r="266" ht="23" customHeight="1">
      <x:c r="A266" t="n">
        <x:v>45</x:v>
      </x:c>
      <x:c r="B266" t="n">
        <x:v>23</x:v>
      </x:c>
      <x:c r="C266" t="str">
        <x:v>午餐</x:v>
      </x:c>
      <x:c r="D266" t="str">
        <x:v>海鲜</x:v>
      </x:c>
      <x:c r="E266" t="str">
        <x:v>花蛤肉</x:v>
      </x:c>
      <x:c r="F266" t="n">
        <x:v>190</x:v>
      </x:c>
      <x:c r="G266" t="n">
        <x:v>75</x:v>
      </x:c>
      <x:c r="H266" t="n">
        <x:f>ROUND(F266*G266/100,2)</x:f>
        <x:v>142.5</x:v>
      </x:c>
      <x:c r="I266" t="n">
        <x:v>13</x:v>
      </x:c>
      <x:c r="J266" t="n">
        <x:f>ROUND(F266*I266/100,2)</x:f>
        <x:v>24.7</x:v>
      </x:c>
      <x:c r="K266" t="n">
        <x:v>3.5</x:v>
      </x:c>
      <x:c r="L266" t="n">
        <x:f>ROUND(F266*K266/100,2)</x:f>
        <x:v>6.65</x:v>
      </x:c>
      <x:c r="M266" t="n">
        <x:v>1</x:v>
      </x:c>
      <x:c r="N266" t="n">
        <x:f>ROUND(F266*M266/100,2)</x:f>
        <x:v>1.9</x:v>
      </x:c>
      <x:c r="O266" t="str">
        <x:v>净肉生重</x:v>
      </x:c>
    </x:row>
    <x:row r="267" ht="23" customHeight="1">
      <x:c r="A267" t="n">
        <x:v>45</x:v>
      </x:c>
      <x:c r="B267" t="n">
        <x:v>23</x:v>
      </x:c>
      <x:c r="C267" t="str">
        <x:v>午餐</x:v>
      </x:c>
      <x:c r="D267" t="str">
        <x:v>豆蛋</x:v>
      </x:c>
      <x:c r="E267" t="str">
        <x:v>嫩豆腐</x:v>
      </x:c>
      <x:c r="F267" t="n">
        <x:v>110</x:v>
      </x:c>
      <x:c r="G267" t="n">
        <x:v>55</x:v>
      </x:c>
      <x:c r="H267" t="n">
        <x:f>ROUND(F267*G267/100,2)</x:f>
        <x:v>60.5</x:v>
      </x:c>
      <x:c r="I267" t="n">
        <x:v>5</x:v>
      </x:c>
      <x:c r="J267" t="n">
        <x:f>ROUND(F267*I267/100,2)</x:f>
        <x:v>5.5</x:v>
      </x:c>
      <x:c r="K267" t="n">
        <x:v>2</x:v>
      </x:c>
      <x:c r="L267" t="n">
        <x:f>ROUND(F267*K267/100,2)</x:f>
        <x:v>2.2</x:v>
      </x:c>
      <x:c r="M267" t="n">
        <x:v>2.8</x:v>
      </x:c>
      <x:c r="N267" t="n">
        <x:f>ROUND(F267*M267/100,2)</x:f>
        <x:v>3.08</x:v>
      </x:c>
      <x:c r="O267" t="str">
        <x:v>净重</x:v>
      </x:c>
    </x:row>
    <x:row r="268" ht="23" customHeight="1">
      <x:c r="A268" t="n">
        <x:v>45</x:v>
      </x:c>
      <x:c r="B268" t="n">
        <x:v>23</x:v>
      </x:c>
      <x:c r="C268" t="str">
        <x:v>午餐</x:v>
      </x:c>
      <x:c r="D268" t="str">
        <x:v>蔬菜</x:v>
      </x:c>
      <x:c r="E268" t="str">
        <x:v>小白菜</x:v>
      </x:c>
      <x:c r="F268" t="n">
        <x:v>190</x:v>
      </x:c>
      <x:c r="G268" t="n">
        <x:v>17</x:v>
      </x:c>
      <x:c r="H268" t="n">
        <x:f>ROUND(F268*G268/100,2)</x:f>
        <x:v>32.3</x:v>
      </x:c>
      <x:c r="I268" t="n">
        <x:v>1.6</x:v>
      </x:c>
      <x:c r="J268" t="n">
        <x:f>ROUND(F268*I268/100,2)</x:f>
        <x:v>3.04</x:v>
      </x:c>
      <x:c r="K268" t="n">
        <x:v>2.8</x:v>
      </x:c>
      <x:c r="L268" t="n">
        <x:f>ROUND(F268*K268/100,2)</x:f>
        <x:v>5.32</x:v>
      </x:c>
      <x:c r="M268" t="n">
        <x:v>0.2</x:v>
      </x:c>
      <x:c r="N268" t="n">
        <x:f>ROUND(F268*M268/100,2)</x:f>
        <x:v>0.38</x:v>
      </x:c>
      <x:c r="O268" t="str">
        <x:v>生重</x:v>
      </x:c>
    </x:row>
    <x:row r="269" ht="23" customHeight="1">
      <x:c r="A269" t="n">
        <x:v>45</x:v>
      </x:c>
      <x:c r="B269" t="n">
        <x:v>23</x:v>
      </x:c>
      <x:c r="C269" t="str">
        <x:v>午餐</x:v>
      </x:c>
      <x:c r="D269" t="str">
        <x:v>菌菇</x:v>
      </x:c>
      <x:c r="E269" t="str">
        <x:v>金针菇</x:v>
      </x:c>
      <x:c r="F269" t="n">
        <x:v>155</x:v>
      </x:c>
      <x:c r="G269" t="n">
        <x:v>32</x:v>
      </x:c>
      <x:c r="H269" t="n">
        <x:f>ROUND(F269*G269/100,2)</x:f>
        <x:v>49.6</x:v>
      </x:c>
      <x:c r="I269" t="n">
        <x:v>2.4</x:v>
      </x:c>
      <x:c r="J269" t="n">
        <x:f>ROUND(F269*I269/100,2)</x:f>
        <x:v>3.72</x:v>
      </x:c>
      <x:c r="K269" t="n">
        <x:v>6.4</x:v>
      </x:c>
      <x:c r="L269" t="n">
        <x:f>ROUND(F269*K269/100,2)</x:f>
        <x:v>9.92</x:v>
      </x:c>
      <x:c r="M269" t="n">
        <x:v>0.2</x:v>
      </x:c>
      <x:c r="N269" t="n">
        <x:f>ROUND(F269*M269/100,2)</x:f>
        <x:v>0.31</x:v>
      </x:c>
      <x:c r="O269" t="str">
        <x:v>生重</x:v>
      </x:c>
    </x:row>
    <x:row r="270" ht="23" customHeight="1">
      <x:c r="A270" t="n">
        <x:v>45</x:v>
      </x:c>
      <x:c r="B270" t="n">
        <x:v>23</x:v>
      </x:c>
      <x:c r="C270" t="str">
        <x:v>午餐</x:v>
      </x:c>
      <x:c r="D270" t="str">
        <x:v>主食</x:v>
      </x:c>
      <x:c r="E270" t="str">
        <x:v>玉米</x:v>
      </x:c>
      <x:c r="F270" t="n">
        <x:v>135</x:v>
      </x:c>
      <x:c r="G270" t="n">
        <x:v>105</x:v>
      </x:c>
      <x:c r="H270" t="n">
        <x:f>ROUND(F270*G270/100,2)</x:f>
        <x:v>141.75</x:v>
      </x:c>
      <x:c r="I270" t="n">
        <x:v>3.4</x:v>
      </x:c>
      <x:c r="J270" t="n">
        <x:f>ROUND(F270*I270/100,2)</x:f>
        <x:v>4.59</x:v>
      </x:c>
      <x:c r="K270" t="n">
        <x:v>22</x:v>
      </x:c>
      <x:c r="L270" t="n">
        <x:f>ROUND(F270*K270/100,2)</x:f>
        <x:v>29.7</x:v>
      </x:c>
      <x:c r="M270" t="n">
        <x:v>1.5</x:v>
      </x:c>
      <x:c r="N270" t="n">
        <x:f>ROUND(F270*M270/100,2)</x:f>
        <x:v>2.03</x:v>
      </x:c>
      <x:c r="O270" t="str">
        <x:v>蒸熟净重</x:v>
      </x:c>
    </x:row>
    <x:row r="271" ht="23" customHeight="1">
      <x:c r="A271" t="n">
        <x:v>45</x:v>
      </x:c>
      <x:c r="B271" t="n">
        <x:v>23</x:v>
      </x:c>
      <x:c r="C271" t="str">
        <x:v>午餐</x:v>
      </x:c>
      <x:c r="D271" t="str">
        <x:v>油脂</x:v>
      </x:c>
      <x:c r="E271" t="str">
        <x:v>烹调油</x:v>
      </x:c>
      <x:c r="F271" t="n">
        <x:v>6</x:v>
      </x:c>
      <x:c r="G271" t="n">
        <x:v>900</x:v>
      </x:c>
      <x:c r="H271" t="n">
        <x:f>ROUND(F271*G271/100,2)</x:f>
        <x:v>54</x:v>
      </x:c>
      <x:c r="I271" t="n">
        <x:v>0</x:v>
      </x:c>
      <x:c r="J271" t="n">
        <x:f>ROUND(F271*I271/100,2)</x:f>
        <x:v>0</x:v>
      </x:c>
      <x:c r="K271" t="n">
        <x:v>0</x:v>
      </x:c>
      <x:c r="L271" t="n">
        <x:f>ROUND(F271*K271/100,2)</x:f>
        <x:v>0</x:v>
      </x:c>
      <x:c r="M271" t="n">
        <x:v>100</x:v>
      </x:c>
      <x:c r="N271" t="n">
        <x:f>ROUND(F271*M271/100,2)</x:f>
        <x:v>6</x:v>
      </x:c>
      <x:c r="O271" t="str">
        <x:v>实际用油重</x:v>
      </x:c>
    </x:row>
    <x:row r="272" ht="23" customHeight="1">
      <x:c r="A272" t="n">
        <x:v>46</x:v>
      </x:c>
      <x:c r="B272" t="n">
        <x:v>23</x:v>
      </x:c>
      <x:c r="C272" t="str">
        <x:v>晚餐</x:v>
      </x:c>
      <x:c r="D272" t="str">
        <x:v>猪肉</x:v>
      </x:c>
      <x:c r="E272" t="str">
        <x:v>猪瘦肉</x:v>
      </x:c>
      <x:c r="F272" t="n">
        <x:v>170</x:v>
      </x:c>
      <x:c r="G272" t="n">
        <x:v>130</x:v>
      </x:c>
      <x:c r="H272" t="n">
        <x:f>ROUND(F272*G272/100,2)</x:f>
        <x:v>221</x:v>
      </x:c>
      <x:c r="I272" t="n">
        <x:v>20</x:v>
      </x:c>
      <x:c r="J272" t="n">
        <x:f>ROUND(F272*I272/100,2)</x:f>
        <x:v>34</x:v>
      </x:c>
      <x:c r="K272" t="n">
        <x:v>0</x:v>
      </x:c>
      <x:c r="L272" t="n">
        <x:f>ROUND(F272*K272/100,2)</x:f>
        <x:v>0</x:v>
      </x:c>
      <x:c r="M272" t="n">
        <x:v>5.5</x:v>
      </x:c>
      <x:c r="N272" t="n">
        <x:f>ROUND(F272*M272/100,2)</x:f>
        <x:v>9.35</x:v>
      </x:c>
      <x:c r="O272" t="str">
        <x:v>生重</x:v>
      </x:c>
    </x:row>
    <x:row r="273" ht="23" customHeight="1">
      <x:c r="A273" t="n">
        <x:v>46</x:v>
      </x:c>
      <x:c r="B273" t="n">
        <x:v>23</x:v>
      </x:c>
      <x:c r="C273" t="str">
        <x:v>晚餐</x:v>
      </x:c>
      <x:c r="D273" t="str"/>
      <x:c r="E273" t="str"/>
      <x:c r="F273" t="n">
        <x:v>0</x:v>
      </x:c>
      <x:c r="G273" t="n">
        <x:v>0</x:v>
      </x:c>
      <x:c r="H273" t="n">
        <x:f>ROUND(F273*G273/100,2)</x:f>
        <x:v>0</x:v>
      </x:c>
      <x:c r="I273" t="n">
        <x:v>0</x:v>
      </x:c>
      <x:c r="J273" t="n">
        <x:f>ROUND(F273*I273/100,2)</x:f>
        <x:v>0</x:v>
      </x:c>
      <x:c r="K273" t="n">
        <x:v>0</x:v>
      </x:c>
      <x:c r="L273" t="n">
        <x:f>ROUND(F273*K273/100,2)</x:f>
        <x:v>0</x:v>
      </x:c>
      <x:c r="M273" t="n">
        <x:v>0</x:v>
      </x:c>
      <x:c r="N273" t="n">
        <x:f>ROUND(F273*M273/100,2)</x:f>
        <x:v>0</x:v>
      </x:c>
      <x:c r="O273" t="str"/>
    </x:row>
    <x:row r="274" ht="23" customHeight="1">
      <x:c r="A274" t="n">
        <x:v>46</x:v>
      </x:c>
      <x:c r="B274" t="n">
        <x:v>23</x:v>
      </x:c>
      <x:c r="C274" t="str">
        <x:v>晚餐</x:v>
      </x:c>
      <x:c r="D274" t="str">
        <x:v>蔬菜</x:v>
      </x:c>
      <x:c r="E274" t="str">
        <x:v>冬瓜</x:v>
      </x:c>
      <x:c r="F274" t="n">
        <x:v>160</x:v>
      </x:c>
      <x:c r="G274" t="n">
        <x:v>13</x:v>
      </x:c>
      <x:c r="H274" t="n">
        <x:f>ROUND(F274*G274/100,2)</x:f>
        <x:v>20.8</x:v>
      </x:c>
      <x:c r="I274" t="n">
        <x:v>0.4</x:v>
      </x:c>
      <x:c r="J274" t="n">
        <x:f>ROUND(F274*I274/100,2)</x:f>
        <x:v>0.64</x:v>
      </x:c>
      <x:c r="K274" t="n">
        <x:v>3</x:v>
      </x:c>
      <x:c r="L274" t="n">
        <x:f>ROUND(F274*K274/100,2)</x:f>
        <x:v>4.8</x:v>
      </x:c>
      <x:c r="M274" t="n">
        <x:v>0.2</x:v>
      </x:c>
      <x:c r="N274" t="n">
        <x:f>ROUND(F274*M274/100,2)</x:f>
        <x:v>0.32</x:v>
      </x:c>
      <x:c r="O274" t="str">
        <x:v>生重</x:v>
      </x:c>
    </x:row>
    <x:row r="275" ht="23" customHeight="1">
      <x:c r="A275" t="n">
        <x:v>46</x:v>
      </x:c>
      <x:c r="B275" t="n">
        <x:v>23</x:v>
      </x:c>
      <x:c r="C275" t="str">
        <x:v>晚餐</x:v>
      </x:c>
      <x:c r="D275" t="str">
        <x:v>蔬菜</x:v>
      </x:c>
      <x:c r="E275" t="str">
        <x:v>菜心</x:v>
      </x:c>
      <x:c r="F275" t="n">
        <x:v>110</x:v>
      </x:c>
      <x:c r="G275" t="n">
        <x:v>20</x:v>
      </x:c>
      <x:c r="H275" t="n">
        <x:f>ROUND(F275*G275/100,2)</x:f>
        <x:v>22</x:v>
      </x:c>
      <x:c r="I275" t="n">
        <x:v>2</x:v>
      </x:c>
      <x:c r="J275" t="n">
        <x:f>ROUND(F275*I275/100,2)</x:f>
        <x:v>2.2</x:v>
      </x:c>
      <x:c r="K275" t="n">
        <x:v>3.5</x:v>
      </x:c>
      <x:c r="L275" t="n">
        <x:f>ROUND(F275*K275/100,2)</x:f>
        <x:v>3.85</x:v>
      </x:c>
      <x:c r="M275" t="n">
        <x:v>0.3</x:v>
      </x:c>
      <x:c r="N275" t="n">
        <x:f>ROUND(F275*M275/100,2)</x:f>
        <x:v>0.33</x:v>
      </x:c>
      <x:c r="O275" t="str">
        <x:v>生重</x:v>
      </x:c>
    </x:row>
    <x:row r="276" ht="23" customHeight="1">
      <x:c r="A276" t="n">
        <x:v>46</x:v>
      </x:c>
      <x:c r="B276" t="n">
        <x:v>23</x:v>
      </x:c>
      <x:c r="C276" t="str">
        <x:v>晚餐</x:v>
      </x:c>
      <x:c r="D276" t="str">
        <x:v>主食</x:v>
      </x:c>
      <x:c r="E276" t="str">
        <x:v>燕麦饭</x:v>
      </x:c>
      <x:c r="F276" t="n">
        <x:v>80</x:v>
      </x:c>
      <x:c r="G276" t="n">
        <x:v>110</x:v>
      </x:c>
      <x:c r="H276" t="n">
        <x:f>ROUND(F276*G276/100,2)</x:f>
        <x:v>88</x:v>
      </x:c>
      <x:c r="I276" t="n">
        <x:v>3.2</x:v>
      </x:c>
      <x:c r="J276" t="n">
        <x:f>ROUND(F276*I276/100,2)</x:f>
        <x:v>2.56</x:v>
      </x:c>
      <x:c r="K276" t="n">
        <x:v>21</x:v>
      </x:c>
      <x:c r="L276" t="n">
        <x:f>ROUND(F276*K276/100,2)</x:f>
        <x:v>16.8</x:v>
      </x:c>
      <x:c r="M276" t="n">
        <x:v>1.8</x:v>
      </x:c>
      <x:c r="N276" t="n">
        <x:f>ROUND(F276*M276/100,2)</x:f>
        <x:v>1.44</x:v>
      </x:c>
      <x:c r="O276" t="str">
        <x:v>熟重</x:v>
      </x:c>
    </x:row>
    <x:row r="277" ht="23" customHeight="1">
      <x:c r="A277" t="n">
        <x:v>46</x:v>
      </x:c>
      <x:c r="B277" t="n">
        <x:v>23</x:v>
      </x:c>
      <x:c r="C277" t="str">
        <x:v>晚餐</x:v>
      </x:c>
      <x:c r="D277" t="str">
        <x:v>油脂</x:v>
      </x:c>
      <x:c r="E277" t="str">
        <x:v>烹调油</x:v>
      </x:c>
      <x:c r="F277" t="n">
        <x:v>5</x:v>
      </x:c>
      <x:c r="G277" t="n">
        <x:v>900</x:v>
      </x:c>
      <x:c r="H277" t="n">
        <x:f>ROUND(F277*G277/100,2)</x:f>
        <x:v>45</x:v>
      </x:c>
      <x:c r="I277" t="n">
        <x:v>0</x:v>
      </x:c>
      <x:c r="J277" t="n">
        <x:f>ROUND(F277*I277/100,2)</x:f>
        <x:v>0</x:v>
      </x:c>
      <x:c r="K277" t="n">
        <x:v>0</x:v>
      </x:c>
      <x:c r="L277" t="n">
        <x:f>ROUND(F277*K277/100,2)</x:f>
        <x:v>0</x:v>
      </x:c>
      <x:c r="M277" t="n">
        <x:v>100</x:v>
      </x:c>
      <x:c r="N277" t="n">
        <x:f>ROUND(F277*M277/100,2)</x:f>
        <x:v>5</x:v>
      </x:c>
      <x:c r="O277" t="str">
        <x:v>实际用油重</x:v>
      </x:c>
    </x:row>
    <x:row r="278" ht="23" customHeight="1">
      <x:c r="A278" t="n">
        <x:v>47</x:v>
      </x:c>
      <x:c r="B278" t="n">
        <x:v>24</x:v>
      </x:c>
      <x:c r="C278" t="str">
        <x:v>午餐</x:v>
      </x:c>
      <x:c r="D278" t="str">
        <x:v>猪肉</x:v>
      </x:c>
      <x:c r="E278" t="str">
        <x:v>猪里脊</x:v>
      </x:c>
      <x:c r="F278" t="n">
        <x:v>175</x:v>
      </x:c>
      <x:c r="G278" t="n">
        <x:v>120</x:v>
      </x:c>
      <x:c r="H278" t="n">
        <x:f>ROUND(F278*G278/100,2)</x:f>
        <x:v>210</x:v>
      </x:c>
      <x:c r="I278" t="n">
        <x:v>21</x:v>
      </x:c>
      <x:c r="J278" t="n">
        <x:f>ROUND(F278*I278/100,2)</x:f>
        <x:v>36.75</x:v>
      </x:c>
      <x:c r="K278" t="n">
        <x:v>0</x:v>
      </x:c>
      <x:c r="L278" t="n">
        <x:f>ROUND(F278*K278/100,2)</x:f>
        <x:v>0</x:v>
      </x:c>
      <x:c r="M278" t="n">
        <x:v>3.5</x:v>
      </x:c>
      <x:c r="N278" t="n">
        <x:f>ROUND(F278*M278/100,2)</x:f>
        <x:v>6.13</x:v>
      </x:c>
      <x:c r="O278" t="str">
        <x:v>生重</x:v>
      </x:c>
    </x:row>
    <x:row r="279" ht="23" customHeight="1">
      <x:c r="A279" t="n">
        <x:v>47</x:v>
      </x:c>
      <x:c r="B279" t="n">
        <x:v>24</x:v>
      </x:c>
      <x:c r="C279" t="str">
        <x:v>午餐</x:v>
      </x:c>
      <x:c r="D279" t="str"/>
      <x:c r="E279" t="str"/>
      <x:c r="F279" t="n">
        <x:v>0</x:v>
      </x:c>
      <x:c r="G279" t="n">
        <x:v>0</x:v>
      </x:c>
      <x:c r="H279" t="n">
        <x:f>ROUND(F279*G279/100,2)</x:f>
        <x:v>0</x:v>
      </x:c>
      <x:c r="I279" t="n">
        <x:v>0</x:v>
      </x:c>
      <x:c r="J279" t="n">
        <x:f>ROUND(F279*I279/100,2)</x:f>
        <x:v>0</x:v>
      </x:c>
      <x:c r="K279" t="n">
        <x:v>0</x:v>
      </x:c>
      <x:c r="L279" t="n">
        <x:f>ROUND(F279*K279/100,2)</x:f>
        <x:v>0</x:v>
      </x:c>
      <x:c r="M279" t="n">
        <x:v>0</x:v>
      </x:c>
      <x:c r="N279" t="n">
        <x:f>ROUND(F279*M279/100,2)</x:f>
        <x:v>0</x:v>
      </x:c>
      <x:c r="O279" t="str"/>
    </x:row>
    <x:row r="280" ht="23" customHeight="1">
      <x:c r="A280" t="n">
        <x:v>47</x:v>
      </x:c>
      <x:c r="B280" t="n">
        <x:v>24</x:v>
      </x:c>
      <x:c r="C280" t="str">
        <x:v>午餐</x:v>
      </x:c>
      <x:c r="D280" t="str">
        <x:v>蔬菜</x:v>
      </x:c>
      <x:c r="E280" t="str">
        <x:v>苦瓜</x:v>
      </x:c>
      <x:c r="F280" t="n">
        <x:v>175</x:v>
      </x:c>
      <x:c r="G280" t="n">
        <x:v>19</x:v>
      </x:c>
      <x:c r="H280" t="n">
        <x:f>ROUND(F280*G280/100,2)</x:f>
        <x:v>33.25</x:v>
      </x:c>
      <x:c r="I280" t="n">
        <x:v>1</x:v>
      </x:c>
      <x:c r="J280" t="n">
        <x:f>ROUND(F280*I280/100,2)</x:f>
        <x:v>1.75</x:v>
      </x:c>
      <x:c r="K280" t="n">
        <x:v>4.1</x:v>
      </x:c>
      <x:c r="L280" t="n">
        <x:f>ROUND(F280*K280/100,2)</x:f>
        <x:v>7.17</x:v>
      </x:c>
      <x:c r="M280" t="n">
        <x:v>0.2</x:v>
      </x:c>
      <x:c r="N280" t="n">
        <x:f>ROUND(F280*M280/100,2)</x:f>
        <x:v>0.35</x:v>
      </x:c>
      <x:c r="O280" t="str">
        <x:v>生重</x:v>
      </x:c>
    </x:row>
    <x:row r="281" ht="23" customHeight="1">
      <x:c r="A281" t="n">
        <x:v>47</x:v>
      </x:c>
      <x:c r="B281" t="n">
        <x:v>24</x:v>
      </x:c>
      <x:c r="C281" t="str">
        <x:v>午餐</x:v>
      </x:c>
      <x:c r="D281" t="str">
        <x:v>菌菇</x:v>
      </x:c>
      <x:c r="E281" t="str">
        <x:v>杏鲍菇</x:v>
      </x:c>
      <x:c r="F281" t="n">
        <x:v>140</x:v>
      </x:c>
      <x:c r="G281" t="n">
        <x:v>35</x:v>
      </x:c>
      <x:c r="H281" t="n">
        <x:f>ROUND(F281*G281/100,2)</x:f>
        <x:v>49</x:v>
      </x:c>
      <x:c r="I281" t="n">
        <x:v>2</x:v>
      </x:c>
      <x:c r="J281" t="n">
        <x:f>ROUND(F281*I281/100,2)</x:f>
        <x:v>2.8</x:v>
      </x:c>
      <x:c r="K281" t="n">
        <x:v>7.4</x:v>
      </x:c>
      <x:c r="L281" t="n">
        <x:f>ROUND(F281*K281/100,2)</x:f>
        <x:v>10.36</x:v>
      </x:c>
      <x:c r="M281" t="n">
        <x:v>0.3</x:v>
      </x:c>
      <x:c r="N281" t="n">
        <x:f>ROUND(F281*M281/100,2)</x:f>
        <x:v>0.42</x:v>
      </x:c>
      <x:c r="O281" t="str">
        <x:v>生重</x:v>
      </x:c>
    </x:row>
    <x:row r="282" ht="23" customHeight="1">
      <x:c r="A282" t="n">
        <x:v>47</x:v>
      </x:c>
      <x:c r="B282" t="n">
        <x:v>24</x:v>
      </x:c>
      <x:c r="C282" t="str">
        <x:v>午餐</x:v>
      </x:c>
      <x:c r="D282" t="str">
        <x:v>主食</x:v>
      </x:c>
      <x:c r="E282" t="str">
        <x:v>藜麦饭</x:v>
      </x:c>
      <x:c r="F282" t="n">
        <x:v>125</x:v>
      </x:c>
      <x:c r="G282" t="n">
        <x:v>120</x:v>
      </x:c>
      <x:c r="H282" t="n">
        <x:f>ROUND(F282*G282/100,2)</x:f>
        <x:v>150</x:v>
      </x:c>
      <x:c r="I282" t="n">
        <x:v>4.4</x:v>
      </x:c>
      <x:c r="J282" t="n">
        <x:f>ROUND(F282*I282/100,2)</x:f>
        <x:v>5.5</x:v>
      </x:c>
      <x:c r="K282" t="n">
        <x:v>21.3</x:v>
      </x:c>
      <x:c r="L282" t="n">
        <x:f>ROUND(F282*K282/100,2)</x:f>
        <x:v>26.63</x:v>
      </x:c>
      <x:c r="M282" t="n">
        <x:v>1.9</x:v>
      </x:c>
      <x:c r="N282" t="n">
        <x:f>ROUND(F282*M282/100,2)</x:f>
        <x:v>2.38</x:v>
      </x:c>
      <x:c r="O282" t="str">
        <x:v>熟重</x:v>
      </x:c>
    </x:row>
    <x:row r="283" ht="23" customHeight="1">
      <x:c r="A283" t="n">
        <x:v>47</x:v>
      </x:c>
      <x:c r="B283" t="n">
        <x:v>24</x:v>
      </x:c>
      <x:c r="C283" t="str">
        <x:v>午餐</x:v>
      </x:c>
      <x:c r="D283" t="str">
        <x:v>油脂</x:v>
      </x:c>
      <x:c r="E283" t="str">
        <x:v>烹调油</x:v>
      </x:c>
      <x:c r="F283" t="n">
        <x:v>6</x:v>
      </x:c>
      <x:c r="G283" t="n">
        <x:v>900</x:v>
      </x:c>
      <x:c r="H283" t="n">
        <x:f>ROUND(F283*G283/100,2)</x:f>
        <x:v>54</x:v>
      </x:c>
      <x:c r="I283" t="n">
        <x:v>0</x:v>
      </x:c>
      <x:c r="J283" t="n">
        <x:f>ROUND(F283*I283/100,2)</x:f>
        <x:v>0</x:v>
      </x:c>
      <x:c r="K283" t="n">
        <x:v>0</x:v>
      </x:c>
      <x:c r="L283" t="n">
        <x:f>ROUND(F283*K283/100,2)</x:f>
        <x:v>0</x:v>
      </x:c>
      <x:c r="M283" t="n">
        <x:v>100</x:v>
      </x:c>
      <x:c r="N283" t="n">
        <x:f>ROUND(F283*M283/100,2)</x:f>
        <x:v>6</x:v>
      </x:c>
      <x:c r="O283" t="str">
        <x:v>实际用油重</x:v>
      </x:c>
    </x:row>
    <x:row r="284" ht="23" customHeight="1">
      <x:c r="A284" t="n">
        <x:v>48</x:v>
      </x:c>
      <x:c r="B284" t="n">
        <x:v>24</x:v>
      </x:c>
      <x:c r="C284" t="str">
        <x:v>晚餐</x:v>
      </x:c>
      <x:c r="D284" t="str">
        <x:v>鱼类</x:v>
      </x:c>
      <x:c r="E284" t="str">
        <x:v>巴沙鱼</x:v>
      </x:c>
      <x:c r="F284" t="n">
        <x:v>215</x:v>
      </x:c>
      <x:c r="G284" t="n">
        <x:v>90</x:v>
      </x:c>
      <x:c r="H284" t="n">
        <x:f>ROUND(F284*G284/100,2)</x:f>
        <x:v>193.5</x:v>
      </x:c>
      <x:c r="I284" t="n">
        <x:v>17</x:v>
      </x:c>
      <x:c r="J284" t="n">
        <x:f>ROUND(F284*I284/100,2)</x:f>
        <x:v>36.55</x:v>
      </x:c>
      <x:c r="K284" t="n">
        <x:v>0</x:v>
      </x:c>
      <x:c r="L284" t="n">
        <x:f>ROUND(F284*K284/100,2)</x:f>
        <x:v>0</x:v>
      </x:c>
      <x:c r="M284" t="n">
        <x:v>2.3</x:v>
      </x:c>
      <x:c r="N284" t="n">
        <x:f>ROUND(F284*M284/100,2)</x:f>
        <x:v>4.94</x:v>
      </x:c>
      <x:c r="O284" t="str">
        <x:v>净鱼肉生重</x:v>
      </x:c>
    </x:row>
    <x:row r="285" ht="23" customHeight="1">
      <x:c r="A285" t="n">
        <x:v>48</x:v>
      </x:c>
      <x:c r="B285" t="n">
        <x:v>24</x:v>
      </x:c>
      <x:c r="C285" t="str">
        <x:v>晚餐</x:v>
      </x:c>
      <x:c r="D285" t="str"/>
      <x:c r="E285" t="str"/>
      <x:c r="F285" t="n">
        <x:v>0</x:v>
      </x:c>
      <x:c r="G285" t="n">
        <x:v>0</x:v>
      </x:c>
      <x:c r="H285" t="n">
        <x:f>ROUND(F285*G285/100,2)</x:f>
        <x:v>0</x:v>
      </x:c>
      <x:c r="I285" t="n">
        <x:v>0</x:v>
      </x:c>
      <x:c r="J285" t="n">
        <x:f>ROUND(F285*I285/100,2)</x:f>
        <x:v>0</x:v>
      </x:c>
      <x:c r="K285" t="n">
        <x:v>0</x:v>
      </x:c>
      <x:c r="L285" t="n">
        <x:f>ROUND(F285*K285/100,2)</x:f>
        <x:v>0</x:v>
      </x:c>
      <x:c r="M285" t="n">
        <x:v>0</x:v>
      </x:c>
      <x:c r="N285" t="n">
        <x:f>ROUND(F285*M285/100,2)</x:f>
        <x:v>0</x:v>
      </x:c>
      <x:c r="O285" t="str"/>
    </x:row>
    <x:row r="286" ht="23" customHeight="1">
      <x:c r="A286" t="n">
        <x:v>48</x:v>
      </x:c>
      <x:c r="B286" t="n">
        <x:v>24</x:v>
      </x:c>
      <x:c r="C286" t="str">
        <x:v>晚餐</x:v>
      </x:c>
      <x:c r="D286" t="str">
        <x:v>蔬菜</x:v>
      </x:c>
      <x:c r="E286" t="str">
        <x:v>四季豆</x:v>
      </x:c>
      <x:c r="F286" t="n">
        <x:v>190</x:v>
      </x:c>
      <x:c r="G286" t="n">
        <x:v>31</x:v>
      </x:c>
      <x:c r="H286" t="n">
        <x:f>ROUND(F286*G286/100,2)</x:f>
        <x:v>58.9</x:v>
      </x:c>
      <x:c r="I286" t="n">
        <x:v>1.8</x:v>
      </x:c>
      <x:c r="J286" t="n">
        <x:f>ROUND(F286*I286/100,2)</x:f>
        <x:v>3.42</x:v>
      </x:c>
      <x:c r="K286" t="n">
        <x:v>7</x:v>
      </x:c>
      <x:c r="L286" t="n">
        <x:f>ROUND(F286*K286/100,2)</x:f>
        <x:v>13.3</x:v>
      </x:c>
      <x:c r="M286" t="n">
        <x:v>0.1</x:v>
      </x:c>
      <x:c r="N286" t="n">
        <x:f>ROUND(F286*M286/100,2)</x:f>
        <x:v>0.19</x:v>
      </x:c>
      <x:c r="O286" t="str">
        <x:v>生重</x:v>
      </x:c>
    </x:row>
    <x:row r="287" ht="23" customHeight="1">
      <x:c r="A287" t="n">
        <x:v>48</x:v>
      </x:c>
      <x:c r="B287" t="n">
        <x:v>24</x:v>
      </x:c>
      <x:c r="C287" t="str">
        <x:v>晚餐</x:v>
      </x:c>
      <x:c r="D287" t="str">
        <x:v>蔬菜</x:v>
      </x:c>
      <x:c r="E287" t="str">
        <x:v>番茄</x:v>
      </x:c>
      <x:c r="F287" t="n">
        <x:v>110</x:v>
      </x:c>
      <x:c r="G287" t="n">
        <x:v>20</x:v>
      </x:c>
      <x:c r="H287" t="n">
        <x:f>ROUND(F287*G287/100,2)</x:f>
        <x:v>22</x:v>
      </x:c>
      <x:c r="I287" t="n">
        <x:v>0.9</x:v>
      </x:c>
      <x:c r="J287" t="n">
        <x:f>ROUND(F287*I287/100,2)</x:f>
        <x:v>0.99</x:v>
      </x:c>
      <x:c r="K287" t="n">
        <x:v>4</x:v>
      </x:c>
      <x:c r="L287" t="n">
        <x:f>ROUND(F287*K287/100,2)</x:f>
        <x:v>4.4</x:v>
      </x:c>
      <x:c r="M287" t="n">
        <x:v>0.2</x:v>
      </x:c>
      <x:c r="N287" t="n">
        <x:f>ROUND(F287*M287/100,2)</x:f>
        <x:v>0.22</x:v>
      </x:c>
      <x:c r="O287" t="str">
        <x:v>生重</x:v>
      </x:c>
    </x:row>
    <x:row r="288" ht="23" customHeight="1">
      <x:c r="A288" t="n">
        <x:v>48</x:v>
      </x:c>
      <x:c r="B288" t="n">
        <x:v>24</x:v>
      </x:c>
      <x:c r="C288" t="str">
        <x:v>晚餐</x:v>
      </x:c>
      <x:c r="D288" t="str">
        <x:v>主食</x:v>
      </x:c>
      <x:c r="E288" t="str">
        <x:v>燕麦饭</x:v>
      </x:c>
      <x:c r="F288" t="n">
        <x:v>110</x:v>
      </x:c>
      <x:c r="G288" t="n">
        <x:v>110</x:v>
      </x:c>
      <x:c r="H288" t="n">
        <x:f>ROUND(F288*G288/100,2)</x:f>
        <x:v>121</x:v>
      </x:c>
      <x:c r="I288" t="n">
        <x:v>3.2</x:v>
      </x:c>
      <x:c r="J288" t="n">
        <x:f>ROUND(F288*I288/100,2)</x:f>
        <x:v>3.52</x:v>
      </x:c>
      <x:c r="K288" t="n">
        <x:v>21</x:v>
      </x:c>
      <x:c r="L288" t="n">
        <x:f>ROUND(F288*K288/100,2)</x:f>
        <x:v>23.1</x:v>
      </x:c>
      <x:c r="M288" t="n">
        <x:v>1.8</x:v>
      </x:c>
      <x:c r="N288" t="n">
        <x:f>ROUND(F288*M288/100,2)</x:f>
        <x:v>1.98</x:v>
      </x:c>
      <x:c r="O288" t="str">
        <x:v>熟重</x:v>
      </x:c>
    </x:row>
    <x:row r="289" ht="23" customHeight="1">
      <x:c r="A289" t="n">
        <x:v>48</x:v>
      </x:c>
      <x:c r="B289" t="n">
        <x:v>24</x:v>
      </x:c>
      <x:c r="C289" t="str">
        <x:v>晚餐</x:v>
      </x:c>
      <x:c r="D289" t="str">
        <x:v>油脂</x:v>
      </x:c>
      <x:c r="E289" t="str">
        <x:v>烹调油</x:v>
      </x:c>
      <x:c r="F289" t="n">
        <x:v>4</x:v>
      </x:c>
      <x:c r="G289" t="n">
        <x:v>900</x:v>
      </x:c>
      <x:c r="H289" t="n">
        <x:f>ROUND(F289*G289/100,2)</x:f>
        <x:v>36</x:v>
      </x:c>
      <x:c r="I289" t="n">
        <x:v>0</x:v>
      </x:c>
      <x:c r="J289" t="n">
        <x:f>ROUND(F289*I289/100,2)</x:f>
        <x:v>0</x:v>
      </x:c>
      <x:c r="K289" t="n">
        <x:v>0</x:v>
      </x:c>
      <x:c r="L289" t="n">
        <x:f>ROUND(F289*K289/100,2)</x:f>
        <x:v>0</x:v>
      </x:c>
      <x:c r="M289" t="n">
        <x:v>100</x:v>
      </x:c>
      <x:c r="N289" t="n">
        <x:f>ROUND(F289*M289/100,2)</x:f>
        <x:v>4</x:v>
      </x:c>
      <x:c r="O289" t="str">
        <x:v>实际用油重</x:v>
      </x:c>
    </x:row>
    <x:row r="290" ht="23" customHeight="1">
      <x:c r="A290" t="n">
        <x:v>49</x:v>
      </x:c>
      <x:c r="B290" t="n">
        <x:v>25</x:v>
      </x:c>
      <x:c r="C290" t="str">
        <x:v>午餐</x:v>
      </x:c>
      <x:c r="D290" t="str">
        <x:v>禽肉</x:v>
      </x:c>
      <x:c r="E290" t="str">
        <x:v>去皮鸡腿肉</x:v>
      </x:c>
      <x:c r="F290" t="n">
        <x:v>185</x:v>
      </x:c>
      <x:c r="G290" t="n">
        <x:v>125</x:v>
      </x:c>
      <x:c r="H290" t="n">
        <x:f>ROUND(F290*G290/100,2)</x:f>
        <x:v>231.25</x:v>
      </x:c>
      <x:c r="I290" t="n">
        <x:v>20</x:v>
      </x:c>
      <x:c r="J290" t="n">
        <x:f>ROUND(F290*I290/100,2)</x:f>
        <x:v>37</x:v>
      </x:c>
      <x:c r="K290" t="n">
        <x:v>0</x:v>
      </x:c>
      <x:c r="L290" t="n">
        <x:f>ROUND(F290*K290/100,2)</x:f>
        <x:v>0</x:v>
      </x:c>
      <x:c r="M290" t="n">
        <x:v>5</x:v>
      </x:c>
      <x:c r="N290" t="n">
        <x:f>ROUND(F290*M290/100,2)</x:f>
        <x:v>9.25</x:v>
      </x:c>
      <x:c r="O290" t="str">
        <x:v>生重</x:v>
      </x:c>
    </x:row>
    <x:row r="291" ht="23" customHeight="1">
      <x:c r="A291" t="n">
        <x:v>49</x:v>
      </x:c>
      <x:c r="B291" t="n">
        <x:v>25</x:v>
      </x:c>
      <x:c r="C291" t="str">
        <x:v>午餐</x:v>
      </x:c>
      <x:c r="D291" t="str"/>
      <x:c r="E291" t="str"/>
      <x:c r="F291" t="n">
        <x:v>0</x:v>
      </x:c>
      <x:c r="G291" t="n">
        <x:v>0</x:v>
      </x:c>
      <x:c r="H291" t="n">
        <x:f>ROUND(F291*G291/100,2)</x:f>
        <x:v>0</x:v>
      </x:c>
      <x:c r="I291" t="n">
        <x:v>0</x:v>
      </x:c>
      <x:c r="J291" t="n">
        <x:f>ROUND(F291*I291/100,2)</x:f>
        <x:v>0</x:v>
      </x:c>
      <x:c r="K291" t="n">
        <x:v>0</x:v>
      </x:c>
      <x:c r="L291" t="n">
        <x:f>ROUND(F291*K291/100,2)</x:f>
        <x:v>0</x:v>
      </x:c>
      <x:c r="M291" t="n">
        <x:v>0</x:v>
      </x:c>
      <x:c r="N291" t="n">
        <x:f>ROUND(F291*M291/100,2)</x:f>
        <x:v>0</x:v>
      </x:c>
      <x:c r="O291" t="str"/>
    </x:row>
    <x:row r="292" ht="23" customHeight="1">
      <x:c r="A292" t="n">
        <x:v>49</x:v>
      </x:c>
      <x:c r="B292" t="n">
        <x:v>25</x:v>
      </x:c>
      <x:c r="C292" t="str">
        <x:v>午餐</x:v>
      </x:c>
      <x:c r="D292" t="str">
        <x:v>蔬菜</x:v>
      </x:c>
      <x:c r="E292" t="str">
        <x:v>大白菜</x:v>
      </x:c>
      <x:c r="F292" t="n">
        <x:v>160</x:v>
      </x:c>
      <x:c r="G292" t="n">
        <x:v>17</x:v>
      </x:c>
      <x:c r="H292" t="n">
        <x:f>ROUND(F292*G292/100,2)</x:f>
        <x:v>27.2</x:v>
      </x:c>
      <x:c r="I292" t="n">
        <x:v>1.5</x:v>
      </x:c>
      <x:c r="J292" t="n">
        <x:f>ROUND(F292*I292/100,2)</x:f>
        <x:v>2.4</x:v>
      </x:c>
      <x:c r="K292" t="n">
        <x:v>3.2</x:v>
      </x:c>
      <x:c r="L292" t="n">
        <x:f>ROUND(F292*K292/100,2)</x:f>
        <x:v>5.12</x:v>
      </x:c>
      <x:c r="M292" t="n">
        <x:v>0.1</x:v>
      </x:c>
      <x:c r="N292" t="n">
        <x:f>ROUND(F292*M292/100,2)</x:f>
        <x:v>0.16</x:v>
      </x:c>
      <x:c r="O292" t="str">
        <x:v>生重</x:v>
      </x:c>
    </x:row>
    <x:row r="293" ht="23" customHeight="1">
      <x:c r="A293" t="n">
        <x:v>49</x:v>
      </x:c>
      <x:c r="B293" t="n">
        <x:v>25</x:v>
      </x:c>
      <x:c r="C293" t="str">
        <x:v>午餐</x:v>
      </x:c>
      <x:c r="D293" t="str">
        <x:v>菌菇</x:v>
      </x:c>
      <x:c r="E293" t="str">
        <x:v>香菇</x:v>
      </x:c>
      <x:c r="F293" t="n">
        <x:v>140</x:v>
      </x:c>
      <x:c r="G293" t="n">
        <x:v>34</x:v>
      </x:c>
      <x:c r="H293" t="n">
        <x:f>ROUND(F293*G293/100,2)</x:f>
        <x:v>47.6</x:v>
      </x:c>
      <x:c r="I293" t="n">
        <x:v>2.2</x:v>
      </x:c>
      <x:c r="J293" t="n">
        <x:f>ROUND(F293*I293/100,2)</x:f>
        <x:v>3.08</x:v>
      </x:c>
      <x:c r="K293" t="n">
        <x:v>6.8</x:v>
      </x:c>
      <x:c r="L293" t="n">
        <x:f>ROUND(F293*K293/100,2)</x:f>
        <x:v>9.52</x:v>
      </x:c>
      <x:c r="M293" t="n">
        <x:v>0.5</x:v>
      </x:c>
      <x:c r="N293" t="n">
        <x:f>ROUND(F293*M293/100,2)</x:f>
        <x:v>0.7</x:v>
      </x:c>
      <x:c r="O293" t="str">
        <x:v>生重</x:v>
      </x:c>
    </x:row>
    <x:row r="294" ht="23" customHeight="1">
      <x:c r="A294" t="n">
        <x:v>49</x:v>
      </x:c>
      <x:c r="B294" t="n">
        <x:v>25</x:v>
      </x:c>
      <x:c r="C294" t="str">
        <x:v>午餐</x:v>
      </x:c>
      <x:c r="D294" t="str">
        <x:v>主食</x:v>
      </x:c>
      <x:c r="E294" t="str">
        <x:v>山药</x:v>
      </x:c>
      <x:c r="F294" t="n">
        <x:v>165</x:v>
      </x:c>
      <x:c r="G294" t="n">
        <x:v>62</x:v>
      </x:c>
      <x:c r="H294" t="n">
        <x:f>ROUND(F294*G294/100,2)</x:f>
        <x:v>102.3</x:v>
      </x:c>
      <x:c r="I294" t="n">
        <x:v>1.5</x:v>
      </x:c>
      <x:c r="J294" t="n">
        <x:f>ROUND(F294*I294/100,2)</x:f>
        <x:v>2.48</x:v>
      </x:c>
      <x:c r="K294" t="n">
        <x:v>14.1</x:v>
      </x:c>
      <x:c r="L294" t="n">
        <x:f>ROUND(F294*K294/100,2)</x:f>
        <x:v>23.27</x:v>
      </x:c>
      <x:c r="M294" t="n">
        <x:v>0.1</x:v>
      </x:c>
      <x:c r="N294" t="n">
        <x:f>ROUND(F294*M294/100,2)</x:f>
        <x:v>0.17</x:v>
      </x:c>
      <x:c r="O294" t="str">
        <x:v>蒸熟净重</x:v>
      </x:c>
    </x:row>
    <x:row r="295" ht="23" customHeight="1">
      <x:c r="A295" t="n">
        <x:v>49</x:v>
      </x:c>
      <x:c r="B295" t="n">
        <x:v>25</x:v>
      </x:c>
      <x:c r="C295" t="str">
        <x:v>午餐</x:v>
      </x:c>
      <x:c r="D295" t="str">
        <x:v>油脂</x:v>
      </x:c>
      <x:c r="E295" t="str">
        <x:v>烹调油</x:v>
      </x:c>
      <x:c r="F295" t="n">
        <x:v>5</x:v>
      </x:c>
      <x:c r="G295" t="n">
        <x:v>900</x:v>
      </x:c>
      <x:c r="H295" t="n">
        <x:f>ROUND(F295*G295/100,2)</x:f>
        <x:v>45</x:v>
      </x:c>
      <x:c r="I295" t="n">
        <x:v>0</x:v>
      </x:c>
      <x:c r="J295" t="n">
        <x:f>ROUND(F295*I295/100,2)</x:f>
        <x:v>0</x:v>
      </x:c>
      <x:c r="K295" t="n">
        <x:v>0</x:v>
      </x:c>
      <x:c r="L295" t="n">
        <x:f>ROUND(F295*K295/100,2)</x:f>
        <x:v>0</x:v>
      </x:c>
      <x:c r="M295" t="n">
        <x:v>100</x:v>
      </x:c>
      <x:c r="N295" t="n">
        <x:f>ROUND(F295*M295/100,2)</x:f>
        <x:v>5</x:v>
      </x:c>
      <x:c r="O295" t="str">
        <x:v>实际用油重</x:v>
      </x:c>
    </x:row>
    <x:row r="296" ht="23" customHeight="1">
      <x:c r="A296" t="n">
        <x:v>50</x:v>
      </x:c>
      <x:c r="B296" t="n">
        <x:v>25</x:v>
      </x:c>
      <x:c r="C296" t="str">
        <x:v>晚餐</x:v>
      </x:c>
      <x:c r="D296" t="str">
        <x:v>豆蛋</x:v>
      </x:c>
      <x:c r="E296" t="str">
        <x:v>北豆腐</x:v>
      </x:c>
      <x:c r="F296" t="n">
        <x:v>280</x:v>
      </x:c>
      <x:c r="G296" t="n">
        <x:v>90</x:v>
      </x:c>
      <x:c r="H296" t="n">
        <x:f>ROUND(F296*G296/100,2)</x:f>
        <x:v>252</x:v>
      </x:c>
      <x:c r="I296" t="n">
        <x:v>10</x:v>
      </x:c>
      <x:c r="J296" t="n">
        <x:f>ROUND(F296*I296/100,2)</x:f>
        <x:v>28</x:v>
      </x:c>
      <x:c r="K296" t="n">
        <x:v>2</x:v>
      </x:c>
      <x:c r="L296" t="n">
        <x:f>ROUND(F296*K296/100,2)</x:f>
        <x:v>5.6</x:v>
      </x:c>
      <x:c r="M296" t="n">
        <x:v>5</x:v>
      </x:c>
      <x:c r="N296" t="n">
        <x:f>ROUND(F296*M296/100,2)</x:f>
        <x:v>14</x:v>
      </x:c>
      <x:c r="O296" t="str">
        <x:v>净重</x:v>
      </x:c>
    </x:row>
    <x:row r="297" ht="23" customHeight="1">
      <x:c r="A297" t="n">
        <x:v>50</x:v>
      </x:c>
      <x:c r="B297" t="n">
        <x:v>25</x:v>
      </x:c>
      <x:c r="C297" t="str">
        <x:v>晚餐</x:v>
      </x:c>
      <x:c r="D297" t="str">
        <x:v>豆蛋</x:v>
      </x:c>
      <x:c r="E297" t="str">
        <x:v>鸡蛋</x:v>
      </x:c>
      <x:c r="F297" t="n">
        <x:v>50</x:v>
      </x:c>
      <x:c r="G297" t="n">
        <x:v>144</x:v>
      </x:c>
      <x:c r="H297" t="n">
        <x:f>ROUND(F297*G297/100,2)</x:f>
        <x:v>72</x:v>
      </x:c>
      <x:c r="I297" t="n">
        <x:v>13</x:v>
      </x:c>
      <x:c r="J297" t="n">
        <x:f>ROUND(F297*I297/100,2)</x:f>
        <x:v>6.5</x:v>
      </x:c>
      <x:c r="K297" t="n">
        <x:v>1.1</x:v>
      </x:c>
      <x:c r="L297" t="n">
        <x:f>ROUND(F297*K297/100,2)</x:f>
        <x:v>0.55</x:v>
      </x:c>
      <x:c r="M297" t="n">
        <x:v>10</x:v>
      </x:c>
      <x:c r="N297" t="n">
        <x:f>ROUND(F297*M297/100,2)</x:f>
        <x:v>5</x:v>
      </x:c>
      <x:c r="O297" t="str">
        <x:v>去壳可食重</x:v>
      </x:c>
    </x:row>
    <x:row r="298" ht="23" customHeight="1">
      <x:c r="A298" t="n">
        <x:v>50</x:v>
      </x:c>
      <x:c r="B298" t="n">
        <x:v>25</x:v>
      </x:c>
      <x:c r="C298" t="str">
        <x:v>晚餐</x:v>
      </x:c>
      <x:c r="D298" t="str">
        <x:v>蔬菜</x:v>
      </x:c>
      <x:c r="E298" t="str">
        <x:v>竹笋</x:v>
      </x:c>
      <x:c r="F298" t="n">
        <x:v>140</x:v>
      </x:c>
      <x:c r="G298" t="n">
        <x:v>27</x:v>
      </x:c>
      <x:c r="H298" t="n">
        <x:f>ROUND(F298*G298/100,2)</x:f>
        <x:v>37.8</x:v>
      </x:c>
      <x:c r="I298" t="n">
        <x:v>2.6</x:v>
      </x:c>
      <x:c r="J298" t="n">
        <x:f>ROUND(F298*I298/100,2)</x:f>
        <x:v>3.64</x:v>
      </x:c>
      <x:c r="K298" t="n">
        <x:v>5.2</x:v>
      </x:c>
      <x:c r="L298" t="n">
        <x:f>ROUND(F298*K298/100,2)</x:f>
        <x:v>7.28</x:v>
      </x:c>
      <x:c r="M298" t="n">
        <x:v>0.3</x:v>
      </x:c>
      <x:c r="N298" t="n">
        <x:f>ROUND(F298*M298/100,2)</x:f>
        <x:v>0.42</x:v>
      </x:c>
      <x:c r="O298" t="str">
        <x:v>生重</x:v>
      </x:c>
    </x:row>
    <x:row r="299" ht="23" customHeight="1">
      <x:c r="A299" t="n">
        <x:v>50</x:v>
      </x:c>
      <x:c r="B299" t="n">
        <x:v>25</x:v>
      </x:c>
      <x:c r="C299" t="str">
        <x:v>晚餐</x:v>
      </x:c>
      <x:c r="D299" t="str">
        <x:v>蔬菜</x:v>
      </x:c>
      <x:c r="E299" t="str">
        <x:v>花菜</x:v>
      </x:c>
      <x:c r="F299" t="n">
        <x:v>125</x:v>
      </x:c>
      <x:c r="G299" t="n">
        <x:v>25</x:v>
      </x:c>
      <x:c r="H299" t="n">
        <x:f>ROUND(F299*G299/100,2)</x:f>
        <x:v>31.25</x:v>
      </x:c>
      <x:c r="I299" t="n">
        <x:v>2</x:v>
      </x:c>
      <x:c r="J299" t="n">
        <x:f>ROUND(F299*I299/100,2)</x:f>
        <x:v>2.5</x:v>
      </x:c>
      <x:c r="K299" t="n">
        <x:v>5</x:v>
      </x:c>
      <x:c r="L299" t="n">
        <x:f>ROUND(F299*K299/100,2)</x:f>
        <x:v>6.25</x:v>
      </x:c>
      <x:c r="M299" t="n">
        <x:v>0.3</x:v>
      </x:c>
      <x:c r="N299" t="n">
        <x:f>ROUND(F299*M299/100,2)</x:f>
        <x:v>0.38</x:v>
      </x:c>
      <x:c r="O299" t="str">
        <x:v>生重</x:v>
      </x:c>
    </x:row>
    <x:row r="300" ht="23" customHeight="1">
      <x:c r="A300" t="n">
        <x:v>50</x:v>
      </x:c>
      <x:c r="B300" t="n">
        <x:v>25</x:v>
      </x:c>
      <x:c r="C300" t="str">
        <x:v>晚餐</x:v>
      </x:c>
      <x:c r="D300" t="str">
        <x:v>主食</x:v>
      </x:c>
      <x:c r="E300" t="str">
        <x:v>杂粮饭</x:v>
      </x:c>
      <x:c r="F300" t="n">
        <x:v>110</x:v>
      </x:c>
      <x:c r="G300" t="n">
        <x:v>115</x:v>
      </x:c>
      <x:c r="H300" t="n">
        <x:f>ROUND(F300*G300/100,2)</x:f>
        <x:v>126.5</x:v>
      </x:c>
      <x:c r="I300" t="n">
        <x:v>3.1</x:v>
      </x:c>
      <x:c r="J300" t="n">
        <x:f>ROUND(F300*I300/100,2)</x:f>
        <x:v>3.41</x:v>
      </x:c>
      <x:c r="K300" t="n">
        <x:v>23.5</x:v>
      </x:c>
      <x:c r="L300" t="n">
        <x:f>ROUND(F300*K300/100,2)</x:f>
        <x:v>25.85</x:v>
      </x:c>
      <x:c r="M300" t="n">
        <x:v>1.1</x:v>
      </x:c>
      <x:c r="N300" t="n">
        <x:f>ROUND(F300*M300/100,2)</x:f>
        <x:v>1.21</x:v>
      </x:c>
      <x:c r="O300" t="str">
        <x:v>熟重</x:v>
      </x:c>
    </x:row>
    <x:row r="301" ht="23" customHeight="1">
      <x:c r="A301" t="n">
        <x:v>50</x:v>
      </x:c>
      <x:c r="B301" t="n">
        <x:v>25</x:v>
      </x:c>
      <x:c r="C301" t="str">
        <x:v>晚餐</x:v>
      </x:c>
      <x:c r="D301" t="str">
        <x:v>油脂</x:v>
      </x:c>
      <x:c r="E301" t="str">
        <x:v>烹调油</x:v>
      </x:c>
      <x:c r="F301" t="n">
        <x:v>6</x:v>
      </x:c>
      <x:c r="G301" t="n">
        <x:v>900</x:v>
      </x:c>
      <x:c r="H301" t="n">
        <x:f>ROUND(F301*G301/100,2)</x:f>
        <x:v>54</x:v>
      </x:c>
      <x:c r="I301" t="n">
        <x:v>0</x:v>
      </x:c>
      <x:c r="J301" t="n">
        <x:f>ROUND(F301*I301/100,2)</x:f>
        <x:v>0</x:v>
      </x:c>
      <x:c r="K301" t="n">
        <x:v>0</x:v>
      </x:c>
      <x:c r="L301" t="n">
        <x:f>ROUND(F301*K301/100,2)</x:f>
        <x:v>0</x:v>
      </x:c>
      <x:c r="M301" t="n">
        <x:v>100</x:v>
      </x:c>
      <x:c r="N301" t="n">
        <x:f>ROUND(F301*M301/100,2)</x:f>
        <x:v>6</x:v>
      </x:c>
      <x:c r="O301" t="str">
        <x:v>实际用油重</x:v>
      </x:c>
    </x:row>
    <x:row r="302" ht="23" customHeight="1">
      <x:c r="A302" t="n">
        <x:v>51</x:v>
      </x:c>
      <x:c r="B302" t="n">
        <x:v>26</x:v>
      </x:c>
      <x:c r="C302" t="str">
        <x:v>午餐</x:v>
      </x:c>
      <x:c r="D302" t="str">
        <x:v>鱼类</x:v>
      </x:c>
      <x:c r="E302" t="str">
        <x:v>鲈鱼</x:v>
      </x:c>
      <x:c r="F302" t="n">
        <x:v>175</x:v>
      </x:c>
      <x:c r="G302" t="n">
        <x:v>105</x:v>
      </x:c>
      <x:c r="H302" t="n">
        <x:f>ROUND(F302*G302/100,2)</x:f>
        <x:v>183.75</x:v>
      </x:c>
      <x:c r="I302" t="n">
        <x:v>19</x:v>
      </x:c>
      <x:c r="J302" t="n">
        <x:f>ROUND(F302*I302/100,2)</x:f>
        <x:v>33.25</x:v>
      </x:c>
      <x:c r="K302" t="n">
        <x:v>0</x:v>
      </x:c>
      <x:c r="L302" t="n">
        <x:f>ROUND(F302*K302/100,2)</x:f>
        <x:v>0</x:v>
      </x:c>
      <x:c r="M302" t="n">
        <x:v>3</x:v>
      </x:c>
      <x:c r="N302" t="n">
        <x:f>ROUND(F302*M302/100,2)</x:f>
        <x:v>5.25</x:v>
      </x:c>
      <x:c r="O302" t="str">
        <x:v>净鱼肉生重</x:v>
      </x:c>
    </x:row>
    <x:row r="303" ht="23" customHeight="1">
      <x:c r="A303" t="n">
        <x:v>51</x:v>
      </x:c>
      <x:c r="B303" t="n">
        <x:v>26</x:v>
      </x:c>
      <x:c r="C303" t="str">
        <x:v>午餐</x:v>
      </x:c>
      <x:c r="D303" t="str">
        <x:v>豆蛋</x:v>
      </x:c>
      <x:c r="E303" t="str">
        <x:v>熟毛豆仁</x:v>
      </x:c>
      <x:c r="F303" t="n">
        <x:v>50</x:v>
      </x:c>
      <x:c r="G303" t="n">
        <x:v>120</x:v>
      </x:c>
      <x:c r="H303" t="n">
        <x:f>ROUND(F303*G303/100,2)</x:f>
        <x:v>60</x:v>
      </x:c>
      <x:c r="I303" t="n">
        <x:v>12</x:v>
      </x:c>
      <x:c r="J303" t="n">
        <x:f>ROUND(F303*I303/100,2)</x:f>
        <x:v>6</x:v>
      </x:c>
      <x:c r="K303" t="n">
        <x:v>9</x:v>
      </x:c>
      <x:c r="L303" t="n">
        <x:f>ROUND(F303*K303/100,2)</x:f>
        <x:v>4.5</x:v>
      </x:c>
      <x:c r="M303" t="n">
        <x:v>5</x:v>
      </x:c>
      <x:c r="N303" t="n">
        <x:f>ROUND(F303*M303/100,2)</x:f>
        <x:v>2.5</x:v>
      </x:c>
      <x:c r="O303" t="str">
        <x:v>熟重</x:v>
      </x:c>
    </x:row>
    <x:row r="304" ht="23" customHeight="1">
      <x:c r="A304" t="n">
        <x:v>51</x:v>
      </x:c>
      <x:c r="B304" t="n">
        <x:v>26</x:v>
      </x:c>
      <x:c r="C304" t="str">
        <x:v>午餐</x:v>
      </x:c>
      <x:c r="D304" t="str">
        <x:v>蔬菜</x:v>
      </x:c>
      <x:c r="E304" t="str">
        <x:v>丝瓜</x:v>
      </x:c>
      <x:c r="F304" t="n">
        <x:v>160</x:v>
      </x:c>
      <x:c r="G304" t="n">
        <x:v>20</x:v>
      </x:c>
      <x:c r="H304" t="n">
        <x:f>ROUND(F304*G304/100,2)</x:f>
        <x:v>32</x:v>
      </x:c>
      <x:c r="I304" t="n">
        <x:v>1</x:v>
      </x:c>
      <x:c r="J304" t="n">
        <x:f>ROUND(F304*I304/100,2)</x:f>
        <x:v>1.6</x:v>
      </x:c>
      <x:c r="K304" t="n">
        <x:v>4</x:v>
      </x:c>
      <x:c r="L304" t="n">
        <x:f>ROUND(F304*K304/100,2)</x:f>
        <x:v>6.4</x:v>
      </x:c>
      <x:c r="M304" t="n">
        <x:v>0.2</x:v>
      </x:c>
      <x:c r="N304" t="n">
        <x:f>ROUND(F304*M304/100,2)</x:f>
        <x:v>0.32</x:v>
      </x:c>
      <x:c r="O304" t="str">
        <x:v>生重</x:v>
      </x:c>
    </x:row>
    <x:row r="305" ht="23" customHeight="1">
      <x:c r="A305" t="n">
        <x:v>51</x:v>
      </x:c>
      <x:c r="B305" t="n">
        <x:v>26</x:v>
      </x:c>
      <x:c r="C305" t="str">
        <x:v>午餐</x:v>
      </x:c>
      <x:c r="D305" t="str">
        <x:v>蔬菜</x:v>
      </x:c>
      <x:c r="E305" t="str">
        <x:v>白萝卜</x:v>
      </x:c>
      <x:c r="F305" t="n">
        <x:v>110</x:v>
      </x:c>
      <x:c r="G305" t="n">
        <x:v>18</x:v>
      </x:c>
      <x:c r="H305" t="n">
        <x:f>ROUND(F305*G305/100,2)</x:f>
        <x:v>19.8</x:v>
      </x:c>
      <x:c r="I305" t="n">
        <x:v>0.6</x:v>
      </x:c>
      <x:c r="J305" t="n">
        <x:f>ROUND(F305*I305/100,2)</x:f>
        <x:v>0.66</x:v>
      </x:c>
      <x:c r="K305" t="n">
        <x:v>4</x:v>
      </x:c>
      <x:c r="L305" t="n">
        <x:f>ROUND(F305*K305/100,2)</x:f>
        <x:v>4.4</x:v>
      </x:c>
      <x:c r="M305" t="n">
        <x:v>0.1</x:v>
      </x:c>
      <x:c r="N305" t="n">
        <x:f>ROUND(F305*M305/100,2)</x:f>
        <x:v>0.11</x:v>
      </x:c>
      <x:c r="O305" t="str">
        <x:v>生重</x:v>
      </x:c>
    </x:row>
    <x:row r="306" ht="23" customHeight="1">
      <x:c r="A306" t="n">
        <x:v>51</x:v>
      </x:c>
      <x:c r="B306" t="n">
        <x:v>26</x:v>
      </x:c>
      <x:c r="C306" t="str">
        <x:v>午餐</x:v>
      </x:c>
      <x:c r="D306" t="str">
        <x:v>主食</x:v>
      </x:c>
      <x:c r="E306" t="str">
        <x:v>紫薯</x:v>
      </x:c>
      <x:c r="F306" t="n">
        <x:v>135</x:v>
      </x:c>
      <x:c r="G306" t="n">
        <x:v>95</x:v>
      </x:c>
      <x:c r="H306" t="n">
        <x:f>ROUND(F306*G306/100,2)</x:f>
        <x:v>128.25</x:v>
      </x:c>
      <x:c r="I306" t="n">
        <x:v>1.6</x:v>
      </x:c>
      <x:c r="J306" t="n">
        <x:f>ROUND(F306*I306/100,2)</x:f>
        <x:v>2.16</x:v>
      </x:c>
      <x:c r="K306" t="n">
        <x:v>22</x:v>
      </x:c>
      <x:c r="L306" t="n">
        <x:f>ROUND(F306*K306/100,2)</x:f>
        <x:v>29.7</x:v>
      </x:c>
      <x:c r="M306" t="n">
        <x:v>0.1</x:v>
      </x:c>
      <x:c r="N306" t="n">
        <x:f>ROUND(F306*M306/100,2)</x:f>
        <x:v>0.14</x:v>
      </x:c>
      <x:c r="O306" t="str">
        <x:v>蒸熟净重</x:v>
      </x:c>
    </x:row>
    <x:row r="307" ht="23" customHeight="1">
      <x:c r="A307" t="n">
        <x:v>51</x:v>
      </x:c>
      <x:c r="B307" t="n">
        <x:v>26</x:v>
      </x:c>
      <x:c r="C307" t="str">
        <x:v>午餐</x:v>
      </x:c>
      <x:c r="D307" t="str">
        <x:v>油脂</x:v>
      </x:c>
      <x:c r="E307" t="str">
        <x:v>烹调油</x:v>
      </x:c>
      <x:c r="F307" t="n">
        <x:v>3</x:v>
      </x:c>
      <x:c r="G307" t="n">
        <x:v>900</x:v>
      </x:c>
      <x:c r="H307" t="n">
        <x:f>ROUND(F307*G307/100,2)</x:f>
        <x:v>27</x:v>
      </x:c>
      <x:c r="I307" t="n">
        <x:v>0</x:v>
      </x:c>
      <x:c r="J307" t="n">
        <x:f>ROUND(F307*I307/100,2)</x:f>
        <x:v>0</x:v>
      </x:c>
      <x:c r="K307" t="n">
        <x:v>0</x:v>
      </x:c>
      <x:c r="L307" t="n">
        <x:f>ROUND(F307*K307/100,2)</x:f>
        <x:v>0</x:v>
      </x:c>
      <x:c r="M307" t="n">
        <x:v>100</x:v>
      </x:c>
      <x:c r="N307" t="n">
        <x:f>ROUND(F307*M307/100,2)</x:f>
        <x:v>3</x:v>
      </x:c>
      <x:c r="O307" t="str">
        <x:v>实际用油重</x:v>
      </x:c>
    </x:row>
    <x:row r="308" ht="23" customHeight="1">
      <x:c r="A308" t="n">
        <x:v>52</x:v>
      </x:c>
      <x:c r="B308" t="n">
        <x:v>26</x:v>
      </x:c>
      <x:c r="C308" t="str">
        <x:v>晚餐</x:v>
      </x:c>
      <x:c r="D308" t="str">
        <x:v>牛肉</x:v>
      </x:c>
      <x:c r="E308" t="str">
        <x:v>瘦牛肉</x:v>
      </x:c>
      <x:c r="F308" t="n">
        <x:v>145</x:v>
      </x:c>
      <x:c r="G308" t="n">
        <x:v>125</x:v>
      </x:c>
      <x:c r="H308" t="n">
        <x:f>ROUND(F308*G308/100,2)</x:f>
        <x:v>181.25</x:v>
      </x:c>
      <x:c r="I308" t="n">
        <x:v>21</x:v>
      </x:c>
      <x:c r="J308" t="n">
        <x:f>ROUND(F308*I308/100,2)</x:f>
        <x:v>30.45</x:v>
      </x:c>
      <x:c r="K308" t="n">
        <x:v>0</x:v>
      </x:c>
      <x:c r="L308" t="n">
        <x:f>ROUND(F308*K308/100,2)</x:f>
        <x:v>0</x:v>
      </x:c>
      <x:c r="M308" t="n">
        <x:v>4</x:v>
      </x:c>
      <x:c r="N308" t="n">
        <x:f>ROUND(F308*M308/100,2)</x:f>
        <x:v>5.8</x:v>
      </x:c>
      <x:c r="O308" t="str">
        <x:v>生重</x:v>
      </x:c>
    </x:row>
    <x:row r="309" ht="23" customHeight="1">
      <x:c r="A309" t="n">
        <x:v>52</x:v>
      </x:c>
      <x:c r="B309" t="n">
        <x:v>26</x:v>
      </x:c>
      <x:c r="C309" t="str">
        <x:v>晚餐</x:v>
      </x:c>
      <x:c r="D309" t="str"/>
      <x:c r="E309" t="str"/>
      <x:c r="F309" t="n">
        <x:v>0</x:v>
      </x:c>
      <x:c r="G309" t="n">
        <x:v>0</x:v>
      </x:c>
      <x:c r="H309" t="n">
        <x:f>ROUND(F309*G309/100,2)</x:f>
        <x:v>0</x:v>
      </x:c>
      <x:c r="I309" t="n">
        <x:v>0</x:v>
      </x:c>
      <x:c r="J309" t="n">
        <x:f>ROUND(F309*I309/100,2)</x:f>
        <x:v>0</x:v>
      </x:c>
      <x:c r="K309" t="n">
        <x:v>0</x:v>
      </x:c>
      <x:c r="L309" t="n">
        <x:f>ROUND(F309*K309/100,2)</x:f>
        <x:v>0</x:v>
      </x:c>
      <x:c r="M309" t="n">
        <x:v>0</x:v>
      </x:c>
      <x:c r="N309" t="n">
        <x:f>ROUND(F309*M309/100,2)</x:f>
        <x:v>0</x:v>
      </x:c>
      <x:c r="O309" t="str"/>
    </x:row>
    <x:row r="310" ht="23" customHeight="1">
      <x:c r="A310" t="n">
        <x:v>52</x:v>
      </x:c>
      <x:c r="B310" t="n">
        <x:v>26</x:v>
      </x:c>
      <x:c r="C310" t="str">
        <x:v>晚餐</x:v>
      </x:c>
      <x:c r="D310" t="str">
        <x:v>蔬菜</x:v>
      </x:c>
      <x:c r="E310" t="str">
        <x:v>小白菜</x:v>
      </x:c>
      <x:c r="F310" t="n">
        <x:v>175</x:v>
      </x:c>
      <x:c r="G310" t="n">
        <x:v>17</x:v>
      </x:c>
      <x:c r="H310" t="n">
        <x:f>ROUND(F310*G310/100,2)</x:f>
        <x:v>29.75</x:v>
      </x:c>
      <x:c r="I310" t="n">
        <x:v>1.6</x:v>
      </x:c>
      <x:c r="J310" t="n">
        <x:f>ROUND(F310*I310/100,2)</x:f>
        <x:v>2.8</x:v>
      </x:c>
      <x:c r="K310" t="n">
        <x:v>2.8</x:v>
      </x:c>
      <x:c r="L310" t="n">
        <x:f>ROUND(F310*K310/100,2)</x:f>
        <x:v>4.9</x:v>
      </x:c>
      <x:c r="M310" t="n">
        <x:v>0.2</x:v>
      </x:c>
      <x:c r="N310" t="n">
        <x:f>ROUND(F310*M310/100,2)</x:f>
        <x:v>0.35</x:v>
      </x:c>
      <x:c r="O310" t="str">
        <x:v>生重</x:v>
      </x:c>
    </x:row>
    <x:row r="311" ht="23" customHeight="1">
      <x:c r="A311" t="n">
        <x:v>52</x:v>
      </x:c>
      <x:c r="B311" t="n">
        <x:v>26</x:v>
      </x:c>
      <x:c r="C311" t="str">
        <x:v>晚餐</x:v>
      </x:c>
      <x:c r="D311" t="str">
        <x:v>菌菇</x:v>
      </x:c>
      <x:c r="E311" t="str">
        <x:v>香菇</x:v>
      </x:c>
      <x:c r="F311" t="n">
        <x:v>110</x:v>
      </x:c>
      <x:c r="G311" t="n">
        <x:v>34</x:v>
      </x:c>
      <x:c r="H311" t="n">
        <x:f>ROUND(F311*G311/100,2)</x:f>
        <x:v>37.4</x:v>
      </x:c>
      <x:c r="I311" t="n">
        <x:v>2.2</x:v>
      </x:c>
      <x:c r="J311" t="n">
        <x:f>ROUND(F311*I311/100,2)</x:f>
        <x:v>2.42</x:v>
      </x:c>
      <x:c r="K311" t="n">
        <x:v>6.8</x:v>
      </x:c>
      <x:c r="L311" t="n">
        <x:f>ROUND(F311*K311/100,2)</x:f>
        <x:v>7.48</x:v>
      </x:c>
      <x:c r="M311" t="n">
        <x:v>0.5</x:v>
      </x:c>
      <x:c r="N311" t="n">
        <x:f>ROUND(F311*M311/100,2)</x:f>
        <x:v>0.55</x:v>
      </x:c>
      <x:c r="O311" t="str">
        <x:v>生重</x:v>
      </x:c>
    </x:row>
    <x:row r="312" ht="23" customHeight="1">
      <x:c r="A312" t="n">
        <x:v>52</x:v>
      </x:c>
      <x:c r="B312" t="n">
        <x:v>26</x:v>
      </x:c>
      <x:c r="C312" t="str">
        <x:v>晚餐</x:v>
      </x:c>
      <x:c r="D312" t="str">
        <x:v>主食</x:v>
      </x:c>
      <x:c r="E312" t="str">
        <x:v>玉米</x:v>
      </x:c>
      <x:c r="F312" t="n">
        <x:v>135</x:v>
      </x:c>
      <x:c r="G312" t="n">
        <x:v>105</x:v>
      </x:c>
      <x:c r="H312" t="n">
        <x:f>ROUND(F312*G312/100,2)</x:f>
        <x:v>141.75</x:v>
      </x:c>
      <x:c r="I312" t="n">
        <x:v>3.4</x:v>
      </x:c>
      <x:c r="J312" t="n">
        <x:f>ROUND(F312*I312/100,2)</x:f>
        <x:v>4.59</x:v>
      </x:c>
      <x:c r="K312" t="n">
        <x:v>22</x:v>
      </x:c>
      <x:c r="L312" t="n">
        <x:f>ROUND(F312*K312/100,2)</x:f>
        <x:v>29.7</x:v>
      </x:c>
      <x:c r="M312" t="n">
        <x:v>1.5</x:v>
      </x:c>
      <x:c r="N312" t="n">
        <x:f>ROUND(F312*M312/100,2)</x:f>
        <x:v>2.03</x:v>
      </x:c>
      <x:c r="O312" t="str">
        <x:v>蒸熟净重</x:v>
      </x:c>
    </x:row>
    <x:row r="313" ht="23" customHeight="1">
      <x:c r="A313" t="n">
        <x:v>52</x:v>
      </x:c>
      <x:c r="B313" t="n">
        <x:v>26</x:v>
      </x:c>
      <x:c r="C313" t="str">
        <x:v>晚餐</x:v>
      </x:c>
      <x:c r="D313" t="str">
        <x:v>油脂</x:v>
      </x:c>
      <x:c r="E313" t="str">
        <x:v>烹调油</x:v>
      </x:c>
      <x:c r="F313" t="n">
        <x:v>4</x:v>
      </x:c>
      <x:c r="G313" t="n">
        <x:v>900</x:v>
      </x:c>
      <x:c r="H313" t="n">
        <x:f>ROUND(F313*G313/100,2)</x:f>
        <x:v>36</x:v>
      </x:c>
      <x:c r="I313" t="n">
        <x:v>0</x:v>
      </x:c>
      <x:c r="J313" t="n">
        <x:f>ROUND(F313*I313/100,2)</x:f>
        <x:v>0</x:v>
      </x:c>
      <x:c r="K313" t="n">
        <x:v>0</x:v>
      </x:c>
      <x:c r="L313" t="n">
        <x:f>ROUND(F313*K313/100,2)</x:f>
        <x:v>0</x:v>
      </x:c>
      <x:c r="M313" t="n">
        <x:v>100</x:v>
      </x:c>
      <x:c r="N313" t="n">
        <x:f>ROUND(F313*M313/100,2)</x:f>
        <x:v>4</x:v>
      </x:c>
      <x:c r="O313" t="str">
        <x:v>实际用油重</x:v>
      </x:c>
    </x:row>
    <x:row r="314" ht="23" customHeight="1">
      <x:c r="A314" t="n">
        <x:v>53</x:v>
      </x:c>
      <x:c r="B314" t="n">
        <x:v>27</x:v>
      </x:c>
      <x:c r="C314" t="str">
        <x:v>午餐</x:v>
      </x:c>
      <x:c r="D314" t="str">
        <x:v>禽肉</x:v>
      </x:c>
      <x:c r="E314" t="str">
        <x:v>鸡里脊肉</x:v>
      </x:c>
      <x:c r="F314" t="n">
        <x:v>155</x:v>
      </x:c>
      <x:c r="G314" t="n">
        <x:v>110</x:v>
      </x:c>
      <x:c r="H314" t="n">
        <x:f>ROUND(F314*G314/100,2)</x:f>
        <x:v>170.5</x:v>
      </x:c>
      <x:c r="I314" t="n">
        <x:v>23</x:v>
      </x:c>
      <x:c r="J314" t="n">
        <x:f>ROUND(F314*I314/100,2)</x:f>
        <x:v>35.65</x:v>
      </x:c>
      <x:c r="K314" t="n">
        <x:v>0</x:v>
      </x:c>
      <x:c r="L314" t="n">
        <x:f>ROUND(F314*K314/100,2)</x:f>
        <x:v>0</x:v>
      </x:c>
      <x:c r="M314" t="n">
        <x:v>1.8</x:v>
      </x:c>
      <x:c r="N314" t="n">
        <x:f>ROUND(F314*M314/100,2)</x:f>
        <x:v>2.79</x:v>
      </x:c>
      <x:c r="O314" t="str">
        <x:v>生重</x:v>
      </x:c>
    </x:row>
    <x:row r="315" ht="23" customHeight="1">
      <x:c r="A315" t="n">
        <x:v>53</x:v>
      </x:c>
      <x:c r="B315" t="n">
        <x:v>27</x:v>
      </x:c>
      <x:c r="C315" t="str">
        <x:v>午餐</x:v>
      </x:c>
      <x:c r="D315" t="str"/>
      <x:c r="E315" t="str"/>
      <x:c r="F315" t="n">
        <x:v>0</x:v>
      </x:c>
      <x:c r="G315" t="n">
        <x:v>0</x:v>
      </x:c>
      <x:c r="H315" t="n">
        <x:f>ROUND(F315*G315/100,2)</x:f>
        <x:v>0</x:v>
      </x:c>
      <x:c r="I315" t="n">
        <x:v>0</x:v>
      </x:c>
      <x:c r="J315" t="n">
        <x:f>ROUND(F315*I315/100,2)</x:f>
        <x:v>0</x:v>
      </x:c>
      <x:c r="K315" t="n">
        <x:v>0</x:v>
      </x:c>
      <x:c r="L315" t="n">
        <x:f>ROUND(F315*K315/100,2)</x:f>
        <x:v>0</x:v>
      </x:c>
      <x:c r="M315" t="n">
        <x:v>0</x:v>
      </x:c>
      <x:c r="N315" t="n">
        <x:f>ROUND(F315*M315/100,2)</x:f>
        <x:v>0</x:v>
      </x:c>
      <x:c r="O315" t="str"/>
    </x:row>
    <x:row r="316" ht="23" customHeight="1">
      <x:c r="A316" t="n">
        <x:v>53</x:v>
      </x:c>
      <x:c r="B316" t="n">
        <x:v>27</x:v>
      </x:c>
      <x:c r="C316" t="str">
        <x:v>午餐</x:v>
      </x:c>
      <x:c r="D316" t="str">
        <x:v>蔬菜</x:v>
      </x:c>
      <x:c r="E316" t="str">
        <x:v>荷兰豆</x:v>
      </x:c>
      <x:c r="F316" t="n">
        <x:v>175</x:v>
      </x:c>
      <x:c r="G316" t="n">
        <x:v>42</x:v>
      </x:c>
      <x:c r="H316" t="n">
        <x:f>ROUND(F316*G316/100,2)</x:f>
        <x:v>73.5</x:v>
      </x:c>
      <x:c r="I316" t="n">
        <x:v>2.8</x:v>
      </x:c>
      <x:c r="J316" t="n">
        <x:f>ROUND(F316*I316/100,2)</x:f>
        <x:v>4.9</x:v>
      </x:c>
      <x:c r="K316" t="n">
        <x:v>7.5</x:v>
      </x:c>
      <x:c r="L316" t="n">
        <x:f>ROUND(F316*K316/100,2)</x:f>
        <x:v>13.13</x:v>
      </x:c>
      <x:c r="M316" t="n">
        <x:v>0.3</x:v>
      </x:c>
      <x:c r="N316" t="n">
        <x:f>ROUND(F316*M316/100,2)</x:f>
        <x:v>0.53</x:v>
      </x:c>
      <x:c r="O316" t="str">
        <x:v>生重</x:v>
      </x:c>
    </x:row>
    <x:row r="317" ht="23" customHeight="1">
      <x:c r="A317" t="n">
        <x:v>53</x:v>
      </x:c>
      <x:c r="B317" t="n">
        <x:v>27</x:v>
      </x:c>
      <x:c r="C317" t="str">
        <x:v>午餐</x:v>
      </x:c>
      <x:c r="D317" t="str">
        <x:v>蔬菜</x:v>
      </x:c>
      <x:c r="E317" t="str">
        <x:v>紫甘蓝</x:v>
      </x:c>
      <x:c r="F317" t="n">
        <x:v>110</x:v>
      </x:c>
      <x:c r="G317" t="n">
        <x:v>31</x:v>
      </x:c>
      <x:c r="H317" t="n">
        <x:f>ROUND(F317*G317/100,2)</x:f>
        <x:v>34.1</x:v>
      </x:c>
      <x:c r="I317" t="n">
        <x:v>1.4</x:v>
      </x:c>
      <x:c r="J317" t="n">
        <x:f>ROUND(F317*I317/100,2)</x:f>
        <x:v>1.54</x:v>
      </x:c>
      <x:c r="K317" t="n">
        <x:v>7.3</x:v>
      </x:c>
      <x:c r="L317" t="n">
        <x:f>ROUND(F317*K317/100,2)</x:f>
        <x:v>8.03</x:v>
      </x:c>
      <x:c r="M317" t="n">
        <x:v>0.1</x:v>
      </x:c>
      <x:c r="N317" t="n">
        <x:f>ROUND(F317*M317/100,2)</x:f>
        <x:v>0.11</x:v>
      </x:c>
      <x:c r="O317" t="str">
        <x:v>生重</x:v>
      </x:c>
    </x:row>
    <x:row r="318" ht="23" customHeight="1">
      <x:c r="A318" t="n">
        <x:v>53</x:v>
      </x:c>
      <x:c r="B318" t="n">
        <x:v>27</x:v>
      </x:c>
      <x:c r="C318" t="str">
        <x:v>午餐</x:v>
      </x:c>
      <x:c r="D318" t="str">
        <x:v>主食</x:v>
      </x:c>
      <x:c r="E318" t="str">
        <x:v>杂粮饭</x:v>
      </x:c>
      <x:c r="F318" t="n">
        <x:v>110</x:v>
      </x:c>
      <x:c r="G318" t="n">
        <x:v>115</x:v>
      </x:c>
      <x:c r="H318" t="n">
        <x:f>ROUND(F318*G318/100,2)</x:f>
        <x:v>126.5</x:v>
      </x:c>
      <x:c r="I318" t="n">
        <x:v>3.1</x:v>
      </x:c>
      <x:c r="J318" t="n">
        <x:f>ROUND(F318*I318/100,2)</x:f>
        <x:v>3.41</x:v>
      </x:c>
      <x:c r="K318" t="n">
        <x:v>23.5</x:v>
      </x:c>
      <x:c r="L318" t="n">
        <x:f>ROUND(F318*K318/100,2)</x:f>
        <x:v>25.85</x:v>
      </x:c>
      <x:c r="M318" t="n">
        <x:v>1.1</x:v>
      </x:c>
      <x:c r="N318" t="n">
        <x:f>ROUND(F318*M318/100,2)</x:f>
        <x:v>1.21</x:v>
      </x:c>
      <x:c r="O318" t="str">
        <x:v>熟重</x:v>
      </x:c>
    </x:row>
    <x:row r="319" ht="23" customHeight="1">
      <x:c r="A319" t="n">
        <x:v>53</x:v>
      </x:c>
      <x:c r="B319" t="n">
        <x:v>27</x:v>
      </x:c>
      <x:c r="C319" t="str">
        <x:v>午餐</x:v>
      </x:c>
      <x:c r="D319" t="str">
        <x:v>油脂</x:v>
      </x:c>
      <x:c r="E319" t="str">
        <x:v>烹调油</x:v>
      </x:c>
      <x:c r="F319" t="n">
        <x:v>3</x:v>
      </x:c>
      <x:c r="G319" t="n">
        <x:v>900</x:v>
      </x:c>
      <x:c r="H319" t="n">
        <x:f>ROUND(F319*G319/100,2)</x:f>
        <x:v>27</x:v>
      </x:c>
      <x:c r="I319" t="n">
        <x:v>0</x:v>
      </x:c>
      <x:c r="J319" t="n">
        <x:f>ROUND(F319*I319/100,2)</x:f>
        <x:v>0</x:v>
      </x:c>
      <x:c r="K319" t="n">
        <x:v>0</x:v>
      </x:c>
      <x:c r="L319" t="n">
        <x:f>ROUND(F319*K319/100,2)</x:f>
        <x:v>0</x:v>
      </x:c>
      <x:c r="M319" t="n">
        <x:v>100</x:v>
      </x:c>
      <x:c r="N319" t="n">
        <x:f>ROUND(F319*M319/100,2)</x:f>
        <x:v>3</x:v>
      </x:c>
      <x:c r="O319" t="str">
        <x:v>实际用油重</x:v>
      </x:c>
    </x:row>
    <x:row r="320" ht="23" customHeight="1">
      <x:c r="A320" t="n">
        <x:v>54</x:v>
      </x:c>
      <x:c r="B320" t="n">
        <x:v>27</x:v>
      </x:c>
      <x:c r="C320" t="str">
        <x:v>晚餐</x:v>
      </x:c>
      <x:c r="D320" t="str">
        <x:v>海鲜</x:v>
      </x:c>
      <x:c r="E320" t="str">
        <x:v>虾仁</x:v>
      </x:c>
      <x:c r="F320" t="n">
        <x:v>160</x:v>
      </x:c>
      <x:c r="G320" t="n">
        <x:v>90</x:v>
      </x:c>
      <x:c r="H320" t="n">
        <x:f>ROUND(F320*G320/100,2)</x:f>
        <x:v>144</x:v>
      </x:c>
      <x:c r="I320" t="n">
        <x:v>19</x:v>
      </x:c>
      <x:c r="J320" t="n">
        <x:f>ROUND(F320*I320/100,2)</x:f>
        <x:v>30.4</x:v>
      </x:c>
      <x:c r="K320" t="n">
        <x:v>0.4</x:v>
      </x:c>
      <x:c r="L320" t="n">
        <x:f>ROUND(F320*K320/100,2)</x:f>
        <x:v>0.64</x:v>
      </x:c>
      <x:c r="M320" t="n">
        <x:v>1.1</x:v>
      </x:c>
      <x:c r="N320" t="n">
        <x:f>ROUND(F320*M320/100,2)</x:f>
        <x:v>1.76</x:v>
      </x:c>
      <x:c r="O320" t="str">
        <x:v>生重</x:v>
      </x:c>
    </x:row>
    <x:row r="321" ht="23" customHeight="1">
      <x:c r="A321" t="n">
        <x:v>54</x:v>
      </x:c>
      <x:c r="B321" t="n">
        <x:v>27</x:v>
      </x:c>
      <x:c r="C321" t="str">
        <x:v>晚餐</x:v>
      </x:c>
      <x:c r="D321" t="str"/>
      <x:c r="E321" t="str"/>
      <x:c r="F321" t="n">
        <x:v>0</x:v>
      </x:c>
      <x:c r="G321" t="n">
        <x:v>0</x:v>
      </x:c>
      <x:c r="H321" t="n">
        <x:f>ROUND(F321*G321/100,2)</x:f>
        <x:v>0</x:v>
      </x:c>
      <x:c r="I321" t="n">
        <x:v>0</x:v>
      </x:c>
      <x:c r="J321" t="n">
        <x:f>ROUND(F321*I321/100,2)</x:f>
        <x:v>0</x:v>
      </x:c>
      <x:c r="K321" t="n">
        <x:v>0</x:v>
      </x:c>
      <x:c r="L321" t="n">
        <x:f>ROUND(F321*K321/100,2)</x:f>
        <x:v>0</x:v>
      </x:c>
      <x:c r="M321" t="n">
        <x:v>0</x:v>
      </x:c>
      <x:c r="N321" t="n">
        <x:f>ROUND(F321*M321/100,2)</x:f>
        <x:v>0</x:v>
      </x:c>
      <x:c r="O321" t="str"/>
    </x:row>
    <x:row r="322" ht="23" customHeight="1">
      <x:c r="A322" t="n">
        <x:v>54</x:v>
      </x:c>
      <x:c r="B322" t="n">
        <x:v>27</x:v>
      </x:c>
      <x:c r="C322" t="str">
        <x:v>晚餐</x:v>
      </x:c>
      <x:c r="D322" t="str">
        <x:v>蔬菜</x:v>
      </x:c>
      <x:c r="E322" t="str">
        <x:v>竹笋</x:v>
      </x:c>
      <x:c r="F322" t="n">
        <x:v>175</x:v>
      </x:c>
      <x:c r="G322" t="n">
        <x:v>27</x:v>
      </x:c>
      <x:c r="H322" t="n">
        <x:f>ROUND(F322*G322/100,2)</x:f>
        <x:v>47.25</x:v>
      </x:c>
      <x:c r="I322" t="n">
        <x:v>2.6</x:v>
      </x:c>
      <x:c r="J322" t="n">
        <x:f>ROUND(F322*I322/100,2)</x:f>
        <x:v>4.55</x:v>
      </x:c>
      <x:c r="K322" t="n">
        <x:v>5.2</x:v>
      </x:c>
      <x:c r="L322" t="n">
        <x:f>ROUND(F322*K322/100,2)</x:f>
        <x:v>9.1</x:v>
      </x:c>
      <x:c r="M322" t="n">
        <x:v>0.3</x:v>
      </x:c>
      <x:c r="N322" t="n">
        <x:f>ROUND(F322*M322/100,2)</x:f>
        <x:v>0.53</x:v>
      </x:c>
      <x:c r="O322" t="str">
        <x:v>生重</x:v>
      </x:c>
    </x:row>
    <x:row r="323" ht="23" customHeight="1">
      <x:c r="A323" t="n">
        <x:v>54</x:v>
      </x:c>
      <x:c r="B323" t="n">
        <x:v>27</x:v>
      </x:c>
      <x:c r="C323" t="str">
        <x:v>晚餐</x:v>
      </x:c>
      <x:c r="D323" t="str">
        <x:v>蔬菜</x:v>
      </x:c>
      <x:c r="E323" t="str">
        <x:v>胡萝卜</x:v>
      </x:c>
      <x:c r="F323" t="n">
        <x:v>125</x:v>
      </x:c>
      <x:c r="G323" t="n">
        <x:v>41</x:v>
      </x:c>
      <x:c r="H323" t="n">
        <x:f>ROUND(F323*G323/100,2)</x:f>
        <x:v>51.25</x:v>
      </x:c>
      <x:c r="I323" t="n">
        <x:v>0.9</x:v>
      </x:c>
      <x:c r="J323" t="n">
        <x:f>ROUND(F323*I323/100,2)</x:f>
        <x:v>1.13</x:v>
      </x:c>
      <x:c r="K323" t="n">
        <x:v>10</x:v>
      </x:c>
      <x:c r="L323" t="n">
        <x:f>ROUND(F323*K323/100,2)</x:f>
        <x:v>12.5</x:v>
      </x:c>
      <x:c r="M323" t="n">
        <x:v>0.2</x:v>
      </x:c>
      <x:c r="N323" t="n">
        <x:f>ROUND(F323*M323/100,2)</x:f>
        <x:v>0.25</x:v>
      </x:c>
      <x:c r="O323" t="str">
        <x:v>生重</x:v>
      </x:c>
    </x:row>
    <x:row r="324" ht="23" customHeight="1">
      <x:c r="A324" t="n">
        <x:v>54</x:v>
      </x:c>
      <x:c r="B324" t="n">
        <x:v>27</x:v>
      </x:c>
      <x:c r="C324" t="str">
        <x:v>晚餐</x:v>
      </x:c>
      <x:c r="D324" t="str">
        <x:v>主食</x:v>
      </x:c>
      <x:c r="E324" t="str">
        <x:v>杂粮饭</x:v>
      </x:c>
      <x:c r="F324" t="n">
        <x:v>80</x:v>
      </x:c>
      <x:c r="G324" t="n">
        <x:v>115</x:v>
      </x:c>
      <x:c r="H324" t="n">
        <x:f>ROUND(F324*G324/100,2)</x:f>
        <x:v>92</x:v>
      </x:c>
      <x:c r="I324" t="n">
        <x:v>3.1</x:v>
      </x:c>
      <x:c r="J324" t="n">
        <x:f>ROUND(F324*I324/100,2)</x:f>
        <x:v>2.48</x:v>
      </x:c>
      <x:c r="K324" t="n">
        <x:v>23.5</x:v>
      </x:c>
      <x:c r="L324" t="n">
        <x:f>ROUND(F324*K324/100,2)</x:f>
        <x:v>18.8</x:v>
      </x:c>
      <x:c r="M324" t="n">
        <x:v>1.1</x:v>
      </x:c>
      <x:c r="N324" t="n">
        <x:f>ROUND(F324*M324/100,2)</x:f>
        <x:v>0.88</x:v>
      </x:c>
      <x:c r="O324" t="str">
        <x:v>熟重</x:v>
      </x:c>
    </x:row>
    <x:row r="325" ht="23" customHeight="1">
      <x:c r="A325" t="n">
        <x:v>54</x:v>
      </x:c>
      <x:c r="B325" t="n">
        <x:v>27</x:v>
      </x:c>
      <x:c r="C325" t="str">
        <x:v>晚餐</x:v>
      </x:c>
      <x:c r="D325" t="str">
        <x:v>油脂</x:v>
      </x:c>
      <x:c r="E325" t="str">
        <x:v>烹调油</x:v>
      </x:c>
      <x:c r="F325" t="n">
        <x:v>4</x:v>
      </x:c>
      <x:c r="G325" t="n">
        <x:v>900</x:v>
      </x:c>
      <x:c r="H325" t="n">
        <x:f>ROUND(F325*G325/100,2)</x:f>
        <x:v>36</x:v>
      </x:c>
      <x:c r="I325" t="n">
        <x:v>0</x:v>
      </x:c>
      <x:c r="J325" t="n">
        <x:f>ROUND(F325*I325/100,2)</x:f>
        <x:v>0</x:v>
      </x:c>
      <x:c r="K325" t="n">
        <x:v>0</x:v>
      </x:c>
      <x:c r="L325" t="n">
        <x:f>ROUND(F325*K325/100,2)</x:f>
        <x:v>0</x:v>
      </x:c>
      <x:c r="M325" t="n">
        <x:v>100</x:v>
      </x:c>
      <x:c r="N325" t="n">
        <x:f>ROUND(F325*M325/100,2)</x:f>
        <x:v>4</x:v>
      </x:c>
      <x:c r="O325" t="str">
        <x:v>实际用油重</x:v>
      </x:c>
    </x:row>
    <x:row r="326" ht="23" customHeight="1">
      <x:c r="A326" t="n">
        <x:v>55</x:v>
      </x:c>
      <x:c r="B326" t="n">
        <x:v>28</x:v>
      </x:c>
      <x:c r="C326" t="str">
        <x:v>午餐</x:v>
      </x:c>
      <x:c r="D326" t="str">
        <x:v>鱼类</x:v>
      </x:c>
      <x:c r="E326" t="str">
        <x:v>巴沙鱼</x:v>
      </x:c>
      <x:c r="F326" t="n">
        <x:v>215</x:v>
      </x:c>
      <x:c r="G326" t="n">
        <x:v>90</x:v>
      </x:c>
      <x:c r="H326" t="n">
        <x:f>ROUND(F326*G326/100,2)</x:f>
        <x:v>193.5</x:v>
      </x:c>
      <x:c r="I326" t="n">
        <x:v>17</x:v>
      </x:c>
      <x:c r="J326" t="n">
        <x:f>ROUND(F326*I326/100,2)</x:f>
        <x:v>36.55</x:v>
      </x:c>
      <x:c r="K326" t="n">
        <x:v>0</x:v>
      </x:c>
      <x:c r="L326" t="n">
        <x:f>ROUND(F326*K326/100,2)</x:f>
        <x:v>0</x:v>
      </x:c>
      <x:c r="M326" t="n">
        <x:v>2.3</x:v>
      </x:c>
      <x:c r="N326" t="n">
        <x:f>ROUND(F326*M326/100,2)</x:f>
        <x:v>4.94</x:v>
      </x:c>
      <x:c r="O326" t="str">
        <x:v>净鱼肉生重</x:v>
      </x:c>
    </x:row>
    <x:row r="327" ht="23" customHeight="1">
      <x:c r="A327" t="n">
        <x:v>55</x:v>
      </x:c>
      <x:c r="B327" t="n">
        <x:v>28</x:v>
      </x:c>
      <x:c r="C327" t="str">
        <x:v>午餐</x:v>
      </x:c>
      <x:c r="D327" t="str"/>
      <x:c r="E327" t="str"/>
      <x:c r="F327" t="n">
        <x:v>0</x:v>
      </x:c>
      <x:c r="G327" t="n">
        <x:v>0</x:v>
      </x:c>
      <x:c r="H327" t="n">
        <x:f>ROUND(F327*G327/100,2)</x:f>
        <x:v>0</x:v>
      </x:c>
      <x:c r="I327" t="n">
        <x:v>0</x:v>
      </x:c>
      <x:c r="J327" t="n">
        <x:f>ROUND(F327*I327/100,2)</x:f>
        <x:v>0</x:v>
      </x:c>
      <x:c r="K327" t="n">
        <x:v>0</x:v>
      </x:c>
      <x:c r="L327" t="n">
        <x:f>ROUND(F327*K327/100,2)</x:f>
        <x:v>0</x:v>
      </x:c>
      <x:c r="M327" t="n">
        <x:v>0</x:v>
      </x:c>
      <x:c r="N327" t="n">
        <x:f>ROUND(F327*M327/100,2)</x:f>
        <x:v>0</x:v>
      </x:c>
      <x:c r="O327" t="str"/>
    </x:row>
    <x:row r="328" ht="23" customHeight="1">
      <x:c r="A328" t="n">
        <x:v>55</x:v>
      </x:c>
      <x:c r="B328" t="n">
        <x:v>28</x:v>
      </x:c>
      <x:c r="C328" t="str">
        <x:v>午餐</x:v>
      </x:c>
      <x:c r="D328" t="str">
        <x:v>蔬菜</x:v>
      </x:c>
      <x:c r="E328" t="str">
        <x:v>花菜</x:v>
      </x:c>
      <x:c r="F328" t="n">
        <x:v>190</x:v>
      </x:c>
      <x:c r="G328" t="n">
        <x:v>25</x:v>
      </x:c>
      <x:c r="H328" t="n">
        <x:f>ROUND(F328*G328/100,2)</x:f>
        <x:v>47.5</x:v>
      </x:c>
      <x:c r="I328" t="n">
        <x:v>2</x:v>
      </x:c>
      <x:c r="J328" t="n">
        <x:f>ROUND(F328*I328/100,2)</x:f>
        <x:v>3.8</x:v>
      </x:c>
      <x:c r="K328" t="n">
        <x:v>5</x:v>
      </x:c>
      <x:c r="L328" t="n">
        <x:f>ROUND(F328*K328/100,2)</x:f>
        <x:v>9.5</x:v>
      </x:c>
      <x:c r="M328" t="n">
        <x:v>0.3</x:v>
      </x:c>
      <x:c r="N328" t="n">
        <x:f>ROUND(F328*M328/100,2)</x:f>
        <x:v>0.57</x:v>
      </x:c>
      <x:c r="O328" t="str">
        <x:v>生重</x:v>
      </x:c>
    </x:row>
    <x:row r="329" ht="23" customHeight="1">
      <x:c r="A329" t="n">
        <x:v>55</x:v>
      </x:c>
      <x:c r="B329" t="n">
        <x:v>28</x:v>
      </x:c>
      <x:c r="C329" t="str">
        <x:v>午餐</x:v>
      </x:c>
      <x:c r="D329" t="str">
        <x:v>蔬菜</x:v>
      </x:c>
      <x:c r="E329" t="str">
        <x:v>彩椒</x:v>
      </x:c>
      <x:c r="F329" t="n">
        <x:v>110</x:v>
      </x:c>
      <x:c r="G329" t="n">
        <x:v>27</x:v>
      </x:c>
      <x:c r="H329" t="n">
        <x:f>ROUND(F329*G329/100,2)</x:f>
        <x:v>29.7</x:v>
      </x:c>
      <x:c r="I329" t="n">
        <x:v>1</x:v>
      </x:c>
      <x:c r="J329" t="n">
        <x:f>ROUND(F329*I329/100,2)</x:f>
        <x:v>1.1</x:v>
      </x:c>
      <x:c r="K329" t="n">
        <x:v>6.1</x:v>
      </x:c>
      <x:c r="L329" t="n">
        <x:f>ROUND(F329*K329/100,2)</x:f>
        <x:v>6.71</x:v>
      </x:c>
      <x:c r="M329" t="n">
        <x:v>0.2</x:v>
      </x:c>
      <x:c r="N329" t="n">
        <x:f>ROUND(F329*M329/100,2)</x:f>
        <x:v>0.22</x:v>
      </x:c>
      <x:c r="O329" t="str">
        <x:v>生重</x:v>
      </x:c>
    </x:row>
    <x:row r="330" ht="23" customHeight="1">
      <x:c r="A330" t="n">
        <x:v>55</x:v>
      </x:c>
      <x:c r="B330" t="n">
        <x:v>28</x:v>
      </x:c>
      <x:c r="C330" t="str">
        <x:v>午餐</x:v>
      </x:c>
      <x:c r="D330" t="str">
        <x:v>主食</x:v>
      </x:c>
      <x:c r="E330" t="str">
        <x:v>燕麦饭</x:v>
      </x:c>
      <x:c r="F330" t="n">
        <x:v>150</x:v>
      </x:c>
      <x:c r="G330" t="n">
        <x:v>110</x:v>
      </x:c>
      <x:c r="H330" t="n">
        <x:f>ROUND(F330*G330/100,2)</x:f>
        <x:v>165</x:v>
      </x:c>
      <x:c r="I330" t="n">
        <x:v>3.2</x:v>
      </x:c>
      <x:c r="J330" t="n">
        <x:f>ROUND(F330*I330/100,2)</x:f>
        <x:v>4.8</x:v>
      </x:c>
      <x:c r="K330" t="n">
        <x:v>21</x:v>
      </x:c>
      <x:c r="L330" t="n">
        <x:f>ROUND(F330*K330/100,2)</x:f>
        <x:v>31.5</x:v>
      </x:c>
      <x:c r="M330" t="n">
        <x:v>1.8</x:v>
      </x:c>
      <x:c r="N330" t="n">
        <x:f>ROUND(F330*M330/100,2)</x:f>
        <x:v>2.7</x:v>
      </x:c>
      <x:c r="O330" t="str">
        <x:v>熟重</x:v>
      </x:c>
    </x:row>
    <x:row r="331" ht="23" customHeight="1">
      <x:c r="A331" t="n">
        <x:v>55</x:v>
      </x:c>
      <x:c r="B331" t="n">
        <x:v>28</x:v>
      </x:c>
      <x:c r="C331" t="str">
        <x:v>午餐</x:v>
      </x:c>
      <x:c r="D331" t="str">
        <x:v>油脂</x:v>
      </x:c>
      <x:c r="E331" t="str">
        <x:v>烹调油</x:v>
      </x:c>
      <x:c r="F331" t="n">
        <x:v>5</x:v>
      </x:c>
      <x:c r="G331" t="n">
        <x:v>900</x:v>
      </x:c>
      <x:c r="H331" t="n">
        <x:f>ROUND(F331*G331/100,2)</x:f>
        <x:v>45</x:v>
      </x:c>
      <x:c r="I331" t="n">
        <x:v>0</x:v>
      </x:c>
      <x:c r="J331" t="n">
        <x:f>ROUND(F331*I331/100,2)</x:f>
        <x:v>0</x:v>
      </x:c>
      <x:c r="K331" t="n">
        <x:v>0</x:v>
      </x:c>
      <x:c r="L331" t="n">
        <x:f>ROUND(F331*K331/100,2)</x:f>
        <x:v>0</x:v>
      </x:c>
      <x:c r="M331" t="n">
        <x:v>100</x:v>
      </x:c>
      <x:c r="N331" t="n">
        <x:f>ROUND(F331*M331/100,2)</x:f>
        <x:v>5</x:v>
      </x:c>
      <x:c r="O331" t="str">
        <x:v>实际用油重</x:v>
      </x:c>
    </x:row>
    <x:row r="332" ht="23" customHeight="1">
      <x:c r="A332" t="n">
        <x:v>56</x:v>
      </x:c>
      <x:c r="B332" t="n">
        <x:v>28</x:v>
      </x:c>
      <x:c r="C332" t="str">
        <x:v>晚餐</x:v>
      </x:c>
      <x:c r="D332" t="str">
        <x:v>豆蛋</x:v>
      </x:c>
      <x:c r="E332" t="str">
        <x:v>北豆腐</x:v>
      </x:c>
      <x:c r="F332" t="n">
        <x:v>280</x:v>
      </x:c>
      <x:c r="G332" t="n">
        <x:v>90</x:v>
      </x:c>
      <x:c r="H332" t="n">
        <x:f>ROUND(F332*G332/100,2)</x:f>
        <x:v>252</x:v>
      </x:c>
      <x:c r="I332" t="n">
        <x:v>10</x:v>
      </x:c>
      <x:c r="J332" t="n">
        <x:f>ROUND(F332*I332/100,2)</x:f>
        <x:v>28</x:v>
      </x:c>
      <x:c r="K332" t="n">
        <x:v>2</x:v>
      </x:c>
      <x:c r="L332" t="n">
        <x:f>ROUND(F332*K332/100,2)</x:f>
        <x:v>5.6</x:v>
      </x:c>
      <x:c r="M332" t="n">
        <x:v>5</x:v>
      </x:c>
      <x:c r="N332" t="n">
        <x:f>ROUND(F332*M332/100,2)</x:f>
        <x:v>14</x:v>
      </x:c>
      <x:c r="O332" t="str">
        <x:v>净重</x:v>
      </x:c>
    </x:row>
    <x:row r="333" ht="23" customHeight="1">
      <x:c r="A333" t="n">
        <x:v>56</x:v>
      </x:c>
      <x:c r="B333" t="n">
        <x:v>28</x:v>
      </x:c>
      <x:c r="C333" t="str">
        <x:v>晚餐</x:v>
      </x:c>
      <x:c r="D333" t="str">
        <x:v>豆蛋</x:v>
      </x:c>
      <x:c r="E333" t="str">
        <x:v>熟毛豆仁</x:v>
      </x:c>
      <x:c r="F333" t="n">
        <x:v>50</x:v>
      </x:c>
      <x:c r="G333" t="n">
        <x:v>120</x:v>
      </x:c>
      <x:c r="H333" t="n">
        <x:f>ROUND(F333*G333/100,2)</x:f>
        <x:v>60</x:v>
      </x:c>
      <x:c r="I333" t="n">
        <x:v>12</x:v>
      </x:c>
      <x:c r="J333" t="n">
        <x:f>ROUND(F333*I333/100,2)</x:f>
        <x:v>6</x:v>
      </x:c>
      <x:c r="K333" t="n">
        <x:v>9</x:v>
      </x:c>
      <x:c r="L333" t="n">
        <x:f>ROUND(F333*K333/100,2)</x:f>
        <x:v>4.5</x:v>
      </x:c>
      <x:c r="M333" t="n">
        <x:v>5</x:v>
      </x:c>
      <x:c r="N333" t="n">
        <x:f>ROUND(F333*M333/100,2)</x:f>
        <x:v>2.5</x:v>
      </x:c>
      <x:c r="O333" t="str">
        <x:v>熟重</x:v>
      </x:c>
    </x:row>
    <x:row r="334" ht="23" customHeight="1">
      <x:c r="A334" t="n">
        <x:v>56</x:v>
      </x:c>
      <x:c r="B334" t="n">
        <x:v>28</x:v>
      </x:c>
      <x:c r="C334" t="str">
        <x:v>晚餐</x:v>
      </x:c>
      <x:c r="D334" t="str">
        <x:v>蔬菜</x:v>
      </x:c>
      <x:c r="E334" t="str">
        <x:v>番茄</x:v>
      </x:c>
      <x:c r="F334" t="n">
        <x:v>175</x:v>
      </x:c>
      <x:c r="G334" t="n">
        <x:v>20</x:v>
      </x:c>
      <x:c r="H334" t="n">
        <x:f>ROUND(F334*G334/100,2)</x:f>
        <x:v>35</x:v>
      </x:c>
      <x:c r="I334" t="n">
        <x:v>0.9</x:v>
      </x:c>
      <x:c r="J334" t="n">
        <x:f>ROUND(F334*I334/100,2)</x:f>
        <x:v>1.58</x:v>
      </x:c>
      <x:c r="K334" t="n">
        <x:v>4</x:v>
      </x:c>
      <x:c r="L334" t="n">
        <x:f>ROUND(F334*K334/100,2)</x:f>
        <x:v>7</x:v>
      </x:c>
      <x:c r="M334" t="n">
        <x:v>0.2</x:v>
      </x:c>
      <x:c r="N334" t="n">
        <x:f>ROUND(F334*M334/100,2)</x:f>
        <x:v>0.35</x:v>
      </x:c>
      <x:c r="O334" t="str">
        <x:v>生重</x:v>
      </x:c>
    </x:row>
    <x:row r="335" ht="23" customHeight="1">
      <x:c r="A335" t="n">
        <x:v>56</x:v>
      </x:c>
      <x:c r="B335" t="n">
        <x:v>28</x:v>
      </x:c>
      <x:c r="C335" t="str">
        <x:v>晚餐</x:v>
      </x:c>
      <x:c r="D335" t="str">
        <x:v>蔬菜</x:v>
      </x:c>
      <x:c r="E335" t="str">
        <x:v>海带</x:v>
      </x:c>
      <x:c r="F335" t="n">
        <x:v>110</x:v>
      </x:c>
      <x:c r="G335" t="n">
        <x:v>25</x:v>
      </x:c>
      <x:c r="H335" t="n">
        <x:f>ROUND(F335*G335/100,2)</x:f>
        <x:v>27.5</x:v>
      </x:c>
      <x:c r="I335" t="n">
        <x:v>1</x:v>
      </x:c>
      <x:c r="J335" t="n">
        <x:f>ROUND(F335*I335/100,2)</x:f>
        <x:v>1.1</x:v>
      </x:c>
      <x:c r="K335" t="n">
        <x:v>5</x:v>
      </x:c>
      <x:c r="L335" t="n">
        <x:f>ROUND(F335*K335/100,2)</x:f>
        <x:v>5.5</x:v>
      </x:c>
      <x:c r="M335" t="n">
        <x:v>0.1</x:v>
      </x:c>
      <x:c r="N335" t="n">
        <x:f>ROUND(F335*M335/100,2)</x:f>
        <x:v>0.11</x:v>
      </x:c>
      <x:c r="O335" t="str">
        <x:v>泡发沥水重</x:v>
      </x:c>
    </x:row>
    <x:row r="336" ht="23" customHeight="1">
      <x:c r="A336" t="n">
        <x:v>56</x:v>
      </x:c>
      <x:c r="B336" t="n">
        <x:v>28</x:v>
      </x:c>
      <x:c r="C336" t="str">
        <x:v>晚餐</x:v>
      </x:c>
      <x:c r="D336" t="str">
        <x:v>主食</x:v>
      </x:c>
      <x:c r="E336" t="str">
        <x:v>白米饭</x:v>
      </x:c>
      <x:c r="F336" t="n">
        <x:v>125</x:v>
      </x:c>
      <x:c r="G336" t="n">
        <x:v>116</x:v>
      </x:c>
      <x:c r="H336" t="n">
        <x:f>ROUND(F336*G336/100,2)</x:f>
        <x:v>145</x:v>
      </x:c>
      <x:c r="I336" t="n">
        <x:v>2.6</x:v>
      </x:c>
      <x:c r="J336" t="n">
        <x:f>ROUND(F336*I336/100,2)</x:f>
        <x:v>3.25</x:v>
      </x:c>
      <x:c r="K336" t="n">
        <x:v>25.6</x:v>
      </x:c>
      <x:c r="L336" t="n">
        <x:f>ROUND(F336*K336/100,2)</x:f>
        <x:v>32</x:v>
      </x:c>
      <x:c r="M336" t="n">
        <x:v>0.3</x:v>
      </x:c>
      <x:c r="N336" t="n">
        <x:f>ROUND(F336*M336/100,2)</x:f>
        <x:v>0.38</x:v>
      </x:c>
      <x:c r="O336" t="str">
        <x:v>熟重</x:v>
      </x:c>
    </x:row>
    <x:row r="337" ht="23" customHeight="1">
      <x:c r="A337" t="n">
        <x:v>56</x:v>
      </x:c>
      <x:c r="B337" t="n">
        <x:v>28</x:v>
      </x:c>
      <x:c r="C337" t="str">
        <x:v>晚餐</x:v>
      </x:c>
      <x:c r="D337" t="str">
        <x:v>油脂</x:v>
      </x:c>
      <x:c r="E337" t="str">
        <x:v>烹调油</x:v>
      </x:c>
      <x:c r="F337" t="n">
        <x:v>3</x:v>
      </x:c>
      <x:c r="G337" t="n">
        <x:v>900</x:v>
      </x:c>
      <x:c r="H337" t="n">
        <x:f>ROUND(F337*G337/100,2)</x:f>
        <x:v>27</x:v>
      </x:c>
      <x:c r="I337" t="n">
        <x:v>0</x:v>
      </x:c>
      <x:c r="J337" t="n">
        <x:f>ROUND(F337*I337/100,2)</x:f>
        <x:v>0</x:v>
      </x:c>
      <x:c r="K337" t="n">
        <x:v>0</x:v>
      </x:c>
      <x:c r="L337" t="n">
        <x:f>ROUND(F337*K337/100,2)</x:f>
        <x:v>0</x:v>
      </x:c>
      <x:c r="M337" t="n">
        <x:v>100</x:v>
      </x:c>
      <x:c r="N337" t="n">
        <x:f>ROUND(F337*M337/100,2)</x:f>
        <x:v>3</x:v>
      </x:c>
      <x:c r="O337" t="str">
        <x:v>实际用油重</x:v>
      </x:c>
    </x:row>
    <x:row r="338" ht="23" customHeight="1">
      <x:c r="A338" t="n">
        <x:v>57</x:v>
      </x:c>
      <x:c r="B338" t="n">
        <x:v>29</x:v>
      </x:c>
      <x:c r="C338" t="str">
        <x:v>午餐</x:v>
      </x:c>
      <x:c r="D338" t="str">
        <x:v>牛肉</x:v>
      </x:c>
      <x:c r="E338" t="str">
        <x:v>牛里脊</x:v>
      </x:c>
      <x:c r="F338" t="n">
        <x:v>155</x:v>
      </x:c>
      <x:c r="G338" t="n">
        <x:v>130</x:v>
      </x:c>
      <x:c r="H338" t="n">
        <x:f>ROUND(F338*G338/100,2)</x:f>
        <x:v>201.5</x:v>
      </x:c>
      <x:c r="I338" t="n">
        <x:v>21</x:v>
      </x:c>
      <x:c r="J338" t="n">
        <x:f>ROUND(F338*I338/100,2)</x:f>
        <x:v>32.55</x:v>
      </x:c>
      <x:c r="K338" t="n">
        <x:v>0</x:v>
      </x:c>
      <x:c r="L338" t="n">
        <x:f>ROUND(F338*K338/100,2)</x:f>
        <x:v>0</x:v>
      </x:c>
      <x:c r="M338" t="n">
        <x:v>4.8</x:v>
      </x:c>
      <x:c r="N338" t="n">
        <x:f>ROUND(F338*M338/100,2)</x:f>
        <x:v>7.44</x:v>
      </x:c>
      <x:c r="O338" t="str">
        <x:v>生重</x:v>
      </x:c>
    </x:row>
    <x:row r="339" ht="23" customHeight="1">
      <x:c r="A339" t="n">
        <x:v>57</x:v>
      </x:c>
      <x:c r="B339" t="n">
        <x:v>29</x:v>
      </x:c>
      <x:c r="C339" t="str">
        <x:v>午餐</x:v>
      </x:c>
      <x:c r="D339" t="str"/>
      <x:c r="E339" t="str"/>
      <x:c r="F339" t="n">
        <x:v>0</x:v>
      </x:c>
      <x:c r="G339" t="n">
        <x:v>0</x:v>
      </x:c>
      <x:c r="H339" t="n">
        <x:f>ROUND(F339*G339/100,2)</x:f>
        <x:v>0</x:v>
      </x:c>
      <x:c r="I339" t="n">
        <x:v>0</x:v>
      </x:c>
      <x:c r="J339" t="n">
        <x:f>ROUND(F339*I339/100,2)</x:f>
        <x:v>0</x:v>
      </x:c>
      <x:c r="K339" t="n">
        <x:v>0</x:v>
      </x:c>
      <x:c r="L339" t="n">
        <x:f>ROUND(F339*K339/100,2)</x:f>
        <x:v>0</x:v>
      </x:c>
      <x:c r="M339" t="n">
        <x:v>0</x:v>
      </x:c>
      <x:c r="N339" t="n">
        <x:f>ROUND(F339*M339/100,2)</x:f>
        <x:v>0</x:v>
      </x:c>
      <x:c r="O339" t="str"/>
    </x:row>
    <x:row r="340" ht="23" customHeight="1">
      <x:c r="A340" t="n">
        <x:v>57</x:v>
      </x:c>
      <x:c r="B340" t="n">
        <x:v>29</x:v>
      </x:c>
      <x:c r="C340" t="str">
        <x:v>午餐</x:v>
      </x:c>
      <x:c r="D340" t="str">
        <x:v>蔬菜</x:v>
      </x:c>
      <x:c r="E340" t="str">
        <x:v>白萝卜</x:v>
      </x:c>
      <x:c r="F340" t="n">
        <x:v>140</x:v>
      </x:c>
      <x:c r="G340" t="n">
        <x:v>18</x:v>
      </x:c>
      <x:c r="H340" t="n">
        <x:f>ROUND(F340*G340/100,2)</x:f>
        <x:v>25.2</x:v>
      </x:c>
      <x:c r="I340" t="n">
        <x:v>0.6</x:v>
      </x:c>
      <x:c r="J340" t="n">
        <x:f>ROUND(F340*I340/100,2)</x:f>
        <x:v>0.84</x:v>
      </x:c>
      <x:c r="K340" t="n">
        <x:v>4</x:v>
      </x:c>
      <x:c r="L340" t="n">
        <x:f>ROUND(F340*K340/100,2)</x:f>
        <x:v>5.6</x:v>
      </x:c>
      <x:c r="M340" t="n">
        <x:v>0.1</x:v>
      </x:c>
      <x:c r="N340" t="n">
        <x:f>ROUND(F340*M340/100,2)</x:f>
        <x:v>0.14</x:v>
      </x:c>
      <x:c r="O340" t="str">
        <x:v>生重</x:v>
      </x:c>
    </x:row>
    <x:row r="341" ht="23" customHeight="1">
      <x:c r="A341" t="n">
        <x:v>57</x:v>
      </x:c>
      <x:c r="B341" t="n">
        <x:v>29</x:v>
      </x:c>
      <x:c r="C341" t="str">
        <x:v>午餐</x:v>
      </x:c>
      <x:c r="D341" t="str">
        <x:v>菌菇</x:v>
      </x:c>
      <x:c r="E341" t="str">
        <x:v>香菇</x:v>
      </x:c>
      <x:c r="F341" t="n">
        <x:v>110</x:v>
      </x:c>
      <x:c r="G341" t="n">
        <x:v>34</x:v>
      </x:c>
      <x:c r="H341" t="n">
        <x:f>ROUND(F341*G341/100,2)</x:f>
        <x:v>37.4</x:v>
      </x:c>
      <x:c r="I341" t="n">
        <x:v>2.2</x:v>
      </x:c>
      <x:c r="J341" t="n">
        <x:f>ROUND(F341*I341/100,2)</x:f>
        <x:v>2.42</x:v>
      </x:c>
      <x:c r="K341" t="n">
        <x:v>6.8</x:v>
      </x:c>
      <x:c r="L341" t="n">
        <x:f>ROUND(F341*K341/100,2)</x:f>
        <x:v>7.48</x:v>
      </x:c>
      <x:c r="M341" t="n">
        <x:v>0.5</x:v>
      </x:c>
      <x:c r="N341" t="n">
        <x:f>ROUND(F341*M341/100,2)</x:f>
        <x:v>0.55</x:v>
      </x:c>
      <x:c r="O341" t="str">
        <x:v>生重</x:v>
      </x:c>
    </x:row>
    <x:row r="342" ht="23" customHeight="1">
      <x:c r="A342" t="n">
        <x:v>57</x:v>
      </x:c>
      <x:c r="B342" t="n">
        <x:v>29</x:v>
      </x:c>
      <x:c r="C342" t="str">
        <x:v>午餐</x:v>
      </x:c>
      <x:c r="D342" t="str">
        <x:v>主食</x:v>
      </x:c>
      <x:c r="E342" t="str">
        <x:v>紫薯</x:v>
      </x:c>
      <x:c r="F342" t="n">
        <x:v>135</x:v>
      </x:c>
      <x:c r="G342" t="n">
        <x:v>95</x:v>
      </x:c>
      <x:c r="H342" t="n">
        <x:f>ROUND(F342*G342/100,2)</x:f>
        <x:v>128.25</x:v>
      </x:c>
      <x:c r="I342" t="n">
        <x:v>1.6</x:v>
      </x:c>
      <x:c r="J342" t="n">
        <x:f>ROUND(F342*I342/100,2)</x:f>
        <x:v>2.16</x:v>
      </x:c>
      <x:c r="K342" t="n">
        <x:v>22</x:v>
      </x:c>
      <x:c r="L342" t="n">
        <x:f>ROUND(F342*K342/100,2)</x:f>
        <x:v>29.7</x:v>
      </x:c>
      <x:c r="M342" t="n">
        <x:v>0.1</x:v>
      </x:c>
      <x:c r="N342" t="n">
        <x:f>ROUND(F342*M342/100,2)</x:f>
        <x:v>0.14</x:v>
      </x:c>
      <x:c r="O342" t="str">
        <x:v>蒸熟净重</x:v>
      </x:c>
    </x:row>
    <x:row r="343" ht="23" customHeight="1">
      <x:c r="A343" t="n">
        <x:v>57</x:v>
      </x:c>
      <x:c r="B343" t="n">
        <x:v>29</x:v>
      </x:c>
      <x:c r="C343" t="str">
        <x:v>午餐</x:v>
      </x:c>
      <x:c r="D343" t="str">
        <x:v>油脂</x:v>
      </x:c>
      <x:c r="E343" t="str">
        <x:v>烹调油</x:v>
      </x:c>
      <x:c r="F343" t="n">
        <x:v>3</x:v>
      </x:c>
      <x:c r="G343" t="n">
        <x:v>900</x:v>
      </x:c>
      <x:c r="H343" t="n">
        <x:f>ROUND(F343*G343/100,2)</x:f>
        <x:v>27</x:v>
      </x:c>
      <x:c r="I343" t="n">
        <x:v>0</x:v>
      </x:c>
      <x:c r="J343" t="n">
        <x:f>ROUND(F343*I343/100,2)</x:f>
        <x:v>0</x:v>
      </x:c>
      <x:c r="K343" t="n">
        <x:v>0</x:v>
      </x:c>
      <x:c r="L343" t="n">
        <x:f>ROUND(F343*K343/100,2)</x:f>
        <x:v>0</x:v>
      </x:c>
      <x:c r="M343" t="n">
        <x:v>100</x:v>
      </x:c>
      <x:c r="N343" t="n">
        <x:f>ROUND(F343*M343/100,2)</x:f>
        <x:v>3</x:v>
      </x:c>
      <x:c r="O343" t="str">
        <x:v>实际用油重</x:v>
      </x:c>
    </x:row>
    <x:row r="344" ht="23" customHeight="1">
      <x:c r="A344" t="n">
        <x:v>58</x:v>
      </x:c>
      <x:c r="B344" t="n">
        <x:v>29</x:v>
      </x:c>
      <x:c r="C344" t="str">
        <x:v>晚餐</x:v>
      </x:c>
      <x:c r="D344" t="str">
        <x:v>海鲜</x:v>
      </x:c>
      <x:c r="E344" t="str">
        <x:v>虾仁</x:v>
      </x:c>
      <x:c r="F344" t="n">
        <x:v>175</x:v>
      </x:c>
      <x:c r="G344" t="n">
        <x:v>90</x:v>
      </x:c>
      <x:c r="H344" t="n">
        <x:f>ROUND(F344*G344/100,2)</x:f>
        <x:v>157.5</x:v>
      </x:c>
      <x:c r="I344" t="n">
        <x:v>19</x:v>
      </x:c>
      <x:c r="J344" t="n">
        <x:f>ROUND(F344*I344/100,2)</x:f>
        <x:v>33.25</x:v>
      </x:c>
      <x:c r="K344" t="n">
        <x:v>0.4</x:v>
      </x:c>
      <x:c r="L344" t="n">
        <x:f>ROUND(F344*K344/100,2)</x:f>
        <x:v>0.7</x:v>
      </x:c>
      <x:c r="M344" t="n">
        <x:v>1.1</x:v>
      </x:c>
      <x:c r="N344" t="n">
        <x:f>ROUND(F344*M344/100,2)</x:f>
        <x:v>1.93</x:v>
      </x:c>
      <x:c r="O344" t="str">
        <x:v>生重</x:v>
      </x:c>
    </x:row>
    <x:row r="345" ht="23" customHeight="1">
      <x:c r="A345" t="n">
        <x:v>58</x:v>
      </x:c>
      <x:c r="B345" t="n">
        <x:v>29</x:v>
      </x:c>
      <x:c r="C345" t="str">
        <x:v>晚餐</x:v>
      </x:c>
      <x:c r="D345" t="str"/>
      <x:c r="E345" t="str"/>
      <x:c r="F345" t="n">
        <x:v>0</x:v>
      </x:c>
      <x:c r="G345" t="n">
        <x:v>0</x:v>
      </x:c>
      <x:c r="H345" t="n">
        <x:f>ROUND(F345*G345/100,2)</x:f>
        <x:v>0</x:v>
      </x:c>
      <x:c r="I345" t="n">
        <x:v>0</x:v>
      </x:c>
      <x:c r="J345" t="n">
        <x:f>ROUND(F345*I345/100,2)</x:f>
        <x:v>0</x:v>
      </x:c>
      <x:c r="K345" t="n">
        <x:v>0</x:v>
      </x:c>
      <x:c r="L345" t="n">
        <x:f>ROUND(F345*K345/100,2)</x:f>
        <x:v>0</x:v>
      </x:c>
      <x:c r="M345" t="n">
        <x:v>0</x:v>
      </x:c>
      <x:c r="N345" t="n">
        <x:f>ROUND(F345*M345/100,2)</x:f>
        <x:v>0</x:v>
      </x:c>
      <x:c r="O345" t="str"/>
    </x:row>
    <x:row r="346" ht="23" customHeight="1">
      <x:c r="A346" t="n">
        <x:v>58</x:v>
      </x:c>
      <x:c r="B346" t="n">
        <x:v>29</x:v>
      </x:c>
      <x:c r="C346" t="str">
        <x:v>晚餐</x:v>
      </x:c>
      <x:c r="D346" t="str">
        <x:v>蔬菜</x:v>
      </x:c>
      <x:c r="E346" t="str">
        <x:v>丝瓜</x:v>
      </x:c>
      <x:c r="F346" t="n">
        <x:v>175</x:v>
      </x:c>
      <x:c r="G346" t="n">
        <x:v>20</x:v>
      </x:c>
      <x:c r="H346" t="n">
        <x:f>ROUND(F346*G346/100,2)</x:f>
        <x:v>35</x:v>
      </x:c>
      <x:c r="I346" t="n">
        <x:v>1</x:v>
      </x:c>
      <x:c r="J346" t="n">
        <x:f>ROUND(F346*I346/100,2)</x:f>
        <x:v>1.75</x:v>
      </x:c>
      <x:c r="K346" t="n">
        <x:v>4</x:v>
      </x:c>
      <x:c r="L346" t="n">
        <x:f>ROUND(F346*K346/100,2)</x:f>
        <x:v>7</x:v>
      </x:c>
      <x:c r="M346" t="n">
        <x:v>0.2</x:v>
      </x:c>
      <x:c r="N346" t="n">
        <x:f>ROUND(F346*M346/100,2)</x:f>
        <x:v>0.35</x:v>
      </x:c>
      <x:c r="O346" t="str">
        <x:v>生重</x:v>
      </x:c>
    </x:row>
    <x:row r="347" ht="23" customHeight="1">
      <x:c r="A347" t="n">
        <x:v>58</x:v>
      </x:c>
      <x:c r="B347" t="n">
        <x:v>29</x:v>
      </x:c>
      <x:c r="C347" t="str">
        <x:v>晚餐</x:v>
      </x:c>
      <x:c r="D347" t="str">
        <x:v>蔬菜</x:v>
      </x:c>
      <x:c r="E347" t="str">
        <x:v>白萝卜</x:v>
      </x:c>
      <x:c r="F347" t="n">
        <x:v>140</x:v>
      </x:c>
      <x:c r="G347" t="n">
        <x:v>18</x:v>
      </x:c>
      <x:c r="H347" t="n">
        <x:f>ROUND(F347*G347/100,2)</x:f>
        <x:v>25.2</x:v>
      </x:c>
      <x:c r="I347" t="n">
        <x:v>0.6</x:v>
      </x:c>
      <x:c r="J347" t="n">
        <x:f>ROUND(F347*I347/100,2)</x:f>
        <x:v>0.84</x:v>
      </x:c>
      <x:c r="K347" t="n">
        <x:v>4</x:v>
      </x:c>
      <x:c r="L347" t="n">
        <x:f>ROUND(F347*K347/100,2)</x:f>
        <x:v>5.6</x:v>
      </x:c>
      <x:c r="M347" t="n">
        <x:v>0.1</x:v>
      </x:c>
      <x:c r="N347" t="n">
        <x:f>ROUND(F347*M347/100,2)</x:f>
        <x:v>0.14</x:v>
      </x:c>
      <x:c r="O347" t="str">
        <x:v>生重</x:v>
      </x:c>
    </x:row>
    <x:row r="348" ht="23" customHeight="1">
      <x:c r="A348" t="n">
        <x:v>58</x:v>
      </x:c>
      <x:c r="B348" t="n">
        <x:v>29</x:v>
      </x:c>
      <x:c r="C348" t="str">
        <x:v>晚餐</x:v>
      </x:c>
      <x:c r="D348" t="str">
        <x:v>主食</x:v>
      </x:c>
      <x:c r="E348" t="str">
        <x:v>藜麦饭</x:v>
      </x:c>
      <x:c r="F348" t="n">
        <x:v>125</x:v>
      </x:c>
      <x:c r="G348" t="n">
        <x:v>120</x:v>
      </x:c>
      <x:c r="H348" t="n">
        <x:f>ROUND(F348*G348/100,2)</x:f>
        <x:v>150</x:v>
      </x:c>
      <x:c r="I348" t="n">
        <x:v>4.4</x:v>
      </x:c>
      <x:c r="J348" t="n">
        <x:f>ROUND(F348*I348/100,2)</x:f>
        <x:v>5.5</x:v>
      </x:c>
      <x:c r="K348" t="n">
        <x:v>21.3</x:v>
      </x:c>
      <x:c r="L348" t="n">
        <x:f>ROUND(F348*K348/100,2)</x:f>
        <x:v>26.63</x:v>
      </x:c>
      <x:c r="M348" t="n">
        <x:v>1.9</x:v>
      </x:c>
      <x:c r="N348" t="n">
        <x:f>ROUND(F348*M348/100,2)</x:f>
        <x:v>2.38</x:v>
      </x:c>
      <x:c r="O348" t="str">
        <x:v>熟重</x:v>
      </x:c>
    </x:row>
    <x:row r="349" ht="23" customHeight="1">
      <x:c r="A349" t="n">
        <x:v>58</x:v>
      </x:c>
      <x:c r="B349" t="n">
        <x:v>29</x:v>
      </x:c>
      <x:c r="C349" t="str">
        <x:v>晚餐</x:v>
      </x:c>
      <x:c r="D349" t="str">
        <x:v>油脂</x:v>
      </x:c>
      <x:c r="E349" t="str">
        <x:v>烹调油</x:v>
      </x:c>
      <x:c r="F349" t="n">
        <x:v>5</x:v>
      </x:c>
      <x:c r="G349" t="n">
        <x:v>900</x:v>
      </x:c>
      <x:c r="H349" t="n">
        <x:f>ROUND(F349*G349/100,2)</x:f>
        <x:v>45</x:v>
      </x:c>
      <x:c r="I349" t="n">
        <x:v>0</x:v>
      </x:c>
      <x:c r="J349" t="n">
        <x:f>ROUND(F349*I349/100,2)</x:f>
        <x:v>0</x:v>
      </x:c>
      <x:c r="K349" t="n">
        <x:v>0</x:v>
      </x:c>
      <x:c r="L349" t="n">
        <x:f>ROUND(F349*K349/100,2)</x:f>
        <x:v>0</x:v>
      </x:c>
      <x:c r="M349" t="n">
        <x:v>100</x:v>
      </x:c>
      <x:c r="N349" t="n">
        <x:f>ROUND(F349*M349/100,2)</x:f>
        <x:v>5</x:v>
      </x:c>
      <x:c r="O349" t="str">
        <x:v>实际用油重</x:v>
      </x:c>
    </x:row>
    <x:row r="350" ht="23" customHeight="1">
      <x:c r="A350" t="n">
        <x:v>59</x:v>
      </x:c>
      <x:c r="B350" t="n">
        <x:v>30</x:v>
      </x:c>
      <x:c r="C350" t="str">
        <x:v>午餐</x:v>
      </x:c>
      <x:c r="D350" t="str">
        <x:v>牛肉</x:v>
      </x:c>
      <x:c r="E350" t="str">
        <x:v>瘦牛肉</x:v>
      </x:c>
      <x:c r="F350" t="n">
        <x:v>185</x:v>
      </x:c>
      <x:c r="G350" t="n">
        <x:v>125</x:v>
      </x:c>
      <x:c r="H350" t="n">
        <x:f>ROUND(F350*G350/100,2)</x:f>
        <x:v>231.25</x:v>
      </x:c>
      <x:c r="I350" t="n">
        <x:v>21</x:v>
      </x:c>
      <x:c r="J350" t="n">
        <x:f>ROUND(F350*I350/100,2)</x:f>
        <x:v>38.85</x:v>
      </x:c>
      <x:c r="K350" t="n">
        <x:v>0</x:v>
      </x:c>
      <x:c r="L350" t="n">
        <x:f>ROUND(F350*K350/100,2)</x:f>
        <x:v>0</x:v>
      </x:c>
      <x:c r="M350" t="n">
        <x:v>4</x:v>
      </x:c>
      <x:c r="N350" t="n">
        <x:f>ROUND(F350*M350/100,2)</x:f>
        <x:v>7.4</x:v>
      </x:c>
      <x:c r="O350" t="str">
        <x:v>生重</x:v>
      </x:c>
    </x:row>
    <x:row r="351" ht="23" customHeight="1">
      <x:c r="A351" t="n">
        <x:v>59</x:v>
      </x:c>
      <x:c r="B351" t="n">
        <x:v>30</x:v>
      </x:c>
      <x:c r="C351" t="str">
        <x:v>午餐</x:v>
      </x:c>
      <x:c r="D351" t="str">
        <x:v>豆蛋</x:v>
      </x:c>
      <x:c r="E351" t="str">
        <x:v>嫩豆腐</x:v>
      </x:c>
      <x:c r="F351" t="n">
        <x:v>160</x:v>
      </x:c>
      <x:c r="G351" t="n">
        <x:v>55</x:v>
      </x:c>
      <x:c r="H351" t="n">
        <x:f>ROUND(F351*G351/100,2)</x:f>
        <x:v>88</x:v>
      </x:c>
      <x:c r="I351" t="n">
        <x:v>5</x:v>
      </x:c>
      <x:c r="J351" t="n">
        <x:f>ROUND(F351*I351/100,2)</x:f>
        <x:v>8</x:v>
      </x:c>
      <x:c r="K351" t="n">
        <x:v>2</x:v>
      </x:c>
      <x:c r="L351" t="n">
        <x:f>ROUND(F351*K351/100,2)</x:f>
        <x:v>3.2</x:v>
      </x:c>
      <x:c r="M351" t="n">
        <x:v>2.8</x:v>
      </x:c>
      <x:c r="N351" t="n">
        <x:f>ROUND(F351*M351/100,2)</x:f>
        <x:v>4.48</x:v>
      </x:c>
      <x:c r="O351" t="str">
        <x:v>净重</x:v>
      </x:c>
    </x:row>
    <x:row r="352" ht="23" customHeight="1">
      <x:c r="A352" t="n">
        <x:v>59</x:v>
      </x:c>
      <x:c r="B352" t="n">
        <x:v>30</x:v>
      </x:c>
      <x:c r="C352" t="str">
        <x:v>午餐</x:v>
      </x:c>
      <x:c r="D352" t="str">
        <x:v>蔬菜</x:v>
      </x:c>
      <x:c r="E352" t="str">
        <x:v>竹笋</x:v>
      </x:c>
      <x:c r="F352" t="n">
        <x:v>190</x:v>
      </x:c>
      <x:c r="G352" t="n">
        <x:v>27</x:v>
      </x:c>
      <x:c r="H352" t="n">
        <x:f>ROUND(F352*G352/100,2)</x:f>
        <x:v>51.3</x:v>
      </x:c>
      <x:c r="I352" t="n">
        <x:v>2.6</x:v>
      </x:c>
      <x:c r="J352" t="n">
        <x:f>ROUND(F352*I352/100,2)</x:f>
        <x:v>4.94</x:v>
      </x:c>
      <x:c r="K352" t="n">
        <x:v>5.2</x:v>
      </x:c>
      <x:c r="L352" t="n">
        <x:f>ROUND(F352*K352/100,2)</x:f>
        <x:v>9.88</x:v>
      </x:c>
      <x:c r="M352" t="n">
        <x:v>0.3</x:v>
      </x:c>
      <x:c r="N352" t="n">
        <x:f>ROUND(F352*M352/100,2)</x:f>
        <x:v>0.57</x:v>
      </x:c>
      <x:c r="O352" t="str">
        <x:v>生重</x:v>
      </x:c>
    </x:row>
    <x:row r="353" ht="23" customHeight="1">
      <x:c r="A353" t="n">
        <x:v>59</x:v>
      </x:c>
      <x:c r="B353" t="n">
        <x:v>30</x:v>
      </x:c>
      <x:c r="C353" t="str">
        <x:v>午餐</x:v>
      </x:c>
      <x:c r="D353" t="str">
        <x:v>蔬菜</x:v>
      </x:c>
      <x:c r="E353" t="str">
        <x:v>菜心</x:v>
      </x:c>
      <x:c r="F353" t="n">
        <x:v>155</x:v>
      </x:c>
      <x:c r="G353" t="n">
        <x:v>20</x:v>
      </x:c>
      <x:c r="H353" t="n">
        <x:f>ROUND(F353*G353/100,2)</x:f>
        <x:v>31</x:v>
      </x:c>
      <x:c r="I353" t="n">
        <x:v>2</x:v>
      </x:c>
      <x:c r="J353" t="n">
        <x:f>ROUND(F353*I353/100,2)</x:f>
        <x:v>3.1</x:v>
      </x:c>
      <x:c r="K353" t="n">
        <x:v>3.5</x:v>
      </x:c>
      <x:c r="L353" t="n">
        <x:f>ROUND(F353*K353/100,2)</x:f>
        <x:v>5.43</x:v>
      </x:c>
      <x:c r="M353" t="n">
        <x:v>0.3</x:v>
      </x:c>
      <x:c r="N353" t="n">
        <x:f>ROUND(F353*M353/100,2)</x:f>
        <x:v>0.47</x:v>
      </x:c>
      <x:c r="O353" t="str">
        <x:v>生重</x:v>
      </x:c>
    </x:row>
    <x:row r="354" ht="23" customHeight="1">
      <x:c r="A354" t="n">
        <x:v>59</x:v>
      </x:c>
      <x:c r="B354" t="n">
        <x:v>30</x:v>
      </x:c>
      <x:c r="C354" t="str">
        <x:v>午餐</x:v>
      </x:c>
      <x:c r="D354" t="str">
        <x:v>主食</x:v>
      </x:c>
      <x:c r="E354" t="str">
        <x:v>米粉</x:v>
      </x:c>
      <x:c r="F354" t="n">
        <x:v>150</x:v>
      </x:c>
      <x:c r="G354" t="n">
        <x:v>110</x:v>
      </x:c>
      <x:c r="H354" t="n">
        <x:f>ROUND(F354*G354/100,2)</x:f>
        <x:v>165</x:v>
      </x:c>
      <x:c r="I354" t="n">
        <x:v>2</x:v>
      </x:c>
      <x:c r="J354" t="n">
        <x:f>ROUND(F354*I354/100,2)</x:f>
        <x:v>3</x:v>
      </x:c>
      <x:c r="K354" t="n">
        <x:v>24</x:v>
      </x:c>
      <x:c r="L354" t="n">
        <x:f>ROUND(F354*K354/100,2)</x:f>
        <x:v>36</x:v>
      </x:c>
      <x:c r="M354" t="n">
        <x:v>0.4</x:v>
      </x:c>
      <x:c r="N354" t="n">
        <x:f>ROUND(F354*M354/100,2)</x:f>
        <x:v>0.6</x:v>
      </x:c>
      <x:c r="O354" t="str">
        <x:v>煮熟沥水重</x:v>
      </x:c>
    </x:row>
    <x:row r="355" ht="23" customHeight="1">
      <x:c r="A355" t="n">
        <x:v>59</x:v>
      </x:c>
      <x:c r="B355" t="n">
        <x:v>30</x:v>
      </x:c>
      <x:c r="C355" t="str">
        <x:v>午餐</x:v>
      </x:c>
      <x:c r="D355" t="str">
        <x:v>油脂</x:v>
      </x:c>
      <x:c r="E355" t="str">
        <x:v>烹调油</x:v>
      </x:c>
      <x:c r="F355" t="n">
        <x:v>4</x:v>
      </x:c>
      <x:c r="G355" t="n">
        <x:v>900</x:v>
      </x:c>
      <x:c r="H355" t="n">
        <x:f>ROUND(F355*G355/100,2)</x:f>
        <x:v>36</x:v>
      </x:c>
      <x:c r="I355" t="n">
        <x:v>0</x:v>
      </x:c>
      <x:c r="J355" t="n">
        <x:f>ROUND(F355*I355/100,2)</x:f>
        <x:v>0</x:v>
      </x:c>
      <x:c r="K355" t="n">
        <x:v>0</x:v>
      </x:c>
      <x:c r="L355" t="n">
        <x:f>ROUND(F355*K355/100,2)</x:f>
        <x:v>0</x:v>
      </x:c>
      <x:c r="M355" t="n">
        <x:v>100</x:v>
      </x:c>
      <x:c r="N355" t="n">
        <x:f>ROUND(F355*M355/100,2)</x:f>
        <x:v>4</x:v>
      </x:c>
      <x:c r="O355" t="str">
        <x:v>实际用油重</x:v>
      </x:c>
    </x:row>
    <x:row r="356" ht="23" customHeight="1">
      <x:c r="A356" t="n">
        <x:v>60</x:v>
      </x:c>
      <x:c r="B356" t="n">
        <x:v>30</x:v>
      </x:c>
      <x:c r="C356" t="str">
        <x:v>晚餐</x:v>
      </x:c>
      <x:c r="D356" t="str">
        <x:v>鱼类</x:v>
      </x:c>
      <x:c r="E356" t="str">
        <x:v>鲈鱼</x:v>
      </x:c>
      <x:c r="F356" t="n">
        <x:v>215</x:v>
      </x:c>
      <x:c r="G356" t="n">
        <x:v>105</x:v>
      </x:c>
      <x:c r="H356" t="n">
        <x:f>ROUND(F356*G356/100,2)</x:f>
        <x:v>225.75</x:v>
      </x:c>
      <x:c r="I356" t="n">
        <x:v>19</x:v>
      </x:c>
      <x:c r="J356" t="n">
        <x:f>ROUND(F356*I356/100,2)</x:f>
        <x:v>40.85</x:v>
      </x:c>
      <x:c r="K356" t="n">
        <x:v>0</x:v>
      </x:c>
      <x:c r="L356" t="n">
        <x:f>ROUND(F356*K356/100,2)</x:f>
        <x:v>0</x:v>
      </x:c>
      <x:c r="M356" t="n">
        <x:v>3</x:v>
      </x:c>
      <x:c r="N356" t="n">
        <x:f>ROUND(F356*M356/100,2)</x:f>
        <x:v>6.45</x:v>
      </x:c>
      <x:c r="O356" t="str">
        <x:v>净鱼肉生重</x:v>
      </x:c>
    </x:row>
    <x:row r="357" ht="23" customHeight="1">
      <x:c r="A357" t="n">
        <x:v>60</x:v>
      </x:c>
      <x:c r="B357" t="n">
        <x:v>30</x:v>
      </x:c>
      <x:c r="C357" t="str">
        <x:v>晚餐</x:v>
      </x:c>
      <x:c r="D357" t="str"/>
      <x:c r="E357" t="str"/>
      <x:c r="F357" t="n">
        <x:v>0</x:v>
      </x:c>
      <x:c r="G357" t="n">
        <x:v>0</x:v>
      </x:c>
      <x:c r="H357" t="n">
        <x:f>ROUND(F357*G357/100,2)</x:f>
        <x:v>0</x:v>
      </x:c>
      <x:c r="I357" t="n">
        <x:v>0</x:v>
      </x:c>
      <x:c r="J357" t="n">
        <x:f>ROUND(F357*I357/100,2)</x:f>
        <x:v>0</x:v>
      </x:c>
      <x:c r="K357" t="n">
        <x:v>0</x:v>
      </x:c>
      <x:c r="L357" t="n">
        <x:f>ROUND(F357*K357/100,2)</x:f>
        <x:v>0</x:v>
      </x:c>
      <x:c r="M357" t="n">
        <x:v>0</x:v>
      </x:c>
      <x:c r="N357" t="n">
        <x:f>ROUND(F357*M357/100,2)</x:f>
        <x:v>0</x:v>
      </x:c>
      <x:c r="O357" t="str"/>
    </x:row>
    <x:row r="358" ht="23" customHeight="1">
      <x:c r="A358" t="n">
        <x:v>60</x:v>
      </x:c>
      <x:c r="B358" t="n">
        <x:v>30</x:v>
      </x:c>
      <x:c r="C358" t="str">
        <x:v>晚餐</x:v>
      </x:c>
      <x:c r="D358" t="str">
        <x:v>蔬菜</x:v>
      </x:c>
      <x:c r="E358" t="str">
        <x:v>西兰花</x:v>
      </x:c>
      <x:c r="F358" t="n">
        <x:v>190</x:v>
      </x:c>
      <x:c r="G358" t="n">
        <x:v>34</x:v>
      </x:c>
      <x:c r="H358" t="n">
        <x:f>ROUND(F358*G358/100,2)</x:f>
        <x:v>64.6</x:v>
      </x:c>
      <x:c r="I358" t="n">
        <x:v>2.8</x:v>
      </x:c>
      <x:c r="J358" t="n">
        <x:f>ROUND(F358*I358/100,2)</x:f>
        <x:v>5.32</x:v>
      </x:c>
      <x:c r="K358" t="n">
        <x:v>7</x:v>
      </x:c>
      <x:c r="L358" t="n">
        <x:f>ROUND(F358*K358/100,2)</x:f>
        <x:v>13.3</x:v>
      </x:c>
      <x:c r="M358" t="n">
        <x:v>0.4</x:v>
      </x:c>
      <x:c r="N358" t="n">
        <x:f>ROUND(F358*M358/100,2)</x:f>
        <x:v>0.76</x:v>
      </x:c>
      <x:c r="O358" t="str">
        <x:v>生重</x:v>
      </x:c>
    </x:row>
    <x:row r="359" ht="23" customHeight="1">
      <x:c r="A359" t="n">
        <x:v>60</x:v>
      </x:c>
      <x:c r="B359" t="n">
        <x:v>30</x:v>
      </x:c>
      <x:c r="C359" t="str">
        <x:v>晚餐</x:v>
      </x:c>
      <x:c r="D359" t="str">
        <x:v>蔬菜</x:v>
      </x:c>
      <x:c r="E359" t="str">
        <x:v>紫甘蓝</x:v>
      </x:c>
      <x:c r="F359" t="n">
        <x:v>125</x:v>
      </x:c>
      <x:c r="G359" t="n">
        <x:v>31</x:v>
      </x:c>
      <x:c r="H359" t="n">
        <x:f>ROUND(F359*G359/100,2)</x:f>
        <x:v>38.75</x:v>
      </x:c>
      <x:c r="I359" t="n">
        <x:v>1.4</x:v>
      </x:c>
      <x:c r="J359" t="n">
        <x:f>ROUND(F359*I359/100,2)</x:f>
        <x:v>1.75</x:v>
      </x:c>
      <x:c r="K359" t="n">
        <x:v>7.3</x:v>
      </x:c>
      <x:c r="L359" t="n">
        <x:f>ROUND(F359*K359/100,2)</x:f>
        <x:v>9.13</x:v>
      </x:c>
      <x:c r="M359" t="n">
        <x:v>0.1</x:v>
      </x:c>
      <x:c r="N359" t="n">
        <x:f>ROUND(F359*M359/100,2)</x:f>
        <x:v>0.13</x:v>
      </x:c>
      <x:c r="O359" t="str">
        <x:v>生重</x:v>
      </x:c>
    </x:row>
    <x:row r="360" ht="23" customHeight="1">
      <x:c r="A360" t="n">
        <x:v>60</x:v>
      </x:c>
      <x:c r="B360" t="n">
        <x:v>30</x:v>
      </x:c>
      <x:c r="C360" t="str">
        <x:v>晚餐</x:v>
      </x:c>
      <x:c r="D360" t="str">
        <x:v>主食</x:v>
      </x:c>
      <x:c r="E360" t="str">
        <x:v>杂粮饭</x:v>
      </x:c>
      <x:c r="F360" t="n">
        <x:v>95</x:v>
      </x:c>
      <x:c r="G360" t="n">
        <x:v>115</x:v>
      </x:c>
      <x:c r="H360" t="n">
        <x:f>ROUND(F360*G360/100,2)</x:f>
        <x:v>109.25</x:v>
      </x:c>
      <x:c r="I360" t="n">
        <x:v>3.1</x:v>
      </x:c>
      <x:c r="J360" t="n">
        <x:f>ROUND(F360*I360/100,2)</x:f>
        <x:v>2.95</x:v>
      </x:c>
      <x:c r="K360" t="n">
        <x:v>23.5</x:v>
      </x:c>
      <x:c r="L360" t="n">
        <x:f>ROUND(F360*K360/100,2)</x:f>
        <x:v>22.33</x:v>
      </x:c>
      <x:c r="M360" t="n">
        <x:v>1.1</x:v>
      </x:c>
      <x:c r="N360" t="n">
        <x:f>ROUND(F360*M360/100,2)</x:f>
        <x:v>1.05</x:v>
      </x:c>
      <x:c r="O360" t="str">
        <x:v>熟重</x:v>
      </x:c>
    </x:row>
    <x:row r="361" ht="23" customHeight="1">
      <x:c r="A361" t="n">
        <x:v>60</x:v>
      </x:c>
      <x:c r="B361" t="n">
        <x:v>30</x:v>
      </x:c>
      <x:c r="C361" t="str">
        <x:v>晚餐</x:v>
      </x:c>
      <x:c r="D361" t="str">
        <x:v>油脂</x:v>
      </x:c>
      <x:c r="E361" t="str">
        <x:v>烹调油</x:v>
      </x:c>
      <x:c r="F361" t="n">
        <x:v>6</x:v>
      </x:c>
      <x:c r="G361" t="n">
        <x:v>900</x:v>
      </x:c>
      <x:c r="H361" t="n">
        <x:f>ROUND(F361*G361/100,2)</x:f>
        <x:v>54</x:v>
      </x:c>
      <x:c r="I361" t="n">
        <x:v>0</x:v>
      </x:c>
      <x:c r="J361" t="n">
        <x:f>ROUND(F361*I361/100,2)</x:f>
        <x:v>0</x:v>
      </x:c>
      <x:c r="K361" t="n">
        <x:v>0</x:v>
      </x:c>
      <x:c r="L361" t="n">
        <x:f>ROUND(F361*K361/100,2)</x:f>
        <x:v>0</x:v>
      </x:c>
      <x:c r="M361" t="n">
        <x:v>100</x:v>
      </x:c>
      <x:c r="N361" t="n">
        <x:f>ROUND(F361*M361/100,2)</x:f>
        <x:v>6</x:v>
      </x:c>
      <x:c r="O361" t="str">
        <x:v>实际用油重</x:v>
      </x:c>
    </x:row>
    <x:row r="362" ht="23" customHeight="1">
      <x:c r="A362" t="n">
        <x:v>61</x:v>
      </x:c>
      <x:c r="B362" t="n">
        <x:v>31</x:v>
      </x:c>
      <x:c r="C362" t="str">
        <x:v>午餐</x:v>
      </x:c>
      <x:c r="D362" t="str">
        <x:v>加工肉</x:v>
      </x:c>
      <x:c r="E362" t="str">
        <x:v>低盐火腿</x:v>
      </x:c>
      <x:c r="F362" t="n">
        <x:v>45</x:v>
      </x:c>
      <x:c r="G362" t="n">
        <x:v>160</x:v>
      </x:c>
      <x:c r="H362" t="n">
        <x:f>ROUND(F362*G362/100,2)</x:f>
        <x:v>72</x:v>
      </x:c>
      <x:c r="I362" t="n">
        <x:v>14</x:v>
      </x:c>
      <x:c r="J362" t="n">
        <x:f>ROUND(F362*I362/100,2)</x:f>
        <x:v>6.3</x:v>
      </x:c>
      <x:c r="K362" t="n">
        <x:v>5</x:v>
      </x:c>
      <x:c r="L362" t="n">
        <x:f>ROUND(F362*K362/100,2)</x:f>
        <x:v>2.25</x:v>
      </x:c>
      <x:c r="M362" t="n">
        <x:v>9</x:v>
      </x:c>
      <x:c r="N362" t="n">
        <x:f>ROUND(F362*M362/100,2)</x:f>
        <x:v>4.05</x:v>
      </x:c>
      <x:c r="O362" t="str">
        <x:v>以品牌标签为准</x:v>
      </x:c>
    </x:row>
    <x:row r="363" ht="23" customHeight="1">
      <x:c r="A363" t="n">
        <x:v>61</x:v>
      </x:c>
      <x:c r="B363" t="n">
        <x:v>31</x:v>
      </x:c>
      <x:c r="C363" t="str">
        <x:v>午餐</x:v>
      </x:c>
      <x:c r="D363" t="str">
        <x:v>豆蛋</x:v>
      </x:c>
      <x:c r="E363" t="str">
        <x:v>鸡蛋</x:v>
      </x:c>
      <x:c r="F363" t="n">
        <x:v>85</x:v>
      </x:c>
      <x:c r="G363" t="n">
        <x:v>144</x:v>
      </x:c>
      <x:c r="H363" t="n">
        <x:f>ROUND(F363*G363/100,2)</x:f>
        <x:v>122.4</x:v>
      </x:c>
      <x:c r="I363" t="n">
        <x:v>13</x:v>
      </x:c>
      <x:c r="J363" t="n">
        <x:f>ROUND(F363*I363/100,2)</x:f>
        <x:v>11.05</x:v>
      </x:c>
      <x:c r="K363" t="n">
        <x:v>1.1</x:v>
      </x:c>
      <x:c r="L363" t="n">
        <x:f>ROUND(F363*K363/100,2)</x:f>
        <x:v>0.94</x:v>
      </x:c>
      <x:c r="M363" t="n">
        <x:v>10</x:v>
      </x:c>
      <x:c r="N363" t="n">
        <x:f>ROUND(F363*M363/100,2)</x:f>
        <x:v>8.5</x:v>
      </x:c>
      <x:c r="O363" t="str">
        <x:v>去壳可食重</x:v>
      </x:c>
    </x:row>
    <x:row r="364" ht="23" customHeight="1">
      <x:c r="A364" t="n">
        <x:v>61</x:v>
      </x:c>
      <x:c r="B364" t="n">
        <x:v>31</x:v>
      </x:c>
      <x:c r="C364" t="str">
        <x:v>午餐</x:v>
      </x:c>
      <x:c r="D364" t="str">
        <x:v>蔬菜</x:v>
      </x:c>
      <x:c r="E364" t="str">
        <x:v>芦笋</x:v>
      </x:c>
      <x:c r="F364" t="n">
        <x:v>190</x:v>
      </x:c>
      <x:c r="G364" t="n">
        <x:v>20</x:v>
      </x:c>
      <x:c r="H364" t="n">
        <x:f>ROUND(F364*G364/100,2)</x:f>
        <x:v>38</x:v>
      </x:c>
      <x:c r="I364" t="n">
        <x:v>2.2</x:v>
      </x:c>
      <x:c r="J364" t="n">
        <x:f>ROUND(F364*I364/100,2)</x:f>
        <x:v>4.18</x:v>
      </x:c>
      <x:c r="K364" t="n">
        <x:v>3.9</x:v>
      </x:c>
      <x:c r="L364" t="n">
        <x:f>ROUND(F364*K364/100,2)</x:f>
        <x:v>7.41</x:v>
      </x:c>
      <x:c r="M364" t="n">
        <x:v>0.1</x:v>
      </x:c>
      <x:c r="N364" t="n">
        <x:f>ROUND(F364*M364/100,2)</x:f>
        <x:v>0.19</x:v>
      </x:c>
      <x:c r="O364" t="str">
        <x:v>生重</x:v>
      </x:c>
    </x:row>
    <x:row r="365" ht="23" customHeight="1">
      <x:c r="A365" t="n">
        <x:v>61</x:v>
      </x:c>
      <x:c r="B365" t="n">
        <x:v>31</x:v>
      </x:c>
      <x:c r="C365" t="str">
        <x:v>午餐</x:v>
      </x:c>
      <x:c r="D365" t="str">
        <x:v>蔬菜</x:v>
      </x:c>
      <x:c r="E365" t="str">
        <x:v>彩椒</x:v>
      </x:c>
      <x:c r="F365" t="n">
        <x:v>125</x:v>
      </x:c>
      <x:c r="G365" t="n">
        <x:v>27</x:v>
      </x:c>
      <x:c r="H365" t="n">
        <x:f>ROUND(F365*G365/100,2)</x:f>
        <x:v>33.75</x:v>
      </x:c>
      <x:c r="I365" t="n">
        <x:v>1</x:v>
      </x:c>
      <x:c r="J365" t="n">
        <x:f>ROUND(F365*I365/100,2)</x:f>
        <x:v>1.25</x:v>
      </x:c>
      <x:c r="K365" t="n">
        <x:v>6.1</x:v>
      </x:c>
      <x:c r="L365" t="n">
        <x:f>ROUND(F365*K365/100,2)</x:f>
        <x:v>7.63</x:v>
      </x:c>
      <x:c r="M365" t="n">
        <x:v>0.2</x:v>
      </x:c>
      <x:c r="N365" t="n">
        <x:f>ROUND(F365*M365/100,2)</x:f>
        <x:v>0.25</x:v>
      </x:c>
      <x:c r="O365" t="str">
        <x:v>生重</x:v>
      </x:c>
    </x:row>
    <x:row r="366" ht="23" customHeight="1">
      <x:c r="A366" t="n">
        <x:v>61</x:v>
      </x:c>
      <x:c r="B366" t="n">
        <x:v>31</x:v>
      </x:c>
      <x:c r="C366" t="str">
        <x:v>午餐</x:v>
      </x:c>
      <x:c r="D366" t="str">
        <x:v>主食</x:v>
      </x:c>
      <x:c r="E366" t="str">
        <x:v>红薯</x:v>
      </x:c>
      <x:c r="F366" t="n">
        <x:v>150</x:v>
      </x:c>
      <x:c r="G366" t="n">
        <x:v>88</x:v>
      </x:c>
      <x:c r="H366" t="n">
        <x:f>ROUND(F366*G366/100,2)</x:f>
        <x:v>132</x:v>
      </x:c>
      <x:c r="I366" t="n">
        <x:v>1.6</x:v>
      </x:c>
      <x:c r="J366" t="n">
        <x:f>ROUND(F366*I366/100,2)</x:f>
        <x:v>2.4</x:v>
      </x:c>
      <x:c r="K366" t="n">
        <x:v>20.5</x:v>
      </x:c>
      <x:c r="L366" t="n">
        <x:f>ROUND(F366*K366/100,2)</x:f>
        <x:v>30.75</x:v>
      </x:c>
      <x:c r="M366" t="n">
        <x:v>0.1</x:v>
      </x:c>
      <x:c r="N366" t="n">
        <x:f>ROUND(F366*M366/100,2)</x:f>
        <x:v>0.15</x:v>
      </x:c>
      <x:c r="O366" t="str">
        <x:v>蒸熟净重</x:v>
      </x:c>
    </x:row>
    <x:row r="367" ht="23" customHeight="1">
      <x:c r="A367" t="n">
        <x:v>61</x:v>
      </x:c>
      <x:c r="B367" t="n">
        <x:v>31</x:v>
      </x:c>
      <x:c r="C367" t="str">
        <x:v>午餐</x:v>
      </x:c>
      <x:c r="D367" t="str">
        <x:v>油脂</x:v>
      </x:c>
      <x:c r="E367" t="str">
        <x:v>烹调油</x:v>
      </x:c>
      <x:c r="F367" t="n">
        <x:v>6</x:v>
      </x:c>
      <x:c r="G367" t="n">
        <x:v>900</x:v>
      </x:c>
      <x:c r="H367" t="n">
        <x:f>ROUND(F367*G367/100,2)</x:f>
        <x:v>54</x:v>
      </x:c>
      <x:c r="I367" t="n">
        <x:v>0</x:v>
      </x:c>
      <x:c r="J367" t="n">
        <x:f>ROUND(F367*I367/100,2)</x:f>
        <x:v>0</x:v>
      </x:c>
      <x:c r="K367" t="n">
        <x:v>0</x:v>
      </x:c>
      <x:c r="L367" t="n">
        <x:f>ROUND(F367*K367/100,2)</x:f>
        <x:v>0</x:v>
      </x:c>
      <x:c r="M367" t="n">
        <x:v>100</x:v>
      </x:c>
      <x:c r="N367" t="n">
        <x:f>ROUND(F367*M367/100,2)</x:f>
        <x:v>6</x:v>
      </x:c>
      <x:c r="O367" t="str">
        <x:v>实际用油重</x:v>
      </x:c>
    </x:row>
    <x:row r="368" ht="23" customHeight="1">
      <x:c r="A368" t="n">
        <x:v>62</x:v>
      </x:c>
      <x:c r="B368" t="n">
        <x:v>31</x:v>
      </x:c>
      <x:c r="C368" t="str">
        <x:v>晚餐</x:v>
      </x:c>
      <x:c r="D368" t="str">
        <x:v>禽肉</x:v>
      </x:c>
      <x:c r="E368" t="str">
        <x:v>鸡里脊肉</x:v>
      </x:c>
      <x:c r="F368" t="n">
        <x:v>145</x:v>
      </x:c>
      <x:c r="G368" t="n">
        <x:v>110</x:v>
      </x:c>
      <x:c r="H368" t="n">
        <x:f>ROUND(F368*G368/100,2)</x:f>
        <x:v>159.5</x:v>
      </x:c>
      <x:c r="I368" t="n">
        <x:v>23</x:v>
      </x:c>
      <x:c r="J368" t="n">
        <x:f>ROUND(F368*I368/100,2)</x:f>
        <x:v>33.35</x:v>
      </x:c>
      <x:c r="K368" t="n">
        <x:v>0</x:v>
      </x:c>
      <x:c r="L368" t="n">
        <x:f>ROUND(F368*K368/100,2)</x:f>
        <x:v>0</x:v>
      </x:c>
      <x:c r="M368" t="n">
        <x:v>1.8</x:v>
      </x:c>
      <x:c r="N368" t="n">
        <x:f>ROUND(F368*M368/100,2)</x:f>
        <x:v>2.61</x:v>
      </x:c>
      <x:c r="O368" t="str">
        <x:v>生重</x:v>
      </x:c>
    </x:row>
    <x:row r="369" ht="23" customHeight="1">
      <x:c r="A369" t="n">
        <x:v>62</x:v>
      </x:c>
      <x:c r="B369" t="n">
        <x:v>31</x:v>
      </x:c>
      <x:c r="C369" t="str">
        <x:v>晚餐</x:v>
      </x:c>
      <x:c r="D369" t="str"/>
      <x:c r="E369" t="str"/>
      <x:c r="F369" t="n">
        <x:v>0</x:v>
      </x:c>
      <x:c r="G369" t="n">
        <x:v>0</x:v>
      </x:c>
      <x:c r="H369" t="n">
        <x:f>ROUND(F369*G369/100,2)</x:f>
        <x:v>0</x:v>
      </x:c>
      <x:c r="I369" t="n">
        <x:v>0</x:v>
      </x:c>
      <x:c r="J369" t="n">
        <x:f>ROUND(F369*I369/100,2)</x:f>
        <x:v>0</x:v>
      </x:c>
      <x:c r="K369" t="n">
        <x:v>0</x:v>
      </x:c>
      <x:c r="L369" t="n">
        <x:f>ROUND(F369*K369/100,2)</x:f>
        <x:v>0</x:v>
      </x:c>
      <x:c r="M369" t="n">
        <x:v>0</x:v>
      </x:c>
      <x:c r="N369" t="n">
        <x:f>ROUND(F369*M369/100,2)</x:f>
        <x:v>0</x:v>
      </x:c>
      <x:c r="O369" t="str"/>
    </x:row>
    <x:row r="370" ht="23" customHeight="1">
      <x:c r="A370" t="n">
        <x:v>62</x:v>
      </x:c>
      <x:c r="B370" t="n">
        <x:v>31</x:v>
      </x:c>
      <x:c r="C370" t="str">
        <x:v>晚餐</x:v>
      </x:c>
      <x:c r="D370" t="str">
        <x:v>蔬菜</x:v>
      </x:c>
      <x:c r="E370" t="str">
        <x:v>彩椒</x:v>
      </x:c>
      <x:c r="F370" t="n">
        <x:v>160</x:v>
      </x:c>
      <x:c r="G370" t="n">
        <x:v>27</x:v>
      </x:c>
      <x:c r="H370" t="n">
        <x:f>ROUND(F370*G370/100,2)</x:f>
        <x:v>43.2</x:v>
      </x:c>
      <x:c r="I370" t="n">
        <x:v>1</x:v>
      </x:c>
      <x:c r="J370" t="n">
        <x:f>ROUND(F370*I370/100,2)</x:f>
        <x:v>1.6</x:v>
      </x:c>
      <x:c r="K370" t="n">
        <x:v>6.1</x:v>
      </x:c>
      <x:c r="L370" t="n">
        <x:f>ROUND(F370*K370/100,2)</x:f>
        <x:v>9.76</x:v>
      </x:c>
      <x:c r="M370" t="n">
        <x:v>0.2</x:v>
      </x:c>
      <x:c r="N370" t="n">
        <x:f>ROUND(F370*M370/100,2)</x:f>
        <x:v>0.32</x:v>
      </x:c>
      <x:c r="O370" t="str">
        <x:v>生重</x:v>
      </x:c>
    </x:row>
    <x:row r="371" ht="23" customHeight="1">
      <x:c r="A371" t="n">
        <x:v>62</x:v>
      </x:c>
      <x:c r="B371" t="n">
        <x:v>31</x:v>
      </x:c>
      <x:c r="C371" t="str">
        <x:v>晚餐</x:v>
      </x:c>
      <x:c r="D371" t="str">
        <x:v>菌菇</x:v>
      </x:c>
      <x:c r="E371" t="str">
        <x:v>香菇</x:v>
      </x:c>
      <x:c r="F371" t="n">
        <x:v>110</x:v>
      </x:c>
      <x:c r="G371" t="n">
        <x:v>34</x:v>
      </x:c>
      <x:c r="H371" t="n">
        <x:f>ROUND(F371*G371/100,2)</x:f>
        <x:v>37.4</x:v>
      </x:c>
      <x:c r="I371" t="n">
        <x:v>2.2</x:v>
      </x:c>
      <x:c r="J371" t="n">
        <x:f>ROUND(F371*I371/100,2)</x:f>
        <x:v>2.42</x:v>
      </x:c>
      <x:c r="K371" t="n">
        <x:v>6.8</x:v>
      </x:c>
      <x:c r="L371" t="n">
        <x:f>ROUND(F371*K371/100,2)</x:f>
        <x:v>7.48</x:v>
      </x:c>
      <x:c r="M371" t="n">
        <x:v>0.5</x:v>
      </x:c>
      <x:c r="N371" t="n">
        <x:f>ROUND(F371*M371/100,2)</x:f>
        <x:v>0.55</x:v>
      </x:c>
      <x:c r="O371" t="str">
        <x:v>生重</x:v>
      </x:c>
    </x:row>
    <x:row r="372" ht="23" customHeight="1">
      <x:c r="A372" t="n">
        <x:v>62</x:v>
      </x:c>
      <x:c r="B372" t="n">
        <x:v>31</x:v>
      </x:c>
      <x:c r="C372" t="str">
        <x:v>晚餐</x:v>
      </x:c>
      <x:c r="D372" t="str">
        <x:v>主食</x:v>
      </x:c>
      <x:c r="E372" t="str">
        <x:v>红薯</x:v>
      </x:c>
      <x:c r="F372" t="n">
        <x:v>115</x:v>
      </x:c>
      <x:c r="G372" t="n">
        <x:v>88</x:v>
      </x:c>
      <x:c r="H372" t="n">
        <x:f>ROUND(F372*G372/100,2)</x:f>
        <x:v>101.2</x:v>
      </x:c>
      <x:c r="I372" t="n">
        <x:v>1.6</x:v>
      </x:c>
      <x:c r="J372" t="n">
        <x:f>ROUND(F372*I372/100,2)</x:f>
        <x:v>1.84</x:v>
      </x:c>
      <x:c r="K372" t="n">
        <x:v>20.5</x:v>
      </x:c>
      <x:c r="L372" t="n">
        <x:f>ROUND(F372*K372/100,2)</x:f>
        <x:v>23.58</x:v>
      </x:c>
      <x:c r="M372" t="n">
        <x:v>0.1</x:v>
      </x:c>
      <x:c r="N372" t="n">
        <x:f>ROUND(F372*M372/100,2)</x:f>
        <x:v>0.12</x:v>
      </x:c>
      <x:c r="O372" t="str">
        <x:v>蒸熟净重</x:v>
      </x:c>
    </x:row>
    <x:row r="373" ht="23" customHeight="1">
      <x:c r="A373" t="n">
        <x:v>62</x:v>
      </x:c>
      <x:c r="B373" t="n">
        <x:v>31</x:v>
      </x:c>
      <x:c r="C373" t="str">
        <x:v>晚餐</x:v>
      </x:c>
      <x:c r="D373" t="str">
        <x:v>油脂</x:v>
      </x:c>
      <x:c r="E373" t="str">
        <x:v>烹调油</x:v>
      </x:c>
      <x:c r="F373" t="n">
        <x:v>3</x:v>
      </x:c>
      <x:c r="G373" t="n">
        <x:v>900</x:v>
      </x:c>
      <x:c r="H373" t="n">
        <x:f>ROUND(F373*G373/100,2)</x:f>
        <x:v>27</x:v>
      </x:c>
      <x:c r="I373" t="n">
        <x:v>0</x:v>
      </x:c>
      <x:c r="J373" t="n">
        <x:f>ROUND(F373*I373/100,2)</x:f>
        <x:v>0</x:v>
      </x:c>
      <x:c r="K373" t="n">
        <x:v>0</x:v>
      </x:c>
      <x:c r="L373" t="n">
        <x:f>ROUND(F373*K373/100,2)</x:f>
        <x:v>0</x:v>
      </x:c>
      <x:c r="M373" t="n">
        <x:v>100</x:v>
      </x:c>
      <x:c r="N373" t="n">
        <x:f>ROUND(F373*M373/100,2)</x:f>
        <x:v>3</x:v>
      </x:c>
      <x:c r="O373" t="str">
        <x:v>实际用油重</x:v>
      </x:c>
    </x:row>
    <x:row r="374" ht="23" customHeight="1">
      <x:c r="A374" t="n">
        <x:v>63</x:v>
      </x:c>
      <x:c r="B374" t="n">
        <x:v>32</x:v>
      </x:c>
      <x:c r="C374" t="str">
        <x:v>午餐</x:v>
      </x:c>
      <x:c r="D374" t="str">
        <x:v>牛肉</x:v>
      </x:c>
      <x:c r="E374" t="str">
        <x:v>瘦牛肉</x:v>
      </x:c>
      <x:c r="F374" t="n">
        <x:v>165</x:v>
      </x:c>
      <x:c r="G374" t="n">
        <x:v>125</x:v>
      </x:c>
      <x:c r="H374" t="n">
        <x:f>ROUND(F374*G374/100,2)</x:f>
        <x:v>206.25</x:v>
      </x:c>
      <x:c r="I374" t="n">
        <x:v>21</x:v>
      </x:c>
      <x:c r="J374" t="n">
        <x:f>ROUND(F374*I374/100,2)</x:f>
        <x:v>34.65</x:v>
      </x:c>
      <x:c r="K374" t="n">
        <x:v>0</x:v>
      </x:c>
      <x:c r="L374" t="n">
        <x:f>ROUND(F374*K374/100,2)</x:f>
        <x:v>0</x:v>
      </x:c>
      <x:c r="M374" t="n">
        <x:v>4</x:v>
      </x:c>
      <x:c r="N374" t="n">
        <x:f>ROUND(F374*M374/100,2)</x:f>
        <x:v>6.6</x:v>
      </x:c>
      <x:c r="O374" t="str">
        <x:v>生重</x:v>
      </x:c>
    </x:row>
    <x:row r="375" ht="23" customHeight="1">
      <x:c r="A375" t="n">
        <x:v>63</x:v>
      </x:c>
      <x:c r="B375" t="n">
        <x:v>32</x:v>
      </x:c>
      <x:c r="C375" t="str">
        <x:v>午餐</x:v>
      </x:c>
      <x:c r="D375" t="str">
        <x:v>豆蛋</x:v>
      </x:c>
      <x:c r="E375" t="str">
        <x:v>熟毛豆仁</x:v>
      </x:c>
      <x:c r="F375" t="n">
        <x:v>50</x:v>
      </x:c>
      <x:c r="G375" t="n">
        <x:v>120</x:v>
      </x:c>
      <x:c r="H375" t="n">
        <x:f>ROUND(F375*G375/100,2)</x:f>
        <x:v>60</x:v>
      </x:c>
      <x:c r="I375" t="n">
        <x:v>12</x:v>
      </x:c>
      <x:c r="J375" t="n">
        <x:f>ROUND(F375*I375/100,2)</x:f>
        <x:v>6</x:v>
      </x:c>
      <x:c r="K375" t="n">
        <x:v>9</x:v>
      </x:c>
      <x:c r="L375" t="n">
        <x:f>ROUND(F375*K375/100,2)</x:f>
        <x:v>4.5</x:v>
      </x:c>
      <x:c r="M375" t="n">
        <x:v>5</x:v>
      </x:c>
      <x:c r="N375" t="n">
        <x:f>ROUND(F375*M375/100,2)</x:f>
        <x:v>2.5</x:v>
      </x:c>
      <x:c r="O375" t="str">
        <x:v>熟重</x:v>
      </x:c>
    </x:row>
    <x:row r="376" ht="23" customHeight="1">
      <x:c r="A376" t="n">
        <x:v>63</x:v>
      </x:c>
      <x:c r="B376" t="n">
        <x:v>32</x:v>
      </x:c>
      <x:c r="C376" t="str">
        <x:v>午餐</x:v>
      </x:c>
      <x:c r="D376" t="str">
        <x:v>蔬菜</x:v>
      </x:c>
      <x:c r="E376" t="str">
        <x:v>大白菜</x:v>
      </x:c>
      <x:c r="F376" t="n">
        <x:v>190</x:v>
      </x:c>
      <x:c r="G376" t="n">
        <x:v>17</x:v>
      </x:c>
      <x:c r="H376" t="n">
        <x:f>ROUND(F376*G376/100,2)</x:f>
        <x:v>32.3</x:v>
      </x:c>
      <x:c r="I376" t="n">
        <x:v>1.5</x:v>
      </x:c>
      <x:c r="J376" t="n">
        <x:f>ROUND(F376*I376/100,2)</x:f>
        <x:v>2.85</x:v>
      </x:c>
      <x:c r="K376" t="n">
        <x:v>3.2</x:v>
      </x:c>
      <x:c r="L376" t="n">
        <x:f>ROUND(F376*K376/100,2)</x:f>
        <x:v>6.08</x:v>
      </x:c>
      <x:c r="M376" t="n">
        <x:v>0.1</x:v>
      </x:c>
      <x:c r="N376" t="n">
        <x:f>ROUND(F376*M376/100,2)</x:f>
        <x:v>0.19</x:v>
      </x:c>
      <x:c r="O376" t="str">
        <x:v>生重</x:v>
      </x:c>
    </x:row>
    <x:row r="377" ht="23" customHeight="1">
      <x:c r="A377" t="n">
        <x:v>63</x:v>
      </x:c>
      <x:c r="B377" t="n">
        <x:v>32</x:v>
      </x:c>
      <x:c r="C377" t="str">
        <x:v>午餐</x:v>
      </x:c>
      <x:c r="D377" t="str">
        <x:v>蔬菜</x:v>
      </x:c>
      <x:c r="E377" t="str">
        <x:v>洋葱</x:v>
      </x:c>
      <x:c r="F377" t="n">
        <x:v>125</x:v>
      </x:c>
      <x:c r="G377" t="n">
        <x:v>40</x:v>
      </x:c>
      <x:c r="H377" t="n">
        <x:f>ROUND(F377*G377/100,2)</x:f>
        <x:v>50</x:v>
      </x:c>
      <x:c r="I377" t="n">
        <x:v>1.1</x:v>
      </x:c>
      <x:c r="J377" t="n">
        <x:f>ROUND(F377*I377/100,2)</x:f>
        <x:v>1.38</x:v>
      </x:c>
      <x:c r="K377" t="n">
        <x:v>9.3</x:v>
      </x:c>
      <x:c r="L377" t="n">
        <x:f>ROUND(F377*K377/100,2)</x:f>
        <x:v>11.63</x:v>
      </x:c>
      <x:c r="M377" t="n">
        <x:v>0.1</x:v>
      </x:c>
      <x:c r="N377" t="n">
        <x:f>ROUND(F377*M377/100,2)</x:f>
        <x:v>0.13</x:v>
      </x:c>
      <x:c r="O377" t="str">
        <x:v>生重</x:v>
      </x:c>
    </x:row>
    <x:row r="378" ht="23" customHeight="1">
      <x:c r="A378" t="n">
        <x:v>63</x:v>
      </x:c>
      <x:c r="B378" t="n">
        <x:v>32</x:v>
      </x:c>
      <x:c r="C378" t="str">
        <x:v>午餐</x:v>
      </x:c>
      <x:c r="D378" t="str">
        <x:v>主食</x:v>
      </x:c>
      <x:c r="E378" t="str">
        <x:v>糙米饭</x:v>
      </x:c>
      <x:c r="F378" t="n">
        <x:v>110</x:v>
      </x:c>
      <x:c r="G378" t="n">
        <x:v>112</x:v>
      </x:c>
      <x:c r="H378" t="n">
        <x:f>ROUND(F378*G378/100,2)</x:f>
        <x:v>123.2</x:v>
      </x:c>
      <x:c r="I378" t="n">
        <x:v>2.6</x:v>
      </x:c>
      <x:c r="J378" t="n">
        <x:f>ROUND(F378*I378/100,2)</x:f>
        <x:v>2.86</x:v>
      </x:c>
      <x:c r="K378" t="n">
        <x:v>23.5</x:v>
      </x:c>
      <x:c r="L378" t="n">
        <x:f>ROUND(F378*K378/100,2)</x:f>
        <x:v>25.85</x:v>
      </x:c>
      <x:c r="M378" t="n">
        <x:v>0.9</x:v>
      </x:c>
      <x:c r="N378" t="n">
        <x:f>ROUND(F378*M378/100,2)</x:f>
        <x:v>0.99</x:v>
      </x:c>
      <x:c r="O378" t="str">
        <x:v>熟重</x:v>
      </x:c>
    </x:row>
    <x:row r="379" ht="23" customHeight="1">
      <x:c r="A379" t="n">
        <x:v>63</x:v>
      </x:c>
      <x:c r="B379" t="n">
        <x:v>32</x:v>
      </x:c>
      <x:c r="C379" t="str">
        <x:v>午餐</x:v>
      </x:c>
      <x:c r="D379" t="str">
        <x:v>油脂</x:v>
      </x:c>
      <x:c r="E379" t="str">
        <x:v>烹调油</x:v>
      </x:c>
      <x:c r="F379" t="n">
        <x:v>6</x:v>
      </x:c>
      <x:c r="G379" t="n">
        <x:v>900</x:v>
      </x:c>
      <x:c r="H379" t="n">
        <x:f>ROUND(F379*G379/100,2)</x:f>
        <x:v>54</x:v>
      </x:c>
      <x:c r="I379" t="n">
        <x:v>0</x:v>
      </x:c>
      <x:c r="J379" t="n">
        <x:f>ROUND(F379*I379/100,2)</x:f>
        <x:v>0</x:v>
      </x:c>
      <x:c r="K379" t="n">
        <x:v>0</x:v>
      </x:c>
      <x:c r="L379" t="n">
        <x:f>ROUND(F379*K379/100,2)</x:f>
        <x:v>0</x:v>
      </x:c>
      <x:c r="M379" t="n">
        <x:v>100</x:v>
      </x:c>
      <x:c r="N379" t="n">
        <x:f>ROUND(F379*M379/100,2)</x:f>
        <x:v>6</x:v>
      </x:c>
      <x:c r="O379" t="str">
        <x:v>实际用油重</x:v>
      </x:c>
    </x:row>
    <x:row r="380" ht="23" customHeight="1">
      <x:c r="A380" t="n">
        <x:v>64</x:v>
      </x:c>
      <x:c r="B380" t="n">
        <x:v>32</x:v>
      </x:c>
      <x:c r="C380" t="str">
        <x:v>晚餐</x:v>
      </x:c>
      <x:c r="D380" t="str">
        <x:v>鱼类</x:v>
      </x:c>
      <x:c r="E380" t="str">
        <x:v>巴沙鱼</x:v>
      </x:c>
      <x:c r="F380" t="n">
        <x:v>175</x:v>
      </x:c>
      <x:c r="G380" t="n">
        <x:v>90</x:v>
      </x:c>
      <x:c r="H380" t="n">
        <x:f>ROUND(F380*G380/100,2)</x:f>
        <x:v>157.5</x:v>
      </x:c>
      <x:c r="I380" t="n">
        <x:v>17</x:v>
      </x:c>
      <x:c r="J380" t="n">
        <x:f>ROUND(F380*I380/100,2)</x:f>
        <x:v>29.75</x:v>
      </x:c>
      <x:c r="K380" t="n">
        <x:v>0</x:v>
      </x:c>
      <x:c r="L380" t="n">
        <x:f>ROUND(F380*K380/100,2)</x:f>
        <x:v>0</x:v>
      </x:c>
      <x:c r="M380" t="n">
        <x:v>2.3</x:v>
      </x:c>
      <x:c r="N380" t="n">
        <x:f>ROUND(F380*M380/100,2)</x:f>
        <x:v>4.02</x:v>
      </x:c>
      <x:c r="O380" t="str">
        <x:v>净鱼肉生重</x:v>
      </x:c>
    </x:row>
    <x:row r="381" ht="23" customHeight="1">
      <x:c r="A381" t="n">
        <x:v>64</x:v>
      </x:c>
      <x:c r="B381" t="n">
        <x:v>32</x:v>
      </x:c>
      <x:c r="C381" t="str">
        <x:v>晚餐</x:v>
      </x:c>
      <x:c r="D381" t="str"/>
      <x:c r="E381" t="str"/>
      <x:c r="F381" t="n">
        <x:v>0</x:v>
      </x:c>
      <x:c r="G381" t="n">
        <x:v>0</x:v>
      </x:c>
      <x:c r="H381" t="n">
        <x:f>ROUND(F381*G381/100,2)</x:f>
        <x:v>0</x:v>
      </x:c>
      <x:c r="I381" t="n">
        <x:v>0</x:v>
      </x:c>
      <x:c r="J381" t="n">
        <x:f>ROUND(F381*I381/100,2)</x:f>
        <x:v>0</x:v>
      </x:c>
      <x:c r="K381" t="n">
        <x:v>0</x:v>
      </x:c>
      <x:c r="L381" t="n">
        <x:f>ROUND(F381*K381/100,2)</x:f>
        <x:v>0</x:v>
      </x:c>
      <x:c r="M381" t="n">
        <x:v>0</x:v>
      </x:c>
      <x:c r="N381" t="n">
        <x:f>ROUND(F381*M381/100,2)</x:f>
        <x:v>0</x:v>
      </x:c>
      <x:c r="O381" t="str"/>
    </x:row>
    <x:row r="382" ht="23" customHeight="1">
      <x:c r="A382" t="n">
        <x:v>64</x:v>
      </x:c>
      <x:c r="B382" t="n">
        <x:v>32</x:v>
      </x:c>
      <x:c r="C382" t="str">
        <x:v>晚餐</x:v>
      </x:c>
      <x:c r="D382" t="str">
        <x:v>蔬菜</x:v>
      </x:c>
      <x:c r="E382" t="str">
        <x:v>番茄</x:v>
      </x:c>
      <x:c r="F382" t="n">
        <x:v>190</x:v>
      </x:c>
      <x:c r="G382" t="n">
        <x:v>20</x:v>
      </x:c>
      <x:c r="H382" t="n">
        <x:f>ROUND(F382*G382/100,2)</x:f>
        <x:v>38</x:v>
      </x:c>
      <x:c r="I382" t="n">
        <x:v>0.9</x:v>
      </x:c>
      <x:c r="J382" t="n">
        <x:f>ROUND(F382*I382/100,2)</x:f>
        <x:v>1.71</x:v>
      </x:c>
      <x:c r="K382" t="n">
        <x:v>4</x:v>
      </x:c>
      <x:c r="L382" t="n">
        <x:f>ROUND(F382*K382/100,2)</x:f>
        <x:v>7.6</x:v>
      </x:c>
      <x:c r="M382" t="n">
        <x:v>0.2</x:v>
      </x:c>
      <x:c r="N382" t="n">
        <x:f>ROUND(F382*M382/100,2)</x:f>
        <x:v>0.38</x:v>
      </x:c>
      <x:c r="O382" t="str">
        <x:v>生重</x:v>
      </x:c>
    </x:row>
    <x:row r="383" ht="23" customHeight="1">
      <x:c r="A383" t="n">
        <x:v>64</x:v>
      </x:c>
      <x:c r="B383" t="n">
        <x:v>32</x:v>
      </x:c>
      <x:c r="C383" t="str">
        <x:v>晚餐</x:v>
      </x:c>
      <x:c r="D383" t="str">
        <x:v>菌菇</x:v>
      </x:c>
      <x:c r="E383" t="str">
        <x:v>口蘑</x:v>
      </x:c>
      <x:c r="F383" t="n">
        <x:v>110</x:v>
      </x:c>
      <x:c r="G383" t="n">
        <x:v>22</x:v>
      </x:c>
      <x:c r="H383" t="n">
        <x:f>ROUND(F383*G383/100,2)</x:f>
        <x:v>24.2</x:v>
      </x:c>
      <x:c r="I383" t="n">
        <x:v>3.1</x:v>
      </x:c>
      <x:c r="J383" t="n">
        <x:f>ROUND(F383*I383/100,2)</x:f>
        <x:v>3.41</x:v>
      </x:c>
      <x:c r="K383" t="n">
        <x:v>3.3</x:v>
      </x:c>
      <x:c r="L383" t="n">
        <x:f>ROUND(F383*K383/100,2)</x:f>
        <x:v>3.63</x:v>
      </x:c>
      <x:c r="M383" t="n">
        <x:v>0.3</x:v>
      </x:c>
      <x:c r="N383" t="n">
        <x:f>ROUND(F383*M383/100,2)</x:f>
        <x:v>0.33</x:v>
      </x:c>
      <x:c r="O383" t="str">
        <x:v>生重</x:v>
      </x:c>
    </x:row>
    <x:row r="384" ht="23" customHeight="1">
      <x:c r="A384" t="n">
        <x:v>64</x:v>
      </x:c>
      <x:c r="B384" t="n">
        <x:v>32</x:v>
      </x:c>
      <x:c r="C384" t="str">
        <x:v>晚餐</x:v>
      </x:c>
      <x:c r="D384" t="str">
        <x:v>主食</x:v>
      </x:c>
      <x:c r="E384" t="str">
        <x:v>藜麦饭</x:v>
      </x:c>
      <x:c r="F384" t="n">
        <x:v>135</x:v>
      </x:c>
      <x:c r="G384" t="n">
        <x:v>120</x:v>
      </x:c>
      <x:c r="H384" t="n">
        <x:f>ROUND(F384*G384/100,2)</x:f>
        <x:v>162</x:v>
      </x:c>
      <x:c r="I384" t="n">
        <x:v>4.4</x:v>
      </x:c>
      <x:c r="J384" t="n">
        <x:f>ROUND(F384*I384/100,2)</x:f>
        <x:v>5.94</x:v>
      </x:c>
      <x:c r="K384" t="n">
        <x:v>21.3</x:v>
      </x:c>
      <x:c r="L384" t="n">
        <x:f>ROUND(F384*K384/100,2)</x:f>
        <x:v>28.76</x:v>
      </x:c>
      <x:c r="M384" t="n">
        <x:v>1.9</x:v>
      </x:c>
      <x:c r="N384" t="n">
        <x:f>ROUND(F384*M384/100,2)</x:f>
        <x:v>2.57</x:v>
      </x:c>
      <x:c r="O384" t="str">
        <x:v>熟重</x:v>
      </x:c>
    </x:row>
    <x:row r="385" ht="23" customHeight="1">
      <x:c r="A385" t="n">
        <x:v>64</x:v>
      </x:c>
      <x:c r="B385" t="n">
        <x:v>32</x:v>
      </x:c>
      <x:c r="C385" t="str">
        <x:v>晚餐</x:v>
      </x:c>
      <x:c r="D385" t="str">
        <x:v>油脂</x:v>
      </x:c>
      <x:c r="E385" t="str">
        <x:v>烹调油</x:v>
      </x:c>
      <x:c r="F385" t="n">
        <x:v>4</x:v>
      </x:c>
      <x:c r="G385" t="n">
        <x:v>900</x:v>
      </x:c>
      <x:c r="H385" t="n">
        <x:f>ROUND(F385*G385/100,2)</x:f>
        <x:v>36</x:v>
      </x:c>
      <x:c r="I385" t="n">
        <x:v>0</x:v>
      </x:c>
      <x:c r="J385" t="n">
        <x:f>ROUND(F385*I385/100,2)</x:f>
        <x:v>0</x:v>
      </x:c>
      <x:c r="K385" t="n">
        <x:v>0</x:v>
      </x:c>
      <x:c r="L385" t="n">
        <x:f>ROUND(F385*K385/100,2)</x:f>
        <x:v>0</x:v>
      </x:c>
      <x:c r="M385" t="n">
        <x:v>100</x:v>
      </x:c>
      <x:c r="N385" t="n">
        <x:f>ROUND(F385*M385/100,2)</x:f>
        <x:v>4</x:v>
      </x:c>
      <x:c r="O385" t="str">
        <x:v>实际用油重</x:v>
      </x:c>
    </x:row>
    <x:row r="386" ht="23" customHeight="1">
      <x:c r="A386" t="n">
        <x:v>65</x:v>
      </x:c>
      <x:c r="B386" t="n">
        <x:v>33</x:v>
      </x:c>
      <x:c r="C386" t="str">
        <x:v>午餐</x:v>
      </x:c>
      <x:c r="D386" t="str">
        <x:v>鱼类</x:v>
      </x:c>
      <x:c r="E386" t="str">
        <x:v>三文鱼</x:v>
      </x:c>
      <x:c r="F386" t="n">
        <x:v>145</x:v>
      </x:c>
      <x:c r="G386" t="n">
        <x:v>205</x:v>
      </x:c>
      <x:c r="H386" t="n">
        <x:f>ROUND(F386*G386/100,2)</x:f>
        <x:v>297.25</x:v>
      </x:c>
      <x:c r="I386" t="n">
        <x:v>20</x:v>
      </x:c>
      <x:c r="J386" t="n">
        <x:f>ROUND(F386*I386/100,2)</x:f>
        <x:v>29</x:v>
      </x:c>
      <x:c r="K386" t="n">
        <x:v>0</x:v>
      </x:c>
      <x:c r="L386" t="n">
        <x:f>ROUND(F386*K386/100,2)</x:f>
        <x:v>0</x:v>
      </x:c>
      <x:c r="M386" t="n">
        <x:v>13</x:v>
      </x:c>
      <x:c r="N386" t="n">
        <x:f>ROUND(F386*M386/100,2)</x:f>
        <x:v>18.85</x:v>
      </x:c>
      <x:c r="O386" t="str">
        <x:v>净鱼肉生重</x:v>
      </x:c>
    </x:row>
    <x:row r="387" ht="23" customHeight="1">
      <x:c r="A387" t="n">
        <x:v>65</x:v>
      </x:c>
      <x:c r="B387" t="n">
        <x:v>33</x:v>
      </x:c>
      <x:c r="C387" t="str">
        <x:v>午餐</x:v>
      </x:c>
      <x:c r="D387" t="str"/>
      <x:c r="E387" t="str"/>
      <x:c r="F387" t="n">
        <x:v>0</x:v>
      </x:c>
      <x:c r="G387" t="n">
        <x:v>0</x:v>
      </x:c>
      <x:c r="H387" t="n">
        <x:f>ROUND(F387*G387/100,2)</x:f>
        <x:v>0</x:v>
      </x:c>
      <x:c r="I387" t="n">
        <x:v>0</x:v>
      </x:c>
      <x:c r="J387" t="n">
        <x:f>ROUND(F387*I387/100,2)</x:f>
        <x:v>0</x:v>
      </x:c>
      <x:c r="K387" t="n">
        <x:v>0</x:v>
      </x:c>
      <x:c r="L387" t="n">
        <x:f>ROUND(F387*K387/100,2)</x:f>
        <x:v>0</x:v>
      </x:c>
      <x:c r="M387" t="n">
        <x:v>0</x:v>
      </x:c>
      <x:c r="N387" t="n">
        <x:f>ROUND(F387*M387/100,2)</x:f>
        <x:v>0</x:v>
      </x:c>
      <x:c r="O387" t="str"/>
    </x:row>
    <x:row r="388" ht="23" customHeight="1">
      <x:c r="A388" t="n">
        <x:v>65</x:v>
      </x:c>
      <x:c r="B388" t="n">
        <x:v>33</x:v>
      </x:c>
      <x:c r="C388" t="str">
        <x:v>午餐</x:v>
      </x:c>
      <x:c r="D388" t="str">
        <x:v>蔬菜</x:v>
      </x:c>
      <x:c r="E388" t="str">
        <x:v>西兰花</x:v>
      </x:c>
      <x:c r="F388" t="n">
        <x:v>175</x:v>
      </x:c>
      <x:c r="G388" t="n">
        <x:v>34</x:v>
      </x:c>
      <x:c r="H388" t="n">
        <x:f>ROUND(F388*G388/100,2)</x:f>
        <x:v>59.5</x:v>
      </x:c>
      <x:c r="I388" t="n">
        <x:v>2.8</x:v>
      </x:c>
      <x:c r="J388" t="n">
        <x:f>ROUND(F388*I388/100,2)</x:f>
        <x:v>4.9</x:v>
      </x:c>
      <x:c r="K388" t="n">
        <x:v>7</x:v>
      </x:c>
      <x:c r="L388" t="n">
        <x:f>ROUND(F388*K388/100,2)</x:f>
        <x:v>12.25</x:v>
      </x:c>
      <x:c r="M388" t="n">
        <x:v>0.4</x:v>
      </x:c>
      <x:c r="N388" t="n">
        <x:f>ROUND(F388*M388/100,2)</x:f>
        <x:v>0.7</x:v>
      </x:c>
      <x:c r="O388" t="str">
        <x:v>生重</x:v>
      </x:c>
    </x:row>
    <x:row r="389" ht="23" customHeight="1">
      <x:c r="A389" t="n">
        <x:v>65</x:v>
      </x:c>
      <x:c r="B389" t="n">
        <x:v>33</x:v>
      </x:c>
      <x:c r="C389" t="str">
        <x:v>午餐</x:v>
      </x:c>
      <x:c r="D389" t="str">
        <x:v>蔬菜</x:v>
      </x:c>
      <x:c r="E389" t="str">
        <x:v>洋葱</x:v>
      </x:c>
      <x:c r="F389" t="n">
        <x:v>140</x:v>
      </x:c>
      <x:c r="G389" t="n">
        <x:v>40</x:v>
      </x:c>
      <x:c r="H389" t="n">
        <x:f>ROUND(F389*G389/100,2)</x:f>
        <x:v>56</x:v>
      </x:c>
      <x:c r="I389" t="n">
        <x:v>1.1</x:v>
      </x:c>
      <x:c r="J389" t="n">
        <x:f>ROUND(F389*I389/100,2)</x:f>
        <x:v>1.54</x:v>
      </x:c>
      <x:c r="K389" t="n">
        <x:v>9.3</x:v>
      </x:c>
      <x:c r="L389" t="n">
        <x:f>ROUND(F389*K389/100,2)</x:f>
        <x:v>13.02</x:v>
      </x:c>
      <x:c r="M389" t="n">
        <x:v>0.1</x:v>
      </x:c>
      <x:c r="N389" t="n">
        <x:f>ROUND(F389*M389/100,2)</x:f>
        <x:v>0.14</x:v>
      </x:c>
      <x:c r="O389" t="str">
        <x:v>生重</x:v>
      </x:c>
    </x:row>
    <x:row r="390" ht="23" customHeight="1">
      <x:c r="A390" t="n">
        <x:v>65</x:v>
      </x:c>
      <x:c r="B390" t="n">
        <x:v>33</x:v>
      </x:c>
      <x:c r="C390" t="str">
        <x:v>午餐</x:v>
      </x:c>
      <x:c r="D390" t="str">
        <x:v>主食</x:v>
      </x:c>
      <x:c r="E390" t="str">
        <x:v>燕麦饭</x:v>
      </x:c>
      <x:c r="F390" t="n">
        <x:v>110</x:v>
      </x:c>
      <x:c r="G390" t="n">
        <x:v>110</x:v>
      </x:c>
      <x:c r="H390" t="n">
        <x:f>ROUND(F390*G390/100,2)</x:f>
        <x:v>121</x:v>
      </x:c>
      <x:c r="I390" t="n">
        <x:v>3.2</x:v>
      </x:c>
      <x:c r="J390" t="n">
        <x:f>ROUND(F390*I390/100,2)</x:f>
        <x:v>3.52</x:v>
      </x:c>
      <x:c r="K390" t="n">
        <x:v>21</x:v>
      </x:c>
      <x:c r="L390" t="n">
        <x:f>ROUND(F390*K390/100,2)</x:f>
        <x:v>23.1</x:v>
      </x:c>
      <x:c r="M390" t="n">
        <x:v>1.8</x:v>
      </x:c>
      <x:c r="N390" t="n">
        <x:f>ROUND(F390*M390/100,2)</x:f>
        <x:v>1.98</x:v>
      </x:c>
      <x:c r="O390" t="str">
        <x:v>熟重</x:v>
      </x:c>
    </x:row>
    <x:row r="391" ht="23" customHeight="1">
      <x:c r="A391" t="n">
        <x:v>65</x:v>
      </x:c>
      <x:c r="B391" t="n">
        <x:v>33</x:v>
      </x:c>
      <x:c r="C391" t="str">
        <x:v>午餐</x:v>
      </x:c>
      <x:c r="D391" t="str">
        <x:v>油脂</x:v>
      </x:c>
      <x:c r="E391" t="str">
        <x:v>烹调油</x:v>
      </x:c>
      <x:c r="F391" t="n">
        <x:v>4</x:v>
      </x:c>
      <x:c r="G391" t="n">
        <x:v>900</x:v>
      </x:c>
      <x:c r="H391" t="n">
        <x:f>ROUND(F391*G391/100,2)</x:f>
        <x:v>36</x:v>
      </x:c>
      <x:c r="I391" t="n">
        <x:v>0</x:v>
      </x:c>
      <x:c r="J391" t="n">
        <x:f>ROUND(F391*I391/100,2)</x:f>
        <x:v>0</x:v>
      </x:c>
      <x:c r="K391" t="n">
        <x:v>0</x:v>
      </x:c>
      <x:c r="L391" t="n">
        <x:f>ROUND(F391*K391/100,2)</x:f>
        <x:v>0</x:v>
      </x:c>
      <x:c r="M391" t="n">
        <x:v>100</x:v>
      </x:c>
      <x:c r="N391" t="n">
        <x:f>ROUND(F391*M391/100,2)</x:f>
        <x:v>4</x:v>
      </x:c>
      <x:c r="O391" t="str">
        <x:v>实际用油重</x:v>
      </x:c>
    </x:row>
    <x:row r="392" ht="23" customHeight="1">
      <x:c r="A392" t="n">
        <x:v>66</x:v>
      </x:c>
      <x:c r="B392" t="n">
        <x:v>33</x:v>
      </x:c>
      <x:c r="C392" t="str">
        <x:v>晚餐</x:v>
      </x:c>
      <x:c r="D392" t="str">
        <x:v>禽肉</x:v>
      </x:c>
      <x:c r="E392" t="str">
        <x:v>鸡胸肉</x:v>
      </x:c>
      <x:c r="F392" t="n">
        <x:v>145</x:v>
      </x:c>
      <x:c r="G392" t="n">
        <x:v>110</x:v>
      </x:c>
      <x:c r="H392" t="n">
        <x:f>ROUND(F392*G392/100,2)</x:f>
        <x:v>159.5</x:v>
      </x:c>
      <x:c r="I392" t="n">
        <x:v>23</x:v>
      </x:c>
      <x:c r="J392" t="n">
        <x:f>ROUND(F392*I392/100,2)</x:f>
        <x:v>33.35</x:v>
      </x:c>
      <x:c r="K392" t="n">
        <x:v>0</x:v>
      </x:c>
      <x:c r="L392" t="n">
        <x:f>ROUND(F392*K392/100,2)</x:f>
        <x:v>0</x:v>
      </x:c>
      <x:c r="M392" t="n">
        <x:v>2</x:v>
      </x:c>
      <x:c r="N392" t="n">
        <x:f>ROUND(F392*M392/100,2)</x:f>
        <x:v>2.9</x:v>
      </x:c>
      <x:c r="O392" t="str">
        <x:v>生重</x:v>
      </x:c>
    </x:row>
    <x:row r="393" ht="23" customHeight="1">
      <x:c r="A393" t="n">
        <x:v>66</x:v>
      </x:c>
      <x:c r="B393" t="n">
        <x:v>33</x:v>
      </x:c>
      <x:c r="C393" t="str">
        <x:v>晚餐</x:v>
      </x:c>
      <x:c r="D393" t="str"/>
      <x:c r="E393" t="str"/>
      <x:c r="F393" t="n">
        <x:v>0</x:v>
      </x:c>
      <x:c r="G393" t="n">
        <x:v>0</x:v>
      </x:c>
      <x:c r="H393" t="n">
        <x:f>ROUND(F393*G393/100,2)</x:f>
        <x:v>0</x:v>
      </x:c>
      <x:c r="I393" t="n">
        <x:v>0</x:v>
      </x:c>
      <x:c r="J393" t="n">
        <x:f>ROUND(F393*I393/100,2)</x:f>
        <x:v>0</x:v>
      </x:c>
      <x:c r="K393" t="n">
        <x:v>0</x:v>
      </x:c>
      <x:c r="L393" t="n">
        <x:f>ROUND(F393*K393/100,2)</x:f>
        <x:v>0</x:v>
      </x:c>
      <x:c r="M393" t="n">
        <x:v>0</x:v>
      </x:c>
      <x:c r="N393" t="n">
        <x:f>ROUND(F393*M393/100,2)</x:f>
        <x:v>0</x:v>
      </x:c>
      <x:c r="O393" t="str"/>
    </x:row>
    <x:row r="394" ht="23" customHeight="1">
      <x:c r="A394" t="n">
        <x:v>66</x:v>
      </x:c>
      <x:c r="B394" t="n">
        <x:v>33</x:v>
      </x:c>
      <x:c r="C394" t="str">
        <x:v>晚餐</x:v>
      </x:c>
      <x:c r="D394" t="str">
        <x:v>蔬菜</x:v>
      </x:c>
      <x:c r="E394" t="str">
        <x:v>白萝卜</x:v>
      </x:c>
      <x:c r="F394" t="n">
        <x:v>175</x:v>
      </x:c>
      <x:c r="G394" t="n">
        <x:v>18</x:v>
      </x:c>
      <x:c r="H394" t="n">
        <x:f>ROUND(F394*G394/100,2)</x:f>
        <x:v>31.5</x:v>
      </x:c>
      <x:c r="I394" t="n">
        <x:v>0.6</x:v>
      </x:c>
      <x:c r="J394" t="n">
        <x:f>ROUND(F394*I394/100,2)</x:f>
        <x:v>1.05</x:v>
      </x:c>
      <x:c r="K394" t="n">
        <x:v>4</x:v>
      </x:c>
      <x:c r="L394" t="n">
        <x:f>ROUND(F394*K394/100,2)</x:f>
        <x:v>7</x:v>
      </x:c>
      <x:c r="M394" t="n">
        <x:v>0.1</x:v>
      </x:c>
      <x:c r="N394" t="n">
        <x:f>ROUND(F394*M394/100,2)</x:f>
        <x:v>0.18</x:v>
      </x:c>
      <x:c r="O394" t="str">
        <x:v>生重</x:v>
      </x:c>
    </x:row>
    <x:row r="395" ht="23" customHeight="1">
      <x:c r="A395" t="n">
        <x:v>66</x:v>
      </x:c>
      <x:c r="B395" t="n">
        <x:v>33</x:v>
      </x:c>
      <x:c r="C395" t="str">
        <x:v>晚餐</x:v>
      </x:c>
      <x:c r="D395" t="str">
        <x:v>蔬菜</x:v>
      </x:c>
      <x:c r="E395" t="str">
        <x:v>海带</x:v>
      </x:c>
      <x:c r="F395" t="n">
        <x:v>125</x:v>
      </x:c>
      <x:c r="G395" t="n">
        <x:v>25</x:v>
      </x:c>
      <x:c r="H395" t="n">
        <x:f>ROUND(F395*G395/100,2)</x:f>
        <x:v>31.25</x:v>
      </x:c>
      <x:c r="I395" t="n">
        <x:v>1</x:v>
      </x:c>
      <x:c r="J395" t="n">
        <x:f>ROUND(F395*I395/100,2)</x:f>
        <x:v>1.25</x:v>
      </x:c>
      <x:c r="K395" t="n">
        <x:v>5</x:v>
      </x:c>
      <x:c r="L395" t="n">
        <x:f>ROUND(F395*K395/100,2)</x:f>
        <x:v>6.25</x:v>
      </x:c>
      <x:c r="M395" t="n">
        <x:v>0.1</x:v>
      </x:c>
      <x:c r="N395" t="n">
        <x:f>ROUND(F395*M395/100,2)</x:f>
        <x:v>0.13</x:v>
      </x:c>
      <x:c r="O395" t="str">
        <x:v>泡发沥水重</x:v>
      </x:c>
    </x:row>
    <x:row r="396" ht="23" customHeight="1">
      <x:c r="A396" t="n">
        <x:v>66</x:v>
      </x:c>
      <x:c r="B396" t="n">
        <x:v>33</x:v>
      </x:c>
      <x:c r="C396" t="str">
        <x:v>晚餐</x:v>
      </x:c>
      <x:c r="D396" t="str">
        <x:v>主食</x:v>
      </x:c>
      <x:c r="E396" t="str">
        <x:v>糙米饭</x:v>
      </x:c>
      <x:c r="F396" t="n">
        <x:v>135</x:v>
      </x:c>
      <x:c r="G396" t="n">
        <x:v>112</x:v>
      </x:c>
      <x:c r="H396" t="n">
        <x:f>ROUND(F396*G396/100,2)</x:f>
        <x:v>151.2</x:v>
      </x:c>
      <x:c r="I396" t="n">
        <x:v>2.6</x:v>
      </x:c>
      <x:c r="J396" t="n">
        <x:f>ROUND(F396*I396/100,2)</x:f>
        <x:v>3.51</x:v>
      </x:c>
      <x:c r="K396" t="n">
        <x:v>23.5</x:v>
      </x:c>
      <x:c r="L396" t="n">
        <x:f>ROUND(F396*K396/100,2)</x:f>
        <x:v>31.73</x:v>
      </x:c>
      <x:c r="M396" t="n">
        <x:v>0.9</x:v>
      </x:c>
      <x:c r="N396" t="n">
        <x:f>ROUND(F396*M396/100,2)</x:f>
        <x:v>1.22</x:v>
      </x:c>
      <x:c r="O396" t="str">
        <x:v>熟重</x:v>
      </x:c>
    </x:row>
    <x:row r="397" ht="23" customHeight="1">
      <x:c r="A397" t="n">
        <x:v>66</x:v>
      </x:c>
      <x:c r="B397" t="n">
        <x:v>33</x:v>
      </x:c>
      <x:c r="C397" t="str">
        <x:v>晚餐</x:v>
      </x:c>
      <x:c r="D397" t="str">
        <x:v>油脂</x:v>
      </x:c>
      <x:c r="E397" t="str">
        <x:v>烹调油</x:v>
      </x:c>
      <x:c r="F397" t="n">
        <x:v>5</x:v>
      </x:c>
      <x:c r="G397" t="n">
        <x:v>900</x:v>
      </x:c>
      <x:c r="H397" t="n">
        <x:f>ROUND(F397*G397/100,2)</x:f>
        <x:v>45</x:v>
      </x:c>
      <x:c r="I397" t="n">
        <x:v>0</x:v>
      </x:c>
      <x:c r="J397" t="n">
        <x:f>ROUND(F397*I397/100,2)</x:f>
        <x:v>0</x:v>
      </x:c>
      <x:c r="K397" t="n">
        <x:v>0</x:v>
      </x:c>
      <x:c r="L397" t="n">
        <x:f>ROUND(F397*K397/100,2)</x:f>
        <x:v>0</x:v>
      </x:c>
      <x:c r="M397" t="n">
        <x:v>100</x:v>
      </x:c>
      <x:c r="N397" t="n">
        <x:f>ROUND(F397*M397/100,2)</x:f>
        <x:v>5</x:v>
      </x:c>
      <x:c r="O397" t="str">
        <x:v>实际用油重</x:v>
      </x:c>
    </x:row>
    <x:row r="398" ht="23" customHeight="1">
      <x:c r="A398" t="n">
        <x:v>67</x:v>
      </x:c>
      <x:c r="B398" t="n">
        <x:v>34</x:v>
      </x:c>
      <x:c r="C398" t="str">
        <x:v>午餐</x:v>
      </x:c>
      <x:c r="D398" t="str">
        <x:v>猪肉</x:v>
      </x:c>
      <x:c r="E398" t="str">
        <x:v>猪里脊</x:v>
      </x:c>
      <x:c r="F398" t="n">
        <x:v>155</x:v>
      </x:c>
      <x:c r="G398" t="n">
        <x:v>120</x:v>
      </x:c>
      <x:c r="H398" t="n">
        <x:f>ROUND(F398*G398/100,2)</x:f>
        <x:v>186</x:v>
      </x:c>
      <x:c r="I398" t="n">
        <x:v>21</x:v>
      </x:c>
      <x:c r="J398" t="n">
        <x:f>ROUND(F398*I398/100,2)</x:f>
        <x:v>32.55</x:v>
      </x:c>
      <x:c r="K398" t="n">
        <x:v>0</x:v>
      </x:c>
      <x:c r="L398" t="n">
        <x:f>ROUND(F398*K398/100,2)</x:f>
        <x:v>0</x:v>
      </x:c>
      <x:c r="M398" t="n">
        <x:v>3.5</x:v>
      </x:c>
      <x:c r="N398" t="n">
        <x:f>ROUND(F398*M398/100,2)</x:f>
        <x:v>5.43</x:v>
      </x:c>
      <x:c r="O398" t="str">
        <x:v>生重</x:v>
      </x:c>
    </x:row>
    <x:row r="399" ht="23" customHeight="1">
      <x:c r="A399" t="n">
        <x:v>67</x:v>
      </x:c>
      <x:c r="B399" t="n">
        <x:v>34</x:v>
      </x:c>
      <x:c r="C399" t="str">
        <x:v>午餐</x:v>
      </x:c>
      <x:c r="D399" t="str"/>
      <x:c r="E399" t="str"/>
      <x:c r="F399" t="n">
        <x:v>0</x:v>
      </x:c>
      <x:c r="G399" t="n">
        <x:v>0</x:v>
      </x:c>
      <x:c r="H399" t="n">
        <x:f>ROUND(F399*G399/100,2)</x:f>
        <x:v>0</x:v>
      </x:c>
      <x:c r="I399" t="n">
        <x:v>0</x:v>
      </x:c>
      <x:c r="J399" t="n">
        <x:f>ROUND(F399*I399/100,2)</x:f>
        <x:v>0</x:v>
      </x:c>
      <x:c r="K399" t="n">
        <x:v>0</x:v>
      </x:c>
      <x:c r="L399" t="n">
        <x:f>ROUND(F399*K399/100,2)</x:f>
        <x:v>0</x:v>
      </x:c>
      <x:c r="M399" t="n">
        <x:v>0</x:v>
      </x:c>
      <x:c r="N399" t="n">
        <x:f>ROUND(F399*M399/100,2)</x:f>
        <x:v>0</x:v>
      </x:c>
      <x:c r="O399" t="str"/>
    </x:row>
    <x:row r="400" ht="23" customHeight="1">
      <x:c r="A400" t="n">
        <x:v>67</x:v>
      </x:c>
      <x:c r="B400" t="n">
        <x:v>34</x:v>
      </x:c>
      <x:c r="C400" t="str">
        <x:v>午餐</x:v>
      </x:c>
      <x:c r="D400" t="str">
        <x:v>蔬菜</x:v>
      </x:c>
      <x:c r="E400" t="str">
        <x:v>四季豆</x:v>
      </x:c>
      <x:c r="F400" t="n">
        <x:v>175</x:v>
      </x:c>
      <x:c r="G400" t="n">
        <x:v>31</x:v>
      </x:c>
      <x:c r="H400" t="n">
        <x:f>ROUND(F400*G400/100,2)</x:f>
        <x:v>54.25</x:v>
      </x:c>
      <x:c r="I400" t="n">
        <x:v>1.8</x:v>
      </x:c>
      <x:c r="J400" t="n">
        <x:f>ROUND(F400*I400/100,2)</x:f>
        <x:v>3.15</x:v>
      </x:c>
      <x:c r="K400" t="n">
        <x:v>7</x:v>
      </x:c>
      <x:c r="L400" t="n">
        <x:f>ROUND(F400*K400/100,2)</x:f>
        <x:v>12.25</x:v>
      </x:c>
      <x:c r="M400" t="n">
        <x:v>0.1</x:v>
      </x:c>
      <x:c r="N400" t="n">
        <x:f>ROUND(F400*M400/100,2)</x:f>
        <x:v>0.18</x:v>
      </x:c>
      <x:c r="O400" t="str">
        <x:v>生重</x:v>
      </x:c>
    </x:row>
    <x:row r="401" ht="23" customHeight="1">
      <x:c r="A401" t="n">
        <x:v>67</x:v>
      </x:c>
      <x:c r="B401" t="n">
        <x:v>34</x:v>
      </x:c>
      <x:c r="C401" t="str">
        <x:v>午餐</x:v>
      </x:c>
      <x:c r="D401" t="str">
        <x:v>蔬菜</x:v>
      </x:c>
      <x:c r="E401" t="str">
        <x:v>小白菜</x:v>
      </x:c>
      <x:c r="F401" t="n">
        <x:v>125</x:v>
      </x:c>
      <x:c r="G401" t="n">
        <x:v>17</x:v>
      </x:c>
      <x:c r="H401" t="n">
        <x:f>ROUND(F401*G401/100,2)</x:f>
        <x:v>21.25</x:v>
      </x:c>
      <x:c r="I401" t="n">
        <x:v>1.6</x:v>
      </x:c>
      <x:c r="J401" t="n">
        <x:f>ROUND(F401*I401/100,2)</x:f>
        <x:v>2</x:v>
      </x:c>
      <x:c r="K401" t="n">
        <x:v>2.8</x:v>
      </x:c>
      <x:c r="L401" t="n">
        <x:f>ROUND(F401*K401/100,2)</x:f>
        <x:v>3.5</x:v>
      </x:c>
      <x:c r="M401" t="n">
        <x:v>0.2</x:v>
      </x:c>
      <x:c r="N401" t="n">
        <x:f>ROUND(F401*M401/100,2)</x:f>
        <x:v>0.25</x:v>
      </x:c>
      <x:c r="O401" t="str">
        <x:v>生重</x:v>
      </x:c>
    </x:row>
    <x:row r="402" ht="23" customHeight="1">
      <x:c r="A402" t="n">
        <x:v>67</x:v>
      </x:c>
      <x:c r="B402" t="n">
        <x:v>34</x:v>
      </x:c>
      <x:c r="C402" t="str">
        <x:v>午餐</x:v>
      </x:c>
      <x:c r="D402" t="str">
        <x:v>主食</x:v>
      </x:c>
      <x:c r="E402" t="str">
        <x:v>全麦面</x:v>
      </x:c>
      <x:c r="F402" t="n">
        <x:v>150</x:v>
      </x:c>
      <x:c r="G402" t="n">
        <x:v>124</x:v>
      </x:c>
      <x:c r="H402" t="n">
        <x:f>ROUND(F402*G402/100,2)</x:f>
        <x:v>186</x:v>
      </x:c>
      <x:c r="I402" t="n">
        <x:v>5</x:v>
      </x:c>
      <x:c r="J402" t="n">
        <x:f>ROUND(F402*I402/100,2)</x:f>
        <x:v>7.5</x:v>
      </x:c>
      <x:c r="K402" t="n">
        <x:v>25</x:v>
      </x:c>
      <x:c r="L402" t="n">
        <x:f>ROUND(F402*K402/100,2)</x:f>
        <x:v>37.5</x:v>
      </x:c>
      <x:c r="M402" t="n">
        <x:v>1.1</x:v>
      </x:c>
      <x:c r="N402" t="n">
        <x:f>ROUND(F402*M402/100,2)</x:f>
        <x:v>1.65</x:v>
      </x:c>
      <x:c r="O402" t="str">
        <x:v>煮熟沥水重</x:v>
      </x:c>
    </x:row>
    <x:row r="403" ht="23" customHeight="1">
      <x:c r="A403" t="n">
        <x:v>67</x:v>
      </x:c>
      <x:c r="B403" t="n">
        <x:v>34</x:v>
      </x:c>
      <x:c r="C403" t="str">
        <x:v>午餐</x:v>
      </x:c>
      <x:c r="D403" t="str">
        <x:v>油脂</x:v>
      </x:c>
      <x:c r="E403" t="str">
        <x:v>烹调油</x:v>
      </x:c>
      <x:c r="F403" t="n">
        <x:v>5</x:v>
      </x:c>
      <x:c r="G403" t="n">
        <x:v>900</x:v>
      </x:c>
      <x:c r="H403" t="n">
        <x:f>ROUND(F403*G403/100,2)</x:f>
        <x:v>45</x:v>
      </x:c>
      <x:c r="I403" t="n">
        <x:v>0</x:v>
      </x:c>
      <x:c r="J403" t="n">
        <x:f>ROUND(F403*I403/100,2)</x:f>
        <x:v>0</x:v>
      </x:c>
      <x:c r="K403" t="n">
        <x:v>0</x:v>
      </x:c>
      <x:c r="L403" t="n">
        <x:f>ROUND(F403*K403/100,2)</x:f>
        <x:v>0</x:v>
      </x:c>
      <x:c r="M403" t="n">
        <x:v>100</x:v>
      </x:c>
      <x:c r="N403" t="n">
        <x:f>ROUND(F403*M403/100,2)</x:f>
        <x:v>5</x:v>
      </x:c>
      <x:c r="O403" t="str">
        <x:v>实际用油重</x:v>
      </x:c>
    </x:row>
    <x:row r="404" ht="23" customHeight="1">
      <x:c r="A404" t="n">
        <x:v>68</x:v>
      </x:c>
      <x:c r="B404" t="n">
        <x:v>34</x:v>
      </x:c>
      <x:c r="C404" t="str">
        <x:v>晚餐</x:v>
      </x:c>
      <x:c r="D404" t="str">
        <x:v>豆蛋</x:v>
      </x:c>
      <x:c r="E404" t="str">
        <x:v>嫩豆腐</x:v>
      </x:c>
      <x:c r="F404" t="n">
        <x:v>260</x:v>
      </x:c>
      <x:c r="G404" t="n">
        <x:v>55</x:v>
      </x:c>
      <x:c r="H404" t="n">
        <x:f>ROUND(F404*G404/100,2)</x:f>
        <x:v>143</x:v>
      </x:c>
      <x:c r="I404" t="n">
        <x:v>5</x:v>
      </x:c>
      <x:c r="J404" t="n">
        <x:f>ROUND(F404*I404/100,2)</x:f>
        <x:v>13</x:v>
      </x:c>
      <x:c r="K404" t="n">
        <x:v>2</x:v>
      </x:c>
      <x:c r="L404" t="n">
        <x:f>ROUND(F404*K404/100,2)</x:f>
        <x:v>5.2</x:v>
      </x:c>
      <x:c r="M404" t="n">
        <x:v>2.8</x:v>
      </x:c>
      <x:c r="N404" t="n">
        <x:f>ROUND(F404*M404/100,2)</x:f>
        <x:v>7.28</x:v>
      </x:c>
      <x:c r="O404" t="str">
        <x:v>净重</x:v>
      </x:c>
    </x:row>
    <x:row r="405" ht="23" customHeight="1">
      <x:c r="A405" t="n">
        <x:v>68</x:v>
      </x:c>
      <x:c r="B405" t="n">
        <x:v>34</x:v>
      </x:c>
      <x:c r="C405" t="str">
        <x:v>晚餐</x:v>
      </x:c>
      <x:c r="D405" t="str">
        <x:v>豆蛋</x:v>
      </x:c>
      <x:c r="E405" t="str">
        <x:v>熟毛豆仁</x:v>
      </x:c>
      <x:c r="F405" t="n">
        <x:v>50</x:v>
      </x:c>
      <x:c r="G405" t="n">
        <x:v>120</x:v>
      </x:c>
      <x:c r="H405" t="n">
        <x:f>ROUND(F405*G405/100,2)</x:f>
        <x:v>60</x:v>
      </x:c>
      <x:c r="I405" t="n">
        <x:v>12</x:v>
      </x:c>
      <x:c r="J405" t="n">
        <x:f>ROUND(F405*I405/100,2)</x:f>
        <x:v>6</x:v>
      </x:c>
      <x:c r="K405" t="n">
        <x:v>9</x:v>
      </x:c>
      <x:c r="L405" t="n">
        <x:f>ROUND(F405*K405/100,2)</x:f>
        <x:v>4.5</x:v>
      </x:c>
      <x:c r="M405" t="n">
        <x:v>5</x:v>
      </x:c>
      <x:c r="N405" t="n">
        <x:f>ROUND(F405*M405/100,2)</x:f>
        <x:v>2.5</x:v>
      </x:c>
      <x:c r="O405" t="str">
        <x:v>熟重</x:v>
      </x:c>
    </x:row>
    <x:row r="406" ht="23" customHeight="1">
      <x:c r="A406" t="n">
        <x:v>68</x:v>
      </x:c>
      <x:c r="B406" t="n">
        <x:v>34</x:v>
      </x:c>
      <x:c r="C406" t="str">
        <x:v>晚餐</x:v>
      </x:c>
      <x:c r="D406" t="str">
        <x:v>蔬菜</x:v>
      </x:c>
      <x:c r="E406" t="str">
        <x:v>茼蒿</x:v>
      </x:c>
      <x:c r="F406" t="n">
        <x:v>160</x:v>
      </x:c>
      <x:c r="G406" t="n">
        <x:v>24</x:v>
      </x:c>
      <x:c r="H406" t="n">
        <x:f>ROUND(F406*G406/100,2)</x:f>
        <x:v>38.4</x:v>
      </x:c>
      <x:c r="I406" t="n">
        <x:v>1.9</x:v>
      </x:c>
      <x:c r="J406" t="n">
        <x:f>ROUND(F406*I406/100,2)</x:f>
        <x:v>3.04</x:v>
      </x:c>
      <x:c r="K406" t="n">
        <x:v>4.3</x:v>
      </x:c>
      <x:c r="L406" t="n">
        <x:f>ROUND(F406*K406/100,2)</x:f>
        <x:v>6.88</x:v>
      </x:c>
      <x:c r="M406" t="n">
        <x:v>0.3</x:v>
      </x:c>
      <x:c r="N406" t="n">
        <x:f>ROUND(F406*M406/100,2)</x:f>
        <x:v>0.48</x:v>
      </x:c>
      <x:c r="O406" t="str">
        <x:v>生重</x:v>
      </x:c>
    </x:row>
    <x:row r="407" ht="23" customHeight="1">
      <x:c r="A407" t="n">
        <x:v>68</x:v>
      </x:c>
      <x:c r="B407" t="n">
        <x:v>34</x:v>
      </x:c>
      <x:c r="C407" t="str">
        <x:v>晚餐</x:v>
      </x:c>
      <x:c r="D407" t="str">
        <x:v>菌菇</x:v>
      </x:c>
      <x:c r="E407" t="str">
        <x:v>口蘑</x:v>
      </x:c>
      <x:c r="F407" t="n">
        <x:v>110</x:v>
      </x:c>
      <x:c r="G407" t="n">
        <x:v>22</x:v>
      </x:c>
      <x:c r="H407" t="n">
        <x:f>ROUND(F407*G407/100,2)</x:f>
        <x:v>24.2</x:v>
      </x:c>
      <x:c r="I407" t="n">
        <x:v>3.1</x:v>
      </x:c>
      <x:c r="J407" t="n">
        <x:f>ROUND(F407*I407/100,2)</x:f>
        <x:v>3.41</x:v>
      </x:c>
      <x:c r="K407" t="n">
        <x:v>3.3</x:v>
      </x:c>
      <x:c r="L407" t="n">
        <x:f>ROUND(F407*K407/100,2)</x:f>
        <x:v>3.63</x:v>
      </x:c>
      <x:c r="M407" t="n">
        <x:v>0.3</x:v>
      </x:c>
      <x:c r="N407" t="n">
        <x:f>ROUND(F407*M407/100,2)</x:f>
        <x:v>0.33</x:v>
      </x:c>
      <x:c r="O407" t="str">
        <x:v>生重</x:v>
      </x:c>
    </x:row>
    <x:row r="408" ht="23" customHeight="1">
      <x:c r="A408" t="n">
        <x:v>68</x:v>
      </x:c>
      <x:c r="B408" t="n">
        <x:v>34</x:v>
      </x:c>
      <x:c r="C408" t="str">
        <x:v>晚餐</x:v>
      </x:c>
      <x:c r="D408" t="str">
        <x:v>主食</x:v>
      </x:c>
      <x:c r="E408" t="str">
        <x:v>土豆</x:v>
      </x:c>
      <x:c r="F408" t="n">
        <x:v>125</x:v>
      </x:c>
      <x:c r="G408" t="n">
        <x:v>78</x:v>
      </x:c>
      <x:c r="H408" t="n">
        <x:f>ROUND(F408*G408/100,2)</x:f>
        <x:v>97.5</x:v>
      </x:c>
      <x:c r="I408" t="n">
        <x:v>2</x:v>
      </x:c>
      <x:c r="J408" t="n">
        <x:f>ROUND(F408*I408/100,2)</x:f>
        <x:v>2.5</x:v>
      </x:c>
      <x:c r="K408" t="n">
        <x:v>17.2</x:v>
      </x:c>
      <x:c r="L408" t="n">
        <x:f>ROUND(F408*K408/100,2)</x:f>
        <x:v>21.5</x:v>
      </x:c>
      <x:c r="M408" t="n">
        <x:v>0.1</x:v>
      </x:c>
      <x:c r="N408" t="n">
        <x:f>ROUND(F408*M408/100,2)</x:f>
        <x:v>0.13</x:v>
      </x:c>
      <x:c r="O408" t="str">
        <x:v>蒸熟净重</x:v>
      </x:c>
    </x:row>
    <x:row r="409" ht="23" customHeight="1">
      <x:c r="A409" t="n">
        <x:v>68</x:v>
      </x:c>
      <x:c r="B409" t="n">
        <x:v>34</x:v>
      </x:c>
      <x:c r="C409" t="str">
        <x:v>晚餐</x:v>
      </x:c>
      <x:c r="D409" t="str">
        <x:v>油脂</x:v>
      </x:c>
      <x:c r="E409" t="str">
        <x:v>烹调油</x:v>
      </x:c>
      <x:c r="F409" t="n">
        <x:v>5</x:v>
      </x:c>
      <x:c r="G409" t="n">
        <x:v>900</x:v>
      </x:c>
      <x:c r="H409" t="n">
        <x:f>ROUND(F409*G409/100,2)</x:f>
        <x:v>45</x:v>
      </x:c>
      <x:c r="I409" t="n">
        <x:v>0</x:v>
      </x:c>
      <x:c r="J409" t="n">
        <x:f>ROUND(F409*I409/100,2)</x:f>
        <x:v>0</x:v>
      </x:c>
      <x:c r="K409" t="n">
        <x:v>0</x:v>
      </x:c>
      <x:c r="L409" t="n">
        <x:f>ROUND(F409*K409/100,2)</x:f>
        <x:v>0</x:v>
      </x:c>
      <x:c r="M409" t="n">
        <x:v>100</x:v>
      </x:c>
      <x:c r="N409" t="n">
        <x:f>ROUND(F409*M409/100,2)</x:f>
        <x:v>5</x:v>
      </x:c>
      <x:c r="O409" t="str">
        <x:v>实际用油重</x:v>
      </x:c>
    </x:row>
    <x:row r="410" ht="23" customHeight="1">
      <x:c r="A410" t="n">
        <x:v>69</x:v>
      </x:c>
      <x:c r="B410" t="n">
        <x:v>35</x:v>
      </x:c>
      <x:c r="C410" t="str">
        <x:v>午餐</x:v>
      </x:c>
      <x:c r="D410" t="str">
        <x:v>海鲜</x:v>
      </x:c>
      <x:c r="E410" t="str">
        <x:v>虾仁</x:v>
      </x:c>
      <x:c r="F410" t="n">
        <x:v>190</x:v>
      </x:c>
      <x:c r="G410" t="n">
        <x:v>90</x:v>
      </x:c>
      <x:c r="H410" t="n">
        <x:f>ROUND(F410*G410/100,2)</x:f>
        <x:v>171</x:v>
      </x:c>
      <x:c r="I410" t="n">
        <x:v>19</x:v>
      </x:c>
      <x:c r="J410" t="n">
        <x:f>ROUND(F410*I410/100,2)</x:f>
        <x:v>36.1</x:v>
      </x:c>
      <x:c r="K410" t="n">
        <x:v>0.4</x:v>
      </x:c>
      <x:c r="L410" t="n">
        <x:f>ROUND(F410*K410/100,2)</x:f>
        <x:v>0.76</x:v>
      </x:c>
      <x:c r="M410" t="n">
        <x:v>1.1</x:v>
      </x:c>
      <x:c r="N410" t="n">
        <x:f>ROUND(F410*M410/100,2)</x:f>
        <x:v>2.09</x:v>
      </x:c>
      <x:c r="O410" t="str">
        <x:v>生重</x:v>
      </x:c>
    </x:row>
    <x:row r="411" ht="23" customHeight="1">
      <x:c r="A411" t="n">
        <x:v>69</x:v>
      </x:c>
      <x:c r="B411" t="n">
        <x:v>35</x:v>
      </x:c>
      <x:c r="C411" t="str">
        <x:v>午餐</x:v>
      </x:c>
      <x:c r="D411" t="str"/>
      <x:c r="E411" t="str"/>
      <x:c r="F411" t="n">
        <x:v>0</x:v>
      </x:c>
      <x:c r="G411" t="n">
        <x:v>0</x:v>
      </x:c>
      <x:c r="H411" t="n">
        <x:f>ROUND(F411*G411/100,2)</x:f>
        <x:v>0</x:v>
      </x:c>
      <x:c r="I411" t="n">
        <x:v>0</x:v>
      </x:c>
      <x:c r="J411" t="n">
        <x:f>ROUND(F411*I411/100,2)</x:f>
        <x:v>0</x:v>
      </x:c>
      <x:c r="K411" t="n">
        <x:v>0</x:v>
      </x:c>
      <x:c r="L411" t="n">
        <x:f>ROUND(F411*K411/100,2)</x:f>
        <x:v>0</x:v>
      </x:c>
      <x:c r="M411" t="n">
        <x:v>0</x:v>
      </x:c>
      <x:c r="N411" t="n">
        <x:f>ROUND(F411*M411/100,2)</x:f>
        <x:v>0</x:v>
      </x:c>
      <x:c r="O411" t="str"/>
    </x:row>
    <x:row r="412" ht="23" customHeight="1">
      <x:c r="A412" t="n">
        <x:v>69</x:v>
      </x:c>
      <x:c r="B412" t="n">
        <x:v>35</x:v>
      </x:c>
      <x:c r="C412" t="str">
        <x:v>午餐</x:v>
      </x:c>
      <x:c r="D412" t="str">
        <x:v>蔬菜</x:v>
      </x:c>
      <x:c r="E412" t="str">
        <x:v>茼蒿</x:v>
      </x:c>
      <x:c r="F412" t="n">
        <x:v>160</x:v>
      </x:c>
      <x:c r="G412" t="n">
        <x:v>24</x:v>
      </x:c>
      <x:c r="H412" t="n">
        <x:f>ROUND(F412*G412/100,2)</x:f>
        <x:v>38.4</x:v>
      </x:c>
      <x:c r="I412" t="n">
        <x:v>1.9</x:v>
      </x:c>
      <x:c r="J412" t="n">
        <x:f>ROUND(F412*I412/100,2)</x:f>
        <x:v>3.04</x:v>
      </x:c>
      <x:c r="K412" t="n">
        <x:v>4.3</x:v>
      </x:c>
      <x:c r="L412" t="n">
        <x:f>ROUND(F412*K412/100,2)</x:f>
        <x:v>6.88</x:v>
      </x:c>
      <x:c r="M412" t="n">
        <x:v>0.3</x:v>
      </x:c>
      <x:c r="N412" t="n">
        <x:f>ROUND(F412*M412/100,2)</x:f>
        <x:v>0.48</x:v>
      </x:c>
      <x:c r="O412" t="str">
        <x:v>生重</x:v>
      </x:c>
    </x:row>
    <x:row r="413" ht="23" customHeight="1">
      <x:c r="A413" t="n">
        <x:v>69</x:v>
      </x:c>
      <x:c r="B413" t="n">
        <x:v>35</x:v>
      </x:c>
      <x:c r="C413" t="str">
        <x:v>午餐</x:v>
      </x:c>
      <x:c r="D413" t="str">
        <x:v>蔬菜</x:v>
      </x:c>
      <x:c r="E413" t="str">
        <x:v>彩椒</x:v>
      </x:c>
      <x:c r="F413" t="n">
        <x:v>155</x:v>
      </x:c>
      <x:c r="G413" t="n">
        <x:v>27</x:v>
      </x:c>
      <x:c r="H413" t="n">
        <x:f>ROUND(F413*G413/100,2)</x:f>
        <x:v>41.85</x:v>
      </x:c>
      <x:c r="I413" t="n">
        <x:v>1</x:v>
      </x:c>
      <x:c r="J413" t="n">
        <x:f>ROUND(F413*I413/100,2)</x:f>
        <x:v>1.55</x:v>
      </x:c>
      <x:c r="K413" t="n">
        <x:v>6.1</x:v>
      </x:c>
      <x:c r="L413" t="n">
        <x:f>ROUND(F413*K413/100,2)</x:f>
        <x:v>9.46</x:v>
      </x:c>
      <x:c r="M413" t="n">
        <x:v>0.2</x:v>
      </x:c>
      <x:c r="N413" t="n">
        <x:f>ROUND(F413*M413/100,2)</x:f>
        <x:v>0.31</x:v>
      </x:c>
      <x:c r="O413" t="str">
        <x:v>生重</x:v>
      </x:c>
    </x:row>
    <x:row r="414" ht="23" customHeight="1">
      <x:c r="A414" t="n">
        <x:v>69</x:v>
      </x:c>
      <x:c r="B414" t="n">
        <x:v>35</x:v>
      </x:c>
      <x:c r="C414" t="str">
        <x:v>午餐</x:v>
      </x:c>
      <x:c r="D414" t="str">
        <x:v>主食</x:v>
      </x:c>
      <x:c r="E414" t="str">
        <x:v>红薯</x:v>
      </x:c>
      <x:c r="F414" t="n">
        <x:v>110</x:v>
      </x:c>
      <x:c r="G414" t="n">
        <x:v>88</x:v>
      </x:c>
      <x:c r="H414" t="n">
        <x:f>ROUND(F414*G414/100,2)</x:f>
        <x:v>96.8</x:v>
      </x:c>
      <x:c r="I414" t="n">
        <x:v>1.6</x:v>
      </x:c>
      <x:c r="J414" t="n">
        <x:f>ROUND(F414*I414/100,2)</x:f>
        <x:v>1.76</x:v>
      </x:c>
      <x:c r="K414" t="n">
        <x:v>20.5</x:v>
      </x:c>
      <x:c r="L414" t="n">
        <x:f>ROUND(F414*K414/100,2)</x:f>
        <x:v>22.55</x:v>
      </x:c>
      <x:c r="M414" t="n">
        <x:v>0.1</x:v>
      </x:c>
      <x:c r="N414" t="n">
        <x:f>ROUND(F414*M414/100,2)</x:f>
        <x:v>0.11</x:v>
      </x:c>
      <x:c r="O414" t="str">
        <x:v>蒸熟净重</x:v>
      </x:c>
    </x:row>
    <x:row r="415" ht="23" customHeight="1">
      <x:c r="A415" t="n">
        <x:v>69</x:v>
      </x:c>
      <x:c r="B415" t="n">
        <x:v>35</x:v>
      </x:c>
      <x:c r="C415" t="str">
        <x:v>午餐</x:v>
      </x:c>
      <x:c r="D415" t="str">
        <x:v>油脂</x:v>
      </x:c>
      <x:c r="E415" t="str">
        <x:v>烹调油</x:v>
      </x:c>
      <x:c r="F415" t="n">
        <x:v>3</x:v>
      </x:c>
      <x:c r="G415" t="n">
        <x:v>900</x:v>
      </x:c>
      <x:c r="H415" t="n">
        <x:f>ROUND(F415*G415/100,2)</x:f>
        <x:v>27</x:v>
      </x:c>
      <x:c r="I415" t="n">
        <x:v>0</x:v>
      </x:c>
      <x:c r="J415" t="n">
        <x:f>ROUND(F415*I415/100,2)</x:f>
        <x:v>0</x:v>
      </x:c>
      <x:c r="K415" t="n">
        <x:v>0</x:v>
      </x:c>
      <x:c r="L415" t="n">
        <x:f>ROUND(F415*K415/100,2)</x:f>
        <x:v>0</x:v>
      </x:c>
      <x:c r="M415" t="n">
        <x:v>100</x:v>
      </x:c>
      <x:c r="N415" t="n">
        <x:f>ROUND(F415*M415/100,2)</x:f>
        <x:v>3</x:v>
      </x:c>
      <x:c r="O415" t="str">
        <x:v>实际用油重</x:v>
      </x:c>
    </x:row>
    <x:row r="416" ht="23" customHeight="1">
      <x:c r="A416" t="n">
        <x:v>70</x:v>
      </x:c>
      <x:c r="B416" t="n">
        <x:v>35</x:v>
      </x:c>
      <x:c r="C416" t="str">
        <x:v>晚餐</x:v>
      </x:c>
      <x:c r="D416" t="str">
        <x:v>禽肉</x:v>
      </x:c>
      <x:c r="E416" t="str">
        <x:v>去皮鸡腿肉</x:v>
      </x:c>
      <x:c r="F416" t="n">
        <x:v>180</x:v>
      </x:c>
      <x:c r="G416" t="n">
        <x:v>125</x:v>
      </x:c>
      <x:c r="H416" t="n">
        <x:f>ROUND(F416*G416/100,2)</x:f>
        <x:v>225</x:v>
      </x:c>
      <x:c r="I416" t="n">
        <x:v>20</x:v>
      </x:c>
      <x:c r="J416" t="n">
        <x:f>ROUND(F416*I416/100,2)</x:f>
        <x:v>36</x:v>
      </x:c>
      <x:c r="K416" t="n">
        <x:v>0</x:v>
      </x:c>
      <x:c r="L416" t="n">
        <x:f>ROUND(F416*K416/100,2)</x:f>
        <x:v>0</x:v>
      </x:c>
      <x:c r="M416" t="n">
        <x:v>5</x:v>
      </x:c>
      <x:c r="N416" t="n">
        <x:f>ROUND(F416*M416/100,2)</x:f>
        <x:v>9</x:v>
      </x:c>
      <x:c r="O416" t="str">
        <x:v>生重</x:v>
      </x:c>
    </x:row>
    <x:row r="417" ht="23" customHeight="1">
      <x:c r="A417" t="n">
        <x:v>70</x:v>
      </x:c>
      <x:c r="B417" t="n">
        <x:v>35</x:v>
      </x:c>
      <x:c r="C417" t="str">
        <x:v>晚餐</x:v>
      </x:c>
      <x:c r="D417" t="str"/>
      <x:c r="E417" t="str"/>
      <x:c r="F417" t="n">
        <x:v>0</x:v>
      </x:c>
      <x:c r="G417" t="n">
        <x:v>0</x:v>
      </x:c>
      <x:c r="H417" t="n">
        <x:f>ROUND(F417*G417/100,2)</x:f>
        <x:v>0</x:v>
      </x:c>
      <x:c r="I417" t="n">
        <x:v>0</x:v>
      </x:c>
      <x:c r="J417" t="n">
        <x:f>ROUND(F417*I417/100,2)</x:f>
        <x:v>0</x:v>
      </x:c>
      <x:c r="K417" t="n">
        <x:v>0</x:v>
      </x:c>
      <x:c r="L417" t="n">
        <x:f>ROUND(F417*K417/100,2)</x:f>
        <x:v>0</x:v>
      </x:c>
      <x:c r="M417" t="n">
        <x:v>0</x:v>
      </x:c>
      <x:c r="N417" t="n">
        <x:f>ROUND(F417*M417/100,2)</x:f>
        <x:v>0</x:v>
      </x:c>
      <x:c r="O417" t="str"/>
    </x:row>
    <x:row r="418" ht="23" customHeight="1">
      <x:c r="A418" t="n">
        <x:v>70</x:v>
      </x:c>
      <x:c r="B418" t="n">
        <x:v>35</x:v>
      </x:c>
      <x:c r="C418" t="str">
        <x:v>晚餐</x:v>
      </x:c>
      <x:c r="D418" t="str">
        <x:v>蔬菜</x:v>
      </x:c>
      <x:c r="E418" t="str">
        <x:v>菜心</x:v>
      </x:c>
      <x:c r="F418" t="n">
        <x:v>160</x:v>
      </x:c>
      <x:c r="G418" t="n">
        <x:v>20</x:v>
      </x:c>
      <x:c r="H418" t="n">
        <x:f>ROUND(F418*G418/100,2)</x:f>
        <x:v>32</x:v>
      </x:c>
      <x:c r="I418" t="n">
        <x:v>2</x:v>
      </x:c>
      <x:c r="J418" t="n">
        <x:f>ROUND(F418*I418/100,2)</x:f>
        <x:v>3.2</x:v>
      </x:c>
      <x:c r="K418" t="n">
        <x:v>3.5</x:v>
      </x:c>
      <x:c r="L418" t="n">
        <x:f>ROUND(F418*K418/100,2)</x:f>
        <x:v>5.6</x:v>
      </x:c>
      <x:c r="M418" t="n">
        <x:v>0.3</x:v>
      </x:c>
      <x:c r="N418" t="n">
        <x:f>ROUND(F418*M418/100,2)</x:f>
        <x:v>0.48</x:v>
      </x:c>
      <x:c r="O418" t="str">
        <x:v>生重</x:v>
      </x:c>
    </x:row>
    <x:row r="419" ht="23" customHeight="1">
      <x:c r="A419" t="n">
        <x:v>70</x:v>
      </x:c>
      <x:c r="B419" t="n">
        <x:v>35</x:v>
      </x:c>
      <x:c r="C419" t="str">
        <x:v>晚餐</x:v>
      </x:c>
      <x:c r="D419" t="str">
        <x:v>菌菇</x:v>
      </x:c>
      <x:c r="E419" t="str">
        <x:v>金针菇</x:v>
      </x:c>
      <x:c r="F419" t="n">
        <x:v>155</x:v>
      </x:c>
      <x:c r="G419" t="n">
        <x:v>32</x:v>
      </x:c>
      <x:c r="H419" t="n">
        <x:f>ROUND(F419*G419/100,2)</x:f>
        <x:v>49.6</x:v>
      </x:c>
      <x:c r="I419" t="n">
        <x:v>2.4</x:v>
      </x:c>
      <x:c r="J419" t="n">
        <x:f>ROUND(F419*I419/100,2)</x:f>
        <x:v>3.72</x:v>
      </x:c>
      <x:c r="K419" t="n">
        <x:v>6.4</x:v>
      </x:c>
      <x:c r="L419" t="n">
        <x:f>ROUND(F419*K419/100,2)</x:f>
        <x:v>9.92</x:v>
      </x:c>
      <x:c r="M419" t="n">
        <x:v>0.2</x:v>
      </x:c>
      <x:c r="N419" t="n">
        <x:f>ROUND(F419*M419/100,2)</x:f>
        <x:v>0.31</x:v>
      </x:c>
      <x:c r="O419" t="str">
        <x:v>生重</x:v>
      </x:c>
    </x:row>
    <x:row r="420" ht="23" customHeight="1">
      <x:c r="A420" t="n">
        <x:v>70</x:v>
      </x:c>
      <x:c r="B420" t="n">
        <x:v>35</x:v>
      </x:c>
      <x:c r="C420" t="str">
        <x:v>晚餐</x:v>
      </x:c>
      <x:c r="D420" t="str">
        <x:v>主食</x:v>
      </x:c>
      <x:c r="E420" t="str">
        <x:v>全麦面</x:v>
      </x:c>
      <x:c r="F420" t="n">
        <x:v>95</x:v>
      </x:c>
      <x:c r="G420" t="n">
        <x:v>124</x:v>
      </x:c>
      <x:c r="H420" t="n">
        <x:f>ROUND(F420*G420/100,2)</x:f>
        <x:v>117.8</x:v>
      </x:c>
      <x:c r="I420" t="n">
        <x:v>5</x:v>
      </x:c>
      <x:c r="J420" t="n">
        <x:f>ROUND(F420*I420/100,2)</x:f>
        <x:v>4.75</x:v>
      </x:c>
      <x:c r="K420" t="n">
        <x:v>25</x:v>
      </x:c>
      <x:c r="L420" t="n">
        <x:f>ROUND(F420*K420/100,2)</x:f>
        <x:v>23.75</x:v>
      </x:c>
      <x:c r="M420" t="n">
        <x:v>1.1</x:v>
      </x:c>
      <x:c r="N420" t="n">
        <x:f>ROUND(F420*M420/100,2)</x:f>
        <x:v>1.05</x:v>
      </x:c>
      <x:c r="O420" t="str">
        <x:v>煮熟沥水重</x:v>
      </x:c>
    </x:row>
    <x:row r="421" ht="23" customHeight="1">
      <x:c r="A421" t="n">
        <x:v>70</x:v>
      </x:c>
      <x:c r="B421" t="n">
        <x:v>35</x:v>
      </x:c>
      <x:c r="C421" t="str">
        <x:v>晚餐</x:v>
      </x:c>
      <x:c r="D421" t="str">
        <x:v>油脂</x:v>
      </x:c>
      <x:c r="E421" t="str">
        <x:v>烹调油</x:v>
      </x:c>
      <x:c r="F421" t="n">
        <x:v>6</x:v>
      </x:c>
      <x:c r="G421" t="n">
        <x:v>900</x:v>
      </x:c>
      <x:c r="H421" t="n">
        <x:f>ROUND(F421*G421/100,2)</x:f>
        <x:v>54</x:v>
      </x:c>
      <x:c r="I421" t="n">
        <x:v>0</x:v>
      </x:c>
      <x:c r="J421" t="n">
        <x:f>ROUND(F421*I421/100,2)</x:f>
        <x:v>0</x:v>
      </x:c>
      <x:c r="K421" t="n">
        <x:v>0</x:v>
      </x:c>
      <x:c r="L421" t="n">
        <x:f>ROUND(F421*K421/100,2)</x:f>
        <x:v>0</x:v>
      </x:c>
      <x:c r="M421" t="n">
        <x:v>100</x:v>
      </x:c>
      <x:c r="N421" t="n">
        <x:f>ROUND(F421*M421/100,2)</x:f>
        <x:v>6</x:v>
      </x:c>
      <x:c r="O421" t="str">
        <x:v>实际用油重</x:v>
      </x:c>
    </x:row>
    <x:row r="422" ht="23" customHeight="1">
      <x:c r="A422" t="n">
        <x:v>71</x:v>
      </x:c>
      <x:c r="B422" t="n">
        <x:v>36</x:v>
      </x:c>
      <x:c r="C422" t="str">
        <x:v>午餐</x:v>
      </x:c>
      <x:c r="D422" t="str">
        <x:v>禽肉</x:v>
      </x:c>
      <x:c r="E422" t="str">
        <x:v>去皮鸭胸肉</x:v>
      </x:c>
      <x:c r="F422" t="n">
        <x:v>175</x:v>
      </x:c>
      <x:c r="G422" t="n">
        <x:v>140</x:v>
      </x:c>
      <x:c r="H422" t="n">
        <x:f>ROUND(F422*G422/100,2)</x:f>
        <x:v>245</x:v>
      </x:c>
      <x:c r="I422" t="n">
        <x:v>19</x:v>
      </x:c>
      <x:c r="J422" t="n">
        <x:f>ROUND(F422*I422/100,2)</x:f>
        <x:v>33.25</x:v>
      </x:c>
      <x:c r="K422" t="n">
        <x:v>0</x:v>
      </x:c>
      <x:c r="L422" t="n">
        <x:f>ROUND(F422*K422/100,2)</x:f>
        <x:v>0</x:v>
      </x:c>
      <x:c r="M422" t="n">
        <x:v>7</x:v>
      </x:c>
      <x:c r="N422" t="n">
        <x:f>ROUND(F422*M422/100,2)</x:f>
        <x:v>12.25</x:v>
      </x:c>
      <x:c r="O422" t="str">
        <x:v>生重</x:v>
      </x:c>
    </x:row>
    <x:row r="423" ht="23" customHeight="1">
      <x:c r="A423" t="n">
        <x:v>71</x:v>
      </x:c>
      <x:c r="B423" t="n">
        <x:v>36</x:v>
      </x:c>
      <x:c r="C423" t="str">
        <x:v>午餐</x:v>
      </x:c>
      <x:c r="D423" t="str"/>
      <x:c r="E423" t="str"/>
      <x:c r="F423" t="n">
        <x:v>0</x:v>
      </x:c>
      <x:c r="G423" t="n">
        <x:v>0</x:v>
      </x:c>
      <x:c r="H423" t="n">
        <x:f>ROUND(F423*G423/100,2)</x:f>
        <x:v>0</x:v>
      </x:c>
      <x:c r="I423" t="n">
        <x:v>0</x:v>
      </x:c>
      <x:c r="J423" t="n">
        <x:f>ROUND(F423*I423/100,2)</x:f>
        <x:v>0</x:v>
      </x:c>
      <x:c r="K423" t="n">
        <x:v>0</x:v>
      </x:c>
      <x:c r="L423" t="n">
        <x:f>ROUND(F423*K423/100,2)</x:f>
        <x:v>0</x:v>
      </x:c>
      <x:c r="M423" t="n">
        <x:v>0</x:v>
      </x:c>
      <x:c r="N423" t="n">
        <x:f>ROUND(F423*M423/100,2)</x:f>
        <x:v>0</x:v>
      </x:c>
      <x:c r="O423" t="str"/>
    </x:row>
    <x:row r="424" ht="23" customHeight="1">
      <x:c r="A424" t="n">
        <x:v>71</x:v>
      </x:c>
      <x:c r="B424" t="n">
        <x:v>36</x:v>
      </x:c>
      <x:c r="C424" t="str">
        <x:v>午餐</x:v>
      </x:c>
      <x:c r="D424" t="str">
        <x:v>蔬菜</x:v>
      </x:c>
      <x:c r="E424" t="str">
        <x:v>番茄</x:v>
      </x:c>
      <x:c r="F424" t="n">
        <x:v>175</x:v>
      </x:c>
      <x:c r="G424" t="n">
        <x:v>20</x:v>
      </x:c>
      <x:c r="H424" t="n">
        <x:f>ROUND(F424*G424/100,2)</x:f>
        <x:v>35</x:v>
      </x:c>
      <x:c r="I424" t="n">
        <x:v>0.9</x:v>
      </x:c>
      <x:c r="J424" t="n">
        <x:f>ROUND(F424*I424/100,2)</x:f>
        <x:v>1.58</x:v>
      </x:c>
      <x:c r="K424" t="n">
        <x:v>4</x:v>
      </x:c>
      <x:c r="L424" t="n">
        <x:f>ROUND(F424*K424/100,2)</x:f>
        <x:v>7</x:v>
      </x:c>
      <x:c r="M424" t="n">
        <x:v>0.2</x:v>
      </x:c>
      <x:c r="N424" t="n">
        <x:f>ROUND(F424*M424/100,2)</x:f>
        <x:v>0.35</x:v>
      </x:c>
      <x:c r="O424" t="str">
        <x:v>生重</x:v>
      </x:c>
    </x:row>
    <x:row r="425" ht="23" customHeight="1">
      <x:c r="A425" t="n">
        <x:v>71</x:v>
      </x:c>
      <x:c r="B425" t="n">
        <x:v>36</x:v>
      </x:c>
      <x:c r="C425" t="str">
        <x:v>午餐</x:v>
      </x:c>
      <x:c r="D425" t="str">
        <x:v>菌菇</x:v>
      </x:c>
      <x:c r="E425" t="str">
        <x:v>泡发木耳</x:v>
      </x:c>
      <x:c r="F425" t="n">
        <x:v>155</x:v>
      </x:c>
      <x:c r="G425" t="n">
        <x:v>25</x:v>
      </x:c>
      <x:c r="H425" t="n">
        <x:f>ROUND(F425*G425/100,2)</x:f>
        <x:v>38.75</x:v>
      </x:c>
      <x:c r="I425" t="n">
        <x:v>1.5</x:v>
      </x:c>
      <x:c r="J425" t="n">
        <x:f>ROUND(F425*I425/100,2)</x:f>
        <x:v>2.33</x:v>
      </x:c>
      <x:c r="K425" t="n">
        <x:v>6</x:v>
      </x:c>
      <x:c r="L425" t="n">
        <x:f>ROUND(F425*K425/100,2)</x:f>
        <x:v>9.3</x:v>
      </x:c>
      <x:c r="M425" t="n">
        <x:v>0.1</x:v>
      </x:c>
      <x:c r="N425" t="n">
        <x:f>ROUND(F425*M425/100,2)</x:f>
        <x:v>0.16</x:v>
      </x:c>
      <x:c r="O425" t="str">
        <x:v>泡发沥水重</x:v>
      </x:c>
    </x:row>
    <x:row r="426" ht="23" customHeight="1">
      <x:c r="A426" t="n">
        <x:v>71</x:v>
      </x:c>
      <x:c r="B426" t="n">
        <x:v>36</x:v>
      </x:c>
      <x:c r="C426" t="str">
        <x:v>午餐</x:v>
      </x:c>
      <x:c r="D426" t="str">
        <x:v>主食</x:v>
      </x:c>
      <x:c r="E426" t="str">
        <x:v>乌冬面</x:v>
      </x:c>
      <x:c r="F426" t="n">
        <x:v>135</x:v>
      </x:c>
      <x:c r="G426" t="n">
        <x:v>120</x:v>
      </x:c>
      <x:c r="H426" t="n">
        <x:f>ROUND(F426*G426/100,2)</x:f>
        <x:v>162</x:v>
      </x:c>
      <x:c r="I426" t="n">
        <x:v>2.5</x:v>
      </x:c>
      <x:c r="J426" t="n">
        <x:f>ROUND(F426*I426/100,2)</x:f>
        <x:v>3.38</x:v>
      </x:c>
      <x:c r="K426" t="n">
        <x:v>25</x:v>
      </x:c>
      <x:c r="L426" t="n">
        <x:f>ROUND(F426*K426/100,2)</x:f>
        <x:v>33.75</x:v>
      </x:c>
      <x:c r="M426" t="n">
        <x:v>0.6</x:v>
      </x:c>
      <x:c r="N426" t="n">
        <x:f>ROUND(F426*M426/100,2)</x:f>
        <x:v>0.81</x:v>
      </x:c>
      <x:c r="O426" t="str">
        <x:v>煮熟沥水重</x:v>
      </x:c>
    </x:row>
    <x:row r="427" ht="23" customHeight="1">
      <x:c r="A427" t="n">
        <x:v>71</x:v>
      </x:c>
      <x:c r="B427" t="n">
        <x:v>36</x:v>
      </x:c>
      <x:c r="C427" t="str">
        <x:v>午餐</x:v>
      </x:c>
      <x:c r="D427" t="str">
        <x:v>油脂</x:v>
      </x:c>
      <x:c r="E427" t="str">
        <x:v>烹调油</x:v>
      </x:c>
      <x:c r="F427" t="n">
        <x:v>4</x:v>
      </x:c>
      <x:c r="G427" t="n">
        <x:v>900</x:v>
      </x:c>
      <x:c r="H427" t="n">
        <x:f>ROUND(F427*G427/100,2)</x:f>
        <x:v>36</x:v>
      </x:c>
      <x:c r="I427" t="n">
        <x:v>0</x:v>
      </x:c>
      <x:c r="J427" t="n">
        <x:f>ROUND(F427*I427/100,2)</x:f>
        <x:v>0</x:v>
      </x:c>
      <x:c r="K427" t="n">
        <x:v>0</x:v>
      </x:c>
      <x:c r="L427" t="n">
        <x:f>ROUND(F427*K427/100,2)</x:f>
        <x:v>0</x:v>
      </x:c>
      <x:c r="M427" t="n">
        <x:v>100</x:v>
      </x:c>
      <x:c r="N427" t="n">
        <x:f>ROUND(F427*M427/100,2)</x:f>
        <x:v>4</x:v>
      </x:c>
      <x:c r="O427" t="str">
        <x:v>实际用油重</x:v>
      </x:c>
    </x:row>
    <x:row r="428" ht="23" customHeight="1">
      <x:c r="A428" t="n">
        <x:v>72</x:v>
      </x:c>
      <x:c r="B428" t="n">
        <x:v>36</x:v>
      </x:c>
      <x:c r="C428" t="str">
        <x:v>晚餐</x:v>
      </x:c>
      <x:c r="D428" t="str">
        <x:v>豆蛋</x:v>
      </x:c>
      <x:c r="E428" t="str">
        <x:v>北豆腐</x:v>
      </x:c>
      <x:c r="F428" t="n">
        <x:v>260</x:v>
      </x:c>
      <x:c r="G428" t="n">
        <x:v>90</x:v>
      </x:c>
      <x:c r="H428" t="n">
        <x:f>ROUND(F428*G428/100,2)</x:f>
        <x:v>234</x:v>
      </x:c>
      <x:c r="I428" t="n">
        <x:v>10</x:v>
      </x:c>
      <x:c r="J428" t="n">
        <x:f>ROUND(F428*I428/100,2)</x:f>
        <x:v>26</x:v>
      </x:c>
      <x:c r="K428" t="n">
        <x:v>2</x:v>
      </x:c>
      <x:c r="L428" t="n">
        <x:f>ROUND(F428*K428/100,2)</x:f>
        <x:v>5.2</x:v>
      </x:c>
      <x:c r="M428" t="n">
        <x:v>5</x:v>
      </x:c>
      <x:c r="N428" t="n">
        <x:f>ROUND(F428*M428/100,2)</x:f>
        <x:v>13</x:v>
      </x:c>
      <x:c r="O428" t="str">
        <x:v>净重</x:v>
      </x:c>
    </x:row>
    <x:row r="429" ht="23" customHeight="1">
      <x:c r="A429" t="n">
        <x:v>72</x:v>
      </x:c>
      <x:c r="B429" t="n">
        <x:v>36</x:v>
      </x:c>
      <x:c r="C429" t="str">
        <x:v>晚餐</x:v>
      </x:c>
      <x:c r="D429" t="str"/>
      <x:c r="E429" t="str"/>
      <x:c r="F429" t="n">
        <x:v>0</x:v>
      </x:c>
      <x:c r="G429" t="n">
        <x:v>0</x:v>
      </x:c>
      <x:c r="H429" t="n">
        <x:f>ROUND(F429*G429/100,2)</x:f>
        <x:v>0</x:v>
      </x:c>
      <x:c r="I429" t="n">
        <x:v>0</x:v>
      </x:c>
      <x:c r="J429" t="n">
        <x:f>ROUND(F429*I429/100,2)</x:f>
        <x:v>0</x:v>
      </x:c>
      <x:c r="K429" t="n">
        <x:v>0</x:v>
      </x:c>
      <x:c r="L429" t="n">
        <x:f>ROUND(F429*K429/100,2)</x:f>
        <x:v>0</x:v>
      </x:c>
      <x:c r="M429" t="n">
        <x:v>0</x:v>
      </x:c>
      <x:c r="N429" t="n">
        <x:f>ROUND(F429*M429/100,2)</x:f>
        <x:v>0</x:v>
      </x:c>
      <x:c r="O429" t="str"/>
    </x:row>
    <x:row r="430" ht="23" customHeight="1">
      <x:c r="A430" t="n">
        <x:v>72</x:v>
      </x:c>
      <x:c r="B430" t="n">
        <x:v>36</x:v>
      </x:c>
      <x:c r="C430" t="str">
        <x:v>晚餐</x:v>
      </x:c>
      <x:c r="D430" t="str">
        <x:v>蔬菜</x:v>
      </x:c>
      <x:c r="E430" t="str">
        <x:v>彩椒</x:v>
      </x:c>
      <x:c r="F430" t="n">
        <x:v>175</x:v>
      </x:c>
      <x:c r="G430" t="n">
        <x:v>27</x:v>
      </x:c>
      <x:c r="H430" t="n">
        <x:f>ROUND(F430*G430/100,2)</x:f>
        <x:v>47.25</x:v>
      </x:c>
      <x:c r="I430" t="n">
        <x:v>1</x:v>
      </x:c>
      <x:c r="J430" t="n">
        <x:f>ROUND(F430*I430/100,2)</x:f>
        <x:v>1.75</x:v>
      </x:c>
      <x:c r="K430" t="n">
        <x:v>6.1</x:v>
      </x:c>
      <x:c r="L430" t="n">
        <x:f>ROUND(F430*K430/100,2)</x:f>
        <x:v>10.68</x:v>
      </x:c>
      <x:c r="M430" t="n">
        <x:v>0.2</x:v>
      </x:c>
      <x:c r="N430" t="n">
        <x:f>ROUND(F430*M430/100,2)</x:f>
        <x:v>0.35</x:v>
      </x:c>
      <x:c r="O430" t="str">
        <x:v>生重</x:v>
      </x:c>
    </x:row>
    <x:row r="431" ht="23" customHeight="1">
      <x:c r="A431" t="n">
        <x:v>72</x:v>
      </x:c>
      <x:c r="B431" t="n">
        <x:v>36</x:v>
      </x:c>
      <x:c r="C431" t="str">
        <x:v>晚餐</x:v>
      </x:c>
      <x:c r="D431" t="str">
        <x:v>蔬菜</x:v>
      </x:c>
      <x:c r="E431" t="str">
        <x:v>番茄</x:v>
      </x:c>
      <x:c r="F431" t="n">
        <x:v>140</x:v>
      </x:c>
      <x:c r="G431" t="n">
        <x:v>20</x:v>
      </x:c>
      <x:c r="H431" t="n">
        <x:f>ROUND(F431*G431/100,2)</x:f>
        <x:v>28</x:v>
      </x:c>
      <x:c r="I431" t="n">
        <x:v>0.9</x:v>
      </x:c>
      <x:c r="J431" t="n">
        <x:f>ROUND(F431*I431/100,2)</x:f>
        <x:v>1.26</x:v>
      </x:c>
      <x:c r="K431" t="n">
        <x:v>4</x:v>
      </x:c>
      <x:c r="L431" t="n">
        <x:f>ROUND(F431*K431/100,2)</x:f>
        <x:v>5.6</x:v>
      </x:c>
      <x:c r="M431" t="n">
        <x:v>0.2</x:v>
      </x:c>
      <x:c r="N431" t="n">
        <x:f>ROUND(F431*M431/100,2)</x:f>
        <x:v>0.28</x:v>
      </x:c>
      <x:c r="O431" t="str">
        <x:v>生重</x:v>
      </x:c>
    </x:row>
    <x:row r="432" ht="23" customHeight="1">
      <x:c r="A432" t="n">
        <x:v>72</x:v>
      </x:c>
      <x:c r="B432" t="n">
        <x:v>36</x:v>
      </x:c>
      <x:c r="C432" t="str">
        <x:v>晚餐</x:v>
      </x:c>
      <x:c r="D432" t="str">
        <x:v>主食</x:v>
      </x:c>
      <x:c r="E432" t="str">
        <x:v>荞麦饭</x:v>
      </x:c>
      <x:c r="F432" t="n">
        <x:v>80</x:v>
      </x:c>
      <x:c r="G432" t="n">
        <x:v>110</x:v>
      </x:c>
      <x:c r="H432" t="n">
        <x:f>ROUND(F432*G432/100,2)</x:f>
        <x:v>88</x:v>
      </x:c>
      <x:c r="I432" t="n">
        <x:v>3.4</x:v>
      </x:c>
      <x:c r="J432" t="n">
        <x:f>ROUND(F432*I432/100,2)</x:f>
        <x:v>2.72</x:v>
      </x:c>
      <x:c r="K432" t="n">
        <x:v>22</x:v>
      </x:c>
      <x:c r="L432" t="n">
        <x:f>ROUND(F432*K432/100,2)</x:f>
        <x:v>17.6</x:v>
      </x:c>
      <x:c r="M432" t="n">
        <x:v>1.1</x:v>
      </x:c>
      <x:c r="N432" t="n">
        <x:f>ROUND(F432*M432/100,2)</x:f>
        <x:v>0.88</x:v>
      </x:c>
      <x:c r="O432" t="str">
        <x:v>熟重</x:v>
      </x:c>
    </x:row>
    <x:row r="433" ht="23" customHeight="1">
      <x:c r="A433" t="n">
        <x:v>72</x:v>
      </x:c>
      <x:c r="B433" t="n">
        <x:v>36</x:v>
      </x:c>
      <x:c r="C433" t="str">
        <x:v>晚餐</x:v>
      </x:c>
      <x:c r="D433" t="str">
        <x:v>油脂</x:v>
      </x:c>
      <x:c r="E433" t="str">
        <x:v>烹调油</x:v>
      </x:c>
      <x:c r="F433" t="n">
        <x:v>6</x:v>
      </x:c>
      <x:c r="G433" t="n">
        <x:v>900</x:v>
      </x:c>
      <x:c r="H433" t="n">
        <x:f>ROUND(F433*G433/100,2)</x:f>
        <x:v>54</x:v>
      </x:c>
      <x:c r="I433" t="n">
        <x:v>0</x:v>
      </x:c>
      <x:c r="J433" t="n">
        <x:f>ROUND(F433*I433/100,2)</x:f>
        <x:v>0</x:v>
      </x:c>
      <x:c r="K433" t="n">
        <x:v>0</x:v>
      </x:c>
      <x:c r="L433" t="n">
        <x:f>ROUND(F433*K433/100,2)</x:f>
        <x:v>0</x:v>
      </x:c>
      <x:c r="M433" t="n">
        <x:v>100</x:v>
      </x:c>
      <x:c r="N433" t="n">
        <x:f>ROUND(F433*M433/100,2)</x:f>
        <x:v>6</x:v>
      </x:c>
      <x:c r="O433" t="str">
        <x:v>实际用油重</x:v>
      </x:c>
    </x:row>
    <x:row r="434" ht="23" customHeight="1">
      <x:c r="A434" t="n">
        <x:v>73</x:v>
      </x:c>
      <x:c r="B434" t="n">
        <x:v>37</x:v>
      </x:c>
      <x:c r="C434" t="str">
        <x:v>午餐</x:v>
      </x:c>
      <x:c r="D434" t="str">
        <x:v>牛肉</x:v>
      </x:c>
      <x:c r="E434" t="str">
        <x:v>牛腱子</x:v>
      </x:c>
      <x:c r="F434" t="n">
        <x:v>175</x:v>
      </x:c>
      <x:c r="G434" t="n">
        <x:v>140</x:v>
      </x:c>
      <x:c r="H434" t="n">
        <x:f>ROUND(F434*G434/100,2)</x:f>
        <x:v>245</x:v>
      </x:c>
      <x:c r="I434" t="n">
        <x:v>21</x:v>
      </x:c>
      <x:c r="J434" t="n">
        <x:f>ROUND(F434*I434/100,2)</x:f>
        <x:v>36.75</x:v>
      </x:c>
      <x:c r="K434" t="n">
        <x:v>0</x:v>
      </x:c>
      <x:c r="L434" t="n">
        <x:f>ROUND(F434*K434/100,2)</x:f>
        <x:v>0</x:v>
      </x:c>
      <x:c r="M434" t="n">
        <x:v>6</x:v>
      </x:c>
      <x:c r="N434" t="n">
        <x:f>ROUND(F434*M434/100,2)</x:f>
        <x:v>10.5</x:v>
      </x:c>
      <x:c r="O434" t="str">
        <x:v>生重</x:v>
      </x:c>
    </x:row>
    <x:row r="435" ht="23" customHeight="1">
      <x:c r="A435" t="n">
        <x:v>73</x:v>
      </x:c>
      <x:c r="B435" t="n">
        <x:v>37</x:v>
      </x:c>
      <x:c r="C435" t="str">
        <x:v>午餐</x:v>
      </x:c>
      <x:c r="D435" t="str"/>
      <x:c r="E435" t="str"/>
      <x:c r="F435" t="n">
        <x:v>0</x:v>
      </x:c>
      <x:c r="G435" t="n">
        <x:v>0</x:v>
      </x:c>
      <x:c r="H435" t="n">
        <x:f>ROUND(F435*G435/100,2)</x:f>
        <x:v>0</x:v>
      </x:c>
      <x:c r="I435" t="n">
        <x:v>0</x:v>
      </x:c>
      <x:c r="J435" t="n">
        <x:f>ROUND(F435*I435/100,2)</x:f>
        <x:v>0</x:v>
      </x:c>
      <x:c r="K435" t="n">
        <x:v>0</x:v>
      </x:c>
      <x:c r="L435" t="n">
        <x:f>ROUND(F435*K435/100,2)</x:f>
        <x:v>0</x:v>
      </x:c>
      <x:c r="M435" t="n">
        <x:v>0</x:v>
      </x:c>
      <x:c r="N435" t="n">
        <x:f>ROUND(F435*M435/100,2)</x:f>
        <x:v>0</x:v>
      </x:c>
      <x:c r="O435" t="str"/>
    </x:row>
    <x:row r="436" ht="23" customHeight="1">
      <x:c r="A436" t="n">
        <x:v>73</x:v>
      </x:c>
      <x:c r="B436" t="n">
        <x:v>37</x:v>
      </x:c>
      <x:c r="C436" t="str">
        <x:v>午餐</x:v>
      </x:c>
      <x:c r="D436" t="str">
        <x:v>蔬菜</x:v>
      </x:c>
      <x:c r="E436" t="str">
        <x:v>芹菜</x:v>
      </x:c>
      <x:c r="F436" t="n">
        <x:v>140</x:v>
      </x:c>
      <x:c r="G436" t="n">
        <x:v>17</x:v>
      </x:c>
      <x:c r="H436" t="n">
        <x:f>ROUND(F436*G436/100,2)</x:f>
        <x:v>23.8</x:v>
      </x:c>
      <x:c r="I436" t="n">
        <x:v>1</x:v>
      </x:c>
      <x:c r="J436" t="n">
        <x:f>ROUND(F436*I436/100,2)</x:f>
        <x:v>1.4</x:v>
      </x:c>
      <x:c r="K436" t="n">
        <x:v>3.5</x:v>
      </x:c>
      <x:c r="L436" t="n">
        <x:f>ROUND(F436*K436/100,2)</x:f>
        <x:v>4.9</x:v>
      </x:c>
      <x:c r="M436" t="n">
        <x:v>0.1</x:v>
      </x:c>
      <x:c r="N436" t="n">
        <x:f>ROUND(F436*M436/100,2)</x:f>
        <x:v>0.14</x:v>
      </x:c>
      <x:c r="O436" t="str">
        <x:v>生重</x:v>
      </x:c>
    </x:row>
    <x:row r="437" ht="23" customHeight="1">
      <x:c r="A437" t="n">
        <x:v>73</x:v>
      </x:c>
      <x:c r="B437" t="n">
        <x:v>37</x:v>
      </x:c>
      <x:c r="C437" t="str">
        <x:v>午餐</x:v>
      </x:c>
      <x:c r="D437" t="str">
        <x:v>蔬菜</x:v>
      </x:c>
      <x:c r="E437" t="str">
        <x:v>冬瓜</x:v>
      </x:c>
      <x:c r="F437" t="n">
        <x:v>125</x:v>
      </x:c>
      <x:c r="G437" t="n">
        <x:v>13</x:v>
      </x:c>
      <x:c r="H437" t="n">
        <x:f>ROUND(F437*G437/100,2)</x:f>
        <x:v>16.25</x:v>
      </x:c>
      <x:c r="I437" t="n">
        <x:v>0.4</x:v>
      </x:c>
      <x:c r="J437" t="n">
        <x:f>ROUND(F437*I437/100,2)</x:f>
        <x:v>0.5</x:v>
      </x:c>
      <x:c r="K437" t="n">
        <x:v>3</x:v>
      </x:c>
      <x:c r="L437" t="n">
        <x:f>ROUND(F437*K437/100,2)</x:f>
        <x:v>3.75</x:v>
      </x:c>
      <x:c r="M437" t="n">
        <x:v>0.2</x:v>
      </x:c>
      <x:c r="N437" t="n">
        <x:f>ROUND(F437*M437/100,2)</x:f>
        <x:v>0.25</x:v>
      </x:c>
      <x:c r="O437" t="str">
        <x:v>生重</x:v>
      </x:c>
    </x:row>
    <x:row r="438" ht="23" customHeight="1">
      <x:c r="A438" t="n">
        <x:v>73</x:v>
      </x:c>
      <x:c r="B438" t="n">
        <x:v>37</x:v>
      </x:c>
      <x:c r="C438" t="str">
        <x:v>午餐</x:v>
      </x:c>
      <x:c r="D438" t="str">
        <x:v>主食</x:v>
      </x:c>
      <x:c r="E438" t="str">
        <x:v>土豆</x:v>
      </x:c>
      <x:c r="F438" t="n">
        <x:v>150</x:v>
      </x:c>
      <x:c r="G438" t="n">
        <x:v>78</x:v>
      </x:c>
      <x:c r="H438" t="n">
        <x:f>ROUND(F438*G438/100,2)</x:f>
        <x:v>117</x:v>
      </x:c>
      <x:c r="I438" t="n">
        <x:v>2</x:v>
      </x:c>
      <x:c r="J438" t="n">
        <x:f>ROUND(F438*I438/100,2)</x:f>
        <x:v>3</x:v>
      </x:c>
      <x:c r="K438" t="n">
        <x:v>17.2</x:v>
      </x:c>
      <x:c r="L438" t="n">
        <x:f>ROUND(F438*K438/100,2)</x:f>
        <x:v>25.8</x:v>
      </x:c>
      <x:c r="M438" t="n">
        <x:v>0.1</x:v>
      </x:c>
      <x:c r="N438" t="n">
        <x:f>ROUND(F438*M438/100,2)</x:f>
        <x:v>0.15</x:v>
      </x:c>
      <x:c r="O438" t="str">
        <x:v>蒸熟净重</x:v>
      </x:c>
    </x:row>
    <x:row r="439" ht="23" customHeight="1">
      <x:c r="A439" t="n">
        <x:v>73</x:v>
      </x:c>
      <x:c r="B439" t="n">
        <x:v>37</x:v>
      </x:c>
      <x:c r="C439" t="str">
        <x:v>午餐</x:v>
      </x:c>
      <x:c r="D439" t="str">
        <x:v>油脂</x:v>
      </x:c>
      <x:c r="E439" t="str">
        <x:v>烹调油</x:v>
      </x:c>
      <x:c r="F439" t="n">
        <x:v>3</x:v>
      </x:c>
      <x:c r="G439" t="n">
        <x:v>900</x:v>
      </x:c>
      <x:c r="H439" t="n">
        <x:f>ROUND(F439*G439/100,2)</x:f>
        <x:v>27</x:v>
      </x:c>
      <x:c r="I439" t="n">
        <x:v>0</x:v>
      </x:c>
      <x:c r="J439" t="n">
        <x:f>ROUND(F439*I439/100,2)</x:f>
        <x:v>0</x:v>
      </x:c>
      <x:c r="K439" t="n">
        <x:v>0</x:v>
      </x:c>
      <x:c r="L439" t="n">
        <x:f>ROUND(F439*K439/100,2)</x:f>
        <x:v>0</x:v>
      </x:c>
      <x:c r="M439" t="n">
        <x:v>100</x:v>
      </x:c>
      <x:c r="N439" t="n">
        <x:f>ROUND(F439*M439/100,2)</x:f>
        <x:v>3</x:v>
      </x:c>
      <x:c r="O439" t="str">
        <x:v>实际用油重</x:v>
      </x:c>
    </x:row>
    <x:row r="440" ht="23" customHeight="1">
      <x:c r="A440" t="n">
        <x:v>74</x:v>
      </x:c>
      <x:c r="B440" t="n">
        <x:v>37</x:v>
      </x:c>
      <x:c r="C440" t="str">
        <x:v>晚餐</x:v>
      </x:c>
      <x:c r="D440" t="str">
        <x:v>禽肉</x:v>
      </x:c>
      <x:c r="E440" t="str">
        <x:v>去皮鸡腿肉</x:v>
      </x:c>
      <x:c r="F440" t="n">
        <x:v>160</x:v>
      </x:c>
      <x:c r="G440" t="n">
        <x:v>125</x:v>
      </x:c>
      <x:c r="H440" t="n">
        <x:f>ROUND(F440*G440/100,2)</x:f>
        <x:v>200</x:v>
      </x:c>
      <x:c r="I440" t="n">
        <x:v>20</x:v>
      </x:c>
      <x:c r="J440" t="n">
        <x:f>ROUND(F440*I440/100,2)</x:f>
        <x:v>32</x:v>
      </x:c>
      <x:c r="K440" t="n">
        <x:v>0</x:v>
      </x:c>
      <x:c r="L440" t="n">
        <x:f>ROUND(F440*K440/100,2)</x:f>
        <x:v>0</x:v>
      </x:c>
      <x:c r="M440" t="n">
        <x:v>5</x:v>
      </x:c>
      <x:c r="N440" t="n">
        <x:f>ROUND(F440*M440/100,2)</x:f>
        <x:v>8</x:v>
      </x:c>
      <x:c r="O440" t="str">
        <x:v>生重</x:v>
      </x:c>
    </x:row>
    <x:row r="441" ht="23" customHeight="1">
      <x:c r="A441" t="n">
        <x:v>74</x:v>
      </x:c>
      <x:c r="B441" t="n">
        <x:v>37</x:v>
      </x:c>
      <x:c r="C441" t="str">
        <x:v>晚餐</x:v>
      </x:c>
      <x:c r="D441" t="str"/>
      <x:c r="E441" t="str"/>
      <x:c r="F441" t="n">
        <x:v>0</x:v>
      </x:c>
      <x:c r="G441" t="n">
        <x:v>0</x:v>
      </x:c>
      <x:c r="H441" t="n">
        <x:f>ROUND(F441*G441/100,2)</x:f>
        <x:v>0</x:v>
      </x:c>
      <x:c r="I441" t="n">
        <x:v>0</x:v>
      </x:c>
      <x:c r="J441" t="n">
        <x:f>ROUND(F441*I441/100,2)</x:f>
        <x:v>0</x:v>
      </x:c>
      <x:c r="K441" t="n">
        <x:v>0</x:v>
      </x:c>
      <x:c r="L441" t="n">
        <x:f>ROUND(F441*K441/100,2)</x:f>
        <x:v>0</x:v>
      </x:c>
      <x:c r="M441" t="n">
        <x:v>0</x:v>
      </x:c>
      <x:c r="N441" t="n">
        <x:f>ROUND(F441*M441/100,2)</x:f>
        <x:v>0</x:v>
      </x:c>
      <x:c r="O441" t="str"/>
    </x:row>
    <x:row r="442" ht="23" customHeight="1">
      <x:c r="A442" t="n">
        <x:v>74</x:v>
      </x:c>
      <x:c r="B442" t="n">
        <x:v>37</x:v>
      </x:c>
      <x:c r="C442" t="str">
        <x:v>晚餐</x:v>
      </x:c>
      <x:c r="D442" t="str">
        <x:v>蔬菜</x:v>
      </x:c>
      <x:c r="E442" t="str">
        <x:v>冬瓜</x:v>
      </x:c>
      <x:c r="F442" t="n">
        <x:v>140</x:v>
      </x:c>
      <x:c r="G442" t="n">
        <x:v>13</x:v>
      </x:c>
      <x:c r="H442" t="n">
        <x:f>ROUND(F442*G442/100,2)</x:f>
        <x:v>18.2</x:v>
      </x:c>
      <x:c r="I442" t="n">
        <x:v>0.4</x:v>
      </x:c>
      <x:c r="J442" t="n">
        <x:f>ROUND(F442*I442/100,2)</x:f>
        <x:v>0.56</x:v>
      </x:c>
      <x:c r="K442" t="n">
        <x:v>3</x:v>
      </x:c>
      <x:c r="L442" t="n">
        <x:f>ROUND(F442*K442/100,2)</x:f>
        <x:v>4.2</x:v>
      </x:c>
      <x:c r="M442" t="n">
        <x:v>0.2</x:v>
      </x:c>
      <x:c r="N442" t="n">
        <x:f>ROUND(F442*M442/100,2)</x:f>
        <x:v>0.28</x:v>
      </x:c>
      <x:c r="O442" t="str">
        <x:v>生重</x:v>
      </x:c>
    </x:row>
    <x:row r="443" ht="23" customHeight="1">
      <x:c r="A443" t="n">
        <x:v>74</x:v>
      </x:c>
      <x:c r="B443" t="n">
        <x:v>37</x:v>
      </x:c>
      <x:c r="C443" t="str">
        <x:v>晚餐</x:v>
      </x:c>
      <x:c r="D443" t="str">
        <x:v>蔬菜</x:v>
      </x:c>
      <x:c r="E443" t="str">
        <x:v>洋葱</x:v>
      </x:c>
      <x:c r="F443" t="n">
        <x:v>125</x:v>
      </x:c>
      <x:c r="G443" t="n">
        <x:v>40</x:v>
      </x:c>
      <x:c r="H443" t="n">
        <x:f>ROUND(F443*G443/100,2)</x:f>
        <x:v>50</x:v>
      </x:c>
      <x:c r="I443" t="n">
        <x:v>1.1</x:v>
      </x:c>
      <x:c r="J443" t="n">
        <x:f>ROUND(F443*I443/100,2)</x:f>
        <x:v>1.38</x:v>
      </x:c>
      <x:c r="K443" t="n">
        <x:v>9.3</x:v>
      </x:c>
      <x:c r="L443" t="n">
        <x:f>ROUND(F443*K443/100,2)</x:f>
        <x:v>11.63</x:v>
      </x:c>
      <x:c r="M443" t="n">
        <x:v>0.1</x:v>
      </x:c>
      <x:c r="N443" t="n">
        <x:f>ROUND(F443*M443/100,2)</x:f>
        <x:v>0.13</x:v>
      </x:c>
      <x:c r="O443" t="str">
        <x:v>生重</x:v>
      </x:c>
    </x:row>
    <x:row r="444" ht="23" customHeight="1">
      <x:c r="A444" t="n">
        <x:v>74</x:v>
      </x:c>
      <x:c r="B444" t="n">
        <x:v>37</x:v>
      </x:c>
      <x:c r="C444" t="str">
        <x:v>晚餐</x:v>
      </x:c>
      <x:c r="D444" t="str">
        <x:v>主食</x:v>
      </x:c>
      <x:c r="E444" t="str">
        <x:v>藜麦饭</x:v>
      </x:c>
      <x:c r="F444" t="n">
        <x:v>135</x:v>
      </x:c>
      <x:c r="G444" t="n">
        <x:v>120</x:v>
      </x:c>
      <x:c r="H444" t="n">
        <x:f>ROUND(F444*G444/100,2)</x:f>
        <x:v>162</x:v>
      </x:c>
      <x:c r="I444" t="n">
        <x:v>4.4</x:v>
      </x:c>
      <x:c r="J444" t="n">
        <x:f>ROUND(F444*I444/100,2)</x:f>
        <x:v>5.94</x:v>
      </x:c>
      <x:c r="K444" t="n">
        <x:v>21.3</x:v>
      </x:c>
      <x:c r="L444" t="n">
        <x:f>ROUND(F444*K444/100,2)</x:f>
        <x:v>28.76</x:v>
      </x:c>
      <x:c r="M444" t="n">
        <x:v>1.9</x:v>
      </x:c>
      <x:c r="N444" t="n">
        <x:f>ROUND(F444*M444/100,2)</x:f>
        <x:v>2.57</x:v>
      </x:c>
      <x:c r="O444" t="str">
        <x:v>熟重</x:v>
      </x:c>
    </x:row>
    <x:row r="445" ht="23" customHeight="1">
      <x:c r="A445" t="n">
        <x:v>74</x:v>
      </x:c>
      <x:c r="B445" t="n">
        <x:v>37</x:v>
      </x:c>
      <x:c r="C445" t="str">
        <x:v>晚餐</x:v>
      </x:c>
      <x:c r="D445" t="str">
        <x:v>油脂</x:v>
      </x:c>
      <x:c r="E445" t="str">
        <x:v>烹调油</x:v>
      </x:c>
      <x:c r="F445" t="n">
        <x:v>5</x:v>
      </x:c>
      <x:c r="G445" t="n">
        <x:v>900</x:v>
      </x:c>
      <x:c r="H445" t="n">
        <x:f>ROUND(F445*G445/100,2)</x:f>
        <x:v>45</x:v>
      </x:c>
      <x:c r="I445" t="n">
        <x:v>0</x:v>
      </x:c>
      <x:c r="J445" t="n">
        <x:f>ROUND(F445*I445/100,2)</x:f>
        <x:v>0</x:v>
      </x:c>
      <x:c r="K445" t="n">
        <x:v>0</x:v>
      </x:c>
      <x:c r="L445" t="n">
        <x:f>ROUND(F445*K445/100,2)</x:f>
        <x:v>0</x:v>
      </x:c>
      <x:c r="M445" t="n">
        <x:v>100</x:v>
      </x:c>
      <x:c r="N445" t="n">
        <x:f>ROUND(F445*M445/100,2)</x:f>
        <x:v>5</x:v>
      </x:c>
      <x:c r="O445" t="str">
        <x:v>实际用油重</x:v>
      </x:c>
    </x:row>
    <x:row r="446" ht="23" customHeight="1">
      <x:c r="A446" t="n">
        <x:v>75</x:v>
      </x:c>
      <x:c r="B446" t="n">
        <x:v>38</x:v>
      </x:c>
      <x:c r="C446" t="str">
        <x:v>午餐</x:v>
      </x:c>
      <x:c r="D446" t="str">
        <x:v>海鲜</x:v>
      </x:c>
      <x:c r="E446" t="str">
        <x:v>虾仁</x:v>
      </x:c>
      <x:c r="F446" t="n">
        <x:v>160</x:v>
      </x:c>
      <x:c r="G446" t="n">
        <x:v>90</x:v>
      </x:c>
      <x:c r="H446" t="n">
        <x:f>ROUND(F446*G446/100,2)</x:f>
        <x:v>144</x:v>
      </x:c>
      <x:c r="I446" t="n">
        <x:v>19</x:v>
      </x:c>
      <x:c r="J446" t="n">
        <x:f>ROUND(F446*I446/100,2)</x:f>
        <x:v>30.4</x:v>
      </x:c>
      <x:c r="K446" t="n">
        <x:v>0.4</x:v>
      </x:c>
      <x:c r="L446" t="n">
        <x:f>ROUND(F446*K446/100,2)</x:f>
        <x:v>0.64</x:v>
      </x:c>
      <x:c r="M446" t="n">
        <x:v>1.1</x:v>
      </x:c>
      <x:c r="N446" t="n">
        <x:f>ROUND(F446*M446/100,2)</x:f>
        <x:v>1.76</x:v>
      </x:c>
      <x:c r="O446" t="str">
        <x:v>生重</x:v>
      </x:c>
    </x:row>
    <x:row r="447" ht="23" customHeight="1">
      <x:c r="A447" t="n">
        <x:v>75</x:v>
      </x:c>
      <x:c r="B447" t="n">
        <x:v>38</x:v>
      </x:c>
      <x:c r="C447" t="str">
        <x:v>午餐</x:v>
      </x:c>
      <x:c r="D447" t="str"/>
      <x:c r="E447" t="str"/>
      <x:c r="F447" t="n">
        <x:v>0</x:v>
      </x:c>
      <x:c r="G447" t="n">
        <x:v>0</x:v>
      </x:c>
      <x:c r="H447" t="n">
        <x:f>ROUND(F447*G447/100,2)</x:f>
        <x:v>0</x:v>
      </x:c>
      <x:c r="I447" t="n">
        <x:v>0</x:v>
      </x:c>
      <x:c r="J447" t="n">
        <x:f>ROUND(F447*I447/100,2)</x:f>
        <x:v>0</x:v>
      </x:c>
      <x:c r="K447" t="n">
        <x:v>0</x:v>
      </x:c>
      <x:c r="L447" t="n">
        <x:f>ROUND(F447*K447/100,2)</x:f>
        <x:v>0</x:v>
      </x:c>
      <x:c r="M447" t="n">
        <x:v>0</x:v>
      </x:c>
      <x:c r="N447" t="n">
        <x:f>ROUND(F447*M447/100,2)</x:f>
        <x:v>0</x:v>
      </x:c>
      <x:c r="O447" t="str"/>
    </x:row>
    <x:row r="448" ht="23" customHeight="1">
      <x:c r="A448" t="n">
        <x:v>75</x:v>
      </x:c>
      <x:c r="B448" t="n">
        <x:v>38</x:v>
      </x:c>
      <x:c r="C448" t="str">
        <x:v>午餐</x:v>
      </x:c>
      <x:c r="D448" t="str">
        <x:v>蔬菜</x:v>
      </x:c>
      <x:c r="E448" t="str">
        <x:v>彩椒</x:v>
      </x:c>
      <x:c r="F448" t="n">
        <x:v>175</x:v>
      </x:c>
      <x:c r="G448" t="n">
        <x:v>27</x:v>
      </x:c>
      <x:c r="H448" t="n">
        <x:f>ROUND(F448*G448/100,2)</x:f>
        <x:v>47.25</x:v>
      </x:c>
      <x:c r="I448" t="n">
        <x:v>1</x:v>
      </x:c>
      <x:c r="J448" t="n">
        <x:f>ROUND(F448*I448/100,2)</x:f>
        <x:v>1.75</x:v>
      </x:c>
      <x:c r="K448" t="n">
        <x:v>6.1</x:v>
      </x:c>
      <x:c r="L448" t="n">
        <x:f>ROUND(F448*K448/100,2)</x:f>
        <x:v>10.68</x:v>
      </x:c>
      <x:c r="M448" t="n">
        <x:v>0.2</x:v>
      </x:c>
      <x:c r="N448" t="n">
        <x:f>ROUND(F448*M448/100,2)</x:f>
        <x:v>0.35</x:v>
      </x:c>
      <x:c r="O448" t="str">
        <x:v>生重</x:v>
      </x:c>
    </x:row>
    <x:row r="449" ht="23" customHeight="1">
      <x:c r="A449" t="n">
        <x:v>75</x:v>
      </x:c>
      <x:c r="B449" t="n">
        <x:v>38</x:v>
      </x:c>
      <x:c r="C449" t="str">
        <x:v>午餐</x:v>
      </x:c>
      <x:c r="D449" t="str">
        <x:v>蔬菜</x:v>
      </x:c>
      <x:c r="E449" t="str">
        <x:v>黄瓜</x:v>
      </x:c>
      <x:c r="F449" t="n">
        <x:v>125</x:v>
      </x:c>
      <x:c r="G449" t="n">
        <x:v>16</x:v>
      </x:c>
      <x:c r="H449" t="n">
        <x:f>ROUND(F449*G449/100,2)</x:f>
        <x:v>20</x:v>
      </x:c>
      <x:c r="I449" t="n">
        <x:v>0.7</x:v>
      </x:c>
      <x:c r="J449" t="n">
        <x:f>ROUND(F449*I449/100,2)</x:f>
        <x:v>0.88</x:v>
      </x:c>
      <x:c r="K449" t="n">
        <x:v>3.6</x:v>
      </x:c>
      <x:c r="L449" t="n">
        <x:f>ROUND(F449*K449/100,2)</x:f>
        <x:v>4.5</x:v>
      </x:c>
      <x:c r="M449" t="n">
        <x:v>0.1</x:v>
      </x:c>
      <x:c r="N449" t="n">
        <x:f>ROUND(F449*M449/100,2)</x:f>
        <x:v>0.13</x:v>
      </x:c>
      <x:c r="O449" t="str">
        <x:v>生重</x:v>
      </x:c>
    </x:row>
    <x:row r="450" ht="23" customHeight="1">
      <x:c r="A450" t="n">
        <x:v>75</x:v>
      </x:c>
      <x:c r="B450" t="n">
        <x:v>38</x:v>
      </x:c>
      <x:c r="C450" t="str">
        <x:v>午餐</x:v>
      </x:c>
      <x:c r="D450" t="str">
        <x:v>主食</x:v>
      </x:c>
      <x:c r="E450" t="str">
        <x:v>紫薯</x:v>
      </x:c>
      <x:c r="F450" t="n">
        <x:v>150</x:v>
      </x:c>
      <x:c r="G450" t="n">
        <x:v>95</x:v>
      </x:c>
      <x:c r="H450" t="n">
        <x:f>ROUND(F450*G450/100,2)</x:f>
        <x:v>142.5</x:v>
      </x:c>
      <x:c r="I450" t="n">
        <x:v>1.6</x:v>
      </x:c>
      <x:c r="J450" t="n">
        <x:f>ROUND(F450*I450/100,2)</x:f>
        <x:v>2.4</x:v>
      </x:c>
      <x:c r="K450" t="n">
        <x:v>22</x:v>
      </x:c>
      <x:c r="L450" t="n">
        <x:f>ROUND(F450*K450/100,2)</x:f>
        <x:v>33</x:v>
      </x:c>
      <x:c r="M450" t="n">
        <x:v>0.1</x:v>
      </x:c>
      <x:c r="N450" t="n">
        <x:f>ROUND(F450*M450/100,2)</x:f>
        <x:v>0.15</x:v>
      </x:c>
      <x:c r="O450" t="str">
        <x:v>蒸熟净重</x:v>
      </x:c>
    </x:row>
    <x:row r="451" ht="23" customHeight="1">
      <x:c r="A451" t="n">
        <x:v>75</x:v>
      </x:c>
      <x:c r="B451" t="n">
        <x:v>38</x:v>
      </x:c>
      <x:c r="C451" t="str">
        <x:v>午餐</x:v>
      </x:c>
      <x:c r="D451" t="str">
        <x:v>油脂</x:v>
      </x:c>
      <x:c r="E451" t="str">
        <x:v>烹调油</x:v>
      </x:c>
      <x:c r="F451" t="n">
        <x:v>4</x:v>
      </x:c>
      <x:c r="G451" t="n">
        <x:v>900</x:v>
      </x:c>
      <x:c r="H451" t="n">
        <x:f>ROUND(F451*G451/100,2)</x:f>
        <x:v>36</x:v>
      </x:c>
      <x:c r="I451" t="n">
        <x:v>0</x:v>
      </x:c>
      <x:c r="J451" t="n">
        <x:f>ROUND(F451*I451/100,2)</x:f>
        <x:v>0</x:v>
      </x:c>
      <x:c r="K451" t="n">
        <x:v>0</x:v>
      </x:c>
      <x:c r="L451" t="n">
        <x:f>ROUND(F451*K451/100,2)</x:f>
        <x:v>0</x:v>
      </x:c>
      <x:c r="M451" t="n">
        <x:v>100</x:v>
      </x:c>
      <x:c r="N451" t="n">
        <x:f>ROUND(F451*M451/100,2)</x:f>
        <x:v>4</x:v>
      </x:c>
      <x:c r="O451" t="str">
        <x:v>实际用油重</x:v>
      </x:c>
    </x:row>
    <x:row r="452" ht="23" customHeight="1">
      <x:c r="A452" t="n">
        <x:v>76</x:v>
      </x:c>
      <x:c r="B452" t="n">
        <x:v>38</x:v>
      </x:c>
      <x:c r="C452" t="str">
        <x:v>晚餐</x:v>
      </x:c>
      <x:c r="D452" t="str">
        <x:v>鱼类</x:v>
      </x:c>
      <x:c r="E452" t="str">
        <x:v>鳕鱼</x:v>
      </x:c>
      <x:c r="F452" t="n">
        <x:v>215</x:v>
      </x:c>
      <x:c r="G452" t="n">
        <x:v>85</x:v>
      </x:c>
      <x:c r="H452" t="n">
        <x:f>ROUND(F452*G452/100,2)</x:f>
        <x:v>182.75</x:v>
      </x:c>
      <x:c r="I452" t="n">
        <x:v>18</x:v>
      </x:c>
      <x:c r="J452" t="n">
        <x:f>ROUND(F452*I452/100,2)</x:f>
        <x:v>38.7</x:v>
      </x:c>
      <x:c r="K452" t="n">
        <x:v>0</x:v>
      </x:c>
      <x:c r="L452" t="n">
        <x:f>ROUND(F452*K452/100,2)</x:f>
        <x:v>0</x:v>
      </x:c>
      <x:c r="M452" t="n">
        <x:v>0.8</x:v>
      </x:c>
      <x:c r="N452" t="n">
        <x:f>ROUND(F452*M452/100,2)</x:f>
        <x:v>1.72</x:v>
      </x:c>
      <x:c r="O452" t="str">
        <x:v>净鱼肉生重</x:v>
      </x:c>
    </x:row>
    <x:row r="453" ht="23" customHeight="1">
      <x:c r="A453" t="n">
        <x:v>76</x:v>
      </x:c>
      <x:c r="B453" t="n">
        <x:v>38</x:v>
      </x:c>
      <x:c r="C453" t="str">
        <x:v>晚餐</x:v>
      </x:c>
      <x:c r="D453" t="str"/>
      <x:c r="E453" t="str"/>
      <x:c r="F453" t="n">
        <x:v>0</x:v>
      </x:c>
      <x:c r="G453" t="n">
        <x:v>0</x:v>
      </x:c>
      <x:c r="H453" t="n">
        <x:f>ROUND(F453*G453/100,2)</x:f>
        <x:v>0</x:v>
      </x:c>
      <x:c r="I453" t="n">
        <x:v>0</x:v>
      </x:c>
      <x:c r="J453" t="n">
        <x:f>ROUND(F453*I453/100,2)</x:f>
        <x:v>0</x:v>
      </x:c>
      <x:c r="K453" t="n">
        <x:v>0</x:v>
      </x:c>
      <x:c r="L453" t="n">
        <x:f>ROUND(F453*K453/100,2)</x:f>
        <x:v>0</x:v>
      </x:c>
      <x:c r="M453" t="n">
        <x:v>0</x:v>
      </x:c>
      <x:c r="N453" t="n">
        <x:f>ROUND(F453*M453/100,2)</x:f>
        <x:v>0</x:v>
      </x:c>
      <x:c r="O453" t="str"/>
    </x:row>
    <x:row r="454" ht="23" customHeight="1">
      <x:c r="A454" t="n">
        <x:v>76</x:v>
      </x:c>
      <x:c r="B454" t="n">
        <x:v>38</x:v>
      </x:c>
      <x:c r="C454" t="str">
        <x:v>晚餐</x:v>
      </x:c>
      <x:c r="D454" t="str">
        <x:v>蔬菜</x:v>
      </x:c>
      <x:c r="E454" t="str">
        <x:v>番茄</x:v>
      </x:c>
      <x:c r="F454" t="n">
        <x:v>160</x:v>
      </x:c>
      <x:c r="G454" t="n">
        <x:v>20</x:v>
      </x:c>
      <x:c r="H454" t="n">
        <x:f>ROUND(F454*G454/100,2)</x:f>
        <x:v>32</x:v>
      </x:c>
      <x:c r="I454" t="n">
        <x:v>0.9</x:v>
      </x:c>
      <x:c r="J454" t="n">
        <x:f>ROUND(F454*I454/100,2)</x:f>
        <x:v>1.44</x:v>
      </x:c>
      <x:c r="K454" t="n">
        <x:v>4</x:v>
      </x:c>
      <x:c r="L454" t="n">
        <x:f>ROUND(F454*K454/100,2)</x:f>
        <x:v>6.4</x:v>
      </x:c>
      <x:c r="M454" t="n">
        <x:v>0.2</x:v>
      </x:c>
      <x:c r="N454" t="n">
        <x:f>ROUND(F454*M454/100,2)</x:f>
        <x:v>0.32</x:v>
      </x:c>
      <x:c r="O454" t="str">
        <x:v>生重</x:v>
      </x:c>
    </x:row>
    <x:row r="455" ht="23" customHeight="1">
      <x:c r="A455" t="n">
        <x:v>76</x:v>
      </x:c>
      <x:c r="B455" t="n">
        <x:v>38</x:v>
      </x:c>
      <x:c r="C455" t="str">
        <x:v>晚餐</x:v>
      </x:c>
      <x:c r="D455" t="str">
        <x:v>蔬菜</x:v>
      </x:c>
      <x:c r="E455" t="str">
        <x:v>黄瓜</x:v>
      </x:c>
      <x:c r="F455" t="n">
        <x:v>110</x:v>
      </x:c>
      <x:c r="G455" t="n">
        <x:v>16</x:v>
      </x:c>
      <x:c r="H455" t="n">
        <x:f>ROUND(F455*G455/100,2)</x:f>
        <x:v>17.6</x:v>
      </x:c>
      <x:c r="I455" t="n">
        <x:v>0.7</x:v>
      </x:c>
      <x:c r="J455" t="n">
        <x:f>ROUND(F455*I455/100,2)</x:f>
        <x:v>0.77</x:v>
      </x:c>
      <x:c r="K455" t="n">
        <x:v>3.6</x:v>
      </x:c>
      <x:c r="L455" t="n">
        <x:f>ROUND(F455*K455/100,2)</x:f>
        <x:v>3.96</x:v>
      </x:c>
      <x:c r="M455" t="n">
        <x:v>0.1</x:v>
      </x:c>
      <x:c r="N455" t="n">
        <x:f>ROUND(F455*M455/100,2)</x:f>
        <x:v>0.11</x:v>
      </x:c>
      <x:c r="O455" t="str">
        <x:v>生重</x:v>
      </x:c>
    </x:row>
    <x:row r="456" ht="23" customHeight="1">
      <x:c r="A456" t="n">
        <x:v>76</x:v>
      </x:c>
      <x:c r="B456" t="n">
        <x:v>38</x:v>
      </x:c>
      <x:c r="C456" t="str">
        <x:v>晚餐</x:v>
      </x:c>
      <x:c r="D456" t="str">
        <x:v>主食</x:v>
      </x:c>
      <x:c r="E456" t="str">
        <x:v>糙米饭</x:v>
      </x:c>
      <x:c r="F456" t="n">
        <x:v>110</x:v>
      </x:c>
      <x:c r="G456" t="n">
        <x:v>112</x:v>
      </x:c>
      <x:c r="H456" t="n">
        <x:f>ROUND(F456*G456/100,2)</x:f>
        <x:v>123.2</x:v>
      </x:c>
      <x:c r="I456" t="n">
        <x:v>2.6</x:v>
      </x:c>
      <x:c r="J456" t="n">
        <x:f>ROUND(F456*I456/100,2)</x:f>
        <x:v>2.86</x:v>
      </x:c>
      <x:c r="K456" t="n">
        <x:v>23.5</x:v>
      </x:c>
      <x:c r="L456" t="n">
        <x:f>ROUND(F456*K456/100,2)</x:f>
        <x:v>25.85</x:v>
      </x:c>
      <x:c r="M456" t="n">
        <x:v>0.9</x:v>
      </x:c>
      <x:c r="N456" t="n">
        <x:f>ROUND(F456*M456/100,2)</x:f>
        <x:v>0.99</x:v>
      </x:c>
      <x:c r="O456" t="str">
        <x:v>熟重</x:v>
      </x:c>
    </x:row>
    <x:row r="457" ht="23" customHeight="1">
      <x:c r="A457" t="n">
        <x:v>76</x:v>
      </x:c>
      <x:c r="B457" t="n">
        <x:v>38</x:v>
      </x:c>
      <x:c r="C457" t="str">
        <x:v>晚餐</x:v>
      </x:c>
      <x:c r="D457" t="str">
        <x:v>油脂</x:v>
      </x:c>
      <x:c r="E457" t="str">
        <x:v>烹调油</x:v>
      </x:c>
      <x:c r="F457" t="n">
        <x:v>3</x:v>
      </x:c>
      <x:c r="G457" t="n">
        <x:v>900</x:v>
      </x:c>
      <x:c r="H457" t="n">
        <x:f>ROUND(F457*G457/100,2)</x:f>
        <x:v>27</x:v>
      </x:c>
      <x:c r="I457" t="n">
        <x:v>0</x:v>
      </x:c>
      <x:c r="J457" t="n">
        <x:f>ROUND(F457*I457/100,2)</x:f>
        <x:v>0</x:v>
      </x:c>
      <x:c r="K457" t="n">
        <x:v>0</x:v>
      </x:c>
      <x:c r="L457" t="n">
        <x:f>ROUND(F457*K457/100,2)</x:f>
        <x:v>0</x:v>
      </x:c>
      <x:c r="M457" t="n">
        <x:v>100</x:v>
      </x:c>
      <x:c r="N457" t="n">
        <x:f>ROUND(F457*M457/100,2)</x:f>
        <x:v>3</x:v>
      </x:c>
      <x:c r="O457" t="str">
        <x:v>实际用油重</x:v>
      </x:c>
    </x:row>
    <x:row r="458" ht="23" customHeight="1">
      <x:c r="A458" t="n">
        <x:v>77</x:v>
      </x:c>
      <x:c r="B458" t="n">
        <x:v>39</x:v>
      </x:c>
      <x:c r="C458" t="str">
        <x:v>午餐</x:v>
      </x:c>
      <x:c r="D458" t="str">
        <x:v>海鲜</x:v>
      </x:c>
      <x:c r="E458" t="str">
        <x:v>虾仁</x:v>
      </x:c>
      <x:c r="F458" t="n">
        <x:v>160</x:v>
      </x:c>
      <x:c r="G458" t="n">
        <x:v>90</x:v>
      </x:c>
      <x:c r="H458" t="n">
        <x:f>ROUND(F458*G458/100,2)</x:f>
        <x:v>144</x:v>
      </x:c>
      <x:c r="I458" t="n">
        <x:v>19</x:v>
      </x:c>
      <x:c r="J458" t="n">
        <x:f>ROUND(F458*I458/100,2)</x:f>
        <x:v>30.4</x:v>
      </x:c>
      <x:c r="K458" t="n">
        <x:v>0.4</x:v>
      </x:c>
      <x:c r="L458" t="n">
        <x:f>ROUND(F458*K458/100,2)</x:f>
        <x:v>0.64</x:v>
      </x:c>
      <x:c r="M458" t="n">
        <x:v>1.1</x:v>
      </x:c>
      <x:c r="N458" t="n">
        <x:f>ROUND(F458*M458/100,2)</x:f>
        <x:v>1.76</x:v>
      </x:c>
      <x:c r="O458" t="str">
        <x:v>生重</x:v>
      </x:c>
    </x:row>
    <x:row r="459" ht="23" customHeight="1">
      <x:c r="A459" t="n">
        <x:v>77</x:v>
      </x:c>
      <x:c r="B459" t="n">
        <x:v>39</x:v>
      </x:c>
      <x:c r="C459" t="str">
        <x:v>午餐</x:v>
      </x:c>
      <x:c r="D459" t="str"/>
      <x:c r="E459" t="str"/>
      <x:c r="F459" t="n">
        <x:v>0</x:v>
      </x:c>
      <x:c r="G459" t="n">
        <x:v>0</x:v>
      </x:c>
      <x:c r="H459" t="n">
        <x:f>ROUND(F459*G459/100,2)</x:f>
        <x:v>0</x:v>
      </x:c>
      <x:c r="I459" t="n">
        <x:v>0</x:v>
      </x:c>
      <x:c r="J459" t="n">
        <x:f>ROUND(F459*I459/100,2)</x:f>
        <x:v>0</x:v>
      </x:c>
      <x:c r="K459" t="n">
        <x:v>0</x:v>
      </x:c>
      <x:c r="L459" t="n">
        <x:f>ROUND(F459*K459/100,2)</x:f>
        <x:v>0</x:v>
      </x:c>
      <x:c r="M459" t="n">
        <x:v>0</x:v>
      </x:c>
      <x:c r="N459" t="n">
        <x:f>ROUND(F459*M459/100,2)</x:f>
        <x:v>0</x:v>
      </x:c>
      <x:c r="O459" t="str"/>
    </x:row>
    <x:row r="460" ht="23" customHeight="1">
      <x:c r="A460" t="n">
        <x:v>77</x:v>
      </x:c>
      <x:c r="B460" t="n">
        <x:v>39</x:v>
      </x:c>
      <x:c r="C460" t="str">
        <x:v>午餐</x:v>
      </x:c>
      <x:c r="D460" t="str">
        <x:v>蔬菜</x:v>
      </x:c>
      <x:c r="E460" t="str">
        <x:v>苦瓜</x:v>
      </x:c>
      <x:c r="F460" t="n">
        <x:v>140</x:v>
      </x:c>
      <x:c r="G460" t="n">
        <x:v>19</x:v>
      </x:c>
      <x:c r="H460" t="n">
        <x:f>ROUND(F460*G460/100,2)</x:f>
        <x:v>26.6</x:v>
      </x:c>
      <x:c r="I460" t="n">
        <x:v>1</x:v>
      </x:c>
      <x:c r="J460" t="n">
        <x:f>ROUND(F460*I460/100,2)</x:f>
        <x:v>1.4</x:v>
      </x:c>
      <x:c r="K460" t="n">
        <x:v>4.1</x:v>
      </x:c>
      <x:c r="L460" t="n">
        <x:f>ROUND(F460*K460/100,2)</x:f>
        <x:v>5.74</x:v>
      </x:c>
      <x:c r="M460" t="n">
        <x:v>0.2</x:v>
      </x:c>
      <x:c r="N460" t="n">
        <x:f>ROUND(F460*M460/100,2)</x:f>
        <x:v>0.28</x:v>
      </x:c>
      <x:c r="O460" t="str">
        <x:v>生重</x:v>
      </x:c>
    </x:row>
    <x:row r="461" ht="23" customHeight="1">
      <x:c r="A461" t="n">
        <x:v>77</x:v>
      </x:c>
      <x:c r="B461" t="n">
        <x:v>39</x:v>
      </x:c>
      <x:c r="C461" t="str">
        <x:v>午餐</x:v>
      </x:c>
      <x:c r="D461" t="str">
        <x:v>菌菇</x:v>
      </x:c>
      <x:c r="E461" t="str">
        <x:v>金针菇</x:v>
      </x:c>
      <x:c r="F461" t="n">
        <x:v>140</x:v>
      </x:c>
      <x:c r="G461" t="n">
        <x:v>32</x:v>
      </x:c>
      <x:c r="H461" t="n">
        <x:f>ROUND(F461*G461/100,2)</x:f>
        <x:v>44.8</x:v>
      </x:c>
      <x:c r="I461" t="n">
        <x:v>2.4</x:v>
      </x:c>
      <x:c r="J461" t="n">
        <x:f>ROUND(F461*I461/100,2)</x:f>
        <x:v>3.36</x:v>
      </x:c>
      <x:c r="K461" t="n">
        <x:v>6.4</x:v>
      </x:c>
      <x:c r="L461" t="n">
        <x:f>ROUND(F461*K461/100,2)</x:f>
        <x:v>8.96</x:v>
      </x:c>
      <x:c r="M461" t="n">
        <x:v>0.2</x:v>
      </x:c>
      <x:c r="N461" t="n">
        <x:f>ROUND(F461*M461/100,2)</x:f>
        <x:v>0.28</x:v>
      </x:c>
      <x:c r="O461" t="str">
        <x:v>生重</x:v>
      </x:c>
    </x:row>
    <x:row r="462" ht="23" customHeight="1">
      <x:c r="A462" t="n">
        <x:v>77</x:v>
      </x:c>
      <x:c r="B462" t="n">
        <x:v>39</x:v>
      </x:c>
      <x:c r="C462" t="str">
        <x:v>午餐</x:v>
      </x:c>
      <x:c r="D462" t="str">
        <x:v>主食</x:v>
      </x:c>
      <x:c r="E462" t="str">
        <x:v>白米饭</x:v>
      </x:c>
      <x:c r="F462" t="n">
        <x:v>135</x:v>
      </x:c>
      <x:c r="G462" t="n">
        <x:v>116</x:v>
      </x:c>
      <x:c r="H462" t="n">
        <x:f>ROUND(F462*G462/100,2)</x:f>
        <x:v>156.6</x:v>
      </x:c>
      <x:c r="I462" t="n">
        <x:v>2.6</x:v>
      </x:c>
      <x:c r="J462" t="n">
        <x:f>ROUND(F462*I462/100,2)</x:f>
        <x:v>3.51</x:v>
      </x:c>
      <x:c r="K462" t="n">
        <x:v>25.6</x:v>
      </x:c>
      <x:c r="L462" t="n">
        <x:f>ROUND(F462*K462/100,2)</x:f>
        <x:v>34.56</x:v>
      </x:c>
      <x:c r="M462" t="n">
        <x:v>0.3</x:v>
      </x:c>
      <x:c r="N462" t="n">
        <x:f>ROUND(F462*M462/100,2)</x:f>
        <x:v>0.41</x:v>
      </x:c>
      <x:c r="O462" t="str">
        <x:v>熟重</x:v>
      </x:c>
    </x:row>
    <x:row r="463" ht="23" customHeight="1">
      <x:c r="A463" t="n">
        <x:v>77</x:v>
      </x:c>
      <x:c r="B463" t="n">
        <x:v>39</x:v>
      </x:c>
      <x:c r="C463" t="str">
        <x:v>午餐</x:v>
      </x:c>
      <x:c r="D463" t="str">
        <x:v>油脂</x:v>
      </x:c>
      <x:c r="E463" t="str">
        <x:v>烹调油</x:v>
      </x:c>
      <x:c r="F463" t="n">
        <x:v>4</x:v>
      </x:c>
      <x:c r="G463" t="n">
        <x:v>900</x:v>
      </x:c>
      <x:c r="H463" t="n">
        <x:f>ROUND(F463*G463/100,2)</x:f>
        <x:v>36</x:v>
      </x:c>
      <x:c r="I463" t="n">
        <x:v>0</x:v>
      </x:c>
      <x:c r="J463" t="n">
        <x:f>ROUND(F463*I463/100,2)</x:f>
        <x:v>0</x:v>
      </x:c>
      <x:c r="K463" t="n">
        <x:v>0</x:v>
      </x:c>
      <x:c r="L463" t="n">
        <x:f>ROUND(F463*K463/100,2)</x:f>
        <x:v>0</x:v>
      </x:c>
      <x:c r="M463" t="n">
        <x:v>100</x:v>
      </x:c>
      <x:c r="N463" t="n">
        <x:f>ROUND(F463*M463/100,2)</x:f>
        <x:v>4</x:v>
      </x:c>
      <x:c r="O463" t="str">
        <x:v>实际用油重</x:v>
      </x:c>
    </x:row>
    <x:row r="464" ht="23" customHeight="1">
      <x:c r="A464" t="n">
        <x:v>78</x:v>
      </x:c>
      <x:c r="B464" t="n">
        <x:v>39</x:v>
      </x:c>
      <x:c r="C464" t="str">
        <x:v>晚餐</x:v>
      </x:c>
      <x:c r="D464" t="str">
        <x:v>牛肉</x:v>
      </x:c>
      <x:c r="E464" t="str">
        <x:v>牛里脊</x:v>
      </x:c>
      <x:c r="F464" t="n">
        <x:v>170</x:v>
      </x:c>
      <x:c r="G464" t="n">
        <x:v>130</x:v>
      </x:c>
      <x:c r="H464" t="n">
        <x:f>ROUND(F464*G464/100,2)</x:f>
        <x:v>221</x:v>
      </x:c>
      <x:c r="I464" t="n">
        <x:v>21</x:v>
      </x:c>
      <x:c r="J464" t="n">
        <x:f>ROUND(F464*I464/100,2)</x:f>
        <x:v>35.7</x:v>
      </x:c>
      <x:c r="K464" t="n">
        <x:v>0</x:v>
      </x:c>
      <x:c r="L464" t="n">
        <x:f>ROUND(F464*K464/100,2)</x:f>
        <x:v>0</x:v>
      </x:c>
      <x:c r="M464" t="n">
        <x:v>4.8</x:v>
      </x:c>
      <x:c r="N464" t="n">
        <x:f>ROUND(F464*M464/100,2)</x:f>
        <x:v>8.16</x:v>
      </x:c>
      <x:c r="O464" t="str">
        <x:v>生重</x:v>
      </x:c>
    </x:row>
    <x:row r="465" ht="23" customHeight="1">
      <x:c r="A465" t="n">
        <x:v>78</x:v>
      </x:c>
      <x:c r="B465" t="n">
        <x:v>39</x:v>
      </x:c>
      <x:c r="C465" t="str">
        <x:v>晚餐</x:v>
      </x:c>
      <x:c r="D465" t="str"/>
      <x:c r="E465" t="str"/>
      <x:c r="F465" t="n">
        <x:v>0</x:v>
      </x:c>
      <x:c r="G465" t="n">
        <x:v>0</x:v>
      </x:c>
      <x:c r="H465" t="n">
        <x:f>ROUND(F465*G465/100,2)</x:f>
        <x:v>0</x:v>
      </x:c>
      <x:c r="I465" t="n">
        <x:v>0</x:v>
      </x:c>
      <x:c r="J465" t="n">
        <x:f>ROUND(F465*I465/100,2)</x:f>
        <x:v>0</x:v>
      </x:c>
      <x:c r="K465" t="n">
        <x:v>0</x:v>
      </x:c>
      <x:c r="L465" t="n">
        <x:f>ROUND(F465*K465/100,2)</x:f>
        <x:v>0</x:v>
      </x:c>
      <x:c r="M465" t="n">
        <x:v>0</x:v>
      </x:c>
      <x:c r="N465" t="n">
        <x:f>ROUND(F465*M465/100,2)</x:f>
        <x:v>0</x:v>
      </x:c>
      <x:c r="O465" t="str"/>
    </x:row>
    <x:row r="466" ht="23" customHeight="1">
      <x:c r="A466" t="n">
        <x:v>78</x:v>
      </x:c>
      <x:c r="B466" t="n">
        <x:v>39</x:v>
      </x:c>
      <x:c r="C466" t="str">
        <x:v>晚餐</x:v>
      </x:c>
      <x:c r="D466" t="str">
        <x:v>蔬菜</x:v>
      </x:c>
      <x:c r="E466" t="str">
        <x:v>西葫芦</x:v>
      </x:c>
      <x:c r="F466" t="n">
        <x:v>140</x:v>
      </x:c>
      <x:c r="G466" t="n">
        <x:v>17</x:v>
      </x:c>
      <x:c r="H466" t="n">
        <x:f>ROUND(F466*G466/100,2)</x:f>
        <x:v>23.8</x:v>
      </x:c>
      <x:c r="I466" t="n">
        <x:v>1.2</x:v>
      </x:c>
      <x:c r="J466" t="n">
        <x:f>ROUND(F466*I466/100,2)</x:f>
        <x:v>1.68</x:v>
      </x:c>
      <x:c r="K466" t="n">
        <x:v>3.1</x:v>
      </x:c>
      <x:c r="L466" t="n">
        <x:f>ROUND(F466*K466/100,2)</x:f>
        <x:v>4.34</x:v>
      </x:c>
      <x:c r="M466" t="n">
        <x:v>0.3</x:v>
      </x:c>
      <x:c r="N466" t="n">
        <x:f>ROUND(F466*M466/100,2)</x:f>
        <x:v>0.42</x:v>
      </x:c>
      <x:c r="O466" t="str">
        <x:v>生重</x:v>
      </x:c>
    </x:row>
    <x:row r="467" ht="23" customHeight="1">
      <x:c r="A467" t="n">
        <x:v>78</x:v>
      </x:c>
      <x:c r="B467" t="n">
        <x:v>39</x:v>
      </x:c>
      <x:c r="C467" t="str">
        <x:v>晚餐</x:v>
      </x:c>
      <x:c r="D467" t="str">
        <x:v>蔬菜</x:v>
      </x:c>
      <x:c r="E467" t="str">
        <x:v>番茄</x:v>
      </x:c>
      <x:c r="F467" t="n">
        <x:v>155</x:v>
      </x:c>
      <x:c r="G467" t="n">
        <x:v>20</x:v>
      </x:c>
      <x:c r="H467" t="n">
        <x:f>ROUND(F467*G467/100,2)</x:f>
        <x:v>31</x:v>
      </x:c>
      <x:c r="I467" t="n">
        <x:v>0.9</x:v>
      </x:c>
      <x:c r="J467" t="n">
        <x:f>ROUND(F467*I467/100,2)</x:f>
        <x:v>1.4</x:v>
      </x:c>
      <x:c r="K467" t="n">
        <x:v>4</x:v>
      </x:c>
      <x:c r="L467" t="n">
        <x:f>ROUND(F467*K467/100,2)</x:f>
        <x:v>6.2</x:v>
      </x:c>
      <x:c r="M467" t="n">
        <x:v>0.2</x:v>
      </x:c>
      <x:c r="N467" t="n">
        <x:f>ROUND(F467*M467/100,2)</x:f>
        <x:v>0.31</x:v>
      </x:c>
      <x:c r="O467" t="str">
        <x:v>生重</x:v>
      </x:c>
    </x:row>
    <x:row r="468" ht="23" customHeight="1">
      <x:c r="A468" t="n">
        <x:v>78</x:v>
      </x:c>
      <x:c r="B468" t="n">
        <x:v>39</x:v>
      </x:c>
      <x:c r="C468" t="str">
        <x:v>晚餐</x:v>
      </x:c>
      <x:c r="D468" t="str">
        <x:v>主食</x:v>
      </x:c>
      <x:c r="E468" t="str">
        <x:v>全麦面</x:v>
      </x:c>
      <x:c r="F468" t="n">
        <x:v>110</x:v>
      </x:c>
      <x:c r="G468" t="n">
        <x:v>124</x:v>
      </x:c>
      <x:c r="H468" t="n">
        <x:f>ROUND(F468*G468/100,2)</x:f>
        <x:v>136.4</x:v>
      </x:c>
      <x:c r="I468" t="n">
        <x:v>5</x:v>
      </x:c>
      <x:c r="J468" t="n">
        <x:f>ROUND(F468*I468/100,2)</x:f>
        <x:v>5.5</x:v>
      </x:c>
      <x:c r="K468" t="n">
        <x:v>25</x:v>
      </x:c>
      <x:c r="L468" t="n">
        <x:f>ROUND(F468*K468/100,2)</x:f>
        <x:v>27.5</x:v>
      </x:c>
      <x:c r="M468" t="n">
        <x:v>1.1</x:v>
      </x:c>
      <x:c r="N468" t="n">
        <x:f>ROUND(F468*M468/100,2)</x:f>
        <x:v>1.21</x:v>
      </x:c>
      <x:c r="O468" t="str">
        <x:v>煮熟沥水重</x:v>
      </x:c>
    </x:row>
    <x:row r="469" ht="23" customHeight="1">
      <x:c r="A469" t="n">
        <x:v>78</x:v>
      </x:c>
      <x:c r="B469" t="n">
        <x:v>39</x:v>
      </x:c>
      <x:c r="C469" t="str">
        <x:v>晚餐</x:v>
      </x:c>
      <x:c r="D469" t="str">
        <x:v>油脂</x:v>
      </x:c>
      <x:c r="E469" t="str">
        <x:v>烹调油</x:v>
      </x:c>
      <x:c r="F469" t="n">
        <x:v>4</x:v>
      </x:c>
      <x:c r="G469" t="n">
        <x:v>900</x:v>
      </x:c>
      <x:c r="H469" t="n">
        <x:f>ROUND(F469*G469/100,2)</x:f>
        <x:v>36</x:v>
      </x:c>
      <x:c r="I469" t="n">
        <x:v>0</x:v>
      </x:c>
      <x:c r="J469" t="n">
        <x:f>ROUND(F469*I469/100,2)</x:f>
        <x:v>0</x:v>
      </x:c>
      <x:c r="K469" t="n">
        <x:v>0</x:v>
      </x:c>
      <x:c r="L469" t="n">
        <x:f>ROUND(F469*K469/100,2)</x:f>
        <x:v>0</x:v>
      </x:c>
      <x:c r="M469" t="n">
        <x:v>100</x:v>
      </x:c>
      <x:c r="N469" t="n">
        <x:f>ROUND(F469*M469/100,2)</x:f>
        <x:v>4</x:v>
      </x:c>
      <x:c r="O469" t="str">
        <x:v>实际用油重</x:v>
      </x:c>
    </x:row>
    <x:row r="470" ht="23" customHeight="1">
      <x:c r="A470" t="n">
        <x:v>79</x:v>
      </x:c>
      <x:c r="B470" t="n">
        <x:v>40</x:v>
      </x:c>
      <x:c r="C470" t="str">
        <x:v>午餐</x:v>
      </x:c>
      <x:c r="D470" t="str">
        <x:v>鱼类</x:v>
      </x:c>
      <x:c r="E470" t="str">
        <x:v>三文鱼</x:v>
      </x:c>
      <x:c r="F470" t="n">
        <x:v>120</x:v>
      </x:c>
      <x:c r="G470" t="n">
        <x:v>205</x:v>
      </x:c>
      <x:c r="H470" t="n">
        <x:f>ROUND(F470*G470/100,2)</x:f>
        <x:v>246</x:v>
      </x:c>
      <x:c r="I470" t="n">
        <x:v>20</x:v>
      </x:c>
      <x:c r="J470" t="n">
        <x:f>ROUND(F470*I470/100,2)</x:f>
        <x:v>24</x:v>
      </x:c>
      <x:c r="K470" t="n">
        <x:v>0</x:v>
      </x:c>
      <x:c r="L470" t="n">
        <x:f>ROUND(F470*K470/100,2)</x:f>
        <x:v>0</x:v>
      </x:c>
      <x:c r="M470" t="n">
        <x:v>13</x:v>
      </x:c>
      <x:c r="N470" t="n">
        <x:f>ROUND(F470*M470/100,2)</x:f>
        <x:v>15.6</x:v>
      </x:c>
      <x:c r="O470" t="str">
        <x:v>净鱼肉生重</x:v>
      </x:c>
    </x:row>
    <x:row r="471" ht="23" customHeight="1">
      <x:c r="A471" t="n">
        <x:v>79</x:v>
      </x:c>
      <x:c r="B471" t="n">
        <x:v>40</x:v>
      </x:c>
      <x:c r="C471" t="str">
        <x:v>午餐</x:v>
      </x:c>
      <x:c r="D471" t="str"/>
      <x:c r="E471" t="str"/>
      <x:c r="F471" t="n">
        <x:v>0</x:v>
      </x:c>
      <x:c r="G471" t="n">
        <x:v>0</x:v>
      </x:c>
      <x:c r="H471" t="n">
        <x:f>ROUND(F471*G471/100,2)</x:f>
        <x:v>0</x:v>
      </x:c>
      <x:c r="I471" t="n">
        <x:v>0</x:v>
      </x:c>
      <x:c r="J471" t="n">
        <x:f>ROUND(F471*I471/100,2)</x:f>
        <x:v>0</x:v>
      </x:c>
      <x:c r="K471" t="n">
        <x:v>0</x:v>
      </x:c>
      <x:c r="L471" t="n">
        <x:f>ROUND(F471*K471/100,2)</x:f>
        <x:v>0</x:v>
      </x:c>
      <x:c r="M471" t="n">
        <x:v>0</x:v>
      </x:c>
      <x:c r="N471" t="n">
        <x:f>ROUND(F471*M471/100,2)</x:f>
        <x:v>0</x:v>
      </x:c>
      <x:c r="O471" t="str"/>
    </x:row>
    <x:row r="472" ht="23" customHeight="1">
      <x:c r="A472" t="n">
        <x:v>79</x:v>
      </x:c>
      <x:c r="B472" t="n">
        <x:v>40</x:v>
      </x:c>
      <x:c r="C472" t="str">
        <x:v>午餐</x:v>
      </x:c>
      <x:c r="D472" t="str">
        <x:v>蔬菜</x:v>
      </x:c>
      <x:c r="E472" t="str">
        <x:v>丝瓜</x:v>
      </x:c>
      <x:c r="F472" t="n">
        <x:v>175</x:v>
      </x:c>
      <x:c r="G472" t="n">
        <x:v>20</x:v>
      </x:c>
      <x:c r="H472" t="n">
        <x:f>ROUND(F472*G472/100,2)</x:f>
        <x:v>35</x:v>
      </x:c>
      <x:c r="I472" t="n">
        <x:v>1</x:v>
      </x:c>
      <x:c r="J472" t="n">
        <x:f>ROUND(F472*I472/100,2)</x:f>
        <x:v>1.75</x:v>
      </x:c>
      <x:c r="K472" t="n">
        <x:v>4</x:v>
      </x:c>
      <x:c r="L472" t="n">
        <x:f>ROUND(F472*K472/100,2)</x:f>
        <x:v>7</x:v>
      </x:c>
      <x:c r="M472" t="n">
        <x:v>0.2</x:v>
      </x:c>
      <x:c r="N472" t="n">
        <x:f>ROUND(F472*M472/100,2)</x:f>
        <x:v>0.35</x:v>
      </x:c>
      <x:c r="O472" t="str">
        <x:v>生重</x:v>
      </x:c>
    </x:row>
    <x:row r="473" ht="23" customHeight="1">
      <x:c r="A473" t="n">
        <x:v>79</x:v>
      </x:c>
      <x:c r="B473" t="n">
        <x:v>40</x:v>
      </x:c>
      <x:c r="C473" t="str">
        <x:v>午餐</x:v>
      </x:c>
      <x:c r="D473" t="str">
        <x:v>蔬菜</x:v>
      </x:c>
      <x:c r="E473" t="str">
        <x:v>芦笋</x:v>
      </x:c>
      <x:c r="F473" t="n">
        <x:v>155</x:v>
      </x:c>
      <x:c r="G473" t="n">
        <x:v>20</x:v>
      </x:c>
      <x:c r="H473" t="n">
        <x:f>ROUND(F473*G473/100,2)</x:f>
        <x:v>31</x:v>
      </x:c>
      <x:c r="I473" t="n">
        <x:v>2.2</x:v>
      </x:c>
      <x:c r="J473" t="n">
        <x:f>ROUND(F473*I473/100,2)</x:f>
        <x:v>3.41</x:v>
      </x:c>
      <x:c r="K473" t="n">
        <x:v>3.9</x:v>
      </x:c>
      <x:c r="L473" t="n">
        <x:f>ROUND(F473*K473/100,2)</x:f>
        <x:v>6.05</x:v>
      </x:c>
      <x:c r="M473" t="n">
        <x:v>0.1</x:v>
      </x:c>
      <x:c r="N473" t="n">
        <x:f>ROUND(F473*M473/100,2)</x:f>
        <x:v>0.16</x:v>
      </x:c>
      <x:c r="O473" t="str">
        <x:v>生重</x:v>
      </x:c>
    </x:row>
    <x:row r="474" ht="23" customHeight="1">
      <x:c r="A474" t="n">
        <x:v>79</x:v>
      </x:c>
      <x:c r="B474" t="n">
        <x:v>40</x:v>
      </x:c>
      <x:c r="C474" t="str">
        <x:v>午餐</x:v>
      </x:c>
      <x:c r="D474" t="str">
        <x:v>主食</x:v>
      </x:c>
      <x:c r="E474" t="str">
        <x:v>糙米饭</x:v>
      </x:c>
      <x:c r="F474" t="n">
        <x:v>110</x:v>
      </x:c>
      <x:c r="G474" t="n">
        <x:v>112</x:v>
      </x:c>
      <x:c r="H474" t="n">
        <x:f>ROUND(F474*G474/100,2)</x:f>
        <x:v>123.2</x:v>
      </x:c>
      <x:c r="I474" t="n">
        <x:v>2.6</x:v>
      </x:c>
      <x:c r="J474" t="n">
        <x:f>ROUND(F474*I474/100,2)</x:f>
        <x:v>2.86</x:v>
      </x:c>
      <x:c r="K474" t="n">
        <x:v>23.5</x:v>
      </x:c>
      <x:c r="L474" t="n">
        <x:f>ROUND(F474*K474/100,2)</x:f>
        <x:v>25.85</x:v>
      </x:c>
      <x:c r="M474" t="n">
        <x:v>0.9</x:v>
      </x:c>
      <x:c r="N474" t="n">
        <x:f>ROUND(F474*M474/100,2)</x:f>
        <x:v>0.99</x:v>
      </x:c>
      <x:c r="O474" t="str">
        <x:v>熟重</x:v>
      </x:c>
    </x:row>
    <x:row r="475" ht="23" customHeight="1">
      <x:c r="A475" t="n">
        <x:v>79</x:v>
      </x:c>
      <x:c r="B475" t="n">
        <x:v>40</x:v>
      </x:c>
      <x:c r="C475" t="str">
        <x:v>午餐</x:v>
      </x:c>
      <x:c r="D475" t="str">
        <x:v>油脂</x:v>
      </x:c>
      <x:c r="E475" t="str">
        <x:v>烹调油</x:v>
      </x:c>
      <x:c r="F475" t="n">
        <x:v>3</x:v>
      </x:c>
      <x:c r="G475" t="n">
        <x:v>900</x:v>
      </x:c>
      <x:c r="H475" t="n">
        <x:f>ROUND(F475*G475/100,2)</x:f>
        <x:v>27</x:v>
      </x:c>
      <x:c r="I475" t="n">
        <x:v>0</x:v>
      </x:c>
      <x:c r="J475" t="n">
        <x:f>ROUND(F475*I475/100,2)</x:f>
        <x:v>0</x:v>
      </x:c>
      <x:c r="K475" t="n">
        <x:v>0</x:v>
      </x:c>
      <x:c r="L475" t="n">
        <x:f>ROUND(F475*K475/100,2)</x:f>
        <x:v>0</x:v>
      </x:c>
      <x:c r="M475" t="n">
        <x:v>100</x:v>
      </x:c>
      <x:c r="N475" t="n">
        <x:f>ROUND(F475*M475/100,2)</x:f>
        <x:v>3</x:v>
      </x:c>
      <x:c r="O475" t="str">
        <x:v>实际用油重</x:v>
      </x:c>
    </x:row>
    <x:row r="476" ht="23" customHeight="1">
      <x:c r="A476" t="n">
        <x:v>80</x:v>
      </x:c>
      <x:c r="B476" t="n">
        <x:v>40</x:v>
      </x:c>
      <x:c r="C476" t="str">
        <x:v>晚餐</x:v>
      </x:c>
      <x:c r="D476" t="str">
        <x:v>禽肉</x:v>
      </x:c>
      <x:c r="E476" t="str">
        <x:v>去皮鸭胸肉</x:v>
      </x:c>
      <x:c r="F476" t="n">
        <x:v>180</x:v>
      </x:c>
      <x:c r="G476" t="n">
        <x:v>140</x:v>
      </x:c>
      <x:c r="H476" t="n">
        <x:f>ROUND(F476*G476/100,2)</x:f>
        <x:v>252</x:v>
      </x:c>
      <x:c r="I476" t="n">
        <x:v>19</x:v>
      </x:c>
      <x:c r="J476" t="n">
        <x:f>ROUND(F476*I476/100,2)</x:f>
        <x:v>34.2</x:v>
      </x:c>
      <x:c r="K476" t="n">
        <x:v>0</x:v>
      </x:c>
      <x:c r="L476" t="n">
        <x:f>ROUND(F476*K476/100,2)</x:f>
        <x:v>0</x:v>
      </x:c>
      <x:c r="M476" t="n">
        <x:v>7</x:v>
      </x:c>
      <x:c r="N476" t="n">
        <x:f>ROUND(F476*M476/100,2)</x:f>
        <x:v>12.6</x:v>
      </x:c>
      <x:c r="O476" t="str">
        <x:v>生重</x:v>
      </x:c>
    </x:row>
    <x:row r="477" ht="23" customHeight="1">
      <x:c r="A477" t="n">
        <x:v>80</x:v>
      </x:c>
      <x:c r="B477" t="n">
        <x:v>40</x:v>
      </x:c>
      <x:c r="C477" t="str">
        <x:v>晚餐</x:v>
      </x:c>
      <x:c r="D477" t="str"/>
      <x:c r="E477" t="str"/>
      <x:c r="F477" t="n">
        <x:v>0</x:v>
      </x:c>
      <x:c r="G477" t="n">
        <x:v>0</x:v>
      </x:c>
      <x:c r="H477" t="n">
        <x:f>ROUND(F477*G477/100,2)</x:f>
        <x:v>0</x:v>
      </x:c>
      <x:c r="I477" t="n">
        <x:v>0</x:v>
      </x:c>
      <x:c r="J477" t="n">
        <x:f>ROUND(F477*I477/100,2)</x:f>
        <x:v>0</x:v>
      </x:c>
      <x:c r="K477" t="n">
        <x:v>0</x:v>
      </x:c>
      <x:c r="L477" t="n">
        <x:f>ROUND(F477*K477/100,2)</x:f>
        <x:v>0</x:v>
      </x:c>
      <x:c r="M477" t="n">
        <x:v>0</x:v>
      </x:c>
      <x:c r="N477" t="n">
        <x:f>ROUND(F477*M477/100,2)</x:f>
        <x:v>0</x:v>
      </x:c>
      <x:c r="O477" t="str"/>
    </x:row>
    <x:row r="478" ht="23" customHeight="1">
      <x:c r="A478" t="n">
        <x:v>80</x:v>
      </x:c>
      <x:c r="B478" t="n">
        <x:v>40</x:v>
      </x:c>
      <x:c r="C478" t="str">
        <x:v>晚餐</x:v>
      </x:c>
      <x:c r="D478" t="str">
        <x:v>蔬菜</x:v>
      </x:c>
      <x:c r="E478" t="str">
        <x:v>娃娃菜</x:v>
      </x:c>
      <x:c r="F478" t="n">
        <x:v>175</x:v>
      </x:c>
      <x:c r="G478" t="n">
        <x:v>17</x:v>
      </x:c>
      <x:c r="H478" t="n">
        <x:f>ROUND(F478*G478/100,2)</x:f>
        <x:v>29.75</x:v>
      </x:c>
      <x:c r="I478" t="n">
        <x:v>1.3</x:v>
      </x:c>
      <x:c r="J478" t="n">
        <x:f>ROUND(F478*I478/100,2)</x:f>
        <x:v>2.28</x:v>
      </x:c>
      <x:c r="K478" t="n">
        <x:v>3</x:v>
      </x:c>
      <x:c r="L478" t="n">
        <x:f>ROUND(F478*K478/100,2)</x:f>
        <x:v>5.25</x:v>
      </x:c>
      <x:c r="M478" t="n">
        <x:v>0.2</x:v>
      </x:c>
      <x:c r="N478" t="n">
        <x:f>ROUND(F478*M478/100,2)</x:f>
        <x:v>0.35</x:v>
      </x:c>
      <x:c r="O478" t="str">
        <x:v>生重</x:v>
      </x:c>
    </x:row>
    <x:row r="479" ht="23" customHeight="1">
      <x:c r="A479" t="n">
        <x:v>80</x:v>
      </x:c>
      <x:c r="B479" t="n">
        <x:v>40</x:v>
      </x:c>
      <x:c r="C479" t="str">
        <x:v>晚餐</x:v>
      </x:c>
      <x:c r="D479" t="str">
        <x:v>菌菇</x:v>
      </x:c>
      <x:c r="E479" t="str">
        <x:v>泡发木耳</x:v>
      </x:c>
      <x:c r="F479" t="n">
        <x:v>110</x:v>
      </x:c>
      <x:c r="G479" t="n">
        <x:v>25</x:v>
      </x:c>
      <x:c r="H479" t="n">
        <x:f>ROUND(F479*G479/100,2)</x:f>
        <x:v>27.5</x:v>
      </x:c>
      <x:c r="I479" t="n">
        <x:v>1.5</x:v>
      </x:c>
      <x:c r="J479" t="n">
        <x:f>ROUND(F479*I479/100,2)</x:f>
        <x:v>1.65</x:v>
      </x:c>
      <x:c r="K479" t="n">
        <x:v>6</x:v>
      </x:c>
      <x:c r="L479" t="n">
        <x:f>ROUND(F479*K479/100,2)</x:f>
        <x:v>6.6</x:v>
      </x:c>
      <x:c r="M479" t="n">
        <x:v>0.1</x:v>
      </x:c>
      <x:c r="N479" t="n">
        <x:f>ROUND(F479*M479/100,2)</x:f>
        <x:v>0.11</x:v>
      </x:c>
      <x:c r="O479" t="str">
        <x:v>泡发沥水重</x:v>
      </x:c>
    </x:row>
    <x:row r="480" ht="23" customHeight="1">
      <x:c r="A480" t="n">
        <x:v>80</x:v>
      </x:c>
      <x:c r="B480" t="n">
        <x:v>40</x:v>
      </x:c>
      <x:c r="C480" t="str">
        <x:v>晚餐</x:v>
      </x:c>
      <x:c r="D480" t="str">
        <x:v>低主食</x:v>
      </x:c>
      <x:c r="E480" t="str">
        <x:v>魔芋丝</x:v>
      </x:c>
      <x:c r="F480" t="n">
        <x:v>130</x:v>
      </x:c>
      <x:c r="G480" t="n">
        <x:v>9</x:v>
      </x:c>
      <x:c r="H480" t="n">
        <x:f>ROUND(F480*G480/100,2)</x:f>
        <x:v>11.7</x:v>
      </x:c>
      <x:c r="I480" t="n">
        <x:v>0.3</x:v>
      </x:c>
      <x:c r="J480" t="n">
        <x:f>ROUND(F480*I480/100,2)</x:f>
        <x:v>0.39</x:v>
      </x:c>
      <x:c r="K480" t="n">
        <x:v>2</x:v>
      </x:c>
      <x:c r="L480" t="n">
        <x:f>ROUND(F480*K480/100,2)</x:f>
        <x:v>2.6</x:v>
      </x:c>
      <x:c r="M480" t="n">
        <x:v>0</x:v>
      </x:c>
      <x:c r="N480" t="n">
        <x:f>ROUND(F480*M480/100,2)</x:f>
        <x:v>0</x:v>
      </x:c>
      <x:c r="O480" t="str">
        <x:v>沥水重</x:v>
      </x:c>
    </x:row>
    <x:row r="481" ht="23" customHeight="1">
      <x:c r="A481" t="n">
        <x:v>80</x:v>
      </x:c>
      <x:c r="B481" t="n">
        <x:v>40</x:v>
      </x:c>
      <x:c r="C481" t="str">
        <x:v>晚餐</x:v>
      </x:c>
      <x:c r="D481" t="str">
        <x:v>油脂</x:v>
      </x:c>
      <x:c r="E481" t="str">
        <x:v>烹调油</x:v>
      </x:c>
      <x:c r="F481" t="n">
        <x:v>5</x:v>
      </x:c>
      <x:c r="G481" t="n">
        <x:v>900</x:v>
      </x:c>
      <x:c r="H481" t="n">
        <x:f>ROUND(F481*G481/100,2)</x:f>
        <x:v>45</x:v>
      </x:c>
      <x:c r="I481" t="n">
        <x:v>0</x:v>
      </x:c>
      <x:c r="J481" t="n">
        <x:f>ROUND(F481*I481/100,2)</x:f>
        <x:v>0</x:v>
      </x:c>
      <x:c r="K481" t="n">
        <x:v>0</x:v>
      </x:c>
      <x:c r="L481" t="n">
        <x:f>ROUND(F481*K481/100,2)</x:f>
        <x:v>0</x:v>
      </x:c>
      <x:c r="M481" t="n">
        <x:v>100</x:v>
      </x:c>
      <x:c r="N481" t="n">
        <x:f>ROUND(F481*M481/100,2)</x:f>
        <x:v>5</x:v>
      </x:c>
      <x:c r="O481" t="str">
        <x:v>实际用油重</x:v>
      </x:c>
    </x:row>
    <x:row r="482" ht="23" customHeight="1">
      <x:c r="A482" t="n">
        <x:v>81</x:v>
      </x:c>
      <x:c r="B482" t="n">
        <x:v>41</x:v>
      </x:c>
      <x:c r="C482" t="str">
        <x:v>午餐</x:v>
      </x:c>
      <x:c r="D482" t="str">
        <x:v>禽肉</x:v>
      </x:c>
      <x:c r="E482" t="str">
        <x:v>去皮鸭胸肉</x:v>
      </x:c>
      <x:c r="F482" t="n">
        <x:v>175</x:v>
      </x:c>
      <x:c r="G482" t="n">
        <x:v>140</x:v>
      </x:c>
      <x:c r="H482" t="n">
        <x:f>ROUND(F482*G482/100,2)</x:f>
        <x:v>245</x:v>
      </x:c>
      <x:c r="I482" t="n">
        <x:v>19</x:v>
      </x:c>
      <x:c r="J482" t="n">
        <x:f>ROUND(F482*I482/100,2)</x:f>
        <x:v>33.25</x:v>
      </x:c>
      <x:c r="K482" t="n">
        <x:v>0</x:v>
      </x:c>
      <x:c r="L482" t="n">
        <x:f>ROUND(F482*K482/100,2)</x:f>
        <x:v>0</x:v>
      </x:c>
      <x:c r="M482" t="n">
        <x:v>7</x:v>
      </x:c>
      <x:c r="N482" t="n">
        <x:f>ROUND(F482*M482/100,2)</x:f>
        <x:v>12.25</x:v>
      </x:c>
      <x:c r="O482" t="str">
        <x:v>生重</x:v>
      </x:c>
    </x:row>
    <x:row r="483" ht="23" customHeight="1">
      <x:c r="A483" t="n">
        <x:v>81</x:v>
      </x:c>
      <x:c r="B483" t="n">
        <x:v>41</x:v>
      </x:c>
      <x:c r="C483" t="str">
        <x:v>午餐</x:v>
      </x:c>
      <x:c r="D483" t="str"/>
      <x:c r="E483" t="str"/>
      <x:c r="F483" t="n">
        <x:v>0</x:v>
      </x:c>
      <x:c r="G483" t="n">
        <x:v>0</x:v>
      </x:c>
      <x:c r="H483" t="n">
        <x:f>ROUND(F483*G483/100,2)</x:f>
        <x:v>0</x:v>
      </x:c>
      <x:c r="I483" t="n">
        <x:v>0</x:v>
      </x:c>
      <x:c r="J483" t="n">
        <x:f>ROUND(F483*I483/100,2)</x:f>
        <x:v>0</x:v>
      </x:c>
      <x:c r="K483" t="n">
        <x:v>0</x:v>
      </x:c>
      <x:c r="L483" t="n">
        <x:f>ROUND(F483*K483/100,2)</x:f>
        <x:v>0</x:v>
      </x:c>
      <x:c r="M483" t="n">
        <x:v>0</x:v>
      </x:c>
      <x:c r="N483" t="n">
        <x:f>ROUND(F483*M483/100,2)</x:f>
        <x:v>0</x:v>
      </x:c>
      <x:c r="O483" t="str"/>
    </x:row>
    <x:row r="484" ht="23" customHeight="1">
      <x:c r="A484" t="n">
        <x:v>81</x:v>
      </x:c>
      <x:c r="B484" t="n">
        <x:v>41</x:v>
      </x:c>
      <x:c r="C484" t="str">
        <x:v>午餐</x:v>
      </x:c>
      <x:c r="D484" t="str">
        <x:v>蔬菜</x:v>
      </x:c>
      <x:c r="E484" t="str">
        <x:v>荷兰豆</x:v>
      </x:c>
      <x:c r="F484" t="n">
        <x:v>160</x:v>
      </x:c>
      <x:c r="G484" t="n">
        <x:v>42</x:v>
      </x:c>
      <x:c r="H484" t="n">
        <x:f>ROUND(F484*G484/100,2)</x:f>
        <x:v>67.2</x:v>
      </x:c>
      <x:c r="I484" t="n">
        <x:v>2.8</x:v>
      </x:c>
      <x:c r="J484" t="n">
        <x:f>ROUND(F484*I484/100,2)</x:f>
        <x:v>4.48</x:v>
      </x:c>
      <x:c r="K484" t="n">
        <x:v>7.5</x:v>
      </x:c>
      <x:c r="L484" t="n">
        <x:f>ROUND(F484*K484/100,2)</x:f>
        <x:v>12</x:v>
      </x:c>
      <x:c r="M484" t="n">
        <x:v>0.3</x:v>
      </x:c>
      <x:c r="N484" t="n">
        <x:f>ROUND(F484*M484/100,2)</x:f>
        <x:v>0.48</x:v>
      </x:c>
      <x:c r="O484" t="str">
        <x:v>生重</x:v>
      </x:c>
    </x:row>
    <x:row r="485" ht="23" customHeight="1">
      <x:c r="A485" t="n">
        <x:v>81</x:v>
      </x:c>
      <x:c r="B485" t="n">
        <x:v>41</x:v>
      </x:c>
      <x:c r="C485" t="str">
        <x:v>午餐</x:v>
      </x:c>
      <x:c r="D485" t="str">
        <x:v>蔬菜</x:v>
      </x:c>
      <x:c r="E485" t="str">
        <x:v>莴笋</x:v>
      </x:c>
      <x:c r="F485" t="n">
        <x:v>125</x:v>
      </x:c>
      <x:c r="G485" t="n">
        <x:v>15</x:v>
      </x:c>
      <x:c r="H485" t="n">
        <x:f>ROUND(F485*G485/100,2)</x:f>
        <x:v>18.75</x:v>
      </x:c>
      <x:c r="I485" t="n">
        <x:v>1</x:v>
      </x:c>
      <x:c r="J485" t="n">
        <x:f>ROUND(F485*I485/100,2)</x:f>
        <x:v>1.25</x:v>
      </x:c>
      <x:c r="K485" t="n">
        <x:v>2.8</x:v>
      </x:c>
      <x:c r="L485" t="n">
        <x:f>ROUND(F485*K485/100,2)</x:f>
        <x:v>3.5</x:v>
      </x:c>
      <x:c r="M485" t="n">
        <x:v>0.1</x:v>
      </x:c>
      <x:c r="N485" t="n">
        <x:f>ROUND(F485*M485/100,2)</x:f>
        <x:v>0.13</x:v>
      </x:c>
      <x:c r="O485" t="str">
        <x:v>生重</x:v>
      </x:c>
    </x:row>
    <x:row r="486" ht="23" customHeight="1">
      <x:c r="A486" t="n">
        <x:v>81</x:v>
      </x:c>
      <x:c r="B486" t="n">
        <x:v>41</x:v>
      </x:c>
      <x:c r="C486" t="str">
        <x:v>午餐</x:v>
      </x:c>
      <x:c r="D486" t="str">
        <x:v>主食</x:v>
      </x:c>
      <x:c r="E486" t="str">
        <x:v>山药</x:v>
      </x:c>
      <x:c r="F486" t="n">
        <x:v>150</x:v>
      </x:c>
      <x:c r="G486" t="n">
        <x:v>62</x:v>
      </x:c>
      <x:c r="H486" t="n">
        <x:f>ROUND(F486*G486/100,2)</x:f>
        <x:v>93</x:v>
      </x:c>
      <x:c r="I486" t="n">
        <x:v>1.5</x:v>
      </x:c>
      <x:c r="J486" t="n">
        <x:f>ROUND(F486*I486/100,2)</x:f>
        <x:v>2.25</x:v>
      </x:c>
      <x:c r="K486" t="n">
        <x:v>14.1</x:v>
      </x:c>
      <x:c r="L486" t="n">
        <x:f>ROUND(F486*K486/100,2)</x:f>
        <x:v>21.15</x:v>
      </x:c>
      <x:c r="M486" t="n">
        <x:v>0.1</x:v>
      </x:c>
      <x:c r="N486" t="n">
        <x:f>ROUND(F486*M486/100,2)</x:f>
        <x:v>0.15</x:v>
      </x:c>
      <x:c r="O486" t="str">
        <x:v>蒸熟净重</x:v>
      </x:c>
    </x:row>
    <x:row r="487" ht="23" customHeight="1">
      <x:c r="A487" t="n">
        <x:v>81</x:v>
      </x:c>
      <x:c r="B487" t="n">
        <x:v>41</x:v>
      </x:c>
      <x:c r="C487" t="str">
        <x:v>午餐</x:v>
      </x:c>
      <x:c r="D487" t="str">
        <x:v>油脂</x:v>
      </x:c>
      <x:c r="E487" t="str">
        <x:v>烹调油</x:v>
      </x:c>
      <x:c r="F487" t="n">
        <x:v>3</x:v>
      </x:c>
      <x:c r="G487" t="n">
        <x:v>900</x:v>
      </x:c>
      <x:c r="H487" t="n">
        <x:f>ROUND(F487*G487/100,2)</x:f>
        <x:v>27</x:v>
      </x:c>
      <x:c r="I487" t="n">
        <x:v>0</x:v>
      </x:c>
      <x:c r="J487" t="n">
        <x:f>ROUND(F487*I487/100,2)</x:f>
        <x:v>0</x:v>
      </x:c>
      <x:c r="K487" t="n">
        <x:v>0</x:v>
      </x:c>
      <x:c r="L487" t="n">
        <x:f>ROUND(F487*K487/100,2)</x:f>
        <x:v>0</x:v>
      </x:c>
      <x:c r="M487" t="n">
        <x:v>100</x:v>
      </x:c>
      <x:c r="N487" t="n">
        <x:f>ROUND(F487*M487/100,2)</x:f>
        <x:v>3</x:v>
      </x:c>
      <x:c r="O487" t="str">
        <x:v>实际用油重</x:v>
      </x:c>
    </x:row>
    <x:row r="488" ht="23" customHeight="1">
      <x:c r="A488" t="n">
        <x:v>82</x:v>
      </x:c>
      <x:c r="B488" t="n">
        <x:v>41</x:v>
      </x:c>
      <x:c r="C488" t="str">
        <x:v>晚餐</x:v>
      </x:c>
      <x:c r="D488" t="str">
        <x:v>海鲜</x:v>
      </x:c>
      <x:c r="E488" t="str">
        <x:v>鱿鱼</x:v>
      </x:c>
      <x:c r="F488" t="n">
        <x:v>190</x:v>
      </x:c>
      <x:c r="G488" t="n">
        <x:v>95</x:v>
      </x:c>
      <x:c r="H488" t="n">
        <x:f>ROUND(F488*G488/100,2)</x:f>
        <x:v>180.5</x:v>
      </x:c>
      <x:c r="I488" t="n">
        <x:v>17</x:v>
      </x:c>
      <x:c r="J488" t="n">
        <x:f>ROUND(F488*I488/100,2)</x:f>
        <x:v>32.3</x:v>
      </x:c>
      <x:c r="K488" t="n">
        <x:v>2</x:v>
      </x:c>
      <x:c r="L488" t="n">
        <x:f>ROUND(F488*K488/100,2)</x:f>
        <x:v>3.8</x:v>
      </x:c>
      <x:c r="M488" t="n">
        <x:v>1.4</x:v>
      </x:c>
      <x:c r="N488" t="n">
        <x:f>ROUND(F488*M488/100,2)</x:f>
        <x:v>2.66</x:v>
      </x:c>
      <x:c r="O488" t="str">
        <x:v>生重</x:v>
      </x:c>
    </x:row>
    <x:row r="489" ht="23" customHeight="1">
      <x:c r="A489" t="n">
        <x:v>82</x:v>
      </x:c>
      <x:c r="B489" t="n">
        <x:v>41</x:v>
      </x:c>
      <x:c r="C489" t="str">
        <x:v>晚餐</x:v>
      </x:c>
      <x:c r="D489" t="str"/>
      <x:c r="E489" t="str"/>
      <x:c r="F489" t="n">
        <x:v>0</x:v>
      </x:c>
      <x:c r="G489" t="n">
        <x:v>0</x:v>
      </x:c>
      <x:c r="H489" t="n">
        <x:f>ROUND(F489*G489/100,2)</x:f>
        <x:v>0</x:v>
      </x:c>
      <x:c r="I489" t="n">
        <x:v>0</x:v>
      </x:c>
      <x:c r="J489" t="n">
        <x:f>ROUND(F489*I489/100,2)</x:f>
        <x:v>0</x:v>
      </x:c>
      <x:c r="K489" t="n">
        <x:v>0</x:v>
      </x:c>
      <x:c r="L489" t="n">
        <x:f>ROUND(F489*K489/100,2)</x:f>
        <x:v>0</x:v>
      </x:c>
      <x:c r="M489" t="n">
        <x:v>0</x:v>
      </x:c>
      <x:c r="N489" t="n">
        <x:f>ROUND(F489*M489/100,2)</x:f>
        <x:v>0</x:v>
      </x:c>
      <x:c r="O489" t="str"/>
    </x:row>
    <x:row r="490" ht="23" customHeight="1">
      <x:c r="A490" t="n">
        <x:v>82</x:v>
      </x:c>
      <x:c r="B490" t="n">
        <x:v>41</x:v>
      </x:c>
      <x:c r="C490" t="str">
        <x:v>晚餐</x:v>
      </x:c>
      <x:c r="D490" t="str">
        <x:v>蔬菜</x:v>
      </x:c>
      <x:c r="E490" t="str">
        <x:v>冬瓜</x:v>
      </x:c>
      <x:c r="F490" t="n">
        <x:v>140</x:v>
      </x:c>
      <x:c r="G490" t="n">
        <x:v>13</x:v>
      </x:c>
      <x:c r="H490" t="n">
        <x:f>ROUND(F490*G490/100,2)</x:f>
        <x:v>18.2</x:v>
      </x:c>
      <x:c r="I490" t="n">
        <x:v>0.4</x:v>
      </x:c>
      <x:c r="J490" t="n">
        <x:f>ROUND(F490*I490/100,2)</x:f>
        <x:v>0.56</x:v>
      </x:c>
      <x:c r="K490" t="n">
        <x:v>3</x:v>
      </x:c>
      <x:c r="L490" t="n">
        <x:f>ROUND(F490*K490/100,2)</x:f>
        <x:v>4.2</x:v>
      </x:c>
      <x:c r="M490" t="n">
        <x:v>0.2</x:v>
      </x:c>
      <x:c r="N490" t="n">
        <x:f>ROUND(F490*M490/100,2)</x:f>
        <x:v>0.28</x:v>
      </x:c>
      <x:c r="O490" t="str">
        <x:v>生重</x:v>
      </x:c>
    </x:row>
    <x:row r="491" ht="23" customHeight="1">
      <x:c r="A491" t="n">
        <x:v>82</x:v>
      </x:c>
      <x:c r="B491" t="n">
        <x:v>41</x:v>
      </x:c>
      <x:c r="C491" t="str">
        <x:v>晚餐</x:v>
      </x:c>
      <x:c r="D491" t="str">
        <x:v>蔬菜</x:v>
      </x:c>
      <x:c r="E491" t="str">
        <x:v>菜心</x:v>
      </x:c>
      <x:c r="F491" t="n">
        <x:v>110</x:v>
      </x:c>
      <x:c r="G491" t="n">
        <x:v>20</x:v>
      </x:c>
      <x:c r="H491" t="n">
        <x:f>ROUND(F491*G491/100,2)</x:f>
        <x:v>22</x:v>
      </x:c>
      <x:c r="I491" t="n">
        <x:v>2</x:v>
      </x:c>
      <x:c r="J491" t="n">
        <x:f>ROUND(F491*I491/100,2)</x:f>
        <x:v>2.2</x:v>
      </x:c>
      <x:c r="K491" t="n">
        <x:v>3.5</x:v>
      </x:c>
      <x:c r="L491" t="n">
        <x:f>ROUND(F491*K491/100,2)</x:f>
        <x:v>3.85</x:v>
      </x:c>
      <x:c r="M491" t="n">
        <x:v>0.3</x:v>
      </x:c>
      <x:c r="N491" t="n">
        <x:f>ROUND(F491*M491/100,2)</x:f>
        <x:v>0.33</x:v>
      </x:c>
      <x:c r="O491" t="str">
        <x:v>生重</x:v>
      </x:c>
    </x:row>
    <x:row r="492" ht="23" customHeight="1">
      <x:c r="A492" t="n">
        <x:v>82</x:v>
      </x:c>
      <x:c r="B492" t="n">
        <x:v>41</x:v>
      </x:c>
      <x:c r="C492" t="str">
        <x:v>晚餐</x:v>
      </x:c>
      <x:c r="D492" t="str">
        <x:v>主食</x:v>
      </x:c>
      <x:c r="E492" t="str">
        <x:v>红薯</x:v>
      </x:c>
      <x:c r="F492" t="n">
        <x:v>135</x:v>
      </x:c>
      <x:c r="G492" t="n">
        <x:v>88</x:v>
      </x:c>
      <x:c r="H492" t="n">
        <x:f>ROUND(F492*G492/100,2)</x:f>
        <x:v>118.8</x:v>
      </x:c>
      <x:c r="I492" t="n">
        <x:v>1.6</x:v>
      </x:c>
      <x:c r="J492" t="n">
        <x:f>ROUND(F492*I492/100,2)</x:f>
        <x:v>2.16</x:v>
      </x:c>
      <x:c r="K492" t="n">
        <x:v>20.5</x:v>
      </x:c>
      <x:c r="L492" t="n">
        <x:f>ROUND(F492*K492/100,2)</x:f>
        <x:v>27.68</x:v>
      </x:c>
      <x:c r="M492" t="n">
        <x:v>0.1</x:v>
      </x:c>
      <x:c r="N492" t="n">
        <x:f>ROUND(F492*M492/100,2)</x:f>
        <x:v>0.14</x:v>
      </x:c>
      <x:c r="O492" t="str">
        <x:v>蒸熟净重</x:v>
      </x:c>
    </x:row>
    <x:row r="493" ht="23" customHeight="1">
      <x:c r="A493" t="n">
        <x:v>82</x:v>
      </x:c>
      <x:c r="B493" t="n">
        <x:v>41</x:v>
      </x:c>
      <x:c r="C493" t="str">
        <x:v>晚餐</x:v>
      </x:c>
      <x:c r="D493" t="str">
        <x:v>油脂</x:v>
      </x:c>
      <x:c r="E493" t="str">
        <x:v>烹调油</x:v>
      </x:c>
      <x:c r="F493" t="n">
        <x:v>3</x:v>
      </x:c>
      <x:c r="G493" t="n">
        <x:v>900</x:v>
      </x:c>
      <x:c r="H493" t="n">
        <x:f>ROUND(F493*G493/100,2)</x:f>
        <x:v>27</x:v>
      </x:c>
      <x:c r="I493" t="n">
        <x:v>0</x:v>
      </x:c>
      <x:c r="J493" t="n">
        <x:f>ROUND(F493*I493/100,2)</x:f>
        <x:v>0</x:v>
      </x:c>
      <x:c r="K493" t="n">
        <x:v>0</x:v>
      </x:c>
      <x:c r="L493" t="n">
        <x:f>ROUND(F493*K493/100,2)</x:f>
        <x:v>0</x:v>
      </x:c>
      <x:c r="M493" t="n">
        <x:v>100</x:v>
      </x:c>
      <x:c r="N493" t="n">
        <x:f>ROUND(F493*M493/100,2)</x:f>
        <x:v>3</x:v>
      </x:c>
      <x:c r="O493" t="str">
        <x:v>实际用油重</x:v>
      </x:c>
    </x:row>
    <x:row r="494" ht="23" customHeight="1">
      <x:c r="A494" t="n">
        <x:v>83</x:v>
      </x:c>
      <x:c r="B494" t="n">
        <x:v>42</x:v>
      </x:c>
      <x:c r="C494" t="str">
        <x:v>午餐</x:v>
      </x:c>
      <x:c r="D494" t="str">
        <x:v>禽肉</x:v>
      </x:c>
      <x:c r="E494" t="str">
        <x:v>鸡里脊肉</x:v>
      </x:c>
      <x:c r="F494" t="n">
        <x:v>155</x:v>
      </x:c>
      <x:c r="G494" t="n">
        <x:v>110</x:v>
      </x:c>
      <x:c r="H494" t="n">
        <x:f>ROUND(F494*G494/100,2)</x:f>
        <x:v>170.5</x:v>
      </x:c>
      <x:c r="I494" t="n">
        <x:v>23</x:v>
      </x:c>
      <x:c r="J494" t="n">
        <x:f>ROUND(F494*I494/100,2)</x:f>
        <x:v>35.65</x:v>
      </x:c>
      <x:c r="K494" t="n">
        <x:v>0</x:v>
      </x:c>
      <x:c r="L494" t="n">
        <x:f>ROUND(F494*K494/100,2)</x:f>
        <x:v>0</x:v>
      </x:c>
      <x:c r="M494" t="n">
        <x:v>1.8</x:v>
      </x:c>
      <x:c r="N494" t="n">
        <x:f>ROUND(F494*M494/100,2)</x:f>
        <x:v>2.79</x:v>
      </x:c>
      <x:c r="O494" t="str">
        <x:v>生重</x:v>
      </x:c>
    </x:row>
    <x:row r="495" ht="23" customHeight="1">
      <x:c r="A495" t="n">
        <x:v>83</x:v>
      </x:c>
      <x:c r="B495" t="n">
        <x:v>42</x:v>
      </x:c>
      <x:c r="C495" t="str">
        <x:v>午餐</x:v>
      </x:c>
      <x:c r="D495" t="str"/>
      <x:c r="E495" t="str"/>
      <x:c r="F495" t="n">
        <x:v>0</x:v>
      </x:c>
      <x:c r="G495" t="n">
        <x:v>0</x:v>
      </x:c>
      <x:c r="H495" t="n">
        <x:f>ROUND(F495*G495/100,2)</x:f>
        <x:v>0</x:v>
      </x:c>
      <x:c r="I495" t="n">
        <x:v>0</x:v>
      </x:c>
      <x:c r="J495" t="n">
        <x:f>ROUND(F495*I495/100,2)</x:f>
        <x:v>0</x:v>
      </x:c>
      <x:c r="K495" t="n">
        <x:v>0</x:v>
      </x:c>
      <x:c r="L495" t="n">
        <x:f>ROUND(F495*K495/100,2)</x:f>
        <x:v>0</x:v>
      </x:c>
      <x:c r="M495" t="n">
        <x:v>0</x:v>
      </x:c>
      <x:c r="N495" t="n">
        <x:f>ROUND(F495*M495/100,2)</x:f>
        <x:v>0</x:v>
      </x:c>
      <x:c r="O495" t="str"/>
    </x:row>
    <x:row r="496" ht="23" customHeight="1">
      <x:c r="A496" t="n">
        <x:v>83</x:v>
      </x:c>
      <x:c r="B496" t="n">
        <x:v>42</x:v>
      </x:c>
      <x:c r="C496" t="str">
        <x:v>午餐</x:v>
      </x:c>
      <x:c r="D496" t="str">
        <x:v>蔬菜</x:v>
      </x:c>
      <x:c r="E496" t="str">
        <x:v>冬瓜</x:v>
      </x:c>
      <x:c r="F496" t="n">
        <x:v>190</x:v>
      </x:c>
      <x:c r="G496" t="n">
        <x:v>13</x:v>
      </x:c>
      <x:c r="H496" t="n">
        <x:f>ROUND(F496*G496/100,2)</x:f>
        <x:v>24.7</x:v>
      </x:c>
      <x:c r="I496" t="n">
        <x:v>0.4</x:v>
      </x:c>
      <x:c r="J496" t="n">
        <x:f>ROUND(F496*I496/100,2)</x:f>
        <x:v>0.76</x:v>
      </x:c>
      <x:c r="K496" t="n">
        <x:v>3</x:v>
      </x:c>
      <x:c r="L496" t="n">
        <x:f>ROUND(F496*K496/100,2)</x:f>
        <x:v>5.7</x:v>
      </x:c>
      <x:c r="M496" t="n">
        <x:v>0.2</x:v>
      </x:c>
      <x:c r="N496" t="n">
        <x:f>ROUND(F496*M496/100,2)</x:f>
        <x:v>0.38</x:v>
      </x:c>
      <x:c r="O496" t="str">
        <x:v>生重</x:v>
      </x:c>
    </x:row>
    <x:row r="497" ht="23" customHeight="1">
      <x:c r="A497" t="n">
        <x:v>83</x:v>
      </x:c>
      <x:c r="B497" t="n">
        <x:v>42</x:v>
      </x:c>
      <x:c r="C497" t="str">
        <x:v>午餐</x:v>
      </x:c>
      <x:c r="D497" t="str">
        <x:v>菌菇</x:v>
      </x:c>
      <x:c r="E497" t="str">
        <x:v>口蘑</x:v>
      </x:c>
      <x:c r="F497" t="n">
        <x:v>140</x:v>
      </x:c>
      <x:c r="G497" t="n">
        <x:v>22</x:v>
      </x:c>
      <x:c r="H497" t="n">
        <x:f>ROUND(F497*G497/100,2)</x:f>
        <x:v>30.8</x:v>
      </x:c>
      <x:c r="I497" t="n">
        <x:v>3.1</x:v>
      </x:c>
      <x:c r="J497" t="n">
        <x:f>ROUND(F497*I497/100,2)</x:f>
        <x:v>4.34</x:v>
      </x:c>
      <x:c r="K497" t="n">
        <x:v>3.3</x:v>
      </x:c>
      <x:c r="L497" t="n">
        <x:f>ROUND(F497*K497/100,2)</x:f>
        <x:v>4.62</x:v>
      </x:c>
      <x:c r="M497" t="n">
        <x:v>0.3</x:v>
      </x:c>
      <x:c r="N497" t="n">
        <x:f>ROUND(F497*M497/100,2)</x:f>
        <x:v>0.42</x:v>
      </x:c>
      <x:c r="O497" t="str">
        <x:v>生重</x:v>
      </x:c>
    </x:row>
    <x:row r="498" ht="23" customHeight="1">
      <x:c r="A498" t="n">
        <x:v>83</x:v>
      </x:c>
      <x:c r="B498" t="n">
        <x:v>42</x:v>
      </x:c>
      <x:c r="C498" t="str">
        <x:v>午餐</x:v>
      </x:c>
      <x:c r="D498" t="str">
        <x:v>主食</x:v>
      </x:c>
      <x:c r="E498" t="str">
        <x:v>杂粮饭</x:v>
      </x:c>
      <x:c r="F498" t="n">
        <x:v>135</x:v>
      </x:c>
      <x:c r="G498" t="n">
        <x:v>115</x:v>
      </x:c>
      <x:c r="H498" t="n">
        <x:f>ROUND(F498*G498/100,2)</x:f>
        <x:v>155.25</x:v>
      </x:c>
      <x:c r="I498" t="n">
        <x:v>3.1</x:v>
      </x:c>
      <x:c r="J498" t="n">
        <x:f>ROUND(F498*I498/100,2)</x:f>
        <x:v>4.18</x:v>
      </x:c>
      <x:c r="K498" t="n">
        <x:v>23.5</x:v>
      </x:c>
      <x:c r="L498" t="n">
        <x:f>ROUND(F498*K498/100,2)</x:f>
        <x:v>31.73</x:v>
      </x:c>
      <x:c r="M498" t="n">
        <x:v>1.1</x:v>
      </x:c>
      <x:c r="N498" t="n">
        <x:f>ROUND(F498*M498/100,2)</x:f>
        <x:v>1.49</x:v>
      </x:c>
      <x:c r="O498" t="str">
        <x:v>熟重</x:v>
      </x:c>
    </x:row>
    <x:row r="499" ht="23" customHeight="1">
      <x:c r="A499" t="n">
        <x:v>83</x:v>
      </x:c>
      <x:c r="B499" t="n">
        <x:v>42</x:v>
      </x:c>
      <x:c r="C499" t="str">
        <x:v>午餐</x:v>
      </x:c>
      <x:c r="D499" t="str">
        <x:v>油脂</x:v>
      </x:c>
      <x:c r="E499" t="str">
        <x:v>烹调油</x:v>
      </x:c>
      <x:c r="F499" t="n">
        <x:v>5</x:v>
      </x:c>
      <x:c r="G499" t="n">
        <x:v>900</x:v>
      </x:c>
      <x:c r="H499" t="n">
        <x:f>ROUND(F499*G499/100,2)</x:f>
        <x:v>45</x:v>
      </x:c>
      <x:c r="I499" t="n">
        <x:v>0</x:v>
      </x:c>
      <x:c r="J499" t="n">
        <x:f>ROUND(F499*I499/100,2)</x:f>
        <x:v>0</x:v>
      </x:c>
      <x:c r="K499" t="n">
        <x:v>0</x:v>
      </x:c>
      <x:c r="L499" t="n">
        <x:f>ROUND(F499*K499/100,2)</x:f>
        <x:v>0</x:v>
      </x:c>
      <x:c r="M499" t="n">
        <x:v>100</x:v>
      </x:c>
      <x:c r="N499" t="n">
        <x:f>ROUND(F499*M499/100,2)</x:f>
        <x:v>5</x:v>
      </x:c>
      <x:c r="O499" t="str">
        <x:v>实际用油重</x:v>
      </x:c>
    </x:row>
    <x:row r="500" ht="23" customHeight="1">
      <x:c r="A500" t="n">
        <x:v>84</x:v>
      </x:c>
      <x:c r="B500" t="n">
        <x:v>42</x:v>
      </x:c>
      <x:c r="C500" t="str">
        <x:v>晚餐</x:v>
      </x:c>
      <x:c r="D500" t="str">
        <x:v>禽肉</x:v>
      </x:c>
      <x:c r="E500" t="str">
        <x:v>鸡胸肉</x:v>
      </x:c>
      <x:c r="F500" t="n">
        <x:v>170</x:v>
      </x:c>
      <x:c r="G500" t="n">
        <x:v>110</x:v>
      </x:c>
      <x:c r="H500" t="n">
        <x:f>ROUND(F500*G500/100,2)</x:f>
        <x:v>187</x:v>
      </x:c>
      <x:c r="I500" t="n">
        <x:v>23</x:v>
      </x:c>
      <x:c r="J500" t="n">
        <x:f>ROUND(F500*I500/100,2)</x:f>
        <x:v>39.1</x:v>
      </x:c>
      <x:c r="K500" t="n">
        <x:v>0</x:v>
      </x:c>
      <x:c r="L500" t="n">
        <x:f>ROUND(F500*K500/100,2)</x:f>
        <x:v>0</x:v>
      </x:c>
      <x:c r="M500" t="n">
        <x:v>2</x:v>
      </x:c>
      <x:c r="N500" t="n">
        <x:f>ROUND(F500*M500/100,2)</x:f>
        <x:v>3.4</x:v>
      </x:c>
      <x:c r="O500" t="str">
        <x:v>生重</x:v>
      </x:c>
    </x:row>
    <x:row r="501" ht="23" customHeight="1">
      <x:c r="A501" t="n">
        <x:v>84</x:v>
      </x:c>
      <x:c r="B501" t="n">
        <x:v>42</x:v>
      </x:c>
      <x:c r="C501" t="str">
        <x:v>晚餐</x:v>
      </x:c>
      <x:c r="D501" t="str">
        <x:v>豆蛋</x:v>
      </x:c>
      <x:c r="E501" t="str">
        <x:v>熟毛豆仁</x:v>
      </x:c>
      <x:c r="F501" t="n">
        <x:v>70</x:v>
      </x:c>
      <x:c r="G501" t="n">
        <x:v>120</x:v>
      </x:c>
      <x:c r="H501" t="n">
        <x:f>ROUND(F501*G501/100,2)</x:f>
        <x:v>84</x:v>
      </x:c>
      <x:c r="I501" t="n">
        <x:v>12</x:v>
      </x:c>
      <x:c r="J501" t="n">
        <x:f>ROUND(F501*I501/100,2)</x:f>
        <x:v>8.4</x:v>
      </x:c>
      <x:c r="K501" t="n">
        <x:v>9</x:v>
      </x:c>
      <x:c r="L501" t="n">
        <x:f>ROUND(F501*K501/100,2)</x:f>
        <x:v>6.3</x:v>
      </x:c>
      <x:c r="M501" t="n">
        <x:v>5</x:v>
      </x:c>
      <x:c r="N501" t="n">
        <x:f>ROUND(F501*M501/100,2)</x:f>
        <x:v>3.5</x:v>
      </x:c>
      <x:c r="O501" t="str">
        <x:v>熟重</x:v>
      </x:c>
    </x:row>
    <x:row r="502" ht="23" customHeight="1">
      <x:c r="A502" t="n">
        <x:v>84</x:v>
      </x:c>
      <x:c r="B502" t="n">
        <x:v>42</x:v>
      </x:c>
      <x:c r="C502" t="str">
        <x:v>晚餐</x:v>
      </x:c>
      <x:c r="D502" t="str">
        <x:v>蔬菜</x:v>
      </x:c>
      <x:c r="E502" t="str">
        <x:v>荷兰豆</x:v>
      </x:c>
      <x:c r="F502" t="n">
        <x:v>160</x:v>
      </x:c>
      <x:c r="G502" t="n">
        <x:v>42</x:v>
      </x:c>
      <x:c r="H502" t="n">
        <x:f>ROUND(F502*G502/100,2)</x:f>
        <x:v>67.2</x:v>
      </x:c>
      <x:c r="I502" t="n">
        <x:v>2.8</x:v>
      </x:c>
      <x:c r="J502" t="n">
        <x:f>ROUND(F502*I502/100,2)</x:f>
        <x:v>4.48</x:v>
      </x:c>
      <x:c r="K502" t="n">
        <x:v>7.5</x:v>
      </x:c>
      <x:c r="L502" t="n">
        <x:f>ROUND(F502*K502/100,2)</x:f>
        <x:v>12</x:v>
      </x:c>
      <x:c r="M502" t="n">
        <x:v>0.3</x:v>
      </x:c>
      <x:c r="N502" t="n">
        <x:f>ROUND(F502*M502/100,2)</x:f>
        <x:v>0.48</x:v>
      </x:c>
      <x:c r="O502" t="str">
        <x:v>生重</x:v>
      </x:c>
    </x:row>
    <x:row r="503" ht="23" customHeight="1">
      <x:c r="A503" t="n">
        <x:v>84</x:v>
      </x:c>
      <x:c r="B503" t="n">
        <x:v>42</x:v>
      </x:c>
      <x:c r="C503" t="str">
        <x:v>晚餐</x:v>
      </x:c>
      <x:c r="D503" t="str">
        <x:v>蔬菜</x:v>
      </x:c>
      <x:c r="E503" t="str">
        <x:v>冬瓜</x:v>
      </x:c>
      <x:c r="F503" t="n">
        <x:v>110</x:v>
      </x:c>
      <x:c r="G503" t="n">
        <x:v>13</x:v>
      </x:c>
      <x:c r="H503" t="n">
        <x:f>ROUND(F503*G503/100,2)</x:f>
        <x:v>14.3</x:v>
      </x:c>
      <x:c r="I503" t="n">
        <x:v>0.4</x:v>
      </x:c>
      <x:c r="J503" t="n">
        <x:f>ROUND(F503*I503/100,2)</x:f>
        <x:v>0.44</x:v>
      </x:c>
      <x:c r="K503" t="n">
        <x:v>3</x:v>
      </x:c>
      <x:c r="L503" t="n">
        <x:f>ROUND(F503*K503/100,2)</x:f>
        <x:v>3.3</x:v>
      </x:c>
      <x:c r="M503" t="n">
        <x:v>0.2</x:v>
      </x:c>
      <x:c r="N503" t="n">
        <x:f>ROUND(F503*M503/100,2)</x:f>
        <x:v>0.22</x:v>
      </x:c>
      <x:c r="O503" t="str">
        <x:v>生重</x:v>
      </x:c>
    </x:row>
    <x:row r="504" ht="23" customHeight="1">
      <x:c r="A504" t="n">
        <x:v>84</x:v>
      </x:c>
      <x:c r="B504" t="n">
        <x:v>42</x:v>
      </x:c>
      <x:c r="C504" t="str">
        <x:v>晚餐</x:v>
      </x:c>
      <x:c r="D504" t="str">
        <x:v>主食</x:v>
      </x:c>
      <x:c r="E504" t="str">
        <x:v>山药</x:v>
      </x:c>
      <x:c r="F504" t="n">
        <x:v>125</x:v>
      </x:c>
      <x:c r="G504" t="n">
        <x:v>62</x:v>
      </x:c>
      <x:c r="H504" t="n">
        <x:f>ROUND(F504*G504/100,2)</x:f>
        <x:v>77.5</x:v>
      </x:c>
      <x:c r="I504" t="n">
        <x:v>1.5</x:v>
      </x:c>
      <x:c r="J504" t="n">
        <x:f>ROUND(F504*I504/100,2)</x:f>
        <x:v>1.88</x:v>
      </x:c>
      <x:c r="K504" t="n">
        <x:v>14.1</x:v>
      </x:c>
      <x:c r="L504" t="n">
        <x:f>ROUND(F504*K504/100,2)</x:f>
        <x:v>17.63</x:v>
      </x:c>
      <x:c r="M504" t="n">
        <x:v>0.1</x:v>
      </x:c>
      <x:c r="N504" t="n">
        <x:f>ROUND(F504*M504/100,2)</x:f>
        <x:v>0.13</x:v>
      </x:c>
      <x:c r="O504" t="str">
        <x:v>蒸熟净重</x:v>
      </x:c>
    </x:row>
    <x:row r="505" ht="23" customHeight="1">
      <x:c r="A505" t="n">
        <x:v>84</x:v>
      </x:c>
      <x:c r="B505" t="n">
        <x:v>42</x:v>
      </x:c>
      <x:c r="C505" t="str">
        <x:v>晚餐</x:v>
      </x:c>
      <x:c r="D505" t="str">
        <x:v>油脂</x:v>
      </x:c>
      <x:c r="E505" t="str">
        <x:v>烹调油</x:v>
      </x:c>
      <x:c r="F505" t="n">
        <x:v>4</x:v>
      </x:c>
      <x:c r="G505" t="n">
        <x:v>900</x:v>
      </x:c>
      <x:c r="H505" t="n">
        <x:f>ROUND(F505*G505/100,2)</x:f>
        <x:v>36</x:v>
      </x:c>
      <x:c r="I505" t="n">
        <x:v>0</x:v>
      </x:c>
      <x:c r="J505" t="n">
        <x:f>ROUND(F505*I505/100,2)</x:f>
        <x:v>0</x:v>
      </x:c>
      <x:c r="K505" t="n">
        <x:v>0</x:v>
      </x:c>
      <x:c r="L505" t="n">
        <x:f>ROUND(F505*K505/100,2)</x:f>
        <x:v>0</x:v>
      </x:c>
      <x:c r="M505" t="n">
        <x:v>100</x:v>
      </x:c>
      <x:c r="N505" t="n">
        <x:f>ROUND(F505*M505/100,2)</x:f>
        <x:v>4</x:v>
      </x:c>
      <x:c r="O505" t="str">
        <x:v>实际用油重</x:v>
      </x:c>
    </x:row>
    <x:row r="506" ht="23" customHeight="1">
      <x:c r="A506" t="n">
        <x:v>85</x:v>
      </x:c>
      <x:c r="B506" t="n">
        <x:v>43</x:v>
      </x:c>
      <x:c r="C506" t="str">
        <x:v>午餐</x:v>
      </x:c>
      <x:c r="D506" t="str">
        <x:v>禽肉</x:v>
      </x:c>
      <x:c r="E506" t="str">
        <x:v>去皮鸡腿肉</x:v>
      </x:c>
      <x:c r="F506" t="n">
        <x:v>185</x:v>
      </x:c>
      <x:c r="G506" t="n">
        <x:v>125</x:v>
      </x:c>
      <x:c r="H506" t="n">
        <x:f>ROUND(F506*G506/100,2)</x:f>
        <x:v>231.25</x:v>
      </x:c>
      <x:c r="I506" t="n">
        <x:v>20</x:v>
      </x:c>
      <x:c r="J506" t="n">
        <x:f>ROUND(F506*I506/100,2)</x:f>
        <x:v>37</x:v>
      </x:c>
      <x:c r="K506" t="n">
        <x:v>0</x:v>
      </x:c>
      <x:c r="L506" t="n">
        <x:f>ROUND(F506*K506/100,2)</x:f>
        <x:v>0</x:v>
      </x:c>
      <x:c r="M506" t="n">
        <x:v>5</x:v>
      </x:c>
      <x:c r="N506" t="n">
        <x:f>ROUND(F506*M506/100,2)</x:f>
        <x:v>9.25</x:v>
      </x:c>
      <x:c r="O506" t="str">
        <x:v>生重</x:v>
      </x:c>
    </x:row>
    <x:row r="507" ht="23" customHeight="1">
      <x:c r="A507" t="n">
        <x:v>85</x:v>
      </x:c>
      <x:c r="B507" t="n">
        <x:v>43</x:v>
      </x:c>
      <x:c r="C507" t="str">
        <x:v>午餐</x:v>
      </x:c>
      <x:c r="D507" t="str"/>
      <x:c r="E507" t="str"/>
      <x:c r="F507" t="n">
        <x:v>0</x:v>
      </x:c>
      <x:c r="G507" t="n">
        <x:v>0</x:v>
      </x:c>
      <x:c r="H507" t="n">
        <x:f>ROUND(F507*G507/100,2)</x:f>
        <x:v>0</x:v>
      </x:c>
      <x:c r="I507" t="n">
        <x:v>0</x:v>
      </x:c>
      <x:c r="J507" t="n">
        <x:f>ROUND(F507*I507/100,2)</x:f>
        <x:v>0</x:v>
      </x:c>
      <x:c r="K507" t="n">
        <x:v>0</x:v>
      </x:c>
      <x:c r="L507" t="n">
        <x:f>ROUND(F507*K507/100,2)</x:f>
        <x:v>0</x:v>
      </x:c>
      <x:c r="M507" t="n">
        <x:v>0</x:v>
      </x:c>
      <x:c r="N507" t="n">
        <x:f>ROUND(F507*M507/100,2)</x:f>
        <x:v>0</x:v>
      </x:c>
      <x:c r="O507" t="str"/>
    </x:row>
    <x:row r="508" ht="23" customHeight="1">
      <x:c r="A508" t="n">
        <x:v>85</x:v>
      </x:c>
      <x:c r="B508" t="n">
        <x:v>43</x:v>
      </x:c>
      <x:c r="C508" t="str">
        <x:v>午餐</x:v>
      </x:c>
      <x:c r="D508" t="str">
        <x:v>蔬菜</x:v>
      </x:c>
      <x:c r="E508" t="str">
        <x:v>四季豆</x:v>
      </x:c>
      <x:c r="F508" t="n">
        <x:v>175</x:v>
      </x:c>
      <x:c r="G508" t="n">
        <x:v>31</x:v>
      </x:c>
      <x:c r="H508" t="n">
        <x:f>ROUND(F508*G508/100,2)</x:f>
        <x:v>54.25</x:v>
      </x:c>
      <x:c r="I508" t="n">
        <x:v>1.8</x:v>
      </x:c>
      <x:c r="J508" t="n">
        <x:f>ROUND(F508*I508/100,2)</x:f>
        <x:v>3.15</x:v>
      </x:c>
      <x:c r="K508" t="n">
        <x:v>7</x:v>
      </x:c>
      <x:c r="L508" t="n">
        <x:f>ROUND(F508*K508/100,2)</x:f>
        <x:v>12.25</x:v>
      </x:c>
      <x:c r="M508" t="n">
        <x:v>0.1</x:v>
      </x:c>
      <x:c r="N508" t="n">
        <x:f>ROUND(F508*M508/100,2)</x:f>
        <x:v>0.18</x:v>
      </x:c>
      <x:c r="O508" t="str">
        <x:v>生重</x:v>
      </x:c>
    </x:row>
    <x:row r="509" ht="23" customHeight="1">
      <x:c r="A509" t="n">
        <x:v>85</x:v>
      </x:c>
      <x:c r="B509" t="n">
        <x:v>43</x:v>
      </x:c>
      <x:c r="C509" t="str">
        <x:v>午餐</x:v>
      </x:c>
      <x:c r="D509" t="str">
        <x:v>菌菇</x:v>
      </x:c>
      <x:c r="E509" t="str">
        <x:v>泡发木耳</x:v>
      </x:c>
      <x:c r="F509" t="n">
        <x:v>110</x:v>
      </x:c>
      <x:c r="G509" t="n">
        <x:v>25</x:v>
      </x:c>
      <x:c r="H509" t="n">
        <x:f>ROUND(F509*G509/100,2)</x:f>
        <x:v>27.5</x:v>
      </x:c>
      <x:c r="I509" t="n">
        <x:v>1.5</x:v>
      </x:c>
      <x:c r="J509" t="n">
        <x:f>ROUND(F509*I509/100,2)</x:f>
        <x:v>1.65</x:v>
      </x:c>
      <x:c r="K509" t="n">
        <x:v>6</x:v>
      </x:c>
      <x:c r="L509" t="n">
        <x:f>ROUND(F509*K509/100,2)</x:f>
        <x:v>6.6</x:v>
      </x:c>
      <x:c r="M509" t="n">
        <x:v>0.1</x:v>
      </x:c>
      <x:c r="N509" t="n">
        <x:f>ROUND(F509*M509/100,2)</x:f>
        <x:v>0.11</x:v>
      </x:c>
      <x:c r="O509" t="str">
        <x:v>泡发沥水重</x:v>
      </x:c>
    </x:row>
    <x:row r="510" ht="23" customHeight="1">
      <x:c r="A510" t="n">
        <x:v>85</x:v>
      </x:c>
      <x:c r="B510" t="n">
        <x:v>43</x:v>
      </x:c>
      <x:c r="C510" t="str">
        <x:v>午餐</x:v>
      </x:c>
      <x:c r="D510" t="str">
        <x:v>主食</x:v>
      </x:c>
      <x:c r="E510" t="str">
        <x:v>红薯</x:v>
      </x:c>
      <x:c r="F510" t="n">
        <x:v>150</x:v>
      </x:c>
      <x:c r="G510" t="n">
        <x:v>88</x:v>
      </x:c>
      <x:c r="H510" t="n">
        <x:f>ROUND(F510*G510/100,2)</x:f>
        <x:v>132</x:v>
      </x:c>
      <x:c r="I510" t="n">
        <x:v>1.6</x:v>
      </x:c>
      <x:c r="J510" t="n">
        <x:f>ROUND(F510*I510/100,2)</x:f>
        <x:v>2.4</x:v>
      </x:c>
      <x:c r="K510" t="n">
        <x:v>20.5</x:v>
      </x:c>
      <x:c r="L510" t="n">
        <x:f>ROUND(F510*K510/100,2)</x:f>
        <x:v>30.75</x:v>
      </x:c>
      <x:c r="M510" t="n">
        <x:v>0.1</x:v>
      </x:c>
      <x:c r="N510" t="n">
        <x:f>ROUND(F510*M510/100,2)</x:f>
        <x:v>0.15</x:v>
      </x:c>
      <x:c r="O510" t="str">
        <x:v>蒸熟净重</x:v>
      </x:c>
    </x:row>
    <x:row r="511" ht="23" customHeight="1">
      <x:c r="A511" t="n">
        <x:v>85</x:v>
      </x:c>
      <x:c r="B511" t="n">
        <x:v>43</x:v>
      </x:c>
      <x:c r="C511" t="str">
        <x:v>午餐</x:v>
      </x:c>
      <x:c r="D511" t="str">
        <x:v>油脂</x:v>
      </x:c>
      <x:c r="E511" t="str">
        <x:v>烹调油</x:v>
      </x:c>
      <x:c r="F511" t="n">
        <x:v>5</x:v>
      </x:c>
      <x:c r="G511" t="n">
        <x:v>900</x:v>
      </x:c>
      <x:c r="H511" t="n">
        <x:f>ROUND(F511*G511/100,2)</x:f>
        <x:v>45</x:v>
      </x:c>
      <x:c r="I511" t="n">
        <x:v>0</x:v>
      </x:c>
      <x:c r="J511" t="n">
        <x:f>ROUND(F511*I511/100,2)</x:f>
        <x:v>0</x:v>
      </x:c>
      <x:c r="K511" t="n">
        <x:v>0</x:v>
      </x:c>
      <x:c r="L511" t="n">
        <x:f>ROUND(F511*K511/100,2)</x:f>
        <x:v>0</x:v>
      </x:c>
      <x:c r="M511" t="n">
        <x:v>100</x:v>
      </x:c>
      <x:c r="N511" t="n">
        <x:f>ROUND(F511*M511/100,2)</x:f>
        <x:v>5</x:v>
      </x:c>
      <x:c r="O511" t="str">
        <x:v>实际用油重</x:v>
      </x:c>
    </x:row>
    <x:row r="512" ht="23" customHeight="1">
      <x:c r="A512" t="n">
        <x:v>86</x:v>
      </x:c>
      <x:c r="B512" t="n">
        <x:v>43</x:v>
      </x:c>
      <x:c r="C512" t="str">
        <x:v>晚餐</x:v>
      </x:c>
      <x:c r="D512" t="str">
        <x:v>牛肉</x:v>
      </x:c>
      <x:c r="E512" t="str">
        <x:v>瘦牛肉</x:v>
      </x:c>
      <x:c r="F512" t="n">
        <x:v>145</x:v>
      </x:c>
      <x:c r="G512" t="n">
        <x:v>125</x:v>
      </x:c>
      <x:c r="H512" t="n">
        <x:f>ROUND(F512*G512/100,2)</x:f>
        <x:v>181.25</x:v>
      </x:c>
      <x:c r="I512" t="n">
        <x:v>21</x:v>
      </x:c>
      <x:c r="J512" t="n">
        <x:f>ROUND(F512*I512/100,2)</x:f>
        <x:v>30.45</x:v>
      </x:c>
      <x:c r="K512" t="n">
        <x:v>0</x:v>
      </x:c>
      <x:c r="L512" t="n">
        <x:f>ROUND(F512*K512/100,2)</x:f>
        <x:v>0</x:v>
      </x:c>
      <x:c r="M512" t="n">
        <x:v>4</x:v>
      </x:c>
      <x:c r="N512" t="n">
        <x:f>ROUND(F512*M512/100,2)</x:f>
        <x:v>5.8</x:v>
      </x:c>
      <x:c r="O512" t="str">
        <x:v>生重</x:v>
      </x:c>
    </x:row>
    <x:row r="513" ht="23" customHeight="1">
      <x:c r="A513" t="n">
        <x:v>86</x:v>
      </x:c>
      <x:c r="B513" t="n">
        <x:v>43</x:v>
      </x:c>
      <x:c r="C513" t="str">
        <x:v>晚餐</x:v>
      </x:c>
      <x:c r="D513" t="str"/>
      <x:c r="E513" t="str"/>
      <x:c r="F513" t="n">
        <x:v>0</x:v>
      </x:c>
      <x:c r="G513" t="n">
        <x:v>0</x:v>
      </x:c>
      <x:c r="H513" t="n">
        <x:f>ROUND(F513*G513/100,2)</x:f>
        <x:v>0</x:v>
      </x:c>
      <x:c r="I513" t="n">
        <x:v>0</x:v>
      </x:c>
      <x:c r="J513" t="n">
        <x:f>ROUND(F513*I513/100,2)</x:f>
        <x:v>0</x:v>
      </x:c>
      <x:c r="K513" t="n">
        <x:v>0</x:v>
      </x:c>
      <x:c r="L513" t="n">
        <x:f>ROUND(F513*K513/100,2)</x:f>
        <x:v>0</x:v>
      </x:c>
      <x:c r="M513" t="n">
        <x:v>0</x:v>
      </x:c>
      <x:c r="N513" t="n">
        <x:f>ROUND(F513*M513/100,2)</x:f>
        <x:v>0</x:v>
      </x:c>
      <x:c r="O513" t="str"/>
    </x:row>
    <x:row r="514" ht="23" customHeight="1">
      <x:c r="A514" t="n">
        <x:v>86</x:v>
      </x:c>
      <x:c r="B514" t="n">
        <x:v>43</x:v>
      </x:c>
      <x:c r="C514" t="str">
        <x:v>晚餐</x:v>
      </x:c>
      <x:c r="D514" t="str">
        <x:v>蔬菜</x:v>
      </x:c>
      <x:c r="E514" t="str">
        <x:v>娃娃菜</x:v>
      </x:c>
      <x:c r="F514" t="n">
        <x:v>160</x:v>
      </x:c>
      <x:c r="G514" t="n">
        <x:v>17</x:v>
      </x:c>
      <x:c r="H514" t="n">
        <x:f>ROUND(F514*G514/100,2)</x:f>
        <x:v>27.2</x:v>
      </x:c>
      <x:c r="I514" t="n">
        <x:v>1.3</x:v>
      </x:c>
      <x:c r="J514" t="n">
        <x:f>ROUND(F514*I514/100,2)</x:f>
        <x:v>2.08</x:v>
      </x:c>
      <x:c r="K514" t="n">
        <x:v>3</x:v>
      </x:c>
      <x:c r="L514" t="n">
        <x:f>ROUND(F514*K514/100,2)</x:f>
        <x:v>4.8</x:v>
      </x:c>
      <x:c r="M514" t="n">
        <x:v>0.2</x:v>
      </x:c>
      <x:c r="N514" t="n">
        <x:f>ROUND(F514*M514/100,2)</x:f>
        <x:v>0.32</x:v>
      </x:c>
      <x:c r="O514" t="str">
        <x:v>生重</x:v>
      </x:c>
    </x:row>
    <x:row r="515" ht="23" customHeight="1">
      <x:c r="A515" t="n">
        <x:v>86</x:v>
      </x:c>
      <x:c r="B515" t="n">
        <x:v>43</x:v>
      </x:c>
      <x:c r="C515" t="str">
        <x:v>晚餐</x:v>
      </x:c>
      <x:c r="D515" t="str">
        <x:v>蔬菜</x:v>
      </x:c>
      <x:c r="E515" t="str">
        <x:v>白萝卜</x:v>
      </x:c>
      <x:c r="F515" t="n">
        <x:v>155</x:v>
      </x:c>
      <x:c r="G515" t="n">
        <x:v>18</x:v>
      </x:c>
      <x:c r="H515" t="n">
        <x:f>ROUND(F515*G515/100,2)</x:f>
        <x:v>27.9</x:v>
      </x:c>
      <x:c r="I515" t="n">
        <x:v>0.6</x:v>
      </x:c>
      <x:c r="J515" t="n">
        <x:f>ROUND(F515*I515/100,2)</x:f>
        <x:v>0.93</x:v>
      </x:c>
      <x:c r="K515" t="n">
        <x:v>4</x:v>
      </x:c>
      <x:c r="L515" t="n">
        <x:f>ROUND(F515*K515/100,2)</x:f>
        <x:v>6.2</x:v>
      </x:c>
      <x:c r="M515" t="n">
        <x:v>0.1</x:v>
      </x:c>
      <x:c r="N515" t="n">
        <x:f>ROUND(F515*M515/100,2)</x:f>
        <x:v>0.16</x:v>
      </x:c>
      <x:c r="O515" t="str">
        <x:v>生重</x:v>
      </x:c>
    </x:row>
    <x:row r="516" ht="23" customHeight="1">
      <x:c r="A516" t="n">
        <x:v>86</x:v>
      </x:c>
      <x:c r="B516" t="n">
        <x:v>43</x:v>
      </x:c>
      <x:c r="C516" t="str">
        <x:v>晚餐</x:v>
      </x:c>
      <x:c r="D516" t="str">
        <x:v>主食</x:v>
      </x:c>
      <x:c r="E516" t="str">
        <x:v>藜麦饭</x:v>
      </x:c>
      <x:c r="F516" t="n">
        <x:v>125</x:v>
      </x:c>
      <x:c r="G516" t="n">
        <x:v>120</x:v>
      </x:c>
      <x:c r="H516" t="n">
        <x:f>ROUND(F516*G516/100,2)</x:f>
        <x:v>150</x:v>
      </x:c>
      <x:c r="I516" t="n">
        <x:v>4.4</x:v>
      </x:c>
      <x:c r="J516" t="n">
        <x:f>ROUND(F516*I516/100,2)</x:f>
        <x:v>5.5</x:v>
      </x:c>
      <x:c r="K516" t="n">
        <x:v>21.3</x:v>
      </x:c>
      <x:c r="L516" t="n">
        <x:f>ROUND(F516*K516/100,2)</x:f>
        <x:v>26.63</x:v>
      </x:c>
      <x:c r="M516" t="n">
        <x:v>1.9</x:v>
      </x:c>
      <x:c r="N516" t="n">
        <x:f>ROUND(F516*M516/100,2)</x:f>
        <x:v>2.38</x:v>
      </x:c>
      <x:c r="O516" t="str">
        <x:v>熟重</x:v>
      </x:c>
    </x:row>
    <x:row r="517" ht="23" customHeight="1">
      <x:c r="A517" t="n">
        <x:v>86</x:v>
      </x:c>
      <x:c r="B517" t="n">
        <x:v>43</x:v>
      </x:c>
      <x:c r="C517" t="str">
        <x:v>晚餐</x:v>
      </x:c>
      <x:c r="D517" t="str">
        <x:v>油脂</x:v>
      </x:c>
      <x:c r="E517" t="str">
        <x:v>烹调油</x:v>
      </x:c>
      <x:c r="F517" t="n">
        <x:v>5</x:v>
      </x:c>
      <x:c r="G517" t="n">
        <x:v>900</x:v>
      </x:c>
      <x:c r="H517" t="n">
        <x:f>ROUND(F517*G517/100,2)</x:f>
        <x:v>45</x:v>
      </x:c>
      <x:c r="I517" t="n">
        <x:v>0</x:v>
      </x:c>
      <x:c r="J517" t="n">
        <x:f>ROUND(F517*I517/100,2)</x:f>
        <x:v>0</x:v>
      </x:c>
      <x:c r="K517" t="n">
        <x:v>0</x:v>
      </x:c>
      <x:c r="L517" t="n">
        <x:f>ROUND(F517*K517/100,2)</x:f>
        <x:v>0</x:v>
      </x:c>
      <x:c r="M517" t="n">
        <x:v>100</x:v>
      </x:c>
      <x:c r="N517" t="n">
        <x:f>ROUND(F517*M517/100,2)</x:f>
        <x:v>5</x:v>
      </x:c>
      <x:c r="O517" t="str">
        <x:v>实际用油重</x:v>
      </x:c>
    </x:row>
    <x:row r="518" ht="23" customHeight="1">
      <x:c r="A518" t="n">
        <x:v>87</x:v>
      </x:c>
      <x:c r="B518" t="n">
        <x:v>44</x:v>
      </x:c>
      <x:c r="C518" t="str">
        <x:v>午餐</x:v>
      </x:c>
      <x:c r="D518" t="str">
        <x:v>鱼类</x:v>
      </x:c>
      <x:c r="E518" t="str">
        <x:v>鳕鱼</x:v>
      </x:c>
      <x:c r="F518" t="n">
        <x:v>200</x:v>
      </x:c>
      <x:c r="G518" t="n">
        <x:v>85</x:v>
      </x:c>
      <x:c r="H518" t="n">
        <x:f>ROUND(F518*G518/100,2)</x:f>
        <x:v>170</x:v>
      </x:c>
      <x:c r="I518" t="n">
        <x:v>18</x:v>
      </x:c>
      <x:c r="J518" t="n">
        <x:f>ROUND(F518*I518/100,2)</x:f>
        <x:v>36</x:v>
      </x:c>
      <x:c r="K518" t="n">
        <x:v>0</x:v>
      </x:c>
      <x:c r="L518" t="n">
        <x:f>ROUND(F518*K518/100,2)</x:f>
        <x:v>0</x:v>
      </x:c>
      <x:c r="M518" t="n">
        <x:v>0.8</x:v>
      </x:c>
      <x:c r="N518" t="n">
        <x:f>ROUND(F518*M518/100,2)</x:f>
        <x:v>1.6</x:v>
      </x:c>
      <x:c r="O518" t="str">
        <x:v>净鱼肉生重</x:v>
      </x:c>
    </x:row>
    <x:row r="519" ht="23" customHeight="1">
      <x:c r="A519" t="n">
        <x:v>87</x:v>
      </x:c>
      <x:c r="B519" t="n">
        <x:v>44</x:v>
      </x:c>
      <x:c r="C519" t="str">
        <x:v>午餐</x:v>
      </x:c>
      <x:c r="D519" t="str"/>
      <x:c r="E519" t="str"/>
      <x:c r="F519" t="n">
        <x:v>0</x:v>
      </x:c>
      <x:c r="G519" t="n">
        <x:v>0</x:v>
      </x:c>
      <x:c r="H519" t="n">
        <x:f>ROUND(F519*G519/100,2)</x:f>
        <x:v>0</x:v>
      </x:c>
      <x:c r="I519" t="n">
        <x:v>0</x:v>
      </x:c>
      <x:c r="J519" t="n">
        <x:f>ROUND(F519*I519/100,2)</x:f>
        <x:v>0</x:v>
      </x:c>
      <x:c r="K519" t="n">
        <x:v>0</x:v>
      </x:c>
      <x:c r="L519" t="n">
        <x:f>ROUND(F519*K519/100,2)</x:f>
        <x:v>0</x:v>
      </x:c>
      <x:c r="M519" t="n">
        <x:v>0</x:v>
      </x:c>
      <x:c r="N519" t="n">
        <x:f>ROUND(F519*M519/100,2)</x:f>
        <x:v>0</x:v>
      </x:c>
      <x:c r="O519" t="str"/>
    </x:row>
    <x:row r="520" ht="23" customHeight="1">
      <x:c r="A520" t="n">
        <x:v>87</x:v>
      </x:c>
      <x:c r="B520" t="n">
        <x:v>44</x:v>
      </x:c>
      <x:c r="C520" t="str">
        <x:v>午餐</x:v>
      </x:c>
      <x:c r="D520" t="str">
        <x:v>蔬菜</x:v>
      </x:c>
      <x:c r="E520" t="str">
        <x:v>大白菜</x:v>
      </x:c>
      <x:c r="F520" t="n">
        <x:v>190</x:v>
      </x:c>
      <x:c r="G520" t="n">
        <x:v>17</x:v>
      </x:c>
      <x:c r="H520" t="n">
        <x:f>ROUND(F520*G520/100,2)</x:f>
        <x:v>32.3</x:v>
      </x:c>
      <x:c r="I520" t="n">
        <x:v>1.5</x:v>
      </x:c>
      <x:c r="J520" t="n">
        <x:f>ROUND(F520*I520/100,2)</x:f>
        <x:v>2.85</x:v>
      </x:c>
      <x:c r="K520" t="n">
        <x:v>3.2</x:v>
      </x:c>
      <x:c r="L520" t="n">
        <x:f>ROUND(F520*K520/100,2)</x:f>
        <x:v>6.08</x:v>
      </x:c>
      <x:c r="M520" t="n">
        <x:v>0.1</x:v>
      </x:c>
      <x:c r="N520" t="n">
        <x:f>ROUND(F520*M520/100,2)</x:f>
        <x:v>0.19</x:v>
      </x:c>
      <x:c r="O520" t="str">
        <x:v>生重</x:v>
      </x:c>
    </x:row>
    <x:row r="521" ht="23" customHeight="1">
      <x:c r="A521" t="n">
        <x:v>87</x:v>
      </x:c>
      <x:c r="B521" t="n">
        <x:v>44</x:v>
      </x:c>
      <x:c r="C521" t="str">
        <x:v>午餐</x:v>
      </x:c>
      <x:c r="D521" t="str">
        <x:v>菌菇</x:v>
      </x:c>
      <x:c r="E521" t="str">
        <x:v>香菇</x:v>
      </x:c>
      <x:c r="F521" t="n">
        <x:v>125</x:v>
      </x:c>
      <x:c r="G521" t="n">
        <x:v>34</x:v>
      </x:c>
      <x:c r="H521" t="n">
        <x:f>ROUND(F521*G521/100,2)</x:f>
        <x:v>42.5</x:v>
      </x:c>
      <x:c r="I521" t="n">
        <x:v>2.2</x:v>
      </x:c>
      <x:c r="J521" t="n">
        <x:f>ROUND(F521*I521/100,2)</x:f>
        <x:v>2.75</x:v>
      </x:c>
      <x:c r="K521" t="n">
        <x:v>6.8</x:v>
      </x:c>
      <x:c r="L521" t="n">
        <x:f>ROUND(F521*K521/100,2)</x:f>
        <x:v>8.5</x:v>
      </x:c>
      <x:c r="M521" t="n">
        <x:v>0.5</x:v>
      </x:c>
      <x:c r="N521" t="n">
        <x:f>ROUND(F521*M521/100,2)</x:f>
        <x:v>0.63</x:v>
      </x:c>
      <x:c r="O521" t="str">
        <x:v>生重</x:v>
      </x:c>
    </x:row>
    <x:row r="522" ht="23" customHeight="1">
      <x:c r="A522" t="n">
        <x:v>87</x:v>
      </x:c>
      <x:c r="B522" t="n">
        <x:v>44</x:v>
      </x:c>
      <x:c r="C522" t="str">
        <x:v>午餐</x:v>
      </x:c>
      <x:c r="D522" t="str">
        <x:v>主食</x:v>
      </x:c>
      <x:c r="E522" t="str">
        <x:v>乌冬面</x:v>
      </x:c>
      <x:c r="F522" t="n">
        <x:v>135</x:v>
      </x:c>
      <x:c r="G522" t="n">
        <x:v>120</x:v>
      </x:c>
      <x:c r="H522" t="n">
        <x:f>ROUND(F522*G522/100,2)</x:f>
        <x:v>162</x:v>
      </x:c>
      <x:c r="I522" t="n">
        <x:v>2.5</x:v>
      </x:c>
      <x:c r="J522" t="n">
        <x:f>ROUND(F522*I522/100,2)</x:f>
        <x:v>3.38</x:v>
      </x:c>
      <x:c r="K522" t="n">
        <x:v>25</x:v>
      </x:c>
      <x:c r="L522" t="n">
        <x:f>ROUND(F522*K522/100,2)</x:f>
        <x:v>33.75</x:v>
      </x:c>
      <x:c r="M522" t="n">
        <x:v>0.6</x:v>
      </x:c>
      <x:c r="N522" t="n">
        <x:f>ROUND(F522*M522/100,2)</x:f>
        <x:v>0.81</x:v>
      </x:c>
      <x:c r="O522" t="str">
        <x:v>煮熟沥水重</x:v>
      </x:c>
    </x:row>
    <x:row r="523" ht="23" customHeight="1">
      <x:c r="A523" t="n">
        <x:v>87</x:v>
      </x:c>
      <x:c r="B523" t="n">
        <x:v>44</x:v>
      </x:c>
      <x:c r="C523" t="str">
        <x:v>午餐</x:v>
      </x:c>
      <x:c r="D523" t="str">
        <x:v>油脂</x:v>
      </x:c>
      <x:c r="E523" t="str">
        <x:v>烹调油</x:v>
      </x:c>
      <x:c r="F523" t="n">
        <x:v>6</x:v>
      </x:c>
      <x:c r="G523" t="n">
        <x:v>900</x:v>
      </x:c>
      <x:c r="H523" t="n">
        <x:f>ROUND(F523*G523/100,2)</x:f>
        <x:v>54</x:v>
      </x:c>
      <x:c r="I523" t="n">
        <x:v>0</x:v>
      </x:c>
      <x:c r="J523" t="n">
        <x:f>ROUND(F523*I523/100,2)</x:f>
        <x:v>0</x:v>
      </x:c>
      <x:c r="K523" t="n">
        <x:v>0</x:v>
      </x:c>
      <x:c r="L523" t="n">
        <x:f>ROUND(F523*K523/100,2)</x:f>
        <x:v>0</x:v>
      </x:c>
      <x:c r="M523" t="n">
        <x:v>100</x:v>
      </x:c>
      <x:c r="N523" t="n">
        <x:f>ROUND(F523*M523/100,2)</x:f>
        <x:v>6</x:v>
      </x:c>
      <x:c r="O523" t="str">
        <x:v>实际用油重</x:v>
      </x:c>
    </x:row>
    <x:row r="524" ht="23" customHeight="1">
      <x:c r="A524" t="n">
        <x:v>88</x:v>
      </x:c>
      <x:c r="B524" t="n">
        <x:v>44</x:v>
      </x:c>
      <x:c r="C524" t="str">
        <x:v>晚餐</x:v>
      </x:c>
      <x:c r="D524" t="str">
        <x:v>牛肉</x:v>
      </x:c>
      <x:c r="E524" t="str">
        <x:v>牛腱子</x:v>
      </x:c>
      <x:c r="F524" t="n">
        <x:v>170</x:v>
      </x:c>
      <x:c r="G524" t="n">
        <x:v>140</x:v>
      </x:c>
      <x:c r="H524" t="n">
        <x:f>ROUND(F524*G524/100,2)</x:f>
        <x:v>238</x:v>
      </x:c>
      <x:c r="I524" t="n">
        <x:v>21</x:v>
      </x:c>
      <x:c r="J524" t="n">
        <x:f>ROUND(F524*I524/100,2)</x:f>
        <x:v>35.7</x:v>
      </x:c>
      <x:c r="K524" t="n">
        <x:v>0</x:v>
      </x:c>
      <x:c r="L524" t="n">
        <x:f>ROUND(F524*K524/100,2)</x:f>
        <x:v>0</x:v>
      </x:c>
      <x:c r="M524" t="n">
        <x:v>6</x:v>
      </x:c>
      <x:c r="N524" t="n">
        <x:f>ROUND(F524*M524/100,2)</x:f>
        <x:v>10.2</x:v>
      </x:c>
      <x:c r="O524" t="str">
        <x:v>生重</x:v>
      </x:c>
    </x:row>
    <x:row r="525" ht="23" customHeight="1">
      <x:c r="A525" t="n">
        <x:v>88</x:v>
      </x:c>
      <x:c r="B525" t="n">
        <x:v>44</x:v>
      </x:c>
      <x:c r="C525" t="str">
        <x:v>晚餐</x:v>
      </x:c>
      <x:c r="D525" t="str"/>
      <x:c r="E525" t="str"/>
      <x:c r="F525" t="n">
        <x:v>0</x:v>
      </x:c>
      <x:c r="G525" t="n">
        <x:v>0</x:v>
      </x:c>
      <x:c r="H525" t="n">
        <x:f>ROUND(F525*G525/100,2)</x:f>
        <x:v>0</x:v>
      </x:c>
      <x:c r="I525" t="n">
        <x:v>0</x:v>
      </x:c>
      <x:c r="J525" t="n">
        <x:f>ROUND(F525*I525/100,2)</x:f>
        <x:v>0</x:v>
      </x:c>
      <x:c r="K525" t="n">
        <x:v>0</x:v>
      </x:c>
      <x:c r="L525" t="n">
        <x:f>ROUND(F525*K525/100,2)</x:f>
        <x:v>0</x:v>
      </x:c>
      <x:c r="M525" t="n">
        <x:v>0</x:v>
      </x:c>
      <x:c r="N525" t="n">
        <x:f>ROUND(F525*M525/100,2)</x:f>
        <x:v>0</x:v>
      </x:c>
      <x:c r="O525" t="str"/>
    </x:row>
    <x:row r="526" ht="23" customHeight="1">
      <x:c r="A526" t="n">
        <x:v>88</x:v>
      </x:c>
      <x:c r="B526" t="n">
        <x:v>44</x:v>
      </x:c>
      <x:c r="C526" t="str">
        <x:v>晚餐</x:v>
      </x:c>
      <x:c r="D526" t="str">
        <x:v>蔬菜</x:v>
      </x:c>
      <x:c r="E526" t="str">
        <x:v>苦瓜</x:v>
      </x:c>
      <x:c r="F526" t="n">
        <x:v>160</x:v>
      </x:c>
      <x:c r="G526" t="n">
        <x:v>19</x:v>
      </x:c>
      <x:c r="H526" t="n">
        <x:f>ROUND(F526*G526/100,2)</x:f>
        <x:v>30.4</x:v>
      </x:c>
      <x:c r="I526" t="n">
        <x:v>1</x:v>
      </x:c>
      <x:c r="J526" t="n">
        <x:f>ROUND(F526*I526/100,2)</x:f>
        <x:v>1.6</x:v>
      </x:c>
      <x:c r="K526" t="n">
        <x:v>4.1</x:v>
      </x:c>
      <x:c r="L526" t="n">
        <x:f>ROUND(F526*K526/100,2)</x:f>
        <x:v>6.56</x:v>
      </x:c>
      <x:c r="M526" t="n">
        <x:v>0.2</x:v>
      </x:c>
      <x:c r="N526" t="n">
        <x:f>ROUND(F526*M526/100,2)</x:f>
        <x:v>0.32</x:v>
      </x:c>
      <x:c r="O526" t="str">
        <x:v>生重</x:v>
      </x:c>
    </x:row>
    <x:row r="527" ht="23" customHeight="1">
      <x:c r="A527" t="n">
        <x:v>88</x:v>
      </x:c>
      <x:c r="B527" t="n">
        <x:v>44</x:v>
      </x:c>
      <x:c r="C527" t="str">
        <x:v>晚餐</x:v>
      </x:c>
      <x:c r="D527" t="str">
        <x:v>蔬菜</x:v>
      </x:c>
      <x:c r="E527" t="str">
        <x:v>胡萝卜</x:v>
      </x:c>
      <x:c r="F527" t="n">
        <x:v>155</x:v>
      </x:c>
      <x:c r="G527" t="n">
        <x:v>41</x:v>
      </x:c>
      <x:c r="H527" t="n">
        <x:f>ROUND(F527*G527/100,2)</x:f>
        <x:v>63.55</x:v>
      </x:c>
      <x:c r="I527" t="n">
        <x:v>0.9</x:v>
      </x:c>
      <x:c r="J527" t="n">
        <x:f>ROUND(F527*I527/100,2)</x:f>
        <x:v>1.4</x:v>
      </x:c>
      <x:c r="K527" t="n">
        <x:v>10</x:v>
      </x:c>
      <x:c r="L527" t="n">
        <x:f>ROUND(F527*K527/100,2)</x:f>
        <x:v>15.5</x:v>
      </x:c>
      <x:c r="M527" t="n">
        <x:v>0.2</x:v>
      </x:c>
      <x:c r="N527" t="n">
        <x:f>ROUND(F527*M527/100,2)</x:f>
        <x:v>0.31</x:v>
      </x:c>
      <x:c r="O527" t="str">
        <x:v>生重</x:v>
      </x:c>
    </x:row>
    <x:row r="528" ht="23" customHeight="1">
      <x:c r="A528" t="n">
        <x:v>88</x:v>
      </x:c>
      <x:c r="B528" t="n">
        <x:v>44</x:v>
      </x:c>
      <x:c r="C528" t="str">
        <x:v>晚餐</x:v>
      </x:c>
      <x:c r="D528" t="str">
        <x:v>主食</x:v>
      </x:c>
      <x:c r="E528" t="str">
        <x:v>糙米饭</x:v>
      </x:c>
      <x:c r="F528" t="n">
        <x:v>80</x:v>
      </x:c>
      <x:c r="G528" t="n">
        <x:v>112</x:v>
      </x:c>
      <x:c r="H528" t="n">
        <x:f>ROUND(F528*G528/100,2)</x:f>
        <x:v>89.6</x:v>
      </x:c>
      <x:c r="I528" t="n">
        <x:v>2.6</x:v>
      </x:c>
      <x:c r="J528" t="n">
        <x:f>ROUND(F528*I528/100,2)</x:f>
        <x:v>2.08</x:v>
      </x:c>
      <x:c r="K528" t="n">
        <x:v>23.5</x:v>
      </x:c>
      <x:c r="L528" t="n">
        <x:f>ROUND(F528*K528/100,2)</x:f>
        <x:v>18.8</x:v>
      </x:c>
      <x:c r="M528" t="n">
        <x:v>0.9</x:v>
      </x:c>
      <x:c r="N528" t="n">
        <x:f>ROUND(F528*M528/100,2)</x:f>
        <x:v>0.72</x:v>
      </x:c>
      <x:c r="O528" t="str">
        <x:v>熟重</x:v>
      </x:c>
    </x:row>
    <x:row r="529" ht="23" customHeight="1">
      <x:c r="A529" t="n">
        <x:v>88</x:v>
      </x:c>
      <x:c r="B529" t="n">
        <x:v>44</x:v>
      </x:c>
      <x:c r="C529" t="str">
        <x:v>晚餐</x:v>
      </x:c>
      <x:c r="D529" t="str">
        <x:v>油脂</x:v>
      </x:c>
      <x:c r="E529" t="str">
        <x:v>烹调油</x:v>
      </x:c>
      <x:c r="F529" t="n">
        <x:v>5</x:v>
      </x:c>
      <x:c r="G529" t="n">
        <x:v>900</x:v>
      </x:c>
      <x:c r="H529" t="n">
        <x:f>ROUND(F529*G529/100,2)</x:f>
        <x:v>45</x:v>
      </x:c>
      <x:c r="I529" t="n">
        <x:v>0</x:v>
      </x:c>
      <x:c r="J529" t="n">
        <x:f>ROUND(F529*I529/100,2)</x:f>
        <x:v>0</x:v>
      </x:c>
      <x:c r="K529" t="n">
        <x:v>0</x:v>
      </x:c>
      <x:c r="L529" t="n">
        <x:f>ROUND(F529*K529/100,2)</x:f>
        <x:v>0</x:v>
      </x:c>
      <x:c r="M529" t="n">
        <x:v>100</x:v>
      </x:c>
      <x:c r="N529" t="n">
        <x:f>ROUND(F529*M529/100,2)</x:f>
        <x:v>5</x:v>
      </x:c>
      <x:c r="O529" t="str">
        <x:v>实际用油重</x:v>
      </x:c>
    </x:row>
    <x:row r="530" ht="23" customHeight="1">
      <x:c r="A530" t="n">
        <x:v>89</x:v>
      </x:c>
      <x:c r="B530" t="n">
        <x:v>45</x:v>
      </x:c>
      <x:c r="C530" t="str">
        <x:v>午餐</x:v>
      </x:c>
      <x:c r="D530" t="str">
        <x:v>豆蛋</x:v>
      </x:c>
      <x:c r="E530" t="str">
        <x:v>鸡蛋</x:v>
      </x:c>
      <x:c r="F530" t="n">
        <x:v>120</x:v>
      </x:c>
      <x:c r="G530" t="n">
        <x:v>144</x:v>
      </x:c>
      <x:c r="H530" t="n">
        <x:f>ROUND(F530*G530/100,2)</x:f>
        <x:v>172.8</x:v>
      </x:c>
      <x:c r="I530" t="n">
        <x:v>13</x:v>
      </x:c>
      <x:c r="J530" t="n">
        <x:f>ROUND(F530*I530/100,2)</x:f>
        <x:v>15.6</x:v>
      </x:c>
      <x:c r="K530" t="n">
        <x:v>1.1</x:v>
      </x:c>
      <x:c r="L530" t="n">
        <x:f>ROUND(F530*K530/100,2)</x:f>
        <x:v>1.32</x:v>
      </x:c>
      <x:c r="M530" t="n">
        <x:v>10</x:v>
      </x:c>
      <x:c r="N530" t="n">
        <x:f>ROUND(F530*M530/100,2)</x:f>
        <x:v>12</x:v>
      </x:c>
      <x:c r="O530" t="str">
        <x:v>去壳可食重</x:v>
      </x:c>
    </x:row>
    <x:row r="531" ht="23" customHeight="1">
      <x:c r="A531" t="n">
        <x:v>89</x:v>
      </x:c>
      <x:c r="B531" t="n">
        <x:v>45</x:v>
      </x:c>
      <x:c r="C531" t="str">
        <x:v>午餐</x:v>
      </x:c>
      <x:c r="D531" t="str">
        <x:v>海鲜</x:v>
      </x:c>
      <x:c r="E531" t="str">
        <x:v>虾仁</x:v>
      </x:c>
      <x:c r="F531" t="n">
        <x:v>85</x:v>
      </x:c>
      <x:c r="G531" t="n">
        <x:v>90</x:v>
      </x:c>
      <x:c r="H531" t="n">
        <x:f>ROUND(F531*G531/100,2)</x:f>
        <x:v>76.5</x:v>
      </x:c>
      <x:c r="I531" t="n">
        <x:v>19</x:v>
      </x:c>
      <x:c r="J531" t="n">
        <x:f>ROUND(F531*I531/100,2)</x:f>
        <x:v>16.15</x:v>
      </x:c>
      <x:c r="K531" t="n">
        <x:v>0.4</x:v>
      </x:c>
      <x:c r="L531" t="n">
        <x:f>ROUND(F531*K531/100,2)</x:f>
        <x:v>0.34</x:v>
      </x:c>
      <x:c r="M531" t="n">
        <x:v>1.1</x:v>
      </x:c>
      <x:c r="N531" t="n">
        <x:f>ROUND(F531*M531/100,2)</x:f>
        <x:v>0.94</x:v>
      </x:c>
      <x:c r="O531" t="str">
        <x:v>生重</x:v>
      </x:c>
    </x:row>
    <x:row r="532" ht="23" customHeight="1">
      <x:c r="A532" t="n">
        <x:v>89</x:v>
      </x:c>
      <x:c r="B532" t="n">
        <x:v>45</x:v>
      </x:c>
      <x:c r="C532" t="str">
        <x:v>午餐</x:v>
      </x:c>
      <x:c r="D532" t="str">
        <x:v>蔬菜</x:v>
      </x:c>
      <x:c r="E532" t="str">
        <x:v>丝瓜</x:v>
      </x:c>
      <x:c r="F532" t="n">
        <x:v>175</x:v>
      </x:c>
      <x:c r="G532" t="n">
        <x:v>20</x:v>
      </x:c>
      <x:c r="H532" t="n">
        <x:f>ROUND(F532*G532/100,2)</x:f>
        <x:v>35</x:v>
      </x:c>
      <x:c r="I532" t="n">
        <x:v>1</x:v>
      </x:c>
      <x:c r="J532" t="n">
        <x:f>ROUND(F532*I532/100,2)</x:f>
        <x:v>1.75</x:v>
      </x:c>
      <x:c r="K532" t="n">
        <x:v>4</x:v>
      </x:c>
      <x:c r="L532" t="n">
        <x:f>ROUND(F532*K532/100,2)</x:f>
        <x:v>7</x:v>
      </x:c>
      <x:c r="M532" t="n">
        <x:v>0.2</x:v>
      </x:c>
      <x:c r="N532" t="n">
        <x:f>ROUND(F532*M532/100,2)</x:f>
        <x:v>0.35</x:v>
      </x:c>
      <x:c r="O532" t="str">
        <x:v>生重</x:v>
      </x:c>
    </x:row>
    <x:row r="533" ht="23" customHeight="1">
      <x:c r="A533" t="n">
        <x:v>89</x:v>
      </x:c>
      <x:c r="B533" t="n">
        <x:v>45</x:v>
      </x:c>
      <x:c r="C533" t="str">
        <x:v>午餐</x:v>
      </x:c>
      <x:c r="D533" t="str">
        <x:v>蔬菜</x:v>
      </x:c>
      <x:c r="E533" t="str">
        <x:v>洋葱</x:v>
      </x:c>
      <x:c r="F533" t="n">
        <x:v>125</x:v>
      </x:c>
      <x:c r="G533" t="n">
        <x:v>40</x:v>
      </x:c>
      <x:c r="H533" t="n">
        <x:f>ROUND(F533*G533/100,2)</x:f>
        <x:v>50</x:v>
      </x:c>
      <x:c r="I533" t="n">
        <x:v>1.1</x:v>
      </x:c>
      <x:c r="J533" t="n">
        <x:f>ROUND(F533*I533/100,2)</x:f>
        <x:v>1.38</x:v>
      </x:c>
      <x:c r="K533" t="n">
        <x:v>9.3</x:v>
      </x:c>
      <x:c r="L533" t="n">
        <x:f>ROUND(F533*K533/100,2)</x:f>
        <x:v>11.63</x:v>
      </x:c>
      <x:c r="M533" t="n">
        <x:v>0.1</x:v>
      </x:c>
      <x:c r="N533" t="n">
        <x:f>ROUND(F533*M533/100,2)</x:f>
        <x:v>0.13</x:v>
      </x:c>
      <x:c r="O533" t="str">
        <x:v>生重</x:v>
      </x:c>
    </x:row>
    <x:row r="534" ht="23" customHeight="1">
      <x:c r="A534" t="n">
        <x:v>89</x:v>
      </x:c>
      <x:c r="B534" t="n">
        <x:v>45</x:v>
      </x:c>
      <x:c r="C534" t="str">
        <x:v>午餐</x:v>
      </x:c>
      <x:c r="D534" t="str">
        <x:v>主食</x:v>
      </x:c>
      <x:c r="E534" t="str">
        <x:v>紫薯</x:v>
      </x:c>
      <x:c r="F534" t="n">
        <x:v>135</x:v>
      </x:c>
      <x:c r="G534" t="n">
        <x:v>95</x:v>
      </x:c>
      <x:c r="H534" t="n">
        <x:f>ROUND(F534*G534/100,2)</x:f>
        <x:v>128.25</x:v>
      </x:c>
      <x:c r="I534" t="n">
        <x:v>1.6</x:v>
      </x:c>
      <x:c r="J534" t="n">
        <x:f>ROUND(F534*I534/100,2)</x:f>
        <x:v>2.16</x:v>
      </x:c>
      <x:c r="K534" t="n">
        <x:v>22</x:v>
      </x:c>
      <x:c r="L534" t="n">
        <x:f>ROUND(F534*K534/100,2)</x:f>
        <x:v>29.7</x:v>
      </x:c>
      <x:c r="M534" t="n">
        <x:v>0.1</x:v>
      </x:c>
      <x:c r="N534" t="n">
        <x:f>ROUND(F534*M534/100,2)</x:f>
        <x:v>0.14</x:v>
      </x:c>
      <x:c r="O534" t="str">
        <x:v>蒸熟净重</x:v>
      </x:c>
    </x:row>
    <x:row r="535" ht="23" customHeight="1">
      <x:c r="A535" t="n">
        <x:v>89</x:v>
      </x:c>
      <x:c r="B535" t="n">
        <x:v>45</x:v>
      </x:c>
      <x:c r="C535" t="str">
        <x:v>午餐</x:v>
      </x:c>
      <x:c r="D535" t="str">
        <x:v>油脂</x:v>
      </x:c>
      <x:c r="E535" t="str">
        <x:v>烹调油</x:v>
      </x:c>
      <x:c r="F535" t="n">
        <x:v>3</x:v>
      </x:c>
      <x:c r="G535" t="n">
        <x:v>900</x:v>
      </x:c>
      <x:c r="H535" t="n">
        <x:f>ROUND(F535*G535/100,2)</x:f>
        <x:v>27</x:v>
      </x:c>
      <x:c r="I535" t="n">
        <x:v>0</x:v>
      </x:c>
      <x:c r="J535" t="n">
        <x:f>ROUND(F535*I535/100,2)</x:f>
        <x:v>0</x:v>
      </x:c>
      <x:c r="K535" t="n">
        <x:v>0</x:v>
      </x:c>
      <x:c r="L535" t="n">
        <x:f>ROUND(F535*K535/100,2)</x:f>
        <x:v>0</x:v>
      </x:c>
      <x:c r="M535" t="n">
        <x:v>100</x:v>
      </x:c>
      <x:c r="N535" t="n">
        <x:f>ROUND(F535*M535/100,2)</x:f>
        <x:v>3</x:v>
      </x:c>
      <x:c r="O535" t="str">
        <x:v>实际用油重</x:v>
      </x:c>
    </x:row>
    <x:row r="536" ht="23" customHeight="1">
      <x:c r="A536" t="n">
        <x:v>90</x:v>
      </x:c>
      <x:c r="B536" t="n">
        <x:v>45</x:v>
      </x:c>
      <x:c r="C536" t="str">
        <x:v>晚餐</x:v>
      </x:c>
      <x:c r="D536" t="str">
        <x:v>豆蛋</x:v>
      </x:c>
      <x:c r="E536" t="str">
        <x:v>嫩豆腐</x:v>
      </x:c>
      <x:c r="F536" t="n">
        <x:v>260</x:v>
      </x:c>
      <x:c r="G536" t="n">
        <x:v>55</x:v>
      </x:c>
      <x:c r="H536" t="n">
        <x:f>ROUND(F536*G536/100,2)</x:f>
        <x:v>143</x:v>
      </x:c>
      <x:c r="I536" t="n">
        <x:v>5</x:v>
      </x:c>
      <x:c r="J536" t="n">
        <x:f>ROUND(F536*I536/100,2)</x:f>
        <x:v>13</x:v>
      </x:c>
      <x:c r="K536" t="n">
        <x:v>2</x:v>
      </x:c>
      <x:c r="L536" t="n">
        <x:f>ROUND(F536*K536/100,2)</x:f>
        <x:v>5.2</x:v>
      </x:c>
      <x:c r="M536" t="n">
        <x:v>2.8</x:v>
      </x:c>
      <x:c r="N536" t="n">
        <x:f>ROUND(F536*M536/100,2)</x:f>
        <x:v>7.28</x:v>
      </x:c>
      <x:c r="O536" t="str">
        <x:v>净重</x:v>
      </x:c>
    </x:row>
    <x:row r="537" ht="23" customHeight="1">
      <x:c r="A537" t="n">
        <x:v>90</x:v>
      </x:c>
      <x:c r="B537" t="n">
        <x:v>45</x:v>
      </x:c>
      <x:c r="C537" t="str">
        <x:v>晚餐</x:v>
      </x:c>
      <x:c r="D537" t="str">
        <x:v>豆蛋</x:v>
      </x:c>
      <x:c r="E537" t="str">
        <x:v>鸡蛋</x:v>
      </x:c>
      <x:c r="F537" t="n">
        <x:v>85</x:v>
      </x:c>
      <x:c r="G537" t="n">
        <x:v>144</x:v>
      </x:c>
      <x:c r="H537" t="n">
        <x:f>ROUND(F537*G537/100,2)</x:f>
        <x:v>122.4</x:v>
      </x:c>
      <x:c r="I537" t="n">
        <x:v>13</x:v>
      </x:c>
      <x:c r="J537" t="n">
        <x:f>ROUND(F537*I537/100,2)</x:f>
        <x:v>11.05</x:v>
      </x:c>
      <x:c r="K537" t="n">
        <x:v>1.1</x:v>
      </x:c>
      <x:c r="L537" t="n">
        <x:f>ROUND(F537*K537/100,2)</x:f>
        <x:v>0.94</x:v>
      </x:c>
      <x:c r="M537" t="n">
        <x:v>10</x:v>
      </x:c>
      <x:c r="N537" t="n">
        <x:f>ROUND(F537*M537/100,2)</x:f>
        <x:v>8.5</x:v>
      </x:c>
      <x:c r="O537" t="str">
        <x:v>去壳可食重</x:v>
      </x:c>
    </x:row>
    <x:row r="538" ht="23" customHeight="1">
      <x:c r="A538" t="n">
        <x:v>90</x:v>
      </x:c>
      <x:c r="B538" t="n">
        <x:v>45</x:v>
      </x:c>
      <x:c r="C538" t="str">
        <x:v>晚餐</x:v>
      </x:c>
      <x:c r="D538" t="str">
        <x:v>蔬菜</x:v>
      </x:c>
      <x:c r="E538" t="str">
        <x:v>荷兰豆</x:v>
      </x:c>
      <x:c r="F538" t="n">
        <x:v>140</x:v>
      </x:c>
      <x:c r="G538" t="n">
        <x:v>42</x:v>
      </x:c>
      <x:c r="H538" t="n">
        <x:f>ROUND(F538*G538/100,2)</x:f>
        <x:v>58.8</x:v>
      </x:c>
      <x:c r="I538" t="n">
        <x:v>2.8</x:v>
      </x:c>
      <x:c r="J538" t="n">
        <x:f>ROUND(F538*I538/100,2)</x:f>
        <x:v>3.92</x:v>
      </x:c>
      <x:c r="K538" t="n">
        <x:v>7.5</x:v>
      </x:c>
      <x:c r="L538" t="n">
        <x:f>ROUND(F538*K538/100,2)</x:f>
        <x:v>10.5</x:v>
      </x:c>
      <x:c r="M538" t="n">
        <x:v>0.3</x:v>
      </x:c>
      <x:c r="N538" t="n">
        <x:f>ROUND(F538*M538/100,2)</x:f>
        <x:v>0.42</x:v>
      </x:c>
      <x:c r="O538" t="str">
        <x:v>生重</x:v>
      </x:c>
    </x:row>
    <x:row r="539" ht="23" customHeight="1">
      <x:c r="A539" t="n">
        <x:v>90</x:v>
      </x:c>
      <x:c r="B539" t="n">
        <x:v>45</x:v>
      </x:c>
      <x:c r="C539" t="str">
        <x:v>晚餐</x:v>
      </x:c>
      <x:c r="D539" t="str">
        <x:v>蔬菜</x:v>
      </x:c>
      <x:c r="E539" t="str">
        <x:v>番茄</x:v>
      </x:c>
      <x:c r="F539" t="n">
        <x:v>155</x:v>
      </x:c>
      <x:c r="G539" t="n">
        <x:v>20</x:v>
      </x:c>
      <x:c r="H539" t="n">
        <x:f>ROUND(F539*G539/100,2)</x:f>
        <x:v>31</x:v>
      </x:c>
      <x:c r="I539" t="n">
        <x:v>0.9</x:v>
      </x:c>
      <x:c r="J539" t="n">
        <x:f>ROUND(F539*I539/100,2)</x:f>
        <x:v>1.4</x:v>
      </x:c>
      <x:c r="K539" t="n">
        <x:v>4</x:v>
      </x:c>
      <x:c r="L539" t="n">
        <x:f>ROUND(F539*K539/100,2)</x:f>
        <x:v>6.2</x:v>
      </x:c>
      <x:c r="M539" t="n">
        <x:v>0.2</x:v>
      </x:c>
      <x:c r="N539" t="n">
        <x:f>ROUND(F539*M539/100,2)</x:f>
        <x:v>0.31</x:v>
      </x:c>
      <x:c r="O539" t="str">
        <x:v>生重</x:v>
      </x:c>
    </x:row>
    <x:row r="540" ht="23" customHeight="1">
      <x:c r="A540" t="n">
        <x:v>90</x:v>
      </x:c>
      <x:c r="B540" t="n">
        <x:v>45</x:v>
      </x:c>
      <x:c r="C540" t="str">
        <x:v>晚餐</x:v>
      </x:c>
      <x:c r="D540" t="str">
        <x:v>主食</x:v>
      </x:c>
      <x:c r="E540" t="str">
        <x:v>乌冬面</x:v>
      </x:c>
      <x:c r="F540" t="n">
        <x:v>80</x:v>
      </x:c>
      <x:c r="G540" t="n">
        <x:v>120</x:v>
      </x:c>
      <x:c r="H540" t="n">
        <x:f>ROUND(F540*G540/100,2)</x:f>
        <x:v>96</x:v>
      </x:c>
      <x:c r="I540" t="n">
        <x:v>2.5</x:v>
      </x:c>
      <x:c r="J540" t="n">
        <x:f>ROUND(F540*I540/100,2)</x:f>
        <x:v>2</x:v>
      </x:c>
      <x:c r="K540" t="n">
        <x:v>25</x:v>
      </x:c>
      <x:c r="L540" t="n">
        <x:f>ROUND(F540*K540/100,2)</x:f>
        <x:v>20</x:v>
      </x:c>
      <x:c r="M540" t="n">
        <x:v>0.6</x:v>
      </x:c>
      <x:c r="N540" t="n">
        <x:f>ROUND(F540*M540/100,2)</x:f>
        <x:v>0.48</x:v>
      </x:c>
      <x:c r="O540" t="str">
        <x:v>煮熟沥水重</x:v>
      </x:c>
    </x:row>
    <x:row r="541" ht="23" customHeight="1">
      <x:c r="A541" t="n">
        <x:v>90</x:v>
      </x:c>
      <x:c r="B541" t="n">
        <x:v>45</x:v>
      </x:c>
      <x:c r="C541" t="str">
        <x:v>晚餐</x:v>
      </x:c>
      <x:c r="D541" t="str">
        <x:v>油脂</x:v>
      </x:c>
      <x:c r="E541" t="str">
        <x:v>烹调油</x:v>
      </x:c>
      <x:c r="F541" t="n">
        <x:v>5</x:v>
      </x:c>
      <x:c r="G541" t="n">
        <x:v>900</x:v>
      </x:c>
      <x:c r="H541" t="n">
        <x:f>ROUND(F541*G541/100,2)</x:f>
        <x:v>45</x:v>
      </x:c>
      <x:c r="I541" t="n">
        <x:v>0</x:v>
      </x:c>
      <x:c r="J541" t="n">
        <x:f>ROUND(F541*I541/100,2)</x:f>
        <x:v>0</x:v>
      </x:c>
      <x:c r="K541" t="n">
        <x:v>0</x:v>
      </x:c>
      <x:c r="L541" t="n">
        <x:f>ROUND(F541*K541/100,2)</x:f>
        <x:v>0</x:v>
      </x:c>
      <x:c r="M541" t="n">
        <x:v>100</x:v>
      </x:c>
      <x:c r="N541" t="n">
        <x:f>ROUND(F541*M541/100,2)</x:f>
        <x:v>5</x:v>
      </x:c>
      <x:c r="O541" t="str">
        <x:v>实际用油重</x:v>
      </x:c>
    </x:row>
    <x:row r="542" ht="23" customHeight="1">
      <x:c r="A542" t="n">
        <x:v>91</x:v>
      </x:c>
      <x:c r="B542" t="n">
        <x:v>46</x:v>
      </x:c>
      <x:c r="C542" t="str">
        <x:v>午餐</x:v>
      </x:c>
      <x:c r="D542" t="str">
        <x:v>禽肉</x:v>
      </x:c>
      <x:c r="E542" t="str">
        <x:v>去皮鸡腿肉</x:v>
      </x:c>
      <x:c r="F542" t="n">
        <x:v>165</x:v>
      </x:c>
      <x:c r="G542" t="n">
        <x:v>125</x:v>
      </x:c>
      <x:c r="H542" t="n">
        <x:f>ROUND(F542*G542/100,2)</x:f>
        <x:v>206.25</x:v>
      </x:c>
      <x:c r="I542" t="n">
        <x:v>20</x:v>
      </x:c>
      <x:c r="J542" t="n">
        <x:f>ROUND(F542*I542/100,2)</x:f>
        <x:v>33</x:v>
      </x:c>
      <x:c r="K542" t="n">
        <x:v>0</x:v>
      </x:c>
      <x:c r="L542" t="n">
        <x:f>ROUND(F542*K542/100,2)</x:f>
        <x:v>0</x:v>
      </x:c>
      <x:c r="M542" t="n">
        <x:v>5</x:v>
      </x:c>
      <x:c r="N542" t="n">
        <x:f>ROUND(F542*M542/100,2)</x:f>
        <x:v>8.25</x:v>
      </x:c>
      <x:c r="O542" t="str">
        <x:v>生重</x:v>
      </x:c>
    </x:row>
    <x:row r="543" ht="23" customHeight="1">
      <x:c r="A543" t="n">
        <x:v>91</x:v>
      </x:c>
      <x:c r="B543" t="n">
        <x:v>46</x:v>
      </x:c>
      <x:c r="C543" t="str">
        <x:v>午餐</x:v>
      </x:c>
      <x:c r="D543" t="str"/>
      <x:c r="E543" t="str"/>
      <x:c r="F543" t="n">
        <x:v>0</x:v>
      </x:c>
      <x:c r="G543" t="n">
        <x:v>0</x:v>
      </x:c>
      <x:c r="H543" t="n">
        <x:f>ROUND(F543*G543/100,2)</x:f>
        <x:v>0</x:v>
      </x:c>
      <x:c r="I543" t="n">
        <x:v>0</x:v>
      </x:c>
      <x:c r="J543" t="n">
        <x:f>ROUND(F543*I543/100,2)</x:f>
        <x:v>0</x:v>
      </x:c>
      <x:c r="K543" t="n">
        <x:v>0</x:v>
      </x:c>
      <x:c r="L543" t="n">
        <x:f>ROUND(F543*K543/100,2)</x:f>
        <x:v>0</x:v>
      </x:c>
      <x:c r="M543" t="n">
        <x:v>0</x:v>
      </x:c>
      <x:c r="N543" t="n">
        <x:f>ROUND(F543*M543/100,2)</x:f>
        <x:v>0</x:v>
      </x:c>
      <x:c r="O543" t="str"/>
    </x:row>
    <x:row r="544" ht="23" customHeight="1">
      <x:c r="A544" t="n">
        <x:v>91</x:v>
      </x:c>
      <x:c r="B544" t="n">
        <x:v>46</x:v>
      </x:c>
      <x:c r="C544" t="str">
        <x:v>午餐</x:v>
      </x:c>
      <x:c r="D544" t="str">
        <x:v>蔬菜</x:v>
      </x:c>
      <x:c r="E544" t="str">
        <x:v>娃娃菜</x:v>
      </x:c>
      <x:c r="F544" t="n">
        <x:v>190</x:v>
      </x:c>
      <x:c r="G544" t="n">
        <x:v>17</x:v>
      </x:c>
      <x:c r="H544" t="n">
        <x:f>ROUND(F544*G544/100,2)</x:f>
        <x:v>32.3</x:v>
      </x:c>
      <x:c r="I544" t="n">
        <x:v>1.3</x:v>
      </x:c>
      <x:c r="J544" t="n">
        <x:f>ROUND(F544*I544/100,2)</x:f>
        <x:v>2.47</x:v>
      </x:c>
      <x:c r="K544" t="n">
        <x:v>3</x:v>
      </x:c>
      <x:c r="L544" t="n">
        <x:f>ROUND(F544*K544/100,2)</x:f>
        <x:v>5.7</x:v>
      </x:c>
      <x:c r="M544" t="n">
        <x:v>0.2</x:v>
      </x:c>
      <x:c r="N544" t="n">
        <x:f>ROUND(F544*M544/100,2)</x:f>
        <x:v>0.38</x:v>
      </x:c>
      <x:c r="O544" t="str">
        <x:v>生重</x:v>
      </x:c>
    </x:row>
    <x:row r="545" ht="23" customHeight="1">
      <x:c r="A545" t="n">
        <x:v>91</x:v>
      </x:c>
      <x:c r="B545" t="n">
        <x:v>46</x:v>
      </x:c>
      <x:c r="C545" t="str">
        <x:v>午餐</x:v>
      </x:c>
      <x:c r="D545" t="str">
        <x:v>蔬菜</x:v>
      </x:c>
      <x:c r="E545" t="str">
        <x:v>绿豆芽</x:v>
      </x:c>
      <x:c r="F545" t="n">
        <x:v>140</x:v>
      </x:c>
      <x:c r="G545" t="n">
        <x:v>31</x:v>
      </x:c>
      <x:c r="H545" t="n">
        <x:f>ROUND(F545*G545/100,2)</x:f>
        <x:v>43.4</x:v>
      </x:c>
      <x:c r="I545" t="n">
        <x:v>3</x:v>
      </x:c>
      <x:c r="J545" t="n">
        <x:f>ROUND(F545*I545/100,2)</x:f>
        <x:v>4.2</x:v>
      </x:c>
      <x:c r="K545" t="n">
        <x:v>6</x:v>
      </x:c>
      <x:c r="L545" t="n">
        <x:f>ROUND(F545*K545/100,2)</x:f>
        <x:v>8.4</x:v>
      </x:c>
      <x:c r="M545" t="n">
        <x:v>0.2</x:v>
      </x:c>
      <x:c r="N545" t="n">
        <x:f>ROUND(F545*M545/100,2)</x:f>
        <x:v>0.28</x:v>
      </x:c>
      <x:c r="O545" t="str">
        <x:v>生重</x:v>
      </x:c>
    </x:row>
    <x:row r="546" ht="23" customHeight="1">
      <x:c r="A546" t="n">
        <x:v>91</x:v>
      </x:c>
      <x:c r="B546" t="n">
        <x:v>46</x:v>
      </x:c>
      <x:c r="C546" t="str">
        <x:v>午餐</x:v>
      </x:c>
      <x:c r="D546" t="str">
        <x:v>主食</x:v>
      </x:c>
      <x:c r="E546" t="str">
        <x:v>荞麦饭</x:v>
      </x:c>
      <x:c r="F546" t="n">
        <x:v>150</x:v>
      </x:c>
      <x:c r="G546" t="n">
        <x:v>110</x:v>
      </x:c>
      <x:c r="H546" t="n">
        <x:f>ROUND(F546*G546/100,2)</x:f>
        <x:v>165</x:v>
      </x:c>
      <x:c r="I546" t="n">
        <x:v>3.4</x:v>
      </x:c>
      <x:c r="J546" t="n">
        <x:f>ROUND(F546*I546/100,2)</x:f>
        <x:v>5.1</x:v>
      </x:c>
      <x:c r="K546" t="n">
        <x:v>22</x:v>
      </x:c>
      <x:c r="L546" t="n">
        <x:f>ROUND(F546*K546/100,2)</x:f>
        <x:v>33</x:v>
      </x:c>
      <x:c r="M546" t="n">
        <x:v>1.1</x:v>
      </x:c>
      <x:c r="N546" t="n">
        <x:f>ROUND(F546*M546/100,2)</x:f>
        <x:v>1.65</x:v>
      </x:c>
      <x:c r="O546" t="str">
        <x:v>熟重</x:v>
      </x:c>
    </x:row>
    <x:row r="547" ht="23" customHeight="1">
      <x:c r="A547" t="n">
        <x:v>91</x:v>
      </x:c>
      <x:c r="B547" t="n">
        <x:v>46</x:v>
      </x:c>
      <x:c r="C547" t="str">
        <x:v>午餐</x:v>
      </x:c>
      <x:c r="D547" t="str">
        <x:v>油脂</x:v>
      </x:c>
      <x:c r="E547" t="str">
        <x:v>烹调油</x:v>
      </x:c>
      <x:c r="F547" t="n">
        <x:v>3</x:v>
      </x:c>
      <x:c r="G547" t="n">
        <x:v>900</x:v>
      </x:c>
      <x:c r="H547" t="n">
        <x:f>ROUND(F547*G547/100,2)</x:f>
        <x:v>27</x:v>
      </x:c>
      <x:c r="I547" t="n">
        <x:v>0</x:v>
      </x:c>
      <x:c r="J547" t="n">
        <x:f>ROUND(F547*I547/100,2)</x:f>
        <x:v>0</x:v>
      </x:c>
      <x:c r="K547" t="n">
        <x:v>0</x:v>
      </x:c>
      <x:c r="L547" t="n">
        <x:f>ROUND(F547*K547/100,2)</x:f>
        <x:v>0</x:v>
      </x:c>
      <x:c r="M547" t="n">
        <x:v>100</x:v>
      </x:c>
      <x:c r="N547" t="n">
        <x:f>ROUND(F547*M547/100,2)</x:f>
        <x:v>3</x:v>
      </x:c>
      <x:c r="O547" t="str">
        <x:v>实际用油重</x:v>
      </x:c>
    </x:row>
    <x:row r="548" ht="23" customHeight="1">
      <x:c r="A548" t="n">
        <x:v>92</x:v>
      </x:c>
      <x:c r="B548" t="n">
        <x:v>46</x:v>
      </x:c>
      <x:c r="C548" t="str">
        <x:v>晚餐</x:v>
      </x:c>
      <x:c r="D548" t="str">
        <x:v>鱼类</x:v>
      </x:c>
      <x:c r="E548" t="str">
        <x:v>鲈鱼</x:v>
      </x:c>
      <x:c r="F548" t="n">
        <x:v>215</x:v>
      </x:c>
      <x:c r="G548" t="n">
        <x:v>105</x:v>
      </x:c>
      <x:c r="H548" t="n">
        <x:f>ROUND(F548*G548/100,2)</x:f>
        <x:v>225.75</x:v>
      </x:c>
      <x:c r="I548" t="n">
        <x:v>19</x:v>
      </x:c>
      <x:c r="J548" t="n">
        <x:f>ROUND(F548*I548/100,2)</x:f>
        <x:v>40.85</x:v>
      </x:c>
      <x:c r="K548" t="n">
        <x:v>0</x:v>
      </x:c>
      <x:c r="L548" t="n">
        <x:f>ROUND(F548*K548/100,2)</x:f>
        <x:v>0</x:v>
      </x:c>
      <x:c r="M548" t="n">
        <x:v>3</x:v>
      </x:c>
      <x:c r="N548" t="n">
        <x:f>ROUND(F548*M548/100,2)</x:f>
        <x:v>6.45</x:v>
      </x:c>
      <x:c r="O548" t="str">
        <x:v>净鱼肉生重</x:v>
      </x:c>
    </x:row>
    <x:row r="549" ht="23" customHeight="1">
      <x:c r="A549" t="n">
        <x:v>92</x:v>
      </x:c>
      <x:c r="B549" t="n">
        <x:v>46</x:v>
      </x:c>
      <x:c r="C549" t="str">
        <x:v>晚餐</x:v>
      </x:c>
      <x:c r="D549" t="str"/>
      <x:c r="E549" t="str"/>
      <x:c r="F549" t="n">
        <x:v>0</x:v>
      </x:c>
      <x:c r="G549" t="n">
        <x:v>0</x:v>
      </x:c>
      <x:c r="H549" t="n">
        <x:f>ROUND(F549*G549/100,2)</x:f>
        <x:v>0</x:v>
      </x:c>
      <x:c r="I549" t="n">
        <x:v>0</x:v>
      </x:c>
      <x:c r="J549" t="n">
        <x:f>ROUND(F549*I549/100,2)</x:f>
        <x:v>0</x:v>
      </x:c>
      <x:c r="K549" t="n">
        <x:v>0</x:v>
      </x:c>
      <x:c r="L549" t="n">
        <x:f>ROUND(F549*K549/100,2)</x:f>
        <x:v>0</x:v>
      </x:c>
      <x:c r="M549" t="n">
        <x:v>0</x:v>
      </x:c>
      <x:c r="N549" t="n">
        <x:f>ROUND(F549*M549/100,2)</x:f>
        <x:v>0</x:v>
      </x:c>
      <x:c r="O549" t="str"/>
    </x:row>
    <x:row r="550" ht="23" customHeight="1">
      <x:c r="A550" t="n">
        <x:v>92</x:v>
      </x:c>
      <x:c r="B550" t="n">
        <x:v>46</x:v>
      </x:c>
      <x:c r="C550" t="str">
        <x:v>晚餐</x:v>
      </x:c>
      <x:c r="D550" t="str">
        <x:v>蔬菜</x:v>
      </x:c>
      <x:c r="E550" t="str">
        <x:v>紫甘蓝</x:v>
      </x:c>
      <x:c r="F550" t="n">
        <x:v>140</x:v>
      </x:c>
      <x:c r="G550" t="n">
        <x:v>31</x:v>
      </x:c>
      <x:c r="H550" t="n">
        <x:f>ROUND(F550*G550/100,2)</x:f>
        <x:v>43.4</x:v>
      </x:c>
      <x:c r="I550" t="n">
        <x:v>1.4</x:v>
      </x:c>
      <x:c r="J550" t="n">
        <x:f>ROUND(F550*I550/100,2)</x:f>
        <x:v>1.96</x:v>
      </x:c>
      <x:c r="K550" t="n">
        <x:v>7.3</x:v>
      </x:c>
      <x:c r="L550" t="n">
        <x:f>ROUND(F550*K550/100,2)</x:f>
        <x:v>10.22</x:v>
      </x:c>
      <x:c r="M550" t="n">
        <x:v>0.1</x:v>
      </x:c>
      <x:c r="N550" t="n">
        <x:f>ROUND(F550*M550/100,2)</x:f>
        <x:v>0.14</x:v>
      </x:c>
      <x:c r="O550" t="str">
        <x:v>生重</x:v>
      </x:c>
    </x:row>
    <x:row r="551" ht="23" customHeight="1">
      <x:c r="A551" t="n">
        <x:v>92</x:v>
      </x:c>
      <x:c r="B551" t="n">
        <x:v>46</x:v>
      </x:c>
      <x:c r="C551" t="str">
        <x:v>晚餐</x:v>
      </x:c>
      <x:c r="D551" t="str">
        <x:v>蔬菜</x:v>
      </x:c>
      <x:c r="E551" t="str">
        <x:v>彩椒</x:v>
      </x:c>
      <x:c r="F551" t="n">
        <x:v>125</x:v>
      </x:c>
      <x:c r="G551" t="n">
        <x:v>27</x:v>
      </x:c>
      <x:c r="H551" t="n">
        <x:f>ROUND(F551*G551/100,2)</x:f>
        <x:v>33.75</x:v>
      </x:c>
      <x:c r="I551" t="n">
        <x:v>1</x:v>
      </x:c>
      <x:c r="J551" t="n">
        <x:f>ROUND(F551*I551/100,2)</x:f>
        <x:v>1.25</x:v>
      </x:c>
      <x:c r="K551" t="n">
        <x:v>6.1</x:v>
      </x:c>
      <x:c r="L551" t="n">
        <x:f>ROUND(F551*K551/100,2)</x:f>
        <x:v>7.63</x:v>
      </x:c>
      <x:c r="M551" t="n">
        <x:v>0.2</x:v>
      </x:c>
      <x:c r="N551" t="n">
        <x:f>ROUND(F551*M551/100,2)</x:f>
        <x:v>0.25</x:v>
      </x:c>
      <x:c r="O551" t="str">
        <x:v>生重</x:v>
      </x:c>
    </x:row>
    <x:row r="552" ht="23" customHeight="1">
      <x:c r="A552" t="n">
        <x:v>92</x:v>
      </x:c>
      <x:c r="B552" t="n">
        <x:v>46</x:v>
      </x:c>
      <x:c r="C552" t="str">
        <x:v>晚餐</x:v>
      </x:c>
      <x:c r="D552" t="str">
        <x:v>主食</x:v>
      </x:c>
      <x:c r="E552" t="str">
        <x:v>荞麦面</x:v>
      </x:c>
      <x:c r="F552" t="n">
        <x:v>80</x:v>
      </x:c>
      <x:c r="G552" t="n">
        <x:v>105</x:v>
      </x:c>
      <x:c r="H552" t="n">
        <x:f>ROUND(F552*G552/100,2)</x:f>
        <x:v>84</x:v>
      </x:c>
      <x:c r="I552" t="n">
        <x:v>4</x:v>
      </x:c>
      <x:c r="J552" t="n">
        <x:f>ROUND(F552*I552/100,2)</x:f>
        <x:v>3.2</x:v>
      </x:c>
      <x:c r="K552" t="n">
        <x:v>21</x:v>
      </x:c>
      <x:c r="L552" t="n">
        <x:f>ROUND(F552*K552/100,2)</x:f>
        <x:v>16.8</x:v>
      </x:c>
      <x:c r="M552" t="n">
        <x:v>0.7</x:v>
      </x:c>
      <x:c r="N552" t="n">
        <x:f>ROUND(F552*M552/100,2)</x:f>
        <x:v>0.56</x:v>
      </x:c>
      <x:c r="O552" t="str">
        <x:v>煮熟沥水重</x:v>
      </x:c>
    </x:row>
    <x:row r="553" ht="23" customHeight="1">
      <x:c r="A553" t="n">
        <x:v>92</x:v>
      </x:c>
      <x:c r="B553" t="n">
        <x:v>46</x:v>
      </x:c>
      <x:c r="C553" t="str">
        <x:v>晚餐</x:v>
      </x:c>
      <x:c r="D553" t="str">
        <x:v>油脂</x:v>
      </x:c>
      <x:c r="E553" t="str">
        <x:v>烹调油</x:v>
      </x:c>
      <x:c r="F553" t="n">
        <x:v>5</x:v>
      </x:c>
      <x:c r="G553" t="n">
        <x:v>900</x:v>
      </x:c>
      <x:c r="H553" t="n">
        <x:f>ROUND(F553*G553/100,2)</x:f>
        <x:v>45</x:v>
      </x:c>
      <x:c r="I553" t="n">
        <x:v>0</x:v>
      </x:c>
      <x:c r="J553" t="n">
        <x:f>ROUND(F553*I553/100,2)</x:f>
        <x:v>0</x:v>
      </x:c>
      <x:c r="K553" t="n">
        <x:v>0</x:v>
      </x:c>
      <x:c r="L553" t="n">
        <x:f>ROUND(F553*K553/100,2)</x:f>
        <x:v>0</x:v>
      </x:c>
      <x:c r="M553" t="n">
        <x:v>100</x:v>
      </x:c>
      <x:c r="N553" t="n">
        <x:f>ROUND(F553*M553/100,2)</x:f>
        <x:v>5</x:v>
      </x:c>
      <x:c r="O553" t="str">
        <x:v>实际用油重</x:v>
      </x:c>
    </x:row>
    <x:row r="554" ht="23" customHeight="1">
      <x:c r="A554" t="n">
        <x:v>93</x:v>
      </x:c>
      <x:c r="B554" t="n">
        <x:v>47</x:v>
      </x:c>
      <x:c r="C554" t="str">
        <x:v>午餐</x:v>
      </x:c>
      <x:c r="D554" t="str">
        <x:v>牛肉</x:v>
      </x:c>
      <x:c r="E554" t="str">
        <x:v>瘦牛肉</x:v>
      </x:c>
      <x:c r="F554" t="n">
        <x:v>155</x:v>
      </x:c>
      <x:c r="G554" t="n">
        <x:v>125</x:v>
      </x:c>
      <x:c r="H554" t="n">
        <x:f>ROUND(F554*G554/100,2)</x:f>
        <x:v>193.75</x:v>
      </x:c>
      <x:c r="I554" t="n">
        <x:v>21</x:v>
      </x:c>
      <x:c r="J554" t="n">
        <x:f>ROUND(F554*I554/100,2)</x:f>
        <x:v>32.55</x:v>
      </x:c>
      <x:c r="K554" t="n">
        <x:v>0</x:v>
      </x:c>
      <x:c r="L554" t="n">
        <x:f>ROUND(F554*K554/100,2)</x:f>
        <x:v>0</x:v>
      </x:c>
      <x:c r="M554" t="n">
        <x:v>4</x:v>
      </x:c>
      <x:c r="N554" t="n">
        <x:f>ROUND(F554*M554/100,2)</x:f>
        <x:v>6.2</x:v>
      </x:c>
      <x:c r="O554" t="str">
        <x:v>生重</x:v>
      </x:c>
    </x:row>
    <x:row r="555" ht="23" customHeight="1">
      <x:c r="A555" t="n">
        <x:v>93</x:v>
      </x:c>
      <x:c r="B555" t="n">
        <x:v>47</x:v>
      </x:c>
      <x:c r="C555" t="str">
        <x:v>午餐</x:v>
      </x:c>
      <x:c r="D555" t="str"/>
      <x:c r="E555" t="str"/>
      <x:c r="F555" t="n">
        <x:v>0</x:v>
      </x:c>
      <x:c r="G555" t="n">
        <x:v>0</x:v>
      </x:c>
      <x:c r="H555" t="n">
        <x:f>ROUND(F555*G555/100,2)</x:f>
        <x:v>0</x:v>
      </x:c>
      <x:c r="I555" t="n">
        <x:v>0</x:v>
      </x:c>
      <x:c r="J555" t="n">
        <x:f>ROUND(F555*I555/100,2)</x:f>
        <x:v>0</x:v>
      </x:c>
      <x:c r="K555" t="n">
        <x:v>0</x:v>
      </x:c>
      <x:c r="L555" t="n">
        <x:f>ROUND(F555*K555/100,2)</x:f>
        <x:v>0</x:v>
      </x:c>
      <x:c r="M555" t="n">
        <x:v>0</x:v>
      </x:c>
      <x:c r="N555" t="n">
        <x:f>ROUND(F555*M555/100,2)</x:f>
        <x:v>0</x:v>
      </x:c>
      <x:c r="O555" t="str"/>
    </x:row>
    <x:row r="556" ht="23" customHeight="1">
      <x:c r="A556" t="n">
        <x:v>93</x:v>
      </x:c>
      <x:c r="B556" t="n">
        <x:v>47</x:v>
      </x:c>
      <x:c r="C556" t="str">
        <x:v>午餐</x:v>
      </x:c>
      <x:c r="D556" t="str">
        <x:v>蔬菜</x:v>
      </x:c>
      <x:c r="E556" t="str">
        <x:v>娃娃菜</x:v>
      </x:c>
      <x:c r="F556" t="n">
        <x:v>190</x:v>
      </x:c>
      <x:c r="G556" t="n">
        <x:v>17</x:v>
      </x:c>
      <x:c r="H556" t="n">
        <x:f>ROUND(F556*G556/100,2)</x:f>
        <x:v>32.3</x:v>
      </x:c>
      <x:c r="I556" t="n">
        <x:v>1.3</x:v>
      </x:c>
      <x:c r="J556" t="n">
        <x:f>ROUND(F556*I556/100,2)</x:f>
        <x:v>2.47</x:v>
      </x:c>
      <x:c r="K556" t="n">
        <x:v>3</x:v>
      </x:c>
      <x:c r="L556" t="n">
        <x:f>ROUND(F556*K556/100,2)</x:f>
        <x:v>5.7</x:v>
      </x:c>
      <x:c r="M556" t="n">
        <x:v>0.2</x:v>
      </x:c>
      <x:c r="N556" t="n">
        <x:f>ROUND(F556*M556/100,2)</x:f>
        <x:v>0.38</x:v>
      </x:c>
      <x:c r="O556" t="str">
        <x:v>生重</x:v>
      </x:c>
    </x:row>
    <x:row r="557" ht="23" customHeight="1">
      <x:c r="A557" t="n">
        <x:v>93</x:v>
      </x:c>
      <x:c r="B557" t="n">
        <x:v>47</x:v>
      </x:c>
      <x:c r="C557" t="str">
        <x:v>午餐</x:v>
      </x:c>
      <x:c r="D557" t="str">
        <x:v>蔬菜</x:v>
      </x:c>
      <x:c r="E557" t="str">
        <x:v>丝瓜</x:v>
      </x:c>
      <x:c r="F557" t="n">
        <x:v>140</x:v>
      </x:c>
      <x:c r="G557" t="n">
        <x:v>20</x:v>
      </x:c>
      <x:c r="H557" t="n">
        <x:f>ROUND(F557*G557/100,2)</x:f>
        <x:v>28</x:v>
      </x:c>
      <x:c r="I557" t="n">
        <x:v>1</x:v>
      </x:c>
      <x:c r="J557" t="n">
        <x:f>ROUND(F557*I557/100,2)</x:f>
        <x:v>1.4</x:v>
      </x:c>
      <x:c r="K557" t="n">
        <x:v>4</x:v>
      </x:c>
      <x:c r="L557" t="n">
        <x:f>ROUND(F557*K557/100,2)</x:f>
        <x:v>5.6</x:v>
      </x:c>
      <x:c r="M557" t="n">
        <x:v>0.2</x:v>
      </x:c>
      <x:c r="N557" t="n">
        <x:f>ROUND(F557*M557/100,2)</x:f>
        <x:v>0.28</x:v>
      </x:c>
      <x:c r="O557" t="str">
        <x:v>生重</x:v>
      </x:c>
    </x:row>
    <x:row r="558" ht="23" customHeight="1">
      <x:c r="A558" t="n">
        <x:v>93</x:v>
      </x:c>
      <x:c r="B558" t="n">
        <x:v>47</x:v>
      </x:c>
      <x:c r="C558" t="str">
        <x:v>午餐</x:v>
      </x:c>
      <x:c r="D558" t="str">
        <x:v>主食</x:v>
      </x:c>
      <x:c r="E558" t="str">
        <x:v>山药</x:v>
      </x:c>
      <x:c r="F558" t="n">
        <x:v>140</x:v>
      </x:c>
      <x:c r="G558" t="n">
        <x:v>62</x:v>
      </x:c>
      <x:c r="H558" t="n">
        <x:f>ROUND(F558*G558/100,2)</x:f>
        <x:v>86.8</x:v>
      </x:c>
      <x:c r="I558" t="n">
        <x:v>1.5</x:v>
      </x:c>
      <x:c r="J558" t="n">
        <x:f>ROUND(F558*I558/100,2)</x:f>
        <x:v>2.1</x:v>
      </x:c>
      <x:c r="K558" t="n">
        <x:v>14.1</x:v>
      </x:c>
      <x:c r="L558" t="n">
        <x:f>ROUND(F558*K558/100,2)</x:f>
        <x:v>19.74</x:v>
      </x:c>
      <x:c r="M558" t="n">
        <x:v>0.1</x:v>
      </x:c>
      <x:c r="N558" t="n">
        <x:f>ROUND(F558*M558/100,2)</x:f>
        <x:v>0.14</x:v>
      </x:c>
      <x:c r="O558" t="str">
        <x:v>蒸熟净重</x:v>
      </x:c>
    </x:row>
    <x:row r="559" ht="23" customHeight="1">
      <x:c r="A559" t="n">
        <x:v>93</x:v>
      </x:c>
      <x:c r="B559" t="n">
        <x:v>47</x:v>
      </x:c>
      <x:c r="C559" t="str">
        <x:v>午餐</x:v>
      </x:c>
      <x:c r="D559" t="str">
        <x:v>油脂</x:v>
      </x:c>
      <x:c r="E559" t="str">
        <x:v>烹调油</x:v>
      </x:c>
      <x:c r="F559" t="n">
        <x:v>3</x:v>
      </x:c>
      <x:c r="G559" t="n">
        <x:v>900</x:v>
      </x:c>
      <x:c r="H559" t="n">
        <x:f>ROUND(F559*G559/100,2)</x:f>
        <x:v>27</x:v>
      </x:c>
      <x:c r="I559" t="n">
        <x:v>0</x:v>
      </x:c>
      <x:c r="J559" t="n">
        <x:f>ROUND(F559*I559/100,2)</x:f>
        <x:v>0</x:v>
      </x:c>
      <x:c r="K559" t="n">
        <x:v>0</x:v>
      </x:c>
      <x:c r="L559" t="n">
        <x:f>ROUND(F559*K559/100,2)</x:f>
        <x:v>0</x:v>
      </x:c>
      <x:c r="M559" t="n">
        <x:v>100</x:v>
      </x:c>
      <x:c r="N559" t="n">
        <x:f>ROUND(F559*M559/100,2)</x:f>
        <x:v>3</x:v>
      </x:c>
      <x:c r="O559" t="str">
        <x:v>实际用油重</x:v>
      </x:c>
    </x:row>
    <x:row r="560" ht="23" customHeight="1">
      <x:c r="A560" t="n">
        <x:v>94</x:v>
      </x:c>
      <x:c r="B560" t="n">
        <x:v>47</x:v>
      </x:c>
      <x:c r="C560" t="str">
        <x:v>晚餐</x:v>
      </x:c>
      <x:c r="D560" t="str">
        <x:v>鱼类</x:v>
      </x:c>
      <x:c r="E560" t="str">
        <x:v>鳕鱼</x:v>
      </x:c>
      <x:c r="F560" t="n">
        <x:v>200</x:v>
      </x:c>
      <x:c r="G560" t="n">
        <x:v>85</x:v>
      </x:c>
      <x:c r="H560" t="n">
        <x:f>ROUND(F560*G560/100,2)</x:f>
        <x:v>170</x:v>
      </x:c>
      <x:c r="I560" t="n">
        <x:v>18</x:v>
      </x:c>
      <x:c r="J560" t="n">
        <x:f>ROUND(F560*I560/100,2)</x:f>
        <x:v>36</x:v>
      </x:c>
      <x:c r="K560" t="n">
        <x:v>0</x:v>
      </x:c>
      <x:c r="L560" t="n">
        <x:f>ROUND(F560*K560/100,2)</x:f>
        <x:v>0</x:v>
      </x:c>
      <x:c r="M560" t="n">
        <x:v>0.8</x:v>
      </x:c>
      <x:c r="N560" t="n">
        <x:f>ROUND(F560*M560/100,2)</x:f>
        <x:v>1.6</x:v>
      </x:c>
      <x:c r="O560" t="str">
        <x:v>净鱼肉生重</x:v>
      </x:c>
    </x:row>
    <x:row r="561" ht="23" customHeight="1">
      <x:c r="A561" t="n">
        <x:v>94</x:v>
      </x:c>
      <x:c r="B561" t="n">
        <x:v>47</x:v>
      </x:c>
      <x:c r="C561" t="str">
        <x:v>晚餐</x:v>
      </x:c>
      <x:c r="D561" t="str"/>
      <x:c r="E561" t="str"/>
      <x:c r="F561" t="n">
        <x:v>0</x:v>
      </x:c>
      <x:c r="G561" t="n">
        <x:v>0</x:v>
      </x:c>
      <x:c r="H561" t="n">
        <x:f>ROUND(F561*G561/100,2)</x:f>
        <x:v>0</x:v>
      </x:c>
      <x:c r="I561" t="n">
        <x:v>0</x:v>
      </x:c>
      <x:c r="J561" t="n">
        <x:f>ROUND(F561*I561/100,2)</x:f>
        <x:v>0</x:v>
      </x:c>
      <x:c r="K561" t="n">
        <x:v>0</x:v>
      </x:c>
      <x:c r="L561" t="n">
        <x:f>ROUND(F561*K561/100,2)</x:f>
        <x:v>0</x:v>
      </x:c>
      <x:c r="M561" t="n">
        <x:v>0</x:v>
      </x:c>
      <x:c r="N561" t="n">
        <x:f>ROUND(F561*M561/100,2)</x:f>
        <x:v>0</x:v>
      </x:c>
      <x:c r="O561" t="str"/>
    </x:row>
    <x:row r="562" ht="23" customHeight="1">
      <x:c r="A562" t="n">
        <x:v>94</x:v>
      </x:c>
      <x:c r="B562" t="n">
        <x:v>47</x:v>
      </x:c>
      <x:c r="C562" t="str">
        <x:v>晚餐</x:v>
      </x:c>
      <x:c r="D562" t="str">
        <x:v>蔬菜</x:v>
      </x:c>
      <x:c r="E562" t="str">
        <x:v>油麦菜</x:v>
      </x:c>
      <x:c r="F562" t="n">
        <x:v>175</x:v>
      </x:c>
      <x:c r="G562" t="n">
        <x:v>18</x:v>
      </x:c>
      <x:c r="H562" t="n">
        <x:f>ROUND(F562*G562/100,2)</x:f>
        <x:v>31.5</x:v>
      </x:c>
      <x:c r="I562" t="n">
        <x:v>1.4</x:v>
      </x:c>
      <x:c r="J562" t="n">
        <x:f>ROUND(F562*I562/100,2)</x:f>
        <x:v>2.45</x:v>
      </x:c>
      <x:c r="K562" t="n">
        <x:v>3.1</x:v>
      </x:c>
      <x:c r="L562" t="n">
        <x:f>ROUND(F562*K562/100,2)</x:f>
        <x:v>5.43</x:v>
      </x:c>
      <x:c r="M562" t="n">
        <x:v>0.2</x:v>
      </x:c>
      <x:c r="N562" t="n">
        <x:f>ROUND(F562*M562/100,2)</x:f>
        <x:v>0.35</x:v>
      </x:c>
      <x:c r="O562" t="str">
        <x:v>生重</x:v>
      </x:c>
    </x:row>
    <x:row r="563" ht="23" customHeight="1">
      <x:c r="A563" t="n">
        <x:v>94</x:v>
      </x:c>
      <x:c r="B563" t="n">
        <x:v>47</x:v>
      </x:c>
      <x:c r="C563" t="str">
        <x:v>晚餐</x:v>
      </x:c>
      <x:c r="D563" t="str">
        <x:v>蔬菜</x:v>
      </x:c>
      <x:c r="E563" t="str">
        <x:v>西兰花</x:v>
      </x:c>
      <x:c r="F563" t="n">
        <x:v>155</x:v>
      </x:c>
      <x:c r="G563" t="n">
        <x:v>34</x:v>
      </x:c>
      <x:c r="H563" t="n">
        <x:f>ROUND(F563*G563/100,2)</x:f>
        <x:v>52.7</x:v>
      </x:c>
      <x:c r="I563" t="n">
        <x:v>2.8</x:v>
      </x:c>
      <x:c r="J563" t="n">
        <x:f>ROUND(F563*I563/100,2)</x:f>
        <x:v>4.34</x:v>
      </x:c>
      <x:c r="K563" t="n">
        <x:v>7</x:v>
      </x:c>
      <x:c r="L563" t="n">
        <x:f>ROUND(F563*K563/100,2)</x:f>
        <x:v>10.85</x:v>
      </x:c>
      <x:c r="M563" t="n">
        <x:v>0.4</x:v>
      </x:c>
      <x:c r="N563" t="n">
        <x:f>ROUND(F563*M563/100,2)</x:f>
        <x:v>0.62</x:v>
      </x:c>
      <x:c r="O563" t="str">
        <x:v>生重</x:v>
      </x:c>
    </x:row>
    <x:row r="564" ht="23" customHeight="1">
      <x:c r="A564" t="n">
        <x:v>94</x:v>
      </x:c>
      <x:c r="B564" t="n">
        <x:v>47</x:v>
      </x:c>
      <x:c r="C564" t="str">
        <x:v>晚餐</x:v>
      </x:c>
      <x:c r="D564" t="str">
        <x:v>主食</x:v>
      </x:c>
      <x:c r="E564" t="str">
        <x:v>荞麦饭</x:v>
      </x:c>
      <x:c r="F564" t="n">
        <x:v>135</x:v>
      </x:c>
      <x:c r="G564" t="n">
        <x:v>110</x:v>
      </x:c>
      <x:c r="H564" t="n">
        <x:f>ROUND(F564*G564/100,2)</x:f>
        <x:v>148.5</x:v>
      </x:c>
      <x:c r="I564" t="n">
        <x:v>3.4</x:v>
      </x:c>
      <x:c r="J564" t="n">
        <x:f>ROUND(F564*I564/100,2)</x:f>
        <x:v>4.59</x:v>
      </x:c>
      <x:c r="K564" t="n">
        <x:v>22</x:v>
      </x:c>
      <x:c r="L564" t="n">
        <x:f>ROUND(F564*K564/100,2)</x:f>
        <x:v>29.7</x:v>
      </x:c>
      <x:c r="M564" t="n">
        <x:v>1.1</x:v>
      </x:c>
      <x:c r="N564" t="n">
        <x:f>ROUND(F564*M564/100,2)</x:f>
        <x:v>1.49</x:v>
      </x:c>
      <x:c r="O564" t="str">
        <x:v>熟重</x:v>
      </x:c>
    </x:row>
    <x:row r="565" ht="23" customHeight="1">
      <x:c r="A565" t="n">
        <x:v>94</x:v>
      </x:c>
      <x:c r="B565" t="n">
        <x:v>47</x:v>
      </x:c>
      <x:c r="C565" t="str">
        <x:v>晚餐</x:v>
      </x:c>
      <x:c r="D565" t="str">
        <x:v>油脂</x:v>
      </x:c>
      <x:c r="E565" t="str">
        <x:v>烹调油</x:v>
      </x:c>
      <x:c r="F565" t="n">
        <x:v>5</x:v>
      </x:c>
      <x:c r="G565" t="n">
        <x:v>900</x:v>
      </x:c>
      <x:c r="H565" t="n">
        <x:f>ROUND(F565*G565/100,2)</x:f>
        <x:v>45</x:v>
      </x:c>
      <x:c r="I565" t="n">
        <x:v>0</x:v>
      </x:c>
      <x:c r="J565" t="n">
        <x:f>ROUND(F565*I565/100,2)</x:f>
        <x:v>0</x:v>
      </x:c>
      <x:c r="K565" t="n">
        <x:v>0</x:v>
      </x:c>
      <x:c r="L565" t="n">
        <x:f>ROUND(F565*K565/100,2)</x:f>
        <x:v>0</x:v>
      </x:c>
      <x:c r="M565" t="n">
        <x:v>100</x:v>
      </x:c>
      <x:c r="N565" t="n">
        <x:f>ROUND(F565*M565/100,2)</x:f>
        <x:v>5</x:v>
      </x:c>
      <x:c r="O565" t="str">
        <x:v>实际用油重</x:v>
      </x:c>
    </x:row>
    <x:row r="566" ht="23" customHeight="1">
      <x:c r="A566" t="n">
        <x:v>95</x:v>
      </x:c>
      <x:c r="B566" t="n">
        <x:v>48</x:v>
      </x:c>
      <x:c r="C566" t="str">
        <x:v>午餐</x:v>
      </x:c>
      <x:c r="D566" t="str">
        <x:v>鱼类</x:v>
      </x:c>
      <x:c r="E566" t="str">
        <x:v>鳕鱼</x:v>
      </x:c>
      <x:c r="F566" t="n">
        <x:v>215</x:v>
      </x:c>
      <x:c r="G566" t="n">
        <x:v>85</x:v>
      </x:c>
      <x:c r="H566" t="n">
        <x:f>ROUND(F566*G566/100,2)</x:f>
        <x:v>182.75</x:v>
      </x:c>
      <x:c r="I566" t="n">
        <x:v>18</x:v>
      </x:c>
      <x:c r="J566" t="n">
        <x:f>ROUND(F566*I566/100,2)</x:f>
        <x:v>38.7</x:v>
      </x:c>
      <x:c r="K566" t="n">
        <x:v>0</x:v>
      </x:c>
      <x:c r="L566" t="n">
        <x:f>ROUND(F566*K566/100,2)</x:f>
        <x:v>0</x:v>
      </x:c>
      <x:c r="M566" t="n">
        <x:v>0.8</x:v>
      </x:c>
      <x:c r="N566" t="n">
        <x:f>ROUND(F566*M566/100,2)</x:f>
        <x:v>1.72</x:v>
      </x:c>
      <x:c r="O566" t="str">
        <x:v>净鱼肉生重</x:v>
      </x:c>
    </x:row>
    <x:row r="567" ht="23" customHeight="1">
      <x:c r="A567" t="n">
        <x:v>95</x:v>
      </x:c>
      <x:c r="B567" t="n">
        <x:v>48</x:v>
      </x:c>
      <x:c r="C567" t="str">
        <x:v>午餐</x:v>
      </x:c>
      <x:c r="D567" t="str"/>
      <x:c r="E567" t="str"/>
      <x:c r="F567" t="n">
        <x:v>0</x:v>
      </x:c>
      <x:c r="G567" t="n">
        <x:v>0</x:v>
      </x:c>
      <x:c r="H567" t="n">
        <x:f>ROUND(F567*G567/100,2)</x:f>
        <x:v>0</x:v>
      </x:c>
      <x:c r="I567" t="n">
        <x:v>0</x:v>
      </x:c>
      <x:c r="J567" t="n">
        <x:f>ROUND(F567*I567/100,2)</x:f>
        <x:v>0</x:v>
      </x:c>
      <x:c r="K567" t="n">
        <x:v>0</x:v>
      </x:c>
      <x:c r="L567" t="n">
        <x:f>ROUND(F567*K567/100,2)</x:f>
        <x:v>0</x:v>
      </x:c>
      <x:c r="M567" t="n">
        <x:v>0</x:v>
      </x:c>
      <x:c r="N567" t="n">
        <x:f>ROUND(F567*M567/100,2)</x:f>
        <x:v>0</x:v>
      </x:c>
      <x:c r="O567" t="str"/>
    </x:row>
    <x:row r="568" ht="23" customHeight="1">
      <x:c r="A568" t="n">
        <x:v>95</x:v>
      </x:c>
      <x:c r="B568" t="n">
        <x:v>48</x:v>
      </x:c>
      <x:c r="C568" t="str">
        <x:v>午餐</x:v>
      </x:c>
      <x:c r="D568" t="str">
        <x:v>蔬菜</x:v>
      </x:c>
      <x:c r="E568" t="str">
        <x:v>彩椒</x:v>
      </x:c>
      <x:c r="F568" t="n">
        <x:v>160</x:v>
      </x:c>
      <x:c r="G568" t="n">
        <x:v>27</x:v>
      </x:c>
      <x:c r="H568" t="n">
        <x:f>ROUND(F568*G568/100,2)</x:f>
        <x:v>43.2</x:v>
      </x:c>
      <x:c r="I568" t="n">
        <x:v>1</x:v>
      </x:c>
      <x:c r="J568" t="n">
        <x:f>ROUND(F568*I568/100,2)</x:f>
        <x:v>1.6</x:v>
      </x:c>
      <x:c r="K568" t="n">
        <x:v>6.1</x:v>
      </x:c>
      <x:c r="L568" t="n">
        <x:f>ROUND(F568*K568/100,2)</x:f>
        <x:v>9.76</x:v>
      </x:c>
      <x:c r="M568" t="n">
        <x:v>0.2</x:v>
      </x:c>
      <x:c r="N568" t="n">
        <x:f>ROUND(F568*M568/100,2)</x:f>
        <x:v>0.32</x:v>
      </x:c>
      <x:c r="O568" t="str">
        <x:v>生重</x:v>
      </x:c>
    </x:row>
    <x:row r="569" ht="23" customHeight="1">
      <x:c r="A569" t="n">
        <x:v>95</x:v>
      </x:c>
      <x:c r="B569" t="n">
        <x:v>48</x:v>
      </x:c>
      <x:c r="C569" t="str">
        <x:v>午餐</x:v>
      </x:c>
      <x:c r="D569" t="str">
        <x:v>蔬菜</x:v>
      </x:c>
      <x:c r="E569" t="str">
        <x:v>丝瓜</x:v>
      </x:c>
      <x:c r="F569" t="n">
        <x:v>125</x:v>
      </x:c>
      <x:c r="G569" t="n">
        <x:v>20</x:v>
      </x:c>
      <x:c r="H569" t="n">
        <x:f>ROUND(F569*G569/100,2)</x:f>
        <x:v>25</x:v>
      </x:c>
      <x:c r="I569" t="n">
        <x:v>1</x:v>
      </x:c>
      <x:c r="J569" t="n">
        <x:f>ROUND(F569*I569/100,2)</x:f>
        <x:v>1.25</x:v>
      </x:c>
      <x:c r="K569" t="n">
        <x:v>4</x:v>
      </x:c>
      <x:c r="L569" t="n">
        <x:f>ROUND(F569*K569/100,2)</x:f>
        <x:v>5</x:v>
      </x:c>
      <x:c r="M569" t="n">
        <x:v>0.2</x:v>
      </x:c>
      <x:c r="N569" t="n">
        <x:f>ROUND(F569*M569/100,2)</x:f>
        <x:v>0.25</x:v>
      </x:c>
      <x:c r="O569" t="str">
        <x:v>生重</x:v>
      </x:c>
    </x:row>
    <x:row r="570" ht="23" customHeight="1">
      <x:c r="A570" t="n">
        <x:v>95</x:v>
      </x:c>
      <x:c r="B570" t="n">
        <x:v>48</x:v>
      </x:c>
      <x:c r="C570" t="str">
        <x:v>午餐</x:v>
      </x:c>
      <x:c r="D570" t="str">
        <x:v>主食</x:v>
      </x:c>
      <x:c r="E570" t="str">
        <x:v>杂粮饭</x:v>
      </x:c>
      <x:c r="F570" t="n">
        <x:v>125</x:v>
      </x:c>
      <x:c r="G570" t="n">
        <x:v>115</x:v>
      </x:c>
      <x:c r="H570" t="n">
        <x:f>ROUND(F570*G570/100,2)</x:f>
        <x:v>143.75</x:v>
      </x:c>
      <x:c r="I570" t="n">
        <x:v>3.1</x:v>
      </x:c>
      <x:c r="J570" t="n">
        <x:f>ROUND(F570*I570/100,2)</x:f>
        <x:v>3.88</x:v>
      </x:c>
      <x:c r="K570" t="n">
        <x:v>23.5</x:v>
      </x:c>
      <x:c r="L570" t="n">
        <x:f>ROUND(F570*K570/100,2)</x:f>
        <x:v>29.38</x:v>
      </x:c>
      <x:c r="M570" t="n">
        <x:v>1.1</x:v>
      </x:c>
      <x:c r="N570" t="n">
        <x:f>ROUND(F570*M570/100,2)</x:f>
        <x:v>1.38</x:v>
      </x:c>
      <x:c r="O570" t="str">
        <x:v>熟重</x:v>
      </x:c>
    </x:row>
    <x:row r="571" ht="23" customHeight="1">
      <x:c r="A571" t="n">
        <x:v>95</x:v>
      </x:c>
      <x:c r="B571" t="n">
        <x:v>48</x:v>
      </x:c>
      <x:c r="C571" t="str">
        <x:v>午餐</x:v>
      </x:c>
      <x:c r="D571" t="str">
        <x:v>油脂</x:v>
      </x:c>
      <x:c r="E571" t="str">
        <x:v>烹调油</x:v>
      </x:c>
      <x:c r="F571" t="n">
        <x:v>6</x:v>
      </x:c>
      <x:c r="G571" t="n">
        <x:v>900</x:v>
      </x:c>
      <x:c r="H571" t="n">
        <x:f>ROUND(F571*G571/100,2)</x:f>
        <x:v>54</x:v>
      </x:c>
      <x:c r="I571" t="n">
        <x:v>0</x:v>
      </x:c>
      <x:c r="J571" t="n">
        <x:f>ROUND(F571*I571/100,2)</x:f>
        <x:v>0</x:v>
      </x:c>
      <x:c r="K571" t="n">
        <x:v>0</x:v>
      </x:c>
      <x:c r="L571" t="n">
        <x:f>ROUND(F571*K571/100,2)</x:f>
        <x:v>0</x:v>
      </x:c>
      <x:c r="M571" t="n">
        <x:v>100</x:v>
      </x:c>
      <x:c r="N571" t="n">
        <x:f>ROUND(F571*M571/100,2)</x:f>
        <x:v>6</x:v>
      </x:c>
      <x:c r="O571" t="str">
        <x:v>实际用油重</x:v>
      </x:c>
    </x:row>
    <x:row r="572" ht="23" customHeight="1">
      <x:c r="A572" t="n">
        <x:v>96</x:v>
      </x:c>
      <x:c r="B572" t="n">
        <x:v>48</x:v>
      </x:c>
      <x:c r="C572" t="str">
        <x:v>晚餐</x:v>
      </x:c>
      <x:c r="D572" t="str">
        <x:v>海鲜</x:v>
      </x:c>
      <x:c r="E572" t="str">
        <x:v>虾仁</x:v>
      </x:c>
      <x:c r="F572" t="n">
        <x:v>160</x:v>
      </x:c>
      <x:c r="G572" t="n">
        <x:v>90</x:v>
      </x:c>
      <x:c r="H572" t="n">
        <x:f>ROUND(F572*G572/100,2)</x:f>
        <x:v>144</x:v>
      </x:c>
      <x:c r="I572" t="n">
        <x:v>19</x:v>
      </x:c>
      <x:c r="J572" t="n">
        <x:f>ROUND(F572*I572/100,2)</x:f>
        <x:v>30.4</x:v>
      </x:c>
      <x:c r="K572" t="n">
        <x:v>0.4</x:v>
      </x:c>
      <x:c r="L572" t="n">
        <x:f>ROUND(F572*K572/100,2)</x:f>
        <x:v>0.64</x:v>
      </x:c>
      <x:c r="M572" t="n">
        <x:v>1.1</x:v>
      </x:c>
      <x:c r="N572" t="n">
        <x:f>ROUND(F572*M572/100,2)</x:f>
        <x:v>1.76</x:v>
      </x:c>
      <x:c r="O572" t="str">
        <x:v>生重</x:v>
      </x:c>
    </x:row>
    <x:row r="573" ht="23" customHeight="1">
      <x:c r="A573" t="n">
        <x:v>96</x:v>
      </x:c>
      <x:c r="B573" t="n">
        <x:v>48</x:v>
      </x:c>
      <x:c r="C573" t="str">
        <x:v>晚餐</x:v>
      </x:c>
      <x:c r="D573" t="str"/>
      <x:c r="E573" t="str"/>
      <x:c r="F573" t="n">
        <x:v>0</x:v>
      </x:c>
      <x:c r="G573" t="n">
        <x:v>0</x:v>
      </x:c>
      <x:c r="H573" t="n">
        <x:f>ROUND(F573*G573/100,2)</x:f>
        <x:v>0</x:v>
      </x:c>
      <x:c r="I573" t="n">
        <x:v>0</x:v>
      </x:c>
      <x:c r="J573" t="n">
        <x:f>ROUND(F573*I573/100,2)</x:f>
        <x:v>0</x:v>
      </x:c>
      <x:c r="K573" t="n">
        <x:v>0</x:v>
      </x:c>
      <x:c r="L573" t="n">
        <x:f>ROUND(F573*K573/100,2)</x:f>
        <x:v>0</x:v>
      </x:c>
      <x:c r="M573" t="n">
        <x:v>0</x:v>
      </x:c>
      <x:c r="N573" t="n">
        <x:f>ROUND(F573*M573/100,2)</x:f>
        <x:v>0</x:v>
      </x:c>
      <x:c r="O573" t="str"/>
    </x:row>
    <x:row r="574" ht="23" customHeight="1">
      <x:c r="A574" t="n">
        <x:v>96</x:v>
      </x:c>
      <x:c r="B574" t="n">
        <x:v>48</x:v>
      </x:c>
      <x:c r="C574" t="str">
        <x:v>晚餐</x:v>
      </x:c>
      <x:c r="D574" t="str">
        <x:v>蔬菜</x:v>
      </x:c>
      <x:c r="E574" t="str">
        <x:v>白萝卜</x:v>
      </x:c>
      <x:c r="F574" t="n">
        <x:v>140</x:v>
      </x:c>
      <x:c r="G574" t="n">
        <x:v>18</x:v>
      </x:c>
      <x:c r="H574" t="n">
        <x:f>ROUND(F574*G574/100,2)</x:f>
        <x:v>25.2</x:v>
      </x:c>
      <x:c r="I574" t="n">
        <x:v>0.6</x:v>
      </x:c>
      <x:c r="J574" t="n">
        <x:f>ROUND(F574*I574/100,2)</x:f>
        <x:v>0.84</x:v>
      </x:c>
      <x:c r="K574" t="n">
        <x:v>4</x:v>
      </x:c>
      <x:c r="L574" t="n">
        <x:f>ROUND(F574*K574/100,2)</x:f>
        <x:v>5.6</x:v>
      </x:c>
      <x:c r="M574" t="n">
        <x:v>0.1</x:v>
      </x:c>
      <x:c r="N574" t="n">
        <x:f>ROUND(F574*M574/100,2)</x:f>
        <x:v>0.14</x:v>
      </x:c>
      <x:c r="O574" t="str">
        <x:v>生重</x:v>
      </x:c>
    </x:row>
    <x:row r="575" ht="23" customHeight="1">
      <x:c r="A575" t="n">
        <x:v>96</x:v>
      </x:c>
      <x:c r="B575" t="n">
        <x:v>48</x:v>
      </x:c>
      <x:c r="C575" t="str">
        <x:v>晚餐</x:v>
      </x:c>
      <x:c r="D575" t="str">
        <x:v>蔬菜</x:v>
      </x:c>
      <x:c r="E575" t="str">
        <x:v>小白菜</x:v>
      </x:c>
      <x:c r="F575" t="n">
        <x:v>110</x:v>
      </x:c>
      <x:c r="G575" t="n">
        <x:v>17</x:v>
      </x:c>
      <x:c r="H575" t="n">
        <x:f>ROUND(F575*G575/100,2)</x:f>
        <x:v>18.7</x:v>
      </x:c>
      <x:c r="I575" t="n">
        <x:v>1.6</x:v>
      </x:c>
      <x:c r="J575" t="n">
        <x:f>ROUND(F575*I575/100,2)</x:f>
        <x:v>1.76</x:v>
      </x:c>
      <x:c r="K575" t="n">
        <x:v>2.8</x:v>
      </x:c>
      <x:c r="L575" t="n">
        <x:f>ROUND(F575*K575/100,2)</x:f>
        <x:v>3.08</x:v>
      </x:c>
      <x:c r="M575" t="n">
        <x:v>0.2</x:v>
      </x:c>
      <x:c r="N575" t="n">
        <x:f>ROUND(F575*M575/100,2)</x:f>
        <x:v>0.22</x:v>
      </x:c>
      <x:c r="O575" t="str">
        <x:v>生重</x:v>
      </x:c>
    </x:row>
    <x:row r="576" ht="23" customHeight="1">
      <x:c r="A576" t="n">
        <x:v>96</x:v>
      </x:c>
      <x:c r="B576" t="n">
        <x:v>48</x:v>
      </x:c>
      <x:c r="C576" t="str">
        <x:v>晚餐</x:v>
      </x:c>
      <x:c r="D576" t="str">
        <x:v>主食</x:v>
      </x:c>
      <x:c r="E576" t="str">
        <x:v>山药</x:v>
      </x:c>
      <x:c r="F576" t="n">
        <x:v>180</x:v>
      </x:c>
      <x:c r="G576" t="n">
        <x:v>62</x:v>
      </x:c>
      <x:c r="H576" t="n">
        <x:f>ROUND(F576*G576/100,2)</x:f>
        <x:v>111.6</x:v>
      </x:c>
      <x:c r="I576" t="n">
        <x:v>1.5</x:v>
      </x:c>
      <x:c r="J576" t="n">
        <x:f>ROUND(F576*I576/100,2)</x:f>
        <x:v>2.7</x:v>
      </x:c>
      <x:c r="K576" t="n">
        <x:v>14.1</x:v>
      </x:c>
      <x:c r="L576" t="n">
        <x:f>ROUND(F576*K576/100,2)</x:f>
        <x:v>25.38</x:v>
      </x:c>
      <x:c r="M576" t="n">
        <x:v>0.1</x:v>
      </x:c>
      <x:c r="N576" t="n">
        <x:f>ROUND(F576*M576/100,2)</x:f>
        <x:v>0.18</x:v>
      </x:c>
      <x:c r="O576" t="str">
        <x:v>蒸熟净重</x:v>
      </x:c>
    </x:row>
    <x:row r="577" ht="23" customHeight="1">
      <x:c r="A577" t="n">
        <x:v>96</x:v>
      </x:c>
      <x:c r="B577" t="n">
        <x:v>48</x:v>
      </x:c>
      <x:c r="C577" t="str">
        <x:v>晚餐</x:v>
      </x:c>
      <x:c r="D577" t="str">
        <x:v>油脂</x:v>
      </x:c>
      <x:c r="E577" t="str">
        <x:v>烹调油</x:v>
      </x:c>
      <x:c r="F577" t="n">
        <x:v>6</x:v>
      </x:c>
      <x:c r="G577" t="n">
        <x:v>900</x:v>
      </x:c>
      <x:c r="H577" t="n">
        <x:f>ROUND(F577*G577/100,2)</x:f>
        <x:v>54</x:v>
      </x:c>
      <x:c r="I577" t="n">
        <x:v>0</x:v>
      </x:c>
      <x:c r="J577" t="n">
        <x:f>ROUND(F577*I577/100,2)</x:f>
        <x:v>0</x:v>
      </x:c>
      <x:c r="K577" t="n">
        <x:v>0</x:v>
      </x:c>
      <x:c r="L577" t="n">
        <x:f>ROUND(F577*K577/100,2)</x:f>
        <x:v>0</x:v>
      </x:c>
      <x:c r="M577" t="n">
        <x:v>100</x:v>
      </x:c>
      <x:c r="N577" t="n">
        <x:f>ROUND(F577*M577/100,2)</x:f>
        <x:v>6</x:v>
      </x:c>
      <x:c r="O577" t="str">
        <x:v>实际用油重</x:v>
      </x:c>
    </x:row>
    <x:row r="578" ht="23" customHeight="1">
      <x:c r="A578" t="n">
        <x:v>97</x:v>
      </x:c>
      <x:c r="B578" t="n">
        <x:v>49</x:v>
      </x:c>
      <x:c r="C578" t="str">
        <x:v>午餐</x:v>
      </x:c>
      <x:c r="D578" t="str">
        <x:v>牛肉</x:v>
      </x:c>
      <x:c r="E578" t="str">
        <x:v>牛里脊</x:v>
      </x:c>
      <x:c r="F578" t="n">
        <x:v>155</x:v>
      </x:c>
      <x:c r="G578" t="n">
        <x:v>130</x:v>
      </x:c>
      <x:c r="H578" t="n">
        <x:f>ROUND(F578*G578/100,2)</x:f>
        <x:v>201.5</x:v>
      </x:c>
      <x:c r="I578" t="n">
        <x:v>21</x:v>
      </x:c>
      <x:c r="J578" t="n">
        <x:f>ROUND(F578*I578/100,2)</x:f>
        <x:v>32.55</x:v>
      </x:c>
      <x:c r="K578" t="n">
        <x:v>0</x:v>
      </x:c>
      <x:c r="L578" t="n">
        <x:f>ROUND(F578*K578/100,2)</x:f>
        <x:v>0</x:v>
      </x:c>
      <x:c r="M578" t="n">
        <x:v>4.8</x:v>
      </x:c>
      <x:c r="N578" t="n">
        <x:f>ROUND(F578*M578/100,2)</x:f>
        <x:v>7.44</x:v>
      </x:c>
      <x:c r="O578" t="str">
        <x:v>生重</x:v>
      </x:c>
    </x:row>
    <x:row r="579" ht="23" customHeight="1">
      <x:c r="A579" t="n">
        <x:v>97</x:v>
      </x:c>
      <x:c r="B579" t="n">
        <x:v>49</x:v>
      </x:c>
      <x:c r="C579" t="str">
        <x:v>午餐</x:v>
      </x:c>
      <x:c r="D579" t="str"/>
      <x:c r="E579" t="str"/>
      <x:c r="F579" t="n">
        <x:v>0</x:v>
      </x:c>
      <x:c r="G579" t="n">
        <x:v>0</x:v>
      </x:c>
      <x:c r="H579" t="n">
        <x:f>ROUND(F579*G579/100,2)</x:f>
        <x:v>0</x:v>
      </x:c>
      <x:c r="I579" t="n">
        <x:v>0</x:v>
      </x:c>
      <x:c r="J579" t="n">
        <x:f>ROUND(F579*I579/100,2)</x:f>
        <x:v>0</x:v>
      </x:c>
      <x:c r="K579" t="n">
        <x:v>0</x:v>
      </x:c>
      <x:c r="L579" t="n">
        <x:f>ROUND(F579*K579/100,2)</x:f>
        <x:v>0</x:v>
      </x:c>
      <x:c r="M579" t="n">
        <x:v>0</x:v>
      </x:c>
      <x:c r="N579" t="n">
        <x:f>ROUND(F579*M579/100,2)</x:f>
        <x:v>0</x:v>
      </x:c>
      <x:c r="O579" t="str"/>
    </x:row>
    <x:row r="580" ht="23" customHeight="1">
      <x:c r="A580" t="n">
        <x:v>97</x:v>
      </x:c>
      <x:c r="B580" t="n">
        <x:v>49</x:v>
      </x:c>
      <x:c r="C580" t="str">
        <x:v>午餐</x:v>
      </x:c>
      <x:c r="D580" t="str">
        <x:v>蔬菜</x:v>
      </x:c>
      <x:c r="E580" t="str">
        <x:v>花菜</x:v>
      </x:c>
      <x:c r="F580" t="n">
        <x:v>160</x:v>
      </x:c>
      <x:c r="G580" t="n">
        <x:v>25</x:v>
      </x:c>
      <x:c r="H580" t="n">
        <x:f>ROUND(F580*G580/100,2)</x:f>
        <x:v>40</x:v>
      </x:c>
      <x:c r="I580" t="n">
        <x:v>2</x:v>
      </x:c>
      <x:c r="J580" t="n">
        <x:f>ROUND(F580*I580/100,2)</x:f>
        <x:v>3.2</x:v>
      </x:c>
      <x:c r="K580" t="n">
        <x:v>5</x:v>
      </x:c>
      <x:c r="L580" t="n">
        <x:f>ROUND(F580*K580/100,2)</x:f>
        <x:v>8</x:v>
      </x:c>
      <x:c r="M580" t="n">
        <x:v>0.3</x:v>
      </x:c>
      <x:c r="N580" t="n">
        <x:f>ROUND(F580*M580/100,2)</x:f>
        <x:v>0.48</x:v>
      </x:c>
      <x:c r="O580" t="str">
        <x:v>生重</x:v>
      </x:c>
    </x:row>
    <x:row r="581" ht="23" customHeight="1">
      <x:c r="A581" t="n">
        <x:v>97</x:v>
      </x:c>
      <x:c r="B581" t="n">
        <x:v>49</x:v>
      </x:c>
      <x:c r="C581" t="str">
        <x:v>午餐</x:v>
      </x:c>
      <x:c r="D581" t="str">
        <x:v>蔬菜</x:v>
      </x:c>
      <x:c r="E581" t="str">
        <x:v>彩椒</x:v>
      </x:c>
      <x:c r="F581" t="n">
        <x:v>125</x:v>
      </x:c>
      <x:c r="G581" t="n">
        <x:v>27</x:v>
      </x:c>
      <x:c r="H581" t="n">
        <x:f>ROUND(F581*G581/100,2)</x:f>
        <x:v>33.75</x:v>
      </x:c>
      <x:c r="I581" t="n">
        <x:v>1</x:v>
      </x:c>
      <x:c r="J581" t="n">
        <x:f>ROUND(F581*I581/100,2)</x:f>
        <x:v>1.25</x:v>
      </x:c>
      <x:c r="K581" t="n">
        <x:v>6.1</x:v>
      </x:c>
      <x:c r="L581" t="n">
        <x:f>ROUND(F581*K581/100,2)</x:f>
        <x:v>7.63</x:v>
      </x:c>
      <x:c r="M581" t="n">
        <x:v>0.2</x:v>
      </x:c>
      <x:c r="N581" t="n">
        <x:f>ROUND(F581*M581/100,2)</x:f>
        <x:v>0.25</x:v>
      </x:c>
      <x:c r="O581" t="str">
        <x:v>生重</x:v>
      </x:c>
    </x:row>
    <x:row r="582" ht="23" customHeight="1">
      <x:c r="A582" t="n">
        <x:v>97</x:v>
      </x:c>
      <x:c r="B582" t="n">
        <x:v>49</x:v>
      </x:c>
      <x:c r="C582" t="str">
        <x:v>午餐</x:v>
      </x:c>
      <x:c r="D582" t="str">
        <x:v>主食</x:v>
      </x:c>
      <x:c r="E582" t="str">
        <x:v>糙米饭</x:v>
      </x:c>
      <x:c r="F582" t="n">
        <x:v>110</x:v>
      </x:c>
      <x:c r="G582" t="n">
        <x:v>112</x:v>
      </x:c>
      <x:c r="H582" t="n">
        <x:f>ROUND(F582*G582/100,2)</x:f>
        <x:v>123.2</x:v>
      </x:c>
      <x:c r="I582" t="n">
        <x:v>2.6</x:v>
      </x:c>
      <x:c r="J582" t="n">
        <x:f>ROUND(F582*I582/100,2)</x:f>
        <x:v>2.86</x:v>
      </x:c>
      <x:c r="K582" t="n">
        <x:v>23.5</x:v>
      </x:c>
      <x:c r="L582" t="n">
        <x:f>ROUND(F582*K582/100,2)</x:f>
        <x:v>25.85</x:v>
      </x:c>
      <x:c r="M582" t="n">
        <x:v>0.9</x:v>
      </x:c>
      <x:c r="N582" t="n">
        <x:f>ROUND(F582*M582/100,2)</x:f>
        <x:v>0.99</x:v>
      </x:c>
      <x:c r="O582" t="str">
        <x:v>熟重</x:v>
      </x:c>
    </x:row>
    <x:row r="583" ht="23" customHeight="1">
      <x:c r="A583" t="n">
        <x:v>97</x:v>
      </x:c>
      <x:c r="B583" t="n">
        <x:v>49</x:v>
      </x:c>
      <x:c r="C583" t="str">
        <x:v>午餐</x:v>
      </x:c>
      <x:c r="D583" t="str">
        <x:v>油脂</x:v>
      </x:c>
      <x:c r="E583" t="str">
        <x:v>烹调油</x:v>
      </x:c>
      <x:c r="F583" t="n">
        <x:v>5</x:v>
      </x:c>
      <x:c r="G583" t="n">
        <x:v>900</x:v>
      </x:c>
      <x:c r="H583" t="n">
        <x:f>ROUND(F583*G583/100,2)</x:f>
        <x:v>45</x:v>
      </x:c>
      <x:c r="I583" t="n">
        <x:v>0</x:v>
      </x:c>
      <x:c r="J583" t="n">
        <x:f>ROUND(F583*I583/100,2)</x:f>
        <x:v>0</x:v>
      </x:c>
      <x:c r="K583" t="n">
        <x:v>0</x:v>
      </x:c>
      <x:c r="L583" t="n">
        <x:f>ROUND(F583*K583/100,2)</x:f>
        <x:v>0</x:v>
      </x:c>
      <x:c r="M583" t="n">
        <x:v>100</x:v>
      </x:c>
      <x:c r="N583" t="n">
        <x:f>ROUND(F583*M583/100,2)</x:f>
        <x:v>5</x:v>
      </x:c>
      <x:c r="O583" t="str">
        <x:v>实际用油重</x:v>
      </x:c>
    </x:row>
    <x:row r="584" ht="23" customHeight="1">
      <x:c r="A584" t="n">
        <x:v>98</x:v>
      </x:c>
      <x:c r="B584" t="n">
        <x:v>49</x:v>
      </x:c>
      <x:c r="C584" t="str">
        <x:v>晚餐</x:v>
      </x:c>
      <x:c r="D584" t="str">
        <x:v>禽肉</x:v>
      </x:c>
      <x:c r="E584" t="str">
        <x:v>鸡胸肉</x:v>
      </x:c>
      <x:c r="F584" t="n">
        <x:v>160</x:v>
      </x:c>
      <x:c r="G584" t="n">
        <x:v>110</x:v>
      </x:c>
      <x:c r="H584" t="n">
        <x:f>ROUND(F584*G584/100,2)</x:f>
        <x:v>176</x:v>
      </x:c>
      <x:c r="I584" t="n">
        <x:v>23</x:v>
      </x:c>
      <x:c r="J584" t="n">
        <x:f>ROUND(F584*I584/100,2)</x:f>
        <x:v>36.8</x:v>
      </x:c>
      <x:c r="K584" t="n">
        <x:v>0</x:v>
      </x:c>
      <x:c r="L584" t="n">
        <x:f>ROUND(F584*K584/100,2)</x:f>
        <x:v>0</x:v>
      </x:c>
      <x:c r="M584" t="n">
        <x:v>2</x:v>
      </x:c>
      <x:c r="N584" t="n">
        <x:f>ROUND(F584*M584/100,2)</x:f>
        <x:v>3.2</x:v>
      </x:c>
      <x:c r="O584" t="str">
        <x:v>生重</x:v>
      </x:c>
    </x:row>
    <x:row r="585" ht="23" customHeight="1">
      <x:c r="A585" t="n">
        <x:v>98</x:v>
      </x:c>
      <x:c r="B585" t="n">
        <x:v>49</x:v>
      </x:c>
      <x:c r="C585" t="str">
        <x:v>晚餐</x:v>
      </x:c>
      <x:c r="D585" t="str">
        <x:v>豆蛋</x:v>
      </x:c>
      <x:c r="E585" t="str">
        <x:v>嫩豆腐</x:v>
      </x:c>
      <x:c r="F585" t="n">
        <x:v>110</x:v>
      </x:c>
      <x:c r="G585" t="n">
        <x:v>55</x:v>
      </x:c>
      <x:c r="H585" t="n">
        <x:f>ROUND(F585*G585/100,2)</x:f>
        <x:v>60.5</x:v>
      </x:c>
      <x:c r="I585" t="n">
        <x:v>5</x:v>
      </x:c>
      <x:c r="J585" t="n">
        <x:f>ROUND(F585*I585/100,2)</x:f>
        <x:v>5.5</x:v>
      </x:c>
      <x:c r="K585" t="n">
        <x:v>2</x:v>
      </x:c>
      <x:c r="L585" t="n">
        <x:f>ROUND(F585*K585/100,2)</x:f>
        <x:v>2.2</x:v>
      </x:c>
      <x:c r="M585" t="n">
        <x:v>2.8</x:v>
      </x:c>
      <x:c r="N585" t="n">
        <x:f>ROUND(F585*M585/100,2)</x:f>
        <x:v>3.08</x:v>
      </x:c>
      <x:c r="O585" t="str">
        <x:v>净重</x:v>
      </x:c>
    </x:row>
    <x:row r="586" ht="23" customHeight="1">
      <x:c r="A586" t="n">
        <x:v>98</x:v>
      </x:c>
      <x:c r="B586" t="n">
        <x:v>49</x:v>
      </x:c>
      <x:c r="C586" t="str">
        <x:v>晚餐</x:v>
      </x:c>
      <x:c r="D586" t="str">
        <x:v>蔬菜</x:v>
      </x:c>
      <x:c r="E586" t="str">
        <x:v>紫甘蓝</x:v>
      </x:c>
      <x:c r="F586" t="n">
        <x:v>175</x:v>
      </x:c>
      <x:c r="G586" t="n">
        <x:v>31</x:v>
      </x:c>
      <x:c r="H586" t="n">
        <x:f>ROUND(F586*G586/100,2)</x:f>
        <x:v>54.25</x:v>
      </x:c>
      <x:c r="I586" t="n">
        <x:v>1.4</x:v>
      </x:c>
      <x:c r="J586" t="n">
        <x:f>ROUND(F586*I586/100,2)</x:f>
        <x:v>2.45</x:v>
      </x:c>
      <x:c r="K586" t="n">
        <x:v>7.3</x:v>
      </x:c>
      <x:c r="L586" t="n">
        <x:f>ROUND(F586*K586/100,2)</x:f>
        <x:v>12.78</x:v>
      </x:c>
      <x:c r="M586" t="n">
        <x:v>0.1</x:v>
      </x:c>
      <x:c r="N586" t="n">
        <x:f>ROUND(F586*M586/100,2)</x:f>
        <x:v>0.18</x:v>
      </x:c>
      <x:c r="O586" t="str">
        <x:v>生重</x:v>
      </x:c>
    </x:row>
    <x:row r="587" ht="23" customHeight="1">
      <x:c r="A587" t="n">
        <x:v>98</x:v>
      </x:c>
      <x:c r="B587" t="n">
        <x:v>49</x:v>
      </x:c>
      <x:c r="C587" t="str">
        <x:v>晚餐</x:v>
      </x:c>
      <x:c r="D587" t="str">
        <x:v>菌菇</x:v>
      </x:c>
      <x:c r="E587" t="str">
        <x:v>杏鲍菇</x:v>
      </x:c>
      <x:c r="F587" t="n">
        <x:v>110</x:v>
      </x:c>
      <x:c r="G587" t="n">
        <x:v>35</x:v>
      </x:c>
      <x:c r="H587" t="n">
        <x:f>ROUND(F587*G587/100,2)</x:f>
        <x:v>38.5</x:v>
      </x:c>
      <x:c r="I587" t="n">
        <x:v>2</x:v>
      </x:c>
      <x:c r="J587" t="n">
        <x:f>ROUND(F587*I587/100,2)</x:f>
        <x:v>2.2</x:v>
      </x:c>
      <x:c r="K587" t="n">
        <x:v>7.4</x:v>
      </x:c>
      <x:c r="L587" t="n">
        <x:f>ROUND(F587*K587/100,2)</x:f>
        <x:v>8.14</x:v>
      </x:c>
      <x:c r="M587" t="n">
        <x:v>0.3</x:v>
      </x:c>
      <x:c r="N587" t="n">
        <x:f>ROUND(F587*M587/100,2)</x:f>
        <x:v>0.33</x:v>
      </x:c>
      <x:c r="O587" t="str">
        <x:v>生重</x:v>
      </x:c>
    </x:row>
    <x:row r="588" ht="23" customHeight="1">
      <x:c r="A588" t="n">
        <x:v>98</x:v>
      </x:c>
      <x:c r="B588" t="n">
        <x:v>49</x:v>
      </x:c>
      <x:c r="C588" t="str">
        <x:v>晚餐</x:v>
      </x:c>
      <x:c r="D588" t="str">
        <x:v>主食</x:v>
      </x:c>
      <x:c r="E588" t="str">
        <x:v>藜麦饭</x:v>
      </x:c>
      <x:c r="F588" t="n">
        <x:v>135</x:v>
      </x:c>
      <x:c r="G588" t="n">
        <x:v>120</x:v>
      </x:c>
      <x:c r="H588" t="n">
        <x:f>ROUND(F588*G588/100,2)</x:f>
        <x:v>162</x:v>
      </x:c>
      <x:c r="I588" t="n">
        <x:v>4.4</x:v>
      </x:c>
      <x:c r="J588" t="n">
        <x:f>ROUND(F588*I588/100,2)</x:f>
        <x:v>5.94</x:v>
      </x:c>
      <x:c r="K588" t="n">
        <x:v>21.3</x:v>
      </x:c>
      <x:c r="L588" t="n">
        <x:f>ROUND(F588*K588/100,2)</x:f>
        <x:v>28.76</x:v>
      </x:c>
      <x:c r="M588" t="n">
        <x:v>1.9</x:v>
      </x:c>
      <x:c r="N588" t="n">
        <x:f>ROUND(F588*M588/100,2)</x:f>
        <x:v>2.57</x:v>
      </x:c>
      <x:c r="O588" t="str">
        <x:v>熟重</x:v>
      </x:c>
    </x:row>
    <x:row r="589" ht="23" customHeight="1">
      <x:c r="A589" t="n">
        <x:v>98</x:v>
      </x:c>
      <x:c r="B589" t="n">
        <x:v>49</x:v>
      </x:c>
      <x:c r="C589" t="str">
        <x:v>晚餐</x:v>
      </x:c>
      <x:c r="D589" t="str">
        <x:v>油脂</x:v>
      </x:c>
      <x:c r="E589" t="str">
        <x:v>烹调油</x:v>
      </x:c>
      <x:c r="F589" t="n">
        <x:v>4</x:v>
      </x:c>
      <x:c r="G589" t="n">
        <x:v>900</x:v>
      </x:c>
      <x:c r="H589" t="n">
        <x:f>ROUND(F589*G589/100,2)</x:f>
        <x:v>36</x:v>
      </x:c>
      <x:c r="I589" t="n">
        <x:v>0</x:v>
      </x:c>
      <x:c r="J589" t="n">
        <x:f>ROUND(F589*I589/100,2)</x:f>
        <x:v>0</x:v>
      </x:c>
      <x:c r="K589" t="n">
        <x:v>0</x:v>
      </x:c>
      <x:c r="L589" t="n">
        <x:f>ROUND(F589*K589/100,2)</x:f>
        <x:v>0</x:v>
      </x:c>
      <x:c r="M589" t="n">
        <x:v>100</x:v>
      </x:c>
      <x:c r="N589" t="n">
        <x:f>ROUND(F589*M589/100,2)</x:f>
        <x:v>4</x:v>
      </x:c>
      <x:c r="O589" t="str">
        <x:v>实际用油重</x:v>
      </x:c>
    </x:row>
    <x:row r="590" ht="23" customHeight="1">
      <x:c r="A590" t="n">
        <x:v>99</x:v>
      </x:c>
      <x:c r="B590" t="n">
        <x:v>50</x:v>
      </x:c>
      <x:c r="C590" t="str">
        <x:v>午餐</x:v>
      </x:c>
      <x:c r="D590" t="str">
        <x:v>豆蛋</x:v>
      </x:c>
      <x:c r="E590" t="str">
        <x:v>北豆腐</x:v>
      </x:c>
      <x:c r="F590" t="n">
        <x:v>260</x:v>
      </x:c>
      <x:c r="G590" t="n">
        <x:v>90</x:v>
      </x:c>
      <x:c r="H590" t="n">
        <x:f>ROUND(F590*G590/100,2)</x:f>
        <x:v>234</x:v>
      </x:c>
      <x:c r="I590" t="n">
        <x:v>10</x:v>
      </x:c>
      <x:c r="J590" t="n">
        <x:f>ROUND(F590*I590/100,2)</x:f>
        <x:v>26</x:v>
      </x:c>
      <x:c r="K590" t="n">
        <x:v>2</x:v>
      </x:c>
      <x:c r="L590" t="n">
        <x:f>ROUND(F590*K590/100,2)</x:f>
        <x:v>5.2</x:v>
      </x:c>
      <x:c r="M590" t="n">
        <x:v>5</x:v>
      </x:c>
      <x:c r="N590" t="n">
        <x:f>ROUND(F590*M590/100,2)</x:f>
        <x:v>13</x:v>
      </x:c>
      <x:c r="O590" t="str">
        <x:v>净重</x:v>
      </x:c>
    </x:row>
    <x:row r="591" ht="23" customHeight="1">
      <x:c r="A591" t="n">
        <x:v>99</x:v>
      </x:c>
      <x:c r="B591" t="n">
        <x:v>50</x:v>
      </x:c>
      <x:c r="C591" t="str">
        <x:v>午餐</x:v>
      </x:c>
      <x:c r="D591" t="str">
        <x:v>豆蛋</x:v>
      </x:c>
      <x:c r="E591" t="str">
        <x:v>鸡蛋</x:v>
      </x:c>
      <x:c r="F591" t="n">
        <x:v>85</x:v>
      </x:c>
      <x:c r="G591" t="n">
        <x:v>144</x:v>
      </x:c>
      <x:c r="H591" t="n">
        <x:f>ROUND(F591*G591/100,2)</x:f>
        <x:v>122.4</x:v>
      </x:c>
      <x:c r="I591" t="n">
        <x:v>13</x:v>
      </x:c>
      <x:c r="J591" t="n">
        <x:f>ROUND(F591*I591/100,2)</x:f>
        <x:v>11.05</x:v>
      </x:c>
      <x:c r="K591" t="n">
        <x:v>1.1</x:v>
      </x:c>
      <x:c r="L591" t="n">
        <x:f>ROUND(F591*K591/100,2)</x:f>
        <x:v>0.94</x:v>
      </x:c>
      <x:c r="M591" t="n">
        <x:v>10</x:v>
      </x:c>
      <x:c r="N591" t="n">
        <x:f>ROUND(F591*M591/100,2)</x:f>
        <x:v>8.5</x:v>
      </x:c>
      <x:c r="O591" t="str">
        <x:v>去壳可食重</x:v>
      </x:c>
    </x:row>
    <x:row r="592" ht="23" customHeight="1">
      <x:c r="A592" t="n">
        <x:v>99</x:v>
      </x:c>
      <x:c r="B592" t="n">
        <x:v>50</x:v>
      </x:c>
      <x:c r="C592" t="str">
        <x:v>午餐</x:v>
      </x:c>
      <x:c r="D592" t="str">
        <x:v>蔬菜</x:v>
      </x:c>
      <x:c r="E592" t="str">
        <x:v>冬瓜</x:v>
      </x:c>
      <x:c r="F592" t="n">
        <x:v>190</x:v>
      </x:c>
      <x:c r="G592" t="n">
        <x:v>13</x:v>
      </x:c>
      <x:c r="H592" t="n">
        <x:f>ROUND(F592*G592/100,2)</x:f>
        <x:v>24.7</x:v>
      </x:c>
      <x:c r="I592" t="n">
        <x:v>0.4</x:v>
      </x:c>
      <x:c r="J592" t="n">
        <x:f>ROUND(F592*I592/100,2)</x:f>
        <x:v>0.76</x:v>
      </x:c>
      <x:c r="K592" t="n">
        <x:v>3</x:v>
      </x:c>
      <x:c r="L592" t="n">
        <x:f>ROUND(F592*K592/100,2)</x:f>
        <x:v>5.7</x:v>
      </x:c>
      <x:c r="M592" t="n">
        <x:v>0.2</x:v>
      </x:c>
      <x:c r="N592" t="n">
        <x:f>ROUND(F592*M592/100,2)</x:f>
        <x:v>0.38</x:v>
      </x:c>
      <x:c r="O592" t="str">
        <x:v>生重</x:v>
      </x:c>
    </x:row>
    <x:row r="593" ht="23" customHeight="1">
      <x:c r="A593" t="n">
        <x:v>99</x:v>
      </x:c>
      <x:c r="B593" t="n">
        <x:v>50</x:v>
      </x:c>
      <x:c r="C593" t="str">
        <x:v>午餐</x:v>
      </x:c>
      <x:c r="D593" t="str">
        <x:v>菌菇</x:v>
      </x:c>
      <x:c r="E593" t="str">
        <x:v>泡发木耳</x:v>
      </x:c>
      <x:c r="F593" t="n">
        <x:v>155</x:v>
      </x:c>
      <x:c r="G593" t="n">
        <x:v>25</x:v>
      </x:c>
      <x:c r="H593" t="n">
        <x:f>ROUND(F593*G593/100,2)</x:f>
        <x:v>38.75</x:v>
      </x:c>
      <x:c r="I593" t="n">
        <x:v>1.5</x:v>
      </x:c>
      <x:c r="J593" t="n">
        <x:f>ROUND(F593*I593/100,2)</x:f>
        <x:v>2.33</x:v>
      </x:c>
      <x:c r="K593" t="n">
        <x:v>6</x:v>
      </x:c>
      <x:c r="L593" t="n">
        <x:f>ROUND(F593*K593/100,2)</x:f>
        <x:v>9.3</x:v>
      </x:c>
      <x:c r="M593" t="n">
        <x:v>0.1</x:v>
      </x:c>
      <x:c r="N593" t="n">
        <x:f>ROUND(F593*M593/100,2)</x:f>
        <x:v>0.16</x:v>
      </x:c>
      <x:c r="O593" t="str">
        <x:v>泡发沥水重</x:v>
      </x:c>
    </x:row>
    <x:row r="594" ht="23" customHeight="1">
      <x:c r="A594" t="n">
        <x:v>99</x:v>
      </x:c>
      <x:c r="B594" t="n">
        <x:v>50</x:v>
      </x:c>
      <x:c r="C594" t="str">
        <x:v>午餐</x:v>
      </x:c>
      <x:c r="D594" t="str">
        <x:v>主食</x:v>
      </x:c>
      <x:c r="E594" t="str">
        <x:v>山药</x:v>
      </x:c>
      <x:c r="F594" t="n">
        <x:v>110</x:v>
      </x:c>
      <x:c r="G594" t="n">
        <x:v>62</x:v>
      </x:c>
      <x:c r="H594" t="n">
        <x:f>ROUND(F594*G594/100,2)</x:f>
        <x:v>68.2</x:v>
      </x:c>
      <x:c r="I594" t="n">
        <x:v>1.5</x:v>
      </x:c>
      <x:c r="J594" t="n">
        <x:f>ROUND(F594*I594/100,2)</x:f>
        <x:v>1.65</x:v>
      </x:c>
      <x:c r="K594" t="n">
        <x:v>14.1</x:v>
      </x:c>
      <x:c r="L594" t="n">
        <x:f>ROUND(F594*K594/100,2)</x:f>
        <x:v>15.51</x:v>
      </x:c>
      <x:c r="M594" t="n">
        <x:v>0.1</x:v>
      </x:c>
      <x:c r="N594" t="n">
        <x:f>ROUND(F594*M594/100,2)</x:f>
        <x:v>0.11</x:v>
      </x:c>
      <x:c r="O594" t="str">
        <x:v>蒸熟净重</x:v>
      </x:c>
    </x:row>
    <x:row r="595" ht="23" customHeight="1">
      <x:c r="A595" t="n">
        <x:v>99</x:v>
      </x:c>
      <x:c r="B595" t="n">
        <x:v>50</x:v>
      </x:c>
      <x:c r="C595" t="str">
        <x:v>午餐</x:v>
      </x:c>
      <x:c r="D595" t="str">
        <x:v>油脂</x:v>
      </x:c>
      <x:c r="E595" t="str">
        <x:v>烹调油</x:v>
      </x:c>
      <x:c r="F595" t="n">
        <x:v>4</x:v>
      </x:c>
      <x:c r="G595" t="n">
        <x:v>900</x:v>
      </x:c>
      <x:c r="H595" t="n">
        <x:f>ROUND(F595*G595/100,2)</x:f>
        <x:v>36</x:v>
      </x:c>
      <x:c r="I595" t="n">
        <x:v>0</x:v>
      </x:c>
      <x:c r="J595" t="n">
        <x:f>ROUND(F595*I595/100,2)</x:f>
        <x:v>0</x:v>
      </x:c>
      <x:c r="K595" t="n">
        <x:v>0</x:v>
      </x:c>
      <x:c r="L595" t="n">
        <x:f>ROUND(F595*K595/100,2)</x:f>
        <x:v>0</x:v>
      </x:c>
      <x:c r="M595" t="n">
        <x:v>100</x:v>
      </x:c>
      <x:c r="N595" t="n">
        <x:f>ROUND(F595*M595/100,2)</x:f>
        <x:v>4</x:v>
      </x:c>
      <x:c r="O595" t="str">
        <x:v>实际用油重</x:v>
      </x:c>
    </x:row>
    <x:row r="596" ht="23" customHeight="1">
      <x:c r="A596" t="n">
        <x:v>100</x:v>
      </x:c>
      <x:c r="B596" t="n">
        <x:v>50</x:v>
      </x:c>
      <x:c r="C596" t="str">
        <x:v>晚餐</x:v>
      </x:c>
      <x:c r="D596" t="str">
        <x:v>海鲜</x:v>
      </x:c>
      <x:c r="E596" t="str">
        <x:v>虾仁</x:v>
      </x:c>
      <x:c r="F596" t="n">
        <x:v>160</x:v>
      </x:c>
      <x:c r="G596" t="n">
        <x:v>90</x:v>
      </x:c>
      <x:c r="H596" t="n">
        <x:f>ROUND(F596*G596/100,2)</x:f>
        <x:v>144</x:v>
      </x:c>
      <x:c r="I596" t="n">
        <x:v>19</x:v>
      </x:c>
      <x:c r="J596" t="n">
        <x:f>ROUND(F596*I596/100,2)</x:f>
        <x:v>30.4</x:v>
      </x:c>
      <x:c r="K596" t="n">
        <x:v>0.4</x:v>
      </x:c>
      <x:c r="L596" t="n">
        <x:f>ROUND(F596*K596/100,2)</x:f>
        <x:v>0.64</x:v>
      </x:c>
      <x:c r="M596" t="n">
        <x:v>1.1</x:v>
      </x:c>
      <x:c r="N596" t="n">
        <x:f>ROUND(F596*M596/100,2)</x:f>
        <x:v>1.76</x:v>
      </x:c>
      <x:c r="O596" t="str">
        <x:v>生重</x:v>
      </x:c>
    </x:row>
    <x:row r="597" ht="23" customHeight="1">
      <x:c r="A597" t="n">
        <x:v>100</x:v>
      </x:c>
      <x:c r="B597" t="n">
        <x:v>50</x:v>
      </x:c>
      <x:c r="C597" t="str">
        <x:v>晚餐</x:v>
      </x:c>
      <x:c r="D597" t="str"/>
      <x:c r="E597" t="str"/>
      <x:c r="F597" t="n">
        <x:v>0</x:v>
      </x:c>
      <x:c r="G597" t="n">
        <x:v>0</x:v>
      </x:c>
      <x:c r="H597" t="n">
        <x:f>ROUND(F597*G597/100,2)</x:f>
        <x:v>0</x:v>
      </x:c>
      <x:c r="I597" t="n">
        <x:v>0</x:v>
      </x:c>
      <x:c r="J597" t="n">
        <x:f>ROUND(F597*I597/100,2)</x:f>
        <x:v>0</x:v>
      </x:c>
      <x:c r="K597" t="n">
        <x:v>0</x:v>
      </x:c>
      <x:c r="L597" t="n">
        <x:f>ROUND(F597*K597/100,2)</x:f>
        <x:v>0</x:v>
      </x:c>
      <x:c r="M597" t="n">
        <x:v>0</x:v>
      </x:c>
      <x:c r="N597" t="n">
        <x:f>ROUND(F597*M597/100,2)</x:f>
        <x:v>0</x:v>
      </x:c>
      <x:c r="O597" t="str"/>
    </x:row>
    <x:row r="598" ht="23" customHeight="1">
      <x:c r="A598" t="n">
        <x:v>100</x:v>
      </x:c>
      <x:c r="B598" t="n">
        <x:v>50</x:v>
      </x:c>
      <x:c r="C598" t="str">
        <x:v>晚餐</x:v>
      </x:c>
      <x:c r="D598" t="str">
        <x:v>蔬菜</x:v>
      </x:c>
      <x:c r="E598" t="str">
        <x:v>苦瓜</x:v>
      </x:c>
      <x:c r="F598" t="n">
        <x:v>140</x:v>
      </x:c>
      <x:c r="G598" t="n">
        <x:v>19</x:v>
      </x:c>
      <x:c r="H598" t="n">
        <x:f>ROUND(F598*G598/100,2)</x:f>
        <x:v>26.6</x:v>
      </x:c>
      <x:c r="I598" t="n">
        <x:v>1</x:v>
      </x:c>
      <x:c r="J598" t="n">
        <x:f>ROUND(F598*I598/100,2)</x:f>
        <x:v>1.4</x:v>
      </x:c>
      <x:c r="K598" t="n">
        <x:v>4.1</x:v>
      </x:c>
      <x:c r="L598" t="n">
        <x:f>ROUND(F598*K598/100,2)</x:f>
        <x:v>5.74</x:v>
      </x:c>
      <x:c r="M598" t="n">
        <x:v>0.2</x:v>
      </x:c>
      <x:c r="N598" t="n">
        <x:f>ROUND(F598*M598/100,2)</x:f>
        <x:v>0.28</x:v>
      </x:c>
      <x:c r="O598" t="str">
        <x:v>生重</x:v>
      </x:c>
    </x:row>
    <x:row r="599" ht="23" customHeight="1">
      <x:c r="A599" t="n">
        <x:v>100</x:v>
      </x:c>
      <x:c r="B599" t="n">
        <x:v>50</x:v>
      </x:c>
      <x:c r="C599" t="str">
        <x:v>晚餐</x:v>
      </x:c>
      <x:c r="D599" t="str">
        <x:v>蔬菜</x:v>
      </x:c>
      <x:c r="E599" t="str">
        <x:v>芦笋</x:v>
      </x:c>
      <x:c r="F599" t="n">
        <x:v>110</x:v>
      </x:c>
      <x:c r="G599" t="n">
        <x:v>20</x:v>
      </x:c>
      <x:c r="H599" t="n">
        <x:f>ROUND(F599*G599/100,2)</x:f>
        <x:v>22</x:v>
      </x:c>
      <x:c r="I599" t="n">
        <x:v>2.2</x:v>
      </x:c>
      <x:c r="J599" t="n">
        <x:f>ROUND(F599*I599/100,2)</x:f>
        <x:v>2.42</x:v>
      </x:c>
      <x:c r="K599" t="n">
        <x:v>3.9</x:v>
      </x:c>
      <x:c r="L599" t="n">
        <x:f>ROUND(F599*K599/100,2)</x:f>
        <x:v>4.29</x:v>
      </x:c>
      <x:c r="M599" t="n">
        <x:v>0.1</x:v>
      </x:c>
      <x:c r="N599" t="n">
        <x:f>ROUND(F599*M599/100,2)</x:f>
        <x:v>0.11</x:v>
      </x:c>
      <x:c r="O599" t="str">
        <x:v>生重</x:v>
      </x:c>
    </x:row>
    <x:row r="600" ht="23" customHeight="1">
      <x:c r="A600" t="n">
        <x:v>100</x:v>
      </x:c>
      <x:c r="B600" t="n">
        <x:v>50</x:v>
      </x:c>
      <x:c r="C600" t="str">
        <x:v>晚餐</x:v>
      </x:c>
      <x:c r="D600" t="str">
        <x:v>主食</x:v>
      </x:c>
      <x:c r="E600" t="str">
        <x:v>杂粮饭</x:v>
      </x:c>
      <x:c r="F600" t="n">
        <x:v>120</x:v>
      </x:c>
      <x:c r="G600" t="n">
        <x:v>115</x:v>
      </x:c>
      <x:c r="H600" t="n">
        <x:f>ROUND(F600*G600/100,2)</x:f>
        <x:v>138</x:v>
      </x:c>
      <x:c r="I600" t="n">
        <x:v>3.1</x:v>
      </x:c>
      <x:c r="J600" t="n">
        <x:f>ROUND(F600*I600/100,2)</x:f>
        <x:v>3.72</x:v>
      </x:c>
      <x:c r="K600" t="n">
        <x:v>23.5</x:v>
      </x:c>
      <x:c r="L600" t="n">
        <x:f>ROUND(F600*K600/100,2)</x:f>
        <x:v>28.2</x:v>
      </x:c>
      <x:c r="M600" t="n">
        <x:v>1.1</x:v>
      </x:c>
      <x:c r="N600" t="n">
        <x:f>ROUND(F600*M600/100,2)</x:f>
        <x:v>1.32</x:v>
      </x:c>
      <x:c r="O600" t="str">
        <x:v>熟重</x:v>
      </x:c>
    </x:row>
    <x:row r="601" ht="23" customHeight="1">
      <x:c r="A601" t="n">
        <x:v>100</x:v>
      </x:c>
      <x:c r="B601" t="n">
        <x:v>50</x:v>
      </x:c>
      <x:c r="C601" t="str">
        <x:v>晚餐</x:v>
      </x:c>
      <x:c r="D601" t="str">
        <x:v>油脂</x:v>
      </x:c>
      <x:c r="E601" t="str">
        <x:v>烹调油</x:v>
      </x:c>
      <x:c r="F601" t="n">
        <x:v>4</x:v>
      </x:c>
      <x:c r="G601" t="n">
        <x:v>900</x:v>
      </x:c>
      <x:c r="H601" t="n">
        <x:f>ROUND(F601*G601/100,2)</x:f>
        <x:v>36</x:v>
      </x:c>
      <x:c r="I601" t="n">
        <x:v>0</x:v>
      </x:c>
      <x:c r="J601" t="n">
        <x:f>ROUND(F601*I601/100,2)</x:f>
        <x:v>0</x:v>
      </x:c>
      <x:c r="K601" t="n">
        <x:v>0</x:v>
      </x:c>
      <x:c r="L601" t="n">
        <x:f>ROUND(F601*K601/100,2)</x:f>
        <x:v>0</x:v>
      </x:c>
      <x:c r="M601" t="n">
        <x:v>100</x:v>
      </x:c>
      <x:c r="N601" t="n">
        <x:f>ROUND(F601*M601/100,2)</x:f>
        <x:v>4</x:v>
      </x:c>
      <x:c r="O601" t="str">
        <x:v>实际用油重</x:v>
      </x:c>
    </x:row>
    <x:row r="602" ht="23" customHeight="1">
      <x:c r="A602" t="n">
        <x:v>101</x:v>
      </x:c>
      <x:c r="B602" t="n">
        <x:v>51</x:v>
      </x:c>
      <x:c r="C602" t="str">
        <x:v>午餐</x:v>
      </x:c>
      <x:c r="D602" t="str">
        <x:v>豆蛋</x:v>
      </x:c>
      <x:c r="E602" t="str">
        <x:v>北豆腐</x:v>
      </x:c>
      <x:c r="F602" t="n">
        <x:v>240</x:v>
      </x:c>
      <x:c r="G602" t="n">
        <x:v>90</x:v>
      </x:c>
      <x:c r="H602" t="n">
        <x:f>ROUND(F602*G602/100,2)</x:f>
        <x:v>216</x:v>
      </x:c>
      <x:c r="I602" t="n">
        <x:v>10</x:v>
      </x:c>
      <x:c r="J602" t="n">
        <x:f>ROUND(F602*I602/100,2)</x:f>
        <x:v>24</x:v>
      </x:c>
      <x:c r="K602" t="n">
        <x:v>2</x:v>
      </x:c>
      <x:c r="L602" t="n">
        <x:f>ROUND(F602*K602/100,2)</x:f>
        <x:v>4.8</x:v>
      </x:c>
      <x:c r="M602" t="n">
        <x:v>5</x:v>
      </x:c>
      <x:c r="N602" t="n">
        <x:f>ROUND(F602*M602/100,2)</x:f>
        <x:v>12</x:v>
      </x:c>
      <x:c r="O602" t="str">
        <x:v>净重</x:v>
      </x:c>
    </x:row>
    <x:row r="603" ht="23" customHeight="1">
      <x:c r="A603" t="n">
        <x:v>101</x:v>
      </x:c>
      <x:c r="B603" t="n">
        <x:v>51</x:v>
      </x:c>
      <x:c r="C603" t="str">
        <x:v>午餐</x:v>
      </x:c>
      <x:c r="D603" t="str">
        <x:v>豆蛋</x:v>
      </x:c>
      <x:c r="E603" t="str">
        <x:v>鸡蛋</x:v>
      </x:c>
      <x:c r="F603" t="n">
        <x:v>85</x:v>
      </x:c>
      <x:c r="G603" t="n">
        <x:v>144</x:v>
      </x:c>
      <x:c r="H603" t="n">
        <x:f>ROUND(F603*G603/100,2)</x:f>
        <x:v>122.4</x:v>
      </x:c>
      <x:c r="I603" t="n">
        <x:v>13</x:v>
      </x:c>
      <x:c r="J603" t="n">
        <x:f>ROUND(F603*I603/100,2)</x:f>
        <x:v>11.05</x:v>
      </x:c>
      <x:c r="K603" t="n">
        <x:v>1.1</x:v>
      </x:c>
      <x:c r="L603" t="n">
        <x:f>ROUND(F603*K603/100,2)</x:f>
        <x:v>0.94</x:v>
      </x:c>
      <x:c r="M603" t="n">
        <x:v>10</x:v>
      </x:c>
      <x:c r="N603" t="n">
        <x:f>ROUND(F603*M603/100,2)</x:f>
        <x:v>8.5</x:v>
      </x:c>
      <x:c r="O603" t="str">
        <x:v>去壳可食重</x:v>
      </x:c>
    </x:row>
    <x:row r="604" ht="23" customHeight="1">
      <x:c r="A604" t="n">
        <x:v>101</x:v>
      </x:c>
      <x:c r="B604" t="n">
        <x:v>51</x:v>
      </x:c>
      <x:c r="C604" t="str">
        <x:v>午餐</x:v>
      </x:c>
      <x:c r="D604" t="str">
        <x:v>蔬菜</x:v>
      </x:c>
      <x:c r="E604" t="str">
        <x:v>花菜</x:v>
      </x:c>
      <x:c r="F604" t="n">
        <x:v>190</x:v>
      </x:c>
      <x:c r="G604" t="n">
        <x:v>25</x:v>
      </x:c>
      <x:c r="H604" t="n">
        <x:f>ROUND(F604*G604/100,2)</x:f>
        <x:v>47.5</x:v>
      </x:c>
      <x:c r="I604" t="n">
        <x:v>2</x:v>
      </x:c>
      <x:c r="J604" t="n">
        <x:f>ROUND(F604*I604/100,2)</x:f>
        <x:v>3.8</x:v>
      </x:c>
      <x:c r="K604" t="n">
        <x:v>5</x:v>
      </x:c>
      <x:c r="L604" t="n">
        <x:f>ROUND(F604*K604/100,2)</x:f>
        <x:v>9.5</x:v>
      </x:c>
      <x:c r="M604" t="n">
        <x:v>0.3</x:v>
      </x:c>
      <x:c r="N604" t="n">
        <x:f>ROUND(F604*M604/100,2)</x:f>
        <x:v>0.57</x:v>
      </x:c>
      <x:c r="O604" t="str">
        <x:v>生重</x:v>
      </x:c>
    </x:row>
    <x:row r="605" ht="23" customHeight="1">
      <x:c r="A605" t="n">
        <x:v>101</x:v>
      </x:c>
      <x:c r="B605" t="n">
        <x:v>51</x:v>
      </x:c>
      <x:c r="C605" t="str">
        <x:v>午餐</x:v>
      </x:c>
      <x:c r="D605" t="str">
        <x:v>蔬菜</x:v>
      </x:c>
      <x:c r="E605" t="str">
        <x:v>洋葱</x:v>
      </x:c>
      <x:c r="F605" t="n">
        <x:v>110</x:v>
      </x:c>
      <x:c r="G605" t="n">
        <x:v>40</x:v>
      </x:c>
      <x:c r="H605" t="n">
        <x:f>ROUND(F605*G605/100,2)</x:f>
        <x:v>44</x:v>
      </x:c>
      <x:c r="I605" t="n">
        <x:v>1.1</x:v>
      </x:c>
      <x:c r="J605" t="n">
        <x:f>ROUND(F605*I605/100,2)</x:f>
        <x:v>1.21</x:v>
      </x:c>
      <x:c r="K605" t="n">
        <x:v>9.3</x:v>
      </x:c>
      <x:c r="L605" t="n">
        <x:f>ROUND(F605*K605/100,2)</x:f>
        <x:v>10.23</x:v>
      </x:c>
      <x:c r="M605" t="n">
        <x:v>0.1</x:v>
      </x:c>
      <x:c r="N605" t="n">
        <x:f>ROUND(F605*M605/100,2)</x:f>
        <x:v>0.11</x:v>
      </x:c>
      <x:c r="O605" t="str">
        <x:v>生重</x:v>
      </x:c>
    </x:row>
    <x:row r="606" ht="23" customHeight="1">
      <x:c r="A606" t="n">
        <x:v>101</x:v>
      </x:c>
      <x:c r="B606" t="n">
        <x:v>51</x:v>
      </x:c>
      <x:c r="C606" t="str">
        <x:v>午餐</x:v>
      </x:c>
      <x:c r="D606" t="str">
        <x:v>主食</x:v>
      </x:c>
      <x:c r="E606" t="str">
        <x:v>白米饭</x:v>
      </x:c>
      <x:c r="F606" t="n">
        <x:v>110</x:v>
      </x:c>
      <x:c r="G606" t="n">
        <x:v>116</x:v>
      </x:c>
      <x:c r="H606" t="n">
        <x:f>ROUND(F606*G606/100,2)</x:f>
        <x:v>127.6</x:v>
      </x:c>
      <x:c r="I606" t="n">
        <x:v>2.6</x:v>
      </x:c>
      <x:c r="J606" t="n">
        <x:f>ROUND(F606*I606/100,2)</x:f>
        <x:v>2.86</x:v>
      </x:c>
      <x:c r="K606" t="n">
        <x:v>25.6</x:v>
      </x:c>
      <x:c r="L606" t="n">
        <x:f>ROUND(F606*K606/100,2)</x:f>
        <x:v>28.16</x:v>
      </x:c>
      <x:c r="M606" t="n">
        <x:v>0.3</x:v>
      </x:c>
      <x:c r="N606" t="n">
        <x:f>ROUND(F606*M606/100,2)</x:f>
        <x:v>0.33</x:v>
      </x:c>
      <x:c r="O606" t="str">
        <x:v>熟重</x:v>
      </x:c>
    </x:row>
    <x:row r="607" ht="23" customHeight="1">
      <x:c r="A607" t="n">
        <x:v>101</x:v>
      </x:c>
      <x:c r="B607" t="n">
        <x:v>51</x:v>
      </x:c>
      <x:c r="C607" t="str">
        <x:v>午餐</x:v>
      </x:c>
      <x:c r="D607" t="str">
        <x:v>油脂</x:v>
      </x:c>
      <x:c r="E607" t="str">
        <x:v>烹调油</x:v>
      </x:c>
      <x:c r="F607" t="n">
        <x:v>3</x:v>
      </x:c>
      <x:c r="G607" t="n">
        <x:v>900</x:v>
      </x:c>
      <x:c r="H607" t="n">
        <x:f>ROUND(F607*G607/100,2)</x:f>
        <x:v>27</x:v>
      </x:c>
      <x:c r="I607" t="n">
        <x:v>0</x:v>
      </x:c>
      <x:c r="J607" t="n">
        <x:f>ROUND(F607*I607/100,2)</x:f>
        <x:v>0</x:v>
      </x:c>
      <x:c r="K607" t="n">
        <x:v>0</x:v>
      </x:c>
      <x:c r="L607" t="n">
        <x:f>ROUND(F607*K607/100,2)</x:f>
        <x:v>0</x:v>
      </x:c>
      <x:c r="M607" t="n">
        <x:v>100</x:v>
      </x:c>
      <x:c r="N607" t="n">
        <x:f>ROUND(F607*M607/100,2)</x:f>
        <x:v>3</x:v>
      </x:c>
      <x:c r="O607" t="str">
        <x:v>实际用油重</x:v>
      </x:c>
    </x:row>
    <x:row r="608" ht="23" customHeight="1">
      <x:c r="A608" t="n">
        <x:v>102</x:v>
      </x:c>
      <x:c r="B608" t="n">
        <x:v>51</x:v>
      </x:c>
      <x:c r="C608" t="str">
        <x:v>晚餐</x:v>
      </x:c>
      <x:c r="D608" t="str">
        <x:v>豆蛋</x:v>
      </x:c>
      <x:c r="E608" t="str">
        <x:v>鸡蛋</x:v>
      </x:c>
      <x:c r="F608" t="n">
        <x:v>110</x:v>
      </x:c>
      <x:c r="G608" t="n">
        <x:v>144</x:v>
      </x:c>
      <x:c r="H608" t="n">
        <x:f>ROUND(F608*G608/100,2)</x:f>
        <x:v>158.4</x:v>
      </x:c>
      <x:c r="I608" t="n">
        <x:v>13</x:v>
      </x:c>
      <x:c r="J608" t="n">
        <x:f>ROUND(F608*I608/100,2)</x:f>
        <x:v>14.3</x:v>
      </x:c>
      <x:c r="K608" t="n">
        <x:v>1.1</x:v>
      </x:c>
      <x:c r="L608" t="n">
        <x:f>ROUND(F608*K608/100,2)</x:f>
        <x:v>1.21</x:v>
      </x:c>
      <x:c r="M608" t="n">
        <x:v>10</x:v>
      </x:c>
      <x:c r="N608" t="n">
        <x:f>ROUND(F608*M608/100,2)</x:f>
        <x:v>11</x:v>
      </x:c>
      <x:c r="O608" t="str">
        <x:v>去壳可食重</x:v>
      </x:c>
    </x:row>
    <x:row r="609" ht="23" customHeight="1">
      <x:c r="A609" t="n">
        <x:v>102</x:v>
      </x:c>
      <x:c r="B609" t="n">
        <x:v>51</x:v>
      </x:c>
      <x:c r="C609" t="str">
        <x:v>晚餐</x:v>
      </x:c>
      <x:c r="D609" t="str">
        <x:v>豆蛋</x:v>
      </x:c>
      <x:c r="E609" t="str">
        <x:v>嫩豆腐</x:v>
      </x:c>
      <x:c r="F609" t="n">
        <x:v>110</x:v>
      </x:c>
      <x:c r="G609" t="n">
        <x:v>55</x:v>
      </x:c>
      <x:c r="H609" t="n">
        <x:f>ROUND(F609*G609/100,2)</x:f>
        <x:v>60.5</x:v>
      </x:c>
      <x:c r="I609" t="n">
        <x:v>5</x:v>
      </x:c>
      <x:c r="J609" t="n">
        <x:f>ROUND(F609*I609/100,2)</x:f>
        <x:v>5.5</x:v>
      </x:c>
      <x:c r="K609" t="n">
        <x:v>2</x:v>
      </x:c>
      <x:c r="L609" t="n">
        <x:f>ROUND(F609*K609/100,2)</x:f>
        <x:v>2.2</x:v>
      </x:c>
      <x:c r="M609" t="n">
        <x:v>2.8</x:v>
      </x:c>
      <x:c r="N609" t="n">
        <x:f>ROUND(F609*M609/100,2)</x:f>
        <x:v>3.08</x:v>
      </x:c>
      <x:c r="O609" t="str">
        <x:v>净重</x:v>
      </x:c>
    </x:row>
    <x:row r="610" ht="23" customHeight="1">
      <x:c r="A610" t="n">
        <x:v>102</x:v>
      </x:c>
      <x:c r="B610" t="n">
        <x:v>51</x:v>
      </x:c>
      <x:c r="C610" t="str">
        <x:v>晚餐</x:v>
      </x:c>
      <x:c r="D610" t="str">
        <x:v>蔬菜</x:v>
      </x:c>
      <x:c r="E610" t="str">
        <x:v>芦笋</x:v>
      </x:c>
      <x:c r="F610" t="n">
        <x:v>190</x:v>
      </x:c>
      <x:c r="G610" t="n">
        <x:v>20</x:v>
      </x:c>
      <x:c r="H610" t="n">
        <x:f>ROUND(F610*G610/100,2)</x:f>
        <x:v>38</x:v>
      </x:c>
      <x:c r="I610" t="n">
        <x:v>2.2</x:v>
      </x:c>
      <x:c r="J610" t="n">
        <x:f>ROUND(F610*I610/100,2)</x:f>
        <x:v>4.18</x:v>
      </x:c>
      <x:c r="K610" t="n">
        <x:v>3.9</x:v>
      </x:c>
      <x:c r="L610" t="n">
        <x:f>ROUND(F610*K610/100,2)</x:f>
        <x:v>7.41</x:v>
      </x:c>
      <x:c r="M610" t="n">
        <x:v>0.1</x:v>
      </x:c>
      <x:c r="N610" t="n">
        <x:f>ROUND(F610*M610/100,2)</x:f>
        <x:v>0.19</x:v>
      </x:c>
      <x:c r="O610" t="str">
        <x:v>生重</x:v>
      </x:c>
    </x:row>
    <x:row r="611" ht="23" customHeight="1">
      <x:c r="A611" t="n">
        <x:v>102</x:v>
      </x:c>
      <x:c r="B611" t="n">
        <x:v>51</x:v>
      </x:c>
      <x:c r="C611" t="str">
        <x:v>晚餐</x:v>
      </x:c>
      <x:c r="D611" t="str">
        <x:v>菌菇</x:v>
      </x:c>
      <x:c r="E611" t="str">
        <x:v>口蘑</x:v>
      </x:c>
      <x:c r="F611" t="n">
        <x:v>110</x:v>
      </x:c>
      <x:c r="G611" t="n">
        <x:v>22</x:v>
      </x:c>
      <x:c r="H611" t="n">
        <x:f>ROUND(F611*G611/100,2)</x:f>
        <x:v>24.2</x:v>
      </x:c>
      <x:c r="I611" t="n">
        <x:v>3.1</x:v>
      </x:c>
      <x:c r="J611" t="n">
        <x:f>ROUND(F611*I611/100,2)</x:f>
        <x:v>3.41</x:v>
      </x:c>
      <x:c r="K611" t="n">
        <x:v>3.3</x:v>
      </x:c>
      <x:c r="L611" t="n">
        <x:f>ROUND(F611*K611/100,2)</x:f>
        <x:v>3.63</x:v>
      </x:c>
      <x:c r="M611" t="n">
        <x:v>0.3</x:v>
      </x:c>
      <x:c r="N611" t="n">
        <x:f>ROUND(F611*M611/100,2)</x:f>
        <x:v>0.33</x:v>
      </x:c>
      <x:c r="O611" t="str">
        <x:v>生重</x:v>
      </x:c>
    </x:row>
    <x:row r="612" ht="23" customHeight="1">
      <x:c r="A612" t="n">
        <x:v>102</x:v>
      </x:c>
      <x:c r="B612" t="n">
        <x:v>51</x:v>
      </x:c>
      <x:c r="C612" t="str">
        <x:v>晚餐</x:v>
      </x:c>
      <x:c r="D612" t="str">
        <x:v>主食</x:v>
      </x:c>
      <x:c r="E612" t="str">
        <x:v>紫薯</x:v>
      </x:c>
      <x:c r="F612" t="n">
        <x:v>95</x:v>
      </x:c>
      <x:c r="G612" t="n">
        <x:v>95</x:v>
      </x:c>
      <x:c r="H612" t="n">
        <x:f>ROUND(F612*G612/100,2)</x:f>
        <x:v>90.25</x:v>
      </x:c>
      <x:c r="I612" t="n">
        <x:v>1.6</x:v>
      </x:c>
      <x:c r="J612" t="n">
        <x:f>ROUND(F612*I612/100,2)</x:f>
        <x:v>1.52</x:v>
      </x:c>
      <x:c r="K612" t="n">
        <x:v>22</x:v>
      </x:c>
      <x:c r="L612" t="n">
        <x:f>ROUND(F612*K612/100,2)</x:f>
        <x:v>20.9</x:v>
      </x:c>
      <x:c r="M612" t="n">
        <x:v>0.1</x:v>
      </x:c>
      <x:c r="N612" t="n">
        <x:f>ROUND(F612*M612/100,2)</x:f>
        <x:v>0.1</x:v>
      </x:c>
      <x:c r="O612" t="str">
        <x:v>蒸熟净重</x:v>
      </x:c>
    </x:row>
    <x:row r="613" ht="23" customHeight="1">
      <x:c r="A613" t="n">
        <x:v>102</x:v>
      </x:c>
      <x:c r="B613" t="n">
        <x:v>51</x:v>
      </x:c>
      <x:c r="C613" t="str">
        <x:v>晚餐</x:v>
      </x:c>
      <x:c r="D613" t="str">
        <x:v>油脂</x:v>
      </x:c>
      <x:c r="E613" t="str">
        <x:v>烹调油</x:v>
      </x:c>
      <x:c r="F613" t="n">
        <x:v>5</x:v>
      </x:c>
      <x:c r="G613" t="n">
        <x:v>900</x:v>
      </x:c>
      <x:c r="H613" t="n">
        <x:f>ROUND(F613*G613/100,2)</x:f>
        <x:v>45</x:v>
      </x:c>
      <x:c r="I613" t="n">
        <x:v>0</x:v>
      </x:c>
      <x:c r="J613" t="n">
        <x:f>ROUND(F613*I613/100,2)</x:f>
        <x:v>0</x:v>
      </x:c>
      <x:c r="K613" t="n">
        <x:v>0</x:v>
      </x:c>
      <x:c r="L613" t="n">
        <x:f>ROUND(F613*K613/100,2)</x:f>
        <x:v>0</x:v>
      </x:c>
      <x:c r="M613" t="n">
        <x:v>100</x:v>
      </x:c>
      <x:c r="N613" t="n">
        <x:f>ROUND(F613*M613/100,2)</x:f>
        <x:v>5</x:v>
      </x:c>
      <x:c r="O613" t="str">
        <x:v>实际用油重</x:v>
      </x:c>
    </x:row>
    <x:row r="614" ht="23" customHeight="1">
      <x:c r="A614" t="n">
        <x:v>103</x:v>
      </x:c>
      <x:c r="B614" t="n">
        <x:v>52</x:v>
      </x:c>
      <x:c r="C614" t="str">
        <x:v>午餐</x:v>
      </x:c>
      <x:c r="D614" t="str">
        <x:v>猪肉</x:v>
      </x:c>
      <x:c r="E614" t="str">
        <x:v>猪里脊</x:v>
      </x:c>
      <x:c r="F614" t="n">
        <x:v>165</x:v>
      </x:c>
      <x:c r="G614" t="n">
        <x:v>120</x:v>
      </x:c>
      <x:c r="H614" t="n">
        <x:f>ROUND(F614*G614/100,2)</x:f>
        <x:v>198</x:v>
      </x:c>
      <x:c r="I614" t="n">
        <x:v>21</x:v>
      </x:c>
      <x:c r="J614" t="n">
        <x:f>ROUND(F614*I614/100,2)</x:f>
        <x:v>34.65</x:v>
      </x:c>
      <x:c r="K614" t="n">
        <x:v>0</x:v>
      </x:c>
      <x:c r="L614" t="n">
        <x:f>ROUND(F614*K614/100,2)</x:f>
        <x:v>0</x:v>
      </x:c>
      <x:c r="M614" t="n">
        <x:v>3.5</x:v>
      </x:c>
      <x:c r="N614" t="n">
        <x:f>ROUND(F614*M614/100,2)</x:f>
        <x:v>5.78</x:v>
      </x:c>
      <x:c r="O614" t="str">
        <x:v>生重</x:v>
      </x:c>
    </x:row>
    <x:row r="615" ht="23" customHeight="1">
      <x:c r="A615" t="n">
        <x:v>103</x:v>
      </x:c>
      <x:c r="B615" t="n">
        <x:v>52</x:v>
      </x:c>
      <x:c r="C615" t="str">
        <x:v>午餐</x:v>
      </x:c>
      <x:c r="D615" t="str"/>
      <x:c r="E615" t="str"/>
      <x:c r="F615" t="n">
        <x:v>0</x:v>
      </x:c>
      <x:c r="G615" t="n">
        <x:v>0</x:v>
      </x:c>
      <x:c r="H615" t="n">
        <x:f>ROUND(F615*G615/100,2)</x:f>
        <x:v>0</x:v>
      </x:c>
      <x:c r="I615" t="n">
        <x:v>0</x:v>
      </x:c>
      <x:c r="J615" t="n">
        <x:f>ROUND(F615*I615/100,2)</x:f>
        <x:v>0</x:v>
      </x:c>
      <x:c r="K615" t="n">
        <x:v>0</x:v>
      </x:c>
      <x:c r="L615" t="n">
        <x:f>ROUND(F615*K615/100,2)</x:f>
        <x:v>0</x:v>
      </x:c>
      <x:c r="M615" t="n">
        <x:v>0</x:v>
      </x:c>
      <x:c r="N615" t="n">
        <x:f>ROUND(F615*M615/100,2)</x:f>
        <x:v>0</x:v>
      </x:c>
      <x:c r="O615" t="str"/>
    </x:row>
    <x:row r="616" ht="23" customHeight="1">
      <x:c r="A616" t="n">
        <x:v>103</x:v>
      </x:c>
      <x:c r="B616" t="n">
        <x:v>52</x:v>
      </x:c>
      <x:c r="C616" t="str">
        <x:v>午餐</x:v>
      </x:c>
      <x:c r="D616" t="str">
        <x:v>蔬菜</x:v>
      </x:c>
      <x:c r="E616" t="str">
        <x:v>芹菜</x:v>
      </x:c>
      <x:c r="F616" t="n">
        <x:v>140</x:v>
      </x:c>
      <x:c r="G616" t="n">
        <x:v>17</x:v>
      </x:c>
      <x:c r="H616" t="n">
        <x:f>ROUND(F616*G616/100,2)</x:f>
        <x:v>23.8</x:v>
      </x:c>
      <x:c r="I616" t="n">
        <x:v>1</x:v>
      </x:c>
      <x:c r="J616" t="n">
        <x:f>ROUND(F616*I616/100,2)</x:f>
        <x:v>1.4</x:v>
      </x:c>
      <x:c r="K616" t="n">
        <x:v>3.5</x:v>
      </x:c>
      <x:c r="L616" t="n">
        <x:f>ROUND(F616*K616/100,2)</x:f>
        <x:v>4.9</x:v>
      </x:c>
      <x:c r="M616" t="n">
        <x:v>0.1</x:v>
      </x:c>
      <x:c r="N616" t="n">
        <x:f>ROUND(F616*M616/100,2)</x:f>
        <x:v>0.14</x:v>
      </x:c>
      <x:c r="O616" t="str">
        <x:v>生重</x:v>
      </x:c>
    </x:row>
    <x:row r="617" ht="23" customHeight="1">
      <x:c r="A617" t="n">
        <x:v>103</x:v>
      </x:c>
      <x:c r="B617" t="n">
        <x:v>52</x:v>
      </x:c>
      <x:c r="C617" t="str">
        <x:v>午餐</x:v>
      </x:c>
      <x:c r="D617" t="str">
        <x:v>蔬菜</x:v>
      </x:c>
      <x:c r="E617" t="str">
        <x:v>冬瓜</x:v>
      </x:c>
      <x:c r="F617" t="n">
        <x:v>140</x:v>
      </x:c>
      <x:c r="G617" t="n">
        <x:v>13</x:v>
      </x:c>
      <x:c r="H617" t="n">
        <x:f>ROUND(F617*G617/100,2)</x:f>
        <x:v>18.2</x:v>
      </x:c>
      <x:c r="I617" t="n">
        <x:v>0.4</x:v>
      </x:c>
      <x:c r="J617" t="n">
        <x:f>ROUND(F617*I617/100,2)</x:f>
        <x:v>0.56</x:v>
      </x:c>
      <x:c r="K617" t="n">
        <x:v>3</x:v>
      </x:c>
      <x:c r="L617" t="n">
        <x:f>ROUND(F617*K617/100,2)</x:f>
        <x:v>4.2</x:v>
      </x:c>
      <x:c r="M617" t="n">
        <x:v>0.2</x:v>
      </x:c>
      <x:c r="N617" t="n">
        <x:f>ROUND(F617*M617/100,2)</x:f>
        <x:v>0.28</x:v>
      </x:c>
      <x:c r="O617" t="str">
        <x:v>生重</x:v>
      </x:c>
    </x:row>
    <x:row r="618" ht="23" customHeight="1">
      <x:c r="A618" t="n">
        <x:v>103</x:v>
      </x:c>
      <x:c r="B618" t="n">
        <x:v>52</x:v>
      </x:c>
      <x:c r="C618" t="str">
        <x:v>午餐</x:v>
      </x:c>
      <x:c r="D618" t="str">
        <x:v>主食</x:v>
      </x:c>
      <x:c r="E618" t="str">
        <x:v>红薯</x:v>
      </x:c>
      <x:c r="F618" t="n">
        <x:v>125</x:v>
      </x:c>
      <x:c r="G618" t="n">
        <x:v>88</x:v>
      </x:c>
      <x:c r="H618" t="n">
        <x:f>ROUND(F618*G618/100,2)</x:f>
        <x:v>110</x:v>
      </x:c>
      <x:c r="I618" t="n">
        <x:v>1.6</x:v>
      </x:c>
      <x:c r="J618" t="n">
        <x:f>ROUND(F618*I618/100,2)</x:f>
        <x:v>2</x:v>
      </x:c>
      <x:c r="K618" t="n">
        <x:v>20.5</x:v>
      </x:c>
      <x:c r="L618" t="n">
        <x:f>ROUND(F618*K618/100,2)</x:f>
        <x:v>25.63</x:v>
      </x:c>
      <x:c r="M618" t="n">
        <x:v>0.1</x:v>
      </x:c>
      <x:c r="N618" t="n">
        <x:f>ROUND(F618*M618/100,2)</x:f>
        <x:v>0.13</x:v>
      </x:c>
      <x:c r="O618" t="str">
        <x:v>蒸熟净重</x:v>
      </x:c>
    </x:row>
    <x:row r="619" ht="23" customHeight="1">
      <x:c r="A619" t="n">
        <x:v>103</x:v>
      </x:c>
      <x:c r="B619" t="n">
        <x:v>52</x:v>
      </x:c>
      <x:c r="C619" t="str">
        <x:v>午餐</x:v>
      </x:c>
      <x:c r="D619" t="str">
        <x:v>油脂</x:v>
      </x:c>
      <x:c r="E619" t="str">
        <x:v>烹调油</x:v>
      </x:c>
      <x:c r="F619" t="n">
        <x:v>6</x:v>
      </x:c>
      <x:c r="G619" t="n">
        <x:v>900</x:v>
      </x:c>
      <x:c r="H619" t="n">
        <x:f>ROUND(F619*G619/100,2)</x:f>
        <x:v>54</x:v>
      </x:c>
      <x:c r="I619" t="n">
        <x:v>0</x:v>
      </x:c>
      <x:c r="J619" t="n">
        <x:f>ROUND(F619*I619/100,2)</x:f>
        <x:v>0</x:v>
      </x:c>
      <x:c r="K619" t="n">
        <x:v>0</x:v>
      </x:c>
      <x:c r="L619" t="n">
        <x:f>ROUND(F619*K619/100,2)</x:f>
        <x:v>0</x:v>
      </x:c>
      <x:c r="M619" t="n">
        <x:v>100</x:v>
      </x:c>
      <x:c r="N619" t="n">
        <x:f>ROUND(F619*M619/100,2)</x:f>
        <x:v>6</x:v>
      </x:c>
      <x:c r="O619" t="str">
        <x:v>实际用油重</x:v>
      </x:c>
    </x:row>
    <x:row r="620" ht="23" customHeight="1">
      <x:c r="A620" t="n">
        <x:v>104</x:v>
      </x:c>
      <x:c r="B620" t="n">
        <x:v>52</x:v>
      </x:c>
      <x:c r="C620" t="str">
        <x:v>晚餐</x:v>
      </x:c>
      <x:c r="D620" t="str">
        <x:v>牛肉</x:v>
      </x:c>
      <x:c r="E620" t="str">
        <x:v>牛里脊</x:v>
      </x:c>
      <x:c r="F620" t="n">
        <x:v>160</x:v>
      </x:c>
      <x:c r="G620" t="n">
        <x:v>130</x:v>
      </x:c>
      <x:c r="H620" t="n">
        <x:f>ROUND(F620*G620/100,2)</x:f>
        <x:v>208</x:v>
      </x:c>
      <x:c r="I620" t="n">
        <x:v>21</x:v>
      </x:c>
      <x:c r="J620" t="n">
        <x:f>ROUND(F620*I620/100,2)</x:f>
        <x:v>33.6</x:v>
      </x:c>
      <x:c r="K620" t="n">
        <x:v>0</x:v>
      </x:c>
      <x:c r="L620" t="n">
        <x:f>ROUND(F620*K620/100,2)</x:f>
        <x:v>0</x:v>
      </x:c>
      <x:c r="M620" t="n">
        <x:v>4.8</x:v>
      </x:c>
      <x:c r="N620" t="n">
        <x:f>ROUND(F620*M620/100,2)</x:f>
        <x:v>7.68</x:v>
      </x:c>
      <x:c r="O620" t="str">
        <x:v>生重</x:v>
      </x:c>
    </x:row>
    <x:row r="621" ht="23" customHeight="1">
      <x:c r="A621" t="n">
        <x:v>104</x:v>
      </x:c>
      <x:c r="B621" t="n">
        <x:v>52</x:v>
      </x:c>
      <x:c r="C621" t="str">
        <x:v>晚餐</x:v>
      </x:c>
      <x:c r="D621" t="str"/>
      <x:c r="E621" t="str"/>
      <x:c r="F621" t="n">
        <x:v>0</x:v>
      </x:c>
      <x:c r="G621" t="n">
        <x:v>0</x:v>
      </x:c>
      <x:c r="H621" t="n">
        <x:f>ROUND(F621*G621/100,2)</x:f>
        <x:v>0</x:v>
      </x:c>
      <x:c r="I621" t="n">
        <x:v>0</x:v>
      </x:c>
      <x:c r="J621" t="n">
        <x:f>ROUND(F621*I621/100,2)</x:f>
        <x:v>0</x:v>
      </x:c>
      <x:c r="K621" t="n">
        <x:v>0</x:v>
      </x:c>
      <x:c r="L621" t="n">
        <x:f>ROUND(F621*K621/100,2)</x:f>
        <x:v>0</x:v>
      </x:c>
      <x:c r="M621" t="n">
        <x:v>0</x:v>
      </x:c>
      <x:c r="N621" t="n">
        <x:f>ROUND(F621*M621/100,2)</x:f>
        <x:v>0</x:v>
      </x:c>
      <x:c r="O621" t="str"/>
    </x:row>
    <x:row r="622" ht="23" customHeight="1">
      <x:c r="A622" t="n">
        <x:v>104</x:v>
      </x:c>
      <x:c r="B622" t="n">
        <x:v>52</x:v>
      </x:c>
      <x:c r="C622" t="str">
        <x:v>晚餐</x:v>
      </x:c>
      <x:c r="D622" t="str">
        <x:v>蔬菜</x:v>
      </x:c>
      <x:c r="E622" t="str">
        <x:v>紫甘蓝</x:v>
      </x:c>
      <x:c r="F622" t="n">
        <x:v>175</x:v>
      </x:c>
      <x:c r="G622" t="n">
        <x:v>31</x:v>
      </x:c>
      <x:c r="H622" t="n">
        <x:f>ROUND(F622*G622/100,2)</x:f>
        <x:v>54.25</x:v>
      </x:c>
      <x:c r="I622" t="n">
        <x:v>1.4</x:v>
      </x:c>
      <x:c r="J622" t="n">
        <x:f>ROUND(F622*I622/100,2)</x:f>
        <x:v>2.45</x:v>
      </x:c>
      <x:c r="K622" t="n">
        <x:v>7.3</x:v>
      </x:c>
      <x:c r="L622" t="n">
        <x:f>ROUND(F622*K622/100,2)</x:f>
        <x:v>12.78</x:v>
      </x:c>
      <x:c r="M622" t="n">
        <x:v>0.1</x:v>
      </x:c>
      <x:c r="N622" t="n">
        <x:f>ROUND(F622*M622/100,2)</x:f>
        <x:v>0.18</x:v>
      </x:c>
      <x:c r="O622" t="str">
        <x:v>生重</x:v>
      </x:c>
    </x:row>
    <x:row r="623" ht="23" customHeight="1">
      <x:c r="A623" t="n">
        <x:v>104</x:v>
      </x:c>
      <x:c r="B623" t="n">
        <x:v>52</x:v>
      </x:c>
      <x:c r="C623" t="str">
        <x:v>晚餐</x:v>
      </x:c>
      <x:c r="D623" t="str">
        <x:v>菌菇</x:v>
      </x:c>
      <x:c r="E623" t="str">
        <x:v>金针菇</x:v>
      </x:c>
      <x:c r="F623" t="n">
        <x:v>125</x:v>
      </x:c>
      <x:c r="G623" t="n">
        <x:v>32</x:v>
      </x:c>
      <x:c r="H623" t="n">
        <x:f>ROUND(F623*G623/100,2)</x:f>
        <x:v>40</x:v>
      </x:c>
      <x:c r="I623" t="n">
        <x:v>2.4</x:v>
      </x:c>
      <x:c r="J623" t="n">
        <x:f>ROUND(F623*I623/100,2)</x:f>
        <x:v>3</x:v>
      </x:c>
      <x:c r="K623" t="n">
        <x:v>6.4</x:v>
      </x:c>
      <x:c r="L623" t="n">
        <x:f>ROUND(F623*K623/100,2)</x:f>
        <x:v>8</x:v>
      </x:c>
      <x:c r="M623" t="n">
        <x:v>0.2</x:v>
      </x:c>
      <x:c r="N623" t="n">
        <x:f>ROUND(F623*M623/100,2)</x:f>
        <x:v>0.25</x:v>
      </x:c>
      <x:c r="O623" t="str">
        <x:v>生重</x:v>
      </x:c>
    </x:row>
    <x:row r="624" ht="23" customHeight="1">
      <x:c r="A624" t="n">
        <x:v>104</x:v>
      </x:c>
      <x:c r="B624" t="n">
        <x:v>52</x:v>
      </x:c>
      <x:c r="C624" t="str">
        <x:v>晚餐</x:v>
      </x:c>
      <x:c r="D624" t="str">
        <x:v>主食</x:v>
      </x:c>
      <x:c r="E624" t="str">
        <x:v>白米饭</x:v>
      </x:c>
      <x:c r="F624" t="n">
        <x:v>95</x:v>
      </x:c>
      <x:c r="G624" t="n">
        <x:v>116</x:v>
      </x:c>
      <x:c r="H624" t="n">
        <x:f>ROUND(F624*G624/100,2)</x:f>
        <x:v>110.2</x:v>
      </x:c>
      <x:c r="I624" t="n">
        <x:v>2.6</x:v>
      </x:c>
      <x:c r="J624" t="n">
        <x:f>ROUND(F624*I624/100,2)</x:f>
        <x:v>2.47</x:v>
      </x:c>
      <x:c r="K624" t="n">
        <x:v>25.6</x:v>
      </x:c>
      <x:c r="L624" t="n">
        <x:f>ROUND(F624*K624/100,2)</x:f>
        <x:v>24.32</x:v>
      </x:c>
      <x:c r="M624" t="n">
        <x:v>0.3</x:v>
      </x:c>
      <x:c r="N624" t="n">
        <x:f>ROUND(F624*M624/100,2)</x:f>
        <x:v>0.28</x:v>
      </x:c>
      <x:c r="O624" t="str">
        <x:v>熟重</x:v>
      </x:c>
    </x:row>
    <x:row r="625" ht="23" customHeight="1">
      <x:c r="A625" t="n">
        <x:v>104</x:v>
      </x:c>
      <x:c r="B625" t="n">
        <x:v>52</x:v>
      </x:c>
      <x:c r="C625" t="str">
        <x:v>晚餐</x:v>
      </x:c>
      <x:c r="D625" t="str">
        <x:v>油脂</x:v>
      </x:c>
      <x:c r="E625" t="str">
        <x:v>烹调油</x:v>
      </x:c>
      <x:c r="F625" t="n">
        <x:v>6</x:v>
      </x:c>
      <x:c r="G625" t="n">
        <x:v>900</x:v>
      </x:c>
      <x:c r="H625" t="n">
        <x:f>ROUND(F625*G625/100,2)</x:f>
        <x:v>54</x:v>
      </x:c>
      <x:c r="I625" t="n">
        <x:v>0</x:v>
      </x:c>
      <x:c r="J625" t="n">
        <x:f>ROUND(F625*I625/100,2)</x:f>
        <x:v>0</x:v>
      </x:c>
      <x:c r="K625" t="n">
        <x:v>0</x:v>
      </x:c>
      <x:c r="L625" t="n">
        <x:f>ROUND(F625*K625/100,2)</x:f>
        <x:v>0</x:v>
      </x:c>
      <x:c r="M625" t="n">
        <x:v>100</x:v>
      </x:c>
      <x:c r="N625" t="n">
        <x:f>ROUND(F625*M625/100,2)</x:f>
        <x:v>6</x:v>
      </x:c>
      <x:c r="O625" t="str">
        <x:v>实际用油重</x:v>
      </x:c>
    </x:row>
    <x:row r="626" ht="23" customHeight="1">
      <x:c r="A626" t="n">
        <x:v>105</x:v>
      </x:c>
      <x:c r="B626" t="n">
        <x:v>53</x:v>
      </x:c>
      <x:c r="C626" t="str">
        <x:v>午餐</x:v>
      </x:c>
      <x:c r="D626" t="str">
        <x:v>海鲜</x:v>
      </x:c>
      <x:c r="E626" t="str">
        <x:v>花蛤肉</x:v>
      </x:c>
      <x:c r="F626" t="n">
        <x:v>190</x:v>
      </x:c>
      <x:c r="G626" t="n">
        <x:v>75</x:v>
      </x:c>
      <x:c r="H626" t="n">
        <x:f>ROUND(F626*G626/100,2)</x:f>
        <x:v>142.5</x:v>
      </x:c>
      <x:c r="I626" t="n">
        <x:v>13</x:v>
      </x:c>
      <x:c r="J626" t="n">
        <x:f>ROUND(F626*I626/100,2)</x:f>
        <x:v>24.7</x:v>
      </x:c>
      <x:c r="K626" t="n">
        <x:v>3.5</x:v>
      </x:c>
      <x:c r="L626" t="n">
        <x:f>ROUND(F626*K626/100,2)</x:f>
        <x:v>6.65</x:v>
      </x:c>
      <x:c r="M626" t="n">
        <x:v>1</x:v>
      </x:c>
      <x:c r="N626" t="n">
        <x:f>ROUND(F626*M626/100,2)</x:f>
        <x:v>1.9</x:v>
      </x:c>
      <x:c r="O626" t="str">
        <x:v>净肉生重</x:v>
      </x:c>
    </x:row>
    <x:row r="627" ht="23" customHeight="1">
      <x:c r="A627" t="n">
        <x:v>105</x:v>
      </x:c>
      <x:c r="B627" t="n">
        <x:v>53</x:v>
      </x:c>
      <x:c r="C627" t="str">
        <x:v>午餐</x:v>
      </x:c>
      <x:c r="D627" t="str"/>
      <x:c r="E627" t="str"/>
      <x:c r="F627" t="n">
        <x:v>0</x:v>
      </x:c>
      <x:c r="G627" t="n">
        <x:v>0</x:v>
      </x:c>
      <x:c r="H627" t="n">
        <x:f>ROUND(F627*G627/100,2)</x:f>
        <x:v>0</x:v>
      </x:c>
      <x:c r="I627" t="n">
        <x:v>0</x:v>
      </x:c>
      <x:c r="J627" t="n">
        <x:f>ROUND(F627*I627/100,2)</x:f>
        <x:v>0</x:v>
      </x:c>
      <x:c r="K627" t="n">
        <x:v>0</x:v>
      </x:c>
      <x:c r="L627" t="n">
        <x:f>ROUND(F627*K627/100,2)</x:f>
        <x:v>0</x:v>
      </x:c>
      <x:c r="M627" t="n">
        <x:v>0</x:v>
      </x:c>
      <x:c r="N627" t="n">
        <x:f>ROUND(F627*M627/100,2)</x:f>
        <x:v>0</x:v>
      </x:c>
      <x:c r="O627" t="str"/>
    </x:row>
    <x:row r="628" ht="23" customHeight="1">
      <x:c r="A628" t="n">
        <x:v>105</x:v>
      </x:c>
      <x:c r="B628" t="n">
        <x:v>53</x:v>
      </x:c>
      <x:c r="C628" t="str">
        <x:v>午餐</x:v>
      </x:c>
      <x:c r="D628" t="str">
        <x:v>蔬菜</x:v>
      </x:c>
      <x:c r="E628" t="str">
        <x:v>小白菜</x:v>
      </x:c>
      <x:c r="F628" t="n">
        <x:v>175</x:v>
      </x:c>
      <x:c r="G628" t="n">
        <x:v>17</x:v>
      </x:c>
      <x:c r="H628" t="n">
        <x:f>ROUND(F628*G628/100,2)</x:f>
        <x:v>29.75</x:v>
      </x:c>
      <x:c r="I628" t="n">
        <x:v>1.6</x:v>
      </x:c>
      <x:c r="J628" t="n">
        <x:f>ROUND(F628*I628/100,2)</x:f>
        <x:v>2.8</x:v>
      </x:c>
      <x:c r="K628" t="n">
        <x:v>2.8</x:v>
      </x:c>
      <x:c r="L628" t="n">
        <x:f>ROUND(F628*K628/100,2)</x:f>
        <x:v>4.9</x:v>
      </x:c>
      <x:c r="M628" t="n">
        <x:v>0.2</x:v>
      </x:c>
      <x:c r="N628" t="n">
        <x:f>ROUND(F628*M628/100,2)</x:f>
        <x:v>0.35</x:v>
      </x:c>
      <x:c r="O628" t="str">
        <x:v>生重</x:v>
      </x:c>
    </x:row>
    <x:row r="629" ht="23" customHeight="1">
      <x:c r="A629" t="n">
        <x:v>105</x:v>
      </x:c>
      <x:c r="B629" t="n">
        <x:v>53</x:v>
      </x:c>
      <x:c r="C629" t="str">
        <x:v>午餐</x:v>
      </x:c>
      <x:c r="D629" t="str">
        <x:v>菌菇</x:v>
      </x:c>
      <x:c r="E629" t="str">
        <x:v>口蘑</x:v>
      </x:c>
      <x:c r="F629" t="n">
        <x:v>125</x:v>
      </x:c>
      <x:c r="G629" t="n">
        <x:v>22</x:v>
      </x:c>
      <x:c r="H629" t="n">
        <x:f>ROUND(F629*G629/100,2)</x:f>
        <x:v>27.5</x:v>
      </x:c>
      <x:c r="I629" t="n">
        <x:v>3.1</x:v>
      </x:c>
      <x:c r="J629" t="n">
        <x:f>ROUND(F629*I629/100,2)</x:f>
        <x:v>3.88</x:v>
      </x:c>
      <x:c r="K629" t="n">
        <x:v>3.3</x:v>
      </x:c>
      <x:c r="L629" t="n">
        <x:f>ROUND(F629*K629/100,2)</x:f>
        <x:v>4.13</x:v>
      </x:c>
      <x:c r="M629" t="n">
        <x:v>0.3</x:v>
      </x:c>
      <x:c r="N629" t="n">
        <x:f>ROUND(F629*M629/100,2)</x:f>
        <x:v>0.38</x:v>
      </x:c>
      <x:c r="O629" t="str">
        <x:v>生重</x:v>
      </x:c>
    </x:row>
    <x:row r="630" ht="23" customHeight="1">
      <x:c r="A630" t="n">
        <x:v>105</x:v>
      </x:c>
      <x:c r="B630" t="n">
        <x:v>53</x:v>
      </x:c>
      <x:c r="C630" t="str">
        <x:v>午餐</x:v>
      </x:c>
      <x:c r="D630" t="str">
        <x:v>主食</x:v>
      </x:c>
      <x:c r="E630" t="str">
        <x:v>土豆</x:v>
      </x:c>
      <x:c r="F630" t="n">
        <x:v>155</x:v>
      </x:c>
      <x:c r="G630" t="n">
        <x:v>78</x:v>
      </x:c>
      <x:c r="H630" t="n">
        <x:f>ROUND(F630*G630/100,2)</x:f>
        <x:v>120.9</x:v>
      </x:c>
      <x:c r="I630" t="n">
        <x:v>2</x:v>
      </x:c>
      <x:c r="J630" t="n">
        <x:f>ROUND(F630*I630/100,2)</x:f>
        <x:v>3.1</x:v>
      </x:c>
      <x:c r="K630" t="n">
        <x:v>17.2</x:v>
      </x:c>
      <x:c r="L630" t="n">
        <x:f>ROUND(F630*K630/100,2)</x:f>
        <x:v>26.66</x:v>
      </x:c>
      <x:c r="M630" t="n">
        <x:v>0.1</x:v>
      </x:c>
      <x:c r="N630" t="n">
        <x:f>ROUND(F630*M630/100,2)</x:f>
        <x:v>0.16</x:v>
      </x:c>
      <x:c r="O630" t="str">
        <x:v>蒸熟净重</x:v>
      </x:c>
    </x:row>
    <x:row r="631" ht="23" customHeight="1">
      <x:c r="A631" t="n">
        <x:v>105</x:v>
      </x:c>
      <x:c r="B631" t="n">
        <x:v>53</x:v>
      </x:c>
      <x:c r="C631" t="str">
        <x:v>午餐</x:v>
      </x:c>
      <x:c r="D631" t="str">
        <x:v>油脂</x:v>
      </x:c>
      <x:c r="E631" t="str">
        <x:v>烹调油</x:v>
      </x:c>
      <x:c r="F631" t="n">
        <x:v>5</x:v>
      </x:c>
      <x:c r="G631" t="n">
        <x:v>900</x:v>
      </x:c>
      <x:c r="H631" t="n">
        <x:f>ROUND(F631*G631/100,2)</x:f>
        <x:v>45</x:v>
      </x:c>
      <x:c r="I631" t="n">
        <x:v>0</x:v>
      </x:c>
      <x:c r="J631" t="n">
        <x:f>ROUND(F631*I631/100,2)</x:f>
        <x:v>0</x:v>
      </x:c>
      <x:c r="K631" t="n">
        <x:v>0</x:v>
      </x:c>
      <x:c r="L631" t="n">
        <x:f>ROUND(F631*K631/100,2)</x:f>
        <x:v>0</x:v>
      </x:c>
      <x:c r="M631" t="n">
        <x:v>100</x:v>
      </x:c>
      <x:c r="N631" t="n">
        <x:f>ROUND(F631*M631/100,2)</x:f>
        <x:v>5</x:v>
      </x:c>
      <x:c r="O631" t="str">
        <x:v>实际用油重</x:v>
      </x:c>
    </x:row>
    <x:row r="632" ht="23" customHeight="1">
      <x:c r="A632" t="n">
        <x:v>106</x:v>
      </x:c>
      <x:c r="B632" t="n">
        <x:v>53</x:v>
      </x:c>
      <x:c r="C632" t="str">
        <x:v>晚餐</x:v>
      </x:c>
      <x:c r="D632" t="str">
        <x:v>海鲜</x:v>
      </x:c>
      <x:c r="E632" t="str">
        <x:v>虾仁</x:v>
      </x:c>
      <x:c r="F632" t="n">
        <x:v>160</x:v>
      </x:c>
      <x:c r="G632" t="n">
        <x:v>90</x:v>
      </x:c>
      <x:c r="H632" t="n">
        <x:f>ROUND(F632*G632/100,2)</x:f>
        <x:v>144</x:v>
      </x:c>
      <x:c r="I632" t="n">
        <x:v>19</x:v>
      </x:c>
      <x:c r="J632" t="n">
        <x:f>ROUND(F632*I632/100,2)</x:f>
        <x:v>30.4</x:v>
      </x:c>
      <x:c r="K632" t="n">
        <x:v>0.4</x:v>
      </x:c>
      <x:c r="L632" t="n">
        <x:f>ROUND(F632*K632/100,2)</x:f>
        <x:v>0.64</x:v>
      </x:c>
      <x:c r="M632" t="n">
        <x:v>1.1</x:v>
      </x:c>
      <x:c r="N632" t="n">
        <x:f>ROUND(F632*M632/100,2)</x:f>
        <x:v>1.76</x:v>
      </x:c>
      <x:c r="O632" t="str">
        <x:v>生重</x:v>
      </x:c>
    </x:row>
    <x:row r="633" ht="23" customHeight="1">
      <x:c r="A633" t="n">
        <x:v>106</x:v>
      </x:c>
      <x:c r="B633" t="n">
        <x:v>53</x:v>
      </x:c>
      <x:c r="C633" t="str">
        <x:v>晚餐</x:v>
      </x:c>
      <x:c r="D633" t="str">
        <x:v>豆蛋</x:v>
      </x:c>
      <x:c r="E633" t="str">
        <x:v>北豆腐</x:v>
      </x:c>
      <x:c r="F633" t="n">
        <x:v>130</x:v>
      </x:c>
      <x:c r="G633" t="n">
        <x:v>90</x:v>
      </x:c>
      <x:c r="H633" t="n">
        <x:f>ROUND(F633*G633/100,2)</x:f>
        <x:v>117</x:v>
      </x:c>
      <x:c r="I633" t="n">
        <x:v>10</x:v>
      </x:c>
      <x:c r="J633" t="n">
        <x:f>ROUND(F633*I633/100,2)</x:f>
        <x:v>13</x:v>
      </x:c>
      <x:c r="K633" t="n">
        <x:v>2</x:v>
      </x:c>
      <x:c r="L633" t="n">
        <x:f>ROUND(F633*K633/100,2)</x:f>
        <x:v>2.6</x:v>
      </x:c>
      <x:c r="M633" t="n">
        <x:v>5</x:v>
      </x:c>
      <x:c r="N633" t="n">
        <x:f>ROUND(F633*M633/100,2)</x:f>
        <x:v>6.5</x:v>
      </x:c>
      <x:c r="O633" t="str">
        <x:v>净重</x:v>
      </x:c>
    </x:row>
    <x:row r="634" ht="23" customHeight="1">
      <x:c r="A634" t="n">
        <x:v>106</x:v>
      </x:c>
      <x:c r="B634" t="n">
        <x:v>53</x:v>
      </x:c>
      <x:c r="C634" t="str">
        <x:v>晚餐</x:v>
      </x:c>
      <x:c r="D634" t="str">
        <x:v>蔬菜</x:v>
      </x:c>
      <x:c r="E634" t="str">
        <x:v>小白菜</x:v>
      </x:c>
      <x:c r="F634" t="n">
        <x:v>160</x:v>
      </x:c>
      <x:c r="G634" t="n">
        <x:v>17</x:v>
      </x:c>
      <x:c r="H634" t="n">
        <x:f>ROUND(F634*G634/100,2)</x:f>
        <x:v>27.2</x:v>
      </x:c>
      <x:c r="I634" t="n">
        <x:v>1.6</x:v>
      </x:c>
      <x:c r="J634" t="n">
        <x:f>ROUND(F634*I634/100,2)</x:f>
        <x:v>2.56</x:v>
      </x:c>
      <x:c r="K634" t="n">
        <x:v>2.8</x:v>
      </x:c>
      <x:c r="L634" t="n">
        <x:f>ROUND(F634*K634/100,2)</x:f>
        <x:v>4.48</x:v>
      </x:c>
      <x:c r="M634" t="n">
        <x:v>0.2</x:v>
      </x:c>
      <x:c r="N634" t="n">
        <x:f>ROUND(F634*M634/100,2)</x:f>
        <x:v>0.32</x:v>
      </x:c>
      <x:c r="O634" t="str">
        <x:v>生重</x:v>
      </x:c>
    </x:row>
    <x:row r="635" ht="23" customHeight="1">
      <x:c r="A635" t="n">
        <x:v>106</x:v>
      </x:c>
      <x:c r="B635" t="n">
        <x:v>53</x:v>
      </x:c>
      <x:c r="C635" t="str">
        <x:v>晚餐</x:v>
      </x:c>
      <x:c r="D635" t="str">
        <x:v>蔬菜</x:v>
      </x:c>
      <x:c r="E635" t="str">
        <x:v>海带</x:v>
      </x:c>
      <x:c r="F635" t="n">
        <x:v>125</x:v>
      </x:c>
      <x:c r="G635" t="n">
        <x:v>25</x:v>
      </x:c>
      <x:c r="H635" t="n">
        <x:f>ROUND(F635*G635/100,2)</x:f>
        <x:v>31.25</x:v>
      </x:c>
      <x:c r="I635" t="n">
        <x:v>1</x:v>
      </x:c>
      <x:c r="J635" t="n">
        <x:f>ROUND(F635*I635/100,2)</x:f>
        <x:v>1.25</x:v>
      </x:c>
      <x:c r="K635" t="n">
        <x:v>5</x:v>
      </x:c>
      <x:c r="L635" t="n">
        <x:f>ROUND(F635*K635/100,2)</x:f>
        <x:v>6.25</x:v>
      </x:c>
      <x:c r="M635" t="n">
        <x:v>0.1</x:v>
      </x:c>
      <x:c r="N635" t="n">
        <x:f>ROUND(F635*M635/100,2)</x:f>
        <x:v>0.13</x:v>
      </x:c>
      <x:c r="O635" t="str">
        <x:v>泡发沥水重</x:v>
      </x:c>
    </x:row>
    <x:row r="636" ht="23" customHeight="1">
      <x:c r="A636" t="n">
        <x:v>106</x:v>
      </x:c>
      <x:c r="B636" t="n">
        <x:v>53</x:v>
      </x:c>
      <x:c r="C636" t="str">
        <x:v>晚餐</x:v>
      </x:c>
      <x:c r="D636" t="str">
        <x:v>主食</x:v>
      </x:c>
      <x:c r="E636" t="str">
        <x:v>藜麦饭</x:v>
      </x:c>
      <x:c r="F636" t="n">
        <x:v>125</x:v>
      </x:c>
      <x:c r="G636" t="n">
        <x:v>120</x:v>
      </x:c>
      <x:c r="H636" t="n">
        <x:f>ROUND(F636*G636/100,2)</x:f>
        <x:v>150</x:v>
      </x:c>
      <x:c r="I636" t="n">
        <x:v>4.4</x:v>
      </x:c>
      <x:c r="J636" t="n">
        <x:f>ROUND(F636*I636/100,2)</x:f>
        <x:v>5.5</x:v>
      </x:c>
      <x:c r="K636" t="n">
        <x:v>21.3</x:v>
      </x:c>
      <x:c r="L636" t="n">
        <x:f>ROUND(F636*K636/100,2)</x:f>
        <x:v>26.63</x:v>
      </x:c>
      <x:c r="M636" t="n">
        <x:v>1.9</x:v>
      </x:c>
      <x:c r="N636" t="n">
        <x:f>ROUND(F636*M636/100,2)</x:f>
        <x:v>2.38</x:v>
      </x:c>
      <x:c r="O636" t="str">
        <x:v>熟重</x:v>
      </x:c>
    </x:row>
    <x:row r="637" ht="23" customHeight="1">
      <x:c r="A637" t="n">
        <x:v>106</x:v>
      </x:c>
      <x:c r="B637" t="n">
        <x:v>53</x:v>
      </x:c>
      <x:c r="C637" t="str">
        <x:v>晚餐</x:v>
      </x:c>
      <x:c r="D637" t="str">
        <x:v>油脂</x:v>
      </x:c>
      <x:c r="E637" t="str">
        <x:v>烹调油</x:v>
      </x:c>
      <x:c r="F637" t="n">
        <x:v>5</x:v>
      </x:c>
      <x:c r="G637" t="n">
        <x:v>900</x:v>
      </x:c>
      <x:c r="H637" t="n">
        <x:f>ROUND(F637*G637/100,2)</x:f>
        <x:v>45</x:v>
      </x:c>
      <x:c r="I637" t="n">
        <x:v>0</x:v>
      </x:c>
      <x:c r="J637" t="n">
        <x:f>ROUND(F637*I637/100,2)</x:f>
        <x:v>0</x:v>
      </x:c>
      <x:c r="K637" t="n">
        <x:v>0</x:v>
      </x:c>
      <x:c r="L637" t="n">
        <x:f>ROUND(F637*K637/100,2)</x:f>
        <x:v>0</x:v>
      </x:c>
      <x:c r="M637" t="n">
        <x:v>100</x:v>
      </x:c>
      <x:c r="N637" t="n">
        <x:f>ROUND(F637*M637/100,2)</x:f>
        <x:v>5</x:v>
      </x:c>
      <x:c r="O637" t="str">
        <x:v>实际用油重</x:v>
      </x:c>
    </x:row>
    <x:row r="638" ht="23" customHeight="1">
      <x:c r="A638" t="n">
        <x:v>107</x:v>
      </x:c>
      <x:c r="B638" t="n">
        <x:v>54</x:v>
      </x:c>
      <x:c r="C638" t="str">
        <x:v>午餐</x:v>
      </x:c>
      <x:c r="D638" t="str">
        <x:v>禽肉</x:v>
      </x:c>
      <x:c r="E638" t="str">
        <x:v>鸡胸肉</x:v>
      </x:c>
      <x:c r="F638" t="n">
        <x:v>165</x:v>
      </x:c>
      <x:c r="G638" t="n">
        <x:v>110</x:v>
      </x:c>
      <x:c r="H638" t="n">
        <x:f>ROUND(F638*G638/100,2)</x:f>
        <x:v>181.5</x:v>
      </x:c>
      <x:c r="I638" t="n">
        <x:v>23</x:v>
      </x:c>
      <x:c r="J638" t="n">
        <x:f>ROUND(F638*I638/100,2)</x:f>
        <x:v>37.95</x:v>
      </x:c>
      <x:c r="K638" t="n">
        <x:v>0</x:v>
      </x:c>
      <x:c r="L638" t="n">
        <x:f>ROUND(F638*K638/100,2)</x:f>
        <x:v>0</x:v>
      </x:c>
      <x:c r="M638" t="n">
        <x:v>2</x:v>
      </x:c>
      <x:c r="N638" t="n">
        <x:f>ROUND(F638*M638/100,2)</x:f>
        <x:v>3.3</x:v>
      </x:c>
      <x:c r="O638" t="str">
        <x:v>生重</x:v>
      </x:c>
    </x:row>
    <x:row r="639" ht="23" customHeight="1">
      <x:c r="A639" t="n">
        <x:v>107</x:v>
      </x:c>
      <x:c r="B639" t="n">
        <x:v>54</x:v>
      </x:c>
      <x:c r="C639" t="str">
        <x:v>午餐</x:v>
      </x:c>
      <x:c r="D639" t="str">
        <x:v>豆蛋</x:v>
      </x:c>
      <x:c r="E639" t="str">
        <x:v>北豆腐</x:v>
      </x:c>
      <x:c r="F639" t="n">
        <x:v>110</x:v>
      </x:c>
      <x:c r="G639" t="n">
        <x:v>90</x:v>
      </x:c>
      <x:c r="H639" t="n">
        <x:f>ROUND(F639*G639/100,2)</x:f>
        <x:v>99</x:v>
      </x:c>
      <x:c r="I639" t="n">
        <x:v>10</x:v>
      </x:c>
      <x:c r="J639" t="n">
        <x:f>ROUND(F639*I639/100,2)</x:f>
        <x:v>11</x:v>
      </x:c>
      <x:c r="K639" t="n">
        <x:v>2</x:v>
      </x:c>
      <x:c r="L639" t="n">
        <x:f>ROUND(F639*K639/100,2)</x:f>
        <x:v>2.2</x:v>
      </x:c>
      <x:c r="M639" t="n">
        <x:v>5</x:v>
      </x:c>
      <x:c r="N639" t="n">
        <x:f>ROUND(F639*M639/100,2)</x:f>
        <x:v>5.5</x:v>
      </x:c>
      <x:c r="O639" t="str">
        <x:v>净重</x:v>
      </x:c>
    </x:row>
    <x:row r="640" ht="23" customHeight="1">
      <x:c r="A640" t="n">
        <x:v>107</x:v>
      </x:c>
      <x:c r="B640" t="n">
        <x:v>54</x:v>
      </x:c>
      <x:c r="C640" t="str">
        <x:v>午餐</x:v>
      </x:c>
      <x:c r="D640" t="str">
        <x:v>蔬菜</x:v>
      </x:c>
      <x:c r="E640" t="str">
        <x:v>白萝卜</x:v>
      </x:c>
      <x:c r="F640" t="n">
        <x:v>160</x:v>
      </x:c>
      <x:c r="G640" t="n">
        <x:v>18</x:v>
      </x:c>
      <x:c r="H640" t="n">
        <x:f>ROUND(F640*G640/100,2)</x:f>
        <x:v>28.8</x:v>
      </x:c>
      <x:c r="I640" t="n">
        <x:v>0.6</x:v>
      </x:c>
      <x:c r="J640" t="n">
        <x:f>ROUND(F640*I640/100,2)</x:f>
        <x:v>0.96</x:v>
      </x:c>
      <x:c r="K640" t="n">
        <x:v>4</x:v>
      </x:c>
      <x:c r="L640" t="n">
        <x:f>ROUND(F640*K640/100,2)</x:f>
        <x:v>6.4</x:v>
      </x:c>
      <x:c r="M640" t="n">
        <x:v>0.1</x:v>
      </x:c>
      <x:c r="N640" t="n">
        <x:f>ROUND(F640*M640/100,2)</x:f>
        <x:v>0.16</x:v>
      </x:c>
      <x:c r="O640" t="str">
        <x:v>生重</x:v>
      </x:c>
    </x:row>
    <x:row r="641" ht="23" customHeight="1">
      <x:c r="A641" t="n">
        <x:v>107</x:v>
      </x:c>
      <x:c r="B641" t="n">
        <x:v>54</x:v>
      </x:c>
      <x:c r="C641" t="str">
        <x:v>午餐</x:v>
      </x:c>
      <x:c r="D641" t="str">
        <x:v>蔬菜</x:v>
      </x:c>
      <x:c r="E641" t="str">
        <x:v>芦笋</x:v>
      </x:c>
      <x:c r="F641" t="n">
        <x:v>125</x:v>
      </x:c>
      <x:c r="G641" t="n">
        <x:v>20</x:v>
      </x:c>
      <x:c r="H641" t="n">
        <x:f>ROUND(F641*G641/100,2)</x:f>
        <x:v>25</x:v>
      </x:c>
      <x:c r="I641" t="n">
        <x:v>2.2</x:v>
      </x:c>
      <x:c r="J641" t="n">
        <x:f>ROUND(F641*I641/100,2)</x:f>
        <x:v>2.75</x:v>
      </x:c>
      <x:c r="K641" t="n">
        <x:v>3.9</x:v>
      </x:c>
      <x:c r="L641" t="n">
        <x:f>ROUND(F641*K641/100,2)</x:f>
        <x:v>4.88</x:v>
      </x:c>
      <x:c r="M641" t="n">
        <x:v>0.1</x:v>
      </x:c>
      <x:c r="N641" t="n">
        <x:f>ROUND(F641*M641/100,2)</x:f>
        <x:v>0.13</x:v>
      </x:c>
      <x:c r="O641" t="str">
        <x:v>生重</x:v>
      </x:c>
    </x:row>
    <x:row r="642" ht="23" customHeight="1">
      <x:c r="A642" t="n">
        <x:v>107</x:v>
      </x:c>
      <x:c r="B642" t="n">
        <x:v>54</x:v>
      </x:c>
      <x:c r="C642" t="str">
        <x:v>午餐</x:v>
      </x:c>
      <x:c r="D642" t="str">
        <x:v>主食</x:v>
      </x:c>
      <x:c r="E642" t="str">
        <x:v>糙米饭</x:v>
      </x:c>
      <x:c r="F642" t="n">
        <x:v>110</x:v>
      </x:c>
      <x:c r="G642" t="n">
        <x:v>112</x:v>
      </x:c>
      <x:c r="H642" t="n">
        <x:f>ROUND(F642*G642/100,2)</x:f>
        <x:v>123.2</x:v>
      </x:c>
      <x:c r="I642" t="n">
        <x:v>2.6</x:v>
      </x:c>
      <x:c r="J642" t="n">
        <x:f>ROUND(F642*I642/100,2)</x:f>
        <x:v>2.86</x:v>
      </x:c>
      <x:c r="K642" t="n">
        <x:v>23.5</x:v>
      </x:c>
      <x:c r="L642" t="n">
        <x:f>ROUND(F642*K642/100,2)</x:f>
        <x:v>25.85</x:v>
      </x:c>
      <x:c r="M642" t="n">
        <x:v>0.9</x:v>
      </x:c>
      <x:c r="N642" t="n">
        <x:f>ROUND(F642*M642/100,2)</x:f>
        <x:v>0.99</x:v>
      </x:c>
      <x:c r="O642" t="str">
        <x:v>熟重</x:v>
      </x:c>
    </x:row>
    <x:row r="643" ht="23" customHeight="1">
      <x:c r="A643" t="n">
        <x:v>107</x:v>
      </x:c>
      <x:c r="B643" t="n">
        <x:v>54</x:v>
      </x:c>
      <x:c r="C643" t="str">
        <x:v>午餐</x:v>
      </x:c>
      <x:c r="D643" t="str">
        <x:v>油脂</x:v>
      </x:c>
      <x:c r="E643" t="str">
        <x:v>烹调油</x:v>
      </x:c>
      <x:c r="F643" t="n">
        <x:v>3</x:v>
      </x:c>
      <x:c r="G643" t="n">
        <x:v>900</x:v>
      </x:c>
      <x:c r="H643" t="n">
        <x:f>ROUND(F643*G643/100,2)</x:f>
        <x:v>27</x:v>
      </x:c>
      <x:c r="I643" t="n">
        <x:v>0</x:v>
      </x:c>
      <x:c r="J643" t="n">
        <x:f>ROUND(F643*I643/100,2)</x:f>
        <x:v>0</x:v>
      </x:c>
      <x:c r="K643" t="n">
        <x:v>0</x:v>
      </x:c>
      <x:c r="L643" t="n">
        <x:f>ROUND(F643*K643/100,2)</x:f>
        <x:v>0</x:v>
      </x:c>
      <x:c r="M643" t="n">
        <x:v>100</x:v>
      </x:c>
      <x:c r="N643" t="n">
        <x:f>ROUND(F643*M643/100,2)</x:f>
        <x:v>3</x:v>
      </x:c>
      <x:c r="O643" t="str">
        <x:v>实际用油重</x:v>
      </x:c>
    </x:row>
    <x:row r="644" ht="23" customHeight="1">
      <x:c r="A644" t="n">
        <x:v>108</x:v>
      </x:c>
      <x:c r="B644" t="n">
        <x:v>54</x:v>
      </x:c>
      <x:c r="C644" t="str">
        <x:v>晚餐</x:v>
      </x:c>
      <x:c r="D644" t="str">
        <x:v>牛肉</x:v>
      </x:c>
      <x:c r="E644" t="str">
        <x:v>牛腱子</x:v>
      </x:c>
      <x:c r="F644" t="n">
        <x:v>160</x:v>
      </x:c>
      <x:c r="G644" t="n">
        <x:v>140</x:v>
      </x:c>
      <x:c r="H644" t="n">
        <x:f>ROUND(F644*G644/100,2)</x:f>
        <x:v>224</x:v>
      </x:c>
      <x:c r="I644" t="n">
        <x:v>21</x:v>
      </x:c>
      <x:c r="J644" t="n">
        <x:f>ROUND(F644*I644/100,2)</x:f>
        <x:v>33.6</x:v>
      </x:c>
      <x:c r="K644" t="n">
        <x:v>0</x:v>
      </x:c>
      <x:c r="L644" t="n">
        <x:f>ROUND(F644*K644/100,2)</x:f>
        <x:v>0</x:v>
      </x:c>
      <x:c r="M644" t="n">
        <x:v>6</x:v>
      </x:c>
      <x:c r="N644" t="n">
        <x:f>ROUND(F644*M644/100,2)</x:f>
        <x:v>9.6</x:v>
      </x:c>
      <x:c r="O644" t="str">
        <x:v>生重</x:v>
      </x:c>
    </x:row>
    <x:row r="645" ht="23" customHeight="1">
      <x:c r="A645" t="n">
        <x:v>108</x:v>
      </x:c>
      <x:c r="B645" t="n">
        <x:v>54</x:v>
      </x:c>
      <x:c r="C645" t="str">
        <x:v>晚餐</x:v>
      </x:c>
      <x:c r="D645" t="str"/>
      <x:c r="E645" t="str"/>
      <x:c r="F645" t="n">
        <x:v>0</x:v>
      </x:c>
      <x:c r="G645" t="n">
        <x:v>0</x:v>
      </x:c>
      <x:c r="H645" t="n">
        <x:f>ROUND(F645*G645/100,2)</x:f>
        <x:v>0</x:v>
      </x:c>
      <x:c r="I645" t="n">
        <x:v>0</x:v>
      </x:c>
      <x:c r="J645" t="n">
        <x:f>ROUND(F645*I645/100,2)</x:f>
        <x:v>0</x:v>
      </x:c>
      <x:c r="K645" t="n">
        <x:v>0</x:v>
      </x:c>
      <x:c r="L645" t="n">
        <x:f>ROUND(F645*K645/100,2)</x:f>
        <x:v>0</x:v>
      </x:c>
      <x:c r="M645" t="n">
        <x:v>0</x:v>
      </x:c>
      <x:c r="N645" t="n">
        <x:f>ROUND(F645*M645/100,2)</x:f>
        <x:v>0</x:v>
      </x:c>
      <x:c r="O645" t="str"/>
    </x:row>
    <x:row r="646" ht="23" customHeight="1">
      <x:c r="A646" t="n">
        <x:v>108</x:v>
      </x:c>
      <x:c r="B646" t="n">
        <x:v>54</x:v>
      </x:c>
      <x:c r="C646" t="str">
        <x:v>晚餐</x:v>
      </x:c>
      <x:c r="D646" t="str">
        <x:v>蔬菜</x:v>
      </x:c>
      <x:c r="E646" t="str">
        <x:v>番茄</x:v>
      </x:c>
      <x:c r="F646" t="n">
        <x:v>140</x:v>
      </x:c>
      <x:c r="G646" t="n">
        <x:v>20</x:v>
      </x:c>
      <x:c r="H646" t="n">
        <x:f>ROUND(F646*G646/100,2)</x:f>
        <x:v>28</x:v>
      </x:c>
      <x:c r="I646" t="n">
        <x:v>0.9</x:v>
      </x:c>
      <x:c r="J646" t="n">
        <x:f>ROUND(F646*I646/100,2)</x:f>
        <x:v>1.26</x:v>
      </x:c>
      <x:c r="K646" t="n">
        <x:v>4</x:v>
      </x:c>
      <x:c r="L646" t="n">
        <x:f>ROUND(F646*K646/100,2)</x:f>
        <x:v>5.6</x:v>
      </x:c>
      <x:c r="M646" t="n">
        <x:v>0.2</x:v>
      </x:c>
      <x:c r="N646" t="n">
        <x:f>ROUND(F646*M646/100,2)</x:f>
        <x:v>0.28</x:v>
      </x:c>
      <x:c r="O646" t="str">
        <x:v>生重</x:v>
      </x:c>
    </x:row>
    <x:row r="647" ht="23" customHeight="1">
      <x:c r="A647" t="n">
        <x:v>108</x:v>
      </x:c>
      <x:c r="B647" t="n">
        <x:v>54</x:v>
      </x:c>
      <x:c r="C647" t="str">
        <x:v>晚餐</x:v>
      </x:c>
      <x:c r="D647" t="str">
        <x:v>菌菇</x:v>
      </x:c>
      <x:c r="E647" t="str">
        <x:v>口蘑</x:v>
      </x:c>
      <x:c r="F647" t="n">
        <x:v>155</x:v>
      </x:c>
      <x:c r="G647" t="n">
        <x:v>22</x:v>
      </x:c>
      <x:c r="H647" t="n">
        <x:f>ROUND(F647*G647/100,2)</x:f>
        <x:v>34.1</x:v>
      </x:c>
      <x:c r="I647" t="n">
        <x:v>3.1</x:v>
      </x:c>
      <x:c r="J647" t="n">
        <x:f>ROUND(F647*I647/100,2)</x:f>
        <x:v>4.81</x:v>
      </x:c>
      <x:c r="K647" t="n">
        <x:v>3.3</x:v>
      </x:c>
      <x:c r="L647" t="n">
        <x:f>ROUND(F647*K647/100,2)</x:f>
        <x:v>5.12</x:v>
      </x:c>
      <x:c r="M647" t="n">
        <x:v>0.3</x:v>
      </x:c>
      <x:c r="N647" t="n">
        <x:f>ROUND(F647*M647/100,2)</x:f>
        <x:v>0.47</x:v>
      </x:c>
      <x:c r="O647" t="str">
        <x:v>生重</x:v>
      </x:c>
    </x:row>
    <x:row r="648" ht="23" customHeight="1">
      <x:c r="A648" t="n">
        <x:v>108</x:v>
      </x:c>
      <x:c r="B648" t="n">
        <x:v>54</x:v>
      </x:c>
      <x:c r="C648" t="str">
        <x:v>晚餐</x:v>
      </x:c>
      <x:c r="D648" t="str">
        <x:v>主食</x:v>
      </x:c>
      <x:c r="E648" t="str">
        <x:v>荞麦饭</x:v>
      </x:c>
      <x:c r="F648" t="n">
        <x:v>135</x:v>
      </x:c>
      <x:c r="G648" t="n">
        <x:v>110</x:v>
      </x:c>
      <x:c r="H648" t="n">
        <x:f>ROUND(F648*G648/100,2)</x:f>
        <x:v>148.5</x:v>
      </x:c>
      <x:c r="I648" t="n">
        <x:v>3.4</x:v>
      </x:c>
      <x:c r="J648" t="n">
        <x:f>ROUND(F648*I648/100,2)</x:f>
        <x:v>4.59</x:v>
      </x:c>
      <x:c r="K648" t="n">
        <x:v>22</x:v>
      </x:c>
      <x:c r="L648" t="n">
        <x:f>ROUND(F648*K648/100,2)</x:f>
        <x:v>29.7</x:v>
      </x:c>
      <x:c r="M648" t="n">
        <x:v>1.1</x:v>
      </x:c>
      <x:c r="N648" t="n">
        <x:f>ROUND(F648*M648/100,2)</x:f>
        <x:v>1.49</x:v>
      </x:c>
      <x:c r="O648" t="str">
        <x:v>熟重</x:v>
      </x:c>
    </x:row>
    <x:row r="649" ht="23" customHeight="1">
      <x:c r="A649" t="n">
        <x:v>108</x:v>
      </x:c>
      <x:c r="B649" t="n">
        <x:v>54</x:v>
      </x:c>
      <x:c r="C649" t="str">
        <x:v>晚餐</x:v>
      </x:c>
      <x:c r="D649" t="str">
        <x:v>油脂</x:v>
      </x:c>
      <x:c r="E649" t="str">
        <x:v>烹调油</x:v>
      </x:c>
      <x:c r="F649" t="n">
        <x:v>5</x:v>
      </x:c>
      <x:c r="G649" t="n">
        <x:v>900</x:v>
      </x:c>
      <x:c r="H649" t="n">
        <x:f>ROUND(F649*G649/100,2)</x:f>
        <x:v>45</x:v>
      </x:c>
      <x:c r="I649" t="n">
        <x:v>0</x:v>
      </x:c>
      <x:c r="J649" t="n">
        <x:f>ROUND(F649*I649/100,2)</x:f>
        <x:v>0</x:v>
      </x:c>
      <x:c r="K649" t="n">
        <x:v>0</x:v>
      </x:c>
      <x:c r="L649" t="n">
        <x:f>ROUND(F649*K649/100,2)</x:f>
        <x:v>0</x:v>
      </x:c>
      <x:c r="M649" t="n">
        <x:v>100</x:v>
      </x:c>
      <x:c r="N649" t="n">
        <x:f>ROUND(F649*M649/100,2)</x:f>
        <x:v>5</x:v>
      </x:c>
      <x:c r="O649" t="str">
        <x:v>实际用油重</x:v>
      </x:c>
    </x:row>
    <x:row r="650" ht="23" customHeight="1">
      <x:c r="A650" t="n">
        <x:v>109</x:v>
      </x:c>
      <x:c r="B650" t="n">
        <x:v>55</x:v>
      </x:c>
      <x:c r="C650" t="str">
        <x:v>午餐</x:v>
      </x:c>
      <x:c r="D650" t="str">
        <x:v>牛肉</x:v>
      </x:c>
      <x:c r="E650" t="str">
        <x:v>瘦牛肉</x:v>
      </x:c>
      <x:c r="F650" t="n">
        <x:v>185</x:v>
      </x:c>
      <x:c r="G650" t="n">
        <x:v>125</x:v>
      </x:c>
      <x:c r="H650" t="n">
        <x:f>ROUND(F650*G650/100,2)</x:f>
        <x:v>231.25</x:v>
      </x:c>
      <x:c r="I650" t="n">
        <x:v>21</x:v>
      </x:c>
      <x:c r="J650" t="n">
        <x:f>ROUND(F650*I650/100,2)</x:f>
        <x:v>38.85</x:v>
      </x:c>
      <x:c r="K650" t="n">
        <x:v>0</x:v>
      </x:c>
      <x:c r="L650" t="n">
        <x:f>ROUND(F650*K650/100,2)</x:f>
        <x:v>0</x:v>
      </x:c>
      <x:c r="M650" t="n">
        <x:v>4</x:v>
      </x:c>
      <x:c r="N650" t="n">
        <x:f>ROUND(F650*M650/100,2)</x:f>
        <x:v>7.4</x:v>
      </x:c>
      <x:c r="O650" t="str">
        <x:v>生重</x:v>
      </x:c>
    </x:row>
    <x:row r="651" ht="23" customHeight="1">
      <x:c r="A651" t="n">
        <x:v>109</x:v>
      </x:c>
      <x:c r="B651" t="n">
        <x:v>55</x:v>
      </x:c>
      <x:c r="C651" t="str">
        <x:v>午餐</x:v>
      </x:c>
      <x:c r="D651" t="str"/>
      <x:c r="E651" t="str"/>
      <x:c r="F651" t="n">
        <x:v>0</x:v>
      </x:c>
      <x:c r="G651" t="n">
        <x:v>0</x:v>
      </x:c>
      <x:c r="H651" t="n">
        <x:f>ROUND(F651*G651/100,2)</x:f>
        <x:v>0</x:v>
      </x:c>
      <x:c r="I651" t="n">
        <x:v>0</x:v>
      </x:c>
      <x:c r="J651" t="n">
        <x:f>ROUND(F651*I651/100,2)</x:f>
        <x:v>0</x:v>
      </x:c>
      <x:c r="K651" t="n">
        <x:v>0</x:v>
      </x:c>
      <x:c r="L651" t="n">
        <x:f>ROUND(F651*K651/100,2)</x:f>
        <x:v>0</x:v>
      </x:c>
      <x:c r="M651" t="n">
        <x:v>0</x:v>
      </x:c>
      <x:c r="N651" t="n">
        <x:f>ROUND(F651*M651/100,2)</x:f>
        <x:v>0</x:v>
      </x:c>
      <x:c r="O651" t="str"/>
    </x:row>
    <x:row r="652" ht="23" customHeight="1">
      <x:c r="A652" t="n">
        <x:v>109</x:v>
      </x:c>
      <x:c r="B652" t="n">
        <x:v>55</x:v>
      </x:c>
      <x:c r="C652" t="str">
        <x:v>午餐</x:v>
      </x:c>
      <x:c r="D652" t="str">
        <x:v>蔬菜</x:v>
      </x:c>
      <x:c r="E652" t="str">
        <x:v>菜心</x:v>
      </x:c>
      <x:c r="F652" t="n">
        <x:v>175</x:v>
      </x:c>
      <x:c r="G652" t="n">
        <x:v>20</x:v>
      </x:c>
      <x:c r="H652" t="n">
        <x:f>ROUND(F652*G652/100,2)</x:f>
        <x:v>35</x:v>
      </x:c>
      <x:c r="I652" t="n">
        <x:v>2</x:v>
      </x:c>
      <x:c r="J652" t="n">
        <x:f>ROUND(F652*I652/100,2)</x:f>
        <x:v>3.5</x:v>
      </x:c>
      <x:c r="K652" t="n">
        <x:v>3.5</x:v>
      </x:c>
      <x:c r="L652" t="n">
        <x:f>ROUND(F652*K652/100,2)</x:f>
        <x:v>6.13</x:v>
      </x:c>
      <x:c r="M652" t="n">
        <x:v>0.3</x:v>
      </x:c>
      <x:c r="N652" t="n">
        <x:f>ROUND(F652*M652/100,2)</x:f>
        <x:v>0.53</x:v>
      </x:c>
      <x:c r="O652" t="str">
        <x:v>生重</x:v>
      </x:c>
    </x:row>
    <x:row r="653" ht="23" customHeight="1">
      <x:c r="A653" t="n">
        <x:v>109</x:v>
      </x:c>
      <x:c r="B653" t="n">
        <x:v>55</x:v>
      </x:c>
      <x:c r="C653" t="str">
        <x:v>午餐</x:v>
      </x:c>
      <x:c r="D653" t="str">
        <x:v>蔬菜</x:v>
      </x:c>
      <x:c r="E653" t="str">
        <x:v>洋葱</x:v>
      </x:c>
      <x:c r="F653" t="n">
        <x:v>125</x:v>
      </x:c>
      <x:c r="G653" t="n">
        <x:v>40</x:v>
      </x:c>
      <x:c r="H653" t="n">
        <x:f>ROUND(F653*G653/100,2)</x:f>
        <x:v>50</x:v>
      </x:c>
      <x:c r="I653" t="n">
        <x:v>1.1</x:v>
      </x:c>
      <x:c r="J653" t="n">
        <x:f>ROUND(F653*I653/100,2)</x:f>
        <x:v>1.38</x:v>
      </x:c>
      <x:c r="K653" t="n">
        <x:v>9.3</x:v>
      </x:c>
      <x:c r="L653" t="n">
        <x:f>ROUND(F653*K653/100,2)</x:f>
        <x:v>11.63</x:v>
      </x:c>
      <x:c r="M653" t="n">
        <x:v>0.1</x:v>
      </x:c>
      <x:c r="N653" t="n">
        <x:f>ROUND(F653*M653/100,2)</x:f>
        <x:v>0.13</x:v>
      </x:c>
      <x:c r="O653" t="str">
        <x:v>生重</x:v>
      </x:c>
    </x:row>
    <x:row r="654" ht="23" customHeight="1">
      <x:c r="A654" t="n">
        <x:v>109</x:v>
      </x:c>
      <x:c r="B654" t="n">
        <x:v>55</x:v>
      </x:c>
      <x:c r="C654" t="str">
        <x:v>午餐</x:v>
      </x:c>
      <x:c r="D654" t="str">
        <x:v>主食</x:v>
      </x:c>
      <x:c r="E654" t="str">
        <x:v>玉米</x:v>
      </x:c>
      <x:c r="F654" t="n">
        <x:v>150</x:v>
      </x:c>
      <x:c r="G654" t="n">
        <x:v>105</x:v>
      </x:c>
      <x:c r="H654" t="n">
        <x:f>ROUND(F654*G654/100,2)</x:f>
        <x:v>157.5</x:v>
      </x:c>
      <x:c r="I654" t="n">
        <x:v>3.4</x:v>
      </x:c>
      <x:c r="J654" t="n">
        <x:f>ROUND(F654*I654/100,2)</x:f>
        <x:v>5.1</x:v>
      </x:c>
      <x:c r="K654" t="n">
        <x:v>22</x:v>
      </x:c>
      <x:c r="L654" t="n">
        <x:f>ROUND(F654*K654/100,2)</x:f>
        <x:v>33</x:v>
      </x:c>
      <x:c r="M654" t="n">
        <x:v>1.5</x:v>
      </x:c>
      <x:c r="N654" t="n">
        <x:f>ROUND(F654*M654/100,2)</x:f>
        <x:v>2.25</x:v>
      </x:c>
      <x:c r="O654" t="str">
        <x:v>蒸熟净重</x:v>
      </x:c>
    </x:row>
    <x:row r="655" ht="23" customHeight="1">
      <x:c r="A655" t="n">
        <x:v>109</x:v>
      </x:c>
      <x:c r="B655" t="n">
        <x:v>55</x:v>
      </x:c>
      <x:c r="C655" t="str">
        <x:v>午餐</x:v>
      </x:c>
      <x:c r="D655" t="str">
        <x:v>油脂</x:v>
      </x:c>
      <x:c r="E655" t="str">
        <x:v>烹调油</x:v>
      </x:c>
      <x:c r="F655" t="n">
        <x:v>4</x:v>
      </x:c>
      <x:c r="G655" t="n">
        <x:v>900</x:v>
      </x:c>
      <x:c r="H655" t="n">
        <x:f>ROUND(F655*G655/100,2)</x:f>
        <x:v>36</x:v>
      </x:c>
      <x:c r="I655" t="n">
        <x:v>0</x:v>
      </x:c>
      <x:c r="J655" t="n">
        <x:f>ROUND(F655*I655/100,2)</x:f>
        <x:v>0</x:v>
      </x:c>
      <x:c r="K655" t="n">
        <x:v>0</x:v>
      </x:c>
      <x:c r="L655" t="n">
        <x:f>ROUND(F655*K655/100,2)</x:f>
        <x:v>0</x:v>
      </x:c>
      <x:c r="M655" t="n">
        <x:v>100</x:v>
      </x:c>
      <x:c r="N655" t="n">
        <x:f>ROUND(F655*M655/100,2)</x:f>
        <x:v>4</x:v>
      </x:c>
      <x:c r="O655" t="str">
        <x:v>实际用油重</x:v>
      </x:c>
    </x:row>
    <x:row r="656" ht="23" customHeight="1">
      <x:c r="A656" t="n">
        <x:v>110</x:v>
      </x:c>
      <x:c r="B656" t="n">
        <x:v>55</x:v>
      </x:c>
      <x:c r="C656" t="str">
        <x:v>晚餐</x:v>
      </x:c>
      <x:c r="D656" t="str">
        <x:v>猪肉</x:v>
      </x:c>
      <x:c r="E656" t="str">
        <x:v>猪里脊</x:v>
      </x:c>
      <x:c r="F656" t="n">
        <x:v>170</x:v>
      </x:c>
      <x:c r="G656" t="n">
        <x:v>120</x:v>
      </x:c>
      <x:c r="H656" t="n">
        <x:f>ROUND(F656*G656/100,2)</x:f>
        <x:v>204</x:v>
      </x:c>
      <x:c r="I656" t="n">
        <x:v>21</x:v>
      </x:c>
      <x:c r="J656" t="n">
        <x:f>ROUND(F656*I656/100,2)</x:f>
        <x:v>35.7</x:v>
      </x:c>
      <x:c r="K656" t="n">
        <x:v>0</x:v>
      </x:c>
      <x:c r="L656" t="n">
        <x:f>ROUND(F656*K656/100,2)</x:f>
        <x:v>0</x:v>
      </x:c>
      <x:c r="M656" t="n">
        <x:v>3.5</x:v>
      </x:c>
      <x:c r="N656" t="n">
        <x:f>ROUND(F656*M656/100,2)</x:f>
        <x:v>5.95</x:v>
      </x:c>
      <x:c r="O656" t="str">
        <x:v>生重</x:v>
      </x:c>
    </x:row>
    <x:row r="657" ht="23" customHeight="1">
      <x:c r="A657" t="n">
        <x:v>110</x:v>
      </x:c>
      <x:c r="B657" t="n">
        <x:v>55</x:v>
      </x:c>
      <x:c r="C657" t="str">
        <x:v>晚餐</x:v>
      </x:c>
      <x:c r="D657" t="str"/>
      <x:c r="E657" t="str"/>
      <x:c r="F657" t="n">
        <x:v>0</x:v>
      </x:c>
      <x:c r="G657" t="n">
        <x:v>0</x:v>
      </x:c>
      <x:c r="H657" t="n">
        <x:f>ROUND(F657*G657/100,2)</x:f>
        <x:v>0</x:v>
      </x:c>
      <x:c r="I657" t="n">
        <x:v>0</x:v>
      </x:c>
      <x:c r="J657" t="n">
        <x:f>ROUND(F657*I657/100,2)</x:f>
        <x:v>0</x:v>
      </x:c>
      <x:c r="K657" t="n">
        <x:v>0</x:v>
      </x:c>
      <x:c r="L657" t="n">
        <x:f>ROUND(F657*K657/100,2)</x:f>
        <x:v>0</x:v>
      </x:c>
      <x:c r="M657" t="n">
        <x:v>0</x:v>
      </x:c>
      <x:c r="N657" t="n">
        <x:f>ROUND(F657*M657/100,2)</x:f>
        <x:v>0</x:v>
      </x:c>
      <x:c r="O657" t="str"/>
    </x:row>
    <x:row r="658" ht="23" customHeight="1">
      <x:c r="A658" t="n">
        <x:v>110</x:v>
      </x:c>
      <x:c r="B658" t="n">
        <x:v>55</x:v>
      </x:c>
      <x:c r="C658" t="str">
        <x:v>晚餐</x:v>
      </x:c>
      <x:c r="D658" t="str">
        <x:v>蔬菜</x:v>
      </x:c>
      <x:c r="E658" t="str">
        <x:v>白萝卜</x:v>
      </x:c>
      <x:c r="F658" t="n">
        <x:v>140</x:v>
      </x:c>
      <x:c r="G658" t="n">
        <x:v>18</x:v>
      </x:c>
      <x:c r="H658" t="n">
        <x:f>ROUND(F658*G658/100,2)</x:f>
        <x:v>25.2</x:v>
      </x:c>
      <x:c r="I658" t="n">
        <x:v>0.6</x:v>
      </x:c>
      <x:c r="J658" t="n">
        <x:f>ROUND(F658*I658/100,2)</x:f>
        <x:v>0.84</x:v>
      </x:c>
      <x:c r="K658" t="n">
        <x:v>4</x:v>
      </x:c>
      <x:c r="L658" t="n">
        <x:f>ROUND(F658*K658/100,2)</x:f>
        <x:v>5.6</x:v>
      </x:c>
      <x:c r="M658" t="n">
        <x:v>0.1</x:v>
      </x:c>
      <x:c r="N658" t="n">
        <x:f>ROUND(F658*M658/100,2)</x:f>
        <x:v>0.14</x:v>
      </x:c>
      <x:c r="O658" t="str">
        <x:v>生重</x:v>
      </x:c>
    </x:row>
    <x:row r="659" ht="23" customHeight="1">
      <x:c r="A659" t="n">
        <x:v>110</x:v>
      </x:c>
      <x:c r="B659" t="n">
        <x:v>55</x:v>
      </x:c>
      <x:c r="C659" t="str">
        <x:v>晚餐</x:v>
      </x:c>
      <x:c r="D659" t="str">
        <x:v>蔬菜</x:v>
      </x:c>
      <x:c r="E659" t="str">
        <x:v>彩椒</x:v>
      </x:c>
      <x:c r="F659" t="n">
        <x:v>110</x:v>
      </x:c>
      <x:c r="G659" t="n">
        <x:v>27</x:v>
      </x:c>
      <x:c r="H659" t="n">
        <x:f>ROUND(F659*G659/100,2)</x:f>
        <x:v>29.7</x:v>
      </x:c>
      <x:c r="I659" t="n">
        <x:v>1</x:v>
      </x:c>
      <x:c r="J659" t="n">
        <x:f>ROUND(F659*I659/100,2)</x:f>
        <x:v>1.1</x:v>
      </x:c>
      <x:c r="K659" t="n">
        <x:v>6.1</x:v>
      </x:c>
      <x:c r="L659" t="n">
        <x:f>ROUND(F659*K659/100,2)</x:f>
        <x:v>6.71</x:v>
      </x:c>
      <x:c r="M659" t="n">
        <x:v>0.2</x:v>
      </x:c>
      <x:c r="N659" t="n">
        <x:f>ROUND(F659*M659/100,2)</x:f>
        <x:v>0.22</x:v>
      </x:c>
      <x:c r="O659" t="str">
        <x:v>生重</x:v>
      </x:c>
    </x:row>
    <x:row r="660" ht="23" customHeight="1">
      <x:c r="A660" t="n">
        <x:v>110</x:v>
      </x:c>
      <x:c r="B660" t="n">
        <x:v>55</x:v>
      </x:c>
      <x:c r="C660" t="str">
        <x:v>晚餐</x:v>
      </x:c>
      <x:c r="D660" t="str">
        <x:v>主食</x:v>
      </x:c>
      <x:c r="E660" t="str">
        <x:v>玉米</x:v>
      </x:c>
      <x:c r="F660" t="n">
        <x:v>135</x:v>
      </x:c>
      <x:c r="G660" t="n">
        <x:v>105</x:v>
      </x:c>
      <x:c r="H660" t="n">
        <x:f>ROUND(F660*G660/100,2)</x:f>
        <x:v>141.75</x:v>
      </x:c>
      <x:c r="I660" t="n">
        <x:v>3.4</x:v>
      </x:c>
      <x:c r="J660" t="n">
        <x:f>ROUND(F660*I660/100,2)</x:f>
        <x:v>4.59</x:v>
      </x:c>
      <x:c r="K660" t="n">
        <x:v>22</x:v>
      </x:c>
      <x:c r="L660" t="n">
        <x:f>ROUND(F660*K660/100,2)</x:f>
        <x:v>29.7</x:v>
      </x:c>
      <x:c r="M660" t="n">
        <x:v>1.5</x:v>
      </x:c>
      <x:c r="N660" t="n">
        <x:f>ROUND(F660*M660/100,2)</x:f>
        <x:v>2.03</x:v>
      </x:c>
      <x:c r="O660" t="str">
        <x:v>蒸熟净重</x:v>
      </x:c>
    </x:row>
    <x:row r="661" ht="23" customHeight="1">
      <x:c r="A661" t="n">
        <x:v>110</x:v>
      </x:c>
      <x:c r="B661" t="n">
        <x:v>55</x:v>
      </x:c>
      <x:c r="C661" t="str">
        <x:v>晚餐</x:v>
      </x:c>
      <x:c r="D661" t="str">
        <x:v>油脂</x:v>
      </x:c>
      <x:c r="E661" t="str">
        <x:v>烹调油</x:v>
      </x:c>
      <x:c r="F661" t="n">
        <x:v>5</x:v>
      </x:c>
      <x:c r="G661" t="n">
        <x:v>900</x:v>
      </x:c>
      <x:c r="H661" t="n">
        <x:f>ROUND(F661*G661/100,2)</x:f>
        <x:v>45</x:v>
      </x:c>
      <x:c r="I661" t="n">
        <x:v>0</x:v>
      </x:c>
      <x:c r="J661" t="n">
        <x:f>ROUND(F661*I661/100,2)</x:f>
        <x:v>0</x:v>
      </x:c>
      <x:c r="K661" t="n">
        <x:v>0</x:v>
      </x:c>
      <x:c r="L661" t="n">
        <x:f>ROUND(F661*K661/100,2)</x:f>
        <x:v>0</x:v>
      </x:c>
      <x:c r="M661" t="n">
        <x:v>100</x:v>
      </x:c>
      <x:c r="N661" t="n">
        <x:f>ROUND(F661*M661/100,2)</x:f>
        <x:v>5</x:v>
      </x:c>
      <x:c r="O661" t="str">
        <x:v>实际用油重</x:v>
      </x:c>
    </x:row>
    <x:row r="662" ht="23" customHeight="1">
      <x:c r="A662" t="n">
        <x:v>111</x:v>
      </x:c>
      <x:c r="B662" t="n">
        <x:v>56</x:v>
      </x:c>
      <x:c r="C662" t="str">
        <x:v>午餐</x:v>
      </x:c>
      <x:c r="D662" t="str">
        <x:v>禽肉</x:v>
      </x:c>
      <x:c r="E662" t="str">
        <x:v>鸡胸肉</x:v>
      </x:c>
      <x:c r="F662" t="n">
        <x:v>165</x:v>
      </x:c>
      <x:c r="G662" t="n">
        <x:v>110</x:v>
      </x:c>
      <x:c r="H662" t="n">
        <x:f>ROUND(F662*G662/100,2)</x:f>
        <x:v>181.5</x:v>
      </x:c>
      <x:c r="I662" t="n">
        <x:v>23</x:v>
      </x:c>
      <x:c r="J662" t="n">
        <x:f>ROUND(F662*I662/100,2)</x:f>
        <x:v>37.95</x:v>
      </x:c>
      <x:c r="K662" t="n">
        <x:v>0</x:v>
      </x:c>
      <x:c r="L662" t="n">
        <x:f>ROUND(F662*K662/100,2)</x:f>
        <x:v>0</x:v>
      </x:c>
      <x:c r="M662" t="n">
        <x:v>2</x:v>
      </x:c>
      <x:c r="N662" t="n">
        <x:f>ROUND(F662*M662/100,2)</x:f>
        <x:v>3.3</x:v>
      </x:c>
      <x:c r="O662" t="str">
        <x:v>生重</x:v>
      </x:c>
    </x:row>
    <x:row r="663" ht="23" customHeight="1">
      <x:c r="A663" t="n">
        <x:v>111</x:v>
      </x:c>
      <x:c r="B663" t="n">
        <x:v>56</x:v>
      </x:c>
      <x:c r="C663" t="str">
        <x:v>午餐</x:v>
      </x:c>
      <x:c r="D663" t="str">
        <x:v>豆蛋</x:v>
      </x:c>
      <x:c r="E663" t="str">
        <x:v>北豆腐</x:v>
      </x:c>
      <x:c r="F663" t="n">
        <x:v>90</x:v>
      </x:c>
      <x:c r="G663" t="n">
        <x:v>90</x:v>
      </x:c>
      <x:c r="H663" t="n">
        <x:f>ROUND(F663*G663/100,2)</x:f>
        <x:v>81</x:v>
      </x:c>
      <x:c r="I663" t="n">
        <x:v>10</x:v>
      </x:c>
      <x:c r="J663" t="n">
        <x:f>ROUND(F663*I663/100,2)</x:f>
        <x:v>9</x:v>
      </x:c>
      <x:c r="K663" t="n">
        <x:v>2</x:v>
      </x:c>
      <x:c r="L663" t="n">
        <x:f>ROUND(F663*K663/100,2)</x:f>
        <x:v>1.8</x:v>
      </x:c>
      <x:c r="M663" t="n">
        <x:v>5</x:v>
      </x:c>
      <x:c r="N663" t="n">
        <x:f>ROUND(F663*M663/100,2)</x:f>
        <x:v>4.5</x:v>
      </x:c>
      <x:c r="O663" t="str">
        <x:v>净重</x:v>
      </x:c>
    </x:row>
    <x:row r="664" ht="23" customHeight="1">
      <x:c r="A664" t="n">
        <x:v>111</x:v>
      </x:c>
      <x:c r="B664" t="n">
        <x:v>56</x:v>
      </x:c>
      <x:c r="C664" t="str">
        <x:v>午餐</x:v>
      </x:c>
      <x:c r="D664" t="str">
        <x:v>蔬菜</x:v>
      </x:c>
      <x:c r="E664" t="str">
        <x:v>菠菜</x:v>
      </x:c>
      <x:c r="F664" t="n">
        <x:v>175</x:v>
      </x:c>
      <x:c r="G664" t="n">
        <x:v>23</x:v>
      </x:c>
      <x:c r="H664" t="n">
        <x:f>ROUND(F664*G664/100,2)</x:f>
        <x:v>40.25</x:v>
      </x:c>
      <x:c r="I664" t="n">
        <x:v>2.9</x:v>
      </x:c>
      <x:c r="J664" t="n">
        <x:f>ROUND(F664*I664/100,2)</x:f>
        <x:v>5.08</x:v>
      </x:c>
      <x:c r="K664" t="n">
        <x:v>3.6</x:v>
      </x:c>
      <x:c r="L664" t="n">
        <x:f>ROUND(F664*K664/100,2)</x:f>
        <x:v>6.3</x:v>
      </x:c>
      <x:c r="M664" t="n">
        <x:v>0.4</x:v>
      </x:c>
      <x:c r="N664" t="n">
        <x:f>ROUND(F664*M664/100,2)</x:f>
        <x:v>0.7</x:v>
      </x:c>
      <x:c r="O664" t="str">
        <x:v>生重</x:v>
      </x:c>
    </x:row>
    <x:row r="665" ht="23" customHeight="1">
      <x:c r="A665" t="n">
        <x:v>111</x:v>
      </x:c>
      <x:c r="B665" t="n">
        <x:v>56</x:v>
      </x:c>
      <x:c r="C665" t="str">
        <x:v>午餐</x:v>
      </x:c>
      <x:c r="D665" t="str">
        <x:v>菌菇</x:v>
      </x:c>
      <x:c r="E665" t="str">
        <x:v>口蘑</x:v>
      </x:c>
      <x:c r="F665" t="n">
        <x:v>155</x:v>
      </x:c>
      <x:c r="G665" t="n">
        <x:v>22</x:v>
      </x:c>
      <x:c r="H665" t="n">
        <x:f>ROUND(F665*G665/100,2)</x:f>
        <x:v>34.1</x:v>
      </x:c>
      <x:c r="I665" t="n">
        <x:v>3.1</x:v>
      </x:c>
      <x:c r="J665" t="n">
        <x:f>ROUND(F665*I665/100,2)</x:f>
        <x:v>4.81</x:v>
      </x:c>
      <x:c r="K665" t="n">
        <x:v>3.3</x:v>
      </x:c>
      <x:c r="L665" t="n">
        <x:f>ROUND(F665*K665/100,2)</x:f>
        <x:v>5.12</x:v>
      </x:c>
      <x:c r="M665" t="n">
        <x:v>0.3</x:v>
      </x:c>
      <x:c r="N665" t="n">
        <x:f>ROUND(F665*M665/100,2)</x:f>
        <x:v>0.47</x:v>
      </x:c>
      <x:c r="O665" t="str">
        <x:v>生重</x:v>
      </x:c>
    </x:row>
    <x:row r="666" ht="23" customHeight="1">
      <x:c r="A666" t="n">
        <x:v>111</x:v>
      </x:c>
      <x:c r="B666" t="n">
        <x:v>56</x:v>
      </x:c>
      <x:c r="C666" t="str">
        <x:v>午餐</x:v>
      </x:c>
      <x:c r="D666" t="str">
        <x:v>主食</x:v>
      </x:c>
      <x:c r="E666" t="str">
        <x:v>全麦面</x:v>
      </x:c>
      <x:c r="F666" t="n">
        <x:v>125</x:v>
      </x:c>
      <x:c r="G666" t="n">
        <x:v>124</x:v>
      </x:c>
      <x:c r="H666" t="n">
        <x:f>ROUND(F666*G666/100,2)</x:f>
        <x:v>155</x:v>
      </x:c>
      <x:c r="I666" t="n">
        <x:v>5</x:v>
      </x:c>
      <x:c r="J666" t="n">
        <x:f>ROUND(F666*I666/100,2)</x:f>
        <x:v>6.25</x:v>
      </x:c>
      <x:c r="K666" t="n">
        <x:v>25</x:v>
      </x:c>
      <x:c r="L666" t="n">
        <x:f>ROUND(F666*K666/100,2)</x:f>
        <x:v>31.25</x:v>
      </x:c>
      <x:c r="M666" t="n">
        <x:v>1.1</x:v>
      </x:c>
      <x:c r="N666" t="n">
        <x:f>ROUND(F666*M666/100,2)</x:f>
        <x:v>1.38</x:v>
      </x:c>
      <x:c r="O666" t="str">
        <x:v>煮熟沥水重</x:v>
      </x:c>
    </x:row>
    <x:row r="667" ht="23" customHeight="1">
      <x:c r="A667" t="n">
        <x:v>111</x:v>
      </x:c>
      <x:c r="B667" t="n">
        <x:v>56</x:v>
      </x:c>
      <x:c r="C667" t="str">
        <x:v>午餐</x:v>
      </x:c>
      <x:c r="D667" t="str">
        <x:v>油脂</x:v>
      </x:c>
      <x:c r="E667" t="str">
        <x:v>烹调油</x:v>
      </x:c>
      <x:c r="F667" t="n">
        <x:v>4</x:v>
      </x:c>
      <x:c r="G667" t="n">
        <x:v>900</x:v>
      </x:c>
      <x:c r="H667" t="n">
        <x:f>ROUND(F667*G667/100,2)</x:f>
        <x:v>36</x:v>
      </x:c>
      <x:c r="I667" t="n">
        <x:v>0</x:v>
      </x:c>
      <x:c r="J667" t="n">
        <x:f>ROUND(F667*I667/100,2)</x:f>
        <x:v>0</x:v>
      </x:c>
      <x:c r="K667" t="n">
        <x:v>0</x:v>
      </x:c>
      <x:c r="L667" t="n">
        <x:f>ROUND(F667*K667/100,2)</x:f>
        <x:v>0</x:v>
      </x:c>
      <x:c r="M667" t="n">
        <x:v>100</x:v>
      </x:c>
      <x:c r="N667" t="n">
        <x:f>ROUND(F667*M667/100,2)</x:f>
        <x:v>4</x:v>
      </x:c>
      <x:c r="O667" t="str">
        <x:v>实际用油重</x:v>
      </x:c>
    </x:row>
    <x:row r="668" ht="23" customHeight="1">
      <x:c r="A668" t="n">
        <x:v>112</x:v>
      </x:c>
      <x:c r="B668" t="n">
        <x:v>56</x:v>
      </x:c>
      <x:c r="C668" t="str">
        <x:v>晚餐</x:v>
      </x:c>
      <x:c r="D668" t="str">
        <x:v>豆蛋</x:v>
      </x:c>
      <x:c r="E668" t="str">
        <x:v>嫩豆腐</x:v>
      </x:c>
      <x:c r="F668" t="n">
        <x:v>300</x:v>
      </x:c>
      <x:c r="G668" t="n">
        <x:v>55</x:v>
      </x:c>
      <x:c r="H668" t="n">
        <x:f>ROUND(F668*G668/100,2)</x:f>
        <x:v>165</x:v>
      </x:c>
      <x:c r="I668" t="n">
        <x:v>5</x:v>
      </x:c>
      <x:c r="J668" t="n">
        <x:f>ROUND(F668*I668/100,2)</x:f>
        <x:v>15</x:v>
      </x:c>
      <x:c r="K668" t="n">
        <x:v>2</x:v>
      </x:c>
      <x:c r="L668" t="n">
        <x:f>ROUND(F668*K668/100,2)</x:f>
        <x:v>6</x:v>
      </x:c>
      <x:c r="M668" t="n">
        <x:v>2.8</x:v>
      </x:c>
      <x:c r="N668" t="n">
        <x:f>ROUND(F668*M668/100,2)</x:f>
        <x:v>8.4</x:v>
      </x:c>
      <x:c r="O668" t="str">
        <x:v>净重</x:v>
      </x:c>
    </x:row>
    <x:row r="669" ht="23" customHeight="1">
      <x:c r="A669" t="n">
        <x:v>112</x:v>
      </x:c>
      <x:c r="B669" t="n">
        <x:v>56</x:v>
      </x:c>
      <x:c r="C669" t="str">
        <x:v>晚餐</x:v>
      </x:c>
      <x:c r="D669" t="str"/>
      <x:c r="E669" t="str"/>
      <x:c r="F669" t="n">
        <x:v>0</x:v>
      </x:c>
      <x:c r="G669" t="n">
        <x:v>0</x:v>
      </x:c>
      <x:c r="H669" t="n">
        <x:f>ROUND(F669*G669/100,2)</x:f>
        <x:v>0</x:v>
      </x:c>
      <x:c r="I669" t="n">
        <x:v>0</x:v>
      </x:c>
      <x:c r="J669" t="n">
        <x:f>ROUND(F669*I669/100,2)</x:f>
        <x:v>0</x:v>
      </x:c>
      <x:c r="K669" t="n">
        <x:v>0</x:v>
      </x:c>
      <x:c r="L669" t="n">
        <x:f>ROUND(F669*K669/100,2)</x:f>
        <x:v>0</x:v>
      </x:c>
      <x:c r="M669" t="n">
        <x:v>0</x:v>
      </x:c>
      <x:c r="N669" t="n">
        <x:f>ROUND(F669*M669/100,2)</x:f>
        <x:v>0</x:v>
      </x:c>
      <x:c r="O669" t="str"/>
    </x:row>
    <x:row r="670" ht="23" customHeight="1">
      <x:c r="A670" t="n">
        <x:v>112</x:v>
      </x:c>
      <x:c r="B670" t="n">
        <x:v>56</x:v>
      </x:c>
      <x:c r="C670" t="str">
        <x:v>晚餐</x:v>
      </x:c>
      <x:c r="D670" t="str">
        <x:v>蔬菜</x:v>
      </x:c>
      <x:c r="E670" t="str">
        <x:v>大白菜</x:v>
      </x:c>
      <x:c r="F670" t="n">
        <x:v>190</x:v>
      </x:c>
      <x:c r="G670" t="n">
        <x:v>17</x:v>
      </x:c>
      <x:c r="H670" t="n">
        <x:f>ROUND(F670*G670/100,2)</x:f>
        <x:v>32.3</x:v>
      </x:c>
      <x:c r="I670" t="n">
        <x:v>1.5</x:v>
      </x:c>
      <x:c r="J670" t="n">
        <x:f>ROUND(F670*I670/100,2)</x:f>
        <x:v>2.85</x:v>
      </x:c>
      <x:c r="K670" t="n">
        <x:v>3.2</x:v>
      </x:c>
      <x:c r="L670" t="n">
        <x:f>ROUND(F670*K670/100,2)</x:f>
        <x:v>6.08</x:v>
      </x:c>
      <x:c r="M670" t="n">
        <x:v>0.1</x:v>
      </x:c>
      <x:c r="N670" t="n">
        <x:f>ROUND(F670*M670/100,2)</x:f>
        <x:v>0.19</x:v>
      </x:c>
      <x:c r="O670" t="str">
        <x:v>生重</x:v>
      </x:c>
    </x:row>
    <x:row r="671" ht="23" customHeight="1">
      <x:c r="A671" t="n">
        <x:v>112</x:v>
      </x:c>
      <x:c r="B671" t="n">
        <x:v>56</x:v>
      </x:c>
      <x:c r="C671" t="str">
        <x:v>晚餐</x:v>
      </x:c>
      <x:c r="D671" t="str">
        <x:v>蔬菜</x:v>
      </x:c>
      <x:c r="E671" t="str">
        <x:v>番茄</x:v>
      </x:c>
      <x:c r="F671" t="n">
        <x:v>140</x:v>
      </x:c>
      <x:c r="G671" t="n">
        <x:v>20</x:v>
      </x:c>
      <x:c r="H671" t="n">
        <x:f>ROUND(F671*G671/100,2)</x:f>
        <x:v>28</x:v>
      </x:c>
      <x:c r="I671" t="n">
        <x:v>0.9</x:v>
      </x:c>
      <x:c r="J671" t="n">
        <x:f>ROUND(F671*I671/100,2)</x:f>
        <x:v>1.26</x:v>
      </x:c>
      <x:c r="K671" t="n">
        <x:v>4</x:v>
      </x:c>
      <x:c r="L671" t="n">
        <x:f>ROUND(F671*K671/100,2)</x:f>
        <x:v>5.6</x:v>
      </x:c>
      <x:c r="M671" t="n">
        <x:v>0.2</x:v>
      </x:c>
      <x:c r="N671" t="n">
        <x:f>ROUND(F671*M671/100,2)</x:f>
        <x:v>0.28</x:v>
      </x:c>
      <x:c r="O671" t="str">
        <x:v>生重</x:v>
      </x:c>
    </x:row>
    <x:row r="672" ht="23" customHeight="1">
      <x:c r="A672" t="n">
        <x:v>112</x:v>
      </x:c>
      <x:c r="B672" t="n">
        <x:v>56</x:v>
      </x:c>
      <x:c r="C672" t="str">
        <x:v>晚餐</x:v>
      </x:c>
      <x:c r="D672" t="str">
        <x:v>主食</x:v>
      </x:c>
      <x:c r="E672" t="str">
        <x:v>燕麦饭</x:v>
      </x:c>
      <x:c r="F672" t="n">
        <x:v>135</x:v>
      </x:c>
      <x:c r="G672" t="n">
        <x:v>110</x:v>
      </x:c>
      <x:c r="H672" t="n">
        <x:f>ROUND(F672*G672/100,2)</x:f>
        <x:v>148.5</x:v>
      </x:c>
      <x:c r="I672" t="n">
        <x:v>3.2</x:v>
      </x:c>
      <x:c r="J672" t="n">
        <x:f>ROUND(F672*I672/100,2)</x:f>
        <x:v>4.32</x:v>
      </x:c>
      <x:c r="K672" t="n">
        <x:v>21</x:v>
      </x:c>
      <x:c r="L672" t="n">
        <x:f>ROUND(F672*K672/100,2)</x:f>
        <x:v>28.35</x:v>
      </x:c>
      <x:c r="M672" t="n">
        <x:v>1.8</x:v>
      </x:c>
      <x:c r="N672" t="n">
        <x:f>ROUND(F672*M672/100,2)</x:f>
        <x:v>2.43</x:v>
      </x:c>
      <x:c r="O672" t="str">
        <x:v>熟重</x:v>
      </x:c>
    </x:row>
    <x:row r="673" ht="23" customHeight="1">
      <x:c r="A673" t="n">
        <x:v>112</x:v>
      </x:c>
      <x:c r="B673" t="n">
        <x:v>56</x:v>
      </x:c>
      <x:c r="C673" t="str">
        <x:v>晚餐</x:v>
      </x:c>
      <x:c r="D673" t="str">
        <x:v>油脂</x:v>
      </x:c>
      <x:c r="E673" t="str">
        <x:v>烹调油</x:v>
      </x:c>
      <x:c r="F673" t="n">
        <x:v>5</x:v>
      </x:c>
      <x:c r="G673" t="n">
        <x:v>900</x:v>
      </x:c>
      <x:c r="H673" t="n">
        <x:f>ROUND(F673*G673/100,2)</x:f>
        <x:v>45</x:v>
      </x:c>
      <x:c r="I673" t="n">
        <x:v>0</x:v>
      </x:c>
      <x:c r="J673" t="n">
        <x:f>ROUND(F673*I673/100,2)</x:f>
        <x:v>0</x:v>
      </x:c>
      <x:c r="K673" t="n">
        <x:v>0</x:v>
      </x:c>
      <x:c r="L673" t="n">
        <x:f>ROUND(F673*K673/100,2)</x:f>
        <x:v>0</x:v>
      </x:c>
      <x:c r="M673" t="n">
        <x:v>100</x:v>
      </x:c>
      <x:c r="N673" t="n">
        <x:f>ROUND(F673*M673/100,2)</x:f>
        <x:v>5</x:v>
      </x:c>
      <x:c r="O673" t="str">
        <x:v>实际用油重</x:v>
      </x:c>
    </x:row>
    <x:row r="674" ht="23" customHeight="1">
      <x:c r="A674" t="n">
        <x:v>113</x:v>
      </x:c>
      <x:c r="B674" t="n">
        <x:v>57</x:v>
      </x:c>
      <x:c r="C674" t="str">
        <x:v>午餐</x:v>
      </x:c>
      <x:c r="D674" t="str">
        <x:v>牛肉</x:v>
      </x:c>
      <x:c r="E674" t="str">
        <x:v>瘦牛肉</x:v>
      </x:c>
      <x:c r="F674" t="n">
        <x:v>185</x:v>
      </x:c>
      <x:c r="G674" t="n">
        <x:v>125</x:v>
      </x:c>
      <x:c r="H674" t="n">
        <x:f>ROUND(F674*G674/100,2)</x:f>
        <x:v>231.25</x:v>
      </x:c>
      <x:c r="I674" t="n">
        <x:v>21</x:v>
      </x:c>
      <x:c r="J674" t="n">
        <x:f>ROUND(F674*I674/100,2)</x:f>
        <x:v>38.85</x:v>
      </x:c>
      <x:c r="K674" t="n">
        <x:v>0</x:v>
      </x:c>
      <x:c r="L674" t="n">
        <x:f>ROUND(F674*K674/100,2)</x:f>
        <x:v>0</x:v>
      </x:c>
      <x:c r="M674" t="n">
        <x:v>4</x:v>
      </x:c>
      <x:c r="N674" t="n">
        <x:f>ROUND(F674*M674/100,2)</x:f>
        <x:v>7.4</x:v>
      </x:c>
      <x:c r="O674" t="str">
        <x:v>生重</x:v>
      </x:c>
    </x:row>
    <x:row r="675" ht="23" customHeight="1">
      <x:c r="A675" t="n">
        <x:v>113</x:v>
      </x:c>
      <x:c r="B675" t="n">
        <x:v>57</x:v>
      </x:c>
      <x:c r="C675" t="str">
        <x:v>午餐</x:v>
      </x:c>
      <x:c r="D675" t="str"/>
      <x:c r="E675" t="str"/>
      <x:c r="F675" t="n">
        <x:v>0</x:v>
      </x:c>
      <x:c r="G675" t="n">
        <x:v>0</x:v>
      </x:c>
      <x:c r="H675" t="n">
        <x:f>ROUND(F675*G675/100,2)</x:f>
        <x:v>0</x:v>
      </x:c>
      <x:c r="I675" t="n">
        <x:v>0</x:v>
      </x:c>
      <x:c r="J675" t="n">
        <x:f>ROUND(F675*I675/100,2)</x:f>
        <x:v>0</x:v>
      </x:c>
      <x:c r="K675" t="n">
        <x:v>0</x:v>
      </x:c>
      <x:c r="L675" t="n">
        <x:f>ROUND(F675*K675/100,2)</x:f>
        <x:v>0</x:v>
      </x:c>
      <x:c r="M675" t="n">
        <x:v>0</x:v>
      </x:c>
      <x:c r="N675" t="n">
        <x:f>ROUND(F675*M675/100,2)</x:f>
        <x:v>0</x:v>
      </x:c>
      <x:c r="O675" t="str"/>
    </x:row>
    <x:row r="676" ht="23" customHeight="1">
      <x:c r="A676" t="n">
        <x:v>113</x:v>
      </x:c>
      <x:c r="B676" t="n">
        <x:v>57</x:v>
      </x:c>
      <x:c r="C676" t="str">
        <x:v>午餐</x:v>
      </x:c>
      <x:c r="D676" t="str">
        <x:v>蔬菜</x:v>
      </x:c>
      <x:c r="E676" t="str">
        <x:v>菠菜</x:v>
      </x:c>
      <x:c r="F676" t="n">
        <x:v>140</x:v>
      </x:c>
      <x:c r="G676" t="n">
        <x:v>23</x:v>
      </x:c>
      <x:c r="H676" t="n">
        <x:f>ROUND(F676*G676/100,2)</x:f>
        <x:v>32.2</x:v>
      </x:c>
      <x:c r="I676" t="n">
        <x:v>2.9</x:v>
      </x:c>
      <x:c r="J676" t="n">
        <x:f>ROUND(F676*I676/100,2)</x:f>
        <x:v>4.06</x:v>
      </x:c>
      <x:c r="K676" t="n">
        <x:v>3.6</x:v>
      </x:c>
      <x:c r="L676" t="n">
        <x:f>ROUND(F676*K676/100,2)</x:f>
        <x:v>5.04</x:v>
      </x:c>
      <x:c r="M676" t="n">
        <x:v>0.4</x:v>
      </x:c>
      <x:c r="N676" t="n">
        <x:f>ROUND(F676*M676/100,2)</x:f>
        <x:v>0.56</x:v>
      </x:c>
      <x:c r="O676" t="str">
        <x:v>生重</x:v>
      </x:c>
    </x:row>
    <x:row r="677" ht="23" customHeight="1">
      <x:c r="A677" t="n">
        <x:v>113</x:v>
      </x:c>
      <x:c r="B677" t="n">
        <x:v>57</x:v>
      </x:c>
      <x:c r="C677" t="str">
        <x:v>午餐</x:v>
      </x:c>
      <x:c r="D677" t="str">
        <x:v>菌菇</x:v>
      </x:c>
      <x:c r="E677" t="str">
        <x:v>杏鲍菇</x:v>
      </x:c>
      <x:c r="F677" t="n">
        <x:v>140</x:v>
      </x:c>
      <x:c r="G677" t="n">
        <x:v>35</x:v>
      </x:c>
      <x:c r="H677" t="n">
        <x:f>ROUND(F677*G677/100,2)</x:f>
        <x:v>49</x:v>
      </x:c>
      <x:c r="I677" t="n">
        <x:v>2</x:v>
      </x:c>
      <x:c r="J677" t="n">
        <x:f>ROUND(F677*I677/100,2)</x:f>
        <x:v>2.8</x:v>
      </x:c>
      <x:c r="K677" t="n">
        <x:v>7.4</x:v>
      </x:c>
      <x:c r="L677" t="n">
        <x:f>ROUND(F677*K677/100,2)</x:f>
        <x:v>10.36</x:v>
      </x:c>
      <x:c r="M677" t="n">
        <x:v>0.3</x:v>
      </x:c>
      <x:c r="N677" t="n">
        <x:f>ROUND(F677*M677/100,2)</x:f>
        <x:v>0.42</x:v>
      </x:c>
      <x:c r="O677" t="str">
        <x:v>生重</x:v>
      </x:c>
    </x:row>
    <x:row r="678" ht="23" customHeight="1">
      <x:c r="A678" t="n">
        <x:v>113</x:v>
      </x:c>
      <x:c r="B678" t="n">
        <x:v>57</x:v>
      </x:c>
      <x:c r="C678" t="str">
        <x:v>午餐</x:v>
      </x:c>
      <x:c r="D678" t="str">
        <x:v>低主食</x:v>
      </x:c>
      <x:c r="E678" t="str">
        <x:v>魔芋丝</x:v>
      </x:c>
      <x:c r="F678" t="n">
        <x:v>200</x:v>
      </x:c>
      <x:c r="G678" t="n">
        <x:v>9</x:v>
      </x:c>
      <x:c r="H678" t="n">
        <x:f>ROUND(F678*G678/100,2)</x:f>
        <x:v>18</x:v>
      </x:c>
      <x:c r="I678" t="n">
        <x:v>0.3</x:v>
      </x:c>
      <x:c r="J678" t="n">
        <x:f>ROUND(F678*I678/100,2)</x:f>
        <x:v>0.6</x:v>
      </x:c>
      <x:c r="K678" t="n">
        <x:v>2</x:v>
      </x:c>
      <x:c r="L678" t="n">
        <x:f>ROUND(F678*K678/100,2)</x:f>
        <x:v>4</x:v>
      </x:c>
      <x:c r="M678" t="n">
        <x:v>0</x:v>
      </x:c>
      <x:c r="N678" t="n">
        <x:f>ROUND(F678*M678/100,2)</x:f>
        <x:v>0</x:v>
      </x:c>
      <x:c r="O678" t="str">
        <x:v>沥水重</x:v>
      </x:c>
    </x:row>
    <x:row r="679" ht="23" customHeight="1">
      <x:c r="A679" t="n">
        <x:v>113</x:v>
      </x:c>
      <x:c r="B679" t="n">
        <x:v>57</x:v>
      </x:c>
      <x:c r="C679" t="str">
        <x:v>午餐</x:v>
      </x:c>
      <x:c r="D679" t="str">
        <x:v>油脂</x:v>
      </x:c>
      <x:c r="E679" t="str">
        <x:v>烹调油</x:v>
      </x:c>
      <x:c r="F679" t="n">
        <x:v>5</x:v>
      </x:c>
      <x:c r="G679" t="n">
        <x:v>900</x:v>
      </x:c>
      <x:c r="H679" t="n">
        <x:f>ROUND(F679*G679/100,2)</x:f>
        <x:v>45</x:v>
      </x:c>
      <x:c r="I679" t="n">
        <x:v>0</x:v>
      </x:c>
      <x:c r="J679" t="n">
        <x:f>ROUND(F679*I679/100,2)</x:f>
        <x:v>0</x:v>
      </x:c>
      <x:c r="K679" t="n">
        <x:v>0</x:v>
      </x:c>
      <x:c r="L679" t="n">
        <x:f>ROUND(F679*K679/100,2)</x:f>
        <x:v>0</x:v>
      </x:c>
      <x:c r="M679" t="n">
        <x:v>100</x:v>
      </x:c>
      <x:c r="N679" t="n">
        <x:f>ROUND(F679*M679/100,2)</x:f>
        <x:v>5</x:v>
      </x:c>
      <x:c r="O679" t="str">
        <x:v>实际用油重</x:v>
      </x:c>
    </x:row>
    <x:row r="680" ht="23" customHeight="1">
      <x:c r="A680" t="n">
        <x:v>114</x:v>
      </x:c>
      <x:c r="B680" t="n">
        <x:v>57</x:v>
      </x:c>
      <x:c r="C680" t="str">
        <x:v>晚餐</x:v>
      </x:c>
      <x:c r="D680" t="str">
        <x:v>海鲜</x:v>
      </x:c>
      <x:c r="E680" t="str">
        <x:v>鱿鱼</x:v>
      </x:c>
      <x:c r="F680" t="n">
        <x:v>160</x:v>
      </x:c>
      <x:c r="G680" t="n">
        <x:v>95</x:v>
      </x:c>
      <x:c r="H680" t="n">
        <x:f>ROUND(F680*G680/100,2)</x:f>
        <x:v>152</x:v>
      </x:c>
      <x:c r="I680" t="n">
        <x:v>17</x:v>
      </x:c>
      <x:c r="J680" t="n">
        <x:f>ROUND(F680*I680/100,2)</x:f>
        <x:v>27.2</x:v>
      </x:c>
      <x:c r="K680" t="n">
        <x:v>2</x:v>
      </x:c>
      <x:c r="L680" t="n">
        <x:f>ROUND(F680*K680/100,2)</x:f>
        <x:v>3.2</x:v>
      </x:c>
      <x:c r="M680" t="n">
        <x:v>1.4</x:v>
      </x:c>
      <x:c r="N680" t="n">
        <x:f>ROUND(F680*M680/100,2)</x:f>
        <x:v>2.24</x:v>
      </x:c>
      <x:c r="O680" t="str">
        <x:v>生重</x:v>
      </x:c>
    </x:row>
    <x:row r="681" ht="23" customHeight="1">
      <x:c r="A681" t="n">
        <x:v>114</x:v>
      </x:c>
      <x:c r="B681" t="n">
        <x:v>57</x:v>
      </x:c>
      <x:c r="C681" t="str">
        <x:v>晚餐</x:v>
      </x:c>
      <x:c r="D681" t="str"/>
      <x:c r="E681" t="str"/>
      <x:c r="F681" t="n">
        <x:v>0</x:v>
      </x:c>
      <x:c r="G681" t="n">
        <x:v>0</x:v>
      </x:c>
      <x:c r="H681" t="n">
        <x:f>ROUND(F681*G681/100,2)</x:f>
        <x:v>0</x:v>
      </x:c>
      <x:c r="I681" t="n">
        <x:v>0</x:v>
      </x:c>
      <x:c r="J681" t="n">
        <x:f>ROUND(F681*I681/100,2)</x:f>
        <x:v>0</x:v>
      </x:c>
      <x:c r="K681" t="n">
        <x:v>0</x:v>
      </x:c>
      <x:c r="L681" t="n">
        <x:f>ROUND(F681*K681/100,2)</x:f>
        <x:v>0</x:v>
      </x:c>
      <x:c r="M681" t="n">
        <x:v>0</x:v>
      </x:c>
      <x:c r="N681" t="n">
        <x:f>ROUND(F681*M681/100,2)</x:f>
        <x:v>0</x:v>
      </x:c>
      <x:c r="O681" t="str"/>
    </x:row>
    <x:row r="682" ht="23" customHeight="1">
      <x:c r="A682" t="n">
        <x:v>114</x:v>
      </x:c>
      <x:c r="B682" t="n">
        <x:v>57</x:v>
      </x:c>
      <x:c r="C682" t="str">
        <x:v>晚餐</x:v>
      </x:c>
      <x:c r="D682" t="str">
        <x:v>蔬菜</x:v>
      </x:c>
      <x:c r="E682" t="str">
        <x:v>四季豆</x:v>
      </x:c>
      <x:c r="F682" t="n">
        <x:v>140</x:v>
      </x:c>
      <x:c r="G682" t="n">
        <x:v>31</x:v>
      </x:c>
      <x:c r="H682" t="n">
        <x:f>ROUND(F682*G682/100,2)</x:f>
        <x:v>43.4</x:v>
      </x:c>
      <x:c r="I682" t="n">
        <x:v>1.8</x:v>
      </x:c>
      <x:c r="J682" t="n">
        <x:f>ROUND(F682*I682/100,2)</x:f>
        <x:v>2.52</x:v>
      </x:c>
      <x:c r="K682" t="n">
        <x:v>7</x:v>
      </x:c>
      <x:c r="L682" t="n">
        <x:f>ROUND(F682*K682/100,2)</x:f>
        <x:v>9.8</x:v>
      </x:c>
      <x:c r="M682" t="n">
        <x:v>0.1</x:v>
      </x:c>
      <x:c r="N682" t="n">
        <x:f>ROUND(F682*M682/100,2)</x:f>
        <x:v>0.14</x:v>
      </x:c>
      <x:c r="O682" t="str">
        <x:v>生重</x:v>
      </x:c>
    </x:row>
    <x:row r="683" ht="23" customHeight="1">
      <x:c r="A683" t="n">
        <x:v>114</x:v>
      </x:c>
      <x:c r="B683" t="n">
        <x:v>57</x:v>
      </x:c>
      <x:c r="C683" t="str">
        <x:v>晚餐</x:v>
      </x:c>
      <x:c r="D683" t="str">
        <x:v>菌菇</x:v>
      </x:c>
      <x:c r="E683" t="str">
        <x:v>香菇</x:v>
      </x:c>
      <x:c r="F683" t="n">
        <x:v>110</x:v>
      </x:c>
      <x:c r="G683" t="n">
        <x:v>34</x:v>
      </x:c>
      <x:c r="H683" t="n">
        <x:f>ROUND(F683*G683/100,2)</x:f>
        <x:v>37.4</x:v>
      </x:c>
      <x:c r="I683" t="n">
        <x:v>2.2</x:v>
      </x:c>
      <x:c r="J683" t="n">
        <x:f>ROUND(F683*I683/100,2)</x:f>
        <x:v>2.42</x:v>
      </x:c>
      <x:c r="K683" t="n">
        <x:v>6.8</x:v>
      </x:c>
      <x:c r="L683" t="n">
        <x:f>ROUND(F683*K683/100,2)</x:f>
        <x:v>7.48</x:v>
      </x:c>
      <x:c r="M683" t="n">
        <x:v>0.5</x:v>
      </x:c>
      <x:c r="N683" t="n">
        <x:f>ROUND(F683*M683/100,2)</x:f>
        <x:v>0.55</x:v>
      </x:c>
      <x:c r="O683" t="str">
        <x:v>生重</x:v>
      </x:c>
    </x:row>
    <x:row r="684" ht="23" customHeight="1">
      <x:c r="A684" t="n">
        <x:v>114</x:v>
      </x:c>
      <x:c r="B684" t="n">
        <x:v>57</x:v>
      </x:c>
      <x:c r="C684" t="str">
        <x:v>晚餐</x:v>
      </x:c>
      <x:c r="D684" t="str">
        <x:v>主食</x:v>
      </x:c>
      <x:c r="E684" t="str">
        <x:v>米粉</x:v>
      </x:c>
      <x:c r="F684" t="n">
        <x:v>110</x:v>
      </x:c>
      <x:c r="G684" t="n">
        <x:v>110</x:v>
      </x:c>
      <x:c r="H684" t="n">
        <x:f>ROUND(F684*G684/100,2)</x:f>
        <x:v>121</x:v>
      </x:c>
      <x:c r="I684" t="n">
        <x:v>2</x:v>
      </x:c>
      <x:c r="J684" t="n">
        <x:f>ROUND(F684*I684/100,2)</x:f>
        <x:v>2.2</x:v>
      </x:c>
      <x:c r="K684" t="n">
        <x:v>24</x:v>
      </x:c>
      <x:c r="L684" t="n">
        <x:f>ROUND(F684*K684/100,2)</x:f>
        <x:v>26.4</x:v>
      </x:c>
      <x:c r="M684" t="n">
        <x:v>0.4</x:v>
      </x:c>
      <x:c r="N684" t="n">
        <x:f>ROUND(F684*M684/100,2)</x:f>
        <x:v>0.44</x:v>
      </x:c>
      <x:c r="O684" t="str">
        <x:v>煮熟沥水重</x:v>
      </x:c>
    </x:row>
    <x:row r="685" ht="23" customHeight="1">
      <x:c r="A685" t="n">
        <x:v>114</x:v>
      </x:c>
      <x:c r="B685" t="n">
        <x:v>57</x:v>
      </x:c>
      <x:c r="C685" t="str">
        <x:v>晚餐</x:v>
      </x:c>
      <x:c r="D685" t="str">
        <x:v>油脂</x:v>
      </x:c>
      <x:c r="E685" t="str">
        <x:v>烹调油</x:v>
      </x:c>
      <x:c r="F685" t="n">
        <x:v>3</x:v>
      </x:c>
      <x:c r="G685" t="n">
        <x:v>900</x:v>
      </x:c>
      <x:c r="H685" t="n">
        <x:f>ROUND(F685*G685/100,2)</x:f>
        <x:v>27</x:v>
      </x:c>
      <x:c r="I685" t="n">
        <x:v>0</x:v>
      </x:c>
      <x:c r="J685" t="n">
        <x:f>ROUND(F685*I685/100,2)</x:f>
        <x:v>0</x:v>
      </x:c>
      <x:c r="K685" t="n">
        <x:v>0</x:v>
      </x:c>
      <x:c r="L685" t="n">
        <x:f>ROUND(F685*K685/100,2)</x:f>
        <x:v>0</x:v>
      </x:c>
      <x:c r="M685" t="n">
        <x:v>100</x:v>
      </x:c>
      <x:c r="N685" t="n">
        <x:f>ROUND(F685*M685/100,2)</x:f>
        <x:v>3</x:v>
      </x:c>
      <x:c r="O685" t="str">
        <x:v>实际用油重</x:v>
      </x:c>
    </x:row>
    <x:row r="686" ht="23" customHeight="1">
      <x:c r="A686" t="n">
        <x:v>115</x:v>
      </x:c>
      <x:c r="B686" t="n">
        <x:v>58</x:v>
      </x:c>
      <x:c r="C686" t="str">
        <x:v>午餐</x:v>
      </x:c>
      <x:c r="D686" t="str">
        <x:v>禽肉</x:v>
      </x:c>
      <x:c r="E686" t="str">
        <x:v>去皮鸡腿肉</x:v>
      </x:c>
      <x:c r="F686" t="n">
        <x:v>185</x:v>
      </x:c>
      <x:c r="G686" t="n">
        <x:v>125</x:v>
      </x:c>
      <x:c r="H686" t="n">
        <x:f>ROUND(F686*G686/100,2)</x:f>
        <x:v>231.25</x:v>
      </x:c>
      <x:c r="I686" t="n">
        <x:v>20</x:v>
      </x:c>
      <x:c r="J686" t="n">
        <x:f>ROUND(F686*I686/100,2)</x:f>
        <x:v>37</x:v>
      </x:c>
      <x:c r="K686" t="n">
        <x:v>0</x:v>
      </x:c>
      <x:c r="L686" t="n">
        <x:f>ROUND(F686*K686/100,2)</x:f>
        <x:v>0</x:v>
      </x:c>
      <x:c r="M686" t="n">
        <x:v>5</x:v>
      </x:c>
      <x:c r="N686" t="n">
        <x:f>ROUND(F686*M686/100,2)</x:f>
        <x:v>9.25</x:v>
      </x:c>
      <x:c r="O686" t="str">
        <x:v>生重</x:v>
      </x:c>
    </x:row>
    <x:row r="687" ht="23" customHeight="1">
      <x:c r="A687" t="n">
        <x:v>115</x:v>
      </x:c>
      <x:c r="B687" t="n">
        <x:v>58</x:v>
      </x:c>
      <x:c r="C687" t="str">
        <x:v>午餐</x:v>
      </x:c>
      <x:c r="D687" t="str">
        <x:v>豆蛋</x:v>
      </x:c>
      <x:c r="E687" t="str">
        <x:v>嫩豆腐</x:v>
      </x:c>
      <x:c r="F687" t="n">
        <x:v>135</x:v>
      </x:c>
      <x:c r="G687" t="n">
        <x:v>55</x:v>
      </x:c>
      <x:c r="H687" t="n">
        <x:f>ROUND(F687*G687/100,2)</x:f>
        <x:v>74.25</x:v>
      </x:c>
      <x:c r="I687" t="n">
        <x:v>5</x:v>
      </x:c>
      <x:c r="J687" t="n">
        <x:f>ROUND(F687*I687/100,2)</x:f>
        <x:v>6.75</x:v>
      </x:c>
      <x:c r="K687" t="n">
        <x:v>2</x:v>
      </x:c>
      <x:c r="L687" t="n">
        <x:f>ROUND(F687*K687/100,2)</x:f>
        <x:v>2.7</x:v>
      </x:c>
      <x:c r="M687" t="n">
        <x:v>2.8</x:v>
      </x:c>
      <x:c r="N687" t="n">
        <x:f>ROUND(F687*M687/100,2)</x:f>
        <x:v>3.78</x:v>
      </x:c>
      <x:c r="O687" t="str">
        <x:v>净重</x:v>
      </x:c>
    </x:row>
    <x:row r="688" ht="23" customHeight="1">
      <x:c r="A688" t="n">
        <x:v>115</x:v>
      </x:c>
      <x:c r="B688" t="n">
        <x:v>58</x:v>
      </x:c>
      <x:c r="C688" t="str">
        <x:v>午餐</x:v>
      </x:c>
      <x:c r="D688" t="str">
        <x:v>蔬菜</x:v>
      </x:c>
      <x:c r="E688" t="str">
        <x:v>芦笋</x:v>
      </x:c>
      <x:c r="F688" t="n">
        <x:v>160</x:v>
      </x:c>
      <x:c r="G688" t="n">
        <x:v>20</x:v>
      </x:c>
      <x:c r="H688" t="n">
        <x:f>ROUND(F688*G688/100,2)</x:f>
        <x:v>32</x:v>
      </x:c>
      <x:c r="I688" t="n">
        <x:v>2.2</x:v>
      </x:c>
      <x:c r="J688" t="n">
        <x:f>ROUND(F688*I688/100,2)</x:f>
        <x:v>3.52</x:v>
      </x:c>
      <x:c r="K688" t="n">
        <x:v>3.9</x:v>
      </x:c>
      <x:c r="L688" t="n">
        <x:f>ROUND(F688*K688/100,2)</x:f>
        <x:v>6.24</x:v>
      </x:c>
      <x:c r="M688" t="n">
        <x:v>0.1</x:v>
      </x:c>
      <x:c r="N688" t="n">
        <x:f>ROUND(F688*M688/100,2)</x:f>
        <x:v>0.16</x:v>
      </x:c>
      <x:c r="O688" t="str">
        <x:v>生重</x:v>
      </x:c>
    </x:row>
    <x:row r="689" ht="23" customHeight="1">
      <x:c r="A689" t="n">
        <x:v>115</x:v>
      </x:c>
      <x:c r="B689" t="n">
        <x:v>58</x:v>
      </x:c>
      <x:c r="C689" t="str">
        <x:v>午餐</x:v>
      </x:c>
      <x:c r="D689" t="str">
        <x:v>蔬菜</x:v>
      </x:c>
      <x:c r="E689" t="str">
        <x:v>紫甘蓝</x:v>
      </x:c>
      <x:c r="F689" t="n">
        <x:v>140</x:v>
      </x:c>
      <x:c r="G689" t="n">
        <x:v>31</x:v>
      </x:c>
      <x:c r="H689" t="n">
        <x:f>ROUND(F689*G689/100,2)</x:f>
        <x:v>43.4</x:v>
      </x:c>
      <x:c r="I689" t="n">
        <x:v>1.4</x:v>
      </x:c>
      <x:c r="J689" t="n">
        <x:f>ROUND(F689*I689/100,2)</x:f>
        <x:v>1.96</x:v>
      </x:c>
      <x:c r="K689" t="n">
        <x:v>7.3</x:v>
      </x:c>
      <x:c r="L689" t="n">
        <x:f>ROUND(F689*K689/100,2)</x:f>
        <x:v>10.22</x:v>
      </x:c>
      <x:c r="M689" t="n">
        <x:v>0.1</x:v>
      </x:c>
      <x:c r="N689" t="n">
        <x:f>ROUND(F689*M689/100,2)</x:f>
        <x:v>0.14</x:v>
      </x:c>
      <x:c r="O689" t="str">
        <x:v>生重</x:v>
      </x:c>
    </x:row>
    <x:row r="690" ht="23" customHeight="1">
      <x:c r="A690" t="n">
        <x:v>115</x:v>
      </x:c>
      <x:c r="B690" t="n">
        <x:v>58</x:v>
      </x:c>
      <x:c r="C690" t="str">
        <x:v>午餐</x:v>
      </x:c>
      <x:c r="D690" t="str">
        <x:v>主食</x:v>
      </x:c>
      <x:c r="E690" t="str">
        <x:v>糙米饭</x:v>
      </x:c>
      <x:c r="F690" t="n">
        <x:v>125</x:v>
      </x:c>
      <x:c r="G690" t="n">
        <x:v>112</x:v>
      </x:c>
      <x:c r="H690" t="n">
        <x:f>ROUND(F690*G690/100,2)</x:f>
        <x:v>140</x:v>
      </x:c>
      <x:c r="I690" t="n">
        <x:v>2.6</x:v>
      </x:c>
      <x:c r="J690" t="n">
        <x:f>ROUND(F690*I690/100,2)</x:f>
        <x:v>3.25</x:v>
      </x:c>
      <x:c r="K690" t="n">
        <x:v>23.5</x:v>
      </x:c>
      <x:c r="L690" t="n">
        <x:f>ROUND(F690*K690/100,2)</x:f>
        <x:v>29.38</x:v>
      </x:c>
      <x:c r="M690" t="n">
        <x:v>0.9</x:v>
      </x:c>
      <x:c r="N690" t="n">
        <x:f>ROUND(F690*M690/100,2)</x:f>
        <x:v>1.13</x:v>
      </x:c>
      <x:c r="O690" t="str">
        <x:v>熟重</x:v>
      </x:c>
    </x:row>
    <x:row r="691" ht="23" customHeight="1">
      <x:c r="A691" t="n">
        <x:v>115</x:v>
      </x:c>
      <x:c r="B691" t="n">
        <x:v>58</x:v>
      </x:c>
      <x:c r="C691" t="str">
        <x:v>午餐</x:v>
      </x:c>
      <x:c r="D691" t="str">
        <x:v>油脂</x:v>
      </x:c>
      <x:c r="E691" t="str">
        <x:v>烹调油</x:v>
      </x:c>
      <x:c r="F691" t="n">
        <x:v>5</x:v>
      </x:c>
      <x:c r="G691" t="n">
        <x:v>900</x:v>
      </x:c>
      <x:c r="H691" t="n">
        <x:f>ROUND(F691*G691/100,2)</x:f>
        <x:v>45</x:v>
      </x:c>
      <x:c r="I691" t="n">
        <x:v>0</x:v>
      </x:c>
      <x:c r="J691" t="n">
        <x:f>ROUND(F691*I691/100,2)</x:f>
        <x:v>0</x:v>
      </x:c>
      <x:c r="K691" t="n">
        <x:v>0</x:v>
      </x:c>
      <x:c r="L691" t="n">
        <x:f>ROUND(F691*K691/100,2)</x:f>
        <x:v>0</x:v>
      </x:c>
      <x:c r="M691" t="n">
        <x:v>100</x:v>
      </x:c>
      <x:c r="N691" t="n">
        <x:f>ROUND(F691*M691/100,2)</x:f>
        <x:v>5</x:v>
      </x:c>
      <x:c r="O691" t="str">
        <x:v>实际用油重</x:v>
      </x:c>
    </x:row>
    <x:row r="692" ht="23" customHeight="1">
      <x:c r="A692" t="n">
        <x:v>116</x:v>
      </x:c>
      <x:c r="B692" t="n">
        <x:v>58</x:v>
      </x:c>
      <x:c r="C692" t="str">
        <x:v>晚餐</x:v>
      </x:c>
      <x:c r="D692" t="str">
        <x:v>海鲜</x:v>
      </x:c>
      <x:c r="E692" t="str">
        <x:v>花蛤肉</x:v>
      </x:c>
      <x:c r="F692" t="n">
        <x:v>210</x:v>
      </x:c>
      <x:c r="G692" t="n">
        <x:v>75</x:v>
      </x:c>
      <x:c r="H692" t="n">
        <x:f>ROUND(F692*G692/100,2)</x:f>
        <x:v>157.5</x:v>
      </x:c>
      <x:c r="I692" t="n">
        <x:v>13</x:v>
      </x:c>
      <x:c r="J692" t="n">
        <x:f>ROUND(F692*I692/100,2)</x:f>
        <x:v>27.3</x:v>
      </x:c>
      <x:c r="K692" t="n">
        <x:v>3.5</x:v>
      </x:c>
      <x:c r="L692" t="n">
        <x:f>ROUND(F692*K692/100,2)</x:f>
        <x:v>7.35</x:v>
      </x:c>
      <x:c r="M692" t="n">
        <x:v>1</x:v>
      </x:c>
      <x:c r="N692" t="n">
        <x:f>ROUND(F692*M692/100,2)</x:f>
        <x:v>2.1</x:v>
      </x:c>
      <x:c r="O692" t="str">
        <x:v>净肉生重</x:v>
      </x:c>
    </x:row>
    <x:row r="693" ht="23" customHeight="1">
      <x:c r="A693" t="n">
        <x:v>116</x:v>
      </x:c>
      <x:c r="B693" t="n">
        <x:v>58</x:v>
      </x:c>
      <x:c r="C693" t="str">
        <x:v>晚餐</x:v>
      </x:c>
      <x:c r="D693" t="str"/>
      <x:c r="E693" t="str"/>
      <x:c r="F693" t="n">
        <x:v>0</x:v>
      </x:c>
      <x:c r="G693" t="n">
        <x:v>0</x:v>
      </x:c>
      <x:c r="H693" t="n">
        <x:f>ROUND(F693*G693/100,2)</x:f>
        <x:v>0</x:v>
      </x:c>
      <x:c r="I693" t="n">
        <x:v>0</x:v>
      </x:c>
      <x:c r="J693" t="n">
        <x:f>ROUND(F693*I693/100,2)</x:f>
        <x:v>0</x:v>
      </x:c>
      <x:c r="K693" t="n">
        <x:v>0</x:v>
      </x:c>
      <x:c r="L693" t="n">
        <x:f>ROUND(F693*K693/100,2)</x:f>
        <x:v>0</x:v>
      </x:c>
      <x:c r="M693" t="n">
        <x:v>0</x:v>
      </x:c>
      <x:c r="N693" t="n">
        <x:f>ROUND(F693*M693/100,2)</x:f>
        <x:v>0</x:v>
      </x:c>
      <x:c r="O693" t="str"/>
    </x:row>
    <x:row r="694" ht="23" customHeight="1">
      <x:c r="A694" t="n">
        <x:v>116</x:v>
      </x:c>
      <x:c r="B694" t="n">
        <x:v>58</x:v>
      </x:c>
      <x:c r="C694" t="str">
        <x:v>晚餐</x:v>
      </x:c>
      <x:c r="D694" t="str">
        <x:v>蔬菜</x:v>
      </x:c>
      <x:c r="E694" t="str">
        <x:v>番茄</x:v>
      </x:c>
      <x:c r="F694" t="n">
        <x:v>190</x:v>
      </x:c>
      <x:c r="G694" t="n">
        <x:v>20</x:v>
      </x:c>
      <x:c r="H694" t="n">
        <x:f>ROUND(F694*G694/100,2)</x:f>
        <x:v>38</x:v>
      </x:c>
      <x:c r="I694" t="n">
        <x:v>0.9</x:v>
      </x:c>
      <x:c r="J694" t="n">
        <x:f>ROUND(F694*I694/100,2)</x:f>
        <x:v>1.71</x:v>
      </x:c>
      <x:c r="K694" t="n">
        <x:v>4</x:v>
      </x:c>
      <x:c r="L694" t="n">
        <x:f>ROUND(F694*K694/100,2)</x:f>
        <x:v>7.6</x:v>
      </x:c>
      <x:c r="M694" t="n">
        <x:v>0.2</x:v>
      </x:c>
      <x:c r="N694" t="n">
        <x:f>ROUND(F694*M694/100,2)</x:f>
        <x:v>0.38</x:v>
      </x:c>
      <x:c r="O694" t="str">
        <x:v>生重</x:v>
      </x:c>
    </x:row>
    <x:row r="695" ht="23" customHeight="1">
      <x:c r="A695" t="n">
        <x:v>116</x:v>
      </x:c>
      <x:c r="B695" t="n">
        <x:v>58</x:v>
      </x:c>
      <x:c r="C695" t="str">
        <x:v>晚餐</x:v>
      </x:c>
      <x:c r="D695" t="str">
        <x:v>菌菇</x:v>
      </x:c>
      <x:c r="E695" t="str">
        <x:v>金针菇</x:v>
      </x:c>
      <x:c r="F695" t="n">
        <x:v>140</x:v>
      </x:c>
      <x:c r="G695" t="n">
        <x:v>32</x:v>
      </x:c>
      <x:c r="H695" t="n">
        <x:f>ROUND(F695*G695/100,2)</x:f>
        <x:v>44.8</x:v>
      </x:c>
      <x:c r="I695" t="n">
        <x:v>2.4</x:v>
      </x:c>
      <x:c r="J695" t="n">
        <x:f>ROUND(F695*I695/100,2)</x:f>
        <x:v>3.36</x:v>
      </x:c>
      <x:c r="K695" t="n">
        <x:v>6.4</x:v>
      </x:c>
      <x:c r="L695" t="n">
        <x:f>ROUND(F695*K695/100,2)</x:f>
        <x:v>8.96</x:v>
      </x:c>
      <x:c r="M695" t="n">
        <x:v>0.2</x:v>
      </x:c>
      <x:c r="N695" t="n">
        <x:f>ROUND(F695*M695/100,2)</x:f>
        <x:v>0.28</x:v>
      </x:c>
      <x:c r="O695" t="str">
        <x:v>生重</x:v>
      </x:c>
    </x:row>
    <x:row r="696" ht="23" customHeight="1">
      <x:c r="A696" t="n">
        <x:v>116</x:v>
      </x:c>
      <x:c r="B696" t="n">
        <x:v>58</x:v>
      </x:c>
      <x:c r="C696" t="str">
        <x:v>晚餐</x:v>
      </x:c>
      <x:c r="D696" t="str">
        <x:v>主食</x:v>
      </x:c>
      <x:c r="E696" t="str">
        <x:v>糙米饭</x:v>
      </x:c>
      <x:c r="F696" t="n">
        <x:v>110</x:v>
      </x:c>
      <x:c r="G696" t="n">
        <x:v>112</x:v>
      </x:c>
      <x:c r="H696" t="n">
        <x:f>ROUND(F696*G696/100,2)</x:f>
        <x:v>123.2</x:v>
      </x:c>
      <x:c r="I696" t="n">
        <x:v>2.6</x:v>
      </x:c>
      <x:c r="J696" t="n">
        <x:f>ROUND(F696*I696/100,2)</x:f>
        <x:v>2.86</x:v>
      </x:c>
      <x:c r="K696" t="n">
        <x:v>23.5</x:v>
      </x:c>
      <x:c r="L696" t="n">
        <x:f>ROUND(F696*K696/100,2)</x:f>
        <x:v>25.85</x:v>
      </x:c>
      <x:c r="M696" t="n">
        <x:v>0.9</x:v>
      </x:c>
      <x:c r="N696" t="n">
        <x:f>ROUND(F696*M696/100,2)</x:f>
        <x:v>0.99</x:v>
      </x:c>
      <x:c r="O696" t="str">
        <x:v>熟重</x:v>
      </x:c>
    </x:row>
    <x:row r="697" ht="23" customHeight="1">
      <x:c r="A697" t="n">
        <x:v>116</x:v>
      </x:c>
      <x:c r="B697" t="n">
        <x:v>58</x:v>
      </x:c>
      <x:c r="C697" t="str">
        <x:v>晚餐</x:v>
      </x:c>
      <x:c r="D697" t="str">
        <x:v>油脂</x:v>
      </x:c>
      <x:c r="E697" t="str">
        <x:v>烹调油</x:v>
      </x:c>
      <x:c r="F697" t="n">
        <x:v>4</x:v>
      </x:c>
      <x:c r="G697" t="n">
        <x:v>900</x:v>
      </x:c>
      <x:c r="H697" t="n">
        <x:f>ROUND(F697*G697/100,2)</x:f>
        <x:v>36</x:v>
      </x:c>
      <x:c r="I697" t="n">
        <x:v>0</x:v>
      </x:c>
      <x:c r="J697" t="n">
        <x:f>ROUND(F697*I697/100,2)</x:f>
        <x:v>0</x:v>
      </x:c>
      <x:c r="K697" t="n">
        <x:v>0</x:v>
      </x:c>
      <x:c r="L697" t="n">
        <x:f>ROUND(F697*K697/100,2)</x:f>
        <x:v>0</x:v>
      </x:c>
      <x:c r="M697" t="n">
        <x:v>100</x:v>
      </x:c>
      <x:c r="N697" t="n">
        <x:f>ROUND(F697*M697/100,2)</x:f>
        <x:v>4</x:v>
      </x:c>
      <x:c r="O697" t="str">
        <x:v>实际用油重</x:v>
      </x:c>
    </x:row>
    <x:row r="698" ht="23" customHeight="1">
      <x:c r="A698" t="n">
        <x:v>117</x:v>
      </x:c>
      <x:c r="B698" t="n">
        <x:v>59</x:v>
      </x:c>
      <x:c r="C698" t="str">
        <x:v>午餐</x:v>
      </x:c>
      <x:c r="D698" t="str">
        <x:v>海鲜</x:v>
      </x:c>
      <x:c r="E698" t="str">
        <x:v>鱿鱼</x:v>
      </x:c>
      <x:c r="F698" t="n">
        <x:v>190</x:v>
      </x:c>
      <x:c r="G698" t="n">
        <x:v>95</x:v>
      </x:c>
      <x:c r="H698" t="n">
        <x:f>ROUND(F698*G698/100,2)</x:f>
        <x:v>180.5</x:v>
      </x:c>
      <x:c r="I698" t="n">
        <x:v>17</x:v>
      </x:c>
      <x:c r="J698" t="n">
        <x:f>ROUND(F698*I698/100,2)</x:f>
        <x:v>32.3</x:v>
      </x:c>
      <x:c r="K698" t="n">
        <x:v>2</x:v>
      </x:c>
      <x:c r="L698" t="n">
        <x:f>ROUND(F698*K698/100,2)</x:f>
        <x:v>3.8</x:v>
      </x:c>
      <x:c r="M698" t="n">
        <x:v>1.4</x:v>
      </x:c>
      <x:c r="N698" t="n">
        <x:f>ROUND(F698*M698/100,2)</x:f>
        <x:v>2.66</x:v>
      </x:c>
      <x:c r="O698" t="str">
        <x:v>生重</x:v>
      </x:c>
    </x:row>
    <x:row r="699" ht="23" customHeight="1">
      <x:c r="A699" t="n">
        <x:v>117</x:v>
      </x:c>
      <x:c r="B699" t="n">
        <x:v>59</x:v>
      </x:c>
      <x:c r="C699" t="str">
        <x:v>午餐</x:v>
      </x:c>
      <x:c r="D699" t="str"/>
      <x:c r="E699" t="str"/>
      <x:c r="F699" t="n">
        <x:v>0</x:v>
      </x:c>
      <x:c r="G699" t="n">
        <x:v>0</x:v>
      </x:c>
      <x:c r="H699" t="n">
        <x:f>ROUND(F699*G699/100,2)</x:f>
        <x:v>0</x:v>
      </x:c>
      <x:c r="I699" t="n">
        <x:v>0</x:v>
      </x:c>
      <x:c r="J699" t="n">
        <x:f>ROUND(F699*I699/100,2)</x:f>
        <x:v>0</x:v>
      </x:c>
      <x:c r="K699" t="n">
        <x:v>0</x:v>
      </x:c>
      <x:c r="L699" t="n">
        <x:f>ROUND(F699*K699/100,2)</x:f>
        <x:v>0</x:v>
      </x:c>
      <x:c r="M699" t="n">
        <x:v>0</x:v>
      </x:c>
      <x:c r="N699" t="n">
        <x:f>ROUND(F699*M699/100,2)</x:f>
        <x:v>0</x:v>
      </x:c>
      <x:c r="O699" t="str"/>
    </x:row>
    <x:row r="700" ht="23" customHeight="1">
      <x:c r="A700" t="n">
        <x:v>117</x:v>
      </x:c>
      <x:c r="B700" t="n">
        <x:v>59</x:v>
      </x:c>
      <x:c r="C700" t="str">
        <x:v>午餐</x:v>
      </x:c>
      <x:c r="D700" t="str">
        <x:v>蔬菜</x:v>
      </x:c>
      <x:c r="E700" t="str">
        <x:v>苦瓜</x:v>
      </x:c>
      <x:c r="F700" t="n">
        <x:v>175</x:v>
      </x:c>
      <x:c r="G700" t="n">
        <x:v>19</x:v>
      </x:c>
      <x:c r="H700" t="n">
        <x:f>ROUND(F700*G700/100,2)</x:f>
        <x:v>33.25</x:v>
      </x:c>
      <x:c r="I700" t="n">
        <x:v>1</x:v>
      </x:c>
      <x:c r="J700" t="n">
        <x:f>ROUND(F700*I700/100,2)</x:f>
        <x:v>1.75</x:v>
      </x:c>
      <x:c r="K700" t="n">
        <x:v>4.1</x:v>
      </x:c>
      <x:c r="L700" t="n">
        <x:f>ROUND(F700*K700/100,2)</x:f>
        <x:v>7.17</x:v>
      </x:c>
      <x:c r="M700" t="n">
        <x:v>0.2</x:v>
      </x:c>
      <x:c r="N700" t="n">
        <x:f>ROUND(F700*M700/100,2)</x:f>
        <x:v>0.35</x:v>
      </x:c>
      <x:c r="O700" t="str">
        <x:v>生重</x:v>
      </x:c>
    </x:row>
    <x:row r="701" ht="23" customHeight="1">
      <x:c r="A701" t="n">
        <x:v>117</x:v>
      </x:c>
      <x:c r="B701" t="n">
        <x:v>59</x:v>
      </x:c>
      <x:c r="C701" t="str">
        <x:v>午餐</x:v>
      </x:c>
      <x:c r="D701" t="str">
        <x:v>菌菇</x:v>
      </x:c>
      <x:c r="E701" t="str">
        <x:v>口蘑</x:v>
      </x:c>
      <x:c r="F701" t="n">
        <x:v>125</x:v>
      </x:c>
      <x:c r="G701" t="n">
        <x:v>22</x:v>
      </x:c>
      <x:c r="H701" t="n">
        <x:f>ROUND(F701*G701/100,2)</x:f>
        <x:v>27.5</x:v>
      </x:c>
      <x:c r="I701" t="n">
        <x:v>3.1</x:v>
      </x:c>
      <x:c r="J701" t="n">
        <x:f>ROUND(F701*I701/100,2)</x:f>
        <x:v>3.88</x:v>
      </x:c>
      <x:c r="K701" t="n">
        <x:v>3.3</x:v>
      </x:c>
      <x:c r="L701" t="n">
        <x:f>ROUND(F701*K701/100,2)</x:f>
        <x:v>4.13</x:v>
      </x:c>
      <x:c r="M701" t="n">
        <x:v>0.3</x:v>
      </x:c>
      <x:c r="N701" t="n">
        <x:f>ROUND(F701*M701/100,2)</x:f>
        <x:v>0.38</x:v>
      </x:c>
      <x:c r="O701" t="str">
        <x:v>生重</x:v>
      </x:c>
    </x:row>
    <x:row r="702" ht="23" customHeight="1">
      <x:c r="A702" t="n">
        <x:v>117</x:v>
      </x:c>
      <x:c r="B702" t="n">
        <x:v>59</x:v>
      </x:c>
      <x:c r="C702" t="str">
        <x:v>午餐</x:v>
      </x:c>
      <x:c r="D702" t="str">
        <x:v>主食</x:v>
      </x:c>
      <x:c r="E702" t="str">
        <x:v>乌冬面</x:v>
      </x:c>
      <x:c r="F702" t="n">
        <x:v>110</x:v>
      </x:c>
      <x:c r="G702" t="n">
        <x:v>120</x:v>
      </x:c>
      <x:c r="H702" t="n">
        <x:f>ROUND(F702*G702/100,2)</x:f>
        <x:v>132</x:v>
      </x:c>
      <x:c r="I702" t="n">
        <x:v>2.5</x:v>
      </x:c>
      <x:c r="J702" t="n">
        <x:f>ROUND(F702*I702/100,2)</x:f>
        <x:v>2.75</x:v>
      </x:c>
      <x:c r="K702" t="n">
        <x:v>25</x:v>
      </x:c>
      <x:c r="L702" t="n">
        <x:f>ROUND(F702*K702/100,2)</x:f>
        <x:v>27.5</x:v>
      </x:c>
      <x:c r="M702" t="n">
        <x:v>0.6</x:v>
      </x:c>
      <x:c r="N702" t="n">
        <x:f>ROUND(F702*M702/100,2)</x:f>
        <x:v>0.66</x:v>
      </x:c>
      <x:c r="O702" t="str">
        <x:v>煮熟沥水重</x:v>
      </x:c>
    </x:row>
    <x:row r="703" ht="23" customHeight="1">
      <x:c r="A703" t="n">
        <x:v>117</x:v>
      </x:c>
      <x:c r="B703" t="n">
        <x:v>59</x:v>
      </x:c>
      <x:c r="C703" t="str">
        <x:v>午餐</x:v>
      </x:c>
      <x:c r="D703" t="str">
        <x:v>油脂</x:v>
      </x:c>
      <x:c r="E703" t="str">
        <x:v>烹调油</x:v>
      </x:c>
      <x:c r="F703" t="n">
        <x:v>5</x:v>
      </x:c>
      <x:c r="G703" t="n">
        <x:v>900</x:v>
      </x:c>
      <x:c r="H703" t="n">
        <x:f>ROUND(F703*G703/100,2)</x:f>
        <x:v>45</x:v>
      </x:c>
      <x:c r="I703" t="n">
        <x:v>0</x:v>
      </x:c>
      <x:c r="J703" t="n">
        <x:f>ROUND(F703*I703/100,2)</x:f>
        <x:v>0</x:v>
      </x:c>
      <x:c r="K703" t="n">
        <x:v>0</x:v>
      </x:c>
      <x:c r="L703" t="n">
        <x:f>ROUND(F703*K703/100,2)</x:f>
        <x:v>0</x:v>
      </x:c>
      <x:c r="M703" t="n">
        <x:v>100</x:v>
      </x:c>
      <x:c r="N703" t="n">
        <x:f>ROUND(F703*M703/100,2)</x:f>
        <x:v>5</x:v>
      </x:c>
      <x:c r="O703" t="str">
        <x:v>实际用油重</x:v>
      </x:c>
    </x:row>
    <x:row r="704" ht="23" customHeight="1">
      <x:c r="A704" t="n">
        <x:v>118</x:v>
      </x:c>
      <x:c r="B704" t="n">
        <x:v>59</x:v>
      </x:c>
      <x:c r="C704" t="str">
        <x:v>晚餐</x:v>
      </x:c>
      <x:c r="D704" t="str">
        <x:v>海鲜</x:v>
      </x:c>
      <x:c r="E704" t="str">
        <x:v>虾仁</x:v>
      </x:c>
      <x:c r="F704" t="n">
        <x:v>175</x:v>
      </x:c>
      <x:c r="G704" t="n">
        <x:v>90</x:v>
      </x:c>
      <x:c r="H704" t="n">
        <x:f>ROUND(F704*G704/100,2)</x:f>
        <x:v>157.5</x:v>
      </x:c>
      <x:c r="I704" t="n">
        <x:v>19</x:v>
      </x:c>
      <x:c r="J704" t="n">
        <x:f>ROUND(F704*I704/100,2)</x:f>
        <x:v>33.25</x:v>
      </x:c>
      <x:c r="K704" t="n">
        <x:v>0.4</x:v>
      </x:c>
      <x:c r="L704" t="n">
        <x:f>ROUND(F704*K704/100,2)</x:f>
        <x:v>0.7</x:v>
      </x:c>
      <x:c r="M704" t="n">
        <x:v>1.1</x:v>
      </x:c>
      <x:c r="N704" t="n">
        <x:f>ROUND(F704*M704/100,2)</x:f>
        <x:v>1.93</x:v>
      </x:c>
      <x:c r="O704" t="str">
        <x:v>生重</x:v>
      </x:c>
    </x:row>
    <x:row r="705" ht="23" customHeight="1">
      <x:c r="A705" t="n">
        <x:v>118</x:v>
      </x:c>
      <x:c r="B705" t="n">
        <x:v>59</x:v>
      </x:c>
      <x:c r="C705" t="str">
        <x:v>晚餐</x:v>
      </x:c>
      <x:c r="D705" t="str"/>
      <x:c r="E705" t="str"/>
      <x:c r="F705" t="n">
        <x:v>0</x:v>
      </x:c>
      <x:c r="G705" t="n">
        <x:v>0</x:v>
      </x:c>
      <x:c r="H705" t="n">
        <x:f>ROUND(F705*G705/100,2)</x:f>
        <x:v>0</x:v>
      </x:c>
      <x:c r="I705" t="n">
        <x:v>0</x:v>
      </x:c>
      <x:c r="J705" t="n">
        <x:f>ROUND(F705*I705/100,2)</x:f>
        <x:v>0</x:v>
      </x:c>
      <x:c r="K705" t="n">
        <x:v>0</x:v>
      </x:c>
      <x:c r="L705" t="n">
        <x:f>ROUND(F705*K705/100,2)</x:f>
        <x:v>0</x:v>
      </x:c>
      <x:c r="M705" t="n">
        <x:v>0</x:v>
      </x:c>
      <x:c r="N705" t="n">
        <x:f>ROUND(F705*M705/100,2)</x:f>
        <x:v>0</x:v>
      </x:c>
      <x:c r="O705" t="str"/>
    </x:row>
    <x:row r="706" ht="23" customHeight="1">
      <x:c r="A706" t="n">
        <x:v>118</x:v>
      </x:c>
      <x:c r="B706" t="n">
        <x:v>59</x:v>
      </x:c>
      <x:c r="C706" t="str">
        <x:v>晚餐</x:v>
      </x:c>
      <x:c r="D706" t="str">
        <x:v>蔬菜</x:v>
      </x:c>
      <x:c r="E706" t="str">
        <x:v>番茄</x:v>
      </x:c>
      <x:c r="F706" t="n">
        <x:v>190</x:v>
      </x:c>
      <x:c r="G706" t="n">
        <x:v>20</x:v>
      </x:c>
      <x:c r="H706" t="n">
        <x:f>ROUND(F706*G706/100,2)</x:f>
        <x:v>38</x:v>
      </x:c>
      <x:c r="I706" t="n">
        <x:v>0.9</x:v>
      </x:c>
      <x:c r="J706" t="n">
        <x:f>ROUND(F706*I706/100,2)</x:f>
        <x:v>1.71</x:v>
      </x:c>
      <x:c r="K706" t="n">
        <x:v>4</x:v>
      </x:c>
      <x:c r="L706" t="n">
        <x:f>ROUND(F706*K706/100,2)</x:f>
        <x:v>7.6</x:v>
      </x:c>
      <x:c r="M706" t="n">
        <x:v>0.2</x:v>
      </x:c>
      <x:c r="N706" t="n">
        <x:f>ROUND(F706*M706/100,2)</x:f>
        <x:v>0.38</x:v>
      </x:c>
      <x:c r="O706" t="str">
        <x:v>生重</x:v>
      </x:c>
    </x:row>
    <x:row r="707" ht="23" customHeight="1">
      <x:c r="A707" t="n">
        <x:v>118</x:v>
      </x:c>
      <x:c r="B707" t="n">
        <x:v>59</x:v>
      </x:c>
      <x:c r="C707" t="str">
        <x:v>晚餐</x:v>
      </x:c>
      <x:c r="D707" t="str">
        <x:v>蔬菜</x:v>
      </x:c>
      <x:c r="E707" t="str">
        <x:v>黄瓜</x:v>
      </x:c>
      <x:c r="F707" t="n">
        <x:v>155</x:v>
      </x:c>
      <x:c r="G707" t="n">
        <x:v>16</x:v>
      </x:c>
      <x:c r="H707" t="n">
        <x:f>ROUND(F707*G707/100,2)</x:f>
        <x:v>24.8</x:v>
      </x:c>
      <x:c r="I707" t="n">
        <x:v>0.7</x:v>
      </x:c>
      <x:c r="J707" t="n">
        <x:f>ROUND(F707*I707/100,2)</x:f>
        <x:v>1.09</x:v>
      </x:c>
      <x:c r="K707" t="n">
        <x:v>3.6</x:v>
      </x:c>
      <x:c r="L707" t="n">
        <x:f>ROUND(F707*K707/100,2)</x:f>
        <x:v>5.58</x:v>
      </x:c>
      <x:c r="M707" t="n">
        <x:v>0.1</x:v>
      </x:c>
      <x:c r="N707" t="n">
        <x:f>ROUND(F707*M707/100,2)</x:f>
        <x:v>0.16</x:v>
      </x:c>
      <x:c r="O707" t="str">
        <x:v>生重</x:v>
      </x:c>
    </x:row>
    <x:row r="708" ht="23" customHeight="1">
      <x:c r="A708" t="n">
        <x:v>118</x:v>
      </x:c>
      <x:c r="B708" t="n">
        <x:v>59</x:v>
      </x:c>
      <x:c r="C708" t="str">
        <x:v>晚餐</x:v>
      </x:c>
      <x:c r="D708" t="str">
        <x:v>主食</x:v>
      </x:c>
      <x:c r="E708" t="str">
        <x:v>糙米饭</x:v>
      </x:c>
      <x:c r="F708" t="n">
        <x:v>95</x:v>
      </x:c>
      <x:c r="G708" t="n">
        <x:v>112</x:v>
      </x:c>
      <x:c r="H708" t="n">
        <x:f>ROUND(F708*G708/100,2)</x:f>
        <x:v>106.4</x:v>
      </x:c>
      <x:c r="I708" t="n">
        <x:v>2.6</x:v>
      </x:c>
      <x:c r="J708" t="n">
        <x:f>ROUND(F708*I708/100,2)</x:f>
        <x:v>2.47</x:v>
      </x:c>
      <x:c r="K708" t="n">
        <x:v>23.5</x:v>
      </x:c>
      <x:c r="L708" t="n">
        <x:f>ROUND(F708*K708/100,2)</x:f>
        <x:v>22.33</x:v>
      </x:c>
      <x:c r="M708" t="n">
        <x:v>0.9</x:v>
      </x:c>
      <x:c r="N708" t="n">
        <x:f>ROUND(F708*M708/100,2)</x:f>
        <x:v>0.86</x:v>
      </x:c>
      <x:c r="O708" t="str">
        <x:v>熟重</x:v>
      </x:c>
    </x:row>
    <x:row r="709" ht="23" customHeight="1">
      <x:c r="A709" t="n">
        <x:v>118</x:v>
      </x:c>
      <x:c r="B709" t="n">
        <x:v>59</x:v>
      </x:c>
      <x:c r="C709" t="str">
        <x:v>晚餐</x:v>
      </x:c>
      <x:c r="D709" t="str">
        <x:v>油脂</x:v>
      </x:c>
      <x:c r="E709" t="str">
        <x:v>烹调油</x:v>
      </x:c>
      <x:c r="F709" t="n">
        <x:v>4</x:v>
      </x:c>
      <x:c r="G709" t="n">
        <x:v>900</x:v>
      </x:c>
      <x:c r="H709" t="n">
        <x:f>ROUND(F709*G709/100,2)</x:f>
        <x:v>36</x:v>
      </x:c>
      <x:c r="I709" t="n">
        <x:v>0</x:v>
      </x:c>
      <x:c r="J709" t="n">
        <x:f>ROUND(F709*I709/100,2)</x:f>
        <x:v>0</x:v>
      </x:c>
      <x:c r="K709" t="n">
        <x:v>0</x:v>
      </x:c>
      <x:c r="L709" t="n">
        <x:f>ROUND(F709*K709/100,2)</x:f>
        <x:v>0</x:v>
      </x:c>
      <x:c r="M709" t="n">
        <x:v>100</x:v>
      </x:c>
      <x:c r="N709" t="n">
        <x:f>ROUND(F709*M709/100,2)</x:f>
        <x:v>4</x:v>
      </x:c>
      <x:c r="O709" t="str">
        <x:v>实际用油重</x:v>
      </x:c>
    </x:row>
    <x:row r="710" ht="23" customHeight="1">
      <x:c r="A710" t="n">
        <x:v>119</x:v>
      </x:c>
      <x:c r="B710" t="n">
        <x:v>60</x:v>
      </x:c>
      <x:c r="C710" t="str">
        <x:v>午餐</x:v>
      </x:c>
      <x:c r="D710" t="str">
        <x:v>海鲜</x:v>
      </x:c>
      <x:c r="E710" t="str">
        <x:v>虾仁</x:v>
      </x:c>
      <x:c r="F710" t="n">
        <x:v>160</x:v>
      </x:c>
      <x:c r="G710" t="n">
        <x:v>90</x:v>
      </x:c>
      <x:c r="H710" t="n">
        <x:f>ROUND(F710*G710/100,2)</x:f>
        <x:v>144</x:v>
      </x:c>
      <x:c r="I710" t="n">
        <x:v>19</x:v>
      </x:c>
      <x:c r="J710" t="n">
        <x:f>ROUND(F710*I710/100,2)</x:f>
        <x:v>30.4</x:v>
      </x:c>
      <x:c r="K710" t="n">
        <x:v>0.4</x:v>
      </x:c>
      <x:c r="L710" t="n">
        <x:f>ROUND(F710*K710/100,2)</x:f>
        <x:v>0.64</x:v>
      </x:c>
      <x:c r="M710" t="n">
        <x:v>1.1</x:v>
      </x:c>
      <x:c r="N710" t="n">
        <x:f>ROUND(F710*M710/100,2)</x:f>
        <x:v>1.76</x:v>
      </x:c>
      <x:c r="O710" t="str">
        <x:v>生重</x:v>
      </x:c>
    </x:row>
    <x:row r="711" ht="23" customHeight="1">
      <x:c r="A711" t="n">
        <x:v>119</x:v>
      </x:c>
      <x:c r="B711" t="n">
        <x:v>60</x:v>
      </x:c>
      <x:c r="C711" t="str">
        <x:v>午餐</x:v>
      </x:c>
      <x:c r="D711" t="str"/>
      <x:c r="E711" t="str"/>
      <x:c r="F711" t="n">
        <x:v>0</x:v>
      </x:c>
      <x:c r="G711" t="n">
        <x:v>0</x:v>
      </x:c>
      <x:c r="H711" t="n">
        <x:f>ROUND(F711*G711/100,2)</x:f>
        <x:v>0</x:v>
      </x:c>
      <x:c r="I711" t="n">
        <x:v>0</x:v>
      </x:c>
      <x:c r="J711" t="n">
        <x:f>ROUND(F711*I711/100,2)</x:f>
        <x:v>0</x:v>
      </x:c>
      <x:c r="K711" t="n">
        <x:v>0</x:v>
      </x:c>
      <x:c r="L711" t="n">
        <x:f>ROUND(F711*K711/100,2)</x:f>
        <x:v>0</x:v>
      </x:c>
      <x:c r="M711" t="n">
        <x:v>0</x:v>
      </x:c>
      <x:c r="N711" t="n">
        <x:f>ROUND(F711*M711/100,2)</x:f>
        <x:v>0</x:v>
      </x:c>
      <x:c r="O711" t="str"/>
    </x:row>
    <x:row r="712" ht="23" customHeight="1">
      <x:c r="A712" t="n">
        <x:v>119</x:v>
      </x:c>
      <x:c r="B712" t="n">
        <x:v>60</x:v>
      </x:c>
      <x:c r="C712" t="str">
        <x:v>午餐</x:v>
      </x:c>
      <x:c r="D712" t="str">
        <x:v>蔬菜</x:v>
      </x:c>
      <x:c r="E712" t="str">
        <x:v>荷兰豆</x:v>
      </x:c>
      <x:c r="F712" t="n">
        <x:v>140</x:v>
      </x:c>
      <x:c r="G712" t="n">
        <x:v>42</x:v>
      </x:c>
      <x:c r="H712" t="n">
        <x:f>ROUND(F712*G712/100,2)</x:f>
        <x:v>58.8</x:v>
      </x:c>
      <x:c r="I712" t="n">
        <x:v>2.8</x:v>
      </x:c>
      <x:c r="J712" t="n">
        <x:f>ROUND(F712*I712/100,2)</x:f>
        <x:v>3.92</x:v>
      </x:c>
      <x:c r="K712" t="n">
        <x:v>7.5</x:v>
      </x:c>
      <x:c r="L712" t="n">
        <x:f>ROUND(F712*K712/100,2)</x:f>
        <x:v>10.5</x:v>
      </x:c>
      <x:c r="M712" t="n">
        <x:v>0.3</x:v>
      </x:c>
      <x:c r="N712" t="n">
        <x:f>ROUND(F712*M712/100,2)</x:f>
        <x:v>0.42</x:v>
      </x:c>
      <x:c r="O712" t="str">
        <x:v>生重</x:v>
      </x:c>
    </x:row>
    <x:row r="713" ht="23" customHeight="1">
      <x:c r="A713" t="n">
        <x:v>119</x:v>
      </x:c>
      <x:c r="B713" t="n">
        <x:v>60</x:v>
      </x:c>
      <x:c r="C713" t="str">
        <x:v>午餐</x:v>
      </x:c>
      <x:c r="D713" t="str">
        <x:v>菌菇</x:v>
      </x:c>
      <x:c r="E713" t="str">
        <x:v>口蘑</x:v>
      </x:c>
      <x:c r="F713" t="n">
        <x:v>140</x:v>
      </x:c>
      <x:c r="G713" t="n">
        <x:v>22</x:v>
      </x:c>
      <x:c r="H713" t="n">
        <x:f>ROUND(F713*G713/100,2)</x:f>
        <x:v>30.8</x:v>
      </x:c>
      <x:c r="I713" t="n">
        <x:v>3.1</x:v>
      </x:c>
      <x:c r="J713" t="n">
        <x:f>ROUND(F713*I713/100,2)</x:f>
        <x:v>4.34</x:v>
      </x:c>
      <x:c r="K713" t="n">
        <x:v>3.3</x:v>
      </x:c>
      <x:c r="L713" t="n">
        <x:f>ROUND(F713*K713/100,2)</x:f>
        <x:v>4.62</x:v>
      </x:c>
      <x:c r="M713" t="n">
        <x:v>0.3</x:v>
      </x:c>
      <x:c r="N713" t="n">
        <x:f>ROUND(F713*M713/100,2)</x:f>
        <x:v>0.42</x:v>
      </x:c>
      <x:c r="O713" t="str">
        <x:v>生重</x:v>
      </x:c>
    </x:row>
    <x:row r="714" ht="23" customHeight="1">
      <x:c r="A714" t="n">
        <x:v>119</x:v>
      </x:c>
      <x:c r="B714" t="n">
        <x:v>60</x:v>
      </x:c>
      <x:c r="C714" t="str">
        <x:v>午餐</x:v>
      </x:c>
      <x:c r="D714" t="str">
        <x:v>主食</x:v>
      </x:c>
      <x:c r="E714" t="str">
        <x:v>杂粮饭</x:v>
      </x:c>
      <x:c r="F714" t="n">
        <x:v>135</x:v>
      </x:c>
      <x:c r="G714" t="n">
        <x:v>115</x:v>
      </x:c>
      <x:c r="H714" t="n">
        <x:f>ROUND(F714*G714/100,2)</x:f>
        <x:v>155.25</x:v>
      </x:c>
      <x:c r="I714" t="n">
        <x:v>3.1</x:v>
      </x:c>
      <x:c r="J714" t="n">
        <x:f>ROUND(F714*I714/100,2)</x:f>
        <x:v>4.18</x:v>
      </x:c>
      <x:c r="K714" t="n">
        <x:v>23.5</x:v>
      </x:c>
      <x:c r="L714" t="n">
        <x:f>ROUND(F714*K714/100,2)</x:f>
        <x:v>31.73</x:v>
      </x:c>
      <x:c r="M714" t="n">
        <x:v>1.1</x:v>
      </x:c>
      <x:c r="N714" t="n">
        <x:f>ROUND(F714*M714/100,2)</x:f>
        <x:v>1.49</x:v>
      </x:c>
      <x:c r="O714" t="str">
        <x:v>熟重</x:v>
      </x:c>
    </x:row>
    <x:row r="715" ht="23" customHeight="1">
      <x:c r="A715" t="n">
        <x:v>119</x:v>
      </x:c>
      <x:c r="B715" t="n">
        <x:v>60</x:v>
      </x:c>
      <x:c r="C715" t="str">
        <x:v>午餐</x:v>
      </x:c>
      <x:c r="D715" t="str">
        <x:v>油脂</x:v>
      </x:c>
      <x:c r="E715" t="str">
        <x:v>烹调油</x:v>
      </x:c>
      <x:c r="F715" t="n">
        <x:v>5</x:v>
      </x:c>
      <x:c r="G715" t="n">
        <x:v>900</x:v>
      </x:c>
      <x:c r="H715" t="n">
        <x:f>ROUND(F715*G715/100,2)</x:f>
        <x:v>45</x:v>
      </x:c>
      <x:c r="I715" t="n">
        <x:v>0</x:v>
      </x:c>
      <x:c r="J715" t="n">
        <x:f>ROUND(F715*I715/100,2)</x:f>
        <x:v>0</x:v>
      </x:c>
      <x:c r="K715" t="n">
        <x:v>0</x:v>
      </x:c>
      <x:c r="L715" t="n">
        <x:f>ROUND(F715*K715/100,2)</x:f>
        <x:v>0</x:v>
      </x:c>
      <x:c r="M715" t="n">
        <x:v>100</x:v>
      </x:c>
      <x:c r="N715" t="n">
        <x:f>ROUND(F715*M715/100,2)</x:f>
        <x:v>5</x:v>
      </x:c>
      <x:c r="O715" t="str">
        <x:v>实际用油重</x:v>
      </x:c>
    </x:row>
    <x:row r="716" ht="23" customHeight="1">
      <x:c r="A716" t="n">
        <x:v>120</x:v>
      </x:c>
      <x:c r="B716" t="n">
        <x:v>60</x:v>
      </x:c>
      <x:c r="C716" t="str">
        <x:v>晚餐</x:v>
      </x:c>
      <x:c r="D716" t="str">
        <x:v>禽肉</x:v>
      </x:c>
      <x:c r="E716" t="str">
        <x:v>鸡胸肉</x:v>
      </x:c>
      <x:c r="F716" t="n">
        <x:v>180</x:v>
      </x:c>
      <x:c r="G716" t="n">
        <x:v>110</x:v>
      </x:c>
      <x:c r="H716" t="n">
        <x:f>ROUND(F716*G716/100,2)</x:f>
        <x:v>198</x:v>
      </x:c>
      <x:c r="I716" t="n">
        <x:v>23</x:v>
      </x:c>
      <x:c r="J716" t="n">
        <x:f>ROUND(F716*I716/100,2)</x:f>
        <x:v>41.4</x:v>
      </x:c>
      <x:c r="K716" t="n">
        <x:v>0</x:v>
      </x:c>
      <x:c r="L716" t="n">
        <x:f>ROUND(F716*K716/100,2)</x:f>
        <x:v>0</x:v>
      </x:c>
      <x:c r="M716" t="n">
        <x:v>2</x:v>
      </x:c>
      <x:c r="N716" t="n">
        <x:f>ROUND(F716*M716/100,2)</x:f>
        <x:v>3.6</x:v>
      </x:c>
      <x:c r="O716" t="str">
        <x:v>生重</x:v>
      </x:c>
    </x:row>
    <x:row r="717" ht="23" customHeight="1">
      <x:c r="A717" t="n">
        <x:v>120</x:v>
      </x:c>
      <x:c r="B717" t="n">
        <x:v>60</x:v>
      </x:c>
      <x:c r="C717" t="str">
        <x:v>晚餐</x:v>
      </x:c>
      <x:c r="D717" t="str">
        <x:v>豆蛋</x:v>
      </x:c>
      <x:c r="E717" t="str">
        <x:v>熟毛豆仁</x:v>
      </x:c>
      <x:c r="F717" t="n">
        <x:v>50</x:v>
      </x:c>
      <x:c r="G717" t="n">
        <x:v>120</x:v>
      </x:c>
      <x:c r="H717" t="n">
        <x:f>ROUND(F717*G717/100,2)</x:f>
        <x:v>60</x:v>
      </x:c>
      <x:c r="I717" t="n">
        <x:v>12</x:v>
      </x:c>
      <x:c r="J717" t="n">
        <x:f>ROUND(F717*I717/100,2)</x:f>
        <x:v>6</x:v>
      </x:c>
      <x:c r="K717" t="n">
        <x:v>9</x:v>
      </x:c>
      <x:c r="L717" t="n">
        <x:f>ROUND(F717*K717/100,2)</x:f>
        <x:v>4.5</x:v>
      </x:c>
      <x:c r="M717" t="n">
        <x:v>5</x:v>
      </x:c>
      <x:c r="N717" t="n">
        <x:f>ROUND(F717*M717/100,2)</x:f>
        <x:v>2.5</x:v>
      </x:c>
      <x:c r="O717" t="str">
        <x:v>熟重</x:v>
      </x:c>
    </x:row>
    <x:row r="718" ht="23" customHeight="1">
      <x:c r="A718" t="n">
        <x:v>120</x:v>
      </x:c>
      <x:c r="B718" t="n">
        <x:v>60</x:v>
      </x:c>
      <x:c r="C718" t="str">
        <x:v>晚餐</x:v>
      </x:c>
      <x:c r="D718" t="str">
        <x:v>蔬菜</x:v>
      </x:c>
      <x:c r="E718" t="str">
        <x:v>番茄</x:v>
      </x:c>
      <x:c r="F718" t="n">
        <x:v>175</x:v>
      </x:c>
      <x:c r="G718" t="n">
        <x:v>20</x:v>
      </x:c>
      <x:c r="H718" t="n">
        <x:f>ROUND(F718*G718/100,2)</x:f>
        <x:v>35</x:v>
      </x:c>
      <x:c r="I718" t="n">
        <x:v>0.9</x:v>
      </x:c>
      <x:c r="J718" t="n">
        <x:f>ROUND(F718*I718/100,2)</x:f>
        <x:v>1.58</x:v>
      </x:c>
      <x:c r="K718" t="n">
        <x:v>4</x:v>
      </x:c>
      <x:c r="L718" t="n">
        <x:f>ROUND(F718*K718/100,2)</x:f>
        <x:v>7</x:v>
      </x:c>
      <x:c r="M718" t="n">
        <x:v>0.2</x:v>
      </x:c>
      <x:c r="N718" t="n">
        <x:f>ROUND(F718*M718/100,2)</x:f>
        <x:v>0.35</x:v>
      </x:c>
      <x:c r="O718" t="str">
        <x:v>生重</x:v>
      </x:c>
    </x:row>
    <x:row r="719" ht="23" customHeight="1">
      <x:c r="A719" t="n">
        <x:v>120</x:v>
      </x:c>
      <x:c r="B719" t="n">
        <x:v>60</x:v>
      </x:c>
      <x:c r="C719" t="str">
        <x:v>晚餐</x:v>
      </x:c>
      <x:c r="D719" t="str">
        <x:v>蔬菜</x:v>
      </x:c>
      <x:c r="E719" t="str">
        <x:v>绿豆芽</x:v>
      </x:c>
      <x:c r="F719" t="n">
        <x:v>125</x:v>
      </x:c>
      <x:c r="G719" t="n">
        <x:v>31</x:v>
      </x:c>
      <x:c r="H719" t="n">
        <x:f>ROUND(F719*G719/100,2)</x:f>
        <x:v>38.75</x:v>
      </x:c>
      <x:c r="I719" t="n">
        <x:v>3</x:v>
      </x:c>
      <x:c r="J719" t="n">
        <x:f>ROUND(F719*I719/100,2)</x:f>
        <x:v>3.75</x:v>
      </x:c>
      <x:c r="K719" t="n">
        <x:v>6</x:v>
      </x:c>
      <x:c r="L719" t="n">
        <x:f>ROUND(F719*K719/100,2)</x:f>
        <x:v>7.5</x:v>
      </x:c>
      <x:c r="M719" t="n">
        <x:v>0.2</x:v>
      </x:c>
      <x:c r="N719" t="n">
        <x:f>ROUND(F719*M719/100,2)</x:f>
        <x:v>0.25</x:v>
      </x:c>
      <x:c r="O719" t="str">
        <x:v>生重</x:v>
      </x:c>
    </x:row>
    <x:row r="720" ht="23" customHeight="1">
      <x:c r="A720" t="n">
        <x:v>120</x:v>
      </x:c>
      <x:c r="B720" t="n">
        <x:v>60</x:v>
      </x:c>
      <x:c r="C720" t="str">
        <x:v>晚餐</x:v>
      </x:c>
      <x:c r="D720" t="str">
        <x:v>主食</x:v>
      </x:c>
      <x:c r="E720" t="str">
        <x:v>杂粮饭</x:v>
      </x:c>
      <x:c r="F720" t="n">
        <x:v>95</x:v>
      </x:c>
      <x:c r="G720" t="n">
        <x:v>115</x:v>
      </x:c>
      <x:c r="H720" t="n">
        <x:f>ROUND(F720*G720/100,2)</x:f>
        <x:v>109.25</x:v>
      </x:c>
      <x:c r="I720" t="n">
        <x:v>3.1</x:v>
      </x:c>
      <x:c r="J720" t="n">
        <x:f>ROUND(F720*I720/100,2)</x:f>
        <x:v>2.95</x:v>
      </x:c>
      <x:c r="K720" t="n">
        <x:v>23.5</x:v>
      </x:c>
      <x:c r="L720" t="n">
        <x:f>ROUND(F720*K720/100,2)</x:f>
        <x:v>22.33</x:v>
      </x:c>
      <x:c r="M720" t="n">
        <x:v>1.1</x:v>
      </x:c>
      <x:c r="N720" t="n">
        <x:f>ROUND(F720*M720/100,2)</x:f>
        <x:v>1.05</x:v>
      </x:c>
      <x:c r="O720" t="str">
        <x:v>熟重</x:v>
      </x:c>
    </x:row>
    <x:row r="721" ht="23" customHeight="1">
      <x:c r="A721" t="n">
        <x:v>120</x:v>
      </x:c>
      <x:c r="B721" t="n">
        <x:v>60</x:v>
      </x:c>
      <x:c r="C721" t="str">
        <x:v>晚餐</x:v>
      </x:c>
      <x:c r="D721" t="str">
        <x:v>油脂</x:v>
      </x:c>
      <x:c r="E721" t="str">
        <x:v>烹调油</x:v>
      </x:c>
      <x:c r="F721" t="n">
        <x:v>5</x:v>
      </x:c>
      <x:c r="G721" t="n">
        <x:v>900</x:v>
      </x:c>
      <x:c r="H721" t="n">
        <x:f>ROUND(F721*G721/100,2)</x:f>
        <x:v>45</x:v>
      </x:c>
      <x:c r="I721" t="n">
        <x:v>0</x:v>
      </x:c>
      <x:c r="J721" t="n">
        <x:f>ROUND(F721*I721/100,2)</x:f>
        <x:v>0</x:v>
      </x:c>
      <x:c r="K721" t="n">
        <x:v>0</x:v>
      </x:c>
      <x:c r="L721" t="n">
        <x:f>ROUND(F721*K721/100,2)</x:f>
        <x:v>0</x:v>
      </x:c>
      <x:c r="M721" t="n">
        <x:v>100</x:v>
      </x:c>
      <x:c r="N721" t="n">
        <x:f>ROUND(F721*M721/100,2)</x:f>
        <x:v>5</x:v>
      </x:c>
      <x:c r="O721" t="str">
        <x:v>实际用油重</x:v>
      </x:c>
    </x:row>
    <x:row r="722" ht="23" customHeight="1">
      <x:c r="A722" t="n">
        <x:v>121</x:v>
      </x:c>
      <x:c r="B722" t="n">
        <x:v>61</x:v>
      </x:c>
      <x:c r="C722" t="str">
        <x:v>午餐</x:v>
      </x:c>
      <x:c r="D722" t="str">
        <x:v>牛肉</x:v>
      </x:c>
      <x:c r="E722" t="str">
        <x:v>瘦牛肉</x:v>
      </x:c>
      <x:c r="F722" t="n">
        <x:v>175</x:v>
      </x:c>
      <x:c r="G722" t="n">
        <x:v>125</x:v>
      </x:c>
      <x:c r="H722" t="n">
        <x:f>ROUND(F722*G722/100,2)</x:f>
        <x:v>218.75</x:v>
      </x:c>
      <x:c r="I722" t="n">
        <x:v>21</x:v>
      </x:c>
      <x:c r="J722" t="n">
        <x:f>ROUND(F722*I722/100,2)</x:f>
        <x:v>36.75</x:v>
      </x:c>
      <x:c r="K722" t="n">
        <x:v>0</x:v>
      </x:c>
      <x:c r="L722" t="n">
        <x:f>ROUND(F722*K722/100,2)</x:f>
        <x:v>0</x:v>
      </x:c>
      <x:c r="M722" t="n">
        <x:v>4</x:v>
      </x:c>
      <x:c r="N722" t="n">
        <x:f>ROUND(F722*M722/100,2)</x:f>
        <x:v>7</x:v>
      </x:c>
      <x:c r="O722" t="str">
        <x:v>生重</x:v>
      </x:c>
    </x:row>
    <x:row r="723" ht="23" customHeight="1">
      <x:c r="A723" t="n">
        <x:v>121</x:v>
      </x:c>
      <x:c r="B723" t="n">
        <x:v>61</x:v>
      </x:c>
      <x:c r="C723" t="str">
        <x:v>午餐</x:v>
      </x:c>
      <x:c r="D723" t="str">
        <x:v>豆蛋</x:v>
      </x:c>
      <x:c r="E723" t="str">
        <x:v>嫩豆腐</x:v>
      </x:c>
      <x:c r="F723" t="n">
        <x:v>110</x:v>
      </x:c>
      <x:c r="G723" t="n">
        <x:v>55</x:v>
      </x:c>
      <x:c r="H723" t="n">
        <x:f>ROUND(F723*G723/100,2)</x:f>
        <x:v>60.5</x:v>
      </x:c>
      <x:c r="I723" t="n">
        <x:v>5</x:v>
      </x:c>
      <x:c r="J723" t="n">
        <x:f>ROUND(F723*I723/100,2)</x:f>
        <x:v>5.5</x:v>
      </x:c>
      <x:c r="K723" t="n">
        <x:v>2</x:v>
      </x:c>
      <x:c r="L723" t="n">
        <x:f>ROUND(F723*K723/100,2)</x:f>
        <x:v>2.2</x:v>
      </x:c>
      <x:c r="M723" t="n">
        <x:v>2.8</x:v>
      </x:c>
      <x:c r="N723" t="n">
        <x:f>ROUND(F723*M723/100,2)</x:f>
        <x:v>3.08</x:v>
      </x:c>
      <x:c r="O723" t="str">
        <x:v>净重</x:v>
      </x:c>
    </x:row>
    <x:row r="724" ht="23" customHeight="1">
      <x:c r="A724" t="n">
        <x:v>121</x:v>
      </x:c>
      <x:c r="B724" t="n">
        <x:v>61</x:v>
      </x:c>
      <x:c r="C724" t="str">
        <x:v>午餐</x:v>
      </x:c>
      <x:c r="D724" t="str">
        <x:v>蔬菜</x:v>
      </x:c>
      <x:c r="E724" t="str">
        <x:v>冬瓜</x:v>
      </x:c>
      <x:c r="F724" t="n">
        <x:v>160</x:v>
      </x:c>
      <x:c r="G724" t="n">
        <x:v>13</x:v>
      </x:c>
      <x:c r="H724" t="n">
        <x:f>ROUND(F724*G724/100,2)</x:f>
        <x:v>20.8</x:v>
      </x:c>
      <x:c r="I724" t="n">
        <x:v>0.4</x:v>
      </x:c>
      <x:c r="J724" t="n">
        <x:f>ROUND(F724*I724/100,2)</x:f>
        <x:v>0.64</x:v>
      </x:c>
      <x:c r="K724" t="n">
        <x:v>3</x:v>
      </x:c>
      <x:c r="L724" t="n">
        <x:f>ROUND(F724*K724/100,2)</x:f>
        <x:v>4.8</x:v>
      </x:c>
      <x:c r="M724" t="n">
        <x:v>0.2</x:v>
      </x:c>
      <x:c r="N724" t="n">
        <x:f>ROUND(F724*M724/100,2)</x:f>
        <x:v>0.32</x:v>
      </x:c>
      <x:c r="O724" t="str">
        <x:v>生重</x:v>
      </x:c>
    </x:row>
    <x:row r="725" ht="23" customHeight="1">
      <x:c r="A725" t="n">
        <x:v>121</x:v>
      </x:c>
      <x:c r="B725" t="n">
        <x:v>61</x:v>
      </x:c>
      <x:c r="C725" t="str">
        <x:v>午餐</x:v>
      </x:c>
      <x:c r="D725" t="str">
        <x:v>蔬菜</x:v>
      </x:c>
      <x:c r="E725" t="str">
        <x:v>丝瓜</x:v>
      </x:c>
      <x:c r="F725" t="n">
        <x:v>125</x:v>
      </x:c>
      <x:c r="G725" t="n">
        <x:v>20</x:v>
      </x:c>
      <x:c r="H725" t="n">
        <x:f>ROUND(F725*G725/100,2)</x:f>
        <x:v>25</x:v>
      </x:c>
      <x:c r="I725" t="n">
        <x:v>1</x:v>
      </x:c>
      <x:c r="J725" t="n">
        <x:f>ROUND(F725*I725/100,2)</x:f>
        <x:v>1.25</x:v>
      </x:c>
      <x:c r="K725" t="n">
        <x:v>4</x:v>
      </x:c>
      <x:c r="L725" t="n">
        <x:f>ROUND(F725*K725/100,2)</x:f>
        <x:v>5</x:v>
      </x:c>
      <x:c r="M725" t="n">
        <x:v>0.2</x:v>
      </x:c>
      <x:c r="N725" t="n">
        <x:f>ROUND(F725*M725/100,2)</x:f>
        <x:v>0.25</x:v>
      </x:c>
      <x:c r="O725" t="str">
        <x:v>生重</x:v>
      </x:c>
    </x:row>
    <x:row r="726" ht="23" customHeight="1">
      <x:c r="A726" t="n">
        <x:v>121</x:v>
      </x:c>
      <x:c r="B726" t="n">
        <x:v>61</x:v>
      </x:c>
      <x:c r="C726" t="str">
        <x:v>午餐</x:v>
      </x:c>
      <x:c r="D726" t="str">
        <x:v>主食</x:v>
      </x:c>
      <x:c r="E726" t="str">
        <x:v>红薯</x:v>
      </x:c>
      <x:c r="F726" t="n">
        <x:v>135</x:v>
      </x:c>
      <x:c r="G726" t="n">
        <x:v>88</x:v>
      </x:c>
      <x:c r="H726" t="n">
        <x:f>ROUND(F726*G726/100,2)</x:f>
        <x:v>118.8</x:v>
      </x:c>
      <x:c r="I726" t="n">
        <x:v>1.6</x:v>
      </x:c>
      <x:c r="J726" t="n">
        <x:f>ROUND(F726*I726/100,2)</x:f>
        <x:v>2.16</x:v>
      </x:c>
      <x:c r="K726" t="n">
        <x:v>20.5</x:v>
      </x:c>
      <x:c r="L726" t="n">
        <x:f>ROUND(F726*K726/100,2)</x:f>
        <x:v>27.68</x:v>
      </x:c>
      <x:c r="M726" t="n">
        <x:v>0.1</x:v>
      </x:c>
      <x:c r="N726" t="n">
        <x:f>ROUND(F726*M726/100,2)</x:f>
        <x:v>0.14</x:v>
      </x:c>
      <x:c r="O726" t="str">
        <x:v>蒸熟净重</x:v>
      </x:c>
    </x:row>
    <x:row r="727" ht="23" customHeight="1">
      <x:c r="A727" t="n">
        <x:v>121</x:v>
      </x:c>
      <x:c r="B727" t="n">
        <x:v>61</x:v>
      </x:c>
      <x:c r="C727" t="str">
        <x:v>午餐</x:v>
      </x:c>
      <x:c r="D727" t="str">
        <x:v>油脂</x:v>
      </x:c>
      <x:c r="E727" t="str">
        <x:v>烹调油</x:v>
      </x:c>
      <x:c r="F727" t="n">
        <x:v>6</x:v>
      </x:c>
      <x:c r="G727" t="n">
        <x:v>900</x:v>
      </x:c>
      <x:c r="H727" t="n">
        <x:f>ROUND(F727*G727/100,2)</x:f>
        <x:v>54</x:v>
      </x:c>
      <x:c r="I727" t="n">
        <x:v>0</x:v>
      </x:c>
      <x:c r="J727" t="n">
        <x:f>ROUND(F727*I727/100,2)</x:f>
        <x:v>0</x:v>
      </x:c>
      <x:c r="K727" t="n">
        <x:v>0</x:v>
      </x:c>
      <x:c r="L727" t="n">
        <x:f>ROUND(F727*K727/100,2)</x:f>
        <x:v>0</x:v>
      </x:c>
      <x:c r="M727" t="n">
        <x:v>100</x:v>
      </x:c>
      <x:c r="N727" t="n">
        <x:f>ROUND(F727*M727/100,2)</x:f>
        <x:v>6</x:v>
      </x:c>
      <x:c r="O727" t="str">
        <x:v>实际用油重</x:v>
      </x:c>
    </x:row>
    <x:row r="728" ht="23" customHeight="1">
      <x:c r="A728" t="n">
        <x:v>122</x:v>
      </x:c>
      <x:c r="B728" t="n">
        <x:v>61</x:v>
      </x:c>
      <x:c r="C728" t="str">
        <x:v>晚餐</x:v>
      </x:c>
      <x:c r="D728" t="str">
        <x:v>豆蛋</x:v>
      </x:c>
      <x:c r="E728" t="str">
        <x:v>北豆腐</x:v>
      </x:c>
      <x:c r="F728" t="n">
        <x:v>280</x:v>
      </x:c>
      <x:c r="G728" t="n">
        <x:v>90</x:v>
      </x:c>
      <x:c r="H728" t="n">
        <x:f>ROUND(F728*G728/100,2)</x:f>
        <x:v>252</x:v>
      </x:c>
      <x:c r="I728" t="n">
        <x:v>10</x:v>
      </x:c>
      <x:c r="J728" t="n">
        <x:f>ROUND(F728*I728/100,2)</x:f>
        <x:v>28</x:v>
      </x:c>
      <x:c r="K728" t="n">
        <x:v>2</x:v>
      </x:c>
      <x:c r="L728" t="n">
        <x:f>ROUND(F728*K728/100,2)</x:f>
        <x:v>5.6</x:v>
      </x:c>
      <x:c r="M728" t="n">
        <x:v>5</x:v>
      </x:c>
      <x:c r="N728" t="n">
        <x:f>ROUND(F728*M728/100,2)</x:f>
        <x:v>14</x:v>
      </x:c>
      <x:c r="O728" t="str">
        <x:v>净重</x:v>
      </x:c>
    </x:row>
    <x:row r="729" ht="23" customHeight="1">
      <x:c r="A729" t="n">
        <x:v>122</x:v>
      </x:c>
      <x:c r="B729" t="n">
        <x:v>61</x:v>
      </x:c>
      <x:c r="C729" t="str">
        <x:v>晚餐</x:v>
      </x:c>
      <x:c r="D729" t="str">
        <x:v>豆蛋</x:v>
      </x:c>
      <x:c r="E729" t="str">
        <x:v>鸡蛋</x:v>
      </x:c>
      <x:c r="F729" t="n">
        <x:v>60</x:v>
      </x:c>
      <x:c r="G729" t="n">
        <x:v>144</x:v>
      </x:c>
      <x:c r="H729" t="n">
        <x:f>ROUND(F729*G729/100,2)</x:f>
        <x:v>86.4</x:v>
      </x:c>
      <x:c r="I729" t="n">
        <x:v>13</x:v>
      </x:c>
      <x:c r="J729" t="n">
        <x:f>ROUND(F729*I729/100,2)</x:f>
        <x:v>7.8</x:v>
      </x:c>
      <x:c r="K729" t="n">
        <x:v>1.1</x:v>
      </x:c>
      <x:c r="L729" t="n">
        <x:f>ROUND(F729*K729/100,2)</x:f>
        <x:v>0.66</x:v>
      </x:c>
      <x:c r="M729" t="n">
        <x:v>10</x:v>
      </x:c>
      <x:c r="N729" t="n">
        <x:f>ROUND(F729*M729/100,2)</x:f>
        <x:v>6</x:v>
      </x:c>
      <x:c r="O729" t="str">
        <x:v>去壳可食重</x:v>
      </x:c>
    </x:row>
    <x:row r="730" ht="23" customHeight="1">
      <x:c r="A730" t="n">
        <x:v>122</x:v>
      </x:c>
      <x:c r="B730" t="n">
        <x:v>61</x:v>
      </x:c>
      <x:c r="C730" t="str">
        <x:v>晚餐</x:v>
      </x:c>
      <x:c r="D730" t="str">
        <x:v>蔬菜</x:v>
      </x:c>
      <x:c r="E730" t="str">
        <x:v>黄瓜</x:v>
      </x:c>
      <x:c r="F730" t="n">
        <x:v>175</x:v>
      </x:c>
      <x:c r="G730" t="n">
        <x:v>16</x:v>
      </x:c>
      <x:c r="H730" t="n">
        <x:f>ROUND(F730*G730/100,2)</x:f>
        <x:v>28</x:v>
      </x:c>
      <x:c r="I730" t="n">
        <x:v>0.7</x:v>
      </x:c>
      <x:c r="J730" t="n">
        <x:f>ROUND(F730*I730/100,2)</x:f>
        <x:v>1.22</x:v>
      </x:c>
      <x:c r="K730" t="n">
        <x:v>3.6</x:v>
      </x:c>
      <x:c r="L730" t="n">
        <x:f>ROUND(F730*K730/100,2)</x:f>
        <x:v>6.3</x:v>
      </x:c>
      <x:c r="M730" t="n">
        <x:v>0.1</x:v>
      </x:c>
      <x:c r="N730" t="n">
        <x:f>ROUND(F730*M730/100,2)</x:f>
        <x:v>0.18</x:v>
      </x:c>
      <x:c r="O730" t="str">
        <x:v>生重</x:v>
      </x:c>
    </x:row>
    <x:row r="731" ht="23" customHeight="1">
      <x:c r="A731" t="n">
        <x:v>122</x:v>
      </x:c>
      <x:c r="B731" t="n">
        <x:v>61</x:v>
      </x:c>
      <x:c r="C731" t="str">
        <x:v>晚餐</x:v>
      </x:c>
      <x:c r="D731" t="str">
        <x:v>蔬菜</x:v>
      </x:c>
      <x:c r="E731" t="str">
        <x:v>彩椒</x:v>
      </x:c>
      <x:c r="F731" t="n">
        <x:v>110</x:v>
      </x:c>
      <x:c r="G731" t="n">
        <x:v>27</x:v>
      </x:c>
      <x:c r="H731" t="n">
        <x:f>ROUND(F731*G731/100,2)</x:f>
        <x:v>29.7</x:v>
      </x:c>
      <x:c r="I731" t="n">
        <x:v>1</x:v>
      </x:c>
      <x:c r="J731" t="n">
        <x:f>ROUND(F731*I731/100,2)</x:f>
        <x:v>1.1</x:v>
      </x:c>
      <x:c r="K731" t="n">
        <x:v>6.1</x:v>
      </x:c>
      <x:c r="L731" t="n">
        <x:f>ROUND(F731*K731/100,2)</x:f>
        <x:v>6.71</x:v>
      </x:c>
      <x:c r="M731" t="n">
        <x:v>0.2</x:v>
      </x:c>
      <x:c r="N731" t="n">
        <x:f>ROUND(F731*M731/100,2)</x:f>
        <x:v>0.22</x:v>
      </x:c>
      <x:c r="O731" t="str">
        <x:v>生重</x:v>
      </x:c>
    </x:row>
    <x:row r="732" ht="23" customHeight="1">
      <x:c r="A732" t="n">
        <x:v>122</x:v>
      </x:c>
      <x:c r="B732" t="n">
        <x:v>61</x:v>
      </x:c>
      <x:c r="C732" t="str">
        <x:v>晚餐</x:v>
      </x:c>
      <x:c r="D732" t="str">
        <x:v>主食</x:v>
      </x:c>
      <x:c r="E732" t="str">
        <x:v>糙米饭</x:v>
      </x:c>
      <x:c r="F732" t="n">
        <x:v>80</x:v>
      </x:c>
      <x:c r="G732" t="n">
        <x:v>112</x:v>
      </x:c>
      <x:c r="H732" t="n">
        <x:f>ROUND(F732*G732/100,2)</x:f>
        <x:v>89.6</x:v>
      </x:c>
      <x:c r="I732" t="n">
        <x:v>2.6</x:v>
      </x:c>
      <x:c r="J732" t="n">
        <x:f>ROUND(F732*I732/100,2)</x:f>
        <x:v>2.08</x:v>
      </x:c>
      <x:c r="K732" t="n">
        <x:v>23.5</x:v>
      </x:c>
      <x:c r="L732" t="n">
        <x:f>ROUND(F732*K732/100,2)</x:f>
        <x:v>18.8</x:v>
      </x:c>
      <x:c r="M732" t="n">
        <x:v>0.9</x:v>
      </x:c>
      <x:c r="N732" t="n">
        <x:f>ROUND(F732*M732/100,2)</x:f>
        <x:v>0.72</x:v>
      </x:c>
      <x:c r="O732" t="str">
        <x:v>熟重</x:v>
      </x:c>
    </x:row>
    <x:row r="733" ht="23" customHeight="1">
      <x:c r="A733" t="n">
        <x:v>122</x:v>
      </x:c>
      <x:c r="B733" t="n">
        <x:v>61</x:v>
      </x:c>
      <x:c r="C733" t="str">
        <x:v>晚餐</x:v>
      </x:c>
      <x:c r="D733" t="str">
        <x:v>油脂</x:v>
      </x:c>
      <x:c r="E733" t="str">
        <x:v>烹调油</x:v>
      </x:c>
      <x:c r="F733" t="n">
        <x:v>3</x:v>
      </x:c>
      <x:c r="G733" t="n">
        <x:v>900</x:v>
      </x:c>
      <x:c r="H733" t="n">
        <x:f>ROUND(F733*G733/100,2)</x:f>
        <x:v>27</x:v>
      </x:c>
      <x:c r="I733" t="n">
        <x:v>0</x:v>
      </x:c>
      <x:c r="J733" t="n">
        <x:f>ROUND(F733*I733/100,2)</x:f>
        <x:v>0</x:v>
      </x:c>
      <x:c r="K733" t="n">
        <x:v>0</x:v>
      </x:c>
      <x:c r="L733" t="n">
        <x:f>ROUND(F733*K733/100,2)</x:f>
        <x:v>0</x:v>
      </x:c>
      <x:c r="M733" t="n">
        <x:v>100</x:v>
      </x:c>
      <x:c r="N733" t="n">
        <x:f>ROUND(F733*M733/100,2)</x:f>
        <x:v>3</x:v>
      </x:c>
      <x:c r="O733" t="str">
        <x:v>实际用油重</x:v>
      </x:c>
    </x:row>
    <x:row r="734" ht="23" customHeight="1">
      <x:c r="A734" t="n">
        <x:v>123</x:v>
      </x:c>
      <x:c r="B734" t="n">
        <x:v>62</x:v>
      </x:c>
      <x:c r="C734" t="str">
        <x:v>午餐</x:v>
      </x:c>
      <x:c r="D734" t="str">
        <x:v>鱼类</x:v>
      </x:c>
      <x:c r="E734" t="str">
        <x:v>巴沙鱼</x:v>
      </x:c>
      <x:c r="F734" t="n">
        <x:v>175</x:v>
      </x:c>
      <x:c r="G734" t="n">
        <x:v>90</x:v>
      </x:c>
      <x:c r="H734" t="n">
        <x:f>ROUND(F734*G734/100,2)</x:f>
        <x:v>157.5</x:v>
      </x:c>
      <x:c r="I734" t="n">
        <x:v>17</x:v>
      </x:c>
      <x:c r="J734" t="n">
        <x:f>ROUND(F734*I734/100,2)</x:f>
        <x:v>29.75</x:v>
      </x:c>
      <x:c r="K734" t="n">
        <x:v>0</x:v>
      </x:c>
      <x:c r="L734" t="n">
        <x:f>ROUND(F734*K734/100,2)</x:f>
        <x:v>0</x:v>
      </x:c>
      <x:c r="M734" t="n">
        <x:v>2.3</x:v>
      </x:c>
      <x:c r="N734" t="n">
        <x:f>ROUND(F734*M734/100,2)</x:f>
        <x:v>4.02</x:v>
      </x:c>
      <x:c r="O734" t="str">
        <x:v>净鱼肉生重</x:v>
      </x:c>
    </x:row>
    <x:row r="735" ht="23" customHeight="1">
      <x:c r="A735" t="n">
        <x:v>123</x:v>
      </x:c>
      <x:c r="B735" t="n">
        <x:v>62</x:v>
      </x:c>
      <x:c r="C735" t="str">
        <x:v>午餐</x:v>
      </x:c>
      <x:c r="D735" t="str"/>
      <x:c r="E735" t="str"/>
      <x:c r="F735" t="n">
        <x:v>0</x:v>
      </x:c>
      <x:c r="G735" t="n">
        <x:v>0</x:v>
      </x:c>
      <x:c r="H735" t="n">
        <x:f>ROUND(F735*G735/100,2)</x:f>
        <x:v>0</x:v>
      </x:c>
      <x:c r="I735" t="n">
        <x:v>0</x:v>
      </x:c>
      <x:c r="J735" t="n">
        <x:f>ROUND(F735*I735/100,2)</x:f>
        <x:v>0</x:v>
      </x:c>
      <x:c r="K735" t="n">
        <x:v>0</x:v>
      </x:c>
      <x:c r="L735" t="n">
        <x:f>ROUND(F735*K735/100,2)</x:f>
        <x:v>0</x:v>
      </x:c>
      <x:c r="M735" t="n">
        <x:v>0</x:v>
      </x:c>
      <x:c r="N735" t="n">
        <x:f>ROUND(F735*M735/100,2)</x:f>
        <x:v>0</x:v>
      </x:c>
      <x:c r="O735" t="str"/>
    </x:row>
    <x:row r="736" ht="23" customHeight="1">
      <x:c r="A736" t="n">
        <x:v>123</x:v>
      </x:c>
      <x:c r="B736" t="n">
        <x:v>62</x:v>
      </x:c>
      <x:c r="C736" t="str">
        <x:v>午餐</x:v>
      </x:c>
      <x:c r="D736" t="str">
        <x:v>蔬菜</x:v>
      </x:c>
      <x:c r="E736" t="str">
        <x:v>荷兰豆</x:v>
      </x:c>
      <x:c r="F736" t="n">
        <x:v>140</x:v>
      </x:c>
      <x:c r="G736" t="n">
        <x:v>42</x:v>
      </x:c>
      <x:c r="H736" t="n">
        <x:f>ROUND(F736*G736/100,2)</x:f>
        <x:v>58.8</x:v>
      </x:c>
      <x:c r="I736" t="n">
        <x:v>2.8</x:v>
      </x:c>
      <x:c r="J736" t="n">
        <x:f>ROUND(F736*I736/100,2)</x:f>
        <x:v>3.92</x:v>
      </x:c>
      <x:c r="K736" t="n">
        <x:v>7.5</x:v>
      </x:c>
      <x:c r="L736" t="n">
        <x:f>ROUND(F736*K736/100,2)</x:f>
        <x:v>10.5</x:v>
      </x:c>
      <x:c r="M736" t="n">
        <x:v>0.3</x:v>
      </x:c>
      <x:c r="N736" t="n">
        <x:f>ROUND(F736*M736/100,2)</x:f>
        <x:v>0.42</x:v>
      </x:c>
      <x:c r="O736" t="str">
        <x:v>生重</x:v>
      </x:c>
    </x:row>
    <x:row r="737" ht="23" customHeight="1">
      <x:c r="A737" t="n">
        <x:v>123</x:v>
      </x:c>
      <x:c r="B737" t="n">
        <x:v>62</x:v>
      </x:c>
      <x:c r="C737" t="str">
        <x:v>午餐</x:v>
      </x:c>
      <x:c r="D737" t="str">
        <x:v>蔬菜</x:v>
      </x:c>
      <x:c r="E737" t="str">
        <x:v>小白菜</x:v>
      </x:c>
      <x:c r="F737" t="n">
        <x:v>155</x:v>
      </x:c>
      <x:c r="G737" t="n">
        <x:v>17</x:v>
      </x:c>
      <x:c r="H737" t="n">
        <x:f>ROUND(F737*G737/100,2)</x:f>
        <x:v>26.35</x:v>
      </x:c>
      <x:c r="I737" t="n">
        <x:v>1.6</x:v>
      </x:c>
      <x:c r="J737" t="n">
        <x:f>ROUND(F737*I737/100,2)</x:f>
        <x:v>2.48</x:v>
      </x:c>
      <x:c r="K737" t="n">
        <x:v>2.8</x:v>
      </x:c>
      <x:c r="L737" t="n">
        <x:f>ROUND(F737*K737/100,2)</x:f>
        <x:v>4.34</x:v>
      </x:c>
      <x:c r="M737" t="n">
        <x:v>0.2</x:v>
      </x:c>
      <x:c r="N737" t="n">
        <x:f>ROUND(F737*M737/100,2)</x:f>
        <x:v>0.31</x:v>
      </x:c>
      <x:c r="O737" t="str">
        <x:v>生重</x:v>
      </x:c>
    </x:row>
    <x:row r="738" ht="23" customHeight="1">
      <x:c r="A738" t="n">
        <x:v>123</x:v>
      </x:c>
      <x:c r="B738" t="n">
        <x:v>62</x:v>
      </x:c>
      <x:c r="C738" t="str">
        <x:v>午餐</x:v>
      </x:c>
      <x:c r="D738" t="str">
        <x:v>主食</x:v>
      </x:c>
      <x:c r="E738" t="str">
        <x:v>杂粮饭</x:v>
      </x:c>
      <x:c r="F738" t="n">
        <x:v>135</x:v>
      </x:c>
      <x:c r="G738" t="n">
        <x:v>115</x:v>
      </x:c>
      <x:c r="H738" t="n">
        <x:f>ROUND(F738*G738/100,2)</x:f>
        <x:v>155.25</x:v>
      </x:c>
      <x:c r="I738" t="n">
        <x:v>3.1</x:v>
      </x:c>
      <x:c r="J738" t="n">
        <x:f>ROUND(F738*I738/100,2)</x:f>
        <x:v>4.18</x:v>
      </x:c>
      <x:c r="K738" t="n">
        <x:v>23.5</x:v>
      </x:c>
      <x:c r="L738" t="n">
        <x:f>ROUND(F738*K738/100,2)</x:f>
        <x:v>31.73</x:v>
      </x:c>
      <x:c r="M738" t="n">
        <x:v>1.1</x:v>
      </x:c>
      <x:c r="N738" t="n">
        <x:f>ROUND(F738*M738/100,2)</x:f>
        <x:v>1.49</x:v>
      </x:c>
      <x:c r="O738" t="str">
        <x:v>熟重</x:v>
      </x:c>
    </x:row>
    <x:row r="739" ht="23" customHeight="1">
      <x:c r="A739" t="n">
        <x:v>123</x:v>
      </x:c>
      <x:c r="B739" t="n">
        <x:v>62</x:v>
      </x:c>
      <x:c r="C739" t="str">
        <x:v>午餐</x:v>
      </x:c>
      <x:c r="D739" t="str">
        <x:v>油脂</x:v>
      </x:c>
      <x:c r="E739" t="str">
        <x:v>烹调油</x:v>
      </x:c>
      <x:c r="F739" t="n">
        <x:v>4</x:v>
      </x:c>
      <x:c r="G739" t="n">
        <x:v>900</x:v>
      </x:c>
      <x:c r="H739" t="n">
        <x:f>ROUND(F739*G739/100,2)</x:f>
        <x:v>36</x:v>
      </x:c>
      <x:c r="I739" t="n">
        <x:v>0</x:v>
      </x:c>
      <x:c r="J739" t="n">
        <x:f>ROUND(F739*I739/100,2)</x:f>
        <x:v>0</x:v>
      </x:c>
      <x:c r="K739" t="n">
        <x:v>0</x:v>
      </x:c>
      <x:c r="L739" t="n">
        <x:f>ROUND(F739*K739/100,2)</x:f>
        <x:v>0</x:v>
      </x:c>
      <x:c r="M739" t="n">
        <x:v>100</x:v>
      </x:c>
      <x:c r="N739" t="n">
        <x:f>ROUND(F739*M739/100,2)</x:f>
        <x:v>4</x:v>
      </x:c>
      <x:c r="O739" t="str">
        <x:v>实际用油重</x:v>
      </x:c>
    </x:row>
    <x:row r="740" ht="23" customHeight="1">
      <x:c r="A740" t="n">
        <x:v>124</x:v>
      </x:c>
      <x:c r="B740" t="n">
        <x:v>62</x:v>
      </x:c>
      <x:c r="C740" t="str">
        <x:v>晚餐</x:v>
      </x:c>
      <x:c r="D740" t="str">
        <x:v>海鲜</x:v>
      </x:c>
      <x:c r="E740" t="str">
        <x:v>花蛤肉</x:v>
      </x:c>
      <x:c r="F740" t="n">
        <x:v>210</x:v>
      </x:c>
      <x:c r="G740" t="n">
        <x:v>75</x:v>
      </x:c>
      <x:c r="H740" t="n">
        <x:f>ROUND(F740*G740/100,2)</x:f>
        <x:v>157.5</x:v>
      </x:c>
      <x:c r="I740" t="n">
        <x:v>13</x:v>
      </x:c>
      <x:c r="J740" t="n">
        <x:f>ROUND(F740*I740/100,2)</x:f>
        <x:v>27.3</x:v>
      </x:c>
      <x:c r="K740" t="n">
        <x:v>3.5</x:v>
      </x:c>
      <x:c r="L740" t="n">
        <x:f>ROUND(F740*K740/100,2)</x:f>
        <x:v>7.35</x:v>
      </x:c>
      <x:c r="M740" t="n">
        <x:v>1</x:v>
      </x:c>
      <x:c r="N740" t="n">
        <x:f>ROUND(F740*M740/100,2)</x:f>
        <x:v>2.1</x:v>
      </x:c>
      <x:c r="O740" t="str">
        <x:v>净肉生重</x:v>
      </x:c>
    </x:row>
    <x:row r="741" ht="23" customHeight="1">
      <x:c r="A741" t="n">
        <x:v>124</x:v>
      </x:c>
      <x:c r="B741" t="n">
        <x:v>62</x:v>
      </x:c>
      <x:c r="C741" t="str">
        <x:v>晚餐</x:v>
      </x:c>
      <x:c r="D741" t="str">
        <x:v>豆蛋</x:v>
      </x:c>
      <x:c r="E741" t="str">
        <x:v>嫩豆腐</x:v>
      </x:c>
      <x:c r="F741" t="n">
        <x:v>135</x:v>
      </x:c>
      <x:c r="G741" t="n">
        <x:v>55</x:v>
      </x:c>
      <x:c r="H741" t="n">
        <x:f>ROUND(F741*G741/100,2)</x:f>
        <x:v>74.25</x:v>
      </x:c>
      <x:c r="I741" t="n">
        <x:v>5</x:v>
      </x:c>
      <x:c r="J741" t="n">
        <x:f>ROUND(F741*I741/100,2)</x:f>
        <x:v>6.75</x:v>
      </x:c>
      <x:c r="K741" t="n">
        <x:v>2</x:v>
      </x:c>
      <x:c r="L741" t="n">
        <x:f>ROUND(F741*K741/100,2)</x:f>
        <x:v>2.7</x:v>
      </x:c>
      <x:c r="M741" t="n">
        <x:v>2.8</x:v>
      </x:c>
      <x:c r="N741" t="n">
        <x:f>ROUND(F741*M741/100,2)</x:f>
        <x:v>3.78</x:v>
      </x:c>
      <x:c r="O741" t="str">
        <x:v>净重</x:v>
      </x:c>
    </x:row>
    <x:row r="742" ht="23" customHeight="1">
      <x:c r="A742" t="n">
        <x:v>124</x:v>
      </x:c>
      <x:c r="B742" t="n">
        <x:v>62</x:v>
      </x:c>
      <x:c r="C742" t="str">
        <x:v>晚餐</x:v>
      </x:c>
      <x:c r="D742" t="str">
        <x:v>蔬菜</x:v>
      </x:c>
      <x:c r="E742" t="str">
        <x:v>番茄</x:v>
      </x:c>
      <x:c r="F742" t="n">
        <x:v>140</x:v>
      </x:c>
      <x:c r="G742" t="n">
        <x:v>20</x:v>
      </x:c>
      <x:c r="H742" t="n">
        <x:f>ROUND(F742*G742/100,2)</x:f>
        <x:v>28</x:v>
      </x:c>
      <x:c r="I742" t="n">
        <x:v>0.9</x:v>
      </x:c>
      <x:c r="J742" t="n">
        <x:f>ROUND(F742*I742/100,2)</x:f>
        <x:v>1.26</x:v>
      </x:c>
      <x:c r="K742" t="n">
        <x:v>4</x:v>
      </x:c>
      <x:c r="L742" t="n">
        <x:f>ROUND(F742*K742/100,2)</x:f>
        <x:v>5.6</x:v>
      </x:c>
      <x:c r="M742" t="n">
        <x:v>0.2</x:v>
      </x:c>
      <x:c r="N742" t="n">
        <x:f>ROUND(F742*M742/100,2)</x:f>
        <x:v>0.28</x:v>
      </x:c>
      <x:c r="O742" t="str">
        <x:v>生重</x:v>
      </x:c>
    </x:row>
    <x:row r="743" ht="23" customHeight="1">
      <x:c r="A743" t="n">
        <x:v>124</x:v>
      </x:c>
      <x:c r="B743" t="n">
        <x:v>62</x:v>
      </x:c>
      <x:c r="C743" t="str">
        <x:v>晚餐</x:v>
      </x:c>
      <x:c r="D743" t="str">
        <x:v>菌菇</x:v>
      </x:c>
      <x:c r="E743" t="str">
        <x:v>香菇</x:v>
      </x:c>
      <x:c r="F743" t="n">
        <x:v>110</x:v>
      </x:c>
      <x:c r="G743" t="n">
        <x:v>34</x:v>
      </x:c>
      <x:c r="H743" t="n">
        <x:f>ROUND(F743*G743/100,2)</x:f>
        <x:v>37.4</x:v>
      </x:c>
      <x:c r="I743" t="n">
        <x:v>2.2</x:v>
      </x:c>
      <x:c r="J743" t="n">
        <x:f>ROUND(F743*I743/100,2)</x:f>
        <x:v>2.42</x:v>
      </x:c>
      <x:c r="K743" t="n">
        <x:v>6.8</x:v>
      </x:c>
      <x:c r="L743" t="n">
        <x:f>ROUND(F743*K743/100,2)</x:f>
        <x:v>7.48</x:v>
      </x:c>
      <x:c r="M743" t="n">
        <x:v>0.5</x:v>
      </x:c>
      <x:c r="N743" t="n">
        <x:f>ROUND(F743*M743/100,2)</x:f>
        <x:v>0.55</x:v>
      </x:c>
      <x:c r="O743" t="str">
        <x:v>生重</x:v>
      </x:c>
    </x:row>
    <x:row r="744" ht="23" customHeight="1">
      <x:c r="A744" t="n">
        <x:v>124</x:v>
      </x:c>
      <x:c r="B744" t="n">
        <x:v>62</x:v>
      </x:c>
      <x:c r="C744" t="str">
        <x:v>晚餐</x:v>
      </x:c>
      <x:c r="D744" t="str">
        <x:v>主食</x:v>
      </x:c>
      <x:c r="E744" t="str">
        <x:v>乌冬面</x:v>
      </x:c>
      <x:c r="F744" t="n">
        <x:v>135</x:v>
      </x:c>
      <x:c r="G744" t="n">
        <x:v>120</x:v>
      </x:c>
      <x:c r="H744" t="n">
        <x:f>ROUND(F744*G744/100,2)</x:f>
        <x:v>162</x:v>
      </x:c>
      <x:c r="I744" t="n">
        <x:v>2.5</x:v>
      </x:c>
      <x:c r="J744" t="n">
        <x:f>ROUND(F744*I744/100,2)</x:f>
        <x:v>3.38</x:v>
      </x:c>
      <x:c r="K744" t="n">
        <x:v>25</x:v>
      </x:c>
      <x:c r="L744" t="n">
        <x:f>ROUND(F744*K744/100,2)</x:f>
        <x:v>33.75</x:v>
      </x:c>
      <x:c r="M744" t="n">
        <x:v>0.6</x:v>
      </x:c>
      <x:c r="N744" t="n">
        <x:f>ROUND(F744*M744/100,2)</x:f>
        <x:v>0.81</x:v>
      </x:c>
      <x:c r="O744" t="str">
        <x:v>煮熟沥水重</x:v>
      </x:c>
    </x:row>
    <x:row r="745" ht="23" customHeight="1">
      <x:c r="A745" t="n">
        <x:v>124</x:v>
      </x:c>
      <x:c r="B745" t="n">
        <x:v>62</x:v>
      </x:c>
      <x:c r="C745" t="str">
        <x:v>晚餐</x:v>
      </x:c>
      <x:c r="D745" t="str">
        <x:v>油脂</x:v>
      </x:c>
      <x:c r="E745" t="str">
        <x:v>烹调油</x:v>
      </x:c>
      <x:c r="F745" t="n">
        <x:v>3</x:v>
      </x:c>
      <x:c r="G745" t="n">
        <x:v>900</x:v>
      </x:c>
      <x:c r="H745" t="n">
        <x:f>ROUND(F745*G745/100,2)</x:f>
        <x:v>27</x:v>
      </x:c>
      <x:c r="I745" t="n">
        <x:v>0</x:v>
      </x:c>
      <x:c r="J745" t="n">
        <x:f>ROUND(F745*I745/100,2)</x:f>
        <x:v>0</x:v>
      </x:c>
      <x:c r="K745" t="n">
        <x:v>0</x:v>
      </x:c>
      <x:c r="L745" t="n">
        <x:f>ROUND(F745*K745/100,2)</x:f>
        <x:v>0</x:v>
      </x:c>
      <x:c r="M745" t="n">
        <x:v>100</x:v>
      </x:c>
      <x:c r="N745" t="n">
        <x:f>ROUND(F745*M745/100,2)</x:f>
        <x:v>3</x:v>
      </x:c>
      <x:c r="O745" t="str">
        <x:v>实际用油重</x:v>
      </x:c>
    </x:row>
    <x:row r="746" ht="23" customHeight="1">
      <x:c r="A746" t="n">
        <x:v>125</x:v>
      </x:c>
      <x:c r="B746" t="n">
        <x:v>63</x:v>
      </x:c>
      <x:c r="C746" t="str">
        <x:v>午餐</x:v>
      </x:c>
      <x:c r="D746" t="str">
        <x:v>禽肉</x:v>
      </x:c>
      <x:c r="E746" t="str">
        <x:v>鸡胸肉</x:v>
      </x:c>
      <x:c r="F746" t="n">
        <x:v>155</x:v>
      </x:c>
      <x:c r="G746" t="n">
        <x:v>110</x:v>
      </x:c>
      <x:c r="H746" t="n">
        <x:f>ROUND(F746*G746/100,2)</x:f>
        <x:v>170.5</x:v>
      </x:c>
      <x:c r="I746" t="n">
        <x:v>23</x:v>
      </x:c>
      <x:c r="J746" t="n">
        <x:f>ROUND(F746*I746/100,2)</x:f>
        <x:v>35.65</x:v>
      </x:c>
      <x:c r="K746" t="n">
        <x:v>0</x:v>
      </x:c>
      <x:c r="L746" t="n">
        <x:f>ROUND(F746*K746/100,2)</x:f>
        <x:v>0</x:v>
      </x:c>
      <x:c r="M746" t="n">
        <x:v>2</x:v>
      </x:c>
      <x:c r="N746" t="n">
        <x:f>ROUND(F746*M746/100,2)</x:f>
        <x:v>3.1</x:v>
      </x:c>
      <x:c r="O746" t="str">
        <x:v>生重</x:v>
      </x:c>
    </x:row>
    <x:row r="747" ht="23" customHeight="1">
      <x:c r="A747" t="n">
        <x:v>125</x:v>
      </x:c>
      <x:c r="B747" t="n">
        <x:v>63</x:v>
      </x:c>
      <x:c r="C747" t="str">
        <x:v>午餐</x:v>
      </x:c>
      <x:c r="D747" t="str"/>
      <x:c r="E747" t="str"/>
      <x:c r="F747" t="n">
        <x:v>0</x:v>
      </x:c>
      <x:c r="G747" t="n">
        <x:v>0</x:v>
      </x:c>
      <x:c r="H747" t="n">
        <x:f>ROUND(F747*G747/100,2)</x:f>
        <x:v>0</x:v>
      </x:c>
      <x:c r="I747" t="n">
        <x:v>0</x:v>
      </x:c>
      <x:c r="J747" t="n">
        <x:f>ROUND(F747*I747/100,2)</x:f>
        <x:v>0</x:v>
      </x:c>
      <x:c r="K747" t="n">
        <x:v>0</x:v>
      </x:c>
      <x:c r="L747" t="n">
        <x:f>ROUND(F747*K747/100,2)</x:f>
        <x:v>0</x:v>
      </x:c>
      <x:c r="M747" t="n">
        <x:v>0</x:v>
      </x:c>
      <x:c r="N747" t="n">
        <x:f>ROUND(F747*M747/100,2)</x:f>
        <x:v>0</x:v>
      </x:c>
      <x:c r="O747" t="str"/>
    </x:row>
    <x:row r="748" ht="23" customHeight="1">
      <x:c r="A748" t="n">
        <x:v>125</x:v>
      </x:c>
      <x:c r="B748" t="n">
        <x:v>63</x:v>
      </x:c>
      <x:c r="C748" t="str">
        <x:v>午餐</x:v>
      </x:c>
      <x:c r="D748" t="str">
        <x:v>蔬菜</x:v>
      </x:c>
      <x:c r="E748" t="str">
        <x:v>荷兰豆</x:v>
      </x:c>
      <x:c r="F748" t="n">
        <x:v>175</x:v>
      </x:c>
      <x:c r="G748" t="n">
        <x:v>42</x:v>
      </x:c>
      <x:c r="H748" t="n">
        <x:f>ROUND(F748*G748/100,2)</x:f>
        <x:v>73.5</x:v>
      </x:c>
      <x:c r="I748" t="n">
        <x:v>2.8</x:v>
      </x:c>
      <x:c r="J748" t="n">
        <x:f>ROUND(F748*I748/100,2)</x:f>
        <x:v>4.9</x:v>
      </x:c>
      <x:c r="K748" t="n">
        <x:v>7.5</x:v>
      </x:c>
      <x:c r="L748" t="n">
        <x:f>ROUND(F748*K748/100,2)</x:f>
        <x:v>13.13</x:v>
      </x:c>
      <x:c r="M748" t="n">
        <x:v>0.3</x:v>
      </x:c>
      <x:c r="N748" t="n">
        <x:f>ROUND(F748*M748/100,2)</x:f>
        <x:v>0.53</x:v>
      </x:c>
      <x:c r="O748" t="str">
        <x:v>生重</x:v>
      </x:c>
    </x:row>
    <x:row r="749" ht="23" customHeight="1">
      <x:c r="A749" t="n">
        <x:v>125</x:v>
      </x:c>
      <x:c r="B749" t="n">
        <x:v>63</x:v>
      </x:c>
      <x:c r="C749" t="str">
        <x:v>午餐</x:v>
      </x:c>
      <x:c r="D749" t="str">
        <x:v>蔬菜</x:v>
      </x:c>
      <x:c r="E749" t="str">
        <x:v>番茄</x:v>
      </x:c>
      <x:c r="F749" t="n">
        <x:v>140</x:v>
      </x:c>
      <x:c r="G749" t="n">
        <x:v>20</x:v>
      </x:c>
      <x:c r="H749" t="n">
        <x:f>ROUND(F749*G749/100,2)</x:f>
        <x:v>28</x:v>
      </x:c>
      <x:c r="I749" t="n">
        <x:v>0.9</x:v>
      </x:c>
      <x:c r="J749" t="n">
        <x:f>ROUND(F749*I749/100,2)</x:f>
        <x:v>1.26</x:v>
      </x:c>
      <x:c r="K749" t="n">
        <x:v>4</x:v>
      </x:c>
      <x:c r="L749" t="n">
        <x:f>ROUND(F749*K749/100,2)</x:f>
        <x:v>5.6</x:v>
      </x:c>
      <x:c r="M749" t="n">
        <x:v>0.2</x:v>
      </x:c>
      <x:c r="N749" t="n">
        <x:f>ROUND(F749*M749/100,2)</x:f>
        <x:v>0.28</x:v>
      </x:c>
      <x:c r="O749" t="str">
        <x:v>生重</x:v>
      </x:c>
    </x:row>
    <x:row r="750" ht="23" customHeight="1">
      <x:c r="A750" t="n">
        <x:v>125</x:v>
      </x:c>
      <x:c r="B750" t="n">
        <x:v>63</x:v>
      </x:c>
      <x:c r="C750" t="str">
        <x:v>午餐</x:v>
      </x:c>
      <x:c r="D750" t="str">
        <x:v>主食</x:v>
      </x:c>
      <x:c r="E750" t="str">
        <x:v>荞麦饭</x:v>
      </x:c>
      <x:c r="F750" t="n">
        <x:v>135</x:v>
      </x:c>
      <x:c r="G750" t="n">
        <x:v>110</x:v>
      </x:c>
      <x:c r="H750" t="n">
        <x:f>ROUND(F750*G750/100,2)</x:f>
        <x:v>148.5</x:v>
      </x:c>
      <x:c r="I750" t="n">
        <x:v>3.4</x:v>
      </x:c>
      <x:c r="J750" t="n">
        <x:f>ROUND(F750*I750/100,2)</x:f>
        <x:v>4.59</x:v>
      </x:c>
      <x:c r="K750" t="n">
        <x:v>22</x:v>
      </x:c>
      <x:c r="L750" t="n">
        <x:f>ROUND(F750*K750/100,2)</x:f>
        <x:v>29.7</x:v>
      </x:c>
      <x:c r="M750" t="n">
        <x:v>1.1</x:v>
      </x:c>
      <x:c r="N750" t="n">
        <x:f>ROUND(F750*M750/100,2)</x:f>
        <x:v>1.49</x:v>
      </x:c>
      <x:c r="O750" t="str">
        <x:v>熟重</x:v>
      </x:c>
    </x:row>
    <x:row r="751" ht="23" customHeight="1">
      <x:c r="A751" t="n">
        <x:v>125</x:v>
      </x:c>
      <x:c r="B751" t="n">
        <x:v>63</x:v>
      </x:c>
      <x:c r="C751" t="str">
        <x:v>午餐</x:v>
      </x:c>
      <x:c r="D751" t="str">
        <x:v>油脂</x:v>
      </x:c>
      <x:c r="E751" t="str">
        <x:v>烹调油</x:v>
      </x:c>
      <x:c r="F751" t="n">
        <x:v>6</x:v>
      </x:c>
      <x:c r="G751" t="n">
        <x:v>900</x:v>
      </x:c>
      <x:c r="H751" t="n">
        <x:f>ROUND(F751*G751/100,2)</x:f>
        <x:v>54</x:v>
      </x:c>
      <x:c r="I751" t="n">
        <x:v>0</x:v>
      </x:c>
      <x:c r="J751" t="n">
        <x:f>ROUND(F751*I751/100,2)</x:f>
        <x:v>0</x:v>
      </x:c>
      <x:c r="K751" t="n">
        <x:v>0</x:v>
      </x:c>
      <x:c r="L751" t="n">
        <x:f>ROUND(F751*K751/100,2)</x:f>
        <x:v>0</x:v>
      </x:c>
      <x:c r="M751" t="n">
        <x:v>100</x:v>
      </x:c>
      <x:c r="N751" t="n">
        <x:f>ROUND(F751*M751/100,2)</x:f>
        <x:v>6</x:v>
      </x:c>
      <x:c r="O751" t="str">
        <x:v>实际用油重</x:v>
      </x:c>
    </x:row>
    <x:row r="752" ht="23" customHeight="1">
      <x:c r="A752" t="n">
        <x:v>126</x:v>
      </x:c>
      <x:c r="B752" t="n">
        <x:v>63</x:v>
      </x:c>
      <x:c r="C752" t="str">
        <x:v>晚餐</x:v>
      </x:c>
      <x:c r="D752" t="str">
        <x:v>鱼类</x:v>
      </x:c>
      <x:c r="E752" t="str">
        <x:v>鳕鱼</x:v>
      </x:c>
      <x:c r="F752" t="n">
        <x:v>185</x:v>
      </x:c>
      <x:c r="G752" t="n">
        <x:v>85</x:v>
      </x:c>
      <x:c r="H752" t="n">
        <x:f>ROUND(F752*G752/100,2)</x:f>
        <x:v>157.25</x:v>
      </x:c>
      <x:c r="I752" t="n">
        <x:v>18</x:v>
      </x:c>
      <x:c r="J752" t="n">
        <x:f>ROUND(F752*I752/100,2)</x:f>
        <x:v>33.3</x:v>
      </x:c>
      <x:c r="K752" t="n">
        <x:v>0</x:v>
      </x:c>
      <x:c r="L752" t="n">
        <x:f>ROUND(F752*K752/100,2)</x:f>
        <x:v>0</x:v>
      </x:c>
      <x:c r="M752" t="n">
        <x:v>0.8</x:v>
      </x:c>
      <x:c r="N752" t="n">
        <x:f>ROUND(F752*M752/100,2)</x:f>
        <x:v>1.48</x:v>
      </x:c>
      <x:c r="O752" t="str">
        <x:v>净鱼肉生重</x:v>
      </x:c>
    </x:row>
    <x:row r="753" ht="23" customHeight="1">
      <x:c r="A753" t="n">
        <x:v>126</x:v>
      </x:c>
      <x:c r="B753" t="n">
        <x:v>63</x:v>
      </x:c>
      <x:c r="C753" t="str">
        <x:v>晚餐</x:v>
      </x:c>
      <x:c r="D753" t="str">
        <x:v>豆蛋</x:v>
      </x:c>
      <x:c r="E753" t="str">
        <x:v>熟毛豆仁</x:v>
      </x:c>
      <x:c r="F753" t="n">
        <x:v>70</x:v>
      </x:c>
      <x:c r="G753" t="n">
        <x:v>120</x:v>
      </x:c>
      <x:c r="H753" t="n">
        <x:f>ROUND(F753*G753/100,2)</x:f>
        <x:v>84</x:v>
      </x:c>
      <x:c r="I753" t="n">
        <x:v>12</x:v>
      </x:c>
      <x:c r="J753" t="n">
        <x:f>ROUND(F753*I753/100,2)</x:f>
        <x:v>8.4</x:v>
      </x:c>
      <x:c r="K753" t="n">
        <x:v>9</x:v>
      </x:c>
      <x:c r="L753" t="n">
        <x:f>ROUND(F753*K753/100,2)</x:f>
        <x:v>6.3</x:v>
      </x:c>
      <x:c r="M753" t="n">
        <x:v>5</x:v>
      </x:c>
      <x:c r="N753" t="n">
        <x:f>ROUND(F753*M753/100,2)</x:f>
        <x:v>3.5</x:v>
      </x:c>
      <x:c r="O753" t="str">
        <x:v>熟重</x:v>
      </x:c>
    </x:row>
    <x:row r="754" ht="23" customHeight="1">
      <x:c r="A754" t="n">
        <x:v>126</x:v>
      </x:c>
      <x:c r="B754" t="n">
        <x:v>63</x:v>
      </x:c>
      <x:c r="C754" t="str">
        <x:v>晚餐</x:v>
      </x:c>
      <x:c r="D754" t="str">
        <x:v>蔬菜</x:v>
      </x:c>
      <x:c r="E754" t="str">
        <x:v>生菜</x:v>
      </x:c>
      <x:c r="F754" t="n">
        <x:v>175</x:v>
      </x:c>
      <x:c r="G754" t="n">
        <x:v>16</x:v>
      </x:c>
      <x:c r="H754" t="n">
        <x:f>ROUND(F754*G754/100,2)</x:f>
        <x:v>28</x:v>
      </x:c>
      <x:c r="I754" t="n">
        <x:v>1.4</x:v>
      </x:c>
      <x:c r="J754" t="n">
        <x:f>ROUND(F754*I754/100,2)</x:f>
        <x:v>2.45</x:v>
      </x:c>
      <x:c r="K754" t="n">
        <x:v>2.9</x:v>
      </x:c>
      <x:c r="L754" t="n">
        <x:f>ROUND(F754*K754/100,2)</x:f>
        <x:v>5.08</x:v>
      </x:c>
      <x:c r="M754" t="n">
        <x:v>0.1</x:v>
      </x:c>
      <x:c r="N754" t="n">
        <x:f>ROUND(F754*M754/100,2)</x:f>
        <x:v>0.18</x:v>
      </x:c>
      <x:c r="O754" t="str">
        <x:v>生重</x:v>
      </x:c>
    </x:row>
    <x:row r="755" ht="23" customHeight="1">
      <x:c r="A755" t="n">
        <x:v>126</x:v>
      </x:c>
      <x:c r="B755" t="n">
        <x:v>63</x:v>
      </x:c>
      <x:c r="C755" t="str">
        <x:v>晚餐</x:v>
      </x:c>
      <x:c r="D755" t="str">
        <x:v>蔬菜</x:v>
      </x:c>
      <x:c r="E755" t="str">
        <x:v>花菜</x:v>
      </x:c>
      <x:c r="F755" t="n">
        <x:v>140</x:v>
      </x:c>
      <x:c r="G755" t="n">
        <x:v>25</x:v>
      </x:c>
      <x:c r="H755" t="n">
        <x:f>ROUND(F755*G755/100,2)</x:f>
        <x:v>35</x:v>
      </x:c>
      <x:c r="I755" t="n">
        <x:v>2</x:v>
      </x:c>
      <x:c r="J755" t="n">
        <x:f>ROUND(F755*I755/100,2)</x:f>
        <x:v>2.8</x:v>
      </x:c>
      <x:c r="K755" t="n">
        <x:v>5</x:v>
      </x:c>
      <x:c r="L755" t="n">
        <x:f>ROUND(F755*K755/100,2)</x:f>
        <x:v>7</x:v>
      </x:c>
      <x:c r="M755" t="n">
        <x:v>0.3</x:v>
      </x:c>
      <x:c r="N755" t="n">
        <x:f>ROUND(F755*M755/100,2)</x:f>
        <x:v>0.42</x:v>
      </x:c>
      <x:c r="O755" t="str">
        <x:v>生重</x:v>
      </x:c>
    </x:row>
    <x:row r="756" ht="23" customHeight="1">
      <x:c r="A756" t="n">
        <x:v>126</x:v>
      </x:c>
      <x:c r="B756" t="n">
        <x:v>63</x:v>
      </x:c>
      <x:c r="C756" t="str">
        <x:v>晚餐</x:v>
      </x:c>
      <x:c r="D756" t="str">
        <x:v>主食</x:v>
      </x:c>
      <x:c r="E756" t="str">
        <x:v>杂粮饭</x:v>
      </x:c>
      <x:c r="F756" t="n">
        <x:v>125</x:v>
      </x:c>
      <x:c r="G756" t="n">
        <x:v>115</x:v>
      </x:c>
      <x:c r="H756" t="n">
        <x:f>ROUND(F756*G756/100,2)</x:f>
        <x:v>143.75</x:v>
      </x:c>
      <x:c r="I756" t="n">
        <x:v>3.1</x:v>
      </x:c>
      <x:c r="J756" t="n">
        <x:f>ROUND(F756*I756/100,2)</x:f>
        <x:v>3.88</x:v>
      </x:c>
      <x:c r="K756" t="n">
        <x:v>23.5</x:v>
      </x:c>
      <x:c r="L756" t="n">
        <x:f>ROUND(F756*K756/100,2)</x:f>
        <x:v>29.38</x:v>
      </x:c>
      <x:c r="M756" t="n">
        <x:v>1.1</x:v>
      </x:c>
      <x:c r="N756" t="n">
        <x:f>ROUND(F756*M756/100,2)</x:f>
        <x:v>1.38</x:v>
      </x:c>
      <x:c r="O756" t="str">
        <x:v>熟重</x:v>
      </x:c>
    </x:row>
    <x:row r="757" ht="23" customHeight="1">
      <x:c r="A757" t="n">
        <x:v>126</x:v>
      </x:c>
      <x:c r="B757" t="n">
        <x:v>63</x:v>
      </x:c>
      <x:c r="C757" t="str">
        <x:v>晚餐</x:v>
      </x:c>
      <x:c r="D757" t="str">
        <x:v>油脂</x:v>
      </x:c>
      <x:c r="E757" t="str">
        <x:v>烹调油</x:v>
      </x:c>
      <x:c r="F757" t="n">
        <x:v>4</x:v>
      </x:c>
      <x:c r="G757" t="n">
        <x:v>900</x:v>
      </x:c>
      <x:c r="H757" t="n">
        <x:f>ROUND(F757*G757/100,2)</x:f>
        <x:v>36</x:v>
      </x:c>
      <x:c r="I757" t="n">
        <x:v>0</x:v>
      </x:c>
      <x:c r="J757" t="n">
        <x:f>ROUND(F757*I757/100,2)</x:f>
        <x:v>0</x:v>
      </x:c>
      <x:c r="K757" t="n">
        <x:v>0</x:v>
      </x:c>
      <x:c r="L757" t="n">
        <x:f>ROUND(F757*K757/100,2)</x:f>
        <x:v>0</x:v>
      </x:c>
      <x:c r="M757" t="n">
        <x:v>100</x:v>
      </x:c>
      <x:c r="N757" t="n">
        <x:f>ROUND(F757*M757/100,2)</x:f>
        <x:v>4</x:v>
      </x:c>
      <x:c r="O757" t="str">
        <x:v>实际用油重</x:v>
      </x:c>
    </x:row>
    <x:row r="758" ht="23" customHeight="1">
      <x:c r="A758" t="n">
        <x:v>127</x:v>
      </x:c>
      <x:c r="B758" t="n">
        <x:v>64</x:v>
      </x:c>
      <x:c r="C758" t="str">
        <x:v>午餐</x:v>
      </x:c>
      <x:c r="D758" t="str">
        <x:v>鱼类</x:v>
      </x:c>
      <x:c r="E758" t="str">
        <x:v>鳕鱼</x:v>
      </x:c>
      <x:c r="F758" t="n">
        <x:v>215</x:v>
      </x:c>
      <x:c r="G758" t="n">
        <x:v>85</x:v>
      </x:c>
      <x:c r="H758" t="n">
        <x:f>ROUND(F758*G758/100,2)</x:f>
        <x:v>182.75</x:v>
      </x:c>
      <x:c r="I758" t="n">
        <x:v>18</x:v>
      </x:c>
      <x:c r="J758" t="n">
        <x:f>ROUND(F758*I758/100,2)</x:f>
        <x:v>38.7</x:v>
      </x:c>
      <x:c r="K758" t="n">
        <x:v>0</x:v>
      </x:c>
      <x:c r="L758" t="n">
        <x:f>ROUND(F758*K758/100,2)</x:f>
        <x:v>0</x:v>
      </x:c>
      <x:c r="M758" t="n">
        <x:v>0.8</x:v>
      </x:c>
      <x:c r="N758" t="n">
        <x:f>ROUND(F758*M758/100,2)</x:f>
        <x:v>1.72</x:v>
      </x:c>
      <x:c r="O758" t="str">
        <x:v>净鱼肉生重</x:v>
      </x:c>
    </x:row>
    <x:row r="759" ht="23" customHeight="1">
      <x:c r="A759" t="n">
        <x:v>127</x:v>
      </x:c>
      <x:c r="B759" t="n">
        <x:v>64</x:v>
      </x:c>
      <x:c r="C759" t="str">
        <x:v>午餐</x:v>
      </x:c>
      <x:c r="D759" t="str"/>
      <x:c r="E759" t="str"/>
      <x:c r="F759" t="n">
        <x:v>0</x:v>
      </x:c>
      <x:c r="G759" t="n">
        <x:v>0</x:v>
      </x:c>
      <x:c r="H759" t="n">
        <x:f>ROUND(F759*G759/100,2)</x:f>
        <x:v>0</x:v>
      </x:c>
      <x:c r="I759" t="n">
        <x:v>0</x:v>
      </x:c>
      <x:c r="J759" t="n">
        <x:f>ROUND(F759*I759/100,2)</x:f>
        <x:v>0</x:v>
      </x:c>
      <x:c r="K759" t="n">
        <x:v>0</x:v>
      </x:c>
      <x:c r="L759" t="n">
        <x:f>ROUND(F759*K759/100,2)</x:f>
        <x:v>0</x:v>
      </x:c>
      <x:c r="M759" t="n">
        <x:v>0</x:v>
      </x:c>
      <x:c r="N759" t="n">
        <x:f>ROUND(F759*M759/100,2)</x:f>
        <x:v>0</x:v>
      </x:c>
      <x:c r="O759" t="str"/>
    </x:row>
    <x:row r="760" ht="23" customHeight="1">
      <x:c r="A760" t="n">
        <x:v>127</x:v>
      </x:c>
      <x:c r="B760" t="n">
        <x:v>64</x:v>
      </x:c>
      <x:c r="C760" t="str">
        <x:v>午餐</x:v>
      </x:c>
      <x:c r="D760" t="str">
        <x:v>蔬菜</x:v>
      </x:c>
      <x:c r="E760" t="str">
        <x:v>芹菜</x:v>
      </x:c>
      <x:c r="F760" t="n">
        <x:v>175</x:v>
      </x:c>
      <x:c r="G760" t="n">
        <x:v>17</x:v>
      </x:c>
      <x:c r="H760" t="n">
        <x:f>ROUND(F760*G760/100,2)</x:f>
        <x:v>29.75</x:v>
      </x:c>
      <x:c r="I760" t="n">
        <x:v>1</x:v>
      </x:c>
      <x:c r="J760" t="n">
        <x:f>ROUND(F760*I760/100,2)</x:f>
        <x:v>1.75</x:v>
      </x:c>
      <x:c r="K760" t="n">
        <x:v>3.5</x:v>
      </x:c>
      <x:c r="L760" t="n">
        <x:f>ROUND(F760*K760/100,2)</x:f>
        <x:v>6.13</x:v>
      </x:c>
      <x:c r="M760" t="n">
        <x:v>0.1</x:v>
      </x:c>
      <x:c r="N760" t="n">
        <x:f>ROUND(F760*M760/100,2)</x:f>
        <x:v>0.18</x:v>
      </x:c>
      <x:c r="O760" t="str">
        <x:v>生重</x:v>
      </x:c>
    </x:row>
    <x:row r="761" ht="23" customHeight="1">
      <x:c r="A761" t="n">
        <x:v>127</x:v>
      </x:c>
      <x:c r="B761" t="n">
        <x:v>64</x:v>
      </x:c>
      <x:c r="C761" t="str">
        <x:v>午餐</x:v>
      </x:c>
      <x:c r="D761" t="str">
        <x:v>菌菇</x:v>
      </x:c>
      <x:c r="E761" t="str">
        <x:v>泡发木耳</x:v>
      </x:c>
      <x:c r="F761" t="n">
        <x:v>125</x:v>
      </x:c>
      <x:c r="G761" t="n">
        <x:v>25</x:v>
      </x:c>
      <x:c r="H761" t="n">
        <x:f>ROUND(F761*G761/100,2)</x:f>
        <x:v>31.25</x:v>
      </x:c>
      <x:c r="I761" t="n">
        <x:v>1.5</x:v>
      </x:c>
      <x:c r="J761" t="n">
        <x:f>ROUND(F761*I761/100,2)</x:f>
        <x:v>1.88</x:v>
      </x:c>
      <x:c r="K761" t="n">
        <x:v>6</x:v>
      </x:c>
      <x:c r="L761" t="n">
        <x:f>ROUND(F761*K761/100,2)</x:f>
        <x:v>7.5</x:v>
      </x:c>
      <x:c r="M761" t="n">
        <x:v>0.1</x:v>
      </x:c>
      <x:c r="N761" t="n">
        <x:f>ROUND(F761*M761/100,2)</x:f>
        <x:v>0.13</x:v>
      </x:c>
      <x:c r="O761" t="str">
        <x:v>泡发沥水重</x:v>
      </x:c>
    </x:row>
    <x:row r="762" ht="23" customHeight="1">
      <x:c r="A762" t="n">
        <x:v>127</x:v>
      </x:c>
      <x:c r="B762" t="n">
        <x:v>64</x:v>
      </x:c>
      <x:c r="C762" t="str">
        <x:v>午餐</x:v>
      </x:c>
      <x:c r="D762" t="str">
        <x:v>主食</x:v>
      </x:c>
      <x:c r="E762" t="str">
        <x:v>杂粮饭</x:v>
      </x:c>
      <x:c r="F762" t="n">
        <x:v>165</x:v>
      </x:c>
      <x:c r="G762" t="n">
        <x:v>115</x:v>
      </x:c>
      <x:c r="H762" t="n">
        <x:f>ROUND(F762*G762/100,2)</x:f>
        <x:v>189.75</x:v>
      </x:c>
      <x:c r="I762" t="n">
        <x:v>3.1</x:v>
      </x:c>
      <x:c r="J762" t="n">
        <x:f>ROUND(F762*I762/100,2)</x:f>
        <x:v>5.12</x:v>
      </x:c>
      <x:c r="K762" t="n">
        <x:v>23.5</x:v>
      </x:c>
      <x:c r="L762" t="n">
        <x:f>ROUND(F762*K762/100,2)</x:f>
        <x:v>38.78</x:v>
      </x:c>
      <x:c r="M762" t="n">
        <x:v>1.1</x:v>
      </x:c>
      <x:c r="N762" t="n">
        <x:f>ROUND(F762*M762/100,2)</x:f>
        <x:v>1.82</x:v>
      </x:c>
      <x:c r="O762" t="str">
        <x:v>熟重</x:v>
      </x:c>
    </x:row>
    <x:row r="763" ht="23" customHeight="1">
      <x:c r="A763" t="n">
        <x:v>127</x:v>
      </x:c>
      <x:c r="B763" t="n">
        <x:v>64</x:v>
      </x:c>
      <x:c r="C763" t="str">
        <x:v>午餐</x:v>
      </x:c>
      <x:c r="D763" t="str">
        <x:v>油脂</x:v>
      </x:c>
      <x:c r="E763" t="str">
        <x:v>烹调油</x:v>
      </x:c>
      <x:c r="F763" t="n">
        <x:v>5</x:v>
      </x:c>
      <x:c r="G763" t="n">
        <x:v>900</x:v>
      </x:c>
      <x:c r="H763" t="n">
        <x:f>ROUND(F763*G763/100,2)</x:f>
        <x:v>45</x:v>
      </x:c>
      <x:c r="I763" t="n">
        <x:v>0</x:v>
      </x:c>
      <x:c r="J763" t="n">
        <x:f>ROUND(F763*I763/100,2)</x:f>
        <x:v>0</x:v>
      </x:c>
      <x:c r="K763" t="n">
        <x:v>0</x:v>
      </x:c>
      <x:c r="L763" t="n">
        <x:f>ROUND(F763*K763/100,2)</x:f>
        <x:v>0</x:v>
      </x:c>
      <x:c r="M763" t="n">
        <x:v>100</x:v>
      </x:c>
      <x:c r="N763" t="n">
        <x:f>ROUND(F763*M763/100,2)</x:f>
        <x:v>5</x:v>
      </x:c>
      <x:c r="O763" t="str">
        <x:v>实际用油重</x:v>
      </x:c>
    </x:row>
    <x:row r="764" ht="23" customHeight="1">
      <x:c r="A764" t="n">
        <x:v>128</x:v>
      </x:c>
      <x:c r="B764" t="n">
        <x:v>64</x:v>
      </x:c>
      <x:c r="C764" t="str">
        <x:v>晚餐</x:v>
      </x:c>
      <x:c r="D764" t="str">
        <x:v>禽肉</x:v>
      </x:c>
      <x:c r="E764" t="str">
        <x:v>鸡胸肉</x:v>
      </x:c>
      <x:c r="F764" t="n">
        <x:v>160</x:v>
      </x:c>
      <x:c r="G764" t="n">
        <x:v>110</x:v>
      </x:c>
      <x:c r="H764" t="n">
        <x:f>ROUND(F764*G764/100,2)</x:f>
        <x:v>176</x:v>
      </x:c>
      <x:c r="I764" t="n">
        <x:v>23</x:v>
      </x:c>
      <x:c r="J764" t="n">
        <x:f>ROUND(F764*I764/100,2)</x:f>
        <x:v>36.8</x:v>
      </x:c>
      <x:c r="K764" t="n">
        <x:v>0</x:v>
      </x:c>
      <x:c r="L764" t="n">
        <x:f>ROUND(F764*K764/100,2)</x:f>
        <x:v>0</x:v>
      </x:c>
      <x:c r="M764" t="n">
        <x:v>2</x:v>
      </x:c>
      <x:c r="N764" t="n">
        <x:f>ROUND(F764*M764/100,2)</x:f>
        <x:v>3.2</x:v>
      </x:c>
      <x:c r="O764" t="str">
        <x:v>生重</x:v>
      </x:c>
    </x:row>
    <x:row r="765" ht="23" customHeight="1">
      <x:c r="A765" t="n">
        <x:v>128</x:v>
      </x:c>
      <x:c r="B765" t="n">
        <x:v>64</x:v>
      </x:c>
      <x:c r="C765" t="str">
        <x:v>晚餐</x:v>
      </x:c>
      <x:c r="D765" t="str"/>
      <x:c r="E765" t="str"/>
      <x:c r="F765" t="n">
        <x:v>0</x:v>
      </x:c>
      <x:c r="G765" t="n">
        <x:v>0</x:v>
      </x:c>
      <x:c r="H765" t="n">
        <x:f>ROUND(F765*G765/100,2)</x:f>
        <x:v>0</x:v>
      </x:c>
      <x:c r="I765" t="n">
        <x:v>0</x:v>
      </x:c>
      <x:c r="J765" t="n">
        <x:f>ROUND(F765*I765/100,2)</x:f>
        <x:v>0</x:v>
      </x:c>
      <x:c r="K765" t="n">
        <x:v>0</x:v>
      </x:c>
      <x:c r="L765" t="n">
        <x:f>ROUND(F765*K765/100,2)</x:f>
        <x:v>0</x:v>
      </x:c>
      <x:c r="M765" t="n">
        <x:v>0</x:v>
      </x:c>
      <x:c r="N765" t="n">
        <x:f>ROUND(F765*M765/100,2)</x:f>
        <x:v>0</x:v>
      </x:c>
      <x:c r="O765" t="str"/>
    </x:row>
    <x:row r="766" ht="23" customHeight="1">
      <x:c r="A766" t="n">
        <x:v>128</x:v>
      </x:c>
      <x:c r="B766" t="n">
        <x:v>64</x:v>
      </x:c>
      <x:c r="C766" t="str">
        <x:v>晚餐</x:v>
      </x:c>
      <x:c r="D766" t="str">
        <x:v>蔬菜</x:v>
      </x:c>
      <x:c r="E766" t="str">
        <x:v>番茄</x:v>
      </x:c>
      <x:c r="F766" t="n">
        <x:v>190</x:v>
      </x:c>
      <x:c r="G766" t="n">
        <x:v>20</x:v>
      </x:c>
      <x:c r="H766" t="n">
        <x:f>ROUND(F766*G766/100,2)</x:f>
        <x:v>38</x:v>
      </x:c>
      <x:c r="I766" t="n">
        <x:v>0.9</x:v>
      </x:c>
      <x:c r="J766" t="n">
        <x:f>ROUND(F766*I766/100,2)</x:f>
        <x:v>1.71</x:v>
      </x:c>
      <x:c r="K766" t="n">
        <x:v>4</x:v>
      </x:c>
      <x:c r="L766" t="n">
        <x:f>ROUND(F766*K766/100,2)</x:f>
        <x:v>7.6</x:v>
      </x:c>
      <x:c r="M766" t="n">
        <x:v>0.2</x:v>
      </x:c>
      <x:c r="N766" t="n">
        <x:f>ROUND(F766*M766/100,2)</x:f>
        <x:v>0.38</x:v>
      </x:c>
      <x:c r="O766" t="str">
        <x:v>生重</x:v>
      </x:c>
    </x:row>
    <x:row r="767" ht="23" customHeight="1">
      <x:c r="A767" t="n">
        <x:v>128</x:v>
      </x:c>
      <x:c r="B767" t="n">
        <x:v>64</x:v>
      </x:c>
      <x:c r="C767" t="str">
        <x:v>晚餐</x:v>
      </x:c>
      <x:c r="D767" t="str">
        <x:v>蔬菜</x:v>
      </x:c>
      <x:c r="E767" t="str">
        <x:v>黄瓜</x:v>
      </x:c>
      <x:c r="F767" t="n">
        <x:v>110</x:v>
      </x:c>
      <x:c r="G767" t="n">
        <x:v>16</x:v>
      </x:c>
      <x:c r="H767" t="n">
        <x:f>ROUND(F767*G767/100,2)</x:f>
        <x:v>17.6</x:v>
      </x:c>
      <x:c r="I767" t="n">
        <x:v>0.7</x:v>
      </x:c>
      <x:c r="J767" t="n">
        <x:f>ROUND(F767*I767/100,2)</x:f>
        <x:v>0.77</x:v>
      </x:c>
      <x:c r="K767" t="n">
        <x:v>3.6</x:v>
      </x:c>
      <x:c r="L767" t="n">
        <x:f>ROUND(F767*K767/100,2)</x:f>
        <x:v>3.96</x:v>
      </x:c>
      <x:c r="M767" t="n">
        <x:v>0.1</x:v>
      </x:c>
      <x:c r="N767" t="n">
        <x:f>ROUND(F767*M767/100,2)</x:f>
        <x:v>0.11</x:v>
      </x:c>
      <x:c r="O767" t="str">
        <x:v>生重</x:v>
      </x:c>
    </x:row>
    <x:row r="768" ht="23" customHeight="1">
      <x:c r="A768" t="n">
        <x:v>128</x:v>
      </x:c>
      <x:c r="B768" t="n">
        <x:v>64</x:v>
      </x:c>
      <x:c r="C768" t="str">
        <x:v>晚餐</x:v>
      </x:c>
      <x:c r="D768" t="str">
        <x:v>主食</x:v>
      </x:c>
      <x:c r="E768" t="str">
        <x:v>杂粮饭</x:v>
      </x:c>
      <x:c r="F768" t="n">
        <x:v>100</x:v>
      </x:c>
      <x:c r="G768" t="n">
        <x:v>115</x:v>
      </x:c>
      <x:c r="H768" t="n">
        <x:f>ROUND(F768*G768/100,2)</x:f>
        <x:v>115</x:v>
      </x:c>
      <x:c r="I768" t="n">
        <x:v>3.1</x:v>
      </x:c>
      <x:c r="J768" t="n">
        <x:f>ROUND(F768*I768/100,2)</x:f>
        <x:v>3.1</x:v>
      </x:c>
      <x:c r="K768" t="n">
        <x:v>23.5</x:v>
      </x:c>
      <x:c r="L768" t="n">
        <x:f>ROUND(F768*K768/100,2)</x:f>
        <x:v>23.5</x:v>
      </x:c>
      <x:c r="M768" t="n">
        <x:v>1.1</x:v>
      </x:c>
      <x:c r="N768" t="n">
        <x:f>ROUND(F768*M768/100,2)</x:f>
        <x:v>1.1</x:v>
      </x:c>
      <x:c r="O768" t="str">
        <x:v>熟重</x:v>
      </x:c>
    </x:row>
    <x:row r="769" ht="23" customHeight="1">
      <x:c r="A769" t="n">
        <x:v>128</x:v>
      </x:c>
      <x:c r="B769" t="n">
        <x:v>64</x:v>
      </x:c>
      <x:c r="C769" t="str">
        <x:v>晚餐</x:v>
      </x:c>
      <x:c r="D769" t="str">
        <x:v>油脂</x:v>
      </x:c>
      <x:c r="E769" t="str">
        <x:v>烹调油</x:v>
      </x:c>
      <x:c r="F769" t="n">
        <x:v>3</x:v>
      </x:c>
      <x:c r="G769" t="n">
        <x:v>900</x:v>
      </x:c>
      <x:c r="H769" t="n">
        <x:f>ROUND(F769*G769/100,2)</x:f>
        <x:v>27</x:v>
      </x:c>
      <x:c r="I769" t="n">
        <x:v>0</x:v>
      </x:c>
      <x:c r="J769" t="n">
        <x:f>ROUND(F769*I769/100,2)</x:f>
        <x:v>0</x:v>
      </x:c>
      <x:c r="K769" t="n">
        <x:v>0</x:v>
      </x:c>
      <x:c r="L769" t="n">
        <x:f>ROUND(F769*K769/100,2)</x:f>
        <x:v>0</x:v>
      </x:c>
      <x:c r="M769" t="n">
        <x:v>100</x:v>
      </x:c>
      <x:c r="N769" t="n">
        <x:f>ROUND(F769*M769/100,2)</x:f>
        <x:v>3</x:v>
      </x:c>
      <x:c r="O769" t="str">
        <x:v>实际用油重</x:v>
      </x:c>
    </x:row>
    <x:row r="770" ht="23" customHeight="1">
      <x:c r="A770" t="n">
        <x:v>129</x:v>
      </x:c>
      <x:c r="B770" t="n">
        <x:v>65</x:v>
      </x:c>
      <x:c r="C770" t="str">
        <x:v>午餐</x:v>
      </x:c>
      <x:c r="D770" t="str">
        <x:v>猪肉</x:v>
      </x:c>
      <x:c r="E770" t="str">
        <x:v>猪里脊</x:v>
      </x:c>
      <x:c r="F770" t="n">
        <x:v>175</x:v>
      </x:c>
      <x:c r="G770" t="n">
        <x:v>120</x:v>
      </x:c>
      <x:c r="H770" t="n">
        <x:f>ROUND(F770*G770/100,2)</x:f>
        <x:v>210</x:v>
      </x:c>
      <x:c r="I770" t="n">
        <x:v>21</x:v>
      </x:c>
      <x:c r="J770" t="n">
        <x:f>ROUND(F770*I770/100,2)</x:f>
        <x:v>36.75</x:v>
      </x:c>
      <x:c r="K770" t="n">
        <x:v>0</x:v>
      </x:c>
      <x:c r="L770" t="n">
        <x:f>ROUND(F770*K770/100,2)</x:f>
        <x:v>0</x:v>
      </x:c>
      <x:c r="M770" t="n">
        <x:v>3.5</x:v>
      </x:c>
      <x:c r="N770" t="n">
        <x:f>ROUND(F770*M770/100,2)</x:f>
        <x:v>6.13</x:v>
      </x:c>
      <x:c r="O770" t="str">
        <x:v>生重</x:v>
      </x:c>
    </x:row>
    <x:row r="771" ht="23" customHeight="1">
      <x:c r="A771" t="n">
        <x:v>129</x:v>
      </x:c>
      <x:c r="B771" t="n">
        <x:v>65</x:v>
      </x:c>
      <x:c r="C771" t="str">
        <x:v>午餐</x:v>
      </x:c>
      <x:c r="D771" t="str">
        <x:v>豆蛋</x:v>
      </x:c>
      <x:c r="E771" t="str">
        <x:v>嫩豆腐</x:v>
      </x:c>
      <x:c r="F771" t="n">
        <x:v>160</x:v>
      </x:c>
      <x:c r="G771" t="n">
        <x:v>55</x:v>
      </x:c>
      <x:c r="H771" t="n">
        <x:f>ROUND(F771*G771/100,2)</x:f>
        <x:v>88</x:v>
      </x:c>
      <x:c r="I771" t="n">
        <x:v>5</x:v>
      </x:c>
      <x:c r="J771" t="n">
        <x:f>ROUND(F771*I771/100,2)</x:f>
        <x:v>8</x:v>
      </x:c>
      <x:c r="K771" t="n">
        <x:v>2</x:v>
      </x:c>
      <x:c r="L771" t="n">
        <x:f>ROUND(F771*K771/100,2)</x:f>
        <x:v>3.2</x:v>
      </x:c>
      <x:c r="M771" t="n">
        <x:v>2.8</x:v>
      </x:c>
      <x:c r="N771" t="n">
        <x:f>ROUND(F771*M771/100,2)</x:f>
        <x:v>4.48</x:v>
      </x:c>
      <x:c r="O771" t="str">
        <x:v>净重</x:v>
      </x:c>
    </x:row>
    <x:row r="772" ht="23" customHeight="1">
      <x:c r="A772" t="n">
        <x:v>129</x:v>
      </x:c>
      <x:c r="B772" t="n">
        <x:v>65</x:v>
      </x:c>
      <x:c r="C772" t="str">
        <x:v>午餐</x:v>
      </x:c>
      <x:c r="D772" t="str">
        <x:v>蔬菜</x:v>
      </x:c>
      <x:c r="E772" t="str">
        <x:v>娃娃菜</x:v>
      </x:c>
      <x:c r="F772" t="n">
        <x:v>175</x:v>
      </x:c>
      <x:c r="G772" t="n">
        <x:v>17</x:v>
      </x:c>
      <x:c r="H772" t="n">
        <x:f>ROUND(F772*G772/100,2)</x:f>
        <x:v>29.75</x:v>
      </x:c>
      <x:c r="I772" t="n">
        <x:v>1.3</x:v>
      </x:c>
      <x:c r="J772" t="n">
        <x:f>ROUND(F772*I772/100,2)</x:f>
        <x:v>2.28</x:v>
      </x:c>
      <x:c r="K772" t="n">
        <x:v>3</x:v>
      </x:c>
      <x:c r="L772" t="n">
        <x:f>ROUND(F772*K772/100,2)</x:f>
        <x:v>5.25</x:v>
      </x:c>
      <x:c r="M772" t="n">
        <x:v>0.2</x:v>
      </x:c>
      <x:c r="N772" t="n">
        <x:f>ROUND(F772*M772/100,2)</x:f>
        <x:v>0.35</x:v>
      </x:c>
      <x:c r="O772" t="str">
        <x:v>生重</x:v>
      </x:c>
    </x:row>
    <x:row r="773" ht="23" customHeight="1">
      <x:c r="A773" t="n">
        <x:v>129</x:v>
      </x:c>
      <x:c r="B773" t="n">
        <x:v>65</x:v>
      </x:c>
      <x:c r="C773" t="str">
        <x:v>午餐</x:v>
      </x:c>
      <x:c r="D773" t="str">
        <x:v>菌菇</x:v>
      </x:c>
      <x:c r="E773" t="str">
        <x:v>杏鲍菇</x:v>
      </x:c>
      <x:c r="F773" t="n">
        <x:v>155</x:v>
      </x:c>
      <x:c r="G773" t="n">
        <x:v>35</x:v>
      </x:c>
      <x:c r="H773" t="n">
        <x:f>ROUND(F773*G773/100,2)</x:f>
        <x:v>54.25</x:v>
      </x:c>
      <x:c r="I773" t="n">
        <x:v>2</x:v>
      </x:c>
      <x:c r="J773" t="n">
        <x:f>ROUND(F773*I773/100,2)</x:f>
        <x:v>3.1</x:v>
      </x:c>
      <x:c r="K773" t="n">
        <x:v>7.4</x:v>
      </x:c>
      <x:c r="L773" t="n">
        <x:f>ROUND(F773*K773/100,2)</x:f>
        <x:v>11.47</x:v>
      </x:c>
      <x:c r="M773" t="n">
        <x:v>0.3</x:v>
      </x:c>
      <x:c r="N773" t="n">
        <x:f>ROUND(F773*M773/100,2)</x:f>
        <x:v>0.47</x:v>
      </x:c>
      <x:c r="O773" t="str">
        <x:v>生重</x:v>
      </x:c>
    </x:row>
    <x:row r="774" ht="23" customHeight="1">
      <x:c r="A774" t="n">
        <x:v>129</x:v>
      </x:c>
      <x:c r="B774" t="n">
        <x:v>65</x:v>
      </x:c>
      <x:c r="C774" t="str">
        <x:v>午餐</x:v>
      </x:c>
      <x:c r="D774" t="str">
        <x:v>主食</x:v>
      </x:c>
      <x:c r="E774" t="str">
        <x:v>藜麦饭</x:v>
      </x:c>
      <x:c r="F774" t="n">
        <x:v>150</x:v>
      </x:c>
      <x:c r="G774" t="n">
        <x:v>120</x:v>
      </x:c>
      <x:c r="H774" t="n">
        <x:f>ROUND(F774*G774/100,2)</x:f>
        <x:v>180</x:v>
      </x:c>
      <x:c r="I774" t="n">
        <x:v>4.4</x:v>
      </x:c>
      <x:c r="J774" t="n">
        <x:f>ROUND(F774*I774/100,2)</x:f>
        <x:v>6.6</x:v>
      </x:c>
      <x:c r="K774" t="n">
        <x:v>21.3</x:v>
      </x:c>
      <x:c r="L774" t="n">
        <x:f>ROUND(F774*K774/100,2)</x:f>
        <x:v>31.95</x:v>
      </x:c>
      <x:c r="M774" t="n">
        <x:v>1.9</x:v>
      </x:c>
      <x:c r="N774" t="n">
        <x:f>ROUND(F774*M774/100,2)</x:f>
        <x:v>2.85</x:v>
      </x:c>
      <x:c r="O774" t="str">
        <x:v>熟重</x:v>
      </x:c>
    </x:row>
    <x:row r="775" ht="23" customHeight="1">
      <x:c r="A775" t="n">
        <x:v>129</x:v>
      </x:c>
      <x:c r="B775" t="n">
        <x:v>65</x:v>
      </x:c>
      <x:c r="C775" t="str">
        <x:v>午餐</x:v>
      </x:c>
      <x:c r="D775" t="str">
        <x:v>油脂</x:v>
      </x:c>
      <x:c r="E775" t="str">
        <x:v>烹调油</x:v>
      </x:c>
      <x:c r="F775" t="n">
        <x:v>6</x:v>
      </x:c>
      <x:c r="G775" t="n">
        <x:v>900</x:v>
      </x:c>
      <x:c r="H775" t="n">
        <x:f>ROUND(F775*G775/100,2)</x:f>
        <x:v>54</x:v>
      </x:c>
      <x:c r="I775" t="n">
        <x:v>0</x:v>
      </x:c>
      <x:c r="J775" t="n">
        <x:f>ROUND(F775*I775/100,2)</x:f>
        <x:v>0</x:v>
      </x:c>
      <x:c r="K775" t="n">
        <x:v>0</x:v>
      </x:c>
      <x:c r="L775" t="n">
        <x:f>ROUND(F775*K775/100,2)</x:f>
        <x:v>0</x:v>
      </x:c>
      <x:c r="M775" t="n">
        <x:v>100</x:v>
      </x:c>
      <x:c r="N775" t="n">
        <x:f>ROUND(F775*M775/100,2)</x:f>
        <x:v>6</x:v>
      </x:c>
      <x:c r="O775" t="str">
        <x:v>实际用油重</x:v>
      </x:c>
    </x:row>
    <x:row r="776" ht="23" customHeight="1">
      <x:c r="A776" t="n">
        <x:v>130</x:v>
      </x:c>
      <x:c r="B776" t="n">
        <x:v>65</x:v>
      </x:c>
      <x:c r="C776" t="str">
        <x:v>晚餐</x:v>
      </x:c>
      <x:c r="D776" t="str">
        <x:v>鱼类</x:v>
      </x:c>
      <x:c r="E776" t="str">
        <x:v>鳕鱼</x:v>
      </x:c>
      <x:c r="F776" t="n">
        <x:v>215</x:v>
      </x:c>
      <x:c r="G776" t="n">
        <x:v>85</x:v>
      </x:c>
      <x:c r="H776" t="n">
        <x:f>ROUND(F776*G776/100,2)</x:f>
        <x:v>182.75</x:v>
      </x:c>
      <x:c r="I776" t="n">
        <x:v>18</x:v>
      </x:c>
      <x:c r="J776" t="n">
        <x:f>ROUND(F776*I776/100,2)</x:f>
        <x:v>38.7</x:v>
      </x:c>
      <x:c r="K776" t="n">
        <x:v>0</x:v>
      </x:c>
      <x:c r="L776" t="n">
        <x:f>ROUND(F776*K776/100,2)</x:f>
        <x:v>0</x:v>
      </x:c>
      <x:c r="M776" t="n">
        <x:v>0.8</x:v>
      </x:c>
      <x:c r="N776" t="n">
        <x:f>ROUND(F776*M776/100,2)</x:f>
        <x:v>1.72</x:v>
      </x:c>
      <x:c r="O776" t="str">
        <x:v>净鱼肉生重</x:v>
      </x:c>
    </x:row>
    <x:row r="777" ht="23" customHeight="1">
      <x:c r="A777" t="n">
        <x:v>130</x:v>
      </x:c>
      <x:c r="B777" t="n">
        <x:v>65</x:v>
      </x:c>
      <x:c r="C777" t="str">
        <x:v>晚餐</x:v>
      </x:c>
      <x:c r="D777" t="str">
        <x:v>豆蛋</x:v>
      </x:c>
      <x:c r="E777" t="str">
        <x:v>熟毛豆仁</x:v>
      </x:c>
      <x:c r="F777" t="n">
        <x:v>70</x:v>
      </x:c>
      <x:c r="G777" t="n">
        <x:v>120</x:v>
      </x:c>
      <x:c r="H777" t="n">
        <x:f>ROUND(F777*G777/100,2)</x:f>
        <x:v>84</x:v>
      </x:c>
      <x:c r="I777" t="n">
        <x:v>12</x:v>
      </x:c>
      <x:c r="J777" t="n">
        <x:f>ROUND(F777*I777/100,2)</x:f>
        <x:v>8.4</x:v>
      </x:c>
      <x:c r="K777" t="n">
        <x:v>9</x:v>
      </x:c>
      <x:c r="L777" t="n">
        <x:f>ROUND(F777*K777/100,2)</x:f>
        <x:v>6.3</x:v>
      </x:c>
      <x:c r="M777" t="n">
        <x:v>5</x:v>
      </x:c>
      <x:c r="N777" t="n">
        <x:f>ROUND(F777*M777/100,2)</x:f>
        <x:v>3.5</x:v>
      </x:c>
      <x:c r="O777" t="str">
        <x:v>熟重</x:v>
      </x:c>
    </x:row>
    <x:row r="778" ht="23" customHeight="1">
      <x:c r="A778" t="n">
        <x:v>130</x:v>
      </x:c>
      <x:c r="B778" t="n">
        <x:v>65</x:v>
      </x:c>
      <x:c r="C778" t="str">
        <x:v>晚餐</x:v>
      </x:c>
      <x:c r="D778" t="str">
        <x:v>蔬菜</x:v>
      </x:c>
      <x:c r="E778" t="str">
        <x:v>黄瓜</x:v>
      </x:c>
      <x:c r="F778" t="n">
        <x:v>175</x:v>
      </x:c>
      <x:c r="G778" t="n">
        <x:v>16</x:v>
      </x:c>
      <x:c r="H778" t="n">
        <x:f>ROUND(F778*G778/100,2)</x:f>
        <x:v>28</x:v>
      </x:c>
      <x:c r="I778" t="n">
        <x:v>0.7</x:v>
      </x:c>
      <x:c r="J778" t="n">
        <x:f>ROUND(F778*I778/100,2)</x:f>
        <x:v>1.22</x:v>
      </x:c>
      <x:c r="K778" t="n">
        <x:v>3.6</x:v>
      </x:c>
      <x:c r="L778" t="n">
        <x:f>ROUND(F778*K778/100,2)</x:f>
        <x:v>6.3</x:v>
      </x:c>
      <x:c r="M778" t="n">
        <x:v>0.1</x:v>
      </x:c>
      <x:c r="N778" t="n">
        <x:f>ROUND(F778*M778/100,2)</x:f>
        <x:v>0.18</x:v>
      </x:c>
      <x:c r="O778" t="str">
        <x:v>生重</x:v>
      </x:c>
    </x:row>
    <x:row r="779" ht="23" customHeight="1">
      <x:c r="A779" t="n">
        <x:v>130</x:v>
      </x:c>
      <x:c r="B779" t="n">
        <x:v>65</x:v>
      </x:c>
      <x:c r="C779" t="str">
        <x:v>晚餐</x:v>
      </x:c>
      <x:c r="D779" t="str">
        <x:v>菌菇</x:v>
      </x:c>
      <x:c r="E779" t="str">
        <x:v>香菇</x:v>
      </x:c>
      <x:c r="F779" t="n">
        <x:v>155</x:v>
      </x:c>
      <x:c r="G779" t="n">
        <x:v>34</x:v>
      </x:c>
      <x:c r="H779" t="n">
        <x:f>ROUND(F779*G779/100,2)</x:f>
        <x:v>52.7</x:v>
      </x:c>
      <x:c r="I779" t="n">
        <x:v>2.2</x:v>
      </x:c>
      <x:c r="J779" t="n">
        <x:f>ROUND(F779*I779/100,2)</x:f>
        <x:v>3.41</x:v>
      </x:c>
      <x:c r="K779" t="n">
        <x:v>6.8</x:v>
      </x:c>
      <x:c r="L779" t="n">
        <x:f>ROUND(F779*K779/100,2)</x:f>
        <x:v>10.54</x:v>
      </x:c>
      <x:c r="M779" t="n">
        <x:v>0.5</x:v>
      </x:c>
      <x:c r="N779" t="n">
        <x:f>ROUND(F779*M779/100,2)</x:f>
        <x:v>0.78</x:v>
      </x:c>
      <x:c r="O779" t="str">
        <x:v>生重</x:v>
      </x:c>
    </x:row>
    <x:row r="780" ht="23" customHeight="1">
      <x:c r="A780" t="n">
        <x:v>130</x:v>
      </x:c>
      <x:c r="B780" t="n">
        <x:v>65</x:v>
      </x:c>
      <x:c r="C780" t="str">
        <x:v>晚餐</x:v>
      </x:c>
      <x:c r="D780" t="str">
        <x:v>主食</x:v>
      </x:c>
      <x:c r="E780" t="str">
        <x:v>玉米</x:v>
      </x:c>
      <x:c r="F780" t="n">
        <x:v>125</x:v>
      </x:c>
      <x:c r="G780" t="n">
        <x:v>105</x:v>
      </x:c>
      <x:c r="H780" t="n">
        <x:f>ROUND(F780*G780/100,2)</x:f>
        <x:v>131.25</x:v>
      </x:c>
      <x:c r="I780" t="n">
        <x:v>3.4</x:v>
      </x:c>
      <x:c r="J780" t="n">
        <x:f>ROUND(F780*I780/100,2)</x:f>
        <x:v>4.25</x:v>
      </x:c>
      <x:c r="K780" t="n">
        <x:v>22</x:v>
      </x:c>
      <x:c r="L780" t="n">
        <x:f>ROUND(F780*K780/100,2)</x:f>
        <x:v>27.5</x:v>
      </x:c>
      <x:c r="M780" t="n">
        <x:v>1.5</x:v>
      </x:c>
      <x:c r="N780" t="n">
        <x:f>ROUND(F780*M780/100,2)</x:f>
        <x:v>1.88</x:v>
      </x:c>
      <x:c r="O780" t="str">
        <x:v>蒸熟净重</x:v>
      </x:c>
    </x:row>
    <x:row r="781" ht="23" customHeight="1">
      <x:c r="A781" t="n">
        <x:v>130</x:v>
      </x:c>
      <x:c r="B781" t="n">
        <x:v>65</x:v>
      </x:c>
      <x:c r="C781" t="str">
        <x:v>晚餐</x:v>
      </x:c>
      <x:c r="D781" t="str">
        <x:v>油脂</x:v>
      </x:c>
      <x:c r="E781" t="str">
        <x:v>烹调油</x:v>
      </x:c>
      <x:c r="F781" t="n">
        <x:v>5</x:v>
      </x:c>
      <x:c r="G781" t="n">
        <x:v>900</x:v>
      </x:c>
      <x:c r="H781" t="n">
        <x:f>ROUND(F781*G781/100,2)</x:f>
        <x:v>45</x:v>
      </x:c>
      <x:c r="I781" t="n">
        <x:v>0</x:v>
      </x:c>
      <x:c r="J781" t="n">
        <x:f>ROUND(F781*I781/100,2)</x:f>
        <x:v>0</x:v>
      </x:c>
      <x:c r="K781" t="n">
        <x:v>0</x:v>
      </x:c>
      <x:c r="L781" t="n">
        <x:f>ROUND(F781*K781/100,2)</x:f>
        <x:v>0</x:v>
      </x:c>
      <x:c r="M781" t="n">
        <x:v>100</x:v>
      </x:c>
      <x:c r="N781" t="n">
        <x:f>ROUND(F781*M781/100,2)</x:f>
        <x:v>5</x:v>
      </x:c>
      <x:c r="O781" t="str">
        <x:v>实际用油重</x:v>
      </x:c>
    </x:row>
    <x:row r="782" ht="23" customHeight="1">
      <x:c r="A782" t="n">
        <x:v>131</x:v>
      </x:c>
      <x:c r="B782" t="n">
        <x:v>66</x:v>
      </x:c>
      <x:c r="C782" t="str">
        <x:v>午餐</x:v>
      </x:c>
      <x:c r="D782" t="str">
        <x:v>海鲜</x:v>
      </x:c>
      <x:c r="E782" t="str">
        <x:v>花蛤肉</x:v>
      </x:c>
      <x:c r="F782" t="n">
        <x:v>190</x:v>
      </x:c>
      <x:c r="G782" t="n">
        <x:v>75</x:v>
      </x:c>
      <x:c r="H782" t="n">
        <x:f>ROUND(F782*G782/100,2)</x:f>
        <x:v>142.5</x:v>
      </x:c>
      <x:c r="I782" t="n">
        <x:v>13</x:v>
      </x:c>
      <x:c r="J782" t="n">
        <x:f>ROUND(F782*I782/100,2)</x:f>
        <x:v>24.7</x:v>
      </x:c>
      <x:c r="K782" t="n">
        <x:v>3.5</x:v>
      </x:c>
      <x:c r="L782" t="n">
        <x:f>ROUND(F782*K782/100,2)</x:f>
        <x:v>6.65</x:v>
      </x:c>
      <x:c r="M782" t="n">
        <x:v>1</x:v>
      </x:c>
      <x:c r="N782" t="n">
        <x:f>ROUND(F782*M782/100,2)</x:f>
        <x:v>1.9</x:v>
      </x:c>
      <x:c r="O782" t="str">
        <x:v>净肉生重</x:v>
      </x:c>
    </x:row>
    <x:row r="783" ht="23" customHeight="1">
      <x:c r="A783" t="n">
        <x:v>131</x:v>
      </x:c>
      <x:c r="B783" t="n">
        <x:v>66</x:v>
      </x:c>
      <x:c r="C783" t="str">
        <x:v>午餐</x:v>
      </x:c>
      <x:c r="D783" t="str"/>
      <x:c r="E783" t="str"/>
      <x:c r="F783" t="n">
        <x:v>0</x:v>
      </x:c>
      <x:c r="G783" t="n">
        <x:v>0</x:v>
      </x:c>
      <x:c r="H783" t="n">
        <x:f>ROUND(F783*G783/100,2)</x:f>
        <x:v>0</x:v>
      </x:c>
      <x:c r="I783" t="n">
        <x:v>0</x:v>
      </x:c>
      <x:c r="J783" t="n">
        <x:f>ROUND(F783*I783/100,2)</x:f>
        <x:v>0</x:v>
      </x:c>
      <x:c r="K783" t="n">
        <x:v>0</x:v>
      </x:c>
      <x:c r="L783" t="n">
        <x:f>ROUND(F783*K783/100,2)</x:f>
        <x:v>0</x:v>
      </x:c>
      <x:c r="M783" t="n">
        <x:v>0</x:v>
      </x:c>
      <x:c r="N783" t="n">
        <x:f>ROUND(F783*M783/100,2)</x:f>
        <x:v>0</x:v>
      </x:c>
      <x:c r="O783" t="str"/>
    </x:row>
    <x:row r="784" ht="23" customHeight="1">
      <x:c r="A784" t="n">
        <x:v>131</x:v>
      </x:c>
      <x:c r="B784" t="n">
        <x:v>66</x:v>
      </x:c>
      <x:c r="C784" t="str">
        <x:v>午餐</x:v>
      </x:c>
      <x:c r="D784" t="str">
        <x:v>蔬菜</x:v>
      </x:c>
      <x:c r="E784" t="str">
        <x:v>芦笋</x:v>
      </x:c>
      <x:c r="F784" t="n">
        <x:v>140</x:v>
      </x:c>
      <x:c r="G784" t="n">
        <x:v>20</x:v>
      </x:c>
      <x:c r="H784" t="n">
        <x:f>ROUND(F784*G784/100,2)</x:f>
        <x:v>28</x:v>
      </x:c>
      <x:c r="I784" t="n">
        <x:v>2.2</x:v>
      </x:c>
      <x:c r="J784" t="n">
        <x:f>ROUND(F784*I784/100,2)</x:f>
        <x:v>3.08</x:v>
      </x:c>
      <x:c r="K784" t="n">
        <x:v>3.9</x:v>
      </x:c>
      <x:c r="L784" t="n">
        <x:f>ROUND(F784*K784/100,2)</x:f>
        <x:v>5.46</x:v>
      </x:c>
      <x:c r="M784" t="n">
        <x:v>0.1</x:v>
      </x:c>
      <x:c r="N784" t="n">
        <x:f>ROUND(F784*M784/100,2)</x:f>
        <x:v>0.14</x:v>
      </x:c>
      <x:c r="O784" t="str">
        <x:v>生重</x:v>
      </x:c>
    </x:row>
    <x:row r="785" ht="23" customHeight="1">
      <x:c r="A785" t="n">
        <x:v>131</x:v>
      </x:c>
      <x:c r="B785" t="n">
        <x:v>66</x:v>
      </x:c>
      <x:c r="C785" t="str">
        <x:v>午餐</x:v>
      </x:c>
      <x:c r="D785" t="str">
        <x:v>菌菇</x:v>
      </x:c>
      <x:c r="E785" t="str">
        <x:v>口蘑</x:v>
      </x:c>
      <x:c r="F785" t="n">
        <x:v>140</x:v>
      </x:c>
      <x:c r="G785" t="n">
        <x:v>22</x:v>
      </x:c>
      <x:c r="H785" t="n">
        <x:f>ROUND(F785*G785/100,2)</x:f>
        <x:v>30.8</x:v>
      </x:c>
      <x:c r="I785" t="n">
        <x:v>3.1</x:v>
      </x:c>
      <x:c r="J785" t="n">
        <x:f>ROUND(F785*I785/100,2)</x:f>
        <x:v>4.34</x:v>
      </x:c>
      <x:c r="K785" t="n">
        <x:v>3.3</x:v>
      </x:c>
      <x:c r="L785" t="n">
        <x:f>ROUND(F785*K785/100,2)</x:f>
        <x:v>4.62</x:v>
      </x:c>
      <x:c r="M785" t="n">
        <x:v>0.3</x:v>
      </x:c>
      <x:c r="N785" t="n">
        <x:f>ROUND(F785*M785/100,2)</x:f>
        <x:v>0.42</x:v>
      </x:c>
      <x:c r="O785" t="str">
        <x:v>生重</x:v>
      </x:c>
    </x:row>
    <x:row r="786" ht="23" customHeight="1">
      <x:c r="A786" t="n">
        <x:v>131</x:v>
      </x:c>
      <x:c r="B786" t="n">
        <x:v>66</x:v>
      </x:c>
      <x:c r="C786" t="str">
        <x:v>午餐</x:v>
      </x:c>
      <x:c r="D786" t="str">
        <x:v>主食</x:v>
      </x:c>
      <x:c r="E786" t="str">
        <x:v>红薯</x:v>
      </x:c>
      <x:c r="F786" t="n">
        <x:v>165</x:v>
      </x:c>
      <x:c r="G786" t="n">
        <x:v>88</x:v>
      </x:c>
      <x:c r="H786" t="n">
        <x:f>ROUND(F786*G786/100,2)</x:f>
        <x:v>145.2</x:v>
      </x:c>
      <x:c r="I786" t="n">
        <x:v>1.6</x:v>
      </x:c>
      <x:c r="J786" t="n">
        <x:f>ROUND(F786*I786/100,2)</x:f>
        <x:v>2.64</x:v>
      </x:c>
      <x:c r="K786" t="n">
        <x:v>20.5</x:v>
      </x:c>
      <x:c r="L786" t="n">
        <x:f>ROUND(F786*K786/100,2)</x:f>
        <x:v>33.83</x:v>
      </x:c>
      <x:c r="M786" t="n">
        <x:v>0.1</x:v>
      </x:c>
      <x:c r="N786" t="n">
        <x:f>ROUND(F786*M786/100,2)</x:f>
        <x:v>0.17</x:v>
      </x:c>
      <x:c r="O786" t="str">
        <x:v>蒸熟净重</x:v>
      </x:c>
    </x:row>
    <x:row r="787" ht="23" customHeight="1">
      <x:c r="A787" t="n">
        <x:v>131</x:v>
      </x:c>
      <x:c r="B787" t="n">
        <x:v>66</x:v>
      </x:c>
      <x:c r="C787" t="str">
        <x:v>午餐</x:v>
      </x:c>
      <x:c r="D787" t="str">
        <x:v>油脂</x:v>
      </x:c>
      <x:c r="E787" t="str">
        <x:v>烹调油</x:v>
      </x:c>
      <x:c r="F787" t="n">
        <x:v>5</x:v>
      </x:c>
      <x:c r="G787" t="n">
        <x:v>900</x:v>
      </x:c>
      <x:c r="H787" t="n">
        <x:f>ROUND(F787*G787/100,2)</x:f>
        <x:v>45</x:v>
      </x:c>
      <x:c r="I787" t="n">
        <x:v>0</x:v>
      </x:c>
      <x:c r="J787" t="n">
        <x:f>ROUND(F787*I787/100,2)</x:f>
        <x:v>0</x:v>
      </x:c>
      <x:c r="K787" t="n">
        <x:v>0</x:v>
      </x:c>
      <x:c r="L787" t="n">
        <x:f>ROUND(F787*K787/100,2)</x:f>
        <x:v>0</x:v>
      </x:c>
      <x:c r="M787" t="n">
        <x:v>100</x:v>
      </x:c>
      <x:c r="N787" t="n">
        <x:f>ROUND(F787*M787/100,2)</x:f>
        <x:v>5</x:v>
      </x:c>
      <x:c r="O787" t="str">
        <x:v>实际用油重</x:v>
      </x:c>
    </x:row>
    <x:row r="788" ht="23" customHeight="1">
      <x:c r="A788" t="n">
        <x:v>132</x:v>
      </x:c>
      <x:c r="B788" t="n">
        <x:v>66</x:v>
      </x:c>
      <x:c r="C788" t="str">
        <x:v>晚餐</x:v>
      </x:c>
      <x:c r="D788" t="str">
        <x:v>鱼类</x:v>
      </x:c>
      <x:c r="E788" t="str">
        <x:v>鲈鱼</x:v>
      </x:c>
      <x:c r="F788" t="n">
        <x:v>185</x:v>
      </x:c>
      <x:c r="G788" t="n">
        <x:v>105</x:v>
      </x:c>
      <x:c r="H788" t="n">
        <x:f>ROUND(F788*G788/100,2)</x:f>
        <x:v>194.25</x:v>
      </x:c>
      <x:c r="I788" t="n">
        <x:v>19</x:v>
      </x:c>
      <x:c r="J788" t="n">
        <x:f>ROUND(F788*I788/100,2)</x:f>
        <x:v>35.15</x:v>
      </x:c>
      <x:c r="K788" t="n">
        <x:v>0</x:v>
      </x:c>
      <x:c r="L788" t="n">
        <x:f>ROUND(F788*K788/100,2)</x:f>
        <x:v>0</x:v>
      </x:c>
      <x:c r="M788" t="n">
        <x:v>3</x:v>
      </x:c>
      <x:c r="N788" t="n">
        <x:f>ROUND(F788*M788/100,2)</x:f>
        <x:v>5.55</x:v>
      </x:c>
      <x:c r="O788" t="str">
        <x:v>净鱼肉生重</x:v>
      </x:c>
    </x:row>
    <x:row r="789" ht="23" customHeight="1">
      <x:c r="A789" t="n">
        <x:v>132</x:v>
      </x:c>
      <x:c r="B789" t="n">
        <x:v>66</x:v>
      </x:c>
      <x:c r="C789" t="str">
        <x:v>晚餐</x:v>
      </x:c>
      <x:c r="D789" t="str"/>
      <x:c r="E789" t="str"/>
      <x:c r="F789" t="n">
        <x:v>0</x:v>
      </x:c>
      <x:c r="G789" t="n">
        <x:v>0</x:v>
      </x:c>
      <x:c r="H789" t="n">
        <x:f>ROUND(F789*G789/100,2)</x:f>
        <x:v>0</x:v>
      </x:c>
      <x:c r="I789" t="n">
        <x:v>0</x:v>
      </x:c>
      <x:c r="J789" t="n">
        <x:f>ROUND(F789*I789/100,2)</x:f>
        <x:v>0</x:v>
      </x:c>
      <x:c r="K789" t="n">
        <x:v>0</x:v>
      </x:c>
      <x:c r="L789" t="n">
        <x:f>ROUND(F789*K789/100,2)</x:f>
        <x:v>0</x:v>
      </x:c>
      <x:c r="M789" t="n">
        <x:v>0</x:v>
      </x:c>
      <x:c r="N789" t="n">
        <x:f>ROUND(F789*M789/100,2)</x:f>
        <x:v>0</x:v>
      </x:c>
      <x:c r="O789" t="str"/>
    </x:row>
    <x:row r="790" ht="23" customHeight="1">
      <x:c r="A790" t="n">
        <x:v>132</x:v>
      </x:c>
      <x:c r="B790" t="n">
        <x:v>66</x:v>
      </x:c>
      <x:c r="C790" t="str">
        <x:v>晚餐</x:v>
      </x:c>
      <x:c r="D790" t="str">
        <x:v>蔬菜</x:v>
      </x:c>
      <x:c r="E790" t="str">
        <x:v>丝瓜</x:v>
      </x:c>
      <x:c r="F790" t="n">
        <x:v>160</x:v>
      </x:c>
      <x:c r="G790" t="n">
        <x:v>20</x:v>
      </x:c>
      <x:c r="H790" t="n">
        <x:f>ROUND(F790*G790/100,2)</x:f>
        <x:v>32</x:v>
      </x:c>
      <x:c r="I790" t="n">
        <x:v>1</x:v>
      </x:c>
      <x:c r="J790" t="n">
        <x:f>ROUND(F790*I790/100,2)</x:f>
        <x:v>1.6</x:v>
      </x:c>
      <x:c r="K790" t="n">
        <x:v>4</x:v>
      </x:c>
      <x:c r="L790" t="n">
        <x:f>ROUND(F790*K790/100,2)</x:f>
        <x:v>6.4</x:v>
      </x:c>
      <x:c r="M790" t="n">
        <x:v>0.2</x:v>
      </x:c>
      <x:c r="N790" t="n">
        <x:f>ROUND(F790*M790/100,2)</x:f>
        <x:v>0.32</x:v>
      </x:c>
      <x:c r="O790" t="str">
        <x:v>生重</x:v>
      </x:c>
    </x:row>
    <x:row r="791" ht="23" customHeight="1">
      <x:c r="A791" t="n">
        <x:v>132</x:v>
      </x:c>
      <x:c r="B791" t="n">
        <x:v>66</x:v>
      </x:c>
      <x:c r="C791" t="str">
        <x:v>晚餐</x:v>
      </x:c>
      <x:c r="D791" t="str">
        <x:v>蔬菜</x:v>
      </x:c>
      <x:c r="E791" t="str">
        <x:v>玉米笋</x:v>
      </x:c>
      <x:c r="F791" t="n">
        <x:v>155</x:v>
      </x:c>
      <x:c r="G791" t="n">
        <x:v>26</x:v>
      </x:c>
      <x:c r="H791" t="n">
        <x:f>ROUND(F791*G791/100,2)</x:f>
        <x:v>40.3</x:v>
      </x:c>
      <x:c r="I791" t="n">
        <x:v>2</x:v>
      </x:c>
      <x:c r="J791" t="n">
        <x:f>ROUND(F791*I791/100,2)</x:f>
        <x:v>3.1</x:v>
      </x:c>
      <x:c r="K791" t="n">
        <x:v>4.9</x:v>
      </x:c>
      <x:c r="L791" t="n">
        <x:f>ROUND(F791*K791/100,2)</x:f>
        <x:v>7.6</x:v>
      </x:c>
      <x:c r="M791" t="n">
        <x:v>0.1</x:v>
      </x:c>
      <x:c r="N791" t="n">
        <x:f>ROUND(F791*M791/100,2)</x:f>
        <x:v>0.16</x:v>
      </x:c>
      <x:c r="O791" t="str">
        <x:v>生重</x:v>
      </x:c>
    </x:row>
    <x:row r="792" ht="23" customHeight="1">
      <x:c r="A792" t="n">
        <x:v>132</x:v>
      </x:c>
      <x:c r="B792" t="n">
        <x:v>66</x:v>
      </x:c>
      <x:c r="C792" t="str">
        <x:v>晚餐</x:v>
      </x:c>
      <x:c r="D792" t="str">
        <x:v>主食</x:v>
      </x:c>
      <x:c r="E792" t="str">
        <x:v>玉米</x:v>
      </x:c>
      <x:c r="F792" t="n">
        <x:v>110</x:v>
      </x:c>
      <x:c r="G792" t="n">
        <x:v>105</x:v>
      </x:c>
      <x:c r="H792" t="n">
        <x:f>ROUND(F792*G792/100,2)</x:f>
        <x:v>115.5</x:v>
      </x:c>
      <x:c r="I792" t="n">
        <x:v>3.4</x:v>
      </x:c>
      <x:c r="J792" t="n">
        <x:f>ROUND(F792*I792/100,2)</x:f>
        <x:v>3.74</x:v>
      </x:c>
      <x:c r="K792" t="n">
        <x:v>22</x:v>
      </x:c>
      <x:c r="L792" t="n">
        <x:f>ROUND(F792*K792/100,2)</x:f>
        <x:v>24.2</x:v>
      </x:c>
      <x:c r="M792" t="n">
        <x:v>1.5</x:v>
      </x:c>
      <x:c r="N792" t="n">
        <x:f>ROUND(F792*M792/100,2)</x:f>
        <x:v>1.65</x:v>
      </x:c>
      <x:c r="O792" t="str">
        <x:v>蒸熟净重</x:v>
      </x:c>
    </x:row>
    <x:row r="793" ht="23" customHeight="1">
      <x:c r="A793" t="n">
        <x:v>132</x:v>
      </x:c>
      <x:c r="B793" t="n">
        <x:v>66</x:v>
      </x:c>
      <x:c r="C793" t="str">
        <x:v>晚餐</x:v>
      </x:c>
      <x:c r="D793" t="str">
        <x:v>油脂</x:v>
      </x:c>
      <x:c r="E793" t="str">
        <x:v>烹调油</x:v>
      </x:c>
      <x:c r="F793" t="n">
        <x:v>4</x:v>
      </x:c>
      <x:c r="G793" t="n">
        <x:v>900</x:v>
      </x:c>
      <x:c r="H793" t="n">
        <x:f>ROUND(F793*G793/100,2)</x:f>
        <x:v>36</x:v>
      </x:c>
      <x:c r="I793" t="n">
        <x:v>0</x:v>
      </x:c>
      <x:c r="J793" t="n">
        <x:f>ROUND(F793*I793/100,2)</x:f>
        <x:v>0</x:v>
      </x:c>
      <x:c r="K793" t="n">
        <x:v>0</x:v>
      </x:c>
      <x:c r="L793" t="n">
        <x:f>ROUND(F793*K793/100,2)</x:f>
        <x:v>0</x:v>
      </x:c>
      <x:c r="M793" t="n">
        <x:v>100</x:v>
      </x:c>
      <x:c r="N793" t="n">
        <x:f>ROUND(F793*M793/100,2)</x:f>
        <x:v>4</x:v>
      </x:c>
      <x:c r="O793" t="str">
        <x:v>实际用油重</x:v>
      </x:c>
    </x:row>
    <x:row r="794" ht="23" customHeight="1">
      <x:c r="A794" t="n">
        <x:v>133</x:v>
      </x:c>
      <x:c r="B794" t="n">
        <x:v>67</x:v>
      </x:c>
      <x:c r="C794" t="str">
        <x:v>午餐</x:v>
      </x:c>
      <x:c r="D794" t="str">
        <x:v>豆蛋</x:v>
      </x:c>
      <x:c r="E794" t="str">
        <x:v>鸡蛋</x:v>
      </x:c>
      <x:c r="F794" t="n">
        <x:v>110</x:v>
      </x:c>
      <x:c r="G794" t="n">
        <x:v>144</x:v>
      </x:c>
      <x:c r="H794" t="n">
        <x:f>ROUND(F794*G794/100,2)</x:f>
        <x:v>158.4</x:v>
      </x:c>
      <x:c r="I794" t="n">
        <x:v>13</x:v>
      </x:c>
      <x:c r="J794" t="n">
        <x:f>ROUND(F794*I794/100,2)</x:f>
        <x:v>14.3</x:v>
      </x:c>
      <x:c r="K794" t="n">
        <x:v>1.1</x:v>
      </x:c>
      <x:c r="L794" t="n">
        <x:f>ROUND(F794*K794/100,2)</x:f>
        <x:v>1.21</x:v>
      </x:c>
      <x:c r="M794" t="n">
        <x:v>10</x:v>
      </x:c>
      <x:c r="N794" t="n">
        <x:f>ROUND(F794*M794/100,2)</x:f>
        <x:v>11</x:v>
      </x:c>
      <x:c r="O794" t="str">
        <x:v>去壳可食重</x:v>
      </x:c>
    </x:row>
    <x:row r="795" ht="23" customHeight="1">
      <x:c r="A795" t="n">
        <x:v>133</x:v>
      </x:c>
      <x:c r="B795" t="n">
        <x:v>67</x:v>
      </x:c>
      <x:c r="C795" t="str">
        <x:v>午餐</x:v>
      </x:c>
      <x:c r="D795" t="str">
        <x:v>豆蛋</x:v>
      </x:c>
      <x:c r="E795" t="str">
        <x:v>嫩豆腐</x:v>
      </x:c>
      <x:c r="F795" t="n">
        <x:v>160</x:v>
      </x:c>
      <x:c r="G795" t="n">
        <x:v>55</x:v>
      </x:c>
      <x:c r="H795" t="n">
        <x:f>ROUND(F795*G795/100,2)</x:f>
        <x:v>88</x:v>
      </x:c>
      <x:c r="I795" t="n">
        <x:v>5</x:v>
      </x:c>
      <x:c r="J795" t="n">
        <x:f>ROUND(F795*I795/100,2)</x:f>
        <x:v>8</x:v>
      </x:c>
      <x:c r="K795" t="n">
        <x:v>2</x:v>
      </x:c>
      <x:c r="L795" t="n">
        <x:f>ROUND(F795*K795/100,2)</x:f>
        <x:v>3.2</x:v>
      </x:c>
      <x:c r="M795" t="n">
        <x:v>2.8</x:v>
      </x:c>
      <x:c r="N795" t="n">
        <x:f>ROUND(F795*M795/100,2)</x:f>
        <x:v>4.48</x:v>
      </x:c>
      <x:c r="O795" t="str">
        <x:v>净重</x:v>
      </x:c>
    </x:row>
    <x:row r="796" ht="23" customHeight="1">
      <x:c r="A796" t="n">
        <x:v>133</x:v>
      </x:c>
      <x:c r="B796" t="n">
        <x:v>67</x:v>
      </x:c>
      <x:c r="C796" t="str">
        <x:v>午餐</x:v>
      </x:c>
      <x:c r="D796" t="str">
        <x:v>蔬菜</x:v>
      </x:c>
      <x:c r="E796" t="str">
        <x:v>菠菜</x:v>
      </x:c>
      <x:c r="F796" t="n">
        <x:v>190</x:v>
      </x:c>
      <x:c r="G796" t="n">
        <x:v>23</x:v>
      </x:c>
      <x:c r="H796" t="n">
        <x:f>ROUND(F796*G796/100,2)</x:f>
        <x:v>43.7</x:v>
      </x:c>
      <x:c r="I796" t="n">
        <x:v>2.9</x:v>
      </x:c>
      <x:c r="J796" t="n">
        <x:f>ROUND(F796*I796/100,2)</x:f>
        <x:v>5.51</x:v>
      </x:c>
      <x:c r="K796" t="n">
        <x:v>3.6</x:v>
      </x:c>
      <x:c r="L796" t="n">
        <x:f>ROUND(F796*K796/100,2)</x:f>
        <x:v>6.84</x:v>
      </x:c>
      <x:c r="M796" t="n">
        <x:v>0.4</x:v>
      </x:c>
      <x:c r="N796" t="n">
        <x:f>ROUND(F796*M796/100,2)</x:f>
        <x:v>0.76</x:v>
      </x:c>
      <x:c r="O796" t="str">
        <x:v>生重</x:v>
      </x:c>
    </x:row>
    <x:row r="797" ht="23" customHeight="1">
      <x:c r="A797" t="n">
        <x:v>133</x:v>
      </x:c>
      <x:c r="B797" t="n">
        <x:v>67</x:v>
      </x:c>
      <x:c r="C797" t="str">
        <x:v>午餐</x:v>
      </x:c>
      <x:c r="D797" t="str">
        <x:v>蔬菜</x:v>
      </x:c>
      <x:c r="E797" t="str">
        <x:v>娃娃菜</x:v>
      </x:c>
      <x:c r="F797" t="n">
        <x:v>125</x:v>
      </x:c>
      <x:c r="G797" t="n">
        <x:v>17</x:v>
      </x:c>
      <x:c r="H797" t="n">
        <x:f>ROUND(F797*G797/100,2)</x:f>
        <x:v>21.25</x:v>
      </x:c>
      <x:c r="I797" t="n">
        <x:v>1.3</x:v>
      </x:c>
      <x:c r="J797" t="n">
        <x:f>ROUND(F797*I797/100,2)</x:f>
        <x:v>1.63</x:v>
      </x:c>
      <x:c r="K797" t="n">
        <x:v>3</x:v>
      </x:c>
      <x:c r="L797" t="n">
        <x:f>ROUND(F797*K797/100,2)</x:f>
        <x:v>3.75</x:v>
      </x:c>
      <x:c r="M797" t="n">
        <x:v>0.2</x:v>
      </x:c>
      <x:c r="N797" t="n">
        <x:f>ROUND(F797*M797/100,2)</x:f>
        <x:v>0.25</x:v>
      </x:c>
      <x:c r="O797" t="str">
        <x:v>生重</x:v>
      </x:c>
    </x:row>
    <x:row r="798" ht="23" customHeight="1">
      <x:c r="A798" t="n">
        <x:v>133</x:v>
      </x:c>
      <x:c r="B798" t="n">
        <x:v>67</x:v>
      </x:c>
      <x:c r="C798" t="str">
        <x:v>午餐</x:v>
      </x:c>
      <x:c r="D798" t="str">
        <x:v>主食</x:v>
      </x:c>
      <x:c r="E798" t="str">
        <x:v>红薯</x:v>
      </x:c>
      <x:c r="F798" t="n">
        <x:v>125</x:v>
      </x:c>
      <x:c r="G798" t="n">
        <x:v>88</x:v>
      </x:c>
      <x:c r="H798" t="n">
        <x:f>ROUND(F798*G798/100,2)</x:f>
        <x:v>110</x:v>
      </x:c>
      <x:c r="I798" t="n">
        <x:v>1.6</x:v>
      </x:c>
      <x:c r="J798" t="n">
        <x:f>ROUND(F798*I798/100,2)</x:f>
        <x:v>2</x:v>
      </x:c>
      <x:c r="K798" t="n">
        <x:v>20.5</x:v>
      </x:c>
      <x:c r="L798" t="n">
        <x:f>ROUND(F798*K798/100,2)</x:f>
        <x:v>25.63</x:v>
      </x:c>
      <x:c r="M798" t="n">
        <x:v>0.1</x:v>
      </x:c>
      <x:c r="N798" t="n">
        <x:f>ROUND(F798*M798/100,2)</x:f>
        <x:v>0.13</x:v>
      </x:c>
      <x:c r="O798" t="str">
        <x:v>蒸熟净重</x:v>
      </x:c>
    </x:row>
    <x:row r="799" ht="23" customHeight="1">
      <x:c r="A799" t="n">
        <x:v>133</x:v>
      </x:c>
      <x:c r="B799" t="n">
        <x:v>67</x:v>
      </x:c>
      <x:c r="C799" t="str">
        <x:v>午餐</x:v>
      </x:c>
      <x:c r="D799" t="str">
        <x:v>油脂</x:v>
      </x:c>
      <x:c r="E799" t="str">
        <x:v>烹调油</x:v>
      </x:c>
      <x:c r="F799" t="n">
        <x:v>3</x:v>
      </x:c>
      <x:c r="G799" t="n">
        <x:v>900</x:v>
      </x:c>
      <x:c r="H799" t="n">
        <x:f>ROUND(F799*G799/100,2)</x:f>
        <x:v>27</x:v>
      </x:c>
      <x:c r="I799" t="n">
        <x:v>0</x:v>
      </x:c>
      <x:c r="J799" t="n">
        <x:f>ROUND(F799*I799/100,2)</x:f>
        <x:v>0</x:v>
      </x:c>
      <x:c r="K799" t="n">
        <x:v>0</x:v>
      </x:c>
      <x:c r="L799" t="n">
        <x:f>ROUND(F799*K799/100,2)</x:f>
        <x:v>0</x:v>
      </x:c>
      <x:c r="M799" t="n">
        <x:v>100</x:v>
      </x:c>
      <x:c r="N799" t="n">
        <x:f>ROUND(F799*M799/100,2)</x:f>
        <x:v>3</x:v>
      </x:c>
      <x:c r="O799" t="str">
        <x:v>实际用油重</x:v>
      </x:c>
    </x:row>
    <x:row r="800" ht="23" customHeight="1">
      <x:c r="A800" t="n">
        <x:v>134</x:v>
      </x:c>
      <x:c r="B800" t="n">
        <x:v>67</x:v>
      </x:c>
      <x:c r="C800" t="str">
        <x:v>晚餐</x:v>
      </x:c>
      <x:c r="D800" t="str">
        <x:v>禽肉</x:v>
      </x:c>
      <x:c r="E800" t="str">
        <x:v>去皮鸡腿肉</x:v>
      </x:c>
      <x:c r="F800" t="n">
        <x:v>160</x:v>
      </x:c>
      <x:c r="G800" t="n">
        <x:v>125</x:v>
      </x:c>
      <x:c r="H800" t="n">
        <x:f>ROUND(F800*G800/100,2)</x:f>
        <x:v>200</x:v>
      </x:c>
      <x:c r="I800" t="n">
        <x:v>20</x:v>
      </x:c>
      <x:c r="J800" t="n">
        <x:f>ROUND(F800*I800/100,2)</x:f>
        <x:v>32</x:v>
      </x:c>
      <x:c r="K800" t="n">
        <x:v>0</x:v>
      </x:c>
      <x:c r="L800" t="n">
        <x:f>ROUND(F800*K800/100,2)</x:f>
        <x:v>0</x:v>
      </x:c>
      <x:c r="M800" t="n">
        <x:v>5</x:v>
      </x:c>
      <x:c r="N800" t="n">
        <x:f>ROUND(F800*M800/100,2)</x:f>
        <x:v>8</x:v>
      </x:c>
      <x:c r="O800" t="str">
        <x:v>生重</x:v>
      </x:c>
    </x:row>
    <x:row r="801" ht="23" customHeight="1">
      <x:c r="A801" t="n">
        <x:v>134</x:v>
      </x:c>
      <x:c r="B801" t="n">
        <x:v>67</x:v>
      </x:c>
      <x:c r="C801" t="str">
        <x:v>晚餐</x:v>
      </x:c>
      <x:c r="D801" t="str"/>
      <x:c r="E801" t="str"/>
      <x:c r="F801" t="n">
        <x:v>0</x:v>
      </x:c>
      <x:c r="G801" t="n">
        <x:v>0</x:v>
      </x:c>
      <x:c r="H801" t="n">
        <x:f>ROUND(F801*G801/100,2)</x:f>
        <x:v>0</x:v>
      </x:c>
      <x:c r="I801" t="n">
        <x:v>0</x:v>
      </x:c>
      <x:c r="J801" t="n">
        <x:f>ROUND(F801*I801/100,2)</x:f>
        <x:v>0</x:v>
      </x:c>
      <x:c r="K801" t="n">
        <x:v>0</x:v>
      </x:c>
      <x:c r="L801" t="n">
        <x:f>ROUND(F801*K801/100,2)</x:f>
        <x:v>0</x:v>
      </x:c>
      <x:c r="M801" t="n">
        <x:v>0</x:v>
      </x:c>
      <x:c r="N801" t="n">
        <x:f>ROUND(F801*M801/100,2)</x:f>
        <x:v>0</x:v>
      </x:c>
      <x:c r="O801" t="str"/>
    </x:row>
    <x:row r="802" ht="23" customHeight="1">
      <x:c r="A802" t="n">
        <x:v>134</x:v>
      </x:c>
      <x:c r="B802" t="n">
        <x:v>67</x:v>
      </x:c>
      <x:c r="C802" t="str">
        <x:v>晚餐</x:v>
      </x:c>
      <x:c r="D802" t="str">
        <x:v>蔬菜</x:v>
      </x:c>
      <x:c r="E802" t="str">
        <x:v>荷兰豆</x:v>
      </x:c>
      <x:c r="F802" t="n">
        <x:v>160</x:v>
      </x:c>
      <x:c r="G802" t="n">
        <x:v>42</x:v>
      </x:c>
      <x:c r="H802" t="n">
        <x:f>ROUND(F802*G802/100,2)</x:f>
        <x:v>67.2</x:v>
      </x:c>
      <x:c r="I802" t="n">
        <x:v>2.8</x:v>
      </x:c>
      <x:c r="J802" t="n">
        <x:f>ROUND(F802*I802/100,2)</x:f>
        <x:v>4.48</x:v>
      </x:c>
      <x:c r="K802" t="n">
        <x:v>7.5</x:v>
      </x:c>
      <x:c r="L802" t="n">
        <x:f>ROUND(F802*K802/100,2)</x:f>
        <x:v>12</x:v>
      </x:c>
      <x:c r="M802" t="n">
        <x:v>0.3</x:v>
      </x:c>
      <x:c r="N802" t="n">
        <x:f>ROUND(F802*M802/100,2)</x:f>
        <x:v>0.48</x:v>
      </x:c>
      <x:c r="O802" t="str">
        <x:v>生重</x:v>
      </x:c>
    </x:row>
    <x:row r="803" ht="23" customHeight="1">
      <x:c r="A803" t="n">
        <x:v>134</x:v>
      </x:c>
      <x:c r="B803" t="n">
        <x:v>67</x:v>
      </x:c>
      <x:c r="C803" t="str">
        <x:v>晚餐</x:v>
      </x:c>
      <x:c r="D803" t="str">
        <x:v>菌菇</x:v>
      </x:c>
      <x:c r="E803" t="str">
        <x:v>香菇</x:v>
      </x:c>
      <x:c r="F803" t="n">
        <x:v>140</x:v>
      </x:c>
      <x:c r="G803" t="n">
        <x:v>34</x:v>
      </x:c>
      <x:c r="H803" t="n">
        <x:f>ROUND(F803*G803/100,2)</x:f>
        <x:v>47.6</x:v>
      </x:c>
      <x:c r="I803" t="n">
        <x:v>2.2</x:v>
      </x:c>
      <x:c r="J803" t="n">
        <x:f>ROUND(F803*I803/100,2)</x:f>
        <x:v>3.08</x:v>
      </x:c>
      <x:c r="K803" t="n">
        <x:v>6.8</x:v>
      </x:c>
      <x:c r="L803" t="n">
        <x:f>ROUND(F803*K803/100,2)</x:f>
        <x:v>9.52</x:v>
      </x:c>
      <x:c r="M803" t="n">
        <x:v>0.5</x:v>
      </x:c>
      <x:c r="N803" t="n">
        <x:f>ROUND(F803*M803/100,2)</x:f>
        <x:v>0.7</x:v>
      </x:c>
      <x:c r="O803" t="str">
        <x:v>生重</x:v>
      </x:c>
    </x:row>
    <x:row r="804" ht="23" customHeight="1">
      <x:c r="A804" t="n">
        <x:v>134</x:v>
      </x:c>
      <x:c r="B804" t="n">
        <x:v>67</x:v>
      </x:c>
      <x:c r="C804" t="str">
        <x:v>晚餐</x:v>
      </x:c>
      <x:c r="D804" t="str">
        <x:v>主食</x:v>
      </x:c>
      <x:c r="E804" t="str">
        <x:v>糙米饭</x:v>
      </x:c>
      <x:c r="F804" t="n">
        <x:v>125</x:v>
      </x:c>
      <x:c r="G804" t="n">
        <x:v>112</x:v>
      </x:c>
      <x:c r="H804" t="n">
        <x:f>ROUND(F804*G804/100,2)</x:f>
        <x:v>140</x:v>
      </x:c>
      <x:c r="I804" t="n">
        <x:v>2.6</x:v>
      </x:c>
      <x:c r="J804" t="n">
        <x:f>ROUND(F804*I804/100,2)</x:f>
        <x:v>3.25</x:v>
      </x:c>
      <x:c r="K804" t="n">
        <x:v>23.5</x:v>
      </x:c>
      <x:c r="L804" t="n">
        <x:f>ROUND(F804*K804/100,2)</x:f>
        <x:v>29.38</x:v>
      </x:c>
      <x:c r="M804" t="n">
        <x:v>0.9</x:v>
      </x:c>
      <x:c r="N804" t="n">
        <x:f>ROUND(F804*M804/100,2)</x:f>
        <x:v>1.13</x:v>
      </x:c>
      <x:c r="O804" t="str">
        <x:v>熟重</x:v>
      </x:c>
    </x:row>
    <x:row r="805" ht="23" customHeight="1">
      <x:c r="A805" t="n">
        <x:v>134</x:v>
      </x:c>
      <x:c r="B805" t="n">
        <x:v>67</x:v>
      </x:c>
      <x:c r="C805" t="str">
        <x:v>晚餐</x:v>
      </x:c>
      <x:c r="D805" t="str">
        <x:v>油脂</x:v>
      </x:c>
      <x:c r="E805" t="str">
        <x:v>烹调油</x:v>
      </x:c>
      <x:c r="F805" t="n">
        <x:v>5</x:v>
      </x:c>
      <x:c r="G805" t="n">
        <x:v>900</x:v>
      </x:c>
      <x:c r="H805" t="n">
        <x:f>ROUND(F805*G805/100,2)</x:f>
        <x:v>45</x:v>
      </x:c>
      <x:c r="I805" t="n">
        <x:v>0</x:v>
      </x:c>
      <x:c r="J805" t="n">
        <x:f>ROUND(F805*I805/100,2)</x:f>
        <x:v>0</x:v>
      </x:c>
      <x:c r="K805" t="n">
        <x:v>0</x:v>
      </x:c>
      <x:c r="L805" t="n">
        <x:f>ROUND(F805*K805/100,2)</x:f>
        <x:v>0</x:v>
      </x:c>
      <x:c r="M805" t="n">
        <x:v>100</x:v>
      </x:c>
      <x:c r="N805" t="n">
        <x:f>ROUND(F805*M805/100,2)</x:f>
        <x:v>5</x:v>
      </x:c>
      <x:c r="O805" t="str">
        <x:v>实际用油重</x:v>
      </x:c>
    </x:row>
    <x:row r="806" ht="23" customHeight="1">
      <x:c r="A806" t="n">
        <x:v>135</x:v>
      </x:c>
      <x:c r="B806" t="n">
        <x:v>68</x:v>
      </x:c>
      <x:c r="C806" t="str">
        <x:v>午餐</x:v>
      </x:c>
      <x:c r="D806" t="str">
        <x:v>海鲜</x:v>
      </x:c>
      <x:c r="E806" t="str">
        <x:v>鱿鱼</x:v>
      </x:c>
      <x:c r="F806" t="n">
        <x:v>160</x:v>
      </x:c>
      <x:c r="G806" t="n">
        <x:v>95</x:v>
      </x:c>
      <x:c r="H806" t="n">
        <x:f>ROUND(F806*G806/100,2)</x:f>
        <x:v>152</x:v>
      </x:c>
      <x:c r="I806" t="n">
        <x:v>17</x:v>
      </x:c>
      <x:c r="J806" t="n">
        <x:f>ROUND(F806*I806/100,2)</x:f>
        <x:v>27.2</x:v>
      </x:c>
      <x:c r="K806" t="n">
        <x:v>2</x:v>
      </x:c>
      <x:c r="L806" t="n">
        <x:f>ROUND(F806*K806/100,2)</x:f>
        <x:v>3.2</x:v>
      </x:c>
      <x:c r="M806" t="n">
        <x:v>1.4</x:v>
      </x:c>
      <x:c r="N806" t="n">
        <x:f>ROUND(F806*M806/100,2)</x:f>
        <x:v>2.24</x:v>
      </x:c>
      <x:c r="O806" t="str">
        <x:v>生重</x:v>
      </x:c>
    </x:row>
    <x:row r="807" ht="23" customHeight="1">
      <x:c r="A807" t="n">
        <x:v>135</x:v>
      </x:c>
      <x:c r="B807" t="n">
        <x:v>68</x:v>
      </x:c>
      <x:c r="C807" t="str">
        <x:v>午餐</x:v>
      </x:c>
      <x:c r="D807" t="str"/>
      <x:c r="E807" t="str"/>
      <x:c r="F807" t="n">
        <x:v>0</x:v>
      </x:c>
      <x:c r="G807" t="n">
        <x:v>0</x:v>
      </x:c>
      <x:c r="H807" t="n">
        <x:f>ROUND(F807*G807/100,2)</x:f>
        <x:v>0</x:v>
      </x:c>
      <x:c r="I807" t="n">
        <x:v>0</x:v>
      </x:c>
      <x:c r="J807" t="n">
        <x:f>ROUND(F807*I807/100,2)</x:f>
        <x:v>0</x:v>
      </x:c>
      <x:c r="K807" t="n">
        <x:v>0</x:v>
      </x:c>
      <x:c r="L807" t="n">
        <x:f>ROUND(F807*K807/100,2)</x:f>
        <x:v>0</x:v>
      </x:c>
      <x:c r="M807" t="n">
        <x:v>0</x:v>
      </x:c>
      <x:c r="N807" t="n">
        <x:f>ROUND(F807*M807/100,2)</x:f>
        <x:v>0</x:v>
      </x:c>
      <x:c r="O807" t="str"/>
    </x:row>
    <x:row r="808" ht="23" customHeight="1">
      <x:c r="A808" t="n">
        <x:v>135</x:v>
      </x:c>
      <x:c r="B808" t="n">
        <x:v>68</x:v>
      </x:c>
      <x:c r="C808" t="str">
        <x:v>午餐</x:v>
      </x:c>
      <x:c r="D808" t="str">
        <x:v>蔬菜</x:v>
      </x:c>
      <x:c r="E808" t="str">
        <x:v>大白菜</x:v>
      </x:c>
      <x:c r="F808" t="n">
        <x:v>190</x:v>
      </x:c>
      <x:c r="G808" t="n">
        <x:v>17</x:v>
      </x:c>
      <x:c r="H808" t="n">
        <x:f>ROUND(F808*G808/100,2)</x:f>
        <x:v>32.3</x:v>
      </x:c>
      <x:c r="I808" t="n">
        <x:v>1.5</x:v>
      </x:c>
      <x:c r="J808" t="n">
        <x:f>ROUND(F808*I808/100,2)</x:f>
        <x:v>2.85</x:v>
      </x:c>
      <x:c r="K808" t="n">
        <x:v>3.2</x:v>
      </x:c>
      <x:c r="L808" t="n">
        <x:f>ROUND(F808*K808/100,2)</x:f>
        <x:v>6.08</x:v>
      </x:c>
      <x:c r="M808" t="n">
        <x:v>0.1</x:v>
      </x:c>
      <x:c r="N808" t="n">
        <x:f>ROUND(F808*M808/100,2)</x:f>
        <x:v>0.19</x:v>
      </x:c>
      <x:c r="O808" t="str">
        <x:v>生重</x:v>
      </x:c>
    </x:row>
    <x:row r="809" ht="23" customHeight="1">
      <x:c r="A809" t="n">
        <x:v>135</x:v>
      </x:c>
      <x:c r="B809" t="n">
        <x:v>68</x:v>
      </x:c>
      <x:c r="C809" t="str">
        <x:v>午餐</x:v>
      </x:c>
      <x:c r="D809" t="str">
        <x:v>蔬菜</x:v>
      </x:c>
      <x:c r="E809" t="str">
        <x:v>彩椒</x:v>
      </x:c>
      <x:c r="F809" t="n">
        <x:v>125</x:v>
      </x:c>
      <x:c r="G809" t="n">
        <x:v>27</x:v>
      </x:c>
      <x:c r="H809" t="n">
        <x:f>ROUND(F809*G809/100,2)</x:f>
        <x:v>33.75</x:v>
      </x:c>
      <x:c r="I809" t="n">
        <x:v>1</x:v>
      </x:c>
      <x:c r="J809" t="n">
        <x:f>ROUND(F809*I809/100,2)</x:f>
        <x:v>1.25</x:v>
      </x:c>
      <x:c r="K809" t="n">
        <x:v>6.1</x:v>
      </x:c>
      <x:c r="L809" t="n">
        <x:f>ROUND(F809*K809/100,2)</x:f>
        <x:v>7.63</x:v>
      </x:c>
      <x:c r="M809" t="n">
        <x:v>0.2</x:v>
      </x:c>
      <x:c r="N809" t="n">
        <x:f>ROUND(F809*M809/100,2)</x:f>
        <x:v>0.25</x:v>
      </x:c>
      <x:c r="O809" t="str">
        <x:v>生重</x:v>
      </x:c>
    </x:row>
    <x:row r="810" ht="23" customHeight="1">
      <x:c r="A810" t="n">
        <x:v>135</x:v>
      </x:c>
      <x:c r="B810" t="n">
        <x:v>68</x:v>
      </x:c>
      <x:c r="C810" t="str">
        <x:v>午餐</x:v>
      </x:c>
      <x:c r="D810" t="str">
        <x:v>主食</x:v>
      </x:c>
      <x:c r="E810" t="str">
        <x:v>玉米</x:v>
      </x:c>
      <x:c r="F810" t="n">
        <x:v>135</x:v>
      </x:c>
      <x:c r="G810" t="n">
        <x:v>105</x:v>
      </x:c>
      <x:c r="H810" t="n">
        <x:f>ROUND(F810*G810/100,2)</x:f>
        <x:v>141.75</x:v>
      </x:c>
      <x:c r="I810" t="n">
        <x:v>3.4</x:v>
      </x:c>
      <x:c r="J810" t="n">
        <x:f>ROUND(F810*I810/100,2)</x:f>
        <x:v>4.59</x:v>
      </x:c>
      <x:c r="K810" t="n">
        <x:v>22</x:v>
      </x:c>
      <x:c r="L810" t="n">
        <x:f>ROUND(F810*K810/100,2)</x:f>
        <x:v>29.7</x:v>
      </x:c>
      <x:c r="M810" t="n">
        <x:v>1.5</x:v>
      </x:c>
      <x:c r="N810" t="n">
        <x:f>ROUND(F810*M810/100,2)</x:f>
        <x:v>2.03</x:v>
      </x:c>
      <x:c r="O810" t="str">
        <x:v>蒸熟净重</x:v>
      </x:c>
    </x:row>
    <x:row r="811" ht="23" customHeight="1">
      <x:c r="A811" t="n">
        <x:v>135</x:v>
      </x:c>
      <x:c r="B811" t="n">
        <x:v>68</x:v>
      </x:c>
      <x:c r="C811" t="str">
        <x:v>午餐</x:v>
      </x:c>
      <x:c r="D811" t="str">
        <x:v>油脂</x:v>
      </x:c>
      <x:c r="E811" t="str">
        <x:v>烹调油</x:v>
      </x:c>
      <x:c r="F811" t="n">
        <x:v>5</x:v>
      </x:c>
      <x:c r="G811" t="n">
        <x:v>900</x:v>
      </x:c>
      <x:c r="H811" t="n">
        <x:f>ROUND(F811*G811/100,2)</x:f>
        <x:v>45</x:v>
      </x:c>
      <x:c r="I811" t="n">
        <x:v>0</x:v>
      </x:c>
      <x:c r="J811" t="n">
        <x:f>ROUND(F811*I811/100,2)</x:f>
        <x:v>0</x:v>
      </x:c>
      <x:c r="K811" t="n">
        <x:v>0</x:v>
      </x:c>
      <x:c r="L811" t="n">
        <x:f>ROUND(F811*K811/100,2)</x:f>
        <x:v>0</x:v>
      </x:c>
      <x:c r="M811" t="n">
        <x:v>100</x:v>
      </x:c>
      <x:c r="N811" t="n">
        <x:f>ROUND(F811*M811/100,2)</x:f>
        <x:v>5</x:v>
      </x:c>
      <x:c r="O811" t="str">
        <x:v>实际用油重</x:v>
      </x:c>
    </x:row>
    <x:row r="812" ht="23" customHeight="1">
      <x:c r="A812" t="n">
        <x:v>136</x:v>
      </x:c>
      <x:c r="B812" t="n">
        <x:v>68</x:v>
      </x:c>
      <x:c r="C812" t="str">
        <x:v>晚餐</x:v>
      </x:c>
      <x:c r="D812" t="str">
        <x:v>禽肉</x:v>
      </x:c>
      <x:c r="E812" t="str">
        <x:v>鸡胸肉</x:v>
      </x:c>
      <x:c r="F812" t="n">
        <x:v>180</x:v>
      </x:c>
      <x:c r="G812" t="n">
        <x:v>110</x:v>
      </x:c>
      <x:c r="H812" t="n">
        <x:f>ROUND(F812*G812/100,2)</x:f>
        <x:v>198</x:v>
      </x:c>
      <x:c r="I812" t="n">
        <x:v>23</x:v>
      </x:c>
      <x:c r="J812" t="n">
        <x:f>ROUND(F812*I812/100,2)</x:f>
        <x:v>41.4</x:v>
      </x:c>
      <x:c r="K812" t="n">
        <x:v>0</x:v>
      </x:c>
      <x:c r="L812" t="n">
        <x:f>ROUND(F812*K812/100,2)</x:f>
        <x:v>0</x:v>
      </x:c>
      <x:c r="M812" t="n">
        <x:v>2</x:v>
      </x:c>
      <x:c r="N812" t="n">
        <x:f>ROUND(F812*M812/100,2)</x:f>
        <x:v>3.6</x:v>
      </x:c>
      <x:c r="O812" t="str">
        <x:v>生重</x:v>
      </x:c>
    </x:row>
    <x:row r="813" ht="23" customHeight="1">
      <x:c r="A813" t="n">
        <x:v>136</x:v>
      </x:c>
      <x:c r="B813" t="n">
        <x:v>68</x:v>
      </x:c>
      <x:c r="C813" t="str">
        <x:v>晚餐</x:v>
      </x:c>
      <x:c r="D813" t="str"/>
      <x:c r="E813" t="str"/>
      <x:c r="F813" t="n">
        <x:v>0</x:v>
      </x:c>
      <x:c r="G813" t="n">
        <x:v>0</x:v>
      </x:c>
      <x:c r="H813" t="n">
        <x:f>ROUND(F813*G813/100,2)</x:f>
        <x:v>0</x:v>
      </x:c>
      <x:c r="I813" t="n">
        <x:v>0</x:v>
      </x:c>
      <x:c r="J813" t="n">
        <x:f>ROUND(F813*I813/100,2)</x:f>
        <x:v>0</x:v>
      </x:c>
      <x:c r="K813" t="n">
        <x:v>0</x:v>
      </x:c>
      <x:c r="L813" t="n">
        <x:f>ROUND(F813*K813/100,2)</x:f>
        <x:v>0</x:v>
      </x:c>
      <x:c r="M813" t="n">
        <x:v>0</x:v>
      </x:c>
      <x:c r="N813" t="n">
        <x:f>ROUND(F813*M813/100,2)</x:f>
        <x:v>0</x:v>
      </x:c>
      <x:c r="O813" t="str"/>
    </x:row>
    <x:row r="814" ht="23" customHeight="1">
      <x:c r="A814" t="n">
        <x:v>136</x:v>
      </x:c>
      <x:c r="B814" t="n">
        <x:v>68</x:v>
      </x:c>
      <x:c r="C814" t="str">
        <x:v>晚餐</x:v>
      </x:c>
      <x:c r="D814" t="str">
        <x:v>蔬菜</x:v>
      </x:c>
      <x:c r="E814" t="str">
        <x:v>西葫芦</x:v>
      </x:c>
      <x:c r="F814" t="n">
        <x:v>140</x:v>
      </x:c>
      <x:c r="G814" t="n">
        <x:v>17</x:v>
      </x:c>
      <x:c r="H814" t="n">
        <x:f>ROUND(F814*G814/100,2)</x:f>
        <x:v>23.8</x:v>
      </x:c>
      <x:c r="I814" t="n">
        <x:v>1.2</x:v>
      </x:c>
      <x:c r="J814" t="n">
        <x:f>ROUND(F814*I814/100,2)</x:f>
        <x:v>1.68</x:v>
      </x:c>
      <x:c r="K814" t="n">
        <x:v>3.1</x:v>
      </x:c>
      <x:c r="L814" t="n">
        <x:f>ROUND(F814*K814/100,2)</x:f>
        <x:v>4.34</x:v>
      </x:c>
      <x:c r="M814" t="n">
        <x:v>0.3</x:v>
      </x:c>
      <x:c r="N814" t="n">
        <x:f>ROUND(F814*M814/100,2)</x:f>
        <x:v>0.42</x:v>
      </x:c>
      <x:c r="O814" t="str">
        <x:v>生重</x:v>
      </x:c>
    </x:row>
    <x:row r="815" ht="23" customHeight="1">
      <x:c r="A815" t="n">
        <x:v>136</x:v>
      </x:c>
      <x:c r="B815" t="n">
        <x:v>68</x:v>
      </x:c>
      <x:c r="C815" t="str">
        <x:v>晚餐</x:v>
      </x:c>
      <x:c r="D815" t="str">
        <x:v>蔬菜</x:v>
      </x:c>
      <x:c r="E815" t="str">
        <x:v>莴笋</x:v>
      </x:c>
      <x:c r="F815" t="n">
        <x:v>110</x:v>
      </x:c>
      <x:c r="G815" t="n">
        <x:v>15</x:v>
      </x:c>
      <x:c r="H815" t="n">
        <x:f>ROUND(F815*G815/100,2)</x:f>
        <x:v>16.5</x:v>
      </x:c>
      <x:c r="I815" t="n">
        <x:v>1</x:v>
      </x:c>
      <x:c r="J815" t="n">
        <x:f>ROUND(F815*I815/100,2)</x:f>
        <x:v>1.1</x:v>
      </x:c>
      <x:c r="K815" t="n">
        <x:v>2.8</x:v>
      </x:c>
      <x:c r="L815" t="n">
        <x:f>ROUND(F815*K815/100,2)</x:f>
        <x:v>3.08</x:v>
      </x:c>
      <x:c r="M815" t="n">
        <x:v>0.1</x:v>
      </x:c>
      <x:c r="N815" t="n">
        <x:f>ROUND(F815*M815/100,2)</x:f>
        <x:v>0.11</x:v>
      </x:c>
      <x:c r="O815" t="str">
        <x:v>生重</x:v>
      </x:c>
    </x:row>
    <x:row r="816" ht="23" customHeight="1">
      <x:c r="A816" t="n">
        <x:v>136</x:v>
      </x:c>
      <x:c r="B816" t="n">
        <x:v>68</x:v>
      </x:c>
      <x:c r="C816" t="str">
        <x:v>晚餐</x:v>
      </x:c>
      <x:c r="D816" t="str">
        <x:v>主食</x:v>
      </x:c>
      <x:c r="E816" t="str">
        <x:v>全麦面</x:v>
      </x:c>
      <x:c r="F816" t="n">
        <x:v>135</x:v>
      </x:c>
      <x:c r="G816" t="n">
        <x:v>124</x:v>
      </x:c>
      <x:c r="H816" t="n">
        <x:f>ROUND(F816*G816/100,2)</x:f>
        <x:v>167.4</x:v>
      </x:c>
      <x:c r="I816" t="n">
        <x:v>5</x:v>
      </x:c>
      <x:c r="J816" t="n">
        <x:f>ROUND(F816*I816/100,2)</x:f>
        <x:v>6.75</x:v>
      </x:c>
      <x:c r="K816" t="n">
        <x:v>25</x:v>
      </x:c>
      <x:c r="L816" t="n">
        <x:f>ROUND(F816*K816/100,2)</x:f>
        <x:v>33.75</x:v>
      </x:c>
      <x:c r="M816" t="n">
        <x:v>1.1</x:v>
      </x:c>
      <x:c r="N816" t="n">
        <x:f>ROUND(F816*M816/100,2)</x:f>
        <x:v>1.49</x:v>
      </x:c>
      <x:c r="O816" t="str">
        <x:v>煮熟沥水重</x:v>
      </x:c>
    </x:row>
    <x:row r="817" ht="23" customHeight="1">
      <x:c r="A817" t="n">
        <x:v>136</x:v>
      </x:c>
      <x:c r="B817" t="n">
        <x:v>68</x:v>
      </x:c>
      <x:c r="C817" t="str">
        <x:v>晚餐</x:v>
      </x:c>
      <x:c r="D817" t="str">
        <x:v>油脂</x:v>
      </x:c>
      <x:c r="E817" t="str">
        <x:v>烹调油</x:v>
      </x:c>
      <x:c r="F817" t="n">
        <x:v>5</x:v>
      </x:c>
      <x:c r="G817" t="n">
        <x:v>900</x:v>
      </x:c>
      <x:c r="H817" t="n">
        <x:f>ROUND(F817*G817/100,2)</x:f>
        <x:v>45</x:v>
      </x:c>
      <x:c r="I817" t="n">
        <x:v>0</x:v>
      </x:c>
      <x:c r="J817" t="n">
        <x:f>ROUND(F817*I817/100,2)</x:f>
        <x:v>0</x:v>
      </x:c>
      <x:c r="K817" t="n">
        <x:v>0</x:v>
      </x:c>
      <x:c r="L817" t="n">
        <x:f>ROUND(F817*K817/100,2)</x:f>
        <x:v>0</x:v>
      </x:c>
      <x:c r="M817" t="n">
        <x:v>100</x:v>
      </x:c>
      <x:c r="N817" t="n">
        <x:f>ROUND(F817*M817/100,2)</x:f>
        <x:v>5</x:v>
      </x:c>
      <x:c r="O817" t="str">
        <x:v>实际用油重</x:v>
      </x:c>
    </x:row>
    <x:row r="818" ht="23" customHeight="1">
      <x:c r="A818" t="n">
        <x:v>137</x:v>
      </x:c>
      <x:c r="B818" t="n">
        <x:v>69</x:v>
      </x:c>
      <x:c r="C818" t="str">
        <x:v>午餐</x:v>
      </x:c>
      <x:c r="D818" t="str">
        <x:v>海鲜</x:v>
      </x:c>
      <x:c r="E818" t="str">
        <x:v>虾仁</x:v>
      </x:c>
      <x:c r="F818" t="n">
        <x:v>175</x:v>
      </x:c>
      <x:c r="G818" t="n">
        <x:v>90</x:v>
      </x:c>
      <x:c r="H818" t="n">
        <x:f>ROUND(F818*G818/100,2)</x:f>
        <x:v>157.5</x:v>
      </x:c>
      <x:c r="I818" t="n">
        <x:v>19</x:v>
      </x:c>
      <x:c r="J818" t="n">
        <x:f>ROUND(F818*I818/100,2)</x:f>
        <x:v>33.25</x:v>
      </x:c>
      <x:c r="K818" t="n">
        <x:v>0.4</x:v>
      </x:c>
      <x:c r="L818" t="n">
        <x:f>ROUND(F818*K818/100,2)</x:f>
        <x:v>0.7</x:v>
      </x:c>
      <x:c r="M818" t="n">
        <x:v>1.1</x:v>
      </x:c>
      <x:c r="N818" t="n">
        <x:f>ROUND(F818*M818/100,2)</x:f>
        <x:v>1.93</x:v>
      </x:c>
      <x:c r="O818" t="str">
        <x:v>生重</x:v>
      </x:c>
    </x:row>
    <x:row r="819" ht="23" customHeight="1">
      <x:c r="A819" t="n">
        <x:v>137</x:v>
      </x:c>
      <x:c r="B819" t="n">
        <x:v>69</x:v>
      </x:c>
      <x:c r="C819" t="str">
        <x:v>午餐</x:v>
      </x:c>
      <x:c r="D819" t="str"/>
      <x:c r="E819" t="str"/>
      <x:c r="F819" t="n">
        <x:v>0</x:v>
      </x:c>
      <x:c r="G819" t="n">
        <x:v>0</x:v>
      </x:c>
      <x:c r="H819" t="n">
        <x:f>ROUND(F819*G819/100,2)</x:f>
        <x:v>0</x:v>
      </x:c>
      <x:c r="I819" t="n">
        <x:v>0</x:v>
      </x:c>
      <x:c r="J819" t="n">
        <x:f>ROUND(F819*I819/100,2)</x:f>
        <x:v>0</x:v>
      </x:c>
      <x:c r="K819" t="n">
        <x:v>0</x:v>
      </x:c>
      <x:c r="L819" t="n">
        <x:f>ROUND(F819*K819/100,2)</x:f>
        <x:v>0</x:v>
      </x:c>
      <x:c r="M819" t="n">
        <x:v>0</x:v>
      </x:c>
      <x:c r="N819" t="n">
        <x:f>ROUND(F819*M819/100,2)</x:f>
        <x:v>0</x:v>
      </x:c>
      <x:c r="O819" t="str"/>
    </x:row>
    <x:row r="820" ht="23" customHeight="1">
      <x:c r="A820" t="n">
        <x:v>137</x:v>
      </x:c>
      <x:c r="B820" t="n">
        <x:v>69</x:v>
      </x:c>
      <x:c r="C820" t="str">
        <x:v>午餐</x:v>
      </x:c>
      <x:c r="D820" t="str">
        <x:v>蔬菜</x:v>
      </x:c>
      <x:c r="E820" t="str">
        <x:v>油麦菜</x:v>
      </x:c>
      <x:c r="F820" t="n">
        <x:v>190</x:v>
      </x:c>
      <x:c r="G820" t="n">
        <x:v>18</x:v>
      </x:c>
      <x:c r="H820" t="n">
        <x:f>ROUND(F820*G820/100,2)</x:f>
        <x:v>34.2</x:v>
      </x:c>
      <x:c r="I820" t="n">
        <x:v>1.4</x:v>
      </x:c>
      <x:c r="J820" t="n">
        <x:f>ROUND(F820*I820/100,2)</x:f>
        <x:v>2.66</x:v>
      </x:c>
      <x:c r="K820" t="n">
        <x:v>3.1</x:v>
      </x:c>
      <x:c r="L820" t="n">
        <x:f>ROUND(F820*K820/100,2)</x:f>
        <x:v>5.89</x:v>
      </x:c>
      <x:c r="M820" t="n">
        <x:v>0.2</x:v>
      </x:c>
      <x:c r="N820" t="n">
        <x:f>ROUND(F820*M820/100,2)</x:f>
        <x:v>0.38</x:v>
      </x:c>
      <x:c r="O820" t="str">
        <x:v>生重</x:v>
      </x:c>
    </x:row>
    <x:row r="821" ht="23" customHeight="1">
      <x:c r="A821" t="n">
        <x:v>137</x:v>
      </x:c>
      <x:c r="B821" t="n">
        <x:v>69</x:v>
      </x:c>
      <x:c r="C821" t="str">
        <x:v>午餐</x:v>
      </x:c>
      <x:c r="D821" t="str">
        <x:v>蔬菜</x:v>
      </x:c>
      <x:c r="E821" t="str">
        <x:v>小白菜</x:v>
      </x:c>
      <x:c r="F821" t="n">
        <x:v>155</x:v>
      </x:c>
      <x:c r="G821" t="n">
        <x:v>17</x:v>
      </x:c>
      <x:c r="H821" t="n">
        <x:f>ROUND(F821*G821/100,2)</x:f>
        <x:v>26.35</x:v>
      </x:c>
      <x:c r="I821" t="n">
        <x:v>1.6</x:v>
      </x:c>
      <x:c r="J821" t="n">
        <x:f>ROUND(F821*I821/100,2)</x:f>
        <x:v>2.48</x:v>
      </x:c>
      <x:c r="K821" t="n">
        <x:v>2.8</x:v>
      </x:c>
      <x:c r="L821" t="n">
        <x:f>ROUND(F821*K821/100,2)</x:f>
        <x:v>4.34</x:v>
      </x:c>
      <x:c r="M821" t="n">
        <x:v>0.2</x:v>
      </x:c>
      <x:c r="N821" t="n">
        <x:f>ROUND(F821*M821/100,2)</x:f>
        <x:v>0.31</x:v>
      </x:c>
      <x:c r="O821" t="str">
        <x:v>生重</x:v>
      </x:c>
    </x:row>
    <x:row r="822" ht="23" customHeight="1">
      <x:c r="A822" t="n">
        <x:v>137</x:v>
      </x:c>
      <x:c r="B822" t="n">
        <x:v>69</x:v>
      </x:c>
      <x:c r="C822" t="str">
        <x:v>午餐</x:v>
      </x:c>
      <x:c r="D822" t="str">
        <x:v>主食</x:v>
      </x:c>
      <x:c r="E822" t="str">
        <x:v>红薯</x:v>
      </x:c>
      <x:c r="F822" t="n">
        <x:v>150</x:v>
      </x:c>
      <x:c r="G822" t="n">
        <x:v>88</x:v>
      </x:c>
      <x:c r="H822" t="n">
        <x:f>ROUND(F822*G822/100,2)</x:f>
        <x:v>132</x:v>
      </x:c>
      <x:c r="I822" t="n">
        <x:v>1.6</x:v>
      </x:c>
      <x:c r="J822" t="n">
        <x:f>ROUND(F822*I822/100,2)</x:f>
        <x:v>2.4</x:v>
      </x:c>
      <x:c r="K822" t="n">
        <x:v>20.5</x:v>
      </x:c>
      <x:c r="L822" t="n">
        <x:f>ROUND(F822*K822/100,2)</x:f>
        <x:v>30.75</x:v>
      </x:c>
      <x:c r="M822" t="n">
        <x:v>0.1</x:v>
      </x:c>
      <x:c r="N822" t="n">
        <x:f>ROUND(F822*M822/100,2)</x:f>
        <x:v>0.15</x:v>
      </x:c>
      <x:c r="O822" t="str">
        <x:v>蒸熟净重</x:v>
      </x:c>
    </x:row>
    <x:row r="823" ht="23" customHeight="1">
      <x:c r="A823" t="n">
        <x:v>137</x:v>
      </x:c>
      <x:c r="B823" t="n">
        <x:v>69</x:v>
      </x:c>
      <x:c r="C823" t="str">
        <x:v>午餐</x:v>
      </x:c>
      <x:c r="D823" t="str">
        <x:v>油脂</x:v>
      </x:c>
      <x:c r="E823" t="str">
        <x:v>烹调油</x:v>
      </x:c>
      <x:c r="F823" t="n">
        <x:v>4</x:v>
      </x:c>
      <x:c r="G823" t="n">
        <x:v>900</x:v>
      </x:c>
      <x:c r="H823" t="n">
        <x:f>ROUND(F823*G823/100,2)</x:f>
        <x:v>36</x:v>
      </x:c>
      <x:c r="I823" t="n">
        <x:v>0</x:v>
      </x:c>
      <x:c r="J823" t="n">
        <x:f>ROUND(F823*I823/100,2)</x:f>
        <x:v>0</x:v>
      </x:c>
      <x:c r="K823" t="n">
        <x:v>0</x:v>
      </x:c>
      <x:c r="L823" t="n">
        <x:f>ROUND(F823*K823/100,2)</x:f>
        <x:v>0</x:v>
      </x:c>
      <x:c r="M823" t="n">
        <x:v>100</x:v>
      </x:c>
      <x:c r="N823" t="n">
        <x:f>ROUND(F823*M823/100,2)</x:f>
        <x:v>4</x:v>
      </x:c>
      <x:c r="O823" t="str">
        <x:v>实际用油重</x:v>
      </x:c>
    </x:row>
    <x:row r="824" ht="23" customHeight="1">
      <x:c r="A824" t="n">
        <x:v>138</x:v>
      </x:c>
      <x:c r="B824" t="n">
        <x:v>69</x:v>
      </x:c>
      <x:c r="C824" t="str">
        <x:v>晚餐</x:v>
      </x:c>
      <x:c r="D824" t="str">
        <x:v>豆蛋</x:v>
      </x:c>
      <x:c r="E824" t="str">
        <x:v>鸡蛋</x:v>
      </x:c>
      <x:c r="F824" t="n">
        <x:v>120</x:v>
      </x:c>
      <x:c r="G824" t="n">
        <x:v>144</x:v>
      </x:c>
      <x:c r="H824" t="n">
        <x:f>ROUND(F824*G824/100,2)</x:f>
        <x:v>172.8</x:v>
      </x:c>
      <x:c r="I824" t="n">
        <x:v>13</x:v>
      </x:c>
      <x:c r="J824" t="n">
        <x:f>ROUND(F824*I824/100,2)</x:f>
        <x:v>15.6</x:v>
      </x:c>
      <x:c r="K824" t="n">
        <x:v>1.1</x:v>
      </x:c>
      <x:c r="L824" t="n">
        <x:f>ROUND(F824*K824/100,2)</x:f>
        <x:v>1.32</x:v>
      </x:c>
      <x:c r="M824" t="n">
        <x:v>10</x:v>
      </x:c>
      <x:c r="N824" t="n">
        <x:f>ROUND(F824*M824/100,2)</x:f>
        <x:v>12</x:v>
      </x:c>
      <x:c r="O824" t="str">
        <x:v>去壳可食重</x:v>
      </x:c>
    </x:row>
    <x:row r="825" ht="23" customHeight="1">
      <x:c r="A825" t="n">
        <x:v>138</x:v>
      </x:c>
      <x:c r="B825" t="n">
        <x:v>69</x:v>
      </x:c>
      <x:c r="C825" t="str">
        <x:v>晚餐</x:v>
      </x:c>
      <x:c r="D825" t="str">
        <x:v>豆蛋</x:v>
      </x:c>
      <x:c r="E825" t="str">
        <x:v>嫩豆腐</x:v>
      </x:c>
      <x:c r="F825" t="n">
        <x:v>135</x:v>
      </x:c>
      <x:c r="G825" t="n">
        <x:v>55</x:v>
      </x:c>
      <x:c r="H825" t="n">
        <x:f>ROUND(F825*G825/100,2)</x:f>
        <x:v>74.25</x:v>
      </x:c>
      <x:c r="I825" t="n">
        <x:v>5</x:v>
      </x:c>
      <x:c r="J825" t="n">
        <x:f>ROUND(F825*I825/100,2)</x:f>
        <x:v>6.75</x:v>
      </x:c>
      <x:c r="K825" t="n">
        <x:v>2</x:v>
      </x:c>
      <x:c r="L825" t="n">
        <x:f>ROUND(F825*K825/100,2)</x:f>
        <x:v>2.7</x:v>
      </x:c>
      <x:c r="M825" t="n">
        <x:v>2.8</x:v>
      </x:c>
      <x:c r="N825" t="n">
        <x:f>ROUND(F825*M825/100,2)</x:f>
        <x:v>3.78</x:v>
      </x:c>
      <x:c r="O825" t="str">
        <x:v>净重</x:v>
      </x:c>
    </x:row>
    <x:row r="826" ht="23" customHeight="1">
      <x:c r="A826" t="n">
        <x:v>138</x:v>
      </x:c>
      <x:c r="B826" t="n">
        <x:v>69</x:v>
      </x:c>
      <x:c r="C826" t="str">
        <x:v>晚餐</x:v>
      </x:c>
      <x:c r="D826" t="str">
        <x:v>蔬菜</x:v>
      </x:c>
      <x:c r="E826" t="str">
        <x:v>小白菜</x:v>
      </x:c>
      <x:c r="F826" t="n">
        <x:v>190</x:v>
      </x:c>
      <x:c r="G826" t="n">
        <x:v>17</x:v>
      </x:c>
      <x:c r="H826" t="n">
        <x:f>ROUND(F826*G826/100,2)</x:f>
        <x:v>32.3</x:v>
      </x:c>
      <x:c r="I826" t="n">
        <x:v>1.6</x:v>
      </x:c>
      <x:c r="J826" t="n">
        <x:f>ROUND(F826*I826/100,2)</x:f>
        <x:v>3.04</x:v>
      </x:c>
      <x:c r="K826" t="n">
        <x:v>2.8</x:v>
      </x:c>
      <x:c r="L826" t="n">
        <x:f>ROUND(F826*K826/100,2)</x:f>
        <x:v>5.32</x:v>
      </x:c>
      <x:c r="M826" t="n">
        <x:v>0.2</x:v>
      </x:c>
      <x:c r="N826" t="n">
        <x:f>ROUND(F826*M826/100,2)</x:f>
        <x:v>0.38</x:v>
      </x:c>
      <x:c r="O826" t="str">
        <x:v>生重</x:v>
      </x:c>
    </x:row>
    <x:row r="827" ht="23" customHeight="1">
      <x:c r="A827" t="n">
        <x:v>138</x:v>
      </x:c>
      <x:c r="B827" t="n">
        <x:v>69</x:v>
      </x:c>
      <x:c r="C827" t="str">
        <x:v>晚餐</x:v>
      </x:c>
      <x:c r="D827" t="str">
        <x:v>菌菇</x:v>
      </x:c>
      <x:c r="E827" t="str">
        <x:v>金针菇</x:v>
      </x:c>
      <x:c r="F827" t="n">
        <x:v>140</x:v>
      </x:c>
      <x:c r="G827" t="n">
        <x:v>32</x:v>
      </x:c>
      <x:c r="H827" t="n">
        <x:f>ROUND(F827*G827/100,2)</x:f>
        <x:v>44.8</x:v>
      </x:c>
      <x:c r="I827" t="n">
        <x:v>2.4</x:v>
      </x:c>
      <x:c r="J827" t="n">
        <x:f>ROUND(F827*I827/100,2)</x:f>
        <x:v>3.36</x:v>
      </x:c>
      <x:c r="K827" t="n">
        <x:v>6.4</x:v>
      </x:c>
      <x:c r="L827" t="n">
        <x:f>ROUND(F827*K827/100,2)</x:f>
        <x:v>8.96</x:v>
      </x:c>
      <x:c r="M827" t="n">
        <x:v>0.2</x:v>
      </x:c>
      <x:c r="N827" t="n">
        <x:f>ROUND(F827*M827/100,2)</x:f>
        <x:v>0.28</x:v>
      </x:c>
      <x:c r="O827" t="str">
        <x:v>生重</x:v>
      </x:c>
    </x:row>
    <x:row r="828" ht="23" customHeight="1">
      <x:c r="A828" t="n">
        <x:v>138</x:v>
      </x:c>
      <x:c r="B828" t="n">
        <x:v>69</x:v>
      </x:c>
      <x:c r="C828" t="str">
        <x:v>晚餐</x:v>
      </x:c>
      <x:c r="D828" t="str">
        <x:v>主食</x:v>
      </x:c>
      <x:c r="E828" t="str">
        <x:v>土豆</x:v>
      </x:c>
      <x:c r="F828" t="n">
        <x:v>125</x:v>
      </x:c>
      <x:c r="G828" t="n">
        <x:v>78</x:v>
      </x:c>
      <x:c r="H828" t="n">
        <x:f>ROUND(F828*G828/100,2)</x:f>
        <x:v>97.5</x:v>
      </x:c>
      <x:c r="I828" t="n">
        <x:v>2</x:v>
      </x:c>
      <x:c r="J828" t="n">
        <x:f>ROUND(F828*I828/100,2)</x:f>
        <x:v>2.5</x:v>
      </x:c>
      <x:c r="K828" t="n">
        <x:v>17.2</x:v>
      </x:c>
      <x:c r="L828" t="n">
        <x:f>ROUND(F828*K828/100,2)</x:f>
        <x:v>21.5</x:v>
      </x:c>
      <x:c r="M828" t="n">
        <x:v>0.1</x:v>
      </x:c>
      <x:c r="N828" t="n">
        <x:f>ROUND(F828*M828/100,2)</x:f>
        <x:v>0.13</x:v>
      </x:c>
      <x:c r="O828" t="str">
        <x:v>蒸熟净重</x:v>
      </x:c>
    </x:row>
    <x:row r="829" ht="23" customHeight="1">
      <x:c r="A829" t="n">
        <x:v>138</x:v>
      </x:c>
      <x:c r="B829" t="n">
        <x:v>69</x:v>
      </x:c>
      <x:c r="C829" t="str">
        <x:v>晚餐</x:v>
      </x:c>
      <x:c r="D829" t="str">
        <x:v>油脂</x:v>
      </x:c>
      <x:c r="E829" t="str">
        <x:v>烹调油</x:v>
      </x:c>
      <x:c r="F829" t="n">
        <x:v>6</x:v>
      </x:c>
      <x:c r="G829" t="n">
        <x:v>900</x:v>
      </x:c>
      <x:c r="H829" t="n">
        <x:f>ROUND(F829*G829/100,2)</x:f>
        <x:v>54</x:v>
      </x:c>
      <x:c r="I829" t="n">
        <x:v>0</x:v>
      </x:c>
      <x:c r="J829" t="n">
        <x:f>ROUND(F829*I829/100,2)</x:f>
        <x:v>0</x:v>
      </x:c>
      <x:c r="K829" t="n">
        <x:v>0</x:v>
      </x:c>
      <x:c r="L829" t="n">
        <x:f>ROUND(F829*K829/100,2)</x:f>
        <x:v>0</x:v>
      </x:c>
      <x:c r="M829" t="n">
        <x:v>100</x:v>
      </x:c>
      <x:c r="N829" t="n">
        <x:f>ROUND(F829*M829/100,2)</x:f>
        <x:v>6</x:v>
      </x:c>
      <x:c r="O829" t="str">
        <x:v>实际用油重</x:v>
      </x:c>
    </x:row>
    <x:row r="830" ht="23" customHeight="1">
      <x:c r="A830" t="n">
        <x:v>139</x:v>
      </x:c>
      <x:c r="B830" t="n">
        <x:v>70</x:v>
      </x:c>
      <x:c r="C830" t="str">
        <x:v>午餐</x:v>
      </x:c>
      <x:c r="D830" t="str">
        <x:v>禽肉</x:v>
      </x:c>
      <x:c r="E830" t="str">
        <x:v>鸡胸肉</x:v>
      </x:c>
      <x:c r="F830" t="n">
        <x:v>185</x:v>
      </x:c>
      <x:c r="G830" t="n">
        <x:v>110</x:v>
      </x:c>
      <x:c r="H830" t="n">
        <x:f>ROUND(F830*G830/100,2)</x:f>
        <x:v>203.5</x:v>
      </x:c>
      <x:c r="I830" t="n">
        <x:v>23</x:v>
      </x:c>
      <x:c r="J830" t="n">
        <x:f>ROUND(F830*I830/100,2)</x:f>
        <x:v>42.55</x:v>
      </x:c>
      <x:c r="K830" t="n">
        <x:v>0</x:v>
      </x:c>
      <x:c r="L830" t="n">
        <x:f>ROUND(F830*K830/100,2)</x:f>
        <x:v>0</x:v>
      </x:c>
      <x:c r="M830" t="n">
        <x:v>2</x:v>
      </x:c>
      <x:c r="N830" t="n">
        <x:f>ROUND(F830*M830/100,2)</x:f>
        <x:v>3.7</x:v>
      </x:c>
      <x:c r="O830" t="str">
        <x:v>生重</x:v>
      </x:c>
    </x:row>
    <x:row r="831" ht="23" customHeight="1">
      <x:c r="A831" t="n">
        <x:v>139</x:v>
      </x:c>
      <x:c r="B831" t="n">
        <x:v>70</x:v>
      </x:c>
      <x:c r="C831" t="str">
        <x:v>午餐</x:v>
      </x:c>
      <x:c r="D831" t="str"/>
      <x:c r="E831" t="str"/>
      <x:c r="F831" t="n">
        <x:v>0</x:v>
      </x:c>
      <x:c r="G831" t="n">
        <x:v>0</x:v>
      </x:c>
      <x:c r="H831" t="n">
        <x:f>ROUND(F831*G831/100,2)</x:f>
        <x:v>0</x:v>
      </x:c>
      <x:c r="I831" t="n">
        <x:v>0</x:v>
      </x:c>
      <x:c r="J831" t="n">
        <x:f>ROUND(F831*I831/100,2)</x:f>
        <x:v>0</x:v>
      </x:c>
      <x:c r="K831" t="n">
        <x:v>0</x:v>
      </x:c>
      <x:c r="L831" t="n">
        <x:f>ROUND(F831*K831/100,2)</x:f>
        <x:v>0</x:v>
      </x:c>
      <x:c r="M831" t="n">
        <x:v>0</x:v>
      </x:c>
      <x:c r="N831" t="n">
        <x:f>ROUND(F831*M831/100,2)</x:f>
        <x:v>0</x:v>
      </x:c>
      <x:c r="O831" t="str"/>
    </x:row>
    <x:row r="832" ht="23" customHeight="1">
      <x:c r="A832" t="n">
        <x:v>139</x:v>
      </x:c>
      <x:c r="B832" t="n">
        <x:v>70</x:v>
      </x:c>
      <x:c r="C832" t="str">
        <x:v>午餐</x:v>
      </x:c>
      <x:c r="D832" t="str">
        <x:v>蔬菜</x:v>
      </x:c>
      <x:c r="E832" t="str">
        <x:v>娃娃菜</x:v>
      </x:c>
      <x:c r="F832" t="n">
        <x:v>160</x:v>
      </x:c>
      <x:c r="G832" t="n">
        <x:v>17</x:v>
      </x:c>
      <x:c r="H832" t="n">
        <x:f>ROUND(F832*G832/100,2)</x:f>
        <x:v>27.2</x:v>
      </x:c>
      <x:c r="I832" t="n">
        <x:v>1.3</x:v>
      </x:c>
      <x:c r="J832" t="n">
        <x:f>ROUND(F832*I832/100,2)</x:f>
        <x:v>2.08</x:v>
      </x:c>
      <x:c r="K832" t="n">
        <x:v>3</x:v>
      </x:c>
      <x:c r="L832" t="n">
        <x:f>ROUND(F832*K832/100,2)</x:f>
        <x:v>4.8</x:v>
      </x:c>
      <x:c r="M832" t="n">
        <x:v>0.2</x:v>
      </x:c>
      <x:c r="N832" t="n">
        <x:f>ROUND(F832*M832/100,2)</x:f>
        <x:v>0.32</x:v>
      </x:c>
      <x:c r="O832" t="str">
        <x:v>生重</x:v>
      </x:c>
    </x:row>
    <x:row r="833" ht="23" customHeight="1">
      <x:c r="A833" t="n">
        <x:v>139</x:v>
      </x:c>
      <x:c r="B833" t="n">
        <x:v>70</x:v>
      </x:c>
      <x:c r="C833" t="str">
        <x:v>午餐</x:v>
      </x:c>
      <x:c r="D833" t="str">
        <x:v>蔬菜</x:v>
      </x:c>
      <x:c r="E833" t="str">
        <x:v>荷兰豆</x:v>
      </x:c>
      <x:c r="F833" t="n">
        <x:v>125</x:v>
      </x:c>
      <x:c r="G833" t="n">
        <x:v>42</x:v>
      </x:c>
      <x:c r="H833" t="n">
        <x:f>ROUND(F833*G833/100,2)</x:f>
        <x:v>52.5</x:v>
      </x:c>
      <x:c r="I833" t="n">
        <x:v>2.8</x:v>
      </x:c>
      <x:c r="J833" t="n">
        <x:f>ROUND(F833*I833/100,2)</x:f>
        <x:v>3.5</x:v>
      </x:c>
      <x:c r="K833" t="n">
        <x:v>7.5</x:v>
      </x:c>
      <x:c r="L833" t="n">
        <x:f>ROUND(F833*K833/100,2)</x:f>
        <x:v>9.38</x:v>
      </x:c>
      <x:c r="M833" t="n">
        <x:v>0.3</x:v>
      </x:c>
      <x:c r="N833" t="n">
        <x:f>ROUND(F833*M833/100,2)</x:f>
        <x:v>0.38</x:v>
      </x:c>
      <x:c r="O833" t="str">
        <x:v>生重</x:v>
      </x:c>
    </x:row>
    <x:row r="834" ht="23" customHeight="1">
      <x:c r="A834" t="n">
        <x:v>139</x:v>
      </x:c>
      <x:c r="B834" t="n">
        <x:v>70</x:v>
      </x:c>
      <x:c r="C834" t="str">
        <x:v>午餐</x:v>
      </x:c>
      <x:c r="D834" t="str">
        <x:v>主食</x:v>
      </x:c>
      <x:c r="E834" t="str">
        <x:v>紫薯</x:v>
      </x:c>
      <x:c r="F834" t="n">
        <x:v>135</x:v>
      </x:c>
      <x:c r="G834" t="n">
        <x:v>95</x:v>
      </x:c>
      <x:c r="H834" t="n">
        <x:f>ROUND(F834*G834/100,2)</x:f>
        <x:v>128.25</x:v>
      </x:c>
      <x:c r="I834" t="n">
        <x:v>1.6</x:v>
      </x:c>
      <x:c r="J834" t="n">
        <x:f>ROUND(F834*I834/100,2)</x:f>
        <x:v>2.16</x:v>
      </x:c>
      <x:c r="K834" t="n">
        <x:v>22</x:v>
      </x:c>
      <x:c r="L834" t="n">
        <x:f>ROUND(F834*K834/100,2)</x:f>
        <x:v>29.7</x:v>
      </x:c>
      <x:c r="M834" t="n">
        <x:v>0.1</x:v>
      </x:c>
      <x:c r="N834" t="n">
        <x:f>ROUND(F834*M834/100,2)</x:f>
        <x:v>0.14</x:v>
      </x:c>
      <x:c r="O834" t="str">
        <x:v>蒸熟净重</x:v>
      </x:c>
    </x:row>
    <x:row r="835" ht="23" customHeight="1">
      <x:c r="A835" t="n">
        <x:v>139</x:v>
      </x:c>
      <x:c r="B835" t="n">
        <x:v>70</x:v>
      </x:c>
      <x:c r="C835" t="str">
        <x:v>午餐</x:v>
      </x:c>
      <x:c r="D835" t="str">
        <x:v>油脂</x:v>
      </x:c>
      <x:c r="E835" t="str">
        <x:v>烹调油</x:v>
      </x:c>
      <x:c r="F835" t="n">
        <x:v>5</x:v>
      </x:c>
      <x:c r="G835" t="n">
        <x:v>900</x:v>
      </x:c>
      <x:c r="H835" t="n">
        <x:f>ROUND(F835*G835/100,2)</x:f>
        <x:v>45</x:v>
      </x:c>
      <x:c r="I835" t="n">
        <x:v>0</x:v>
      </x:c>
      <x:c r="J835" t="n">
        <x:f>ROUND(F835*I835/100,2)</x:f>
        <x:v>0</x:v>
      </x:c>
      <x:c r="K835" t="n">
        <x:v>0</x:v>
      </x:c>
      <x:c r="L835" t="n">
        <x:f>ROUND(F835*K835/100,2)</x:f>
        <x:v>0</x:v>
      </x:c>
      <x:c r="M835" t="n">
        <x:v>100</x:v>
      </x:c>
      <x:c r="N835" t="n">
        <x:f>ROUND(F835*M835/100,2)</x:f>
        <x:v>5</x:v>
      </x:c>
      <x:c r="O835" t="str">
        <x:v>实际用油重</x:v>
      </x:c>
    </x:row>
    <x:row r="836" ht="23" customHeight="1">
      <x:c r="A836" t="n">
        <x:v>140</x:v>
      </x:c>
      <x:c r="B836" t="n">
        <x:v>70</x:v>
      </x:c>
      <x:c r="C836" t="str">
        <x:v>晚餐</x:v>
      </x:c>
      <x:c r="D836" t="str">
        <x:v>豆蛋</x:v>
      </x:c>
      <x:c r="E836" t="str">
        <x:v>鸡蛋</x:v>
      </x:c>
      <x:c r="F836" t="n">
        <x:v>100</x:v>
      </x:c>
      <x:c r="G836" t="n">
        <x:v>144</x:v>
      </x:c>
      <x:c r="H836" t="n">
        <x:f>ROUND(F836*G836/100,2)</x:f>
        <x:v>144</x:v>
      </x:c>
      <x:c r="I836" t="n">
        <x:v>13</x:v>
      </x:c>
      <x:c r="J836" t="n">
        <x:f>ROUND(F836*I836/100,2)</x:f>
        <x:v>13</x:v>
      </x:c>
      <x:c r="K836" t="n">
        <x:v>1.1</x:v>
      </x:c>
      <x:c r="L836" t="n">
        <x:f>ROUND(F836*K836/100,2)</x:f>
        <x:v>1.1</x:v>
      </x:c>
      <x:c r="M836" t="n">
        <x:v>10</x:v>
      </x:c>
      <x:c r="N836" t="n">
        <x:f>ROUND(F836*M836/100,2)</x:f>
        <x:v>10</x:v>
      </x:c>
      <x:c r="O836" t="str">
        <x:v>去壳可食重</x:v>
      </x:c>
    </x:row>
    <x:row r="837" ht="23" customHeight="1">
      <x:c r="A837" t="n">
        <x:v>140</x:v>
      </x:c>
      <x:c r="B837" t="n">
        <x:v>70</x:v>
      </x:c>
      <x:c r="C837" t="str">
        <x:v>晚餐</x:v>
      </x:c>
      <x:c r="D837" t="str">
        <x:v>豆蛋</x:v>
      </x:c>
      <x:c r="E837" t="str">
        <x:v>嫩豆腐</x:v>
      </x:c>
      <x:c r="F837" t="n">
        <x:v>160</x:v>
      </x:c>
      <x:c r="G837" t="n">
        <x:v>55</x:v>
      </x:c>
      <x:c r="H837" t="n">
        <x:f>ROUND(F837*G837/100,2)</x:f>
        <x:v>88</x:v>
      </x:c>
      <x:c r="I837" t="n">
        <x:v>5</x:v>
      </x:c>
      <x:c r="J837" t="n">
        <x:f>ROUND(F837*I837/100,2)</x:f>
        <x:v>8</x:v>
      </x:c>
      <x:c r="K837" t="n">
        <x:v>2</x:v>
      </x:c>
      <x:c r="L837" t="n">
        <x:f>ROUND(F837*K837/100,2)</x:f>
        <x:v>3.2</x:v>
      </x:c>
      <x:c r="M837" t="n">
        <x:v>2.8</x:v>
      </x:c>
      <x:c r="N837" t="n">
        <x:f>ROUND(F837*M837/100,2)</x:f>
        <x:v>4.48</x:v>
      </x:c>
      <x:c r="O837" t="str">
        <x:v>净重</x:v>
      </x:c>
    </x:row>
    <x:row r="838" ht="23" customHeight="1">
      <x:c r="A838" t="n">
        <x:v>140</x:v>
      </x:c>
      <x:c r="B838" t="n">
        <x:v>70</x:v>
      </x:c>
      <x:c r="C838" t="str">
        <x:v>晚餐</x:v>
      </x:c>
      <x:c r="D838" t="str">
        <x:v>蔬菜</x:v>
      </x:c>
      <x:c r="E838" t="str">
        <x:v>芦笋</x:v>
      </x:c>
      <x:c r="F838" t="n">
        <x:v>175</x:v>
      </x:c>
      <x:c r="G838" t="n">
        <x:v>20</x:v>
      </x:c>
      <x:c r="H838" t="n">
        <x:f>ROUND(F838*G838/100,2)</x:f>
        <x:v>35</x:v>
      </x:c>
      <x:c r="I838" t="n">
        <x:v>2.2</x:v>
      </x:c>
      <x:c r="J838" t="n">
        <x:f>ROUND(F838*I838/100,2)</x:f>
        <x:v>3.85</x:v>
      </x:c>
      <x:c r="K838" t="n">
        <x:v>3.9</x:v>
      </x:c>
      <x:c r="L838" t="n">
        <x:f>ROUND(F838*K838/100,2)</x:f>
        <x:v>6.83</x:v>
      </x:c>
      <x:c r="M838" t="n">
        <x:v>0.1</x:v>
      </x:c>
      <x:c r="N838" t="n">
        <x:f>ROUND(F838*M838/100,2)</x:f>
        <x:v>0.18</x:v>
      </x:c>
      <x:c r="O838" t="str">
        <x:v>生重</x:v>
      </x:c>
    </x:row>
    <x:row r="839" ht="23" customHeight="1">
      <x:c r="A839" t="n">
        <x:v>140</x:v>
      </x:c>
      <x:c r="B839" t="n">
        <x:v>70</x:v>
      </x:c>
      <x:c r="C839" t="str">
        <x:v>晚餐</x:v>
      </x:c>
      <x:c r="D839" t="str">
        <x:v>菌菇</x:v>
      </x:c>
      <x:c r="E839" t="str">
        <x:v>口蘑</x:v>
      </x:c>
      <x:c r="F839" t="n">
        <x:v>125</x:v>
      </x:c>
      <x:c r="G839" t="n">
        <x:v>22</x:v>
      </x:c>
      <x:c r="H839" t="n">
        <x:f>ROUND(F839*G839/100,2)</x:f>
        <x:v>27.5</x:v>
      </x:c>
      <x:c r="I839" t="n">
        <x:v>3.1</x:v>
      </x:c>
      <x:c r="J839" t="n">
        <x:f>ROUND(F839*I839/100,2)</x:f>
        <x:v>3.88</x:v>
      </x:c>
      <x:c r="K839" t="n">
        <x:v>3.3</x:v>
      </x:c>
      <x:c r="L839" t="n">
        <x:f>ROUND(F839*K839/100,2)</x:f>
        <x:v>4.13</x:v>
      </x:c>
      <x:c r="M839" t="n">
        <x:v>0.3</x:v>
      </x:c>
      <x:c r="N839" t="n">
        <x:f>ROUND(F839*M839/100,2)</x:f>
        <x:v>0.38</x:v>
      </x:c>
      <x:c r="O839" t="str">
        <x:v>生重</x:v>
      </x:c>
    </x:row>
    <x:row r="840" ht="23" customHeight="1">
      <x:c r="A840" t="n">
        <x:v>140</x:v>
      </x:c>
      <x:c r="B840" t="n">
        <x:v>70</x:v>
      </x:c>
      <x:c r="C840" t="str">
        <x:v>晚餐</x:v>
      </x:c>
      <x:c r="D840" t="str">
        <x:v>主食</x:v>
      </x:c>
      <x:c r="E840" t="str">
        <x:v>白米饭</x:v>
      </x:c>
      <x:c r="F840" t="n">
        <x:v>125</x:v>
      </x:c>
      <x:c r="G840" t="n">
        <x:v>116</x:v>
      </x:c>
      <x:c r="H840" t="n">
        <x:f>ROUND(F840*G840/100,2)</x:f>
        <x:v>145</x:v>
      </x:c>
      <x:c r="I840" t="n">
        <x:v>2.6</x:v>
      </x:c>
      <x:c r="J840" t="n">
        <x:f>ROUND(F840*I840/100,2)</x:f>
        <x:v>3.25</x:v>
      </x:c>
      <x:c r="K840" t="n">
        <x:v>25.6</x:v>
      </x:c>
      <x:c r="L840" t="n">
        <x:f>ROUND(F840*K840/100,2)</x:f>
        <x:v>32</x:v>
      </x:c>
      <x:c r="M840" t="n">
        <x:v>0.3</x:v>
      </x:c>
      <x:c r="N840" t="n">
        <x:f>ROUND(F840*M840/100,2)</x:f>
        <x:v>0.38</x:v>
      </x:c>
      <x:c r="O840" t="str">
        <x:v>熟重</x:v>
      </x:c>
    </x:row>
    <x:row r="841" ht="23" customHeight="1">
      <x:c r="A841" t="n">
        <x:v>140</x:v>
      </x:c>
      <x:c r="B841" t="n">
        <x:v>70</x:v>
      </x:c>
      <x:c r="C841" t="str">
        <x:v>晚餐</x:v>
      </x:c>
      <x:c r="D841" t="str">
        <x:v>油脂</x:v>
      </x:c>
      <x:c r="E841" t="str">
        <x:v>烹调油</x:v>
      </x:c>
      <x:c r="F841" t="n">
        <x:v>3</x:v>
      </x:c>
      <x:c r="G841" t="n">
        <x:v>900</x:v>
      </x:c>
      <x:c r="H841" t="n">
        <x:f>ROUND(F841*G841/100,2)</x:f>
        <x:v>27</x:v>
      </x:c>
      <x:c r="I841" t="n">
        <x:v>0</x:v>
      </x:c>
      <x:c r="J841" t="n">
        <x:f>ROUND(F841*I841/100,2)</x:f>
        <x:v>0</x:v>
      </x:c>
      <x:c r="K841" t="n">
        <x:v>0</x:v>
      </x:c>
      <x:c r="L841" t="n">
        <x:f>ROUND(F841*K841/100,2)</x:f>
        <x:v>0</x:v>
      </x:c>
      <x:c r="M841" t="n">
        <x:v>100</x:v>
      </x:c>
      <x:c r="N841" t="n">
        <x:f>ROUND(F841*M841/100,2)</x:f>
        <x:v>3</x:v>
      </x:c>
      <x:c r="O841" t="str">
        <x:v>实际用油重</x:v>
      </x:c>
    </x:row>
    <x:row r="842" ht="23" customHeight="1">
      <x:c r="A842" t="n">
        <x:v>141</x:v>
      </x:c>
      <x:c r="B842" t="n">
        <x:v>71</x:v>
      </x:c>
      <x:c r="C842" t="str">
        <x:v>午餐</x:v>
      </x:c>
      <x:c r="D842" t="str">
        <x:v>牛肉</x:v>
      </x:c>
      <x:c r="E842" t="str">
        <x:v>肥牛卷</x:v>
      </x:c>
      <x:c r="F842" t="n">
        <x:v>95</x:v>
      </x:c>
      <x:c r="G842" t="n">
        <x:v>250</x:v>
      </x:c>
      <x:c r="H842" t="n">
        <x:f>ROUND(F842*G842/100,2)</x:f>
        <x:v>237.5</x:v>
      </x:c>
      <x:c r="I842" t="n">
        <x:v>16</x:v>
      </x:c>
      <x:c r="J842" t="n">
        <x:f>ROUND(F842*I842/100,2)</x:f>
        <x:v>15.2</x:v>
      </x:c>
      <x:c r="K842" t="n">
        <x:v>1</x:v>
      </x:c>
      <x:c r="L842" t="n">
        <x:f>ROUND(F842*K842/100,2)</x:f>
        <x:v>0.95</x:v>
      </x:c>
      <x:c r="M842" t="n">
        <x:v>20</x:v>
      </x:c>
      <x:c r="N842" t="n">
        <x:f>ROUND(F842*M842/100,2)</x:f>
        <x:v>19</x:v>
      </x:c>
      <x:c r="O842" t="str">
        <x:v>生重；以包装为准</x:v>
      </x:c>
    </x:row>
    <x:row r="843" ht="23" customHeight="1">
      <x:c r="A843" t="n">
        <x:v>141</x:v>
      </x:c>
      <x:c r="B843" t="n">
        <x:v>71</x:v>
      </x:c>
      <x:c r="C843" t="str">
        <x:v>午餐</x:v>
      </x:c>
      <x:c r="D843" t="str">
        <x:v>豆蛋</x:v>
      </x:c>
      <x:c r="E843" t="str">
        <x:v>北豆腐</x:v>
      </x:c>
      <x:c r="F843" t="n">
        <x:v>90</x:v>
      </x:c>
      <x:c r="G843" t="n">
        <x:v>90</x:v>
      </x:c>
      <x:c r="H843" t="n">
        <x:f>ROUND(F843*G843/100,2)</x:f>
        <x:v>81</x:v>
      </x:c>
      <x:c r="I843" t="n">
        <x:v>10</x:v>
      </x:c>
      <x:c r="J843" t="n">
        <x:f>ROUND(F843*I843/100,2)</x:f>
        <x:v>9</x:v>
      </x:c>
      <x:c r="K843" t="n">
        <x:v>2</x:v>
      </x:c>
      <x:c r="L843" t="n">
        <x:f>ROUND(F843*K843/100,2)</x:f>
        <x:v>1.8</x:v>
      </x:c>
      <x:c r="M843" t="n">
        <x:v>5</x:v>
      </x:c>
      <x:c r="N843" t="n">
        <x:f>ROUND(F843*M843/100,2)</x:f>
        <x:v>4.5</x:v>
      </x:c>
      <x:c r="O843" t="str">
        <x:v>净重</x:v>
      </x:c>
    </x:row>
    <x:row r="844" ht="23" customHeight="1">
      <x:c r="A844" t="n">
        <x:v>141</x:v>
      </x:c>
      <x:c r="B844" t="n">
        <x:v>71</x:v>
      </x:c>
      <x:c r="C844" t="str">
        <x:v>午餐</x:v>
      </x:c>
      <x:c r="D844" t="str">
        <x:v>蔬菜</x:v>
      </x:c>
      <x:c r="E844" t="str">
        <x:v>白萝卜</x:v>
      </x:c>
      <x:c r="F844" t="n">
        <x:v>190</x:v>
      </x:c>
      <x:c r="G844" t="n">
        <x:v>18</x:v>
      </x:c>
      <x:c r="H844" t="n">
        <x:f>ROUND(F844*G844/100,2)</x:f>
        <x:v>34.2</x:v>
      </x:c>
      <x:c r="I844" t="n">
        <x:v>0.6</x:v>
      </x:c>
      <x:c r="J844" t="n">
        <x:f>ROUND(F844*I844/100,2)</x:f>
        <x:v>1.14</x:v>
      </x:c>
      <x:c r="K844" t="n">
        <x:v>4</x:v>
      </x:c>
      <x:c r="L844" t="n">
        <x:f>ROUND(F844*K844/100,2)</x:f>
        <x:v>7.6</x:v>
      </x:c>
      <x:c r="M844" t="n">
        <x:v>0.1</x:v>
      </x:c>
      <x:c r="N844" t="n">
        <x:f>ROUND(F844*M844/100,2)</x:f>
        <x:v>0.19</x:v>
      </x:c>
      <x:c r="O844" t="str">
        <x:v>生重</x:v>
      </x:c>
    </x:row>
    <x:row r="845" ht="23" customHeight="1">
      <x:c r="A845" t="n">
        <x:v>141</x:v>
      </x:c>
      <x:c r="B845" t="n">
        <x:v>71</x:v>
      </x:c>
      <x:c r="C845" t="str">
        <x:v>午餐</x:v>
      </x:c>
      <x:c r="D845" t="str">
        <x:v>蔬菜</x:v>
      </x:c>
      <x:c r="E845" t="str">
        <x:v>丝瓜</x:v>
      </x:c>
      <x:c r="F845" t="n">
        <x:v>125</x:v>
      </x:c>
      <x:c r="G845" t="n">
        <x:v>20</x:v>
      </x:c>
      <x:c r="H845" t="n">
        <x:f>ROUND(F845*G845/100,2)</x:f>
        <x:v>25</x:v>
      </x:c>
      <x:c r="I845" t="n">
        <x:v>1</x:v>
      </x:c>
      <x:c r="J845" t="n">
        <x:f>ROUND(F845*I845/100,2)</x:f>
        <x:v>1.25</x:v>
      </x:c>
      <x:c r="K845" t="n">
        <x:v>4</x:v>
      </x:c>
      <x:c r="L845" t="n">
        <x:f>ROUND(F845*K845/100,2)</x:f>
        <x:v>5</x:v>
      </x:c>
      <x:c r="M845" t="n">
        <x:v>0.2</x:v>
      </x:c>
      <x:c r="N845" t="n">
        <x:f>ROUND(F845*M845/100,2)</x:f>
        <x:v>0.25</x:v>
      </x:c>
      <x:c r="O845" t="str">
        <x:v>生重</x:v>
      </x:c>
    </x:row>
    <x:row r="846" ht="23" customHeight="1">
      <x:c r="A846" t="n">
        <x:v>141</x:v>
      </x:c>
      <x:c r="B846" t="n">
        <x:v>71</x:v>
      </x:c>
      <x:c r="C846" t="str">
        <x:v>午餐</x:v>
      </x:c>
      <x:c r="D846" t="str">
        <x:v>主食</x:v>
      </x:c>
      <x:c r="E846" t="str">
        <x:v>全麦面</x:v>
      </x:c>
      <x:c r="F846" t="n">
        <x:v>110</x:v>
      </x:c>
      <x:c r="G846" t="n">
        <x:v>124</x:v>
      </x:c>
      <x:c r="H846" t="n">
        <x:f>ROUND(F846*G846/100,2)</x:f>
        <x:v>136.4</x:v>
      </x:c>
      <x:c r="I846" t="n">
        <x:v>5</x:v>
      </x:c>
      <x:c r="J846" t="n">
        <x:f>ROUND(F846*I846/100,2)</x:f>
        <x:v>5.5</x:v>
      </x:c>
      <x:c r="K846" t="n">
        <x:v>25</x:v>
      </x:c>
      <x:c r="L846" t="n">
        <x:f>ROUND(F846*K846/100,2)</x:f>
        <x:v>27.5</x:v>
      </x:c>
      <x:c r="M846" t="n">
        <x:v>1.1</x:v>
      </x:c>
      <x:c r="N846" t="n">
        <x:f>ROUND(F846*M846/100,2)</x:f>
        <x:v>1.21</x:v>
      </x:c>
      <x:c r="O846" t="str">
        <x:v>煮熟沥水重</x:v>
      </x:c>
    </x:row>
    <x:row r="847" ht="23" customHeight="1">
      <x:c r="A847" t="n">
        <x:v>141</x:v>
      </x:c>
      <x:c r="B847" t="n">
        <x:v>71</x:v>
      </x:c>
      <x:c r="C847" t="str">
        <x:v>午餐</x:v>
      </x:c>
      <x:c r="D847" t="str">
        <x:v>油脂</x:v>
      </x:c>
      <x:c r="E847" t="str">
        <x:v>烹调油</x:v>
      </x:c>
      <x:c r="F847" t="n">
        <x:v>3</x:v>
      </x:c>
      <x:c r="G847" t="n">
        <x:v>900</x:v>
      </x:c>
      <x:c r="H847" t="n">
        <x:f>ROUND(F847*G847/100,2)</x:f>
        <x:v>27</x:v>
      </x:c>
      <x:c r="I847" t="n">
        <x:v>0</x:v>
      </x:c>
      <x:c r="J847" t="n">
        <x:f>ROUND(F847*I847/100,2)</x:f>
        <x:v>0</x:v>
      </x:c>
      <x:c r="K847" t="n">
        <x:v>0</x:v>
      </x:c>
      <x:c r="L847" t="n">
        <x:f>ROUND(F847*K847/100,2)</x:f>
        <x:v>0</x:v>
      </x:c>
      <x:c r="M847" t="n">
        <x:v>100</x:v>
      </x:c>
      <x:c r="N847" t="n">
        <x:f>ROUND(F847*M847/100,2)</x:f>
        <x:v>3</x:v>
      </x:c>
      <x:c r="O847" t="str">
        <x:v>实际用油重</x:v>
      </x:c>
    </x:row>
    <x:row r="848" ht="23" customHeight="1">
      <x:c r="A848" t="n">
        <x:v>142</x:v>
      </x:c>
      <x:c r="B848" t="n">
        <x:v>71</x:v>
      </x:c>
      <x:c r="C848" t="str">
        <x:v>晚餐</x:v>
      </x:c>
      <x:c r="D848" t="str">
        <x:v>鱼类</x:v>
      </x:c>
      <x:c r="E848" t="str">
        <x:v>鳕鱼</x:v>
      </x:c>
      <x:c r="F848" t="n">
        <x:v>200</x:v>
      </x:c>
      <x:c r="G848" t="n">
        <x:v>85</x:v>
      </x:c>
      <x:c r="H848" t="n">
        <x:f>ROUND(F848*G848/100,2)</x:f>
        <x:v>170</x:v>
      </x:c>
      <x:c r="I848" t="n">
        <x:v>18</x:v>
      </x:c>
      <x:c r="J848" t="n">
        <x:f>ROUND(F848*I848/100,2)</x:f>
        <x:v>36</x:v>
      </x:c>
      <x:c r="K848" t="n">
        <x:v>0</x:v>
      </x:c>
      <x:c r="L848" t="n">
        <x:f>ROUND(F848*K848/100,2)</x:f>
        <x:v>0</x:v>
      </x:c>
      <x:c r="M848" t="n">
        <x:v>0.8</x:v>
      </x:c>
      <x:c r="N848" t="n">
        <x:f>ROUND(F848*M848/100,2)</x:f>
        <x:v>1.6</x:v>
      </x:c>
      <x:c r="O848" t="str">
        <x:v>净鱼肉生重</x:v>
      </x:c>
    </x:row>
    <x:row r="849" ht="23" customHeight="1">
      <x:c r="A849" t="n">
        <x:v>142</x:v>
      </x:c>
      <x:c r="B849" t="n">
        <x:v>71</x:v>
      </x:c>
      <x:c r="C849" t="str">
        <x:v>晚餐</x:v>
      </x:c>
      <x:c r="D849" t="str">
        <x:v>豆蛋</x:v>
      </x:c>
      <x:c r="E849" t="str">
        <x:v>北豆腐</x:v>
      </x:c>
      <x:c r="F849" t="n">
        <x:v>90</x:v>
      </x:c>
      <x:c r="G849" t="n">
        <x:v>90</x:v>
      </x:c>
      <x:c r="H849" t="n">
        <x:f>ROUND(F849*G849/100,2)</x:f>
        <x:v>81</x:v>
      </x:c>
      <x:c r="I849" t="n">
        <x:v>10</x:v>
      </x:c>
      <x:c r="J849" t="n">
        <x:f>ROUND(F849*I849/100,2)</x:f>
        <x:v>9</x:v>
      </x:c>
      <x:c r="K849" t="n">
        <x:v>2</x:v>
      </x:c>
      <x:c r="L849" t="n">
        <x:f>ROUND(F849*K849/100,2)</x:f>
        <x:v>1.8</x:v>
      </x:c>
      <x:c r="M849" t="n">
        <x:v>5</x:v>
      </x:c>
      <x:c r="N849" t="n">
        <x:f>ROUND(F849*M849/100,2)</x:f>
        <x:v>4.5</x:v>
      </x:c>
      <x:c r="O849" t="str">
        <x:v>净重</x:v>
      </x:c>
    </x:row>
    <x:row r="850" ht="23" customHeight="1">
      <x:c r="A850" t="n">
        <x:v>142</x:v>
      </x:c>
      <x:c r="B850" t="n">
        <x:v>71</x:v>
      </x:c>
      <x:c r="C850" t="str">
        <x:v>晚餐</x:v>
      </x:c>
      <x:c r="D850" t="str">
        <x:v>蔬菜</x:v>
      </x:c>
      <x:c r="E850" t="str">
        <x:v>茼蒿</x:v>
      </x:c>
      <x:c r="F850" t="n">
        <x:v>140</x:v>
      </x:c>
      <x:c r="G850" t="n">
        <x:v>24</x:v>
      </x:c>
      <x:c r="H850" t="n">
        <x:f>ROUND(F850*G850/100,2)</x:f>
        <x:v>33.6</x:v>
      </x:c>
      <x:c r="I850" t="n">
        <x:v>1.9</x:v>
      </x:c>
      <x:c r="J850" t="n">
        <x:f>ROUND(F850*I850/100,2)</x:f>
        <x:v>2.66</x:v>
      </x:c>
      <x:c r="K850" t="n">
        <x:v>4.3</x:v>
      </x:c>
      <x:c r="L850" t="n">
        <x:f>ROUND(F850*K850/100,2)</x:f>
        <x:v>6.02</x:v>
      </x:c>
      <x:c r="M850" t="n">
        <x:v>0.3</x:v>
      </x:c>
      <x:c r="N850" t="n">
        <x:f>ROUND(F850*M850/100,2)</x:f>
        <x:v>0.42</x:v>
      </x:c>
      <x:c r="O850" t="str">
        <x:v>生重</x:v>
      </x:c>
    </x:row>
    <x:row r="851" ht="23" customHeight="1">
      <x:c r="A851" t="n">
        <x:v>142</x:v>
      </x:c>
      <x:c r="B851" t="n">
        <x:v>71</x:v>
      </x:c>
      <x:c r="C851" t="str">
        <x:v>晚餐</x:v>
      </x:c>
      <x:c r="D851" t="str">
        <x:v>蔬菜</x:v>
      </x:c>
      <x:c r="E851" t="str">
        <x:v>玉米笋</x:v>
      </x:c>
      <x:c r="F851" t="n">
        <x:v>155</x:v>
      </x:c>
      <x:c r="G851" t="n">
        <x:v>26</x:v>
      </x:c>
      <x:c r="H851" t="n">
        <x:f>ROUND(F851*G851/100,2)</x:f>
        <x:v>40.3</x:v>
      </x:c>
      <x:c r="I851" t="n">
        <x:v>2</x:v>
      </x:c>
      <x:c r="J851" t="n">
        <x:f>ROUND(F851*I851/100,2)</x:f>
        <x:v>3.1</x:v>
      </x:c>
      <x:c r="K851" t="n">
        <x:v>4.9</x:v>
      </x:c>
      <x:c r="L851" t="n">
        <x:f>ROUND(F851*K851/100,2)</x:f>
        <x:v>7.6</x:v>
      </x:c>
      <x:c r="M851" t="n">
        <x:v>0.1</x:v>
      </x:c>
      <x:c r="N851" t="n">
        <x:f>ROUND(F851*M851/100,2)</x:f>
        <x:v>0.16</x:v>
      </x:c>
      <x:c r="O851" t="str">
        <x:v>生重</x:v>
      </x:c>
    </x:row>
    <x:row r="852" ht="23" customHeight="1">
      <x:c r="A852" t="n">
        <x:v>142</x:v>
      </x:c>
      <x:c r="B852" t="n">
        <x:v>71</x:v>
      </x:c>
      <x:c r="C852" t="str">
        <x:v>晚餐</x:v>
      </x:c>
      <x:c r="D852" t="str">
        <x:v>主食</x:v>
      </x:c>
      <x:c r="E852" t="str">
        <x:v>白米饭</x:v>
      </x:c>
      <x:c r="F852" t="n">
        <x:v>80</x:v>
      </x:c>
      <x:c r="G852" t="n">
        <x:v>116</x:v>
      </x:c>
      <x:c r="H852" t="n">
        <x:f>ROUND(F852*G852/100,2)</x:f>
        <x:v>92.8</x:v>
      </x:c>
      <x:c r="I852" t="n">
        <x:v>2.6</x:v>
      </x:c>
      <x:c r="J852" t="n">
        <x:f>ROUND(F852*I852/100,2)</x:f>
        <x:v>2.08</x:v>
      </x:c>
      <x:c r="K852" t="n">
        <x:v>25.6</x:v>
      </x:c>
      <x:c r="L852" t="n">
        <x:f>ROUND(F852*K852/100,2)</x:f>
        <x:v>20.48</x:v>
      </x:c>
      <x:c r="M852" t="n">
        <x:v>0.3</x:v>
      </x:c>
      <x:c r="N852" t="n">
        <x:f>ROUND(F852*M852/100,2)</x:f>
        <x:v>0.24</x:v>
      </x:c>
      <x:c r="O852" t="str">
        <x:v>熟重</x:v>
      </x:c>
    </x:row>
    <x:row r="853" ht="23" customHeight="1">
      <x:c r="A853" t="n">
        <x:v>142</x:v>
      </x:c>
      <x:c r="B853" t="n">
        <x:v>71</x:v>
      </x:c>
      <x:c r="C853" t="str">
        <x:v>晚餐</x:v>
      </x:c>
      <x:c r="D853" t="str">
        <x:v>油脂</x:v>
      </x:c>
      <x:c r="E853" t="str">
        <x:v>烹调油</x:v>
      </x:c>
      <x:c r="F853" t="n">
        <x:v>5</x:v>
      </x:c>
      <x:c r="G853" t="n">
        <x:v>900</x:v>
      </x:c>
      <x:c r="H853" t="n">
        <x:f>ROUND(F853*G853/100,2)</x:f>
        <x:v>45</x:v>
      </x:c>
      <x:c r="I853" t="n">
        <x:v>0</x:v>
      </x:c>
      <x:c r="J853" t="n">
        <x:f>ROUND(F853*I853/100,2)</x:f>
        <x:v>0</x:v>
      </x:c>
      <x:c r="K853" t="n">
        <x:v>0</x:v>
      </x:c>
      <x:c r="L853" t="n">
        <x:f>ROUND(F853*K853/100,2)</x:f>
        <x:v>0</x:v>
      </x:c>
      <x:c r="M853" t="n">
        <x:v>100</x:v>
      </x:c>
      <x:c r="N853" t="n">
        <x:f>ROUND(F853*M853/100,2)</x:f>
        <x:v>5</x:v>
      </x:c>
      <x:c r="O853" t="str">
        <x:v>实际用油重</x:v>
      </x:c>
    </x:row>
    <x:row r="854" ht="23" customHeight="1">
      <x:c r="A854" t="n">
        <x:v>143</x:v>
      </x:c>
      <x:c r="B854" t="n">
        <x:v>72</x:v>
      </x:c>
      <x:c r="C854" t="str">
        <x:v>午餐</x:v>
      </x:c>
      <x:c r="D854" t="str">
        <x:v>海鲜</x:v>
      </x:c>
      <x:c r="E854" t="str">
        <x:v>鱿鱼</x:v>
      </x:c>
      <x:c r="F854" t="n">
        <x:v>190</x:v>
      </x:c>
      <x:c r="G854" t="n">
        <x:v>95</x:v>
      </x:c>
      <x:c r="H854" t="n">
        <x:f>ROUND(F854*G854/100,2)</x:f>
        <x:v>180.5</x:v>
      </x:c>
      <x:c r="I854" t="n">
        <x:v>17</x:v>
      </x:c>
      <x:c r="J854" t="n">
        <x:f>ROUND(F854*I854/100,2)</x:f>
        <x:v>32.3</x:v>
      </x:c>
      <x:c r="K854" t="n">
        <x:v>2</x:v>
      </x:c>
      <x:c r="L854" t="n">
        <x:f>ROUND(F854*K854/100,2)</x:f>
        <x:v>3.8</x:v>
      </x:c>
      <x:c r="M854" t="n">
        <x:v>1.4</x:v>
      </x:c>
      <x:c r="N854" t="n">
        <x:f>ROUND(F854*M854/100,2)</x:f>
        <x:v>2.66</x:v>
      </x:c>
      <x:c r="O854" t="str">
        <x:v>生重</x:v>
      </x:c>
    </x:row>
    <x:row r="855" ht="23" customHeight="1">
      <x:c r="A855" t="n">
        <x:v>143</x:v>
      </x:c>
      <x:c r="B855" t="n">
        <x:v>72</x:v>
      </x:c>
      <x:c r="C855" t="str">
        <x:v>午餐</x:v>
      </x:c>
      <x:c r="D855" t="str"/>
      <x:c r="E855" t="str"/>
      <x:c r="F855" t="n">
        <x:v>0</x:v>
      </x:c>
      <x:c r="G855" t="n">
        <x:v>0</x:v>
      </x:c>
      <x:c r="H855" t="n">
        <x:f>ROUND(F855*G855/100,2)</x:f>
        <x:v>0</x:v>
      </x:c>
      <x:c r="I855" t="n">
        <x:v>0</x:v>
      </x:c>
      <x:c r="J855" t="n">
        <x:f>ROUND(F855*I855/100,2)</x:f>
        <x:v>0</x:v>
      </x:c>
      <x:c r="K855" t="n">
        <x:v>0</x:v>
      </x:c>
      <x:c r="L855" t="n">
        <x:f>ROUND(F855*K855/100,2)</x:f>
        <x:v>0</x:v>
      </x:c>
      <x:c r="M855" t="n">
        <x:v>0</x:v>
      </x:c>
      <x:c r="N855" t="n">
        <x:f>ROUND(F855*M855/100,2)</x:f>
        <x:v>0</x:v>
      </x:c>
      <x:c r="O855" t="str"/>
    </x:row>
    <x:row r="856" ht="23" customHeight="1">
      <x:c r="A856" t="n">
        <x:v>143</x:v>
      </x:c>
      <x:c r="B856" t="n">
        <x:v>72</x:v>
      </x:c>
      <x:c r="C856" t="str">
        <x:v>午餐</x:v>
      </x:c>
      <x:c r="D856" t="str">
        <x:v>蔬菜</x:v>
      </x:c>
      <x:c r="E856" t="str">
        <x:v>茼蒿</x:v>
      </x:c>
      <x:c r="F856" t="n">
        <x:v>190</x:v>
      </x:c>
      <x:c r="G856" t="n">
        <x:v>24</x:v>
      </x:c>
      <x:c r="H856" t="n">
        <x:f>ROUND(F856*G856/100,2)</x:f>
        <x:v>45.6</x:v>
      </x:c>
      <x:c r="I856" t="n">
        <x:v>1.9</x:v>
      </x:c>
      <x:c r="J856" t="n">
        <x:f>ROUND(F856*I856/100,2)</x:f>
        <x:v>3.61</x:v>
      </x:c>
      <x:c r="K856" t="n">
        <x:v>4.3</x:v>
      </x:c>
      <x:c r="L856" t="n">
        <x:f>ROUND(F856*K856/100,2)</x:f>
        <x:v>8.17</x:v>
      </x:c>
      <x:c r="M856" t="n">
        <x:v>0.3</x:v>
      </x:c>
      <x:c r="N856" t="n">
        <x:f>ROUND(F856*M856/100,2)</x:f>
        <x:v>0.57</x:v>
      </x:c>
      <x:c r="O856" t="str">
        <x:v>生重</x:v>
      </x:c>
    </x:row>
    <x:row r="857" ht="23" customHeight="1">
      <x:c r="A857" t="n">
        <x:v>143</x:v>
      </x:c>
      <x:c r="B857" t="n">
        <x:v>72</x:v>
      </x:c>
      <x:c r="C857" t="str">
        <x:v>午餐</x:v>
      </x:c>
      <x:c r="D857" t="str">
        <x:v>菌菇</x:v>
      </x:c>
      <x:c r="E857" t="str">
        <x:v>金针菇</x:v>
      </x:c>
      <x:c r="F857" t="n">
        <x:v>110</x:v>
      </x:c>
      <x:c r="G857" t="n">
        <x:v>32</x:v>
      </x:c>
      <x:c r="H857" t="n">
        <x:f>ROUND(F857*G857/100,2)</x:f>
        <x:v>35.2</x:v>
      </x:c>
      <x:c r="I857" t="n">
        <x:v>2.4</x:v>
      </x:c>
      <x:c r="J857" t="n">
        <x:f>ROUND(F857*I857/100,2)</x:f>
        <x:v>2.64</x:v>
      </x:c>
      <x:c r="K857" t="n">
        <x:v>6.4</x:v>
      </x:c>
      <x:c r="L857" t="n">
        <x:f>ROUND(F857*K857/100,2)</x:f>
        <x:v>7.04</x:v>
      </x:c>
      <x:c r="M857" t="n">
        <x:v>0.2</x:v>
      </x:c>
      <x:c r="N857" t="n">
        <x:f>ROUND(F857*M857/100,2)</x:f>
        <x:v>0.22</x:v>
      </x:c>
      <x:c r="O857" t="str">
        <x:v>生重</x:v>
      </x:c>
    </x:row>
    <x:row r="858" ht="23" customHeight="1">
      <x:c r="A858" t="n">
        <x:v>143</x:v>
      </x:c>
      <x:c r="B858" t="n">
        <x:v>72</x:v>
      </x:c>
      <x:c r="C858" t="str">
        <x:v>午餐</x:v>
      </x:c>
      <x:c r="D858" t="str">
        <x:v>主食</x:v>
      </x:c>
      <x:c r="E858" t="str">
        <x:v>燕麦饭</x:v>
      </x:c>
      <x:c r="F858" t="n">
        <x:v>135</x:v>
      </x:c>
      <x:c r="G858" t="n">
        <x:v>110</x:v>
      </x:c>
      <x:c r="H858" t="n">
        <x:f>ROUND(F858*G858/100,2)</x:f>
        <x:v>148.5</x:v>
      </x:c>
      <x:c r="I858" t="n">
        <x:v>3.2</x:v>
      </x:c>
      <x:c r="J858" t="n">
        <x:f>ROUND(F858*I858/100,2)</x:f>
        <x:v>4.32</x:v>
      </x:c>
      <x:c r="K858" t="n">
        <x:v>21</x:v>
      </x:c>
      <x:c r="L858" t="n">
        <x:f>ROUND(F858*K858/100,2)</x:f>
        <x:v>28.35</x:v>
      </x:c>
      <x:c r="M858" t="n">
        <x:v>1.8</x:v>
      </x:c>
      <x:c r="N858" t="n">
        <x:f>ROUND(F858*M858/100,2)</x:f>
        <x:v>2.43</x:v>
      </x:c>
      <x:c r="O858" t="str">
        <x:v>熟重</x:v>
      </x:c>
    </x:row>
    <x:row r="859" ht="23" customHeight="1">
      <x:c r="A859" t="n">
        <x:v>143</x:v>
      </x:c>
      <x:c r="B859" t="n">
        <x:v>72</x:v>
      </x:c>
      <x:c r="C859" t="str">
        <x:v>午餐</x:v>
      </x:c>
      <x:c r="D859" t="str">
        <x:v>油脂</x:v>
      </x:c>
      <x:c r="E859" t="str">
        <x:v>烹调油</x:v>
      </x:c>
      <x:c r="F859" t="n">
        <x:v>5</x:v>
      </x:c>
      <x:c r="G859" t="n">
        <x:v>900</x:v>
      </x:c>
      <x:c r="H859" t="n">
        <x:f>ROUND(F859*G859/100,2)</x:f>
        <x:v>45</x:v>
      </x:c>
      <x:c r="I859" t="n">
        <x:v>0</x:v>
      </x:c>
      <x:c r="J859" t="n">
        <x:f>ROUND(F859*I859/100,2)</x:f>
        <x:v>0</x:v>
      </x:c>
      <x:c r="K859" t="n">
        <x:v>0</x:v>
      </x:c>
      <x:c r="L859" t="n">
        <x:f>ROUND(F859*K859/100,2)</x:f>
        <x:v>0</x:v>
      </x:c>
      <x:c r="M859" t="n">
        <x:v>100</x:v>
      </x:c>
      <x:c r="N859" t="n">
        <x:f>ROUND(F859*M859/100,2)</x:f>
        <x:v>5</x:v>
      </x:c>
      <x:c r="O859" t="str">
        <x:v>实际用油重</x:v>
      </x:c>
    </x:row>
    <x:row r="860" ht="23" customHeight="1">
      <x:c r="A860" t="n">
        <x:v>144</x:v>
      </x:c>
      <x:c r="B860" t="n">
        <x:v>72</x:v>
      </x:c>
      <x:c r="C860" t="str">
        <x:v>晚餐</x:v>
      </x:c>
      <x:c r="D860" t="str">
        <x:v>豆蛋</x:v>
      </x:c>
      <x:c r="E860" t="str">
        <x:v>北豆腐</x:v>
      </x:c>
      <x:c r="F860" t="n">
        <x:v>300</x:v>
      </x:c>
      <x:c r="G860" t="n">
        <x:v>90</x:v>
      </x:c>
      <x:c r="H860" t="n">
        <x:f>ROUND(F860*G860/100,2)</x:f>
        <x:v>270</x:v>
      </x:c>
      <x:c r="I860" t="n">
        <x:v>10</x:v>
      </x:c>
      <x:c r="J860" t="n">
        <x:f>ROUND(F860*I860/100,2)</x:f>
        <x:v>30</x:v>
      </x:c>
      <x:c r="K860" t="n">
        <x:v>2</x:v>
      </x:c>
      <x:c r="L860" t="n">
        <x:f>ROUND(F860*K860/100,2)</x:f>
        <x:v>6</x:v>
      </x:c>
      <x:c r="M860" t="n">
        <x:v>5</x:v>
      </x:c>
      <x:c r="N860" t="n">
        <x:f>ROUND(F860*M860/100,2)</x:f>
        <x:v>15</x:v>
      </x:c>
      <x:c r="O860" t="str">
        <x:v>净重</x:v>
      </x:c>
    </x:row>
    <x:row r="861" ht="23" customHeight="1">
      <x:c r="A861" t="n">
        <x:v>144</x:v>
      </x:c>
      <x:c r="B861" t="n">
        <x:v>72</x:v>
      </x:c>
      <x:c r="C861" t="str">
        <x:v>晚餐</x:v>
      </x:c>
      <x:c r="D861" t="str">
        <x:v>豆蛋</x:v>
      </x:c>
      <x:c r="E861" t="str">
        <x:v>熟毛豆仁</x:v>
      </x:c>
      <x:c r="F861" t="n">
        <x:v>70</x:v>
      </x:c>
      <x:c r="G861" t="n">
        <x:v>120</x:v>
      </x:c>
      <x:c r="H861" t="n">
        <x:f>ROUND(F861*G861/100,2)</x:f>
        <x:v>84</x:v>
      </x:c>
      <x:c r="I861" t="n">
        <x:v>12</x:v>
      </x:c>
      <x:c r="J861" t="n">
        <x:f>ROUND(F861*I861/100,2)</x:f>
        <x:v>8.4</x:v>
      </x:c>
      <x:c r="K861" t="n">
        <x:v>9</x:v>
      </x:c>
      <x:c r="L861" t="n">
        <x:f>ROUND(F861*K861/100,2)</x:f>
        <x:v>6.3</x:v>
      </x:c>
      <x:c r="M861" t="n">
        <x:v>5</x:v>
      </x:c>
      <x:c r="N861" t="n">
        <x:f>ROUND(F861*M861/100,2)</x:f>
        <x:v>3.5</x:v>
      </x:c>
      <x:c r="O861" t="str">
        <x:v>熟重</x:v>
      </x:c>
    </x:row>
    <x:row r="862" ht="23" customHeight="1">
      <x:c r="A862" t="n">
        <x:v>144</x:v>
      </x:c>
      <x:c r="B862" t="n">
        <x:v>72</x:v>
      </x:c>
      <x:c r="C862" t="str">
        <x:v>晚餐</x:v>
      </x:c>
      <x:c r="D862" t="str">
        <x:v>蔬菜</x:v>
      </x:c>
      <x:c r="E862" t="str">
        <x:v>番茄</x:v>
      </x:c>
      <x:c r="F862" t="n">
        <x:v>160</x:v>
      </x:c>
      <x:c r="G862" t="n">
        <x:v>20</x:v>
      </x:c>
      <x:c r="H862" t="n">
        <x:f>ROUND(F862*G862/100,2)</x:f>
        <x:v>32</x:v>
      </x:c>
      <x:c r="I862" t="n">
        <x:v>0.9</x:v>
      </x:c>
      <x:c r="J862" t="n">
        <x:f>ROUND(F862*I862/100,2)</x:f>
        <x:v>1.44</x:v>
      </x:c>
      <x:c r="K862" t="n">
        <x:v>4</x:v>
      </x:c>
      <x:c r="L862" t="n">
        <x:f>ROUND(F862*K862/100,2)</x:f>
        <x:v>6.4</x:v>
      </x:c>
      <x:c r="M862" t="n">
        <x:v>0.2</x:v>
      </x:c>
      <x:c r="N862" t="n">
        <x:f>ROUND(F862*M862/100,2)</x:f>
        <x:v>0.32</x:v>
      </x:c>
      <x:c r="O862" t="str">
        <x:v>生重</x:v>
      </x:c>
    </x:row>
    <x:row r="863" ht="23" customHeight="1">
      <x:c r="A863" t="n">
        <x:v>144</x:v>
      </x:c>
      <x:c r="B863" t="n">
        <x:v>72</x:v>
      </x:c>
      <x:c r="C863" t="str">
        <x:v>晚餐</x:v>
      </x:c>
      <x:c r="D863" t="str">
        <x:v>蔬菜</x:v>
      </x:c>
      <x:c r="E863" t="str">
        <x:v>小白菜</x:v>
      </x:c>
      <x:c r="F863" t="n">
        <x:v>110</x:v>
      </x:c>
      <x:c r="G863" t="n">
        <x:v>17</x:v>
      </x:c>
      <x:c r="H863" t="n">
        <x:f>ROUND(F863*G863/100,2)</x:f>
        <x:v>18.7</x:v>
      </x:c>
      <x:c r="I863" t="n">
        <x:v>1.6</x:v>
      </x:c>
      <x:c r="J863" t="n">
        <x:f>ROUND(F863*I863/100,2)</x:f>
        <x:v>1.76</x:v>
      </x:c>
      <x:c r="K863" t="n">
        <x:v>2.8</x:v>
      </x:c>
      <x:c r="L863" t="n">
        <x:f>ROUND(F863*K863/100,2)</x:f>
        <x:v>3.08</x:v>
      </x:c>
      <x:c r="M863" t="n">
        <x:v>0.2</x:v>
      </x:c>
      <x:c r="N863" t="n">
        <x:f>ROUND(F863*M863/100,2)</x:f>
        <x:v>0.22</x:v>
      </x:c>
      <x:c r="O863" t="str">
        <x:v>生重</x:v>
      </x:c>
    </x:row>
    <x:row r="864" ht="23" customHeight="1">
      <x:c r="A864" t="n">
        <x:v>144</x:v>
      </x:c>
      <x:c r="B864" t="n">
        <x:v>72</x:v>
      </x:c>
      <x:c r="C864" t="str">
        <x:v>晚餐</x:v>
      </x:c>
      <x:c r="D864" t="str">
        <x:v>主食</x:v>
      </x:c>
      <x:c r="E864" t="str">
        <x:v>荞麦饭</x:v>
      </x:c>
      <x:c r="F864" t="n">
        <x:v>135</x:v>
      </x:c>
      <x:c r="G864" t="n">
        <x:v>110</x:v>
      </x:c>
      <x:c r="H864" t="n">
        <x:f>ROUND(F864*G864/100,2)</x:f>
        <x:v>148.5</x:v>
      </x:c>
      <x:c r="I864" t="n">
        <x:v>3.4</x:v>
      </x:c>
      <x:c r="J864" t="n">
        <x:f>ROUND(F864*I864/100,2)</x:f>
        <x:v>4.59</x:v>
      </x:c>
      <x:c r="K864" t="n">
        <x:v>22</x:v>
      </x:c>
      <x:c r="L864" t="n">
        <x:f>ROUND(F864*K864/100,2)</x:f>
        <x:v>29.7</x:v>
      </x:c>
      <x:c r="M864" t="n">
        <x:v>1.1</x:v>
      </x:c>
      <x:c r="N864" t="n">
        <x:f>ROUND(F864*M864/100,2)</x:f>
        <x:v>1.49</x:v>
      </x:c>
      <x:c r="O864" t="str">
        <x:v>熟重</x:v>
      </x:c>
    </x:row>
    <x:row r="865" ht="23" customHeight="1">
      <x:c r="A865" t="n">
        <x:v>144</x:v>
      </x:c>
      <x:c r="B865" t="n">
        <x:v>72</x:v>
      </x:c>
      <x:c r="C865" t="str">
        <x:v>晚餐</x:v>
      </x:c>
      <x:c r="D865" t="str">
        <x:v>油脂</x:v>
      </x:c>
      <x:c r="E865" t="str">
        <x:v>烹调油</x:v>
      </x:c>
      <x:c r="F865" t="n">
        <x:v>4</x:v>
      </x:c>
      <x:c r="G865" t="n">
        <x:v>900</x:v>
      </x:c>
      <x:c r="H865" t="n">
        <x:f>ROUND(F865*G865/100,2)</x:f>
        <x:v>36</x:v>
      </x:c>
      <x:c r="I865" t="n">
        <x:v>0</x:v>
      </x:c>
      <x:c r="J865" t="n">
        <x:f>ROUND(F865*I865/100,2)</x:f>
        <x:v>0</x:v>
      </x:c>
      <x:c r="K865" t="n">
        <x:v>0</x:v>
      </x:c>
      <x:c r="L865" t="n">
        <x:f>ROUND(F865*K865/100,2)</x:f>
        <x:v>0</x:v>
      </x:c>
      <x:c r="M865" t="n">
        <x:v>100</x:v>
      </x:c>
      <x:c r="N865" t="n">
        <x:f>ROUND(F865*M865/100,2)</x:f>
        <x:v>4</x:v>
      </x:c>
      <x:c r="O865" t="str">
        <x:v>实际用油重</x:v>
      </x:c>
    </x:row>
    <x:row r="866" ht="23" customHeight="1">
      <x:c r="A866" t="n">
        <x:v>145</x:v>
      </x:c>
      <x:c r="B866" t="n">
        <x:v>73</x:v>
      </x:c>
      <x:c r="C866" t="str">
        <x:v>午餐</x:v>
      </x:c>
      <x:c r="D866" t="str">
        <x:v>海鲜</x:v>
      </x:c>
      <x:c r="E866" t="str">
        <x:v>花蛤肉</x:v>
      </x:c>
      <x:c r="F866" t="n">
        <x:v>170</x:v>
      </x:c>
      <x:c r="G866" t="n">
        <x:v>75</x:v>
      </x:c>
      <x:c r="H866" t="n">
        <x:f>ROUND(F866*G866/100,2)</x:f>
        <x:v>127.5</x:v>
      </x:c>
      <x:c r="I866" t="n">
        <x:v>13</x:v>
      </x:c>
      <x:c r="J866" t="n">
        <x:f>ROUND(F866*I866/100,2)</x:f>
        <x:v>22.1</x:v>
      </x:c>
      <x:c r="K866" t="n">
        <x:v>3.5</x:v>
      </x:c>
      <x:c r="L866" t="n">
        <x:f>ROUND(F866*K866/100,2)</x:f>
        <x:v>5.95</x:v>
      </x:c>
      <x:c r="M866" t="n">
        <x:v>1</x:v>
      </x:c>
      <x:c r="N866" t="n">
        <x:f>ROUND(F866*M866/100,2)</x:f>
        <x:v>1.7</x:v>
      </x:c>
      <x:c r="O866" t="str">
        <x:v>净肉生重</x:v>
      </x:c>
    </x:row>
    <x:row r="867" ht="23" customHeight="1">
      <x:c r="A867" t="n">
        <x:v>145</x:v>
      </x:c>
      <x:c r="B867" t="n">
        <x:v>73</x:v>
      </x:c>
      <x:c r="C867" t="str">
        <x:v>午餐</x:v>
      </x:c>
      <x:c r="D867" t="str"/>
      <x:c r="E867" t="str"/>
      <x:c r="F867" t="n">
        <x:v>0</x:v>
      </x:c>
      <x:c r="G867" t="n">
        <x:v>0</x:v>
      </x:c>
      <x:c r="H867" t="n">
        <x:f>ROUND(F867*G867/100,2)</x:f>
        <x:v>0</x:v>
      </x:c>
      <x:c r="I867" t="n">
        <x:v>0</x:v>
      </x:c>
      <x:c r="J867" t="n">
        <x:f>ROUND(F867*I867/100,2)</x:f>
        <x:v>0</x:v>
      </x:c>
      <x:c r="K867" t="n">
        <x:v>0</x:v>
      </x:c>
      <x:c r="L867" t="n">
        <x:f>ROUND(F867*K867/100,2)</x:f>
        <x:v>0</x:v>
      </x:c>
      <x:c r="M867" t="n">
        <x:v>0</x:v>
      </x:c>
      <x:c r="N867" t="n">
        <x:f>ROUND(F867*M867/100,2)</x:f>
        <x:v>0</x:v>
      </x:c>
      <x:c r="O867" t="str"/>
    </x:row>
    <x:row r="868" ht="23" customHeight="1">
      <x:c r="A868" t="n">
        <x:v>145</x:v>
      </x:c>
      <x:c r="B868" t="n">
        <x:v>73</x:v>
      </x:c>
      <x:c r="C868" t="str">
        <x:v>午餐</x:v>
      </x:c>
      <x:c r="D868" t="str">
        <x:v>蔬菜</x:v>
      </x:c>
      <x:c r="E868" t="str">
        <x:v>小白菜</x:v>
      </x:c>
      <x:c r="F868" t="n">
        <x:v>175</x:v>
      </x:c>
      <x:c r="G868" t="n">
        <x:v>17</x:v>
      </x:c>
      <x:c r="H868" t="n">
        <x:f>ROUND(F868*G868/100,2)</x:f>
        <x:v>29.75</x:v>
      </x:c>
      <x:c r="I868" t="n">
        <x:v>1.6</x:v>
      </x:c>
      <x:c r="J868" t="n">
        <x:f>ROUND(F868*I868/100,2)</x:f>
        <x:v>2.8</x:v>
      </x:c>
      <x:c r="K868" t="n">
        <x:v>2.8</x:v>
      </x:c>
      <x:c r="L868" t="n">
        <x:f>ROUND(F868*K868/100,2)</x:f>
        <x:v>4.9</x:v>
      </x:c>
      <x:c r="M868" t="n">
        <x:v>0.2</x:v>
      </x:c>
      <x:c r="N868" t="n">
        <x:f>ROUND(F868*M868/100,2)</x:f>
        <x:v>0.35</x:v>
      </x:c>
      <x:c r="O868" t="str">
        <x:v>生重</x:v>
      </x:c>
    </x:row>
    <x:row r="869" ht="23" customHeight="1">
      <x:c r="A869" t="n">
        <x:v>145</x:v>
      </x:c>
      <x:c r="B869" t="n">
        <x:v>73</x:v>
      </x:c>
      <x:c r="C869" t="str">
        <x:v>午餐</x:v>
      </x:c>
      <x:c r="D869" t="str">
        <x:v>蔬菜</x:v>
      </x:c>
      <x:c r="E869" t="str">
        <x:v>白萝卜</x:v>
      </x:c>
      <x:c r="F869" t="n">
        <x:v>140</x:v>
      </x:c>
      <x:c r="G869" t="n">
        <x:v>18</x:v>
      </x:c>
      <x:c r="H869" t="n">
        <x:f>ROUND(F869*G869/100,2)</x:f>
        <x:v>25.2</x:v>
      </x:c>
      <x:c r="I869" t="n">
        <x:v>0.6</x:v>
      </x:c>
      <x:c r="J869" t="n">
        <x:f>ROUND(F869*I869/100,2)</x:f>
        <x:v>0.84</x:v>
      </x:c>
      <x:c r="K869" t="n">
        <x:v>4</x:v>
      </x:c>
      <x:c r="L869" t="n">
        <x:f>ROUND(F869*K869/100,2)</x:f>
        <x:v>5.6</x:v>
      </x:c>
      <x:c r="M869" t="n">
        <x:v>0.1</x:v>
      </x:c>
      <x:c r="N869" t="n">
        <x:f>ROUND(F869*M869/100,2)</x:f>
        <x:v>0.14</x:v>
      </x:c>
      <x:c r="O869" t="str">
        <x:v>生重</x:v>
      </x:c>
    </x:row>
    <x:row r="870" ht="23" customHeight="1">
      <x:c r="A870" t="n">
        <x:v>145</x:v>
      </x:c>
      <x:c r="B870" t="n">
        <x:v>73</x:v>
      </x:c>
      <x:c r="C870" t="str">
        <x:v>午餐</x:v>
      </x:c>
      <x:c r="D870" t="str">
        <x:v>主食</x:v>
      </x:c>
      <x:c r="E870" t="str">
        <x:v>杂粮饭</x:v>
      </x:c>
      <x:c r="F870" t="n">
        <x:v>150</x:v>
      </x:c>
      <x:c r="G870" t="n">
        <x:v>115</x:v>
      </x:c>
      <x:c r="H870" t="n">
        <x:f>ROUND(F870*G870/100,2)</x:f>
        <x:v>172.5</x:v>
      </x:c>
      <x:c r="I870" t="n">
        <x:v>3.1</x:v>
      </x:c>
      <x:c r="J870" t="n">
        <x:f>ROUND(F870*I870/100,2)</x:f>
        <x:v>4.65</x:v>
      </x:c>
      <x:c r="K870" t="n">
        <x:v>23.5</x:v>
      </x:c>
      <x:c r="L870" t="n">
        <x:f>ROUND(F870*K870/100,2)</x:f>
        <x:v>35.25</x:v>
      </x:c>
      <x:c r="M870" t="n">
        <x:v>1.1</x:v>
      </x:c>
      <x:c r="N870" t="n">
        <x:f>ROUND(F870*M870/100,2)</x:f>
        <x:v>1.65</x:v>
      </x:c>
      <x:c r="O870" t="str">
        <x:v>熟重</x:v>
      </x:c>
    </x:row>
    <x:row r="871" ht="23" customHeight="1">
      <x:c r="A871" t="n">
        <x:v>145</x:v>
      </x:c>
      <x:c r="B871" t="n">
        <x:v>73</x:v>
      </x:c>
      <x:c r="C871" t="str">
        <x:v>午餐</x:v>
      </x:c>
      <x:c r="D871" t="str">
        <x:v>油脂</x:v>
      </x:c>
      <x:c r="E871" t="str">
        <x:v>烹调油</x:v>
      </x:c>
      <x:c r="F871" t="n">
        <x:v>3</x:v>
      </x:c>
      <x:c r="G871" t="n">
        <x:v>900</x:v>
      </x:c>
      <x:c r="H871" t="n">
        <x:f>ROUND(F871*G871/100,2)</x:f>
        <x:v>27</x:v>
      </x:c>
      <x:c r="I871" t="n">
        <x:v>0</x:v>
      </x:c>
      <x:c r="J871" t="n">
        <x:f>ROUND(F871*I871/100,2)</x:f>
        <x:v>0</x:v>
      </x:c>
      <x:c r="K871" t="n">
        <x:v>0</x:v>
      </x:c>
      <x:c r="L871" t="n">
        <x:f>ROUND(F871*K871/100,2)</x:f>
        <x:v>0</x:v>
      </x:c>
      <x:c r="M871" t="n">
        <x:v>100</x:v>
      </x:c>
      <x:c r="N871" t="n">
        <x:f>ROUND(F871*M871/100,2)</x:f>
        <x:v>3</x:v>
      </x:c>
      <x:c r="O871" t="str">
        <x:v>实际用油重</x:v>
      </x:c>
    </x:row>
    <x:row r="872" ht="23" customHeight="1">
      <x:c r="A872" t="n">
        <x:v>146</x:v>
      </x:c>
      <x:c r="B872" t="n">
        <x:v>73</x:v>
      </x:c>
      <x:c r="C872" t="str">
        <x:v>晚餐</x:v>
      </x:c>
      <x:c r="D872" t="str">
        <x:v>牛肉</x:v>
      </x:c>
      <x:c r="E872" t="str">
        <x:v>牛里脊</x:v>
      </x:c>
      <x:c r="F872" t="n">
        <x:v>180</x:v>
      </x:c>
      <x:c r="G872" t="n">
        <x:v>130</x:v>
      </x:c>
      <x:c r="H872" t="n">
        <x:f>ROUND(F872*G872/100,2)</x:f>
        <x:v>234</x:v>
      </x:c>
      <x:c r="I872" t="n">
        <x:v>21</x:v>
      </x:c>
      <x:c r="J872" t="n">
        <x:f>ROUND(F872*I872/100,2)</x:f>
        <x:v>37.8</x:v>
      </x:c>
      <x:c r="K872" t="n">
        <x:v>0</x:v>
      </x:c>
      <x:c r="L872" t="n">
        <x:f>ROUND(F872*K872/100,2)</x:f>
        <x:v>0</x:v>
      </x:c>
      <x:c r="M872" t="n">
        <x:v>4.8</x:v>
      </x:c>
      <x:c r="N872" t="n">
        <x:f>ROUND(F872*M872/100,2)</x:f>
        <x:v>8.64</x:v>
      </x:c>
      <x:c r="O872" t="str">
        <x:v>生重</x:v>
      </x:c>
    </x:row>
    <x:row r="873" ht="23" customHeight="1">
      <x:c r="A873" t="n">
        <x:v>146</x:v>
      </x:c>
      <x:c r="B873" t="n">
        <x:v>73</x:v>
      </x:c>
      <x:c r="C873" t="str">
        <x:v>晚餐</x:v>
      </x:c>
      <x:c r="D873" t="str">
        <x:v>豆蛋</x:v>
      </x:c>
      <x:c r="E873" t="str">
        <x:v>熟毛豆仁</x:v>
      </x:c>
      <x:c r="F873" t="n">
        <x:v>70</x:v>
      </x:c>
      <x:c r="G873" t="n">
        <x:v>120</x:v>
      </x:c>
      <x:c r="H873" t="n">
        <x:f>ROUND(F873*G873/100,2)</x:f>
        <x:v>84</x:v>
      </x:c>
      <x:c r="I873" t="n">
        <x:v>12</x:v>
      </x:c>
      <x:c r="J873" t="n">
        <x:f>ROUND(F873*I873/100,2)</x:f>
        <x:v>8.4</x:v>
      </x:c>
      <x:c r="K873" t="n">
        <x:v>9</x:v>
      </x:c>
      <x:c r="L873" t="n">
        <x:f>ROUND(F873*K873/100,2)</x:f>
        <x:v>6.3</x:v>
      </x:c>
      <x:c r="M873" t="n">
        <x:v>5</x:v>
      </x:c>
      <x:c r="N873" t="n">
        <x:f>ROUND(F873*M873/100,2)</x:f>
        <x:v>3.5</x:v>
      </x:c>
      <x:c r="O873" t="str">
        <x:v>熟重</x:v>
      </x:c>
    </x:row>
    <x:row r="874" ht="23" customHeight="1">
      <x:c r="A874" t="n">
        <x:v>146</x:v>
      </x:c>
      <x:c r="B874" t="n">
        <x:v>73</x:v>
      </x:c>
      <x:c r="C874" t="str">
        <x:v>晚餐</x:v>
      </x:c>
      <x:c r="D874" t="str">
        <x:v>蔬菜</x:v>
      </x:c>
      <x:c r="E874" t="str">
        <x:v>番茄</x:v>
      </x:c>
      <x:c r="F874" t="n">
        <x:v>190</x:v>
      </x:c>
      <x:c r="G874" t="n">
        <x:v>20</x:v>
      </x:c>
      <x:c r="H874" t="n">
        <x:f>ROUND(F874*G874/100,2)</x:f>
        <x:v>38</x:v>
      </x:c>
      <x:c r="I874" t="n">
        <x:v>0.9</x:v>
      </x:c>
      <x:c r="J874" t="n">
        <x:f>ROUND(F874*I874/100,2)</x:f>
        <x:v>1.71</x:v>
      </x:c>
      <x:c r="K874" t="n">
        <x:v>4</x:v>
      </x:c>
      <x:c r="L874" t="n">
        <x:f>ROUND(F874*K874/100,2)</x:f>
        <x:v>7.6</x:v>
      </x:c>
      <x:c r="M874" t="n">
        <x:v>0.2</x:v>
      </x:c>
      <x:c r="N874" t="n">
        <x:f>ROUND(F874*M874/100,2)</x:f>
        <x:v>0.38</x:v>
      </x:c>
      <x:c r="O874" t="str">
        <x:v>生重</x:v>
      </x:c>
    </x:row>
    <x:row r="875" ht="23" customHeight="1">
      <x:c r="A875" t="n">
        <x:v>146</x:v>
      </x:c>
      <x:c r="B875" t="n">
        <x:v>73</x:v>
      </x:c>
      <x:c r="C875" t="str">
        <x:v>晚餐</x:v>
      </x:c>
      <x:c r="D875" t="str">
        <x:v>蔬菜</x:v>
      </x:c>
      <x:c r="E875" t="str">
        <x:v>丝瓜</x:v>
      </x:c>
      <x:c r="F875" t="n">
        <x:v>140</x:v>
      </x:c>
      <x:c r="G875" t="n">
        <x:v>20</x:v>
      </x:c>
      <x:c r="H875" t="n">
        <x:f>ROUND(F875*G875/100,2)</x:f>
        <x:v>28</x:v>
      </x:c>
      <x:c r="I875" t="n">
        <x:v>1</x:v>
      </x:c>
      <x:c r="J875" t="n">
        <x:f>ROUND(F875*I875/100,2)</x:f>
        <x:v>1.4</x:v>
      </x:c>
      <x:c r="K875" t="n">
        <x:v>4</x:v>
      </x:c>
      <x:c r="L875" t="n">
        <x:f>ROUND(F875*K875/100,2)</x:f>
        <x:v>5.6</x:v>
      </x:c>
      <x:c r="M875" t="n">
        <x:v>0.2</x:v>
      </x:c>
      <x:c r="N875" t="n">
        <x:f>ROUND(F875*M875/100,2)</x:f>
        <x:v>0.28</x:v>
      </x:c>
      <x:c r="O875" t="str">
        <x:v>生重</x:v>
      </x:c>
    </x:row>
    <x:row r="876" ht="23" customHeight="1">
      <x:c r="A876" t="n">
        <x:v>146</x:v>
      </x:c>
      <x:c r="B876" t="n">
        <x:v>73</x:v>
      </x:c>
      <x:c r="C876" t="str">
        <x:v>晚餐</x:v>
      </x:c>
      <x:c r="D876" t="str">
        <x:v>主食</x:v>
      </x:c>
      <x:c r="E876" t="str">
        <x:v>全麦面</x:v>
      </x:c>
      <x:c r="F876" t="n">
        <x:v>125</x:v>
      </x:c>
      <x:c r="G876" t="n">
        <x:v>124</x:v>
      </x:c>
      <x:c r="H876" t="n">
        <x:f>ROUND(F876*G876/100,2)</x:f>
        <x:v>155</x:v>
      </x:c>
      <x:c r="I876" t="n">
        <x:v>5</x:v>
      </x:c>
      <x:c r="J876" t="n">
        <x:f>ROUND(F876*I876/100,2)</x:f>
        <x:v>6.25</x:v>
      </x:c>
      <x:c r="K876" t="n">
        <x:v>25</x:v>
      </x:c>
      <x:c r="L876" t="n">
        <x:f>ROUND(F876*K876/100,2)</x:f>
        <x:v>31.25</x:v>
      </x:c>
      <x:c r="M876" t="n">
        <x:v>1.1</x:v>
      </x:c>
      <x:c r="N876" t="n">
        <x:f>ROUND(F876*M876/100,2)</x:f>
        <x:v>1.38</x:v>
      </x:c>
      <x:c r="O876" t="str">
        <x:v>煮熟沥水重</x:v>
      </x:c>
    </x:row>
    <x:row r="877" ht="23" customHeight="1">
      <x:c r="A877" t="n">
        <x:v>146</x:v>
      </x:c>
      <x:c r="B877" t="n">
        <x:v>73</x:v>
      </x:c>
      <x:c r="C877" t="str">
        <x:v>晚餐</x:v>
      </x:c>
      <x:c r="D877" t="str">
        <x:v>油脂</x:v>
      </x:c>
      <x:c r="E877" t="str">
        <x:v>烹调油</x:v>
      </x:c>
      <x:c r="F877" t="n">
        <x:v>5</x:v>
      </x:c>
      <x:c r="G877" t="n">
        <x:v>900</x:v>
      </x:c>
      <x:c r="H877" t="n">
        <x:f>ROUND(F877*G877/100,2)</x:f>
        <x:v>45</x:v>
      </x:c>
      <x:c r="I877" t="n">
        <x:v>0</x:v>
      </x:c>
      <x:c r="J877" t="n">
        <x:f>ROUND(F877*I877/100,2)</x:f>
        <x:v>0</x:v>
      </x:c>
      <x:c r="K877" t="n">
        <x:v>0</x:v>
      </x:c>
      <x:c r="L877" t="n">
        <x:f>ROUND(F877*K877/100,2)</x:f>
        <x:v>0</x:v>
      </x:c>
      <x:c r="M877" t="n">
        <x:v>100</x:v>
      </x:c>
      <x:c r="N877" t="n">
        <x:f>ROUND(F877*M877/100,2)</x:f>
        <x:v>5</x:v>
      </x:c>
      <x:c r="O877" t="str">
        <x:v>实际用油重</x:v>
      </x:c>
    </x:row>
    <x:row r="878" ht="23" customHeight="1">
      <x:c r="A878" t="n">
        <x:v>147</x:v>
      </x:c>
      <x:c r="B878" t="n">
        <x:v>74</x:v>
      </x:c>
      <x:c r="C878" t="str">
        <x:v>午餐</x:v>
      </x:c>
      <x:c r="D878" t="str">
        <x:v>海鲜</x:v>
      </x:c>
      <x:c r="E878" t="str">
        <x:v>虾仁</x:v>
      </x:c>
      <x:c r="F878" t="n">
        <x:v>160</x:v>
      </x:c>
      <x:c r="G878" t="n">
        <x:v>90</x:v>
      </x:c>
      <x:c r="H878" t="n">
        <x:f>ROUND(F878*G878/100,2)</x:f>
        <x:v>144</x:v>
      </x:c>
      <x:c r="I878" t="n">
        <x:v>19</x:v>
      </x:c>
      <x:c r="J878" t="n">
        <x:f>ROUND(F878*I878/100,2)</x:f>
        <x:v>30.4</x:v>
      </x:c>
      <x:c r="K878" t="n">
        <x:v>0.4</x:v>
      </x:c>
      <x:c r="L878" t="n">
        <x:f>ROUND(F878*K878/100,2)</x:f>
        <x:v>0.64</x:v>
      </x:c>
      <x:c r="M878" t="n">
        <x:v>1.1</x:v>
      </x:c>
      <x:c r="N878" t="n">
        <x:f>ROUND(F878*M878/100,2)</x:f>
        <x:v>1.76</x:v>
      </x:c>
      <x:c r="O878" t="str">
        <x:v>生重</x:v>
      </x:c>
    </x:row>
    <x:row r="879" ht="23" customHeight="1">
      <x:c r="A879" t="n">
        <x:v>147</x:v>
      </x:c>
      <x:c r="B879" t="n">
        <x:v>74</x:v>
      </x:c>
      <x:c r="C879" t="str">
        <x:v>午餐</x:v>
      </x:c>
      <x:c r="D879" t="str"/>
      <x:c r="E879" t="str"/>
      <x:c r="F879" t="n">
        <x:v>0</x:v>
      </x:c>
      <x:c r="G879" t="n">
        <x:v>0</x:v>
      </x:c>
      <x:c r="H879" t="n">
        <x:f>ROUND(F879*G879/100,2)</x:f>
        <x:v>0</x:v>
      </x:c>
      <x:c r="I879" t="n">
        <x:v>0</x:v>
      </x:c>
      <x:c r="J879" t="n">
        <x:f>ROUND(F879*I879/100,2)</x:f>
        <x:v>0</x:v>
      </x:c>
      <x:c r="K879" t="n">
        <x:v>0</x:v>
      </x:c>
      <x:c r="L879" t="n">
        <x:f>ROUND(F879*K879/100,2)</x:f>
        <x:v>0</x:v>
      </x:c>
      <x:c r="M879" t="n">
        <x:v>0</x:v>
      </x:c>
      <x:c r="N879" t="n">
        <x:f>ROUND(F879*M879/100,2)</x:f>
        <x:v>0</x:v>
      </x:c>
      <x:c r="O879" t="str"/>
    </x:row>
    <x:row r="880" ht="23" customHeight="1">
      <x:c r="A880" t="n">
        <x:v>147</x:v>
      </x:c>
      <x:c r="B880" t="n">
        <x:v>74</x:v>
      </x:c>
      <x:c r="C880" t="str">
        <x:v>午餐</x:v>
      </x:c>
      <x:c r="D880" t="str">
        <x:v>蔬菜</x:v>
      </x:c>
      <x:c r="E880" t="str">
        <x:v>番茄</x:v>
      </x:c>
      <x:c r="F880" t="n">
        <x:v>175</x:v>
      </x:c>
      <x:c r="G880" t="n">
        <x:v>20</x:v>
      </x:c>
      <x:c r="H880" t="n">
        <x:f>ROUND(F880*G880/100,2)</x:f>
        <x:v>35</x:v>
      </x:c>
      <x:c r="I880" t="n">
        <x:v>0.9</x:v>
      </x:c>
      <x:c r="J880" t="n">
        <x:f>ROUND(F880*I880/100,2)</x:f>
        <x:v>1.58</x:v>
      </x:c>
      <x:c r="K880" t="n">
        <x:v>4</x:v>
      </x:c>
      <x:c r="L880" t="n">
        <x:f>ROUND(F880*K880/100,2)</x:f>
        <x:v>7</x:v>
      </x:c>
      <x:c r="M880" t="n">
        <x:v>0.2</x:v>
      </x:c>
      <x:c r="N880" t="n">
        <x:f>ROUND(F880*M880/100,2)</x:f>
        <x:v>0.35</x:v>
      </x:c>
      <x:c r="O880" t="str">
        <x:v>生重</x:v>
      </x:c>
    </x:row>
    <x:row r="881" ht="23" customHeight="1">
      <x:c r="A881" t="n">
        <x:v>147</x:v>
      </x:c>
      <x:c r="B881" t="n">
        <x:v>74</x:v>
      </x:c>
      <x:c r="C881" t="str">
        <x:v>午餐</x:v>
      </x:c>
      <x:c r="D881" t="str">
        <x:v>蔬菜</x:v>
      </x:c>
      <x:c r="E881" t="str">
        <x:v>冬瓜</x:v>
      </x:c>
      <x:c r="F881" t="n">
        <x:v>125</x:v>
      </x:c>
      <x:c r="G881" t="n">
        <x:v>13</x:v>
      </x:c>
      <x:c r="H881" t="n">
        <x:f>ROUND(F881*G881/100,2)</x:f>
        <x:v>16.25</x:v>
      </x:c>
      <x:c r="I881" t="n">
        <x:v>0.4</x:v>
      </x:c>
      <x:c r="J881" t="n">
        <x:f>ROUND(F881*I881/100,2)</x:f>
        <x:v>0.5</x:v>
      </x:c>
      <x:c r="K881" t="n">
        <x:v>3</x:v>
      </x:c>
      <x:c r="L881" t="n">
        <x:f>ROUND(F881*K881/100,2)</x:f>
        <x:v>3.75</x:v>
      </x:c>
      <x:c r="M881" t="n">
        <x:v>0.2</x:v>
      </x:c>
      <x:c r="N881" t="n">
        <x:f>ROUND(F881*M881/100,2)</x:f>
        <x:v>0.25</x:v>
      </x:c>
      <x:c r="O881" t="str">
        <x:v>生重</x:v>
      </x:c>
    </x:row>
    <x:row r="882" ht="23" customHeight="1">
      <x:c r="A882" t="n">
        <x:v>147</x:v>
      </x:c>
      <x:c r="B882" t="n">
        <x:v>74</x:v>
      </x:c>
      <x:c r="C882" t="str">
        <x:v>午餐</x:v>
      </x:c>
      <x:c r="D882" t="str">
        <x:v>主食</x:v>
      </x:c>
      <x:c r="E882" t="str">
        <x:v>糙米饭</x:v>
      </x:c>
      <x:c r="F882" t="n">
        <x:v>120</x:v>
      </x:c>
      <x:c r="G882" t="n">
        <x:v>112</x:v>
      </x:c>
      <x:c r="H882" t="n">
        <x:f>ROUND(F882*G882/100,2)</x:f>
        <x:v>134.4</x:v>
      </x:c>
      <x:c r="I882" t="n">
        <x:v>2.6</x:v>
      </x:c>
      <x:c r="J882" t="n">
        <x:f>ROUND(F882*I882/100,2)</x:f>
        <x:v>3.12</x:v>
      </x:c>
      <x:c r="K882" t="n">
        <x:v>23.5</x:v>
      </x:c>
      <x:c r="L882" t="n">
        <x:f>ROUND(F882*K882/100,2)</x:f>
        <x:v>28.2</x:v>
      </x:c>
      <x:c r="M882" t="n">
        <x:v>0.9</x:v>
      </x:c>
      <x:c r="N882" t="n">
        <x:f>ROUND(F882*M882/100,2)</x:f>
        <x:v>1.08</x:v>
      </x:c>
      <x:c r="O882" t="str">
        <x:v>熟重</x:v>
      </x:c>
    </x:row>
    <x:row r="883" ht="23" customHeight="1">
      <x:c r="A883" t="n">
        <x:v>147</x:v>
      </x:c>
      <x:c r="B883" t="n">
        <x:v>74</x:v>
      </x:c>
      <x:c r="C883" t="str">
        <x:v>午餐</x:v>
      </x:c>
      <x:c r="D883" t="str">
        <x:v>油脂</x:v>
      </x:c>
      <x:c r="E883" t="str">
        <x:v>烹调油</x:v>
      </x:c>
      <x:c r="F883" t="n">
        <x:v>4</x:v>
      </x:c>
      <x:c r="G883" t="n">
        <x:v>900</x:v>
      </x:c>
      <x:c r="H883" t="n">
        <x:f>ROUND(F883*G883/100,2)</x:f>
        <x:v>36</x:v>
      </x:c>
      <x:c r="I883" t="n">
        <x:v>0</x:v>
      </x:c>
      <x:c r="J883" t="n">
        <x:f>ROUND(F883*I883/100,2)</x:f>
        <x:v>0</x:v>
      </x:c>
      <x:c r="K883" t="n">
        <x:v>0</x:v>
      </x:c>
      <x:c r="L883" t="n">
        <x:f>ROUND(F883*K883/100,2)</x:f>
        <x:v>0</x:v>
      </x:c>
      <x:c r="M883" t="n">
        <x:v>100</x:v>
      </x:c>
      <x:c r="N883" t="n">
        <x:f>ROUND(F883*M883/100,2)</x:f>
        <x:v>4</x:v>
      </x:c>
      <x:c r="O883" t="str">
        <x:v>实际用油重</x:v>
      </x:c>
    </x:row>
    <x:row r="884" ht="23" customHeight="1">
      <x:c r="A884" t="n">
        <x:v>148</x:v>
      </x:c>
      <x:c r="B884" t="n">
        <x:v>74</x:v>
      </x:c>
      <x:c r="C884" t="str">
        <x:v>晚餐</x:v>
      </x:c>
      <x:c r="D884" t="str">
        <x:v>禽肉</x:v>
      </x:c>
      <x:c r="E884" t="str">
        <x:v>去皮鸡腿肉</x:v>
      </x:c>
      <x:c r="F884" t="n">
        <x:v>145</x:v>
      </x:c>
      <x:c r="G884" t="n">
        <x:v>125</x:v>
      </x:c>
      <x:c r="H884" t="n">
        <x:f>ROUND(F884*G884/100,2)</x:f>
        <x:v>181.25</x:v>
      </x:c>
      <x:c r="I884" t="n">
        <x:v>20</x:v>
      </x:c>
      <x:c r="J884" t="n">
        <x:f>ROUND(F884*I884/100,2)</x:f>
        <x:v>29</x:v>
      </x:c>
      <x:c r="K884" t="n">
        <x:v>0</x:v>
      </x:c>
      <x:c r="L884" t="n">
        <x:f>ROUND(F884*K884/100,2)</x:f>
        <x:v>0</x:v>
      </x:c>
      <x:c r="M884" t="n">
        <x:v>5</x:v>
      </x:c>
      <x:c r="N884" t="n">
        <x:f>ROUND(F884*M884/100,2)</x:f>
        <x:v>7.25</x:v>
      </x:c>
      <x:c r="O884" t="str">
        <x:v>生重</x:v>
      </x:c>
    </x:row>
    <x:row r="885" ht="23" customHeight="1">
      <x:c r="A885" t="n">
        <x:v>148</x:v>
      </x:c>
      <x:c r="B885" t="n">
        <x:v>74</x:v>
      </x:c>
      <x:c r="C885" t="str">
        <x:v>晚餐</x:v>
      </x:c>
      <x:c r="D885" t="str"/>
      <x:c r="E885" t="str"/>
      <x:c r="F885" t="n">
        <x:v>0</x:v>
      </x:c>
      <x:c r="G885" t="n">
        <x:v>0</x:v>
      </x:c>
      <x:c r="H885" t="n">
        <x:f>ROUND(F885*G885/100,2)</x:f>
        <x:v>0</x:v>
      </x:c>
      <x:c r="I885" t="n">
        <x:v>0</x:v>
      </x:c>
      <x:c r="J885" t="n">
        <x:f>ROUND(F885*I885/100,2)</x:f>
        <x:v>0</x:v>
      </x:c>
      <x:c r="K885" t="n">
        <x:v>0</x:v>
      </x:c>
      <x:c r="L885" t="n">
        <x:f>ROUND(F885*K885/100,2)</x:f>
        <x:v>0</x:v>
      </x:c>
      <x:c r="M885" t="n">
        <x:v>0</x:v>
      </x:c>
      <x:c r="N885" t="n">
        <x:f>ROUND(F885*M885/100,2)</x:f>
        <x:v>0</x:v>
      </x:c>
      <x:c r="O885" t="str"/>
    </x:row>
    <x:row r="886" ht="23" customHeight="1">
      <x:c r="A886" t="n">
        <x:v>148</x:v>
      </x:c>
      <x:c r="B886" t="n">
        <x:v>74</x:v>
      </x:c>
      <x:c r="C886" t="str">
        <x:v>晚餐</x:v>
      </x:c>
      <x:c r="D886" t="str">
        <x:v>蔬菜</x:v>
      </x:c>
      <x:c r="E886" t="str">
        <x:v>苦瓜</x:v>
      </x:c>
      <x:c r="F886" t="n">
        <x:v>175</x:v>
      </x:c>
      <x:c r="G886" t="n">
        <x:v>19</x:v>
      </x:c>
      <x:c r="H886" t="n">
        <x:f>ROUND(F886*G886/100,2)</x:f>
        <x:v>33.25</x:v>
      </x:c>
      <x:c r="I886" t="n">
        <x:v>1</x:v>
      </x:c>
      <x:c r="J886" t="n">
        <x:f>ROUND(F886*I886/100,2)</x:f>
        <x:v>1.75</x:v>
      </x:c>
      <x:c r="K886" t="n">
        <x:v>4.1</x:v>
      </x:c>
      <x:c r="L886" t="n">
        <x:f>ROUND(F886*K886/100,2)</x:f>
        <x:v>7.17</x:v>
      </x:c>
      <x:c r="M886" t="n">
        <x:v>0.2</x:v>
      </x:c>
      <x:c r="N886" t="n">
        <x:f>ROUND(F886*M886/100,2)</x:f>
        <x:v>0.35</x:v>
      </x:c>
      <x:c r="O886" t="str">
        <x:v>生重</x:v>
      </x:c>
    </x:row>
    <x:row r="887" ht="23" customHeight="1">
      <x:c r="A887" t="n">
        <x:v>148</x:v>
      </x:c>
      <x:c r="B887" t="n">
        <x:v>74</x:v>
      </x:c>
      <x:c r="C887" t="str">
        <x:v>晚餐</x:v>
      </x:c>
      <x:c r="D887" t="str">
        <x:v>蔬菜</x:v>
      </x:c>
      <x:c r="E887" t="str">
        <x:v>玉米笋</x:v>
      </x:c>
      <x:c r="F887" t="n">
        <x:v>125</x:v>
      </x:c>
      <x:c r="G887" t="n">
        <x:v>26</x:v>
      </x:c>
      <x:c r="H887" t="n">
        <x:f>ROUND(F887*G887/100,2)</x:f>
        <x:v>32.5</x:v>
      </x:c>
      <x:c r="I887" t="n">
        <x:v>2</x:v>
      </x:c>
      <x:c r="J887" t="n">
        <x:f>ROUND(F887*I887/100,2)</x:f>
        <x:v>2.5</x:v>
      </x:c>
      <x:c r="K887" t="n">
        <x:v>4.9</x:v>
      </x:c>
      <x:c r="L887" t="n">
        <x:f>ROUND(F887*K887/100,2)</x:f>
        <x:v>6.13</x:v>
      </x:c>
      <x:c r="M887" t="n">
        <x:v>0.1</x:v>
      </x:c>
      <x:c r="N887" t="n">
        <x:f>ROUND(F887*M887/100,2)</x:f>
        <x:v>0.13</x:v>
      </x:c>
      <x:c r="O887" t="str">
        <x:v>生重</x:v>
      </x:c>
    </x:row>
    <x:row r="888" ht="23" customHeight="1">
      <x:c r="A888" t="n">
        <x:v>148</x:v>
      </x:c>
      <x:c r="B888" t="n">
        <x:v>74</x:v>
      </x:c>
      <x:c r="C888" t="str">
        <x:v>晚餐</x:v>
      </x:c>
      <x:c r="D888" t="str">
        <x:v>主食</x:v>
      </x:c>
      <x:c r="E888" t="str">
        <x:v>糙米饭</x:v>
      </x:c>
      <x:c r="F888" t="n">
        <x:v>135</x:v>
      </x:c>
      <x:c r="G888" t="n">
        <x:v>112</x:v>
      </x:c>
      <x:c r="H888" t="n">
        <x:f>ROUND(F888*G888/100,2)</x:f>
        <x:v>151.2</x:v>
      </x:c>
      <x:c r="I888" t="n">
        <x:v>2.6</x:v>
      </x:c>
      <x:c r="J888" t="n">
        <x:f>ROUND(F888*I888/100,2)</x:f>
        <x:v>3.51</x:v>
      </x:c>
      <x:c r="K888" t="n">
        <x:v>23.5</x:v>
      </x:c>
      <x:c r="L888" t="n">
        <x:f>ROUND(F888*K888/100,2)</x:f>
        <x:v>31.73</x:v>
      </x:c>
      <x:c r="M888" t="n">
        <x:v>0.9</x:v>
      </x:c>
      <x:c r="N888" t="n">
        <x:f>ROUND(F888*M888/100,2)</x:f>
        <x:v>1.22</x:v>
      </x:c>
      <x:c r="O888" t="str">
        <x:v>熟重</x:v>
      </x:c>
    </x:row>
    <x:row r="889" ht="23" customHeight="1">
      <x:c r="A889" t="n">
        <x:v>148</x:v>
      </x:c>
      <x:c r="B889" t="n">
        <x:v>74</x:v>
      </x:c>
      <x:c r="C889" t="str">
        <x:v>晚餐</x:v>
      </x:c>
      <x:c r="D889" t="str">
        <x:v>油脂</x:v>
      </x:c>
      <x:c r="E889" t="str">
        <x:v>烹调油</x:v>
      </x:c>
      <x:c r="F889" t="n">
        <x:v>5</x:v>
      </x:c>
      <x:c r="G889" t="n">
        <x:v>900</x:v>
      </x:c>
      <x:c r="H889" t="n">
        <x:f>ROUND(F889*G889/100,2)</x:f>
        <x:v>45</x:v>
      </x:c>
      <x:c r="I889" t="n">
        <x:v>0</x:v>
      </x:c>
      <x:c r="J889" t="n">
        <x:f>ROUND(F889*I889/100,2)</x:f>
        <x:v>0</x:v>
      </x:c>
      <x:c r="K889" t="n">
        <x:v>0</x:v>
      </x:c>
      <x:c r="L889" t="n">
        <x:f>ROUND(F889*K889/100,2)</x:f>
        <x:v>0</x:v>
      </x:c>
      <x:c r="M889" t="n">
        <x:v>100</x:v>
      </x:c>
      <x:c r="N889" t="n">
        <x:f>ROUND(F889*M889/100,2)</x:f>
        <x:v>5</x:v>
      </x:c>
      <x:c r="O889" t="str">
        <x:v>实际用油重</x:v>
      </x:c>
    </x:row>
    <x:row r="890" ht="23" customHeight="1">
      <x:c r="A890" t="n">
        <x:v>149</x:v>
      </x:c>
      <x:c r="B890" t="n">
        <x:v>75</x:v>
      </x:c>
      <x:c r="C890" t="str">
        <x:v>午餐</x:v>
      </x:c>
      <x:c r="D890" t="str">
        <x:v>禽肉</x:v>
      </x:c>
      <x:c r="E890" t="str">
        <x:v>去皮鸡腿肉</x:v>
      </x:c>
      <x:c r="F890" t="n">
        <x:v>175</x:v>
      </x:c>
      <x:c r="G890" t="n">
        <x:v>125</x:v>
      </x:c>
      <x:c r="H890" t="n">
        <x:f>ROUND(F890*G890/100,2)</x:f>
        <x:v>218.75</x:v>
      </x:c>
      <x:c r="I890" t="n">
        <x:v>20</x:v>
      </x:c>
      <x:c r="J890" t="n">
        <x:f>ROUND(F890*I890/100,2)</x:f>
        <x:v>35</x:v>
      </x:c>
      <x:c r="K890" t="n">
        <x:v>0</x:v>
      </x:c>
      <x:c r="L890" t="n">
        <x:f>ROUND(F890*K890/100,2)</x:f>
        <x:v>0</x:v>
      </x:c>
      <x:c r="M890" t="n">
        <x:v>5</x:v>
      </x:c>
      <x:c r="N890" t="n">
        <x:f>ROUND(F890*M890/100,2)</x:f>
        <x:v>8.75</x:v>
      </x:c>
      <x:c r="O890" t="str">
        <x:v>生重</x:v>
      </x:c>
    </x:row>
    <x:row r="891" ht="23" customHeight="1">
      <x:c r="A891" t="n">
        <x:v>149</x:v>
      </x:c>
      <x:c r="B891" t="n">
        <x:v>75</x:v>
      </x:c>
      <x:c r="C891" t="str">
        <x:v>午餐</x:v>
      </x:c>
      <x:c r="D891" t="str">
        <x:v>豆蛋</x:v>
      </x:c>
      <x:c r="E891" t="str">
        <x:v>熟毛豆仁</x:v>
      </x:c>
      <x:c r="F891" t="n">
        <x:v>50</x:v>
      </x:c>
      <x:c r="G891" t="n">
        <x:v>120</x:v>
      </x:c>
      <x:c r="H891" t="n">
        <x:f>ROUND(F891*G891/100,2)</x:f>
        <x:v>60</x:v>
      </x:c>
      <x:c r="I891" t="n">
        <x:v>12</x:v>
      </x:c>
      <x:c r="J891" t="n">
        <x:f>ROUND(F891*I891/100,2)</x:f>
        <x:v>6</x:v>
      </x:c>
      <x:c r="K891" t="n">
        <x:v>9</x:v>
      </x:c>
      <x:c r="L891" t="n">
        <x:f>ROUND(F891*K891/100,2)</x:f>
        <x:v>4.5</x:v>
      </x:c>
      <x:c r="M891" t="n">
        <x:v>5</x:v>
      </x:c>
      <x:c r="N891" t="n">
        <x:f>ROUND(F891*M891/100,2)</x:f>
        <x:v>2.5</x:v>
      </x:c>
      <x:c r="O891" t="str">
        <x:v>熟重</x:v>
      </x:c>
    </x:row>
    <x:row r="892" ht="23" customHeight="1">
      <x:c r="A892" t="n">
        <x:v>149</x:v>
      </x:c>
      <x:c r="B892" t="n">
        <x:v>75</x:v>
      </x:c>
      <x:c r="C892" t="str">
        <x:v>午餐</x:v>
      </x:c>
      <x:c r="D892" t="str">
        <x:v>蔬菜</x:v>
      </x:c>
      <x:c r="E892" t="str">
        <x:v>西兰花</x:v>
      </x:c>
      <x:c r="F892" t="n">
        <x:v>190</x:v>
      </x:c>
      <x:c r="G892" t="n">
        <x:v>34</x:v>
      </x:c>
      <x:c r="H892" t="n">
        <x:f>ROUND(F892*G892/100,2)</x:f>
        <x:v>64.6</x:v>
      </x:c>
      <x:c r="I892" t="n">
        <x:v>2.8</x:v>
      </x:c>
      <x:c r="J892" t="n">
        <x:f>ROUND(F892*I892/100,2)</x:f>
        <x:v>5.32</x:v>
      </x:c>
      <x:c r="K892" t="n">
        <x:v>7</x:v>
      </x:c>
      <x:c r="L892" t="n">
        <x:f>ROUND(F892*K892/100,2)</x:f>
        <x:v>13.3</x:v>
      </x:c>
      <x:c r="M892" t="n">
        <x:v>0.4</x:v>
      </x:c>
      <x:c r="N892" t="n">
        <x:f>ROUND(F892*M892/100,2)</x:f>
        <x:v>0.76</x:v>
      </x:c>
      <x:c r="O892" t="str">
        <x:v>生重</x:v>
      </x:c>
    </x:row>
    <x:row r="893" ht="23" customHeight="1">
      <x:c r="A893" t="n">
        <x:v>149</x:v>
      </x:c>
      <x:c r="B893" t="n">
        <x:v>75</x:v>
      </x:c>
      <x:c r="C893" t="str">
        <x:v>午餐</x:v>
      </x:c>
      <x:c r="D893" t="str">
        <x:v>菌菇</x:v>
      </x:c>
      <x:c r="E893" t="str">
        <x:v>口蘑</x:v>
      </x:c>
      <x:c r="F893" t="n">
        <x:v>140</x:v>
      </x:c>
      <x:c r="G893" t="n">
        <x:v>22</x:v>
      </x:c>
      <x:c r="H893" t="n">
        <x:f>ROUND(F893*G893/100,2)</x:f>
        <x:v>30.8</x:v>
      </x:c>
      <x:c r="I893" t="n">
        <x:v>3.1</x:v>
      </x:c>
      <x:c r="J893" t="n">
        <x:f>ROUND(F893*I893/100,2)</x:f>
        <x:v>4.34</x:v>
      </x:c>
      <x:c r="K893" t="n">
        <x:v>3.3</x:v>
      </x:c>
      <x:c r="L893" t="n">
        <x:f>ROUND(F893*K893/100,2)</x:f>
        <x:v>4.62</x:v>
      </x:c>
      <x:c r="M893" t="n">
        <x:v>0.3</x:v>
      </x:c>
      <x:c r="N893" t="n">
        <x:f>ROUND(F893*M893/100,2)</x:f>
        <x:v>0.42</x:v>
      </x:c>
      <x:c r="O893" t="str">
        <x:v>生重</x:v>
      </x:c>
    </x:row>
    <x:row r="894" ht="23" customHeight="1">
      <x:c r="A894" t="n">
        <x:v>149</x:v>
      </x:c>
      <x:c r="B894" t="n">
        <x:v>75</x:v>
      </x:c>
      <x:c r="C894" t="str">
        <x:v>午餐</x:v>
      </x:c>
      <x:c r="D894" t="str">
        <x:v>主食</x:v>
      </x:c>
      <x:c r="E894" t="str">
        <x:v>紫薯</x:v>
      </x:c>
      <x:c r="F894" t="n">
        <x:v>110</x:v>
      </x:c>
      <x:c r="G894" t="n">
        <x:v>95</x:v>
      </x:c>
      <x:c r="H894" t="n">
        <x:f>ROUND(F894*G894/100,2)</x:f>
        <x:v>104.5</x:v>
      </x:c>
      <x:c r="I894" t="n">
        <x:v>1.6</x:v>
      </x:c>
      <x:c r="J894" t="n">
        <x:f>ROUND(F894*I894/100,2)</x:f>
        <x:v>1.76</x:v>
      </x:c>
      <x:c r="K894" t="n">
        <x:v>22</x:v>
      </x:c>
      <x:c r="L894" t="n">
        <x:f>ROUND(F894*K894/100,2)</x:f>
        <x:v>24.2</x:v>
      </x:c>
      <x:c r="M894" t="n">
        <x:v>0.1</x:v>
      </x:c>
      <x:c r="N894" t="n">
        <x:f>ROUND(F894*M894/100,2)</x:f>
        <x:v>0.11</x:v>
      </x:c>
      <x:c r="O894" t="str">
        <x:v>蒸熟净重</x:v>
      </x:c>
    </x:row>
    <x:row r="895" ht="23" customHeight="1">
      <x:c r="A895" t="n">
        <x:v>149</x:v>
      </x:c>
      <x:c r="B895" t="n">
        <x:v>75</x:v>
      </x:c>
      <x:c r="C895" t="str">
        <x:v>午餐</x:v>
      </x:c>
      <x:c r="D895" t="str">
        <x:v>油脂</x:v>
      </x:c>
      <x:c r="E895" t="str">
        <x:v>烹调油</x:v>
      </x:c>
      <x:c r="F895" t="n">
        <x:v>3</x:v>
      </x:c>
      <x:c r="G895" t="n">
        <x:v>900</x:v>
      </x:c>
      <x:c r="H895" t="n">
        <x:f>ROUND(F895*G895/100,2)</x:f>
        <x:v>27</x:v>
      </x:c>
      <x:c r="I895" t="n">
        <x:v>0</x:v>
      </x:c>
      <x:c r="J895" t="n">
        <x:f>ROUND(F895*I895/100,2)</x:f>
        <x:v>0</x:v>
      </x:c>
      <x:c r="K895" t="n">
        <x:v>0</x:v>
      </x:c>
      <x:c r="L895" t="n">
        <x:f>ROUND(F895*K895/100,2)</x:f>
        <x:v>0</x:v>
      </x:c>
      <x:c r="M895" t="n">
        <x:v>100</x:v>
      </x:c>
      <x:c r="N895" t="n">
        <x:f>ROUND(F895*M895/100,2)</x:f>
        <x:v>3</x:v>
      </x:c>
      <x:c r="O895" t="str">
        <x:v>实际用油重</x:v>
      </x:c>
    </x:row>
    <x:row r="896" ht="23" customHeight="1">
      <x:c r="A896" t="n">
        <x:v>150</x:v>
      </x:c>
      <x:c r="B896" t="n">
        <x:v>75</x:v>
      </x:c>
      <x:c r="C896" t="str">
        <x:v>晚餐</x:v>
      </x:c>
      <x:c r="D896" t="str">
        <x:v>海鲜</x:v>
      </x:c>
      <x:c r="E896" t="str">
        <x:v>扇贝肉</x:v>
      </x:c>
      <x:c r="F896" t="n">
        <x:v>170</x:v>
      </x:c>
      <x:c r="G896" t="n">
        <x:v>90</x:v>
      </x:c>
      <x:c r="H896" t="n">
        <x:f>ROUND(F896*G896/100,2)</x:f>
        <x:v>153</x:v>
      </x:c>
      <x:c r="I896" t="n">
        <x:v>17</x:v>
      </x:c>
      <x:c r="J896" t="n">
        <x:f>ROUND(F896*I896/100,2)</x:f>
        <x:v>28.9</x:v>
      </x:c>
      <x:c r="K896" t="n">
        <x:v>3</x:v>
      </x:c>
      <x:c r="L896" t="n">
        <x:f>ROUND(F896*K896/100,2)</x:f>
        <x:v>5.1</x:v>
      </x:c>
      <x:c r="M896" t="n">
        <x:v>0.8</x:v>
      </x:c>
      <x:c r="N896" t="n">
        <x:f>ROUND(F896*M896/100,2)</x:f>
        <x:v>1.36</x:v>
      </x:c>
      <x:c r="O896" t="str">
        <x:v>生重</x:v>
      </x:c>
    </x:row>
    <x:row r="897" ht="23" customHeight="1">
      <x:c r="A897" t="n">
        <x:v>150</x:v>
      </x:c>
      <x:c r="B897" t="n">
        <x:v>75</x:v>
      </x:c>
      <x:c r="C897" t="str">
        <x:v>晚餐</x:v>
      </x:c>
      <x:c r="D897" t="str"/>
      <x:c r="E897" t="str"/>
      <x:c r="F897" t="n">
        <x:v>0</x:v>
      </x:c>
      <x:c r="G897" t="n">
        <x:v>0</x:v>
      </x:c>
      <x:c r="H897" t="n">
        <x:f>ROUND(F897*G897/100,2)</x:f>
        <x:v>0</x:v>
      </x:c>
      <x:c r="I897" t="n">
        <x:v>0</x:v>
      </x:c>
      <x:c r="J897" t="n">
        <x:f>ROUND(F897*I897/100,2)</x:f>
        <x:v>0</x:v>
      </x:c>
      <x:c r="K897" t="n">
        <x:v>0</x:v>
      </x:c>
      <x:c r="L897" t="n">
        <x:f>ROUND(F897*K897/100,2)</x:f>
        <x:v>0</x:v>
      </x:c>
      <x:c r="M897" t="n">
        <x:v>0</x:v>
      </x:c>
      <x:c r="N897" t="n">
        <x:f>ROUND(F897*M897/100,2)</x:f>
        <x:v>0</x:v>
      </x:c>
      <x:c r="O897" t="str"/>
    </x:row>
    <x:row r="898" ht="23" customHeight="1">
      <x:c r="A898" t="n">
        <x:v>150</x:v>
      </x:c>
      <x:c r="B898" t="n">
        <x:v>75</x:v>
      </x:c>
      <x:c r="C898" t="str">
        <x:v>晚餐</x:v>
      </x:c>
      <x:c r="D898" t="str">
        <x:v>蔬菜</x:v>
      </x:c>
      <x:c r="E898" t="str">
        <x:v>小白菜</x:v>
      </x:c>
      <x:c r="F898" t="n">
        <x:v>190</x:v>
      </x:c>
      <x:c r="G898" t="n">
        <x:v>17</x:v>
      </x:c>
      <x:c r="H898" t="n">
        <x:f>ROUND(F898*G898/100,2)</x:f>
        <x:v>32.3</x:v>
      </x:c>
      <x:c r="I898" t="n">
        <x:v>1.6</x:v>
      </x:c>
      <x:c r="J898" t="n">
        <x:f>ROUND(F898*I898/100,2)</x:f>
        <x:v>3.04</x:v>
      </x:c>
      <x:c r="K898" t="n">
        <x:v>2.8</x:v>
      </x:c>
      <x:c r="L898" t="n">
        <x:f>ROUND(F898*K898/100,2)</x:f>
        <x:v>5.32</x:v>
      </x:c>
      <x:c r="M898" t="n">
        <x:v>0.2</x:v>
      </x:c>
      <x:c r="N898" t="n">
        <x:f>ROUND(F898*M898/100,2)</x:f>
        <x:v>0.38</x:v>
      </x:c>
      <x:c r="O898" t="str">
        <x:v>生重</x:v>
      </x:c>
    </x:row>
    <x:row r="899" ht="23" customHeight="1">
      <x:c r="A899" t="n">
        <x:v>150</x:v>
      </x:c>
      <x:c r="B899" t="n">
        <x:v>75</x:v>
      </x:c>
      <x:c r="C899" t="str">
        <x:v>晚餐</x:v>
      </x:c>
      <x:c r="D899" t="str">
        <x:v>菌菇</x:v>
      </x:c>
      <x:c r="E899" t="str">
        <x:v>口蘑</x:v>
      </x:c>
      <x:c r="F899" t="n">
        <x:v>125</x:v>
      </x:c>
      <x:c r="G899" t="n">
        <x:v>22</x:v>
      </x:c>
      <x:c r="H899" t="n">
        <x:f>ROUND(F899*G899/100,2)</x:f>
        <x:v>27.5</x:v>
      </x:c>
      <x:c r="I899" t="n">
        <x:v>3.1</x:v>
      </x:c>
      <x:c r="J899" t="n">
        <x:f>ROUND(F899*I899/100,2)</x:f>
        <x:v>3.88</x:v>
      </x:c>
      <x:c r="K899" t="n">
        <x:v>3.3</x:v>
      </x:c>
      <x:c r="L899" t="n">
        <x:f>ROUND(F899*K899/100,2)</x:f>
        <x:v>4.13</x:v>
      </x:c>
      <x:c r="M899" t="n">
        <x:v>0.3</x:v>
      </x:c>
      <x:c r="N899" t="n">
        <x:f>ROUND(F899*M899/100,2)</x:f>
        <x:v>0.38</x:v>
      </x:c>
      <x:c r="O899" t="str">
        <x:v>生重</x:v>
      </x:c>
    </x:row>
    <x:row r="900" ht="23" customHeight="1">
      <x:c r="A900" t="n">
        <x:v>150</x:v>
      </x:c>
      <x:c r="B900" t="n">
        <x:v>75</x:v>
      </x:c>
      <x:c r="C900" t="str">
        <x:v>晚餐</x:v>
      </x:c>
      <x:c r="D900" t="str">
        <x:v>主食</x:v>
      </x:c>
      <x:c r="E900" t="str">
        <x:v>荞麦面</x:v>
      </x:c>
      <x:c r="F900" t="n">
        <x:v>135</x:v>
      </x:c>
      <x:c r="G900" t="n">
        <x:v>105</x:v>
      </x:c>
      <x:c r="H900" t="n">
        <x:f>ROUND(F900*G900/100,2)</x:f>
        <x:v>141.75</x:v>
      </x:c>
      <x:c r="I900" t="n">
        <x:v>4</x:v>
      </x:c>
      <x:c r="J900" t="n">
        <x:f>ROUND(F900*I900/100,2)</x:f>
        <x:v>5.4</x:v>
      </x:c>
      <x:c r="K900" t="n">
        <x:v>21</x:v>
      </x:c>
      <x:c r="L900" t="n">
        <x:f>ROUND(F900*K900/100,2)</x:f>
        <x:v>28.35</x:v>
      </x:c>
      <x:c r="M900" t="n">
        <x:v>0.7</x:v>
      </x:c>
      <x:c r="N900" t="n">
        <x:f>ROUND(F900*M900/100,2)</x:f>
        <x:v>0.95</x:v>
      </x:c>
      <x:c r="O900" t="str">
        <x:v>煮熟沥水重</x:v>
      </x:c>
    </x:row>
    <x:row r="901" ht="23" customHeight="1">
      <x:c r="A901" t="n">
        <x:v>150</x:v>
      </x:c>
      <x:c r="B901" t="n">
        <x:v>75</x:v>
      </x:c>
      <x:c r="C901" t="str">
        <x:v>晚餐</x:v>
      </x:c>
      <x:c r="D901" t="str">
        <x:v>油脂</x:v>
      </x:c>
      <x:c r="E901" t="str">
        <x:v>烹调油</x:v>
      </x:c>
      <x:c r="F901" t="n">
        <x:v>6</x:v>
      </x:c>
      <x:c r="G901" t="n">
        <x:v>900</x:v>
      </x:c>
      <x:c r="H901" t="n">
        <x:f>ROUND(F901*G901/100,2)</x:f>
        <x:v>54</x:v>
      </x:c>
      <x:c r="I901" t="n">
        <x:v>0</x:v>
      </x:c>
      <x:c r="J901" t="n">
        <x:f>ROUND(F901*I901/100,2)</x:f>
        <x:v>0</x:v>
      </x:c>
      <x:c r="K901" t="n">
        <x:v>0</x:v>
      </x:c>
      <x:c r="L901" t="n">
        <x:f>ROUND(F901*K901/100,2)</x:f>
        <x:v>0</x:v>
      </x:c>
      <x:c r="M901" t="n">
        <x:v>100</x:v>
      </x:c>
      <x:c r="N901" t="n">
        <x:f>ROUND(F901*M901/100,2)</x:f>
        <x:v>6</x:v>
      </x:c>
      <x:c r="O901" t="str">
        <x:v>实际用油重</x:v>
      </x:c>
    </x:row>
    <x:row r="902" ht="23" customHeight="1">
      <x:c r="A902" t="n">
        <x:v>151</x:v>
      </x:c>
      <x:c r="B902" t="n">
        <x:v>76</x:v>
      </x:c>
      <x:c r="C902" t="str">
        <x:v>午餐</x:v>
      </x:c>
      <x:c r="D902" t="str">
        <x:v>猪肉</x:v>
      </x:c>
      <x:c r="E902" t="str">
        <x:v>猪里脊</x:v>
      </x:c>
      <x:c r="F902" t="n">
        <x:v>175</x:v>
      </x:c>
      <x:c r="G902" t="n">
        <x:v>120</x:v>
      </x:c>
      <x:c r="H902" t="n">
        <x:f>ROUND(F902*G902/100,2)</x:f>
        <x:v>210</x:v>
      </x:c>
      <x:c r="I902" t="n">
        <x:v>21</x:v>
      </x:c>
      <x:c r="J902" t="n">
        <x:f>ROUND(F902*I902/100,2)</x:f>
        <x:v>36.75</x:v>
      </x:c>
      <x:c r="K902" t="n">
        <x:v>0</x:v>
      </x:c>
      <x:c r="L902" t="n">
        <x:f>ROUND(F902*K902/100,2)</x:f>
        <x:v>0</x:v>
      </x:c>
      <x:c r="M902" t="n">
        <x:v>3.5</x:v>
      </x:c>
      <x:c r="N902" t="n">
        <x:f>ROUND(F902*M902/100,2)</x:f>
        <x:v>6.13</x:v>
      </x:c>
      <x:c r="O902" t="str">
        <x:v>生重</x:v>
      </x:c>
    </x:row>
    <x:row r="903" ht="23" customHeight="1">
      <x:c r="A903" t="n">
        <x:v>151</x:v>
      </x:c>
      <x:c r="B903" t="n">
        <x:v>76</x:v>
      </x:c>
      <x:c r="C903" t="str">
        <x:v>午餐</x:v>
      </x:c>
      <x:c r="D903" t="str"/>
      <x:c r="E903" t="str"/>
      <x:c r="F903" t="n">
        <x:v>0</x:v>
      </x:c>
      <x:c r="G903" t="n">
        <x:v>0</x:v>
      </x:c>
      <x:c r="H903" t="n">
        <x:f>ROUND(F903*G903/100,2)</x:f>
        <x:v>0</x:v>
      </x:c>
      <x:c r="I903" t="n">
        <x:v>0</x:v>
      </x:c>
      <x:c r="J903" t="n">
        <x:f>ROUND(F903*I903/100,2)</x:f>
        <x:v>0</x:v>
      </x:c>
      <x:c r="K903" t="n">
        <x:v>0</x:v>
      </x:c>
      <x:c r="L903" t="n">
        <x:f>ROUND(F903*K903/100,2)</x:f>
        <x:v>0</x:v>
      </x:c>
      <x:c r="M903" t="n">
        <x:v>0</x:v>
      </x:c>
      <x:c r="N903" t="n">
        <x:f>ROUND(F903*M903/100,2)</x:f>
        <x:v>0</x:v>
      </x:c>
      <x:c r="O903" t="str"/>
    </x:row>
    <x:row r="904" ht="23" customHeight="1">
      <x:c r="A904" t="n">
        <x:v>151</x:v>
      </x:c>
      <x:c r="B904" t="n">
        <x:v>76</x:v>
      </x:c>
      <x:c r="C904" t="str">
        <x:v>午餐</x:v>
      </x:c>
      <x:c r="D904" t="str">
        <x:v>蔬菜</x:v>
      </x:c>
      <x:c r="E904" t="str">
        <x:v>西葫芦</x:v>
      </x:c>
      <x:c r="F904" t="n">
        <x:v>175</x:v>
      </x:c>
      <x:c r="G904" t="n">
        <x:v>17</x:v>
      </x:c>
      <x:c r="H904" t="n">
        <x:f>ROUND(F904*G904/100,2)</x:f>
        <x:v>29.75</x:v>
      </x:c>
      <x:c r="I904" t="n">
        <x:v>1.2</x:v>
      </x:c>
      <x:c r="J904" t="n">
        <x:f>ROUND(F904*I904/100,2)</x:f>
        <x:v>2.1</x:v>
      </x:c>
      <x:c r="K904" t="n">
        <x:v>3.1</x:v>
      </x:c>
      <x:c r="L904" t="n">
        <x:f>ROUND(F904*K904/100,2)</x:f>
        <x:v>5.43</x:v>
      </x:c>
      <x:c r="M904" t="n">
        <x:v>0.3</x:v>
      </x:c>
      <x:c r="N904" t="n">
        <x:f>ROUND(F904*M904/100,2)</x:f>
        <x:v>0.53</x:v>
      </x:c>
      <x:c r="O904" t="str">
        <x:v>生重</x:v>
      </x:c>
    </x:row>
    <x:row r="905" ht="23" customHeight="1">
      <x:c r="A905" t="n">
        <x:v>151</x:v>
      </x:c>
      <x:c r="B905" t="n">
        <x:v>76</x:v>
      </x:c>
      <x:c r="C905" t="str">
        <x:v>午餐</x:v>
      </x:c>
      <x:c r="D905" t="str">
        <x:v>蔬菜</x:v>
      </x:c>
      <x:c r="E905" t="str">
        <x:v>洋葱</x:v>
      </x:c>
      <x:c r="F905" t="n">
        <x:v>155</x:v>
      </x:c>
      <x:c r="G905" t="n">
        <x:v>40</x:v>
      </x:c>
      <x:c r="H905" t="n">
        <x:f>ROUND(F905*G905/100,2)</x:f>
        <x:v>62</x:v>
      </x:c>
      <x:c r="I905" t="n">
        <x:v>1.1</x:v>
      </x:c>
      <x:c r="J905" t="n">
        <x:f>ROUND(F905*I905/100,2)</x:f>
        <x:v>1.71</x:v>
      </x:c>
      <x:c r="K905" t="n">
        <x:v>9.3</x:v>
      </x:c>
      <x:c r="L905" t="n">
        <x:f>ROUND(F905*K905/100,2)</x:f>
        <x:v>14.42</x:v>
      </x:c>
      <x:c r="M905" t="n">
        <x:v>0.1</x:v>
      </x:c>
      <x:c r="N905" t="n">
        <x:f>ROUND(F905*M905/100,2)</x:f>
        <x:v>0.16</x:v>
      </x:c>
      <x:c r="O905" t="str">
        <x:v>生重</x:v>
      </x:c>
    </x:row>
    <x:row r="906" ht="23" customHeight="1">
      <x:c r="A906" t="n">
        <x:v>151</x:v>
      </x:c>
      <x:c r="B906" t="n">
        <x:v>76</x:v>
      </x:c>
      <x:c r="C906" t="str">
        <x:v>午餐</x:v>
      </x:c>
      <x:c r="D906" t="str">
        <x:v>主食</x:v>
      </x:c>
      <x:c r="E906" t="str">
        <x:v>紫薯</x:v>
      </x:c>
      <x:c r="F906" t="n">
        <x:v>135</x:v>
      </x:c>
      <x:c r="G906" t="n">
        <x:v>95</x:v>
      </x:c>
      <x:c r="H906" t="n">
        <x:f>ROUND(F906*G906/100,2)</x:f>
        <x:v>128.25</x:v>
      </x:c>
      <x:c r="I906" t="n">
        <x:v>1.6</x:v>
      </x:c>
      <x:c r="J906" t="n">
        <x:f>ROUND(F906*I906/100,2)</x:f>
        <x:v>2.16</x:v>
      </x:c>
      <x:c r="K906" t="n">
        <x:v>22</x:v>
      </x:c>
      <x:c r="L906" t="n">
        <x:f>ROUND(F906*K906/100,2)</x:f>
        <x:v>29.7</x:v>
      </x:c>
      <x:c r="M906" t="n">
        <x:v>0.1</x:v>
      </x:c>
      <x:c r="N906" t="n">
        <x:f>ROUND(F906*M906/100,2)</x:f>
        <x:v>0.14</x:v>
      </x:c>
      <x:c r="O906" t="str">
        <x:v>蒸熟净重</x:v>
      </x:c>
    </x:row>
    <x:row r="907" ht="23" customHeight="1">
      <x:c r="A907" t="n">
        <x:v>151</x:v>
      </x:c>
      <x:c r="B907" t="n">
        <x:v>76</x:v>
      </x:c>
      <x:c r="C907" t="str">
        <x:v>午餐</x:v>
      </x:c>
      <x:c r="D907" t="str">
        <x:v>油脂</x:v>
      </x:c>
      <x:c r="E907" t="str">
        <x:v>烹调油</x:v>
      </x:c>
      <x:c r="F907" t="n">
        <x:v>6</x:v>
      </x:c>
      <x:c r="G907" t="n">
        <x:v>900</x:v>
      </x:c>
      <x:c r="H907" t="n">
        <x:f>ROUND(F907*G907/100,2)</x:f>
        <x:v>54</x:v>
      </x:c>
      <x:c r="I907" t="n">
        <x:v>0</x:v>
      </x:c>
      <x:c r="J907" t="n">
        <x:f>ROUND(F907*I907/100,2)</x:f>
        <x:v>0</x:v>
      </x:c>
      <x:c r="K907" t="n">
        <x:v>0</x:v>
      </x:c>
      <x:c r="L907" t="n">
        <x:f>ROUND(F907*K907/100,2)</x:f>
        <x:v>0</x:v>
      </x:c>
      <x:c r="M907" t="n">
        <x:v>100</x:v>
      </x:c>
      <x:c r="N907" t="n">
        <x:f>ROUND(F907*M907/100,2)</x:f>
        <x:v>6</x:v>
      </x:c>
      <x:c r="O907" t="str">
        <x:v>实际用油重</x:v>
      </x:c>
    </x:row>
    <x:row r="908" ht="23" customHeight="1">
      <x:c r="A908" t="n">
        <x:v>152</x:v>
      </x:c>
      <x:c r="B908" t="n">
        <x:v>76</x:v>
      </x:c>
      <x:c r="C908" t="str">
        <x:v>晚餐</x:v>
      </x:c>
      <x:c r="D908" t="str">
        <x:v>牛肉</x:v>
      </x:c>
      <x:c r="E908" t="str">
        <x:v>瘦牛肉</x:v>
      </x:c>
      <x:c r="F908" t="n">
        <x:v>160</x:v>
      </x:c>
      <x:c r="G908" t="n">
        <x:v>125</x:v>
      </x:c>
      <x:c r="H908" t="n">
        <x:f>ROUND(F908*G908/100,2)</x:f>
        <x:v>200</x:v>
      </x:c>
      <x:c r="I908" t="n">
        <x:v>21</x:v>
      </x:c>
      <x:c r="J908" t="n">
        <x:f>ROUND(F908*I908/100,2)</x:f>
        <x:v>33.6</x:v>
      </x:c>
      <x:c r="K908" t="n">
        <x:v>0</x:v>
      </x:c>
      <x:c r="L908" t="n">
        <x:f>ROUND(F908*K908/100,2)</x:f>
        <x:v>0</x:v>
      </x:c>
      <x:c r="M908" t="n">
        <x:v>4</x:v>
      </x:c>
      <x:c r="N908" t="n">
        <x:f>ROUND(F908*M908/100,2)</x:f>
        <x:v>6.4</x:v>
      </x:c>
      <x:c r="O908" t="str">
        <x:v>生重</x:v>
      </x:c>
    </x:row>
    <x:row r="909" ht="23" customHeight="1">
      <x:c r="A909" t="n">
        <x:v>152</x:v>
      </x:c>
      <x:c r="B909" t="n">
        <x:v>76</x:v>
      </x:c>
      <x:c r="C909" t="str">
        <x:v>晚餐</x:v>
      </x:c>
      <x:c r="D909" t="str"/>
      <x:c r="E909" t="str"/>
      <x:c r="F909" t="n">
        <x:v>0</x:v>
      </x:c>
      <x:c r="G909" t="n">
        <x:v>0</x:v>
      </x:c>
      <x:c r="H909" t="n">
        <x:f>ROUND(F909*G909/100,2)</x:f>
        <x:v>0</x:v>
      </x:c>
      <x:c r="I909" t="n">
        <x:v>0</x:v>
      </x:c>
      <x:c r="J909" t="n">
        <x:f>ROUND(F909*I909/100,2)</x:f>
        <x:v>0</x:v>
      </x:c>
      <x:c r="K909" t="n">
        <x:v>0</x:v>
      </x:c>
      <x:c r="L909" t="n">
        <x:f>ROUND(F909*K909/100,2)</x:f>
        <x:v>0</x:v>
      </x:c>
      <x:c r="M909" t="n">
        <x:v>0</x:v>
      </x:c>
      <x:c r="N909" t="n">
        <x:f>ROUND(F909*M909/100,2)</x:f>
        <x:v>0</x:v>
      </x:c>
      <x:c r="O909" t="str"/>
    </x:row>
    <x:row r="910" ht="23" customHeight="1">
      <x:c r="A910" t="n">
        <x:v>152</x:v>
      </x:c>
      <x:c r="B910" t="n">
        <x:v>76</x:v>
      </x:c>
      <x:c r="C910" t="str">
        <x:v>晚餐</x:v>
      </x:c>
      <x:c r="D910" t="str">
        <x:v>蔬菜</x:v>
      </x:c>
      <x:c r="E910" t="str">
        <x:v>娃娃菜</x:v>
      </x:c>
      <x:c r="F910" t="n">
        <x:v>160</x:v>
      </x:c>
      <x:c r="G910" t="n">
        <x:v>17</x:v>
      </x:c>
      <x:c r="H910" t="n">
        <x:f>ROUND(F910*G910/100,2)</x:f>
        <x:v>27.2</x:v>
      </x:c>
      <x:c r="I910" t="n">
        <x:v>1.3</x:v>
      </x:c>
      <x:c r="J910" t="n">
        <x:f>ROUND(F910*I910/100,2)</x:f>
        <x:v>2.08</x:v>
      </x:c>
      <x:c r="K910" t="n">
        <x:v>3</x:v>
      </x:c>
      <x:c r="L910" t="n">
        <x:f>ROUND(F910*K910/100,2)</x:f>
        <x:v>4.8</x:v>
      </x:c>
      <x:c r="M910" t="n">
        <x:v>0.2</x:v>
      </x:c>
      <x:c r="N910" t="n">
        <x:f>ROUND(F910*M910/100,2)</x:f>
        <x:v>0.32</x:v>
      </x:c>
      <x:c r="O910" t="str">
        <x:v>生重</x:v>
      </x:c>
    </x:row>
    <x:row r="911" ht="23" customHeight="1">
      <x:c r="A911" t="n">
        <x:v>152</x:v>
      </x:c>
      <x:c r="B911" t="n">
        <x:v>76</x:v>
      </x:c>
      <x:c r="C911" t="str">
        <x:v>晚餐</x:v>
      </x:c>
      <x:c r="D911" t="str">
        <x:v>蔬菜</x:v>
      </x:c>
      <x:c r="E911" t="str">
        <x:v>芦笋</x:v>
      </x:c>
      <x:c r="F911" t="n">
        <x:v>110</x:v>
      </x:c>
      <x:c r="G911" t="n">
        <x:v>20</x:v>
      </x:c>
      <x:c r="H911" t="n">
        <x:f>ROUND(F911*G911/100,2)</x:f>
        <x:v>22</x:v>
      </x:c>
      <x:c r="I911" t="n">
        <x:v>2.2</x:v>
      </x:c>
      <x:c r="J911" t="n">
        <x:f>ROUND(F911*I911/100,2)</x:f>
        <x:v>2.42</x:v>
      </x:c>
      <x:c r="K911" t="n">
        <x:v>3.9</x:v>
      </x:c>
      <x:c r="L911" t="n">
        <x:f>ROUND(F911*K911/100,2)</x:f>
        <x:v>4.29</x:v>
      </x:c>
      <x:c r="M911" t="n">
        <x:v>0.1</x:v>
      </x:c>
      <x:c r="N911" t="n">
        <x:f>ROUND(F911*M911/100,2)</x:f>
        <x:v>0.11</x:v>
      </x:c>
      <x:c r="O911" t="str">
        <x:v>生重</x:v>
      </x:c>
    </x:row>
    <x:row r="912" ht="23" customHeight="1">
      <x:c r="A912" t="n">
        <x:v>152</x:v>
      </x:c>
      <x:c r="B912" t="n">
        <x:v>76</x:v>
      </x:c>
      <x:c r="C912" t="str">
        <x:v>晚餐</x:v>
      </x:c>
      <x:c r="D912" t="str">
        <x:v>主食</x:v>
      </x:c>
      <x:c r="E912" t="str">
        <x:v>红薯</x:v>
      </x:c>
      <x:c r="F912" t="n">
        <x:v>125</x:v>
      </x:c>
      <x:c r="G912" t="n">
        <x:v>88</x:v>
      </x:c>
      <x:c r="H912" t="n">
        <x:f>ROUND(F912*G912/100,2)</x:f>
        <x:v>110</x:v>
      </x:c>
      <x:c r="I912" t="n">
        <x:v>1.6</x:v>
      </x:c>
      <x:c r="J912" t="n">
        <x:f>ROUND(F912*I912/100,2)</x:f>
        <x:v>2</x:v>
      </x:c>
      <x:c r="K912" t="n">
        <x:v>20.5</x:v>
      </x:c>
      <x:c r="L912" t="n">
        <x:f>ROUND(F912*K912/100,2)</x:f>
        <x:v>25.63</x:v>
      </x:c>
      <x:c r="M912" t="n">
        <x:v>0.1</x:v>
      </x:c>
      <x:c r="N912" t="n">
        <x:f>ROUND(F912*M912/100,2)</x:f>
        <x:v>0.13</x:v>
      </x:c>
      <x:c r="O912" t="str">
        <x:v>蒸熟净重</x:v>
      </x:c>
    </x:row>
    <x:row r="913" ht="23" customHeight="1">
      <x:c r="A913" t="n">
        <x:v>152</x:v>
      </x:c>
      <x:c r="B913" t="n">
        <x:v>76</x:v>
      </x:c>
      <x:c r="C913" t="str">
        <x:v>晚餐</x:v>
      </x:c>
      <x:c r="D913" t="str">
        <x:v>油脂</x:v>
      </x:c>
      <x:c r="E913" t="str">
        <x:v>烹调油</x:v>
      </x:c>
      <x:c r="F913" t="n">
        <x:v>5</x:v>
      </x:c>
      <x:c r="G913" t="n">
        <x:v>900</x:v>
      </x:c>
      <x:c r="H913" t="n">
        <x:f>ROUND(F913*G913/100,2)</x:f>
        <x:v>45</x:v>
      </x:c>
      <x:c r="I913" t="n">
        <x:v>0</x:v>
      </x:c>
      <x:c r="J913" t="n">
        <x:f>ROUND(F913*I913/100,2)</x:f>
        <x:v>0</x:v>
      </x:c>
      <x:c r="K913" t="n">
        <x:v>0</x:v>
      </x:c>
      <x:c r="L913" t="n">
        <x:f>ROUND(F913*K913/100,2)</x:f>
        <x:v>0</x:v>
      </x:c>
      <x:c r="M913" t="n">
        <x:v>100</x:v>
      </x:c>
      <x:c r="N913" t="n">
        <x:f>ROUND(F913*M913/100,2)</x:f>
        <x:v>5</x:v>
      </x:c>
      <x:c r="O913" t="str">
        <x:v>实际用油重</x:v>
      </x:c>
    </x:row>
    <x:row r="914" ht="23" customHeight="1">
      <x:c r="A914" t="n">
        <x:v>153</x:v>
      </x:c>
      <x:c r="B914" t="n">
        <x:v>77</x:v>
      </x:c>
      <x:c r="C914" t="str">
        <x:v>午餐</x:v>
      </x:c>
      <x:c r="D914" t="str">
        <x:v>鱼类</x:v>
      </x:c>
      <x:c r="E914" t="str">
        <x:v>鲈鱼</x:v>
      </x:c>
      <x:c r="F914" t="n">
        <x:v>175</x:v>
      </x:c>
      <x:c r="G914" t="n">
        <x:v>105</x:v>
      </x:c>
      <x:c r="H914" t="n">
        <x:f>ROUND(F914*G914/100,2)</x:f>
        <x:v>183.75</x:v>
      </x:c>
      <x:c r="I914" t="n">
        <x:v>19</x:v>
      </x:c>
      <x:c r="J914" t="n">
        <x:f>ROUND(F914*I914/100,2)</x:f>
        <x:v>33.25</x:v>
      </x:c>
      <x:c r="K914" t="n">
        <x:v>0</x:v>
      </x:c>
      <x:c r="L914" t="n">
        <x:f>ROUND(F914*K914/100,2)</x:f>
        <x:v>0</x:v>
      </x:c>
      <x:c r="M914" t="n">
        <x:v>3</x:v>
      </x:c>
      <x:c r="N914" t="n">
        <x:f>ROUND(F914*M914/100,2)</x:f>
        <x:v>5.25</x:v>
      </x:c>
      <x:c r="O914" t="str">
        <x:v>净鱼肉生重</x:v>
      </x:c>
    </x:row>
    <x:row r="915" ht="23" customHeight="1">
      <x:c r="A915" t="n">
        <x:v>153</x:v>
      </x:c>
      <x:c r="B915" t="n">
        <x:v>77</x:v>
      </x:c>
      <x:c r="C915" t="str">
        <x:v>午餐</x:v>
      </x:c>
      <x:c r="D915" t="str"/>
      <x:c r="E915" t="str"/>
      <x:c r="F915" t="n">
        <x:v>0</x:v>
      </x:c>
      <x:c r="G915" t="n">
        <x:v>0</x:v>
      </x:c>
      <x:c r="H915" t="n">
        <x:f>ROUND(F915*G915/100,2)</x:f>
        <x:v>0</x:v>
      </x:c>
      <x:c r="I915" t="n">
        <x:v>0</x:v>
      </x:c>
      <x:c r="J915" t="n">
        <x:f>ROUND(F915*I915/100,2)</x:f>
        <x:v>0</x:v>
      </x:c>
      <x:c r="K915" t="n">
        <x:v>0</x:v>
      </x:c>
      <x:c r="L915" t="n">
        <x:f>ROUND(F915*K915/100,2)</x:f>
        <x:v>0</x:v>
      </x:c>
      <x:c r="M915" t="n">
        <x:v>0</x:v>
      </x:c>
      <x:c r="N915" t="n">
        <x:f>ROUND(F915*M915/100,2)</x:f>
        <x:v>0</x:v>
      </x:c>
      <x:c r="O915" t="str"/>
    </x:row>
    <x:row r="916" ht="23" customHeight="1">
      <x:c r="A916" t="n">
        <x:v>153</x:v>
      </x:c>
      <x:c r="B916" t="n">
        <x:v>77</x:v>
      </x:c>
      <x:c r="C916" t="str">
        <x:v>午餐</x:v>
      </x:c>
      <x:c r="D916" t="str">
        <x:v>蔬菜</x:v>
      </x:c>
      <x:c r="E916" t="str">
        <x:v>生菜</x:v>
      </x:c>
      <x:c r="F916" t="n">
        <x:v>160</x:v>
      </x:c>
      <x:c r="G916" t="n">
        <x:v>16</x:v>
      </x:c>
      <x:c r="H916" t="n">
        <x:f>ROUND(F916*G916/100,2)</x:f>
        <x:v>25.6</x:v>
      </x:c>
      <x:c r="I916" t="n">
        <x:v>1.4</x:v>
      </x:c>
      <x:c r="J916" t="n">
        <x:f>ROUND(F916*I916/100,2)</x:f>
        <x:v>2.24</x:v>
      </x:c>
      <x:c r="K916" t="n">
        <x:v>2.9</x:v>
      </x:c>
      <x:c r="L916" t="n">
        <x:f>ROUND(F916*K916/100,2)</x:f>
        <x:v>4.64</x:v>
      </x:c>
      <x:c r="M916" t="n">
        <x:v>0.1</x:v>
      </x:c>
      <x:c r="N916" t="n">
        <x:f>ROUND(F916*M916/100,2)</x:f>
        <x:v>0.16</x:v>
      </x:c>
      <x:c r="O916" t="str">
        <x:v>生重</x:v>
      </x:c>
    </x:row>
    <x:row r="917" ht="23" customHeight="1">
      <x:c r="A917" t="n">
        <x:v>153</x:v>
      </x:c>
      <x:c r="B917" t="n">
        <x:v>77</x:v>
      </x:c>
      <x:c r="C917" t="str">
        <x:v>午餐</x:v>
      </x:c>
      <x:c r="D917" t="str">
        <x:v>蔬菜</x:v>
      </x:c>
      <x:c r="E917" t="str">
        <x:v>番茄</x:v>
      </x:c>
      <x:c r="F917" t="n">
        <x:v>110</x:v>
      </x:c>
      <x:c r="G917" t="n">
        <x:v>20</x:v>
      </x:c>
      <x:c r="H917" t="n">
        <x:f>ROUND(F917*G917/100,2)</x:f>
        <x:v>22</x:v>
      </x:c>
      <x:c r="I917" t="n">
        <x:v>0.9</x:v>
      </x:c>
      <x:c r="J917" t="n">
        <x:f>ROUND(F917*I917/100,2)</x:f>
        <x:v>0.99</x:v>
      </x:c>
      <x:c r="K917" t="n">
        <x:v>4</x:v>
      </x:c>
      <x:c r="L917" t="n">
        <x:f>ROUND(F917*K917/100,2)</x:f>
        <x:v>4.4</x:v>
      </x:c>
      <x:c r="M917" t="n">
        <x:v>0.2</x:v>
      </x:c>
      <x:c r="N917" t="n">
        <x:f>ROUND(F917*M917/100,2)</x:f>
        <x:v>0.22</x:v>
      </x:c>
      <x:c r="O917" t="str">
        <x:v>生重</x:v>
      </x:c>
    </x:row>
    <x:row r="918" ht="23" customHeight="1">
      <x:c r="A918" t="n">
        <x:v>153</x:v>
      </x:c>
      <x:c r="B918" t="n">
        <x:v>77</x:v>
      </x:c>
      <x:c r="C918" t="str">
        <x:v>午餐</x:v>
      </x:c>
      <x:c r="D918" t="str">
        <x:v>主食</x:v>
      </x:c>
      <x:c r="E918" t="str">
        <x:v>山药</x:v>
      </x:c>
      <x:c r="F918" t="n">
        <x:v>130</x:v>
      </x:c>
      <x:c r="G918" t="n">
        <x:v>62</x:v>
      </x:c>
      <x:c r="H918" t="n">
        <x:f>ROUND(F918*G918/100,2)</x:f>
        <x:v>80.6</x:v>
      </x:c>
      <x:c r="I918" t="n">
        <x:v>1.5</x:v>
      </x:c>
      <x:c r="J918" t="n">
        <x:f>ROUND(F918*I918/100,2)</x:f>
        <x:v>1.95</x:v>
      </x:c>
      <x:c r="K918" t="n">
        <x:v>14.1</x:v>
      </x:c>
      <x:c r="L918" t="n">
        <x:f>ROUND(F918*K918/100,2)</x:f>
        <x:v>18.33</x:v>
      </x:c>
      <x:c r="M918" t="n">
        <x:v>0.1</x:v>
      </x:c>
      <x:c r="N918" t="n">
        <x:f>ROUND(F918*M918/100,2)</x:f>
        <x:v>0.13</x:v>
      </x:c>
      <x:c r="O918" t="str">
        <x:v>蒸熟净重</x:v>
      </x:c>
    </x:row>
    <x:row r="919" ht="23" customHeight="1">
      <x:c r="A919" t="n">
        <x:v>153</x:v>
      </x:c>
      <x:c r="B919" t="n">
        <x:v>77</x:v>
      </x:c>
      <x:c r="C919" t="str">
        <x:v>午餐</x:v>
      </x:c>
      <x:c r="D919" t="str">
        <x:v>油脂</x:v>
      </x:c>
      <x:c r="E919" t="str">
        <x:v>烹调油</x:v>
      </x:c>
      <x:c r="F919" t="n">
        <x:v>6</x:v>
      </x:c>
      <x:c r="G919" t="n">
        <x:v>900</x:v>
      </x:c>
      <x:c r="H919" t="n">
        <x:f>ROUND(F919*G919/100,2)</x:f>
        <x:v>54</x:v>
      </x:c>
      <x:c r="I919" t="n">
        <x:v>0</x:v>
      </x:c>
      <x:c r="J919" t="n">
        <x:f>ROUND(F919*I919/100,2)</x:f>
        <x:v>0</x:v>
      </x:c>
      <x:c r="K919" t="n">
        <x:v>0</x:v>
      </x:c>
      <x:c r="L919" t="n">
        <x:f>ROUND(F919*K919/100,2)</x:f>
        <x:v>0</x:v>
      </x:c>
      <x:c r="M919" t="n">
        <x:v>100</x:v>
      </x:c>
      <x:c r="N919" t="n">
        <x:f>ROUND(F919*M919/100,2)</x:f>
        <x:v>6</x:v>
      </x:c>
      <x:c r="O919" t="str">
        <x:v>实际用油重</x:v>
      </x:c>
    </x:row>
    <x:row r="920" ht="23" customHeight="1">
      <x:c r="A920" t="n">
        <x:v>154</x:v>
      </x:c>
      <x:c r="B920" t="n">
        <x:v>77</x:v>
      </x:c>
      <x:c r="C920" t="str">
        <x:v>晚餐</x:v>
      </x:c>
      <x:c r="D920" t="str">
        <x:v>海鲜</x:v>
      </x:c>
      <x:c r="E920" t="str">
        <x:v>虾仁</x:v>
      </x:c>
      <x:c r="F920" t="n">
        <x:v>175</x:v>
      </x:c>
      <x:c r="G920" t="n">
        <x:v>90</x:v>
      </x:c>
      <x:c r="H920" t="n">
        <x:f>ROUND(F920*G920/100,2)</x:f>
        <x:v>157.5</x:v>
      </x:c>
      <x:c r="I920" t="n">
        <x:v>19</x:v>
      </x:c>
      <x:c r="J920" t="n">
        <x:f>ROUND(F920*I920/100,2)</x:f>
        <x:v>33.25</x:v>
      </x:c>
      <x:c r="K920" t="n">
        <x:v>0.4</x:v>
      </x:c>
      <x:c r="L920" t="n">
        <x:f>ROUND(F920*K920/100,2)</x:f>
        <x:v>0.7</x:v>
      </x:c>
      <x:c r="M920" t="n">
        <x:v>1.1</x:v>
      </x:c>
      <x:c r="N920" t="n">
        <x:f>ROUND(F920*M920/100,2)</x:f>
        <x:v>1.93</x:v>
      </x:c>
      <x:c r="O920" t="str">
        <x:v>生重</x:v>
      </x:c>
    </x:row>
    <x:row r="921" ht="23" customHeight="1">
      <x:c r="A921" t="n">
        <x:v>154</x:v>
      </x:c>
      <x:c r="B921" t="n">
        <x:v>77</x:v>
      </x:c>
      <x:c r="C921" t="str">
        <x:v>晚餐</x:v>
      </x:c>
      <x:c r="D921" t="str"/>
      <x:c r="E921" t="str"/>
      <x:c r="F921" t="n">
        <x:v>0</x:v>
      </x:c>
      <x:c r="G921" t="n">
        <x:v>0</x:v>
      </x:c>
      <x:c r="H921" t="n">
        <x:f>ROUND(F921*G921/100,2)</x:f>
        <x:v>0</x:v>
      </x:c>
      <x:c r="I921" t="n">
        <x:v>0</x:v>
      </x:c>
      <x:c r="J921" t="n">
        <x:f>ROUND(F921*I921/100,2)</x:f>
        <x:v>0</x:v>
      </x:c>
      <x:c r="K921" t="n">
        <x:v>0</x:v>
      </x:c>
      <x:c r="L921" t="n">
        <x:f>ROUND(F921*K921/100,2)</x:f>
        <x:v>0</x:v>
      </x:c>
      <x:c r="M921" t="n">
        <x:v>0</x:v>
      </x:c>
      <x:c r="N921" t="n">
        <x:f>ROUND(F921*M921/100,2)</x:f>
        <x:v>0</x:v>
      </x:c>
      <x:c r="O921" t="str"/>
    </x:row>
    <x:row r="922" ht="23" customHeight="1">
      <x:c r="A922" t="n">
        <x:v>154</x:v>
      </x:c>
      <x:c r="B922" t="n">
        <x:v>77</x:v>
      </x:c>
      <x:c r="C922" t="str">
        <x:v>晚餐</x:v>
      </x:c>
      <x:c r="D922" t="str">
        <x:v>蔬菜</x:v>
      </x:c>
      <x:c r="E922" t="str">
        <x:v>苦瓜</x:v>
      </x:c>
      <x:c r="F922" t="n">
        <x:v>175</x:v>
      </x:c>
      <x:c r="G922" t="n">
        <x:v>19</x:v>
      </x:c>
      <x:c r="H922" t="n">
        <x:f>ROUND(F922*G922/100,2)</x:f>
        <x:v>33.25</x:v>
      </x:c>
      <x:c r="I922" t="n">
        <x:v>1</x:v>
      </x:c>
      <x:c r="J922" t="n">
        <x:f>ROUND(F922*I922/100,2)</x:f>
        <x:v>1.75</x:v>
      </x:c>
      <x:c r="K922" t="n">
        <x:v>4.1</x:v>
      </x:c>
      <x:c r="L922" t="n">
        <x:f>ROUND(F922*K922/100,2)</x:f>
        <x:v>7.17</x:v>
      </x:c>
      <x:c r="M922" t="n">
        <x:v>0.2</x:v>
      </x:c>
      <x:c r="N922" t="n">
        <x:f>ROUND(F922*M922/100,2)</x:f>
        <x:v>0.35</x:v>
      </x:c>
      <x:c r="O922" t="str">
        <x:v>生重</x:v>
      </x:c>
    </x:row>
    <x:row r="923" ht="23" customHeight="1">
      <x:c r="A923" t="n">
        <x:v>154</x:v>
      </x:c>
      <x:c r="B923" t="n">
        <x:v>77</x:v>
      </x:c>
      <x:c r="C923" t="str">
        <x:v>晚餐</x:v>
      </x:c>
      <x:c r="D923" t="str">
        <x:v>蔬菜</x:v>
      </x:c>
      <x:c r="E923" t="str">
        <x:v>莴笋</x:v>
      </x:c>
      <x:c r="F923" t="n">
        <x:v>110</x:v>
      </x:c>
      <x:c r="G923" t="n">
        <x:v>15</x:v>
      </x:c>
      <x:c r="H923" t="n">
        <x:f>ROUND(F923*G923/100,2)</x:f>
        <x:v>16.5</x:v>
      </x:c>
      <x:c r="I923" t="n">
        <x:v>1</x:v>
      </x:c>
      <x:c r="J923" t="n">
        <x:f>ROUND(F923*I923/100,2)</x:f>
        <x:v>1.1</x:v>
      </x:c>
      <x:c r="K923" t="n">
        <x:v>2.8</x:v>
      </x:c>
      <x:c r="L923" t="n">
        <x:f>ROUND(F923*K923/100,2)</x:f>
        <x:v>3.08</x:v>
      </x:c>
      <x:c r="M923" t="n">
        <x:v>0.1</x:v>
      </x:c>
      <x:c r="N923" t="n">
        <x:f>ROUND(F923*M923/100,2)</x:f>
        <x:v>0.11</x:v>
      </x:c>
      <x:c r="O923" t="str">
        <x:v>生重</x:v>
      </x:c>
    </x:row>
    <x:row r="924" ht="23" customHeight="1">
      <x:c r="A924" t="n">
        <x:v>154</x:v>
      </x:c>
      <x:c r="B924" t="n">
        <x:v>77</x:v>
      </x:c>
      <x:c r="C924" t="str">
        <x:v>晚餐</x:v>
      </x:c>
      <x:c r="D924" t="str">
        <x:v>主食</x:v>
      </x:c>
      <x:c r="E924" t="str">
        <x:v>紫薯</x:v>
      </x:c>
      <x:c r="F924" t="n">
        <x:v>145</x:v>
      </x:c>
      <x:c r="G924" t="n">
        <x:v>95</x:v>
      </x:c>
      <x:c r="H924" t="n">
        <x:f>ROUND(F924*G924/100,2)</x:f>
        <x:v>137.75</x:v>
      </x:c>
      <x:c r="I924" t="n">
        <x:v>1.6</x:v>
      </x:c>
      <x:c r="J924" t="n">
        <x:f>ROUND(F924*I924/100,2)</x:f>
        <x:v>2.32</x:v>
      </x:c>
      <x:c r="K924" t="n">
        <x:v>22</x:v>
      </x:c>
      <x:c r="L924" t="n">
        <x:f>ROUND(F924*K924/100,2)</x:f>
        <x:v>31.9</x:v>
      </x:c>
      <x:c r="M924" t="n">
        <x:v>0.1</x:v>
      </x:c>
      <x:c r="N924" t="n">
        <x:f>ROUND(F924*M924/100,2)</x:f>
        <x:v>0.14</x:v>
      </x:c>
      <x:c r="O924" t="str">
        <x:v>蒸熟净重</x:v>
      </x:c>
    </x:row>
    <x:row r="925" ht="23" customHeight="1">
      <x:c r="A925" t="n">
        <x:v>154</x:v>
      </x:c>
      <x:c r="B925" t="n">
        <x:v>77</x:v>
      </x:c>
      <x:c r="C925" t="str">
        <x:v>晚餐</x:v>
      </x:c>
      <x:c r="D925" t="str">
        <x:v>油脂</x:v>
      </x:c>
      <x:c r="E925" t="str">
        <x:v>烹调油</x:v>
      </x:c>
      <x:c r="F925" t="n">
        <x:v>3</x:v>
      </x:c>
      <x:c r="G925" t="n">
        <x:v>900</x:v>
      </x:c>
      <x:c r="H925" t="n">
        <x:f>ROUND(F925*G925/100,2)</x:f>
        <x:v>27</x:v>
      </x:c>
      <x:c r="I925" t="n">
        <x:v>0</x:v>
      </x:c>
      <x:c r="J925" t="n">
        <x:f>ROUND(F925*I925/100,2)</x:f>
        <x:v>0</x:v>
      </x:c>
      <x:c r="K925" t="n">
        <x:v>0</x:v>
      </x:c>
      <x:c r="L925" t="n">
        <x:f>ROUND(F925*K925/100,2)</x:f>
        <x:v>0</x:v>
      </x:c>
      <x:c r="M925" t="n">
        <x:v>100</x:v>
      </x:c>
      <x:c r="N925" t="n">
        <x:f>ROUND(F925*M925/100,2)</x:f>
        <x:v>3</x:v>
      </x:c>
      <x:c r="O925" t="str">
        <x:v>实际用油重</x:v>
      </x:c>
    </x:row>
    <x:row r="926" ht="23" customHeight="1">
      <x:c r="A926" t="n">
        <x:v>155</x:v>
      </x:c>
      <x:c r="B926" t="n">
        <x:v>78</x:v>
      </x:c>
      <x:c r="C926" t="str">
        <x:v>午餐</x:v>
      </x:c>
      <x:c r="D926" t="str">
        <x:v>豆蛋</x:v>
      </x:c>
      <x:c r="E926" t="str">
        <x:v>嫩豆腐</x:v>
      </x:c>
      <x:c r="F926" t="n">
        <x:v>280</x:v>
      </x:c>
      <x:c r="G926" t="n">
        <x:v>55</x:v>
      </x:c>
      <x:c r="H926" t="n">
        <x:f>ROUND(F926*G926/100,2)</x:f>
        <x:v>154</x:v>
      </x:c>
      <x:c r="I926" t="n">
        <x:v>5</x:v>
      </x:c>
      <x:c r="J926" t="n">
        <x:f>ROUND(F926*I926/100,2)</x:f>
        <x:v>14</x:v>
      </x:c>
      <x:c r="K926" t="n">
        <x:v>2</x:v>
      </x:c>
      <x:c r="L926" t="n">
        <x:f>ROUND(F926*K926/100,2)</x:f>
        <x:v>5.6</x:v>
      </x:c>
      <x:c r="M926" t="n">
        <x:v>2.8</x:v>
      </x:c>
      <x:c r="N926" t="n">
        <x:f>ROUND(F926*M926/100,2)</x:f>
        <x:v>7.84</x:v>
      </x:c>
      <x:c r="O926" t="str">
        <x:v>净重</x:v>
      </x:c>
    </x:row>
    <x:row r="927" ht="23" customHeight="1">
      <x:c r="A927" t="n">
        <x:v>155</x:v>
      </x:c>
      <x:c r="B927" t="n">
        <x:v>78</x:v>
      </x:c>
      <x:c r="C927" t="str">
        <x:v>午餐</x:v>
      </x:c>
      <x:c r="D927" t="str">
        <x:v>豆蛋</x:v>
      </x:c>
      <x:c r="E927" t="str">
        <x:v>熟毛豆仁</x:v>
      </x:c>
      <x:c r="F927" t="n">
        <x:v>50</x:v>
      </x:c>
      <x:c r="G927" t="n">
        <x:v>120</x:v>
      </x:c>
      <x:c r="H927" t="n">
        <x:f>ROUND(F927*G927/100,2)</x:f>
        <x:v>60</x:v>
      </x:c>
      <x:c r="I927" t="n">
        <x:v>12</x:v>
      </x:c>
      <x:c r="J927" t="n">
        <x:f>ROUND(F927*I927/100,2)</x:f>
        <x:v>6</x:v>
      </x:c>
      <x:c r="K927" t="n">
        <x:v>9</x:v>
      </x:c>
      <x:c r="L927" t="n">
        <x:f>ROUND(F927*K927/100,2)</x:f>
        <x:v>4.5</x:v>
      </x:c>
      <x:c r="M927" t="n">
        <x:v>5</x:v>
      </x:c>
      <x:c r="N927" t="n">
        <x:f>ROUND(F927*M927/100,2)</x:f>
        <x:v>2.5</x:v>
      </x:c>
      <x:c r="O927" t="str">
        <x:v>熟重</x:v>
      </x:c>
    </x:row>
    <x:row r="928" ht="23" customHeight="1">
      <x:c r="A928" t="n">
        <x:v>155</x:v>
      </x:c>
      <x:c r="B928" t="n">
        <x:v>78</x:v>
      </x:c>
      <x:c r="C928" t="str">
        <x:v>午餐</x:v>
      </x:c>
      <x:c r="D928" t="str">
        <x:v>蔬菜</x:v>
      </x:c>
      <x:c r="E928" t="str">
        <x:v>茼蒿</x:v>
      </x:c>
      <x:c r="F928" t="n">
        <x:v>175</x:v>
      </x:c>
      <x:c r="G928" t="n">
        <x:v>24</x:v>
      </x:c>
      <x:c r="H928" t="n">
        <x:f>ROUND(F928*G928/100,2)</x:f>
        <x:v>42</x:v>
      </x:c>
      <x:c r="I928" t="n">
        <x:v>1.9</x:v>
      </x:c>
      <x:c r="J928" t="n">
        <x:f>ROUND(F928*I928/100,2)</x:f>
        <x:v>3.33</x:v>
      </x:c>
      <x:c r="K928" t="n">
        <x:v>4.3</x:v>
      </x:c>
      <x:c r="L928" t="n">
        <x:f>ROUND(F928*K928/100,2)</x:f>
        <x:v>7.53</x:v>
      </x:c>
      <x:c r="M928" t="n">
        <x:v>0.3</x:v>
      </x:c>
      <x:c r="N928" t="n">
        <x:f>ROUND(F928*M928/100,2)</x:f>
        <x:v>0.53</x:v>
      </x:c>
      <x:c r="O928" t="str">
        <x:v>生重</x:v>
      </x:c>
    </x:row>
    <x:row r="929" ht="23" customHeight="1">
      <x:c r="A929" t="n">
        <x:v>155</x:v>
      </x:c>
      <x:c r="B929" t="n">
        <x:v>78</x:v>
      </x:c>
      <x:c r="C929" t="str">
        <x:v>午餐</x:v>
      </x:c>
      <x:c r="D929" t="str">
        <x:v>菌菇</x:v>
      </x:c>
      <x:c r="E929" t="str">
        <x:v>泡发木耳</x:v>
      </x:c>
      <x:c r="F929" t="n">
        <x:v>155</x:v>
      </x:c>
      <x:c r="G929" t="n">
        <x:v>25</x:v>
      </x:c>
      <x:c r="H929" t="n">
        <x:f>ROUND(F929*G929/100,2)</x:f>
        <x:v>38.75</x:v>
      </x:c>
      <x:c r="I929" t="n">
        <x:v>1.5</x:v>
      </x:c>
      <x:c r="J929" t="n">
        <x:f>ROUND(F929*I929/100,2)</x:f>
        <x:v>2.33</x:v>
      </x:c>
      <x:c r="K929" t="n">
        <x:v>6</x:v>
      </x:c>
      <x:c r="L929" t="n">
        <x:f>ROUND(F929*K929/100,2)</x:f>
        <x:v>9.3</x:v>
      </x:c>
      <x:c r="M929" t="n">
        <x:v>0.1</x:v>
      </x:c>
      <x:c r="N929" t="n">
        <x:f>ROUND(F929*M929/100,2)</x:f>
        <x:v>0.16</x:v>
      </x:c>
      <x:c r="O929" t="str">
        <x:v>泡发沥水重</x:v>
      </x:c>
    </x:row>
    <x:row r="930" ht="23" customHeight="1">
      <x:c r="A930" t="n">
        <x:v>155</x:v>
      </x:c>
      <x:c r="B930" t="n">
        <x:v>78</x:v>
      </x:c>
      <x:c r="C930" t="str">
        <x:v>午餐</x:v>
      </x:c>
      <x:c r="D930" t="str">
        <x:v>主食</x:v>
      </x:c>
      <x:c r="E930" t="str">
        <x:v>藜麦饭</x:v>
      </x:c>
      <x:c r="F930" t="n">
        <x:v>150</x:v>
      </x:c>
      <x:c r="G930" t="n">
        <x:v>120</x:v>
      </x:c>
      <x:c r="H930" t="n">
        <x:f>ROUND(F930*G930/100,2)</x:f>
        <x:v>180</x:v>
      </x:c>
      <x:c r="I930" t="n">
        <x:v>4.4</x:v>
      </x:c>
      <x:c r="J930" t="n">
        <x:f>ROUND(F930*I930/100,2)</x:f>
        <x:v>6.6</x:v>
      </x:c>
      <x:c r="K930" t="n">
        <x:v>21.3</x:v>
      </x:c>
      <x:c r="L930" t="n">
        <x:f>ROUND(F930*K930/100,2)</x:f>
        <x:v>31.95</x:v>
      </x:c>
      <x:c r="M930" t="n">
        <x:v>1.9</x:v>
      </x:c>
      <x:c r="N930" t="n">
        <x:f>ROUND(F930*M930/100,2)</x:f>
        <x:v>2.85</x:v>
      </x:c>
      <x:c r="O930" t="str">
        <x:v>熟重</x:v>
      </x:c>
    </x:row>
    <x:row r="931" ht="23" customHeight="1">
      <x:c r="A931" t="n">
        <x:v>155</x:v>
      </x:c>
      <x:c r="B931" t="n">
        <x:v>78</x:v>
      </x:c>
      <x:c r="C931" t="str">
        <x:v>午餐</x:v>
      </x:c>
      <x:c r="D931" t="str">
        <x:v>油脂</x:v>
      </x:c>
      <x:c r="E931" t="str">
        <x:v>烹调油</x:v>
      </x:c>
      <x:c r="F931" t="n">
        <x:v>6</x:v>
      </x:c>
      <x:c r="G931" t="n">
        <x:v>900</x:v>
      </x:c>
      <x:c r="H931" t="n">
        <x:f>ROUND(F931*G931/100,2)</x:f>
        <x:v>54</x:v>
      </x:c>
      <x:c r="I931" t="n">
        <x:v>0</x:v>
      </x:c>
      <x:c r="J931" t="n">
        <x:f>ROUND(F931*I931/100,2)</x:f>
        <x:v>0</x:v>
      </x:c>
      <x:c r="K931" t="n">
        <x:v>0</x:v>
      </x:c>
      <x:c r="L931" t="n">
        <x:f>ROUND(F931*K931/100,2)</x:f>
        <x:v>0</x:v>
      </x:c>
      <x:c r="M931" t="n">
        <x:v>100</x:v>
      </x:c>
      <x:c r="N931" t="n">
        <x:f>ROUND(F931*M931/100,2)</x:f>
        <x:v>6</x:v>
      </x:c>
      <x:c r="O931" t="str">
        <x:v>实际用油重</x:v>
      </x:c>
    </x:row>
    <x:row r="932" ht="23" customHeight="1">
      <x:c r="A932" t="n">
        <x:v>156</x:v>
      </x:c>
      <x:c r="B932" t="n">
        <x:v>78</x:v>
      </x:c>
      <x:c r="C932" t="str">
        <x:v>晚餐</x:v>
      </x:c>
      <x:c r="D932" t="str">
        <x:v>海鲜</x:v>
      </x:c>
      <x:c r="E932" t="str">
        <x:v>鱿鱼</x:v>
      </x:c>
      <x:c r="F932" t="n">
        <x:v>160</x:v>
      </x:c>
      <x:c r="G932" t="n">
        <x:v>95</x:v>
      </x:c>
      <x:c r="H932" t="n">
        <x:f>ROUND(F932*G932/100,2)</x:f>
        <x:v>152</x:v>
      </x:c>
      <x:c r="I932" t="n">
        <x:v>17</x:v>
      </x:c>
      <x:c r="J932" t="n">
        <x:f>ROUND(F932*I932/100,2)</x:f>
        <x:v>27.2</x:v>
      </x:c>
      <x:c r="K932" t="n">
        <x:v>2</x:v>
      </x:c>
      <x:c r="L932" t="n">
        <x:f>ROUND(F932*K932/100,2)</x:f>
        <x:v>3.2</x:v>
      </x:c>
      <x:c r="M932" t="n">
        <x:v>1.4</x:v>
      </x:c>
      <x:c r="N932" t="n">
        <x:f>ROUND(F932*M932/100,2)</x:f>
        <x:v>2.24</x:v>
      </x:c>
      <x:c r="O932" t="str">
        <x:v>生重</x:v>
      </x:c>
    </x:row>
    <x:row r="933" ht="23" customHeight="1">
      <x:c r="A933" t="n">
        <x:v>156</x:v>
      </x:c>
      <x:c r="B933" t="n">
        <x:v>78</x:v>
      </x:c>
      <x:c r="C933" t="str">
        <x:v>晚餐</x:v>
      </x:c>
      <x:c r="D933" t="str"/>
      <x:c r="E933" t="str"/>
      <x:c r="F933" t="n">
        <x:v>0</x:v>
      </x:c>
      <x:c r="G933" t="n">
        <x:v>0</x:v>
      </x:c>
      <x:c r="H933" t="n">
        <x:f>ROUND(F933*G933/100,2)</x:f>
        <x:v>0</x:v>
      </x:c>
      <x:c r="I933" t="n">
        <x:v>0</x:v>
      </x:c>
      <x:c r="J933" t="n">
        <x:f>ROUND(F933*I933/100,2)</x:f>
        <x:v>0</x:v>
      </x:c>
      <x:c r="K933" t="n">
        <x:v>0</x:v>
      </x:c>
      <x:c r="L933" t="n">
        <x:f>ROUND(F933*K933/100,2)</x:f>
        <x:v>0</x:v>
      </x:c>
      <x:c r="M933" t="n">
        <x:v>0</x:v>
      </x:c>
      <x:c r="N933" t="n">
        <x:f>ROUND(F933*M933/100,2)</x:f>
        <x:v>0</x:v>
      </x:c>
      <x:c r="O933" t="str"/>
    </x:row>
    <x:row r="934" ht="23" customHeight="1">
      <x:c r="A934" t="n">
        <x:v>156</x:v>
      </x:c>
      <x:c r="B934" t="n">
        <x:v>78</x:v>
      </x:c>
      <x:c r="C934" t="str">
        <x:v>晚餐</x:v>
      </x:c>
      <x:c r="D934" t="str">
        <x:v>蔬菜</x:v>
      </x:c>
      <x:c r="E934" t="str">
        <x:v>苦瓜</x:v>
      </x:c>
      <x:c r="F934" t="n">
        <x:v>160</x:v>
      </x:c>
      <x:c r="G934" t="n">
        <x:v>19</x:v>
      </x:c>
      <x:c r="H934" t="n">
        <x:f>ROUND(F934*G934/100,2)</x:f>
        <x:v>30.4</x:v>
      </x:c>
      <x:c r="I934" t="n">
        <x:v>1</x:v>
      </x:c>
      <x:c r="J934" t="n">
        <x:f>ROUND(F934*I934/100,2)</x:f>
        <x:v>1.6</x:v>
      </x:c>
      <x:c r="K934" t="n">
        <x:v>4.1</x:v>
      </x:c>
      <x:c r="L934" t="n">
        <x:f>ROUND(F934*K934/100,2)</x:f>
        <x:v>6.56</x:v>
      </x:c>
      <x:c r="M934" t="n">
        <x:v>0.2</x:v>
      </x:c>
      <x:c r="N934" t="n">
        <x:f>ROUND(F934*M934/100,2)</x:f>
        <x:v>0.32</x:v>
      </x:c>
      <x:c r="O934" t="str">
        <x:v>生重</x:v>
      </x:c>
    </x:row>
    <x:row r="935" ht="23" customHeight="1">
      <x:c r="A935" t="n">
        <x:v>156</x:v>
      </x:c>
      <x:c r="B935" t="n">
        <x:v>78</x:v>
      </x:c>
      <x:c r="C935" t="str">
        <x:v>晚餐</x:v>
      </x:c>
      <x:c r="D935" t="str">
        <x:v>菌菇</x:v>
      </x:c>
      <x:c r="E935" t="str">
        <x:v>杏鲍菇</x:v>
      </x:c>
      <x:c r="F935" t="n">
        <x:v>140</x:v>
      </x:c>
      <x:c r="G935" t="n">
        <x:v>35</x:v>
      </x:c>
      <x:c r="H935" t="n">
        <x:f>ROUND(F935*G935/100,2)</x:f>
        <x:v>49</x:v>
      </x:c>
      <x:c r="I935" t="n">
        <x:v>2</x:v>
      </x:c>
      <x:c r="J935" t="n">
        <x:f>ROUND(F935*I935/100,2)</x:f>
        <x:v>2.8</x:v>
      </x:c>
      <x:c r="K935" t="n">
        <x:v>7.4</x:v>
      </x:c>
      <x:c r="L935" t="n">
        <x:f>ROUND(F935*K935/100,2)</x:f>
        <x:v>10.36</x:v>
      </x:c>
      <x:c r="M935" t="n">
        <x:v>0.3</x:v>
      </x:c>
      <x:c r="N935" t="n">
        <x:f>ROUND(F935*M935/100,2)</x:f>
        <x:v>0.42</x:v>
      </x:c>
      <x:c r="O935" t="str">
        <x:v>生重</x:v>
      </x:c>
    </x:row>
    <x:row r="936" ht="23" customHeight="1">
      <x:c r="A936" t="n">
        <x:v>156</x:v>
      </x:c>
      <x:c r="B936" t="n">
        <x:v>78</x:v>
      </x:c>
      <x:c r="C936" t="str">
        <x:v>晚餐</x:v>
      </x:c>
      <x:c r="D936" t="str">
        <x:v>主食</x:v>
      </x:c>
      <x:c r="E936" t="str">
        <x:v>玉米</x:v>
      </x:c>
      <x:c r="F936" t="n">
        <x:v>95</x:v>
      </x:c>
      <x:c r="G936" t="n">
        <x:v>105</x:v>
      </x:c>
      <x:c r="H936" t="n">
        <x:f>ROUND(F936*G936/100,2)</x:f>
        <x:v>99.75</x:v>
      </x:c>
      <x:c r="I936" t="n">
        <x:v>3.4</x:v>
      </x:c>
      <x:c r="J936" t="n">
        <x:f>ROUND(F936*I936/100,2)</x:f>
        <x:v>3.23</x:v>
      </x:c>
      <x:c r="K936" t="n">
        <x:v>22</x:v>
      </x:c>
      <x:c r="L936" t="n">
        <x:f>ROUND(F936*K936/100,2)</x:f>
        <x:v>20.9</x:v>
      </x:c>
      <x:c r="M936" t="n">
        <x:v>1.5</x:v>
      </x:c>
      <x:c r="N936" t="n">
        <x:f>ROUND(F936*M936/100,2)</x:f>
        <x:v>1.43</x:v>
      </x:c>
      <x:c r="O936" t="str">
        <x:v>蒸熟净重</x:v>
      </x:c>
    </x:row>
    <x:row r="937" ht="23" customHeight="1">
      <x:c r="A937" t="n">
        <x:v>156</x:v>
      </x:c>
      <x:c r="B937" t="n">
        <x:v>78</x:v>
      </x:c>
      <x:c r="C937" t="str">
        <x:v>晚餐</x:v>
      </x:c>
      <x:c r="D937" t="str">
        <x:v>油脂</x:v>
      </x:c>
      <x:c r="E937" t="str">
        <x:v>烹调油</x:v>
      </x:c>
      <x:c r="F937" t="n">
        <x:v>3</x:v>
      </x:c>
      <x:c r="G937" t="n">
        <x:v>900</x:v>
      </x:c>
      <x:c r="H937" t="n">
        <x:f>ROUND(F937*G937/100,2)</x:f>
        <x:v>27</x:v>
      </x:c>
      <x:c r="I937" t="n">
        <x:v>0</x:v>
      </x:c>
      <x:c r="J937" t="n">
        <x:f>ROUND(F937*I937/100,2)</x:f>
        <x:v>0</x:v>
      </x:c>
      <x:c r="K937" t="n">
        <x:v>0</x:v>
      </x:c>
      <x:c r="L937" t="n">
        <x:f>ROUND(F937*K937/100,2)</x:f>
        <x:v>0</x:v>
      </x:c>
      <x:c r="M937" t="n">
        <x:v>100</x:v>
      </x:c>
      <x:c r="N937" t="n">
        <x:f>ROUND(F937*M937/100,2)</x:f>
        <x:v>3</x:v>
      </x:c>
      <x:c r="O937" t="str">
        <x:v>实际用油重</x:v>
      </x:c>
    </x:row>
    <x:row r="938" ht="23" customHeight="1">
      <x:c r="A938" t="n">
        <x:v>157</x:v>
      </x:c>
      <x:c r="B938" t="n">
        <x:v>79</x:v>
      </x:c>
      <x:c r="C938" t="str">
        <x:v>午餐</x:v>
      </x:c>
      <x:c r="D938" t="str">
        <x:v>鱼类</x:v>
      </x:c>
      <x:c r="E938" t="str">
        <x:v>鲈鱼</x:v>
      </x:c>
      <x:c r="F938" t="n">
        <x:v>175</x:v>
      </x:c>
      <x:c r="G938" t="n">
        <x:v>105</x:v>
      </x:c>
      <x:c r="H938" t="n">
        <x:f>ROUND(F938*G938/100,2)</x:f>
        <x:v>183.75</x:v>
      </x:c>
      <x:c r="I938" t="n">
        <x:v>19</x:v>
      </x:c>
      <x:c r="J938" t="n">
        <x:f>ROUND(F938*I938/100,2)</x:f>
        <x:v>33.25</x:v>
      </x:c>
      <x:c r="K938" t="n">
        <x:v>0</x:v>
      </x:c>
      <x:c r="L938" t="n">
        <x:f>ROUND(F938*K938/100,2)</x:f>
        <x:v>0</x:v>
      </x:c>
      <x:c r="M938" t="n">
        <x:v>3</x:v>
      </x:c>
      <x:c r="N938" t="n">
        <x:f>ROUND(F938*M938/100,2)</x:f>
        <x:v>5.25</x:v>
      </x:c>
      <x:c r="O938" t="str">
        <x:v>净鱼肉生重</x:v>
      </x:c>
    </x:row>
    <x:row r="939" ht="23" customHeight="1">
      <x:c r="A939" t="n">
        <x:v>157</x:v>
      </x:c>
      <x:c r="B939" t="n">
        <x:v>79</x:v>
      </x:c>
      <x:c r="C939" t="str">
        <x:v>午餐</x:v>
      </x:c>
      <x:c r="D939" t="str"/>
      <x:c r="E939" t="str"/>
      <x:c r="F939" t="n">
        <x:v>0</x:v>
      </x:c>
      <x:c r="G939" t="n">
        <x:v>0</x:v>
      </x:c>
      <x:c r="H939" t="n">
        <x:f>ROUND(F939*G939/100,2)</x:f>
        <x:v>0</x:v>
      </x:c>
      <x:c r="I939" t="n">
        <x:v>0</x:v>
      </x:c>
      <x:c r="J939" t="n">
        <x:f>ROUND(F939*I939/100,2)</x:f>
        <x:v>0</x:v>
      </x:c>
      <x:c r="K939" t="n">
        <x:v>0</x:v>
      </x:c>
      <x:c r="L939" t="n">
        <x:f>ROUND(F939*K939/100,2)</x:f>
        <x:v>0</x:v>
      </x:c>
      <x:c r="M939" t="n">
        <x:v>0</x:v>
      </x:c>
      <x:c r="N939" t="n">
        <x:f>ROUND(F939*M939/100,2)</x:f>
        <x:v>0</x:v>
      </x:c>
      <x:c r="O939" t="str"/>
    </x:row>
    <x:row r="940" ht="23" customHeight="1">
      <x:c r="A940" t="n">
        <x:v>157</x:v>
      </x:c>
      <x:c r="B940" t="n">
        <x:v>79</x:v>
      </x:c>
      <x:c r="C940" t="str">
        <x:v>午餐</x:v>
      </x:c>
      <x:c r="D940" t="str">
        <x:v>蔬菜</x:v>
      </x:c>
      <x:c r="E940" t="str">
        <x:v>丝瓜</x:v>
      </x:c>
      <x:c r="F940" t="n">
        <x:v>160</x:v>
      </x:c>
      <x:c r="G940" t="n">
        <x:v>20</x:v>
      </x:c>
      <x:c r="H940" t="n">
        <x:f>ROUND(F940*G940/100,2)</x:f>
        <x:v>32</x:v>
      </x:c>
      <x:c r="I940" t="n">
        <x:v>1</x:v>
      </x:c>
      <x:c r="J940" t="n">
        <x:f>ROUND(F940*I940/100,2)</x:f>
        <x:v>1.6</x:v>
      </x:c>
      <x:c r="K940" t="n">
        <x:v>4</x:v>
      </x:c>
      <x:c r="L940" t="n">
        <x:f>ROUND(F940*K940/100,2)</x:f>
        <x:v>6.4</x:v>
      </x:c>
      <x:c r="M940" t="n">
        <x:v>0.2</x:v>
      </x:c>
      <x:c r="N940" t="n">
        <x:f>ROUND(F940*M940/100,2)</x:f>
        <x:v>0.32</x:v>
      </x:c>
      <x:c r="O940" t="str">
        <x:v>生重</x:v>
      </x:c>
    </x:row>
    <x:row r="941" ht="23" customHeight="1">
      <x:c r="A941" t="n">
        <x:v>157</x:v>
      </x:c>
      <x:c r="B941" t="n">
        <x:v>79</x:v>
      </x:c>
      <x:c r="C941" t="str">
        <x:v>午餐</x:v>
      </x:c>
      <x:c r="D941" t="str">
        <x:v>蔬菜</x:v>
      </x:c>
      <x:c r="E941" t="str">
        <x:v>绿豆芽</x:v>
      </x:c>
      <x:c r="F941" t="n">
        <x:v>140</x:v>
      </x:c>
      <x:c r="G941" t="n">
        <x:v>31</x:v>
      </x:c>
      <x:c r="H941" t="n">
        <x:f>ROUND(F941*G941/100,2)</x:f>
        <x:v>43.4</x:v>
      </x:c>
      <x:c r="I941" t="n">
        <x:v>3</x:v>
      </x:c>
      <x:c r="J941" t="n">
        <x:f>ROUND(F941*I941/100,2)</x:f>
        <x:v>4.2</x:v>
      </x:c>
      <x:c r="K941" t="n">
        <x:v>6</x:v>
      </x:c>
      <x:c r="L941" t="n">
        <x:f>ROUND(F941*K941/100,2)</x:f>
        <x:v>8.4</x:v>
      </x:c>
      <x:c r="M941" t="n">
        <x:v>0.2</x:v>
      </x:c>
      <x:c r="N941" t="n">
        <x:f>ROUND(F941*M941/100,2)</x:f>
        <x:v>0.28</x:v>
      </x:c>
      <x:c r="O941" t="str">
        <x:v>生重</x:v>
      </x:c>
    </x:row>
    <x:row r="942" ht="23" customHeight="1">
      <x:c r="A942" t="n">
        <x:v>157</x:v>
      </x:c>
      <x:c r="B942" t="n">
        <x:v>79</x:v>
      </x:c>
      <x:c r="C942" t="str">
        <x:v>午餐</x:v>
      </x:c>
      <x:c r="D942" t="str">
        <x:v>主食</x:v>
      </x:c>
      <x:c r="E942" t="str">
        <x:v>荞麦面</x:v>
      </x:c>
      <x:c r="F942" t="n">
        <x:v>125</x:v>
      </x:c>
      <x:c r="G942" t="n">
        <x:v>105</x:v>
      </x:c>
      <x:c r="H942" t="n">
        <x:f>ROUND(F942*G942/100,2)</x:f>
        <x:v>131.25</x:v>
      </x:c>
      <x:c r="I942" t="n">
        <x:v>4</x:v>
      </x:c>
      <x:c r="J942" t="n">
        <x:f>ROUND(F942*I942/100,2)</x:f>
        <x:v>5</x:v>
      </x:c>
      <x:c r="K942" t="n">
        <x:v>21</x:v>
      </x:c>
      <x:c r="L942" t="n">
        <x:f>ROUND(F942*K942/100,2)</x:f>
        <x:v>26.25</x:v>
      </x:c>
      <x:c r="M942" t="n">
        <x:v>0.7</x:v>
      </x:c>
      <x:c r="N942" t="n">
        <x:f>ROUND(F942*M942/100,2)</x:f>
        <x:v>0.88</x:v>
      </x:c>
      <x:c r="O942" t="str">
        <x:v>煮熟沥水重</x:v>
      </x:c>
    </x:row>
    <x:row r="943" ht="23" customHeight="1">
      <x:c r="A943" t="n">
        <x:v>157</x:v>
      </x:c>
      <x:c r="B943" t="n">
        <x:v>79</x:v>
      </x:c>
      <x:c r="C943" t="str">
        <x:v>午餐</x:v>
      </x:c>
      <x:c r="D943" t="str">
        <x:v>油脂</x:v>
      </x:c>
      <x:c r="E943" t="str">
        <x:v>烹调油</x:v>
      </x:c>
      <x:c r="F943" t="n">
        <x:v>6</x:v>
      </x:c>
      <x:c r="G943" t="n">
        <x:v>900</x:v>
      </x:c>
      <x:c r="H943" t="n">
        <x:f>ROUND(F943*G943/100,2)</x:f>
        <x:v>54</x:v>
      </x:c>
      <x:c r="I943" t="n">
        <x:v>0</x:v>
      </x:c>
      <x:c r="J943" t="n">
        <x:f>ROUND(F943*I943/100,2)</x:f>
        <x:v>0</x:v>
      </x:c>
      <x:c r="K943" t="n">
        <x:v>0</x:v>
      </x:c>
      <x:c r="L943" t="n">
        <x:f>ROUND(F943*K943/100,2)</x:f>
        <x:v>0</x:v>
      </x:c>
      <x:c r="M943" t="n">
        <x:v>100</x:v>
      </x:c>
      <x:c r="N943" t="n">
        <x:f>ROUND(F943*M943/100,2)</x:f>
        <x:v>6</x:v>
      </x:c>
      <x:c r="O943" t="str">
        <x:v>实际用油重</x:v>
      </x:c>
    </x:row>
    <x:row r="944" ht="23" customHeight="1">
      <x:c r="A944" t="n">
        <x:v>158</x:v>
      </x:c>
      <x:c r="B944" t="n">
        <x:v>79</x:v>
      </x:c>
      <x:c r="C944" t="str">
        <x:v>晚餐</x:v>
      </x:c>
      <x:c r="D944" t="str">
        <x:v>牛肉</x:v>
      </x:c>
      <x:c r="E944" t="str">
        <x:v>牛腱子</x:v>
      </x:c>
      <x:c r="F944" t="n">
        <x:v>145</x:v>
      </x:c>
      <x:c r="G944" t="n">
        <x:v>140</x:v>
      </x:c>
      <x:c r="H944" t="n">
        <x:f>ROUND(F944*G944/100,2)</x:f>
        <x:v>203</x:v>
      </x:c>
      <x:c r="I944" t="n">
        <x:v>21</x:v>
      </x:c>
      <x:c r="J944" t="n">
        <x:f>ROUND(F944*I944/100,2)</x:f>
        <x:v>30.45</x:v>
      </x:c>
      <x:c r="K944" t="n">
        <x:v>0</x:v>
      </x:c>
      <x:c r="L944" t="n">
        <x:f>ROUND(F944*K944/100,2)</x:f>
        <x:v>0</x:v>
      </x:c>
      <x:c r="M944" t="n">
        <x:v>6</x:v>
      </x:c>
      <x:c r="N944" t="n">
        <x:f>ROUND(F944*M944/100,2)</x:f>
        <x:v>8.7</x:v>
      </x:c>
      <x:c r="O944" t="str">
        <x:v>生重</x:v>
      </x:c>
    </x:row>
    <x:row r="945" ht="23" customHeight="1">
      <x:c r="A945" t="n">
        <x:v>158</x:v>
      </x:c>
      <x:c r="B945" t="n">
        <x:v>79</x:v>
      </x:c>
      <x:c r="C945" t="str">
        <x:v>晚餐</x:v>
      </x:c>
      <x:c r="D945" t="str"/>
      <x:c r="E945" t="str"/>
      <x:c r="F945" t="n">
        <x:v>0</x:v>
      </x:c>
      <x:c r="G945" t="n">
        <x:v>0</x:v>
      </x:c>
      <x:c r="H945" t="n">
        <x:f>ROUND(F945*G945/100,2)</x:f>
        <x:v>0</x:v>
      </x:c>
      <x:c r="I945" t="n">
        <x:v>0</x:v>
      </x:c>
      <x:c r="J945" t="n">
        <x:f>ROUND(F945*I945/100,2)</x:f>
        <x:v>0</x:v>
      </x:c>
      <x:c r="K945" t="n">
        <x:v>0</x:v>
      </x:c>
      <x:c r="L945" t="n">
        <x:f>ROUND(F945*K945/100,2)</x:f>
        <x:v>0</x:v>
      </x:c>
      <x:c r="M945" t="n">
        <x:v>0</x:v>
      </x:c>
      <x:c r="N945" t="n">
        <x:f>ROUND(F945*M945/100,2)</x:f>
        <x:v>0</x:v>
      </x:c>
      <x:c r="O945" t="str"/>
    </x:row>
    <x:row r="946" ht="23" customHeight="1">
      <x:c r="A946" t="n">
        <x:v>158</x:v>
      </x:c>
      <x:c r="B946" t="n">
        <x:v>79</x:v>
      </x:c>
      <x:c r="C946" t="str">
        <x:v>晚餐</x:v>
      </x:c>
      <x:c r="D946" t="str">
        <x:v>蔬菜</x:v>
      </x:c>
      <x:c r="E946" t="str">
        <x:v>生菜</x:v>
      </x:c>
      <x:c r="F946" t="n">
        <x:v>190</x:v>
      </x:c>
      <x:c r="G946" t="n">
        <x:v>16</x:v>
      </x:c>
      <x:c r="H946" t="n">
        <x:f>ROUND(F946*G946/100,2)</x:f>
        <x:v>30.4</x:v>
      </x:c>
      <x:c r="I946" t="n">
        <x:v>1.4</x:v>
      </x:c>
      <x:c r="J946" t="n">
        <x:f>ROUND(F946*I946/100,2)</x:f>
        <x:v>2.66</x:v>
      </x:c>
      <x:c r="K946" t="n">
        <x:v>2.9</x:v>
      </x:c>
      <x:c r="L946" t="n">
        <x:f>ROUND(F946*K946/100,2)</x:f>
        <x:v>5.51</x:v>
      </x:c>
      <x:c r="M946" t="n">
        <x:v>0.1</x:v>
      </x:c>
      <x:c r="N946" t="n">
        <x:f>ROUND(F946*M946/100,2)</x:f>
        <x:v>0.19</x:v>
      </x:c>
      <x:c r="O946" t="str">
        <x:v>生重</x:v>
      </x:c>
    </x:row>
    <x:row r="947" ht="23" customHeight="1">
      <x:c r="A947" t="n">
        <x:v>158</x:v>
      </x:c>
      <x:c r="B947" t="n">
        <x:v>79</x:v>
      </x:c>
      <x:c r="C947" t="str">
        <x:v>晚餐</x:v>
      </x:c>
      <x:c r="D947" t="str">
        <x:v>蔬菜</x:v>
      </x:c>
      <x:c r="E947" t="str">
        <x:v>黄瓜</x:v>
      </x:c>
      <x:c r="F947" t="n">
        <x:v>140</x:v>
      </x:c>
      <x:c r="G947" t="n">
        <x:v>16</x:v>
      </x:c>
      <x:c r="H947" t="n">
        <x:f>ROUND(F947*G947/100,2)</x:f>
        <x:v>22.4</x:v>
      </x:c>
      <x:c r="I947" t="n">
        <x:v>0.7</x:v>
      </x:c>
      <x:c r="J947" t="n">
        <x:f>ROUND(F947*I947/100,2)</x:f>
        <x:v>0.98</x:v>
      </x:c>
      <x:c r="K947" t="n">
        <x:v>3.6</x:v>
      </x:c>
      <x:c r="L947" t="n">
        <x:f>ROUND(F947*K947/100,2)</x:f>
        <x:v>5.04</x:v>
      </x:c>
      <x:c r="M947" t="n">
        <x:v>0.1</x:v>
      </x:c>
      <x:c r="N947" t="n">
        <x:f>ROUND(F947*M947/100,2)</x:f>
        <x:v>0.14</x:v>
      </x:c>
      <x:c r="O947" t="str">
        <x:v>生重</x:v>
      </x:c>
    </x:row>
    <x:row r="948" ht="23" customHeight="1">
      <x:c r="A948" t="n">
        <x:v>158</x:v>
      </x:c>
      <x:c r="B948" t="n">
        <x:v>79</x:v>
      </x:c>
      <x:c r="C948" t="str">
        <x:v>晚餐</x:v>
      </x:c>
      <x:c r="D948" t="str">
        <x:v>主食</x:v>
      </x:c>
      <x:c r="E948" t="str">
        <x:v>荞麦面</x:v>
      </x:c>
      <x:c r="F948" t="n">
        <x:v>80</x:v>
      </x:c>
      <x:c r="G948" t="n">
        <x:v>105</x:v>
      </x:c>
      <x:c r="H948" t="n">
        <x:f>ROUND(F948*G948/100,2)</x:f>
        <x:v>84</x:v>
      </x:c>
      <x:c r="I948" t="n">
        <x:v>4</x:v>
      </x:c>
      <x:c r="J948" t="n">
        <x:f>ROUND(F948*I948/100,2)</x:f>
        <x:v>3.2</x:v>
      </x:c>
      <x:c r="K948" t="n">
        <x:v>21</x:v>
      </x:c>
      <x:c r="L948" t="n">
        <x:f>ROUND(F948*K948/100,2)</x:f>
        <x:v>16.8</x:v>
      </x:c>
      <x:c r="M948" t="n">
        <x:v>0.7</x:v>
      </x:c>
      <x:c r="N948" t="n">
        <x:f>ROUND(F948*M948/100,2)</x:f>
        <x:v>0.56</x:v>
      </x:c>
      <x:c r="O948" t="str">
        <x:v>煮熟沥水重</x:v>
      </x:c>
    </x:row>
    <x:row r="949" ht="23" customHeight="1">
      <x:c r="A949" t="n">
        <x:v>158</x:v>
      </x:c>
      <x:c r="B949" t="n">
        <x:v>79</x:v>
      </x:c>
      <x:c r="C949" t="str">
        <x:v>晚餐</x:v>
      </x:c>
      <x:c r="D949" t="str">
        <x:v>油脂</x:v>
      </x:c>
      <x:c r="E949" t="str">
        <x:v>烹调油</x:v>
      </x:c>
      <x:c r="F949" t="n">
        <x:v>4</x:v>
      </x:c>
      <x:c r="G949" t="n">
        <x:v>900</x:v>
      </x:c>
      <x:c r="H949" t="n">
        <x:f>ROUND(F949*G949/100,2)</x:f>
        <x:v>36</x:v>
      </x:c>
      <x:c r="I949" t="n">
        <x:v>0</x:v>
      </x:c>
      <x:c r="J949" t="n">
        <x:f>ROUND(F949*I949/100,2)</x:f>
        <x:v>0</x:v>
      </x:c>
      <x:c r="K949" t="n">
        <x:v>0</x:v>
      </x:c>
      <x:c r="L949" t="n">
        <x:f>ROUND(F949*K949/100,2)</x:f>
        <x:v>0</x:v>
      </x:c>
      <x:c r="M949" t="n">
        <x:v>100</x:v>
      </x:c>
      <x:c r="N949" t="n">
        <x:f>ROUND(F949*M949/100,2)</x:f>
        <x:v>4</x:v>
      </x:c>
      <x:c r="O949" t="str">
        <x:v>实际用油重</x:v>
      </x:c>
    </x:row>
    <x:row r="950" ht="23" customHeight="1">
      <x:c r="A950" t="n">
        <x:v>159</x:v>
      </x:c>
      <x:c r="B950" t="n">
        <x:v>80</x:v>
      </x:c>
      <x:c r="C950" t="str">
        <x:v>午餐</x:v>
      </x:c>
      <x:c r="D950" t="str">
        <x:v>海鲜</x:v>
      </x:c>
      <x:c r="E950" t="str">
        <x:v>虾仁</x:v>
      </x:c>
      <x:c r="F950" t="n">
        <x:v>160</x:v>
      </x:c>
      <x:c r="G950" t="n">
        <x:v>90</x:v>
      </x:c>
      <x:c r="H950" t="n">
        <x:f>ROUND(F950*G950/100,2)</x:f>
        <x:v>144</x:v>
      </x:c>
      <x:c r="I950" t="n">
        <x:v>19</x:v>
      </x:c>
      <x:c r="J950" t="n">
        <x:f>ROUND(F950*I950/100,2)</x:f>
        <x:v>30.4</x:v>
      </x:c>
      <x:c r="K950" t="n">
        <x:v>0.4</x:v>
      </x:c>
      <x:c r="L950" t="n">
        <x:f>ROUND(F950*K950/100,2)</x:f>
        <x:v>0.64</x:v>
      </x:c>
      <x:c r="M950" t="n">
        <x:v>1.1</x:v>
      </x:c>
      <x:c r="N950" t="n">
        <x:f>ROUND(F950*M950/100,2)</x:f>
        <x:v>1.76</x:v>
      </x:c>
      <x:c r="O950" t="str">
        <x:v>生重</x:v>
      </x:c>
    </x:row>
    <x:row r="951" ht="23" customHeight="1">
      <x:c r="A951" t="n">
        <x:v>159</x:v>
      </x:c>
      <x:c r="B951" t="n">
        <x:v>80</x:v>
      </x:c>
      <x:c r="C951" t="str">
        <x:v>午餐</x:v>
      </x:c>
      <x:c r="D951" t="str"/>
      <x:c r="E951" t="str"/>
      <x:c r="F951" t="n">
        <x:v>0</x:v>
      </x:c>
      <x:c r="G951" t="n">
        <x:v>0</x:v>
      </x:c>
      <x:c r="H951" t="n">
        <x:f>ROUND(F951*G951/100,2)</x:f>
        <x:v>0</x:v>
      </x:c>
      <x:c r="I951" t="n">
        <x:v>0</x:v>
      </x:c>
      <x:c r="J951" t="n">
        <x:f>ROUND(F951*I951/100,2)</x:f>
        <x:v>0</x:v>
      </x:c>
      <x:c r="K951" t="n">
        <x:v>0</x:v>
      </x:c>
      <x:c r="L951" t="n">
        <x:f>ROUND(F951*K951/100,2)</x:f>
        <x:v>0</x:v>
      </x:c>
      <x:c r="M951" t="n">
        <x:v>0</x:v>
      </x:c>
      <x:c r="N951" t="n">
        <x:f>ROUND(F951*M951/100,2)</x:f>
        <x:v>0</x:v>
      </x:c>
      <x:c r="O951" t="str"/>
    </x:row>
    <x:row r="952" ht="23" customHeight="1">
      <x:c r="A952" t="n">
        <x:v>159</x:v>
      </x:c>
      <x:c r="B952" t="n">
        <x:v>80</x:v>
      </x:c>
      <x:c r="C952" t="str">
        <x:v>午餐</x:v>
      </x:c>
      <x:c r="D952" t="str">
        <x:v>蔬菜</x:v>
      </x:c>
      <x:c r="E952" t="str">
        <x:v>番茄</x:v>
      </x:c>
      <x:c r="F952" t="n">
        <x:v>190</x:v>
      </x:c>
      <x:c r="G952" t="n">
        <x:v>20</x:v>
      </x:c>
      <x:c r="H952" t="n">
        <x:f>ROUND(F952*G952/100,2)</x:f>
        <x:v>38</x:v>
      </x:c>
      <x:c r="I952" t="n">
        <x:v>0.9</x:v>
      </x:c>
      <x:c r="J952" t="n">
        <x:f>ROUND(F952*I952/100,2)</x:f>
        <x:v>1.71</x:v>
      </x:c>
      <x:c r="K952" t="n">
        <x:v>4</x:v>
      </x:c>
      <x:c r="L952" t="n">
        <x:f>ROUND(F952*K952/100,2)</x:f>
        <x:v>7.6</x:v>
      </x:c>
      <x:c r="M952" t="n">
        <x:v>0.2</x:v>
      </x:c>
      <x:c r="N952" t="n">
        <x:f>ROUND(F952*M952/100,2)</x:f>
        <x:v>0.38</x:v>
      </x:c>
      <x:c r="O952" t="str">
        <x:v>生重</x:v>
      </x:c>
    </x:row>
    <x:row r="953" ht="23" customHeight="1">
      <x:c r="A953" t="n">
        <x:v>159</x:v>
      </x:c>
      <x:c r="B953" t="n">
        <x:v>80</x:v>
      </x:c>
      <x:c r="C953" t="str">
        <x:v>午餐</x:v>
      </x:c>
      <x:c r="D953" t="str">
        <x:v>菌菇</x:v>
      </x:c>
      <x:c r="E953" t="str">
        <x:v>香菇</x:v>
      </x:c>
      <x:c r="F953" t="n">
        <x:v>110</x:v>
      </x:c>
      <x:c r="G953" t="n">
        <x:v>34</x:v>
      </x:c>
      <x:c r="H953" t="n">
        <x:f>ROUND(F953*G953/100,2)</x:f>
        <x:v>37.4</x:v>
      </x:c>
      <x:c r="I953" t="n">
        <x:v>2.2</x:v>
      </x:c>
      <x:c r="J953" t="n">
        <x:f>ROUND(F953*I953/100,2)</x:f>
        <x:v>2.42</x:v>
      </x:c>
      <x:c r="K953" t="n">
        <x:v>6.8</x:v>
      </x:c>
      <x:c r="L953" t="n">
        <x:f>ROUND(F953*K953/100,2)</x:f>
        <x:v>7.48</x:v>
      </x:c>
      <x:c r="M953" t="n">
        <x:v>0.5</x:v>
      </x:c>
      <x:c r="N953" t="n">
        <x:f>ROUND(F953*M953/100,2)</x:f>
        <x:v>0.55</x:v>
      </x:c>
      <x:c r="O953" t="str">
        <x:v>生重</x:v>
      </x:c>
    </x:row>
    <x:row r="954" ht="23" customHeight="1">
      <x:c r="A954" t="n">
        <x:v>159</x:v>
      </x:c>
      <x:c r="B954" t="n">
        <x:v>80</x:v>
      </x:c>
      <x:c r="C954" t="str">
        <x:v>午餐</x:v>
      </x:c>
      <x:c r="D954" t="str">
        <x:v>主食</x:v>
      </x:c>
      <x:c r="E954" t="str">
        <x:v>杂粮饭</x:v>
      </x:c>
      <x:c r="F954" t="n">
        <x:v>135</x:v>
      </x:c>
      <x:c r="G954" t="n">
        <x:v>115</x:v>
      </x:c>
      <x:c r="H954" t="n">
        <x:f>ROUND(F954*G954/100,2)</x:f>
        <x:v>155.25</x:v>
      </x:c>
      <x:c r="I954" t="n">
        <x:v>3.1</x:v>
      </x:c>
      <x:c r="J954" t="n">
        <x:f>ROUND(F954*I954/100,2)</x:f>
        <x:v>4.18</x:v>
      </x:c>
      <x:c r="K954" t="n">
        <x:v>23.5</x:v>
      </x:c>
      <x:c r="L954" t="n">
        <x:f>ROUND(F954*K954/100,2)</x:f>
        <x:v>31.73</x:v>
      </x:c>
      <x:c r="M954" t="n">
        <x:v>1.1</x:v>
      </x:c>
      <x:c r="N954" t="n">
        <x:f>ROUND(F954*M954/100,2)</x:f>
        <x:v>1.49</x:v>
      </x:c>
      <x:c r="O954" t="str">
        <x:v>熟重</x:v>
      </x:c>
    </x:row>
    <x:row r="955" ht="23" customHeight="1">
      <x:c r="A955" t="n">
        <x:v>159</x:v>
      </x:c>
      <x:c r="B955" t="n">
        <x:v>80</x:v>
      </x:c>
      <x:c r="C955" t="str">
        <x:v>午餐</x:v>
      </x:c>
      <x:c r="D955" t="str">
        <x:v>油脂</x:v>
      </x:c>
      <x:c r="E955" t="str">
        <x:v>烹调油</x:v>
      </x:c>
      <x:c r="F955" t="n">
        <x:v>6</x:v>
      </x:c>
      <x:c r="G955" t="n">
        <x:v>900</x:v>
      </x:c>
      <x:c r="H955" t="n">
        <x:f>ROUND(F955*G955/100,2)</x:f>
        <x:v>54</x:v>
      </x:c>
      <x:c r="I955" t="n">
        <x:v>0</x:v>
      </x:c>
      <x:c r="J955" t="n">
        <x:f>ROUND(F955*I955/100,2)</x:f>
        <x:v>0</x:v>
      </x:c>
      <x:c r="K955" t="n">
        <x:v>0</x:v>
      </x:c>
      <x:c r="L955" t="n">
        <x:f>ROUND(F955*K955/100,2)</x:f>
        <x:v>0</x:v>
      </x:c>
      <x:c r="M955" t="n">
        <x:v>100</x:v>
      </x:c>
      <x:c r="N955" t="n">
        <x:f>ROUND(F955*M955/100,2)</x:f>
        <x:v>6</x:v>
      </x:c>
      <x:c r="O955" t="str">
        <x:v>实际用油重</x:v>
      </x:c>
    </x:row>
    <x:row r="956" ht="23" customHeight="1">
      <x:c r="A956" t="n">
        <x:v>160</x:v>
      </x:c>
      <x:c r="B956" t="n">
        <x:v>80</x:v>
      </x:c>
      <x:c r="C956" t="str">
        <x:v>晚餐</x:v>
      </x:c>
      <x:c r="D956" t="str">
        <x:v>豆蛋</x:v>
      </x:c>
      <x:c r="E956" t="str">
        <x:v>鸡蛋</x:v>
      </x:c>
      <x:c r="F956" t="n">
        <x:v>110</x:v>
      </x:c>
      <x:c r="G956" t="n">
        <x:v>144</x:v>
      </x:c>
      <x:c r="H956" t="n">
        <x:f>ROUND(F956*G956/100,2)</x:f>
        <x:v>158.4</x:v>
      </x:c>
      <x:c r="I956" t="n">
        <x:v>13</x:v>
      </x:c>
      <x:c r="J956" t="n">
        <x:f>ROUND(F956*I956/100,2)</x:f>
        <x:v>14.3</x:v>
      </x:c>
      <x:c r="K956" t="n">
        <x:v>1.1</x:v>
      </x:c>
      <x:c r="L956" t="n">
        <x:f>ROUND(F956*K956/100,2)</x:f>
        <x:v>1.21</x:v>
      </x:c>
      <x:c r="M956" t="n">
        <x:v>10</x:v>
      </x:c>
      <x:c r="N956" t="n">
        <x:f>ROUND(F956*M956/100,2)</x:f>
        <x:v>11</x:v>
      </x:c>
      <x:c r="O956" t="str">
        <x:v>去壳可食重</x:v>
      </x:c>
    </x:row>
    <x:row r="957" ht="23" customHeight="1">
      <x:c r="A957" t="n">
        <x:v>160</x:v>
      </x:c>
      <x:c r="B957" t="n">
        <x:v>80</x:v>
      </x:c>
      <x:c r="C957" t="str">
        <x:v>晚餐</x:v>
      </x:c>
      <x:c r="D957" t="str">
        <x:v>豆蛋</x:v>
      </x:c>
      <x:c r="E957" t="str">
        <x:v>北豆腐</x:v>
      </x:c>
      <x:c r="F957" t="n">
        <x:v>130</x:v>
      </x:c>
      <x:c r="G957" t="n">
        <x:v>90</x:v>
      </x:c>
      <x:c r="H957" t="n">
        <x:f>ROUND(F957*G957/100,2)</x:f>
        <x:v>117</x:v>
      </x:c>
      <x:c r="I957" t="n">
        <x:v>10</x:v>
      </x:c>
      <x:c r="J957" t="n">
        <x:f>ROUND(F957*I957/100,2)</x:f>
        <x:v>13</x:v>
      </x:c>
      <x:c r="K957" t="n">
        <x:v>2</x:v>
      </x:c>
      <x:c r="L957" t="n">
        <x:f>ROUND(F957*K957/100,2)</x:f>
        <x:v>2.6</x:v>
      </x:c>
      <x:c r="M957" t="n">
        <x:v>5</x:v>
      </x:c>
      <x:c r="N957" t="n">
        <x:f>ROUND(F957*M957/100,2)</x:f>
        <x:v>6.5</x:v>
      </x:c>
      <x:c r="O957" t="str">
        <x:v>净重</x:v>
      </x:c>
    </x:row>
    <x:row r="958" ht="23" customHeight="1">
      <x:c r="A958" t="n">
        <x:v>160</x:v>
      </x:c>
      <x:c r="B958" t="n">
        <x:v>80</x:v>
      </x:c>
      <x:c r="C958" t="str">
        <x:v>晚餐</x:v>
      </x:c>
      <x:c r="D958" t="str">
        <x:v>蔬菜</x:v>
      </x:c>
      <x:c r="E958" t="str">
        <x:v>西葫芦</x:v>
      </x:c>
      <x:c r="F958" t="n">
        <x:v>140</x:v>
      </x:c>
      <x:c r="G958" t="n">
        <x:v>17</x:v>
      </x:c>
      <x:c r="H958" t="n">
        <x:f>ROUND(F958*G958/100,2)</x:f>
        <x:v>23.8</x:v>
      </x:c>
      <x:c r="I958" t="n">
        <x:v>1.2</x:v>
      </x:c>
      <x:c r="J958" t="n">
        <x:f>ROUND(F958*I958/100,2)</x:f>
        <x:v>1.68</x:v>
      </x:c>
      <x:c r="K958" t="n">
        <x:v>3.1</x:v>
      </x:c>
      <x:c r="L958" t="n">
        <x:f>ROUND(F958*K958/100,2)</x:f>
        <x:v>4.34</x:v>
      </x:c>
      <x:c r="M958" t="n">
        <x:v>0.3</x:v>
      </x:c>
      <x:c r="N958" t="n">
        <x:f>ROUND(F958*M958/100,2)</x:f>
        <x:v>0.42</x:v>
      </x:c>
      <x:c r="O958" t="str">
        <x:v>生重</x:v>
      </x:c>
    </x:row>
    <x:row r="959" ht="23" customHeight="1">
      <x:c r="A959" t="n">
        <x:v>160</x:v>
      </x:c>
      <x:c r="B959" t="n">
        <x:v>80</x:v>
      </x:c>
      <x:c r="C959" t="str">
        <x:v>晚餐</x:v>
      </x:c>
      <x:c r="D959" t="str">
        <x:v>蔬菜</x:v>
      </x:c>
      <x:c r="E959" t="str">
        <x:v>洋葱</x:v>
      </x:c>
      <x:c r="F959" t="n">
        <x:v>110</x:v>
      </x:c>
      <x:c r="G959" t="n">
        <x:v>40</x:v>
      </x:c>
      <x:c r="H959" t="n">
        <x:f>ROUND(F959*G959/100,2)</x:f>
        <x:v>44</x:v>
      </x:c>
      <x:c r="I959" t="n">
        <x:v>1.1</x:v>
      </x:c>
      <x:c r="J959" t="n">
        <x:f>ROUND(F959*I959/100,2)</x:f>
        <x:v>1.21</x:v>
      </x:c>
      <x:c r="K959" t="n">
        <x:v>9.3</x:v>
      </x:c>
      <x:c r="L959" t="n">
        <x:f>ROUND(F959*K959/100,2)</x:f>
        <x:v>10.23</x:v>
      </x:c>
      <x:c r="M959" t="n">
        <x:v>0.1</x:v>
      </x:c>
      <x:c r="N959" t="n">
        <x:f>ROUND(F959*M959/100,2)</x:f>
        <x:v>0.11</x:v>
      </x:c>
      <x:c r="O959" t="str">
        <x:v>生重</x:v>
      </x:c>
    </x:row>
    <x:row r="960" ht="23" customHeight="1">
      <x:c r="A960" t="n">
        <x:v>160</x:v>
      </x:c>
      <x:c r="B960" t="n">
        <x:v>80</x:v>
      </x:c>
      <x:c r="C960" t="str">
        <x:v>晚餐</x:v>
      </x:c>
      <x:c r="D960" t="str">
        <x:v>主食</x:v>
      </x:c>
      <x:c r="E960" t="str">
        <x:v>藜麦饭</x:v>
      </x:c>
      <x:c r="F960" t="n">
        <x:v>125</x:v>
      </x:c>
      <x:c r="G960" t="n">
        <x:v>120</x:v>
      </x:c>
      <x:c r="H960" t="n">
        <x:f>ROUND(F960*G960/100,2)</x:f>
        <x:v>150</x:v>
      </x:c>
      <x:c r="I960" t="n">
        <x:v>4.4</x:v>
      </x:c>
      <x:c r="J960" t="n">
        <x:f>ROUND(F960*I960/100,2)</x:f>
        <x:v>5.5</x:v>
      </x:c>
      <x:c r="K960" t="n">
        <x:v>21.3</x:v>
      </x:c>
      <x:c r="L960" t="n">
        <x:f>ROUND(F960*K960/100,2)</x:f>
        <x:v>26.63</x:v>
      </x:c>
      <x:c r="M960" t="n">
        <x:v>1.9</x:v>
      </x:c>
      <x:c r="N960" t="n">
        <x:f>ROUND(F960*M960/100,2)</x:f>
        <x:v>2.38</x:v>
      </x:c>
      <x:c r="O960" t="str">
        <x:v>熟重</x:v>
      </x:c>
    </x:row>
    <x:row r="961" ht="23" customHeight="1">
      <x:c r="A961" t="n">
        <x:v>160</x:v>
      </x:c>
      <x:c r="B961" t="n">
        <x:v>80</x:v>
      </x:c>
      <x:c r="C961" t="str">
        <x:v>晚餐</x:v>
      </x:c>
      <x:c r="D961" t="str">
        <x:v>油脂</x:v>
      </x:c>
      <x:c r="E961" t="str">
        <x:v>烹调油</x:v>
      </x:c>
      <x:c r="F961" t="n">
        <x:v>5</x:v>
      </x:c>
      <x:c r="G961" t="n">
        <x:v>900</x:v>
      </x:c>
      <x:c r="H961" t="n">
        <x:f>ROUND(F961*G961/100,2)</x:f>
        <x:v>45</x:v>
      </x:c>
      <x:c r="I961" t="n">
        <x:v>0</x:v>
      </x:c>
      <x:c r="J961" t="n">
        <x:f>ROUND(F961*I961/100,2)</x:f>
        <x:v>0</x:v>
      </x:c>
      <x:c r="K961" t="n">
        <x:v>0</x:v>
      </x:c>
      <x:c r="L961" t="n">
        <x:f>ROUND(F961*K961/100,2)</x:f>
        <x:v>0</x:v>
      </x:c>
      <x:c r="M961" t="n">
        <x:v>100</x:v>
      </x:c>
      <x:c r="N961" t="n">
        <x:f>ROUND(F961*M961/100,2)</x:f>
        <x:v>5</x:v>
      </x:c>
      <x:c r="O961" t="str">
        <x:v>实际用油重</x:v>
      </x:c>
    </x:row>
    <x:row r="962" ht="23" customHeight="1">
      <x:c r="A962" t="n">
        <x:v>161</x:v>
      </x:c>
      <x:c r="B962" t="n">
        <x:v>81</x:v>
      </x:c>
      <x:c r="C962" t="str">
        <x:v>午餐</x:v>
      </x:c>
      <x:c r="D962" t="str">
        <x:v>牛肉</x:v>
      </x:c>
      <x:c r="E962" t="str">
        <x:v>牛腱子</x:v>
      </x:c>
      <x:c r="F962" t="n">
        <x:v>185</x:v>
      </x:c>
      <x:c r="G962" t="n">
        <x:v>140</x:v>
      </x:c>
      <x:c r="H962" t="n">
        <x:f>ROUND(F962*G962/100,2)</x:f>
        <x:v>259</x:v>
      </x:c>
      <x:c r="I962" t="n">
        <x:v>21</x:v>
      </x:c>
      <x:c r="J962" t="n">
        <x:f>ROUND(F962*I962/100,2)</x:f>
        <x:v>38.85</x:v>
      </x:c>
      <x:c r="K962" t="n">
        <x:v>0</x:v>
      </x:c>
      <x:c r="L962" t="n">
        <x:f>ROUND(F962*K962/100,2)</x:f>
        <x:v>0</x:v>
      </x:c>
      <x:c r="M962" t="n">
        <x:v>6</x:v>
      </x:c>
      <x:c r="N962" t="n">
        <x:f>ROUND(F962*M962/100,2)</x:f>
        <x:v>11.1</x:v>
      </x:c>
      <x:c r="O962" t="str">
        <x:v>生重</x:v>
      </x:c>
    </x:row>
    <x:row r="963" ht="23" customHeight="1">
      <x:c r="A963" t="n">
        <x:v>161</x:v>
      </x:c>
      <x:c r="B963" t="n">
        <x:v>81</x:v>
      </x:c>
      <x:c r="C963" t="str">
        <x:v>午餐</x:v>
      </x:c>
      <x:c r="D963" t="str"/>
      <x:c r="E963" t="str"/>
      <x:c r="F963" t="n">
        <x:v>0</x:v>
      </x:c>
      <x:c r="G963" t="n">
        <x:v>0</x:v>
      </x:c>
      <x:c r="H963" t="n">
        <x:f>ROUND(F963*G963/100,2)</x:f>
        <x:v>0</x:v>
      </x:c>
      <x:c r="I963" t="n">
        <x:v>0</x:v>
      </x:c>
      <x:c r="J963" t="n">
        <x:f>ROUND(F963*I963/100,2)</x:f>
        <x:v>0</x:v>
      </x:c>
      <x:c r="K963" t="n">
        <x:v>0</x:v>
      </x:c>
      <x:c r="L963" t="n">
        <x:f>ROUND(F963*K963/100,2)</x:f>
        <x:v>0</x:v>
      </x:c>
      <x:c r="M963" t="n">
        <x:v>0</x:v>
      </x:c>
      <x:c r="N963" t="n">
        <x:f>ROUND(F963*M963/100,2)</x:f>
        <x:v>0</x:v>
      </x:c>
      <x:c r="O963" t="str"/>
    </x:row>
    <x:row r="964" ht="23" customHeight="1">
      <x:c r="A964" t="n">
        <x:v>161</x:v>
      </x:c>
      <x:c r="B964" t="n">
        <x:v>81</x:v>
      </x:c>
      <x:c r="C964" t="str">
        <x:v>午餐</x:v>
      </x:c>
      <x:c r="D964" t="str">
        <x:v>蔬菜</x:v>
      </x:c>
      <x:c r="E964" t="str">
        <x:v>芦笋</x:v>
      </x:c>
      <x:c r="F964" t="n">
        <x:v>190</x:v>
      </x:c>
      <x:c r="G964" t="n">
        <x:v>20</x:v>
      </x:c>
      <x:c r="H964" t="n">
        <x:f>ROUND(F964*G964/100,2)</x:f>
        <x:v>38</x:v>
      </x:c>
      <x:c r="I964" t="n">
        <x:v>2.2</x:v>
      </x:c>
      <x:c r="J964" t="n">
        <x:f>ROUND(F964*I964/100,2)</x:f>
        <x:v>4.18</x:v>
      </x:c>
      <x:c r="K964" t="n">
        <x:v>3.9</x:v>
      </x:c>
      <x:c r="L964" t="n">
        <x:f>ROUND(F964*K964/100,2)</x:f>
        <x:v>7.41</x:v>
      </x:c>
      <x:c r="M964" t="n">
        <x:v>0.1</x:v>
      </x:c>
      <x:c r="N964" t="n">
        <x:f>ROUND(F964*M964/100,2)</x:f>
        <x:v>0.19</x:v>
      </x:c>
      <x:c r="O964" t="str">
        <x:v>生重</x:v>
      </x:c>
    </x:row>
    <x:row r="965" ht="23" customHeight="1">
      <x:c r="A965" t="n">
        <x:v>161</x:v>
      </x:c>
      <x:c r="B965" t="n">
        <x:v>81</x:v>
      </x:c>
      <x:c r="C965" t="str">
        <x:v>午餐</x:v>
      </x:c>
      <x:c r="D965" t="str">
        <x:v>蔬菜</x:v>
      </x:c>
      <x:c r="E965" t="str">
        <x:v>紫甘蓝</x:v>
      </x:c>
      <x:c r="F965" t="n">
        <x:v>125</x:v>
      </x:c>
      <x:c r="G965" t="n">
        <x:v>31</x:v>
      </x:c>
      <x:c r="H965" t="n">
        <x:f>ROUND(F965*G965/100,2)</x:f>
        <x:v>38.75</x:v>
      </x:c>
      <x:c r="I965" t="n">
        <x:v>1.4</x:v>
      </x:c>
      <x:c r="J965" t="n">
        <x:f>ROUND(F965*I965/100,2)</x:f>
        <x:v>1.75</x:v>
      </x:c>
      <x:c r="K965" t="n">
        <x:v>7.3</x:v>
      </x:c>
      <x:c r="L965" t="n">
        <x:f>ROUND(F965*K965/100,2)</x:f>
        <x:v>9.13</x:v>
      </x:c>
      <x:c r="M965" t="n">
        <x:v>0.1</x:v>
      </x:c>
      <x:c r="N965" t="n">
        <x:f>ROUND(F965*M965/100,2)</x:f>
        <x:v>0.13</x:v>
      </x:c>
      <x:c r="O965" t="str">
        <x:v>生重</x:v>
      </x:c>
    </x:row>
    <x:row r="966" ht="23" customHeight="1">
      <x:c r="A966" t="n">
        <x:v>161</x:v>
      </x:c>
      <x:c r="B966" t="n">
        <x:v>81</x:v>
      </x:c>
      <x:c r="C966" t="str">
        <x:v>午餐</x:v>
      </x:c>
      <x:c r="D966" t="str">
        <x:v>主食</x:v>
      </x:c>
      <x:c r="E966" t="str">
        <x:v>燕麦饭</x:v>
      </x:c>
      <x:c r="F966" t="n">
        <x:v>165</x:v>
      </x:c>
      <x:c r="G966" t="n">
        <x:v>110</x:v>
      </x:c>
      <x:c r="H966" t="n">
        <x:f>ROUND(F966*G966/100,2)</x:f>
        <x:v>181.5</x:v>
      </x:c>
      <x:c r="I966" t="n">
        <x:v>3.2</x:v>
      </x:c>
      <x:c r="J966" t="n">
        <x:f>ROUND(F966*I966/100,2)</x:f>
        <x:v>5.28</x:v>
      </x:c>
      <x:c r="K966" t="n">
        <x:v>21</x:v>
      </x:c>
      <x:c r="L966" t="n">
        <x:f>ROUND(F966*K966/100,2)</x:f>
        <x:v>34.65</x:v>
      </x:c>
      <x:c r="M966" t="n">
        <x:v>1.8</x:v>
      </x:c>
      <x:c r="N966" t="n">
        <x:f>ROUND(F966*M966/100,2)</x:f>
        <x:v>2.97</x:v>
      </x:c>
      <x:c r="O966" t="str">
        <x:v>熟重</x:v>
      </x:c>
    </x:row>
    <x:row r="967" ht="23" customHeight="1">
      <x:c r="A967" t="n">
        <x:v>161</x:v>
      </x:c>
      <x:c r="B967" t="n">
        <x:v>81</x:v>
      </x:c>
      <x:c r="C967" t="str">
        <x:v>午餐</x:v>
      </x:c>
      <x:c r="D967" t="str">
        <x:v>油脂</x:v>
      </x:c>
      <x:c r="E967" t="str">
        <x:v>烹调油</x:v>
      </x:c>
      <x:c r="F967" t="n">
        <x:v>4</x:v>
      </x:c>
      <x:c r="G967" t="n">
        <x:v>900</x:v>
      </x:c>
      <x:c r="H967" t="n">
        <x:f>ROUND(F967*G967/100,2)</x:f>
        <x:v>36</x:v>
      </x:c>
      <x:c r="I967" t="n">
        <x:v>0</x:v>
      </x:c>
      <x:c r="J967" t="n">
        <x:f>ROUND(F967*I967/100,2)</x:f>
        <x:v>0</x:v>
      </x:c>
      <x:c r="K967" t="n">
        <x:v>0</x:v>
      </x:c>
      <x:c r="L967" t="n">
        <x:f>ROUND(F967*K967/100,2)</x:f>
        <x:v>0</x:v>
      </x:c>
      <x:c r="M967" t="n">
        <x:v>100</x:v>
      </x:c>
      <x:c r="N967" t="n">
        <x:f>ROUND(F967*M967/100,2)</x:f>
        <x:v>4</x:v>
      </x:c>
      <x:c r="O967" t="str">
        <x:v>实际用油重</x:v>
      </x:c>
    </x:row>
    <x:row r="968" ht="23" customHeight="1">
      <x:c r="A968" t="n">
        <x:v>162</x:v>
      </x:c>
      <x:c r="B968" t="n">
        <x:v>81</x:v>
      </x:c>
      <x:c r="C968" t="str">
        <x:v>晚餐</x:v>
      </x:c>
      <x:c r="D968" t="str">
        <x:v>猪肉</x:v>
      </x:c>
      <x:c r="E968" t="str">
        <x:v>猪里脊</x:v>
      </x:c>
      <x:c r="F968" t="n">
        <x:v>180</x:v>
      </x:c>
      <x:c r="G968" t="n">
        <x:v>120</x:v>
      </x:c>
      <x:c r="H968" t="n">
        <x:f>ROUND(F968*G968/100,2)</x:f>
        <x:v>216</x:v>
      </x:c>
      <x:c r="I968" t="n">
        <x:v>21</x:v>
      </x:c>
      <x:c r="J968" t="n">
        <x:f>ROUND(F968*I968/100,2)</x:f>
        <x:v>37.8</x:v>
      </x:c>
      <x:c r="K968" t="n">
        <x:v>0</x:v>
      </x:c>
      <x:c r="L968" t="n">
        <x:f>ROUND(F968*K968/100,2)</x:f>
        <x:v>0</x:v>
      </x:c>
      <x:c r="M968" t="n">
        <x:v>3.5</x:v>
      </x:c>
      <x:c r="N968" t="n">
        <x:f>ROUND(F968*M968/100,2)</x:f>
        <x:v>6.3</x:v>
      </x:c>
      <x:c r="O968" t="str">
        <x:v>生重</x:v>
      </x:c>
    </x:row>
    <x:row r="969" ht="23" customHeight="1">
      <x:c r="A969" t="n">
        <x:v>162</x:v>
      </x:c>
      <x:c r="B969" t="n">
        <x:v>81</x:v>
      </x:c>
      <x:c r="C969" t="str">
        <x:v>晚餐</x:v>
      </x:c>
      <x:c r="D969" t="str"/>
      <x:c r="E969" t="str"/>
      <x:c r="F969" t="n">
        <x:v>0</x:v>
      </x:c>
      <x:c r="G969" t="n">
        <x:v>0</x:v>
      </x:c>
      <x:c r="H969" t="n">
        <x:f>ROUND(F969*G969/100,2)</x:f>
        <x:v>0</x:v>
      </x:c>
      <x:c r="I969" t="n">
        <x:v>0</x:v>
      </x:c>
      <x:c r="J969" t="n">
        <x:f>ROUND(F969*I969/100,2)</x:f>
        <x:v>0</x:v>
      </x:c>
      <x:c r="K969" t="n">
        <x:v>0</x:v>
      </x:c>
      <x:c r="L969" t="n">
        <x:f>ROUND(F969*K969/100,2)</x:f>
        <x:v>0</x:v>
      </x:c>
      <x:c r="M969" t="n">
        <x:v>0</x:v>
      </x:c>
      <x:c r="N969" t="n">
        <x:f>ROUND(F969*M969/100,2)</x:f>
        <x:v>0</x:v>
      </x:c>
      <x:c r="O969" t="str"/>
    </x:row>
    <x:row r="970" ht="23" customHeight="1">
      <x:c r="A970" t="n">
        <x:v>162</x:v>
      </x:c>
      <x:c r="B970" t="n">
        <x:v>81</x:v>
      </x:c>
      <x:c r="C970" t="str">
        <x:v>晚餐</x:v>
      </x:c>
      <x:c r="D970" t="str">
        <x:v>蔬菜</x:v>
      </x:c>
      <x:c r="E970" t="str">
        <x:v>番茄</x:v>
      </x:c>
      <x:c r="F970" t="n">
        <x:v>175</x:v>
      </x:c>
      <x:c r="G970" t="n">
        <x:v>20</x:v>
      </x:c>
      <x:c r="H970" t="n">
        <x:f>ROUND(F970*G970/100,2)</x:f>
        <x:v>35</x:v>
      </x:c>
      <x:c r="I970" t="n">
        <x:v>0.9</x:v>
      </x:c>
      <x:c r="J970" t="n">
        <x:f>ROUND(F970*I970/100,2)</x:f>
        <x:v>1.58</x:v>
      </x:c>
      <x:c r="K970" t="n">
        <x:v>4</x:v>
      </x:c>
      <x:c r="L970" t="n">
        <x:f>ROUND(F970*K970/100,2)</x:f>
        <x:v>7</x:v>
      </x:c>
      <x:c r="M970" t="n">
        <x:v>0.2</x:v>
      </x:c>
      <x:c r="N970" t="n">
        <x:f>ROUND(F970*M970/100,2)</x:f>
        <x:v>0.35</x:v>
      </x:c>
      <x:c r="O970" t="str">
        <x:v>生重</x:v>
      </x:c>
    </x:row>
    <x:row r="971" ht="23" customHeight="1">
      <x:c r="A971" t="n">
        <x:v>162</x:v>
      </x:c>
      <x:c r="B971" t="n">
        <x:v>81</x:v>
      </x:c>
      <x:c r="C971" t="str">
        <x:v>晚餐</x:v>
      </x:c>
      <x:c r="D971" t="str">
        <x:v>蔬菜</x:v>
      </x:c>
      <x:c r="E971" t="str">
        <x:v>紫甘蓝</x:v>
      </x:c>
      <x:c r="F971" t="n">
        <x:v>140</x:v>
      </x:c>
      <x:c r="G971" t="n">
        <x:v>31</x:v>
      </x:c>
      <x:c r="H971" t="n">
        <x:f>ROUND(F971*G971/100,2)</x:f>
        <x:v>43.4</x:v>
      </x:c>
      <x:c r="I971" t="n">
        <x:v>1.4</x:v>
      </x:c>
      <x:c r="J971" t="n">
        <x:f>ROUND(F971*I971/100,2)</x:f>
        <x:v>1.96</x:v>
      </x:c>
      <x:c r="K971" t="n">
        <x:v>7.3</x:v>
      </x:c>
      <x:c r="L971" t="n">
        <x:f>ROUND(F971*K971/100,2)</x:f>
        <x:v>10.22</x:v>
      </x:c>
      <x:c r="M971" t="n">
        <x:v>0.1</x:v>
      </x:c>
      <x:c r="N971" t="n">
        <x:f>ROUND(F971*M971/100,2)</x:f>
        <x:v>0.14</x:v>
      </x:c>
      <x:c r="O971" t="str">
        <x:v>生重</x:v>
      </x:c>
    </x:row>
    <x:row r="972" ht="23" customHeight="1">
      <x:c r="A972" t="n">
        <x:v>162</x:v>
      </x:c>
      <x:c r="B972" t="n">
        <x:v>81</x:v>
      </x:c>
      <x:c r="C972" t="str">
        <x:v>晚餐</x:v>
      </x:c>
      <x:c r="D972" t="str">
        <x:v>主食</x:v>
      </x:c>
      <x:c r="E972" t="str">
        <x:v>糙米饭</x:v>
      </x:c>
      <x:c r="F972" t="n">
        <x:v>110</x:v>
      </x:c>
      <x:c r="G972" t="n">
        <x:v>112</x:v>
      </x:c>
      <x:c r="H972" t="n">
        <x:f>ROUND(F972*G972/100,2)</x:f>
        <x:v>123.2</x:v>
      </x:c>
      <x:c r="I972" t="n">
        <x:v>2.6</x:v>
      </x:c>
      <x:c r="J972" t="n">
        <x:f>ROUND(F972*I972/100,2)</x:f>
        <x:v>2.86</x:v>
      </x:c>
      <x:c r="K972" t="n">
        <x:v>23.5</x:v>
      </x:c>
      <x:c r="L972" t="n">
        <x:f>ROUND(F972*K972/100,2)</x:f>
        <x:v>25.85</x:v>
      </x:c>
      <x:c r="M972" t="n">
        <x:v>0.9</x:v>
      </x:c>
      <x:c r="N972" t="n">
        <x:f>ROUND(F972*M972/100,2)</x:f>
        <x:v>0.99</x:v>
      </x:c>
      <x:c r="O972" t="str">
        <x:v>熟重</x:v>
      </x:c>
    </x:row>
    <x:row r="973" ht="23" customHeight="1">
      <x:c r="A973" t="n">
        <x:v>162</x:v>
      </x:c>
      <x:c r="B973" t="n">
        <x:v>81</x:v>
      </x:c>
      <x:c r="C973" t="str">
        <x:v>晚餐</x:v>
      </x:c>
      <x:c r="D973" t="str">
        <x:v>油脂</x:v>
      </x:c>
      <x:c r="E973" t="str">
        <x:v>烹调油</x:v>
      </x:c>
      <x:c r="F973" t="n">
        <x:v>3</x:v>
      </x:c>
      <x:c r="G973" t="n">
        <x:v>900</x:v>
      </x:c>
      <x:c r="H973" t="n">
        <x:f>ROUND(F973*G973/100,2)</x:f>
        <x:v>27</x:v>
      </x:c>
      <x:c r="I973" t="n">
        <x:v>0</x:v>
      </x:c>
      <x:c r="J973" t="n">
        <x:f>ROUND(F973*I973/100,2)</x:f>
        <x:v>0</x:v>
      </x:c>
      <x:c r="K973" t="n">
        <x:v>0</x:v>
      </x:c>
      <x:c r="L973" t="n">
        <x:f>ROUND(F973*K973/100,2)</x:f>
        <x:v>0</x:v>
      </x:c>
      <x:c r="M973" t="n">
        <x:v>100</x:v>
      </x:c>
      <x:c r="N973" t="n">
        <x:f>ROUND(F973*M973/100,2)</x:f>
        <x:v>3</x:v>
      </x:c>
      <x:c r="O973" t="str">
        <x:v>实际用油重</x:v>
      </x:c>
    </x:row>
    <x:row r="974" ht="23" customHeight="1">
      <x:c r="A974" t="n">
        <x:v>163</x:v>
      </x:c>
      <x:c r="B974" t="n">
        <x:v>82</x:v>
      </x:c>
      <x:c r="C974" t="str">
        <x:v>午餐</x:v>
      </x:c>
      <x:c r="D974" t="str">
        <x:v>牛肉</x:v>
      </x:c>
      <x:c r="E974" t="str">
        <x:v>牛腱子</x:v>
      </x:c>
      <x:c r="F974" t="n">
        <x:v>185</x:v>
      </x:c>
      <x:c r="G974" t="n">
        <x:v>140</x:v>
      </x:c>
      <x:c r="H974" t="n">
        <x:f>ROUND(F974*G974/100,2)</x:f>
        <x:v>259</x:v>
      </x:c>
      <x:c r="I974" t="n">
        <x:v>21</x:v>
      </x:c>
      <x:c r="J974" t="n">
        <x:f>ROUND(F974*I974/100,2)</x:f>
        <x:v>38.85</x:v>
      </x:c>
      <x:c r="K974" t="n">
        <x:v>0</x:v>
      </x:c>
      <x:c r="L974" t="n">
        <x:f>ROUND(F974*K974/100,2)</x:f>
        <x:v>0</x:v>
      </x:c>
      <x:c r="M974" t="n">
        <x:v>6</x:v>
      </x:c>
      <x:c r="N974" t="n">
        <x:f>ROUND(F974*M974/100,2)</x:f>
        <x:v>11.1</x:v>
      </x:c>
      <x:c r="O974" t="str">
        <x:v>生重</x:v>
      </x:c>
    </x:row>
    <x:row r="975" ht="23" customHeight="1">
      <x:c r="A975" t="n">
        <x:v>163</x:v>
      </x:c>
      <x:c r="B975" t="n">
        <x:v>82</x:v>
      </x:c>
      <x:c r="C975" t="str">
        <x:v>午餐</x:v>
      </x:c>
      <x:c r="D975" t="str"/>
      <x:c r="E975" t="str"/>
      <x:c r="F975" t="n">
        <x:v>0</x:v>
      </x:c>
      <x:c r="G975" t="n">
        <x:v>0</x:v>
      </x:c>
      <x:c r="H975" t="n">
        <x:f>ROUND(F975*G975/100,2)</x:f>
        <x:v>0</x:v>
      </x:c>
      <x:c r="I975" t="n">
        <x:v>0</x:v>
      </x:c>
      <x:c r="J975" t="n">
        <x:f>ROUND(F975*I975/100,2)</x:f>
        <x:v>0</x:v>
      </x:c>
      <x:c r="K975" t="n">
        <x:v>0</x:v>
      </x:c>
      <x:c r="L975" t="n">
        <x:f>ROUND(F975*K975/100,2)</x:f>
        <x:v>0</x:v>
      </x:c>
      <x:c r="M975" t="n">
        <x:v>0</x:v>
      </x:c>
      <x:c r="N975" t="n">
        <x:f>ROUND(F975*M975/100,2)</x:f>
        <x:v>0</x:v>
      </x:c>
      <x:c r="O975" t="str"/>
    </x:row>
    <x:row r="976" ht="23" customHeight="1">
      <x:c r="A976" t="n">
        <x:v>163</x:v>
      </x:c>
      <x:c r="B976" t="n">
        <x:v>82</x:v>
      </x:c>
      <x:c r="C976" t="str">
        <x:v>午餐</x:v>
      </x:c>
      <x:c r="D976" t="str">
        <x:v>蔬菜</x:v>
      </x:c>
      <x:c r="E976" t="str">
        <x:v>番茄</x:v>
      </x:c>
      <x:c r="F976" t="n">
        <x:v>175</x:v>
      </x:c>
      <x:c r="G976" t="n">
        <x:v>20</x:v>
      </x:c>
      <x:c r="H976" t="n">
        <x:f>ROUND(F976*G976/100,2)</x:f>
        <x:v>35</x:v>
      </x:c>
      <x:c r="I976" t="n">
        <x:v>0.9</x:v>
      </x:c>
      <x:c r="J976" t="n">
        <x:f>ROUND(F976*I976/100,2)</x:f>
        <x:v>1.58</x:v>
      </x:c>
      <x:c r="K976" t="n">
        <x:v>4</x:v>
      </x:c>
      <x:c r="L976" t="n">
        <x:f>ROUND(F976*K976/100,2)</x:f>
        <x:v>7</x:v>
      </x:c>
      <x:c r="M976" t="n">
        <x:v>0.2</x:v>
      </x:c>
      <x:c r="N976" t="n">
        <x:f>ROUND(F976*M976/100,2)</x:f>
        <x:v>0.35</x:v>
      </x:c>
      <x:c r="O976" t="str">
        <x:v>生重</x:v>
      </x:c>
    </x:row>
    <x:row r="977" ht="23" customHeight="1">
      <x:c r="A977" t="n">
        <x:v>163</x:v>
      </x:c>
      <x:c r="B977" t="n">
        <x:v>82</x:v>
      </x:c>
      <x:c r="C977" t="str">
        <x:v>午餐</x:v>
      </x:c>
      <x:c r="D977" t="str">
        <x:v>菌菇</x:v>
      </x:c>
      <x:c r="E977" t="str">
        <x:v>杏鲍菇</x:v>
      </x:c>
      <x:c r="F977" t="n">
        <x:v>125</x:v>
      </x:c>
      <x:c r="G977" t="n">
        <x:v>35</x:v>
      </x:c>
      <x:c r="H977" t="n">
        <x:f>ROUND(F977*G977/100,2)</x:f>
        <x:v>43.75</x:v>
      </x:c>
      <x:c r="I977" t="n">
        <x:v>2</x:v>
      </x:c>
      <x:c r="J977" t="n">
        <x:f>ROUND(F977*I977/100,2)</x:f>
        <x:v>2.5</x:v>
      </x:c>
      <x:c r="K977" t="n">
        <x:v>7.4</x:v>
      </x:c>
      <x:c r="L977" t="n">
        <x:f>ROUND(F977*K977/100,2)</x:f>
        <x:v>9.25</x:v>
      </x:c>
      <x:c r="M977" t="n">
        <x:v>0.3</x:v>
      </x:c>
      <x:c r="N977" t="n">
        <x:f>ROUND(F977*M977/100,2)</x:f>
        <x:v>0.38</x:v>
      </x:c>
      <x:c r="O977" t="str">
        <x:v>生重</x:v>
      </x:c>
    </x:row>
    <x:row r="978" ht="23" customHeight="1">
      <x:c r="A978" t="n">
        <x:v>163</x:v>
      </x:c>
      <x:c r="B978" t="n">
        <x:v>82</x:v>
      </x:c>
      <x:c r="C978" t="str">
        <x:v>午餐</x:v>
      </x:c>
      <x:c r="D978" t="str">
        <x:v>主食</x:v>
      </x:c>
      <x:c r="E978" t="str">
        <x:v>山药</x:v>
      </x:c>
      <x:c r="F978" t="n">
        <x:v>110</x:v>
      </x:c>
      <x:c r="G978" t="n">
        <x:v>62</x:v>
      </x:c>
      <x:c r="H978" t="n">
        <x:f>ROUND(F978*G978/100,2)</x:f>
        <x:v>68.2</x:v>
      </x:c>
      <x:c r="I978" t="n">
        <x:v>1.5</x:v>
      </x:c>
      <x:c r="J978" t="n">
        <x:f>ROUND(F978*I978/100,2)</x:f>
        <x:v>1.65</x:v>
      </x:c>
      <x:c r="K978" t="n">
        <x:v>14.1</x:v>
      </x:c>
      <x:c r="L978" t="n">
        <x:f>ROUND(F978*K978/100,2)</x:f>
        <x:v>15.51</x:v>
      </x:c>
      <x:c r="M978" t="n">
        <x:v>0.1</x:v>
      </x:c>
      <x:c r="N978" t="n">
        <x:f>ROUND(F978*M978/100,2)</x:f>
        <x:v>0.11</x:v>
      </x:c>
      <x:c r="O978" t="str">
        <x:v>蒸熟净重</x:v>
      </x:c>
    </x:row>
    <x:row r="979" ht="23" customHeight="1">
      <x:c r="A979" t="n">
        <x:v>163</x:v>
      </x:c>
      <x:c r="B979" t="n">
        <x:v>82</x:v>
      </x:c>
      <x:c r="C979" t="str">
        <x:v>午餐</x:v>
      </x:c>
      <x:c r="D979" t="str">
        <x:v>油脂</x:v>
      </x:c>
      <x:c r="E979" t="str">
        <x:v>烹调油</x:v>
      </x:c>
      <x:c r="F979" t="n">
        <x:v>3</x:v>
      </x:c>
      <x:c r="G979" t="n">
        <x:v>900</x:v>
      </x:c>
      <x:c r="H979" t="n">
        <x:f>ROUND(F979*G979/100,2)</x:f>
        <x:v>27</x:v>
      </x:c>
      <x:c r="I979" t="n">
        <x:v>0</x:v>
      </x:c>
      <x:c r="J979" t="n">
        <x:f>ROUND(F979*I979/100,2)</x:f>
        <x:v>0</x:v>
      </x:c>
      <x:c r="K979" t="n">
        <x:v>0</x:v>
      </x:c>
      <x:c r="L979" t="n">
        <x:f>ROUND(F979*K979/100,2)</x:f>
        <x:v>0</x:v>
      </x:c>
      <x:c r="M979" t="n">
        <x:v>100</x:v>
      </x:c>
      <x:c r="N979" t="n">
        <x:f>ROUND(F979*M979/100,2)</x:f>
        <x:v>3</x:v>
      </x:c>
      <x:c r="O979" t="str">
        <x:v>实际用油重</x:v>
      </x:c>
    </x:row>
    <x:row r="980" ht="23" customHeight="1">
      <x:c r="A980" t="n">
        <x:v>164</x:v>
      </x:c>
      <x:c r="B980" t="n">
        <x:v>82</x:v>
      </x:c>
      <x:c r="C980" t="str">
        <x:v>晚餐</x:v>
      </x:c>
      <x:c r="D980" t="str">
        <x:v>猪肉</x:v>
      </x:c>
      <x:c r="E980" t="str">
        <x:v>猪瘦肉</x:v>
      </x:c>
      <x:c r="F980" t="n">
        <x:v>170</x:v>
      </x:c>
      <x:c r="G980" t="n">
        <x:v>130</x:v>
      </x:c>
      <x:c r="H980" t="n">
        <x:f>ROUND(F980*G980/100,2)</x:f>
        <x:v>221</x:v>
      </x:c>
      <x:c r="I980" t="n">
        <x:v>20</x:v>
      </x:c>
      <x:c r="J980" t="n">
        <x:f>ROUND(F980*I980/100,2)</x:f>
        <x:v>34</x:v>
      </x:c>
      <x:c r="K980" t="n">
        <x:v>0</x:v>
      </x:c>
      <x:c r="L980" t="n">
        <x:f>ROUND(F980*K980/100,2)</x:f>
        <x:v>0</x:v>
      </x:c>
      <x:c r="M980" t="n">
        <x:v>5.5</x:v>
      </x:c>
      <x:c r="N980" t="n">
        <x:f>ROUND(F980*M980/100,2)</x:f>
        <x:v>9.35</x:v>
      </x:c>
      <x:c r="O980" t="str">
        <x:v>生重</x:v>
      </x:c>
    </x:row>
    <x:row r="981" ht="23" customHeight="1">
      <x:c r="A981" t="n">
        <x:v>164</x:v>
      </x:c>
      <x:c r="B981" t="n">
        <x:v>82</x:v>
      </x:c>
      <x:c r="C981" t="str">
        <x:v>晚餐</x:v>
      </x:c>
      <x:c r="D981" t="str"/>
      <x:c r="E981" t="str"/>
      <x:c r="F981" t="n">
        <x:v>0</x:v>
      </x:c>
      <x:c r="G981" t="n">
        <x:v>0</x:v>
      </x:c>
      <x:c r="H981" t="n">
        <x:f>ROUND(F981*G981/100,2)</x:f>
        <x:v>0</x:v>
      </x:c>
      <x:c r="I981" t="n">
        <x:v>0</x:v>
      </x:c>
      <x:c r="J981" t="n">
        <x:f>ROUND(F981*I981/100,2)</x:f>
        <x:v>0</x:v>
      </x:c>
      <x:c r="K981" t="n">
        <x:v>0</x:v>
      </x:c>
      <x:c r="L981" t="n">
        <x:f>ROUND(F981*K981/100,2)</x:f>
        <x:v>0</x:v>
      </x:c>
      <x:c r="M981" t="n">
        <x:v>0</x:v>
      </x:c>
      <x:c r="N981" t="n">
        <x:f>ROUND(F981*M981/100,2)</x:f>
        <x:v>0</x:v>
      </x:c>
      <x:c r="O981" t="str"/>
    </x:row>
    <x:row r="982" ht="23" customHeight="1">
      <x:c r="A982" t="n">
        <x:v>164</x:v>
      </x:c>
      <x:c r="B982" t="n">
        <x:v>82</x:v>
      </x:c>
      <x:c r="C982" t="str">
        <x:v>晚餐</x:v>
      </x:c>
      <x:c r="D982" t="str">
        <x:v>蔬菜</x:v>
      </x:c>
      <x:c r="E982" t="str">
        <x:v>西兰花</x:v>
      </x:c>
      <x:c r="F982" t="n">
        <x:v>140</x:v>
      </x:c>
      <x:c r="G982" t="n">
        <x:v>34</x:v>
      </x:c>
      <x:c r="H982" t="n">
        <x:f>ROUND(F982*G982/100,2)</x:f>
        <x:v>47.6</x:v>
      </x:c>
      <x:c r="I982" t="n">
        <x:v>2.8</x:v>
      </x:c>
      <x:c r="J982" t="n">
        <x:f>ROUND(F982*I982/100,2)</x:f>
        <x:v>3.92</x:v>
      </x:c>
      <x:c r="K982" t="n">
        <x:v>7</x:v>
      </x:c>
      <x:c r="L982" t="n">
        <x:f>ROUND(F982*K982/100,2)</x:f>
        <x:v>9.8</x:v>
      </x:c>
      <x:c r="M982" t="n">
        <x:v>0.4</x:v>
      </x:c>
      <x:c r="N982" t="n">
        <x:f>ROUND(F982*M982/100,2)</x:f>
        <x:v>0.56</x:v>
      </x:c>
      <x:c r="O982" t="str">
        <x:v>生重</x:v>
      </x:c>
    </x:row>
    <x:row r="983" ht="23" customHeight="1">
      <x:c r="A983" t="n">
        <x:v>164</x:v>
      </x:c>
      <x:c r="B983" t="n">
        <x:v>82</x:v>
      </x:c>
      <x:c r="C983" t="str">
        <x:v>晚餐</x:v>
      </x:c>
      <x:c r="D983" t="str">
        <x:v>蔬菜</x:v>
      </x:c>
      <x:c r="E983" t="str">
        <x:v>洋葱</x:v>
      </x:c>
      <x:c r="F983" t="n">
        <x:v>155</x:v>
      </x:c>
      <x:c r="G983" t="n">
        <x:v>40</x:v>
      </x:c>
      <x:c r="H983" t="n">
        <x:f>ROUND(F983*G983/100,2)</x:f>
        <x:v>62</x:v>
      </x:c>
      <x:c r="I983" t="n">
        <x:v>1.1</x:v>
      </x:c>
      <x:c r="J983" t="n">
        <x:f>ROUND(F983*I983/100,2)</x:f>
        <x:v>1.71</x:v>
      </x:c>
      <x:c r="K983" t="n">
        <x:v>9.3</x:v>
      </x:c>
      <x:c r="L983" t="n">
        <x:f>ROUND(F983*K983/100,2)</x:f>
        <x:v>14.42</x:v>
      </x:c>
      <x:c r="M983" t="n">
        <x:v>0.1</x:v>
      </x:c>
      <x:c r="N983" t="n">
        <x:f>ROUND(F983*M983/100,2)</x:f>
        <x:v>0.16</x:v>
      </x:c>
      <x:c r="O983" t="str">
        <x:v>生重</x:v>
      </x:c>
    </x:row>
    <x:row r="984" ht="23" customHeight="1">
      <x:c r="A984" t="n">
        <x:v>164</x:v>
      </x:c>
      <x:c r="B984" t="n">
        <x:v>82</x:v>
      </x:c>
      <x:c r="C984" t="str">
        <x:v>晚餐</x:v>
      </x:c>
      <x:c r="D984" t="str">
        <x:v>主食</x:v>
      </x:c>
      <x:c r="E984" t="str">
        <x:v>糙米饭</x:v>
      </x:c>
      <x:c r="F984" t="n">
        <x:v>110</x:v>
      </x:c>
      <x:c r="G984" t="n">
        <x:v>112</x:v>
      </x:c>
      <x:c r="H984" t="n">
        <x:f>ROUND(F984*G984/100,2)</x:f>
        <x:v>123.2</x:v>
      </x:c>
      <x:c r="I984" t="n">
        <x:v>2.6</x:v>
      </x:c>
      <x:c r="J984" t="n">
        <x:f>ROUND(F984*I984/100,2)</x:f>
        <x:v>2.86</x:v>
      </x:c>
      <x:c r="K984" t="n">
        <x:v>23.5</x:v>
      </x:c>
      <x:c r="L984" t="n">
        <x:f>ROUND(F984*K984/100,2)</x:f>
        <x:v>25.85</x:v>
      </x:c>
      <x:c r="M984" t="n">
        <x:v>0.9</x:v>
      </x:c>
      <x:c r="N984" t="n">
        <x:f>ROUND(F984*M984/100,2)</x:f>
        <x:v>0.99</x:v>
      </x:c>
      <x:c r="O984" t="str">
        <x:v>熟重</x:v>
      </x:c>
    </x:row>
    <x:row r="985" ht="23" customHeight="1">
      <x:c r="A985" t="n">
        <x:v>164</x:v>
      </x:c>
      <x:c r="B985" t="n">
        <x:v>82</x:v>
      </x:c>
      <x:c r="C985" t="str">
        <x:v>晚餐</x:v>
      </x:c>
      <x:c r="D985" t="str">
        <x:v>油脂</x:v>
      </x:c>
      <x:c r="E985" t="str">
        <x:v>烹调油</x:v>
      </x:c>
      <x:c r="F985" t="n">
        <x:v>5</x:v>
      </x:c>
      <x:c r="G985" t="n">
        <x:v>900</x:v>
      </x:c>
      <x:c r="H985" t="n">
        <x:f>ROUND(F985*G985/100,2)</x:f>
        <x:v>45</x:v>
      </x:c>
      <x:c r="I985" t="n">
        <x:v>0</x:v>
      </x:c>
      <x:c r="J985" t="n">
        <x:f>ROUND(F985*I985/100,2)</x:f>
        <x:v>0</x:v>
      </x:c>
      <x:c r="K985" t="n">
        <x:v>0</x:v>
      </x:c>
      <x:c r="L985" t="n">
        <x:f>ROUND(F985*K985/100,2)</x:f>
        <x:v>0</x:v>
      </x:c>
      <x:c r="M985" t="n">
        <x:v>100</x:v>
      </x:c>
      <x:c r="N985" t="n">
        <x:f>ROUND(F985*M985/100,2)</x:f>
        <x:v>5</x:v>
      </x:c>
      <x:c r="O985" t="str">
        <x:v>实际用油重</x:v>
      </x:c>
    </x:row>
    <x:row r="986" ht="23" customHeight="1">
      <x:c r="A986" t="n">
        <x:v>165</x:v>
      </x:c>
      <x:c r="B986" t="n">
        <x:v>83</x:v>
      </x:c>
      <x:c r="C986" t="str">
        <x:v>午餐</x:v>
      </x:c>
      <x:c r="D986" t="str">
        <x:v>鱼类</x:v>
      </x:c>
      <x:c r="E986" t="str">
        <x:v>鳕鱼</x:v>
      </x:c>
      <x:c r="F986" t="n">
        <x:v>215</x:v>
      </x:c>
      <x:c r="G986" t="n">
        <x:v>85</x:v>
      </x:c>
      <x:c r="H986" t="n">
        <x:f>ROUND(F986*G986/100,2)</x:f>
        <x:v>182.75</x:v>
      </x:c>
      <x:c r="I986" t="n">
        <x:v>18</x:v>
      </x:c>
      <x:c r="J986" t="n">
        <x:f>ROUND(F986*I986/100,2)</x:f>
        <x:v>38.7</x:v>
      </x:c>
      <x:c r="K986" t="n">
        <x:v>0</x:v>
      </x:c>
      <x:c r="L986" t="n">
        <x:f>ROUND(F986*K986/100,2)</x:f>
        <x:v>0</x:v>
      </x:c>
      <x:c r="M986" t="n">
        <x:v>0.8</x:v>
      </x:c>
      <x:c r="N986" t="n">
        <x:f>ROUND(F986*M986/100,2)</x:f>
        <x:v>1.72</x:v>
      </x:c>
      <x:c r="O986" t="str">
        <x:v>净鱼肉生重</x:v>
      </x:c>
    </x:row>
    <x:row r="987" ht="23" customHeight="1">
      <x:c r="A987" t="n">
        <x:v>165</x:v>
      </x:c>
      <x:c r="B987" t="n">
        <x:v>83</x:v>
      </x:c>
      <x:c r="C987" t="str">
        <x:v>午餐</x:v>
      </x:c>
      <x:c r="D987" t="str"/>
      <x:c r="E987" t="str"/>
      <x:c r="F987" t="n">
        <x:v>0</x:v>
      </x:c>
      <x:c r="G987" t="n">
        <x:v>0</x:v>
      </x:c>
      <x:c r="H987" t="n">
        <x:f>ROUND(F987*G987/100,2)</x:f>
        <x:v>0</x:v>
      </x:c>
      <x:c r="I987" t="n">
        <x:v>0</x:v>
      </x:c>
      <x:c r="J987" t="n">
        <x:f>ROUND(F987*I987/100,2)</x:f>
        <x:v>0</x:v>
      </x:c>
      <x:c r="K987" t="n">
        <x:v>0</x:v>
      </x:c>
      <x:c r="L987" t="n">
        <x:f>ROUND(F987*K987/100,2)</x:f>
        <x:v>0</x:v>
      </x:c>
      <x:c r="M987" t="n">
        <x:v>0</x:v>
      </x:c>
      <x:c r="N987" t="n">
        <x:f>ROUND(F987*M987/100,2)</x:f>
        <x:v>0</x:v>
      </x:c>
      <x:c r="O987" t="str"/>
    </x:row>
    <x:row r="988" ht="23" customHeight="1">
      <x:c r="A988" t="n">
        <x:v>165</x:v>
      </x:c>
      <x:c r="B988" t="n">
        <x:v>83</x:v>
      </x:c>
      <x:c r="C988" t="str">
        <x:v>午餐</x:v>
      </x:c>
      <x:c r="D988" t="str">
        <x:v>蔬菜</x:v>
      </x:c>
      <x:c r="E988" t="str">
        <x:v>生菜</x:v>
      </x:c>
      <x:c r="F988" t="n">
        <x:v>190</x:v>
      </x:c>
      <x:c r="G988" t="n">
        <x:v>16</x:v>
      </x:c>
      <x:c r="H988" t="n">
        <x:f>ROUND(F988*G988/100,2)</x:f>
        <x:v>30.4</x:v>
      </x:c>
      <x:c r="I988" t="n">
        <x:v>1.4</x:v>
      </x:c>
      <x:c r="J988" t="n">
        <x:f>ROUND(F988*I988/100,2)</x:f>
        <x:v>2.66</x:v>
      </x:c>
      <x:c r="K988" t="n">
        <x:v>2.9</x:v>
      </x:c>
      <x:c r="L988" t="n">
        <x:f>ROUND(F988*K988/100,2)</x:f>
        <x:v>5.51</x:v>
      </x:c>
      <x:c r="M988" t="n">
        <x:v>0.1</x:v>
      </x:c>
      <x:c r="N988" t="n">
        <x:f>ROUND(F988*M988/100,2)</x:f>
        <x:v>0.19</x:v>
      </x:c>
      <x:c r="O988" t="str">
        <x:v>生重</x:v>
      </x:c>
    </x:row>
    <x:row r="989" ht="23" customHeight="1">
      <x:c r="A989" t="n">
        <x:v>165</x:v>
      </x:c>
      <x:c r="B989" t="n">
        <x:v>83</x:v>
      </x:c>
      <x:c r="C989" t="str">
        <x:v>午餐</x:v>
      </x:c>
      <x:c r="D989" t="str">
        <x:v>蔬菜</x:v>
      </x:c>
      <x:c r="E989" t="str">
        <x:v>黄瓜</x:v>
      </x:c>
      <x:c r="F989" t="n">
        <x:v>155</x:v>
      </x:c>
      <x:c r="G989" t="n">
        <x:v>16</x:v>
      </x:c>
      <x:c r="H989" t="n">
        <x:f>ROUND(F989*G989/100,2)</x:f>
        <x:v>24.8</x:v>
      </x:c>
      <x:c r="I989" t="n">
        <x:v>0.7</x:v>
      </x:c>
      <x:c r="J989" t="n">
        <x:f>ROUND(F989*I989/100,2)</x:f>
        <x:v>1.09</x:v>
      </x:c>
      <x:c r="K989" t="n">
        <x:v>3.6</x:v>
      </x:c>
      <x:c r="L989" t="n">
        <x:f>ROUND(F989*K989/100,2)</x:f>
        <x:v>5.58</x:v>
      </x:c>
      <x:c r="M989" t="n">
        <x:v>0.1</x:v>
      </x:c>
      <x:c r="N989" t="n">
        <x:f>ROUND(F989*M989/100,2)</x:f>
        <x:v>0.16</x:v>
      </x:c>
      <x:c r="O989" t="str">
        <x:v>生重</x:v>
      </x:c>
    </x:row>
    <x:row r="990" ht="23" customHeight="1">
      <x:c r="A990" t="n">
        <x:v>165</x:v>
      </x:c>
      <x:c r="B990" t="n">
        <x:v>83</x:v>
      </x:c>
      <x:c r="C990" t="str">
        <x:v>午餐</x:v>
      </x:c>
      <x:c r="D990" t="str">
        <x:v>主食</x:v>
      </x:c>
      <x:c r="E990" t="str">
        <x:v>荞麦面</x:v>
      </x:c>
      <x:c r="F990" t="n">
        <x:v>125</x:v>
      </x:c>
      <x:c r="G990" t="n">
        <x:v>105</x:v>
      </x:c>
      <x:c r="H990" t="n">
        <x:f>ROUND(F990*G990/100,2)</x:f>
        <x:v>131.25</x:v>
      </x:c>
      <x:c r="I990" t="n">
        <x:v>4</x:v>
      </x:c>
      <x:c r="J990" t="n">
        <x:f>ROUND(F990*I990/100,2)</x:f>
        <x:v>5</x:v>
      </x:c>
      <x:c r="K990" t="n">
        <x:v>21</x:v>
      </x:c>
      <x:c r="L990" t="n">
        <x:f>ROUND(F990*K990/100,2)</x:f>
        <x:v>26.25</x:v>
      </x:c>
      <x:c r="M990" t="n">
        <x:v>0.7</x:v>
      </x:c>
      <x:c r="N990" t="n">
        <x:f>ROUND(F990*M990/100,2)</x:f>
        <x:v>0.88</x:v>
      </x:c>
      <x:c r="O990" t="str">
        <x:v>煮熟沥水重</x:v>
      </x:c>
    </x:row>
    <x:row r="991" ht="23" customHeight="1">
      <x:c r="A991" t="n">
        <x:v>165</x:v>
      </x:c>
      <x:c r="B991" t="n">
        <x:v>83</x:v>
      </x:c>
      <x:c r="C991" t="str">
        <x:v>午餐</x:v>
      </x:c>
      <x:c r="D991" t="str">
        <x:v>油脂</x:v>
      </x:c>
      <x:c r="E991" t="str">
        <x:v>烹调油</x:v>
      </x:c>
      <x:c r="F991" t="n">
        <x:v>6</x:v>
      </x:c>
      <x:c r="G991" t="n">
        <x:v>900</x:v>
      </x:c>
      <x:c r="H991" t="n">
        <x:f>ROUND(F991*G991/100,2)</x:f>
        <x:v>54</x:v>
      </x:c>
      <x:c r="I991" t="n">
        <x:v>0</x:v>
      </x:c>
      <x:c r="J991" t="n">
        <x:f>ROUND(F991*I991/100,2)</x:f>
        <x:v>0</x:v>
      </x:c>
      <x:c r="K991" t="n">
        <x:v>0</x:v>
      </x:c>
      <x:c r="L991" t="n">
        <x:f>ROUND(F991*K991/100,2)</x:f>
        <x:v>0</x:v>
      </x:c>
      <x:c r="M991" t="n">
        <x:v>100</x:v>
      </x:c>
      <x:c r="N991" t="n">
        <x:f>ROUND(F991*M991/100,2)</x:f>
        <x:v>6</x:v>
      </x:c>
      <x:c r="O991" t="str">
        <x:v>实际用油重</x:v>
      </x:c>
    </x:row>
    <x:row r="992" ht="23" customHeight="1">
      <x:c r="A992" t="n">
        <x:v>166</x:v>
      </x:c>
      <x:c r="B992" t="n">
        <x:v>83</x:v>
      </x:c>
      <x:c r="C992" t="str">
        <x:v>晚餐</x:v>
      </x:c>
      <x:c r="D992" t="str">
        <x:v>牛肉</x:v>
      </x:c>
      <x:c r="E992" t="str">
        <x:v>牛腱子</x:v>
      </x:c>
      <x:c r="F992" t="n">
        <x:v>180</x:v>
      </x:c>
      <x:c r="G992" t="n">
        <x:v>140</x:v>
      </x:c>
      <x:c r="H992" t="n">
        <x:f>ROUND(F992*G992/100,2)</x:f>
        <x:v>252</x:v>
      </x:c>
      <x:c r="I992" t="n">
        <x:v>21</x:v>
      </x:c>
      <x:c r="J992" t="n">
        <x:f>ROUND(F992*I992/100,2)</x:f>
        <x:v>37.8</x:v>
      </x:c>
      <x:c r="K992" t="n">
        <x:v>0</x:v>
      </x:c>
      <x:c r="L992" t="n">
        <x:f>ROUND(F992*K992/100,2)</x:f>
        <x:v>0</x:v>
      </x:c>
      <x:c r="M992" t="n">
        <x:v>6</x:v>
      </x:c>
      <x:c r="N992" t="n">
        <x:f>ROUND(F992*M992/100,2)</x:f>
        <x:v>10.8</x:v>
      </x:c>
      <x:c r="O992" t="str">
        <x:v>生重</x:v>
      </x:c>
    </x:row>
    <x:row r="993" ht="23" customHeight="1">
      <x:c r="A993" t="n">
        <x:v>166</x:v>
      </x:c>
      <x:c r="B993" t="n">
        <x:v>83</x:v>
      </x:c>
      <x:c r="C993" t="str">
        <x:v>晚餐</x:v>
      </x:c>
      <x:c r="D993" t="str"/>
      <x:c r="E993" t="str"/>
      <x:c r="F993" t="n">
        <x:v>0</x:v>
      </x:c>
      <x:c r="G993" t="n">
        <x:v>0</x:v>
      </x:c>
      <x:c r="H993" t="n">
        <x:f>ROUND(F993*G993/100,2)</x:f>
        <x:v>0</x:v>
      </x:c>
      <x:c r="I993" t="n">
        <x:v>0</x:v>
      </x:c>
      <x:c r="J993" t="n">
        <x:f>ROUND(F993*I993/100,2)</x:f>
        <x:v>0</x:v>
      </x:c>
      <x:c r="K993" t="n">
        <x:v>0</x:v>
      </x:c>
      <x:c r="L993" t="n">
        <x:f>ROUND(F993*K993/100,2)</x:f>
        <x:v>0</x:v>
      </x:c>
      <x:c r="M993" t="n">
        <x:v>0</x:v>
      </x:c>
      <x:c r="N993" t="n">
        <x:f>ROUND(F993*M993/100,2)</x:f>
        <x:v>0</x:v>
      </x:c>
      <x:c r="O993" t="str"/>
    </x:row>
    <x:row r="994" ht="23" customHeight="1">
      <x:c r="A994" t="n">
        <x:v>166</x:v>
      </x:c>
      <x:c r="B994" t="n">
        <x:v>83</x:v>
      </x:c>
      <x:c r="C994" t="str">
        <x:v>晚餐</x:v>
      </x:c>
      <x:c r="D994" t="str">
        <x:v>蔬菜</x:v>
      </x:c>
      <x:c r="E994" t="str">
        <x:v>茼蒿</x:v>
      </x:c>
      <x:c r="F994" t="n">
        <x:v>190</x:v>
      </x:c>
      <x:c r="G994" t="n">
        <x:v>24</x:v>
      </x:c>
      <x:c r="H994" t="n">
        <x:f>ROUND(F994*G994/100,2)</x:f>
        <x:v>45.6</x:v>
      </x:c>
      <x:c r="I994" t="n">
        <x:v>1.9</x:v>
      </x:c>
      <x:c r="J994" t="n">
        <x:f>ROUND(F994*I994/100,2)</x:f>
        <x:v>3.61</x:v>
      </x:c>
      <x:c r="K994" t="n">
        <x:v>4.3</x:v>
      </x:c>
      <x:c r="L994" t="n">
        <x:f>ROUND(F994*K994/100,2)</x:f>
        <x:v>8.17</x:v>
      </x:c>
      <x:c r="M994" t="n">
        <x:v>0.3</x:v>
      </x:c>
      <x:c r="N994" t="n">
        <x:f>ROUND(F994*M994/100,2)</x:f>
        <x:v>0.57</x:v>
      </x:c>
      <x:c r="O994" t="str">
        <x:v>生重</x:v>
      </x:c>
    </x:row>
    <x:row r="995" ht="23" customHeight="1">
      <x:c r="A995" t="n">
        <x:v>166</x:v>
      </x:c>
      <x:c r="B995" t="n">
        <x:v>83</x:v>
      </x:c>
      <x:c r="C995" t="str">
        <x:v>晚餐</x:v>
      </x:c>
      <x:c r="D995" t="str">
        <x:v>菌菇</x:v>
      </x:c>
      <x:c r="E995" t="str">
        <x:v>香菇</x:v>
      </x:c>
      <x:c r="F995" t="n">
        <x:v>125</x:v>
      </x:c>
      <x:c r="G995" t="n">
        <x:v>34</x:v>
      </x:c>
      <x:c r="H995" t="n">
        <x:f>ROUND(F995*G995/100,2)</x:f>
        <x:v>42.5</x:v>
      </x:c>
      <x:c r="I995" t="n">
        <x:v>2.2</x:v>
      </x:c>
      <x:c r="J995" t="n">
        <x:f>ROUND(F995*I995/100,2)</x:f>
        <x:v>2.75</x:v>
      </x:c>
      <x:c r="K995" t="n">
        <x:v>6.8</x:v>
      </x:c>
      <x:c r="L995" t="n">
        <x:f>ROUND(F995*K995/100,2)</x:f>
        <x:v>8.5</x:v>
      </x:c>
      <x:c r="M995" t="n">
        <x:v>0.5</x:v>
      </x:c>
      <x:c r="N995" t="n">
        <x:f>ROUND(F995*M995/100,2)</x:f>
        <x:v>0.63</x:v>
      </x:c>
      <x:c r="O995" t="str">
        <x:v>生重</x:v>
      </x:c>
    </x:row>
    <x:row r="996" ht="23" customHeight="1">
      <x:c r="A996" t="n">
        <x:v>166</x:v>
      </x:c>
      <x:c r="B996" t="n">
        <x:v>83</x:v>
      </x:c>
      <x:c r="C996" t="str">
        <x:v>晚餐</x:v>
      </x:c>
      <x:c r="D996" t="str">
        <x:v>主食</x:v>
      </x:c>
      <x:c r="E996" t="str">
        <x:v>红薯</x:v>
      </x:c>
      <x:c r="F996" t="n">
        <x:v>110</x:v>
      </x:c>
      <x:c r="G996" t="n">
        <x:v>88</x:v>
      </x:c>
      <x:c r="H996" t="n">
        <x:f>ROUND(F996*G996/100,2)</x:f>
        <x:v>96.8</x:v>
      </x:c>
      <x:c r="I996" t="n">
        <x:v>1.6</x:v>
      </x:c>
      <x:c r="J996" t="n">
        <x:f>ROUND(F996*I996/100,2)</x:f>
        <x:v>1.76</x:v>
      </x:c>
      <x:c r="K996" t="n">
        <x:v>20.5</x:v>
      </x:c>
      <x:c r="L996" t="n">
        <x:f>ROUND(F996*K996/100,2)</x:f>
        <x:v>22.55</x:v>
      </x:c>
      <x:c r="M996" t="n">
        <x:v>0.1</x:v>
      </x:c>
      <x:c r="N996" t="n">
        <x:f>ROUND(F996*M996/100,2)</x:f>
        <x:v>0.11</x:v>
      </x:c>
      <x:c r="O996" t="str">
        <x:v>蒸熟净重</x:v>
      </x:c>
    </x:row>
    <x:row r="997" ht="23" customHeight="1">
      <x:c r="A997" t="n">
        <x:v>166</x:v>
      </x:c>
      <x:c r="B997" t="n">
        <x:v>83</x:v>
      </x:c>
      <x:c r="C997" t="str">
        <x:v>晚餐</x:v>
      </x:c>
      <x:c r="D997" t="str">
        <x:v>油脂</x:v>
      </x:c>
      <x:c r="E997" t="str">
        <x:v>烹调油</x:v>
      </x:c>
      <x:c r="F997" t="n">
        <x:v>6</x:v>
      </x:c>
      <x:c r="G997" t="n">
        <x:v>900</x:v>
      </x:c>
      <x:c r="H997" t="n">
        <x:f>ROUND(F997*G997/100,2)</x:f>
        <x:v>54</x:v>
      </x:c>
      <x:c r="I997" t="n">
        <x:v>0</x:v>
      </x:c>
      <x:c r="J997" t="n">
        <x:f>ROUND(F997*I997/100,2)</x:f>
        <x:v>0</x:v>
      </x:c>
      <x:c r="K997" t="n">
        <x:v>0</x:v>
      </x:c>
      <x:c r="L997" t="n">
        <x:f>ROUND(F997*K997/100,2)</x:f>
        <x:v>0</x:v>
      </x:c>
      <x:c r="M997" t="n">
        <x:v>100</x:v>
      </x:c>
      <x:c r="N997" t="n">
        <x:f>ROUND(F997*M997/100,2)</x:f>
        <x:v>6</x:v>
      </x:c>
      <x:c r="O997" t="str">
        <x:v>实际用油重</x:v>
      </x:c>
    </x:row>
    <x:row r="998" ht="23" customHeight="1">
      <x:c r="A998" t="n">
        <x:v>167</x:v>
      </x:c>
      <x:c r="B998" t="n">
        <x:v>84</x:v>
      </x:c>
      <x:c r="C998" t="str">
        <x:v>午餐</x:v>
      </x:c>
      <x:c r="D998" t="str">
        <x:v>海鲜</x:v>
      </x:c>
      <x:c r="E998" t="str">
        <x:v>鱿鱼</x:v>
      </x:c>
      <x:c r="F998" t="n">
        <x:v>190</x:v>
      </x:c>
      <x:c r="G998" t="n">
        <x:v>95</x:v>
      </x:c>
      <x:c r="H998" t="n">
        <x:f>ROUND(F998*G998/100,2)</x:f>
        <x:v>180.5</x:v>
      </x:c>
      <x:c r="I998" t="n">
        <x:v>17</x:v>
      </x:c>
      <x:c r="J998" t="n">
        <x:f>ROUND(F998*I998/100,2)</x:f>
        <x:v>32.3</x:v>
      </x:c>
      <x:c r="K998" t="n">
        <x:v>2</x:v>
      </x:c>
      <x:c r="L998" t="n">
        <x:f>ROUND(F998*K998/100,2)</x:f>
        <x:v>3.8</x:v>
      </x:c>
      <x:c r="M998" t="n">
        <x:v>1.4</x:v>
      </x:c>
      <x:c r="N998" t="n">
        <x:f>ROUND(F998*M998/100,2)</x:f>
        <x:v>2.66</x:v>
      </x:c>
      <x:c r="O998" t="str">
        <x:v>生重</x:v>
      </x:c>
    </x:row>
    <x:row r="999" ht="23" customHeight="1">
      <x:c r="A999" t="n">
        <x:v>167</x:v>
      </x:c>
      <x:c r="B999" t="n">
        <x:v>84</x:v>
      </x:c>
      <x:c r="C999" t="str">
        <x:v>午餐</x:v>
      </x:c>
      <x:c r="D999" t="str"/>
      <x:c r="E999" t="str"/>
      <x:c r="F999" t="n">
        <x:v>0</x:v>
      </x:c>
      <x:c r="G999" t="n">
        <x:v>0</x:v>
      </x:c>
      <x:c r="H999" t="n">
        <x:f>ROUND(F999*G999/100,2)</x:f>
        <x:v>0</x:v>
      </x:c>
      <x:c r="I999" t="n">
        <x:v>0</x:v>
      </x:c>
      <x:c r="J999" t="n">
        <x:f>ROUND(F999*I999/100,2)</x:f>
        <x:v>0</x:v>
      </x:c>
      <x:c r="K999" t="n">
        <x:v>0</x:v>
      </x:c>
      <x:c r="L999" t="n">
        <x:f>ROUND(F999*K999/100,2)</x:f>
        <x:v>0</x:v>
      </x:c>
      <x:c r="M999" t="n">
        <x:v>0</x:v>
      </x:c>
      <x:c r="N999" t="n">
        <x:f>ROUND(F999*M999/100,2)</x:f>
        <x:v>0</x:v>
      </x:c>
      <x:c r="O999" t="str"/>
    </x:row>
    <x:row r="1000" ht="23" customHeight="1">
      <x:c r="A1000" t="n">
        <x:v>167</x:v>
      </x:c>
      <x:c r="B1000" t="n">
        <x:v>84</x:v>
      </x:c>
      <x:c r="C1000" t="str">
        <x:v>午餐</x:v>
      </x:c>
      <x:c r="D1000" t="str">
        <x:v>蔬菜</x:v>
      </x:c>
      <x:c r="E1000" t="str">
        <x:v>芦笋</x:v>
      </x:c>
      <x:c r="F1000" t="n">
        <x:v>160</x:v>
      </x:c>
      <x:c r="G1000" t="n">
        <x:v>20</x:v>
      </x:c>
      <x:c r="H1000" t="n">
        <x:f>ROUND(F1000*G1000/100,2)</x:f>
        <x:v>32</x:v>
      </x:c>
      <x:c r="I1000" t="n">
        <x:v>2.2</x:v>
      </x:c>
      <x:c r="J1000" t="n">
        <x:f>ROUND(F1000*I1000/100,2)</x:f>
        <x:v>3.52</x:v>
      </x:c>
      <x:c r="K1000" t="n">
        <x:v>3.9</x:v>
      </x:c>
      <x:c r="L1000" t="n">
        <x:f>ROUND(F1000*K1000/100,2)</x:f>
        <x:v>6.24</x:v>
      </x:c>
      <x:c r="M1000" t="n">
        <x:v>0.1</x:v>
      </x:c>
      <x:c r="N1000" t="n">
        <x:f>ROUND(F1000*M1000/100,2)</x:f>
        <x:v>0.16</x:v>
      </x:c>
      <x:c r="O1000" t="str">
        <x:v>生重</x:v>
      </x:c>
    </x:row>
    <x:row r="1001" ht="23" customHeight="1">
      <x:c r="A1001" t="n">
        <x:v>167</x:v>
      </x:c>
      <x:c r="B1001" t="n">
        <x:v>84</x:v>
      </x:c>
      <x:c r="C1001" t="str">
        <x:v>午餐</x:v>
      </x:c>
      <x:c r="D1001" t="str">
        <x:v>菌菇</x:v>
      </x:c>
      <x:c r="E1001" t="str">
        <x:v>香菇</x:v>
      </x:c>
      <x:c r="F1001" t="n">
        <x:v>110</x:v>
      </x:c>
      <x:c r="G1001" t="n">
        <x:v>34</x:v>
      </x:c>
      <x:c r="H1001" t="n">
        <x:f>ROUND(F1001*G1001/100,2)</x:f>
        <x:v>37.4</x:v>
      </x:c>
      <x:c r="I1001" t="n">
        <x:v>2.2</x:v>
      </x:c>
      <x:c r="J1001" t="n">
        <x:f>ROUND(F1001*I1001/100,2)</x:f>
        <x:v>2.42</x:v>
      </x:c>
      <x:c r="K1001" t="n">
        <x:v>6.8</x:v>
      </x:c>
      <x:c r="L1001" t="n">
        <x:f>ROUND(F1001*K1001/100,2)</x:f>
        <x:v>7.48</x:v>
      </x:c>
      <x:c r="M1001" t="n">
        <x:v>0.5</x:v>
      </x:c>
      <x:c r="N1001" t="n">
        <x:f>ROUND(F1001*M1001/100,2)</x:f>
        <x:v>0.55</x:v>
      </x:c>
      <x:c r="O1001" t="str">
        <x:v>生重</x:v>
      </x:c>
    </x:row>
    <x:row r="1002" ht="23" customHeight="1">
      <x:c r="A1002" t="n">
        <x:v>167</x:v>
      </x:c>
      <x:c r="B1002" t="n">
        <x:v>84</x:v>
      </x:c>
      <x:c r="C1002" t="str">
        <x:v>午餐</x:v>
      </x:c>
      <x:c r="D1002" t="str">
        <x:v>主食</x:v>
      </x:c>
      <x:c r="E1002" t="str">
        <x:v>杂粮饭</x:v>
      </x:c>
      <x:c r="F1002" t="n">
        <x:v>135</x:v>
      </x:c>
      <x:c r="G1002" t="n">
        <x:v>115</x:v>
      </x:c>
      <x:c r="H1002" t="n">
        <x:f>ROUND(F1002*G1002/100,2)</x:f>
        <x:v>155.25</x:v>
      </x:c>
      <x:c r="I1002" t="n">
        <x:v>3.1</x:v>
      </x:c>
      <x:c r="J1002" t="n">
        <x:f>ROUND(F1002*I1002/100,2)</x:f>
        <x:v>4.18</x:v>
      </x:c>
      <x:c r="K1002" t="n">
        <x:v>23.5</x:v>
      </x:c>
      <x:c r="L1002" t="n">
        <x:f>ROUND(F1002*K1002/100,2)</x:f>
        <x:v>31.73</x:v>
      </x:c>
      <x:c r="M1002" t="n">
        <x:v>1.1</x:v>
      </x:c>
      <x:c r="N1002" t="n">
        <x:f>ROUND(F1002*M1002/100,2)</x:f>
        <x:v>1.49</x:v>
      </x:c>
      <x:c r="O1002" t="str">
        <x:v>熟重</x:v>
      </x:c>
    </x:row>
    <x:row r="1003" ht="23" customHeight="1">
      <x:c r="A1003" t="n">
        <x:v>167</x:v>
      </x:c>
      <x:c r="B1003" t="n">
        <x:v>84</x:v>
      </x:c>
      <x:c r="C1003" t="str">
        <x:v>午餐</x:v>
      </x:c>
      <x:c r="D1003" t="str">
        <x:v>油脂</x:v>
      </x:c>
      <x:c r="E1003" t="str">
        <x:v>烹调油</x:v>
      </x:c>
      <x:c r="F1003" t="n">
        <x:v>6</x:v>
      </x:c>
      <x:c r="G1003" t="n">
        <x:v>900</x:v>
      </x:c>
      <x:c r="H1003" t="n">
        <x:f>ROUND(F1003*G1003/100,2)</x:f>
        <x:v>54</x:v>
      </x:c>
      <x:c r="I1003" t="n">
        <x:v>0</x:v>
      </x:c>
      <x:c r="J1003" t="n">
        <x:f>ROUND(F1003*I1003/100,2)</x:f>
        <x:v>0</x:v>
      </x:c>
      <x:c r="K1003" t="n">
        <x:v>0</x:v>
      </x:c>
      <x:c r="L1003" t="n">
        <x:f>ROUND(F1003*K1003/100,2)</x:f>
        <x:v>0</x:v>
      </x:c>
      <x:c r="M1003" t="n">
        <x:v>100</x:v>
      </x:c>
      <x:c r="N1003" t="n">
        <x:f>ROUND(F1003*M1003/100,2)</x:f>
        <x:v>6</x:v>
      </x:c>
      <x:c r="O1003" t="str">
        <x:v>实际用油重</x:v>
      </x:c>
    </x:row>
    <x:row r="1004" ht="23" customHeight="1">
      <x:c r="A1004" t="n">
        <x:v>168</x:v>
      </x:c>
      <x:c r="B1004" t="n">
        <x:v>84</x:v>
      </x:c>
      <x:c r="C1004" t="str">
        <x:v>晚餐</x:v>
      </x:c>
      <x:c r="D1004" t="str">
        <x:v>猪肉</x:v>
      </x:c>
      <x:c r="E1004" t="str">
        <x:v>猪瘦肉</x:v>
      </x:c>
      <x:c r="F1004" t="n">
        <x:v>160</x:v>
      </x:c>
      <x:c r="G1004" t="n">
        <x:v>130</x:v>
      </x:c>
      <x:c r="H1004" t="n">
        <x:f>ROUND(F1004*G1004/100,2)</x:f>
        <x:v>208</x:v>
      </x:c>
      <x:c r="I1004" t="n">
        <x:v>20</x:v>
      </x:c>
      <x:c r="J1004" t="n">
        <x:f>ROUND(F1004*I1004/100,2)</x:f>
        <x:v>32</x:v>
      </x:c>
      <x:c r="K1004" t="n">
        <x:v>0</x:v>
      </x:c>
      <x:c r="L1004" t="n">
        <x:f>ROUND(F1004*K1004/100,2)</x:f>
        <x:v>0</x:v>
      </x:c>
      <x:c r="M1004" t="n">
        <x:v>5.5</x:v>
      </x:c>
      <x:c r="N1004" t="n">
        <x:f>ROUND(F1004*M1004/100,2)</x:f>
        <x:v>8.8</x:v>
      </x:c>
      <x:c r="O1004" t="str">
        <x:v>生重</x:v>
      </x:c>
    </x:row>
    <x:row r="1005" ht="23" customHeight="1">
      <x:c r="A1005" t="n">
        <x:v>168</x:v>
      </x:c>
      <x:c r="B1005" t="n">
        <x:v>84</x:v>
      </x:c>
      <x:c r="C1005" t="str">
        <x:v>晚餐</x:v>
      </x:c>
      <x:c r="D1005" t="str"/>
      <x:c r="E1005" t="str"/>
      <x:c r="F1005" t="n">
        <x:v>0</x:v>
      </x:c>
      <x:c r="G1005" t="n">
        <x:v>0</x:v>
      </x:c>
      <x:c r="H1005" t="n">
        <x:f>ROUND(F1005*G1005/100,2)</x:f>
        <x:v>0</x:v>
      </x:c>
      <x:c r="I1005" t="n">
        <x:v>0</x:v>
      </x:c>
      <x:c r="J1005" t="n">
        <x:f>ROUND(F1005*I1005/100,2)</x:f>
        <x:v>0</x:v>
      </x:c>
      <x:c r="K1005" t="n">
        <x:v>0</x:v>
      </x:c>
      <x:c r="L1005" t="n">
        <x:f>ROUND(F1005*K1005/100,2)</x:f>
        <x:v>0</x:v>
      </x:c>
      <x:c r="M1005" t="n">
        <x:v>0</x:v>
      </x:c>
      <x:c r="N1005" t="n">
        <x:f>ROUND(F1005*M1005/100,2)</x:f>
        <x:v>0</x:v>
      </x:c>
      <x:c r="O1005" t="str"/>
    </x:row>
    <x:row r="1006" ht="23" customHeight="1">
      <x:c r="A1006" t="n">
        <x:v>168</x:v>
      </x:c>
      <x:c r="B1006" t="n">
        <x:v>84</x:v>
      </x:c>
      <x:c r="C1006" t="str">
        <x:v>晚餐</x:v>
      </x:c>
      <x:c r="D1006" t="str">
        <x:v>蔬菜</x:v>
      </x:c>
      <x:c r="E1006" t="str">
        <x:v>丝瓜</x:v>
      </x:c>
      <x:c r="F1006" t="n">
        <x:v>160</x:v>
      </x:c>
      <x:c r="G1006" t="n">
        <x:v>20</x:v>
      </x:c>
      <x:c r="H1006" t="n">
        <x:f>ROUND(F1006*G1006/100,2)</x:f>
        <x:v>32</x:v>
      </x:c>
      <x:c r="I1006" t="n">
        <x:v>1</x:v>
      </x:c>
      <x:c r="J1006" t="n">
        <x:f>ROUND(F1006*I1006/100,2)</x:f>
        <x:v>1.6</x:v>
      </x:c>
      <x:c r="K1006" t="n">
        <x:v>4</x:v>
      </x:c>
      <x:c r="L1006" t="n">
        <x:f>ROUND(F1006*K1006/100,2)</x:f>
        <x:v>6.4</x:v>
      </x:c>
      <x:c r="M1006" t="n">
        <x:v>0.2</x:v>
      </x:c>
      <x:c r="N1006" t="n">
        <x:f>ROUND(F1006*M1006/100,2)</x:f>
        <x:v>0.32</x:v>
      </x:c>
      <x:c r="O1006" t="str">
        <x:v>生重</x:v>
      </x:c>
    </x:row>
    <x:row r="1007" ht="23" customHeight="1">
      <x:c r="A1007" t="n">
        <x:v>168</x:v>
      </x:c>
      <x:c r="B1007" t="n">
        <x:v>84</x:v>
      </x:c>
      <x:c r="C1007" t="str">
        <x:v>晚餐</x:v>
      </x:c>
      <x:c r="D1007" t="str">
        <x:v>蔬菜</x:v>
      </x:c>
      <x:c r="E1007" t="str">
        <x:v>彩椒</x:v>
      </x:c>
      <x:c r="F1007" t="n">
        <x:v>125</x:v>
      </x:c>
      <x:c r="G1007" t="n">
        <x:v>27</x:v>
      </x:c>
      <x:c r="H1007" t="n">
        <x:f>ROUND(F1007*G1007/100,2)</x:f>
        <x:v>33.75</x:v>
      </x:c>
      <x:c r="I1007" t="n">
        <x:v>1</x:v>
      </x:c>
      <x:c r="J1007" t="n">
        <x:f>ROUND(F1007*I1007/100,2)</x:f>
        <x:v>1.25</x:v>
      </x:c>
      <x:c r="K1007" t="n">
        <x:v>6.1</x:v>
      </x:c>
      <x:c r="L1007" t="n">
        <x:f>ROUND(F1007*K1007/100,2)</x:f>
        <x:v>7.63</x:v>
      </x:c>
      <x:c r="M1007" t="n">
        <x:v>0.2</x:v>
      </x:c>
      <x:c r="N1007" t="n">
        <x:f>ROUND(F1007*M1007/100,2)</x:f>
        <x:v>0.25</x:v>
      </x:c>
      <x:c r="O1007" t="str">
        <x:v>生重</x:v>
      </x:c>
    </x:row>
    <x:row r="1008" ht="23" customHeight="1">
      <x:c r="A1008" t="n">
        <x:v>168</x:v>
      </x:c>
      <x:c r="B1008" t="n">
        <x:v>84</x:v>
      </x:c>
      <x:c r="C1008" t="str">
        <x:v>晚餐</x:v>
      </x:c>
      <x:c r="D1008" t="str">
        <x:v>主食</x:v>
      </x:c>
      <x:c r="E1008" t="str">
        <x:v>红薯</x:v>
      </x:c>
      <x:c r="F1008" t="n">
        <x:v>80</x:v>
      </x:c>
      <x:c r="G1008" t="n">
        <x:v>88</x:v>
      </x:c>
      <x:c r="H1008" t="n">
        <x:f>ROUND(F1008*G1008/100,2)</x:f>
        <x:v>70.4</x:v>
      </x:c>
      <x:c r="I1008" t="n">
        <x:v>1.6</x:v>
      </x:c>
      <x:c r="J1008" t="n">
        <x:f>ROUND(F1008*I1008/100,2)</x:f>
        <x:v>1.28</x:v>
      </x:c>
      <x:c r="K1008" t="n">
        <x:v>20.5</x:v>
      </x:c>
      <x:c r="L1008" t="n">
        <x:f>ROUND(F1008*K1008/100,2)</x:f>
        <x:v>16.4</x:v>
      </x:c>
      <x:c r="M1008" t="n">
        <x:v>0.1</x:v>
      </x:c>
      <x:c r="N1008" t="n">
        <x:f>ROUND(F1008*M1008/100,2)</x:f>
        <x:v>0.08</x:v>
      </x:c>
      <x:c r="O1008" t="str">
        <x:v>蒸熟净重</x:v>
      </x:c>
    </x:row>
    <x:row r="1009" ht="23" customHeight="1">
      <x:c r="A1009" t="n">
        <x:v>168</x:v>
      </x:c>
      <x:c r="B1009" t="n">
        <x:v>84</x:v>
      </x:c>
      <x:c r="C1009" t="str">
        <x:v>晚餐</x:v>
      </x:c>
      <x:c r="D1009" t="str">
        <x:v>油脂</x:v>
      </x:c>
      <x:c r="E1009" t="str">
        <x:v>烹调油</x:v>
      </x:c>
      <x:c r="F1009" t="n">
        <x:v>4</x:v>
      </x:c>
      <x:c r="G1009" t="n">
        <x:v>900</x:v>
      </x:c>
      <x:c r="H1009" t="n">
        <x:f>ROUND(F1009*G1009/100,2)</x:f>
        <x:v>36</x:v>
      </x:c>
      <x:c r="I1009" t="n">
        <x:v>0</x:v>
      </x:c>
      <x:c r="J1009" t="n">
        <x:f>ROUND(F1009*I1009/100,2)</x:f>
        <x:v>0</x:v>
      </x:c>
      <x:c r="K1009" t="n">
        <x:v>0</x:v>
      </x:c>
      <x:c r="L1009" t="n">
        <x:f>ROUND(F1009*K1009/100,2)</x:f>
        <x:v>0</x:v>
      </x:c>
      <x:c r="M1009" t="n">
        <x:v>100</x:v>
      </x:c>
      <x:c r="N1009" t="n">
        <x:f>ROUND(F1009*M1009/100,2)</x:f>
        <x:v>4</x:v>
      </x:c>
      <x:c r="O1009" t="str">
        <x:v>实际用油重</x:v>
      </x:c>
    </x:row>
    <x:row r="1010" ht="23" customHeight="1">
      <x:c r="A1010" t="n">
        <x:v>169</x:v>
      </x:c>
      <x:c r="B1010" t="n">
        <x:v>85</x:v>
      </x:c>
      <x:c r="C1010" t="str">
        <x:v>午餐</x:v>
      </x:c>
      <x:c r="D1010" t="str">
        <x:v>禽肉</x:v>
      </x:c>
      <x:c r="E1010" t="str">
        <x:v>鸡胸肉</x:v>
      </x:c>
      <x:c r="F1010" t="n">
        <x:v>155</x:v>
      </x:c>
      <x:c r="G1010" t="n">
        <x:v>110</x:v>
      </x:c>
      <x:c r="H1010" t="n">
        <x:f>ROUND(F1010*G1010/100,2)</x:f>
        <x:v>170.5</x:v>
      </x:c>
      <x:c r="I1010" t="n">
        <x:v>23</x:v>
      </x:c>
      <x:c r="J1010" t="n">
        <x:f>ROUND(F1010*I1010/100,2)</x:f>
        <x:v>35.65</x:v>
      </x:c>
      <x:c r="K1010" t="n">
        <x:v>0</x:v>
      </x:c>
      <x:c r="L1010" t="n">
        <x:f>ROUND(F1010*K1010/100,2)</x:f>
        <x:v>0</x:v>
      </x:c>
      <x:c r="M1010" t="n">
        <x:v>2</x:v>
      </x:c>
      <x:c r="N1010" t="n">
        <x:f>ROUND(F1010*M1010/100,2)</x:f>
        <x:v>3.1</x:v>
      </x:c>
      <x:c r="O1010" t="str">
        <x:v>生重</x:v>
      </x:c>
    </x:row>
    <x:row r="1011" ht="23" customHeight="1">
      <x:c r="A1011" t="n">
        <x:v>169</x:v>
      </x:c>
      <x:c r="B1011" t="n">
        <x:v>85</x:v>
      </x:c>
      <x:c r="C1011" t="str">
        <x:v>午餐</x:v>
      </x:c>
      <x:c r="D1011" t="str">
        <x:v>豆蛋</x:v>
      </x:c>
      <x:c r="E1011" t="str">
        <x:v>熟毛豆仁</x:v>
      </x:c>
      <x:c r="F1011" t="n">
        <x:v>50</x:v>
      </x:c>
      <x:c r="G1011" t="n">
        <x:v>120</x:v>
      </x:c>
      <x:c r="H1011" t="n">
        <x:f>ROUND(F1011*G1011/100,2)</x:f>
        <x:v>60</x:v>
      </x:c>
      <x:c r="I1011" t="n">
        <x:v>12</x:v>
      </x:c>
      <x:c r="J1011" t="n">
        <x:f>ROUND(F1011*I1011/100,2)</x:f>
        <x:v>6</x:v>
      </x:c>
      <x:c r="K1011" t="n">
        <x:v>9</x:v>
      </x:c>
      <x:c r="L1011" t="n">
        <x:f>ROUND(F1011*K1011/100,2)</x:f>
        <x:v>4.5</x:v>
      </x:c>
      <x:c r="M1011" t="n">
        <x:v>5</x:v>
      </x:c>
      <x:c r="N1011" t="n">
        <x:f>ROUND(F1011*M1011/100,2)</x:f>
        <x:v>2.5</x:v>
      </x:c>
      <x:c r="O1011" t="str">
        <x:v>熟重</x:v>
      </x:c>
    </x:row>
    <x:row r="1012" ht="23" customHeight="1">
      <x:c r="A1012" t="n">
        <x:v>169</x:v>
      </x:c>
      <x:c r="B1012" t="n">
        <x:v>85</x:v>
      </x:c>
      <x:c r="C1012" t="str">
        <x:v>午餐</x:v>
      </x:c>
      <x:c r="D1012" t="str">
        <x:v>蔬菜</x:v>
      </x:c>
      <x:c r="E1012" t="str">
        <x:v>芦笋</x:v>
      </x:c>
      <x:c r="F1012" t="n">
        <x:v>175</x:v>
      </x:c>
      <x:c r="G1012" t="n">
        <x:v>20</x:v>
      </x:c>
      <x:c r="H1012" t="n">
        <x:f>ROUND(F1012*G1012/100,2)</x:f>
        <x:v>35</x:v>
      </x:c>
      <x:c r="I1012" t="n">
        <x:v>2.2</x:v>
      </x:c>
      <x:c r="J1012" t="n">
        <x:f>ROUND(F1012*I1012/100,2)</x:f>
        <x:v>3.85</x:v>
      </x:c>
      <x:c r="K1012" t="n">
        <x:v>3.9</x:v>
      </x:c>
      <x:c r="L1012" t="n">
        <x:f>ROUND(F1012*K1012/100,2)</x:f>
        <x:v>6.83</x:v>
      </x:c>
      <x:c r="M1012" t="n">
        <x:v>0.1</x:v>
      </x:c>
      <x:c r="N1012" t="n">
        <x:f>ROUND(F1012*M1012/100,2)</x:f>
        <x:v>0.18</x:v>
      </x:c>
      <x:c r="O1012" t="str">
        <x:v>生重</x:v>
      </x:c>
    </x:row>
    <x:row r="1013" ht="23" customHeight="1">
      <x:c r="A1013" t="n">
        <x:v>169</x:v>
      </x:c>
      <x:c r="B1013" t="n">
        <x:v>85</x:v>
      </x:c>
      <x:c r="C1013" t="str">
        <x:v>午餐</x:v>
      </x:c>
      <x:c r="D1013" t="str">
        <x:v>蔬菜</x:v>
      </x:c>
      <x:c r="E1013" t="str">
        <x:v>洋葱</x:v>
      </x:c>
      <x:c r="F1013" t="n">
        <x:v>110</x:v>
      </x:c>
      <x:c r="G1013" t="n">
        <x:v>40</x:v>
      </x:c>
      <x:c r="H1013" t="n">
        <x:f>ROUND(F1013*G1013/100,2)</x:f>
        <x:v>44</x:v>
      </x:c>
      <x:c r="I1013" t="n">
        <x:v>1.1</x:v>
      </x:c>
      <x:c r="J1013" t="n">
        <x:f>ROUND(F1013*I1013/100,2)</x:f>
        <x:v>1.21</x:v>
      </x:c>
      <x:c r="K1013" t="n">
        <x:v>9.3</x:v>
      </x:c>
      <x:c r="L1013" t="n">
        <x:f>ROUND(F1013*K1013/100,2)</x:f>
        <x:v>10.23</x:v>
      </x:c>
      <x:c r="M1013" t="n">
        <x:v>0.1</x:v>
      </x:c>
      <x:c r="N1013" t="n">
        <x:f>ROUND(F1013*M1013/100,2)</x:f>
        <x:v>0.11</x:v>
      </x:c>
      <x:c r="O1013" t="str">
        <x:v>生重</x:v>
      </x:c>
    </x:row>
    <x:row r="1014" ht="23" customHeight="1">
      <x:c r="A1014" t="n">
        <x:v>169</x:v>
      </x:c>
      <x:c r="B1014" t="n">
        <x:v>85</x:v>
      </x:c>
      <x:c r="C1014" t="str">
        <x:v>午餐</x:v>
      </x:c>
      <x:c r="D1014" t="str">
        <x:v>主食</x:v>
      </x:c>
      <x:c r="E1014" t="str">
        <x:v>荞麦饭</x:v>
      </x:c>
      <x:c r="F1014" t="n">
        <x:v>150</x:v>
      </x:c>
      <x:c r="G1014" t="n">
        <x:v>110</x:v>
      </x:c>
      <x:c r="H1014" t="n">
        <x:f>ROUND(F1014*G1014/100,2)</x:f>
        <x:v>165</x:v>
      </x:c>
      <x:c r="I1014" t="n">
        <x:v>3.4</x:v>
      </x:c>
      <x:c r="J1014" t="n">
        <x:f>ROUND(F1014*I1014/100,2)</x:f>
        <x:v>5.1</x:v>
      </x:c>
      <x:c r="K1014" t="n">
        <x:v>22</x:v>
      </x:c>
      <x:c r="L1014" t="n">
        <x:f>ROUND(F1014*K1014/100,2)</x:f>
        <x:v>33</x:v>
      </x:c>
      <x:c r="M1014" t="n">
        <x:v>1.1</x:v>
      </x:c>
      <x:c r="N1014" t="n">
        <x:f>ROUND(F1014*M1014/100,2)</x:f>
        <x:v>1.65</x:v>
      </x:c>
      <x:c r="O1014" t="str">
        <x:v>熟重</x:v>
      </x:c>
    </x:row>
    <x:row r="1015" ht="23" customHeight="1">
      <x:c r="A1015" t="n">
        <x:v>169</x:v>
      </x:c>
      <x:c r="B1015" t="n">
        <x:v>85</x:v>
      </x:c>
      <x:c r="C1015" t="str">
        <x:v>午餐</x:v>
      </x:c>
      <x:c r="D1015" t="str">
        <x:v>油脂</x:v>
      </x:c>
      <x:c r="E1015" t="str">
        <x:v>烹调油</x:v>
      </x:c>
      <x:c r="F1015" t="n">
        <x:v>3</x:v>
      </x:c>
      <x:c r="G1015" t="n">
        <x:v>900</x:v>
      </x:c>
      <x:c r="H1015" t="n">
        <x:f>ROUND(F1015*G1015/100,2)</x:f>
        <x:v>27</x:v>
      </x:c>
      <x:c r="I1015" t="n">
        <x:v>0</x:v>
      </x:c>
      <x:c r="J1015" t="n">
        <x:f>ROUND(F1015*I1015/100,2)</x:f>
        <x:v>0</x:v>
      </x:c>
      <x:c r="K1015" t="n">
        <x:v>0</x:v>
      </x:c>
      <x:c r="L1015" t="n">
        <x:f>ROUND(F1015*K1015/100,2)</x:f>
        <x:v>0</x:v>
      </x:c>
      <x:c r="M1015" t="n">
        <x:v>100</x:v>
      </x:c>
      <x:c r="N1015" t="n">
        <x:f>ROUND(F1015*M1015/100,2)</x:f>
        <x:v>3</x:v>
      </x:c>
      <x:c r="O1015" t="str">
        <x:v>实际用油重</x:v>
      </x:c>
    </x:row>
    <x:row r="1016" ht="23" customHeight="1">
      <x:c r="A1016" t="n">
        <x:v>170</x:v>
      </x:c>
      <x:c r="B1016" t="n">
        <x:v>85</x:v>
      </x:c>
      <x:c r="C1016" t="str">
        <x:v>晚餐</x:v>
      </x:c>
      <x:c r="D1016" t="str">
        <x:v>禽肉</x:v>
      </x:c>
      <x:c r="E1016" t="str">
        <x:v>去皮鸭胸肉</x:v>
      </x:c>
      <x:c r="F1016" t="n">
        <x:v>180</x:v>
      </x:c>
      <x:c r="G1016" t="n">
        <x:v>140</x:v>
      </x:c>
      <x:c r="H1016" t="n">
        <x:f>ROUND(F1016*G1016/100,2)</x:f>
        <x:v>252</x:v>
      </x:c>
      <x:c r="I1016" t="n">
        <x:v>19</x:v>
      </x:c>
      <x:c r="J1016" t="n">
        <x:f>ROUND(F1016*I1016/100,2)</x:f>
        <x:v>34.2</x:v>
      </x:c>
      <x:c r="K1016" t="n">
        <x:v>0</x:v>
      </x:c>
      <x:c r="L1016" t="n">
        <x:f>ROUND(F1016*K1016/100,2)</x:f>
        <x:v>0</x:v>
      </x:c>
      <x:c r="M1016" t="n">
        <x:v>7</x:v>
      </x:c>
      <x:c r="N1016" t="n">
        <x:f>ROUND(F1016*M1016/100,2)</x:f>
        <x:v>12.6</x:v>
      </x:c>
      <x:c r="O1016" t="str">
        <x:v>生重</x:v>
      </x:c>
    </x:row>
    <x:row r="1017" ht="23" customHeight="1">
      <x:c r="A1017" t="n">
        <x:v>170</x:v>
      </x:c>
      <x:c r="B1017" t="n">
        <x:v>85</x:v>
      </x:c>
      <x:c r="C1017" t="str">
        <x:v>晚餐</x:v>
      </x:c>
      <x:c r="D1017" t="str"/>
      <x:c r="E1017" t="str"/>
      <x:c r="F1017" t="n">
        <x:v>0</x:v>
      </x:c>
      <x:c r="G1017" t="n">
        <x:v>0</x:v>
      </x:c>
      <x:c r="H1017" t="n">
        <x:f>ROUND(F1017*G1017/100,2)</x:f>
        <x:v>0</x:v>
      </x:c>
      <x:c r="I1017" t="n">
        <x:v>0</x:v>
      </x:c>
      <x:c r="J1017" t="n">
        <x:f>ROUND(F1017*I1017/100,2)</x:f>
        <x:v>0</x:v>
      </x:c>
      <x:c r="K1017" t="n">
        <x:v>0</x:v>
      </x:c>
      <x:c r="L1017" t="n">
        <x:f>ROUND(F1017*K1017/100,2)</x:f>
        <x:v>0</x:v>
      </x:c>
      <x:c r="M1017" t="n">
        <x:v>0</x:v>
      </x:c>
      <x:c r="N1017" t="n">
        <x:f>ROUND(F1017*M1017/100,2)</x:f>
        <x:v>0</x:v>
      </x:c>
      <x:c r="O1017" t="str"/>
    </x:row>
    <x:row r="1018" ht="23" customHeight="1">
      <x:c r="A1018" t="n">
        <x:v>170</x:v>
      </x:c>
      <x:c r="B1018" t="n">
        <x:v>85</x:v>
      </x:c>
      <x:c r="C1018" t="str">
        <x:v>晚餐</x:v>
      </x:c>
      <x:c r="D1018" t="str">
        <x:v>蔬菜</x:v>
      </x:c>
      <x:c r="E1018" t="str">
        <x:v>白萝卜</x:v>
      </x:c>
      <x:c r="F1018" t="n">
        <x:v>140</x:v>
      </x:c>
      <x:c r="G1018" t="n">
        <x:v>18</x:v>
      </x:c>
      <x:c r="H1018" t="n">
        <x:f>ROUND(F1018*G1018/100,2)</x:f>
        <x:v>25.2</x:v>
      </x:c>
      <x:c r="I1018" t="n">
        <x:v>0.6</x:v>
      </x:c>
      <x:c r="J1018" t="n">
        <x:f>ROUND(F1018*I1018/100,2)</x:f>
        <x:v>0.84</x:v>
      </x:c>
      <x:c r="K1018" t="n">
        <x:v>4</x:v>
      </x:c>
      <x:c r="L1018" t="n">
        <x:f>ROUND(F1018*K1018/100,2)</x:f>
        <x:v>5.6</x:v>
      </x:c>
      <x:c r="M1018" t="n">
        <x:v>0.1</x:v>
      </x:c>
      <x:c r="N1018" t="n">
        <x:f>ROUND(F1018*M1018/100,2)</x:f>
        <x:v>0.14</x:v>
      </x:c>
      <x:c r="O1018" t="str">
        <x:v>生重</x:v>
      </x:c>
    </x:row>
    <x:row r="1019" ht="23" customHeight="1">
      <x:c r="A1019" t="n">
        <x:v>170</x:v>
      </x:c>
      <x:c r="B1019" t="n">
        <x:v>85</x:v>
      </x:c>
      <x:c r="C1019" t="str">
        <x:v>晚餐</x:v>
      </x:c>
      <x:c r="D1019" t="str">
        <x:v>蔬菜</x:v>
      </x:c>
      <x:c r="E1019" t="str">
        <x:v>玉米笋</x:v>
      </x:c>
      <x:c r="F1019" t="n">
        <x:v>110</x:v>
      </x:c>
      <x:c r="G1019" t="n">
        <x:v>26</x:v>
      </x:c>
      <x:c r="H1019" t="n">
        <x:f>ROUND(F1019*G1019/100,2)</x:f>
        <x:v>28.6</x:v>
      </x:c>
      <x:c r="I1019" t="n">
        <x:v>2</x:v>
      </x:c>
      <x:c r="J1019" t="n">
        <x:f>ROUND(F1019*I1019/100,2)</x:f>
        <x:v>2.2</x:v>
      </x:c>
      <x:c r="K1019" t="n">
        <x:v>4.9</x:v>
      </x:c>
      <x:c r="L1019" t="n">
        <x:f>ROUND(F1019*K1019/100,2)</x:f>
        <x:v>5.39</x:v>
      </x:c>
      <x:c r="M1019" t="n">
        <x:v>0.1</x:v>
      </x:c>
      <x:c r="N1019" t="n">
        <x:f>ROUND(F1019*M1019/100,2)</x:f>
        <x:v>0.11</x:v>
      </x:c>
      <x:c r="O1019" t="str">
        <x:v>生重</x:v>
      </x:c>
    </x:row>
    <x:row r="1020" ht="23" customHeight="1">
      <x:c r="A1020" t="n">
        <x:v>170</x:v>
      </x:c>
      <x:c r="B1020" t="n">
        <x:v>85</x:v>
      </x:c>
      <x:c r="C1020" t="str">
        <x:v>晚餐</x:v>
      </x:c>
      <x:c r="D1020" t="str">
        <x:v>主食</x:v>
      </x:c>
      <x:c r="E1020" t="str">
        <x:v>燕麦饭</x:v>
      </x:c>
      <x:c r="F1020" t="n">
        <x:v>135</x:v>
      </x:c>
      <x:c r="G1020" t="n">
        <x:v>110</x:v>
      </x:c>
      <x:c r="H1020" t="n">
        <x:f>ROUND(F1020*G1020/100,2)</x:f>
        <x:v>148.5</x:v>
      </x:c>
      <x:c r="I1020" t="n">
        <x:v>3.2</x:v>
      </x:c>
      <x:c r="J1020" t="n">
        <x:f>ROUND(F1020*I1020/100,2)</x:f>
        <x:v>4.32</x:v>
      </x:c>
      <x:c r="K1020" t="n">
        <x:v>21</x:v>
      </x:c>
      <x:c r="L1020" t="n">
        <x:f>ROUND(F1020*K1020/100,2)</x:f>
        <x:v>28.35</x:v>
      </x:c>
      <x:c r="M1020" t="n">
        <x:v>1.8</x:v>
      </x:c>
      <x:c r="N1020" t="n">
        <x:f>ROUND(F1020*M1020/100,2)</x:f>
        <x:v>2.43</x:v>
      </x:c>
      <x:c r="O1020" t="str">
        <x:v>熟重</x:v>
      </x:c>
    </x:row>
    <x:row r="1021" ht="23" customHeight="1">
      <x:c r="A1021" t="n">
        <x:v>170</x:v>
      </x:c>
      <x:c r="B1021" t="n">
        <x:v>85</x:v>
      </x:c>
      <x:c r="C1021" t="str">
        <x:v>晚餐</x:v>
      </x:c>
      <x:c r="D1021" t="str">
        <x:v>油脂</x:v>
      </x:c>
      <x:c r="E1021" t="str">
        <x:v>烹调油</x:v>
      </x:c>
      <x:c r="F1021" t="n">
        <x:v>6</x:v>
      </x:c>
      <x:c r="G1021" t="n">
        <x:v>900</x:v>
      </x:c>
      <x:c r="H1021" t="n">
        <x:f>ROUND(F1021*G1021/100,2)</x:f>
        <x:v>54</x:v>
      </x:c>
      <x:c r="I1021" t="n">
        <x:v>0</x:v>
      </x:c>
      <x:c r="J1021" t="n">
        <x:f>ROUND(F1021*I1021/100,2)</x:f>
        <x:v>0</x:v>
      </x:c>
      <x:c r="K1021" t="n">
        <x:v>0</x:v>
      </x:c>
      <x:c r="L1021" t="n">
        <x:f>ROUND(F1021*K1021/100,2)</x:f>
        <x:v>0</x:v>
      </x:c>
      <x:c r="M1021" t="n">
        <x:v>100</x:v>
      </x:c>
      <x:c r="N1021" t="n">
        <x:f>ROUND(F1021*M1021/100,2)</x:f>
        <x:v>6</x:v>
      </x:c>
      <x:c r="O1021" t="str">
        <x:v>实际用油重</x:v>
      </x:c>
    </x:row>
    <x:row r="1022" ht="23" customHeight="1">
      <x:c r="A1022" t="n">
        <x:v>171</x:v>
      </x:c>
      <x:c r="B1022" t="n">
        <x:v>86</x:v>
      </x:c>
      <x:c r="C1022" t="str">
        <x:v>午餐</x:v>
      </x:c>
      <x:c r="D1022" t="str">
        <x:v>海鲜</x:v>
      </x:c>
      <x:c r="E1022" t="str">
        <x:v>虾仁</x:v>
      </x:c>
      <x:c r="F1022" t="n">
        <x:v>290</x:v>
      </x:c>
      <x:c r="G1022" t="n">
        <x:v>90</x:v>
      </x:c>
      <x:c r="H1022" t="n">
        <x:f>ROUND(F1022*G1022/100,2)</x:f>
        <x:v>261</x:v>
      </x:c>
      <x:c r="I1022" t="n">
        <x:v>19</x:v>
      </x:c>
      <x:c r="J1022" t="n">
        <x:f>ROUND(F1022*I1022/100,2)</x:f>
        <x:v>55.1</x:v>
      </x:c>
      <x:c r="K1022" t="n">
        <x:v>0.4</x:v>
      </x:c>
      <x:c r="L1022" t="n">
        <x:f>ROUND(F1022*K1022/100,2)</x:f>
        <x:v>1.16</x:v>
      </x:c>
      <x:c r="M1022" t="n">
        <x:v>1.1</x:v>
      </x:c>
      <x:c r="N1022" t="n">
        <x:f>ROUND(F1022*M1022/100,2)</x:f>
        <x:v>3.19</x:v>
      </x:c>
      <x:c r="O1022" t="str">
        <x:v>生重</x:v>
      </x:c>
    </x:row>
    <x:row r="1023" ht="23" customHeight="1">
      <x:c r="A1023" t="n">
        <x:v>171</x:v>
      </x:c>
      <x:c r="B1023" t="n">
        <x:v>86</x:v>
      </x:c>
      <x:c r="C1023" t="str">
        <x:v>午餐</x:v>
      </x:c>
      <x:c r="D1023" t="str"/>
      <x:c r="E1023" t="str"/>
      <x:c r="F1023" t="n">
        <x:v>0</x:v>
      </x:c>
      <x:c r="G1023" t="n">
        <x:v>0</x:v>
      </x:c>
      <x:c r="H1023" t="n">
        <x:f>ROUND(F1023*G1023/100,2)</x:f>
        <x:v>0</x:v>
      </x:c>
      <x:c r="I1023" t="n">
        <x:v>0</x:v>
      </x:c>
      <x:c r="J1023" t="n">
        <x:f>ROUND(F1023*I1023/100,2)</x:f>
        <x:v>0</x:v>
      </x:c>
      <x:c r="K1023" t="n">
        <x:v>0</x:v>
      </x:c>
      <x:c r="L1023" t="n">
        <x:f>ROUND(F1023*K1023/100,2)</x:f>
        <x:v>0</x:v>
      </x:c>
      <x:c r="M1023" t="n">
        <x:v>0</x:v>
      </x:c>
      <x:c r="N1023" t="n">
        <x:f>ROUND(F1023*M1023/100,2)</x:f>
        <x:v>0</x:v>
      </x:c>
      <x:c r="O1023" t="str"/>
    </x:row>
    <x:row r="1024" ht="23" customHeight="1">
      <x:c r="A1024" t="n">
        <x:v>171</x:v>
      </x:c>
      <x:c r="B1024" t="n">
        <x:v>86</x:v>
      </x:c>
      <x:c r="C1024" t="str">
        <x:v>午餐</x:v>
      </x:c>
      <x:c r="D1024" t="str">
        <x:v>蔬菜</x:v>
      </x:c>
      <x:c r="E1024" t="str">
        <x:v>黄瓜</x:v>
      </x:c>
      <x:c r="F1024" t="n">
        <x:v>160</x:v>
      </x:c>
      <x:c r="G1024" t="n">
        <x:v>16</x:v>
      </x:c>
      <x:c r="H1024" t="n">
        <x:f>ROUND(F1024*G1024/100,2)</x:f>
        <x:v>25.6</x:v>
      </x:c>
      <x:c r="I1024" t="n">
        <x:v>0.7</x:v>
      </x:c>
      <x:c r="J1024" t="n">
        <x:f>ROUND(F1024*I1024/100,2)</x:f>
        <x:v>1.12</x:v>
      </x:c>
      <x:c r="K1024" t="n">
        <x:v>3.6</x:v>
      </x:c>
      <x:c r="L1024" t="n">
        <x:f>ROUND(F1024*K1024/100,2)</x:f>
        <x:v>5.76</x:v>
      </x:c>
      <x:c r="M1024" t="n">
        <x:v>0.1</x:v>
      </x:c>
      <x:c r="N1024" t="n">
        <x:f>ROUND(F1024*M1024/100,2)</x:f>
        <x:v>0.16</x:v>
      </x:c>
      <x:c r="O1024" t="str">
        <x:v>生重</x:v>
      </x:c>
    </x:row>
    <x:row r="1025" ht="23" customHeight="1">
      <x:c r="A1025" t="n">
        <x:v>171</x:v>
      </x:c>
      <x:c r="B1025" t="n">
        <x:v>86</x:v>
      </x:c>
      <x:c r="C1025" t="str">
        <x:v>午餐</x:v>
      </x:c>
      <x:c r="D1025" t="str">
        <x:v>蔬菜</x:v>
      </x:c>
      <x:c r="E1025" t="str">
        <x:v>彩椒</x:v>
      </x:c>
      <x:c r="F1025" t="n">
        <x:v>110</x:v>
      </x:c>
      <x:c r="G1025" t="n">
        <x:v>27</x:v>
      </x:c>
      <x:c r="H1025" t="n">
        <x:f>ROUND(F1025*G1025/100,2)</x:f>
        <x:v>29.7</x:v>
      </x:c>
      <x:c r="I1025" t="n">
        <x:v>1</x:v>
      </x:c>
      <x:c r="J1025" t="n">
        <x:f>ROUND(F1025*I1025/100,2)</x:f>
        <x:v>1.1</x:v>
      </x:c>
      <x:c r="K1025" t="n">
        <x:v>6.1</x:v>
      </x:c>
      <x:c r="L1025" t="n">
        <x:f>ROUND(F1025*K1025/100,2)</x:f>
        <x:v>6.71</x:v>
      </x:c>
      <x:c r="M1025" t="n">
        <x:v>0.2</x:v>
      </x:c>
      <x:c r="N1025" t="n">
        <x:f>ROUND(F1025*M1025/100,2)</x:f>
        <x:v>0.22</x:v>
      </x:c>
      <x:c r="O1025" t="str">
        <x:v>生重</x:v>
      </x:c>
    </x:row>
    <x:row r="1026" ht="23" customHeight="1">
      <x:c r="A1026" t="n">
        <x:v>171</x:v>
      </x:c>
      <x:c r="B1026" t="n">
        <x:v>86</x:v>
      </x:c>
      <x:c r="C1026" t="str">
        <x:v>午餐</x:v>
      </x:c>
      <x:c r="D1026" t="str">
        <x:v>低主食</x:v>
      </x:c>
      <x:c r="E1026" t="str">
        <x:v>魔芋丝</x:v>
      </x:c>
      <x:c r="F1026" t="n">
        <x:v>130</x:v>
      </x:c>
      <x:c r="G1026" t="n">
        <x:v>9</x:v>
      </x:c>
      <x:c r="H1026" t="n">
        <x:f>ROUND(F1026*G1026/100,2)</x:f>
        <x:v>11.7</x:v>
      </x:c>
      <x:c r="I1026" t="n">
        <x:v>0.3</x:v>
      </x:c>
      <x:c r="J1026" t="n">
        <x:f>ROUND(F1026*I1026/100,2)</x:f>
        <x:v>0.39</x:v>
      </x:c>
      <x:c r="K1026" t="n">
        <x:v>2</x:v>
      </x:c>
      <x:c r="L1026" t="n">
        <x:f>ROUND(F1026*K1026/100,2)</x:f>
        <x:v>2.6</x:v>
      </x:c>
      <x:c r="M1026" t="n">
        <x:v>0</x:v>
      </x:c>
      <x:c r="N1026" t="n">
        <x:f>ROUND(F1026*M1026/100,2)</x:f>
        <x:v>0</x:v>
      </x:c>
      <x:c r="O1026" t="str">
        <x:v>沥水重</x:v>
      </x:c>
    </x:row>
    <x:row r="1027" ht="23" customHeight="1">
      <x:c r="A1027" t="n">
        <x:v>171</x:v>
      </x:c>
      <x:c r="B1027" t="n">
        <x:v>86</x:v>
      </x:c>
      <x:c r="C1027" t="str">
        <x:v>午餐</x:v>
      </x:c>
      <x:c r="D1027" t="str">
        <x:v>油脂</x:v>
      </x:c>
      <x:c r="E1027" t="str">
        <x:v>烹调油</x:v>
      </x:c>
      <x:c r="F1027" t="n">
        <x:v>5</x:v>
      </x:c>
      <x:c r="G1027" t="n">
        <x:v>900</x:v>
      </x:c>
      <x:c r="H1027" t="n">
        <x:f>ROUND(F1027*G1027/100,2)</x:f>
        <x:v>45</x:v>
      </x:c>
      <x:c r="I1027" t="n">
        <x:v>0</x:v>
      </x:c>
      <x:c r="J1027" t="n">
        <x:f>ROUND(F1027*I1027/100,2)</x:f>
        <x:v>0</x:v>
      </x:c>
      <x:c r="K1027" t="n">
        <x:v>0</x:v>
      </x:c>
      <x:c r="L1027" t="n">
        <x:f>ROUND(F1027*K1027/100,2)</x:f>
        <x:v>0</x:v>
      </x:c>
      <x:c r="M1027" t="n">
        <x:v>100</x:v>
      </x:c>
      <x:c r="N1027" t="n">
        <x:f>ROUND(F1027*M1027/100,2)</x:f>
        <x:v>5</x:v>
      </x:c>
      <x:c r="O1027" t="str">
        <x:v>实际用油重</x:v>
      </x:c>
    </x:row>
    <x:row r="1028" ht="23" customHeight="1">
      <x:c r="A1028" t="n">
        <x:v>172</x:v>
      </x:c>
      <x:c r="B1028" t="n">
        <x:v>86</x:v>
      </x:c>
      <x:c r="C1028" t="str">
        <x:v>晚餐</x:v>
      </x:c>
      <x:c r="D1028" t="str">
        <x:v>禽肉</x:v>
      </x:c>
      <x:c r="E1028" t="str">
        <x:v>鸡胸肉</x:v>
      </x:c>
      <x:c r="F1028" t="n">
        <x:v>170</x:v>
      </x:c>
      <x:c r="G1028" t="n">
        <x:v>110</x:v>
      </x:c>
      <x:c r="H1028" t="n">
        <x:f>ROUND(F1028*G1028/100,2)</x:f>
        <x:v>187</x:v>
      </x:c>
      <x:c r="I1028" t="n">
        <x:v>23</x:v>
      </x:c>
      <x:c r="J1028" t="n">
        <x:f>ROUND(F1028*I1028/100,2)</x:f>
        <x:v>39.1</x:v>
      </x:c>
      <x:c r="K1028" t="n">
        <x:v>0</x:v>
      </x:c>
      <x:c r="L1028" t="n">
        <x:f>ROUND(F1028*K1028/100,2)</x:f>
        <x:v>0</x:v>
      </x:c>
      <x:c r="M1028" t="n">
        <x:v>2</x:v>
      </x:c>
      <x:c r="N1028" t="n">
        <x:f>ROUND(F1028*M1028/100,2)</x:f>
        <x:v>3.4</x:v>
      </x:c>
      <x:c r="O1028" t="str">
        <x:v>生重</x:v>
      </x:c>
    </x:row>
    <x:row r="1029" ht="23" customHeight="1">
      <x:c r="A1029" t="n">
        <x:v>172</x:v>
      </x:c>
      <x:c r="B1029" t="n">
        <x:v>86</x:v>
      </x:c>
      <x:c r="C1029" t="str">
        <x:v>晚餐</x:v>
      </x:c>
      <x:c r="D1029" t="str"/>
      <x:c r="E1029" t="str"/>
      <x:c r="F1029" t="n">
        <x:v>0</x:v>
      </x:c>
      <x:c r="G1029" t="n">
        <x:v>0</x:v>
      </x:c>
      <x:c r="H1029" t="n">
        <x:f>ROUND(F1029*G1029/100,2)</x:f>
        <x:v>0</x:v>
      </x:c>
      <x:c r="I1029" t="n">
        <x:v>0</x:v>
      </x:c>
      <x:c r="J1029" t="n">
        <x:f>ROUND(F1029*I1029/100,2)</x:f>
        <x:v>0</x:v>
      </x:c>
      <x:c r="K1029" t="n">
        <x:v>0</x:v>
      </x:c>
      <x:c r="L1029" t="n">
        <x:f>ROUND(F1029*K1029/100,2)</x:f>
        <x:v>0</x:v>
      </x:c>
      <x:c r="M1029" t="n">
        <x:v>0</x:v>
      </x:c>
      <x:c r="N1029" t="n">
        <x:f>ROUND(F1029*M1029/100,2)</x:f>
        <x:v>0</x:v>
      </x:c>
      <x:c r="O1029" t="str"/>
    </x:row>
    <x:row r="1030" ht="23" customHeight="1">
      <x:c r="A1030" t="n">
        <x:v>172</x:v>
      </x:c>
      <x:c r="B1030" t="n">
        <x:v>86</x:v>
      </x:c>
      <x:c r="C1030" t="str">
        <x:v>晚餐</x:v>
      </x:c>
      <x:c r="D1030" t="str">
        <x:v>蔬菜</x:v>
      </x:c>
      <x:c r="E1030" t="str">
        <x:v>芹菜</x:v>
      </x:c>
      <x:c r="F1030" t="n">
        <x:v>140</x:v>
      </x:c>
      <x:c r="G1030" t="n">
        <x:v>17</x:v>
      </x:c>
      <x:c r="H1030" t="n">
        <x:f>ROUND(F1030*G1030/100,2)</x:f>
        <x:v>23.8</x:v>
      </x:c>
      <x:c r="I1030" t="n">
        <x:v>1</x:v>
      </x:c>
      <x:c r="J1030" t="n">
        <x:f>ROUND(F1030*I1030/100,2)</x:f>
        <x:v>1.4</x:v>
      </x:c>
      <x:c r="K1030" t="n">
        <x:v>3.5</x:v>
      </x:c>
      <x:c r="L1030" t="n">
        <x:f>ROUND(F1030*K1030/100,2)</x:f>
        <x:v>4.9</x:v>
      </x:c>
      <x:c r="M1030" t="n">
        <x:v>0.1</x:v>
      </x:c>
      <x:c r="N1030" t="n">
        <x:f>ROUND(F1030*M1030/100,2)</x:f>
        <x:v>0.14</x:v>
      </x:c>
      <x:c r="O1030" t="str">
        <x:v>生重</x:v>
      </x:c>
    </x:row>
    <x:row r="1031" ht="23" customHeight="1">
      <x:c r="A1031" t="n">
        <x:v>172</x:v>
      </x:c>
      <x:c r="B1031" t="n">
        <x:v>86</x:v>
      </x:c>
      <x:c r="C1031" t="str">
        <x:v>晚餐</x:v>
      </x:c>
      <x:c r="D1031" t="str">
        <x:v>蔬菜</x:v>
      </x:c>
      <x:c r="E1031" t="str">
        <x:v>彩椒</x:v>
      </x:c>
      <x:c r="F1031" t="n">
        <x:v>155</x:v>
      </x:c>
      <x:c r="G1031" t="n">
        <x:v>27</x:v>
      </x:c>
      <x:c r="H1031" t="n">
        <x:f>ROUND(F1031*G1031/100,2)</x:f>
        <x:v>41.85</x:v>
      </x:c>
      <x:c r="I1031" t="n">
        <x:v>1</x:v>
      </x:c>
      <x:c r="J1031" t="n">
        <x:f>ROUND(F1031*I1031/100,2)</x:f>
        <x:v>1.55</x:v>
      </x:c>
      <x:c r="K1031" t="n">
        <x:v>6.1</x:v>
      </x:c>
      <x:c r="L1031" t="n">
        <x:f>ROUND(F1031*K1031/100,2)</x:f>
        <x:v>9.46</x:v>
      </x:c>
      <x:c r="M1031" t="n">
        <x:v>0.2</x:v>
      </x:c>
      <x:c r="N1031" t="n">
        <x:f>ROUND(F1031*M1031/100,2)</x:f>
        <x:v>0.31</x:v>
      </x:c>
      <x:c r="O1031" t="str">
        <x:v>生重</x:v>
      </x:c>
    </x:row>
    <x:row r="1032" ht="23" customHeight="1">
      <x:c r="A1032" t="n">
        <x:v>172</x:v>
      </x:c>
      <x:c r="B1032" t="n">
        <x:v>86</x:v>
      </x:c>
      <x:c r="C1032" t="str">
        <x:v>晚餐</x:v>
      </x:c>
      <x:c r="D1032" t="str">
        <x:v>主食</x:v>
      </x:c>
      <x:c r="E1032" t="str">
        <x:v>荞麦饭</x:v>
      </x:c>
      <x:c r="F1032" t="n">
        <x:v>110</x:v>
      </x:c>
      <x:c r="G1032" t="n">
        <x:v>110</x:v>
      </x:c>
      <x:c r="H1032" t="n">
        <x:f>ROUND(F1032*G1032/100,2)</x:f>
        <x:v>121</x:v>
      </x:c>
      <x:c r="I1032" t="n">
        <x:v>3.4</x:v>
      </x:c>
      <x:c r="J1032" t="n">
        <x:f>ROUND(F1032*I1032/100,2)</x:f>
        <x:v>3.74</x:v>
      </x:c>
      <x:c r="K1032" t="n">
        <x:v>22</x:v>
      </x:c>
      <x:c r="L1032" t="n">
        <x:f>ROUND(F1032*K1032/100,2)</x:f>
        <x:v>24.2</x:v>
      </x:c>
      <x:c r="M1032" t="n">
        <x:v>1.1</x:v>
      </x:c>
      <x:c r="N1032" t="n">
        <x:f>ROUND(F1032*M1032/100,2)</x:f>
        <x:v>1.21</x:v>
      </x:c>
      <x:c r="O1032" t="str">
        <x:v>熟重</x:v>
      </x:c>
    </x:row>
    <x:row r="1033" ht="23" customHeight="1">
      <x:c r="A1033" t="n">
        <x:v>172</x:v>
      </x:c>
      <x:c r="B1033" t="n">
        <x:v>86</x:v>
      </x:c>
      <x:c r="C1033" t="str">
        <x:v>晚餐</x:v>
      </x:c>
      <x:c r="D1033" t="str">
        <x:v>油脂</x:v>
      </x:c>
      <x:c r="E1033" t="str">
        <x:v>烹调油</x:v>
      </x:c>
      <x:c r="F1033" t="n">
        <x:v>4</x:v>
      </x:c>
      <x:c r="G1033" t="n">
        <x:v>900</x:v>
      </x:c>
      <x:c r="H1033" t="n">
        <x:f>ROUND(F1033*G1033/100,2)</x:f>
        <x:v>36</x:v>
      </x:c>
      <x:c r="I1033" t="n">
        <x:v>0</x:v>
      </x:c>
      <x:c r="J1033" t="n">
        <x:f>ROUND(F1033*I1033/100,2)</x:f>
        <x:v>0</x:v>
      </x:c>
      <x:c r="K1033" t="n">
        <x:v>0</x:v>
      </x:c>
      <x:c r="L1033" t="n">
        <x:f>ROUND(F1033*K1033/100,2)</x:f>
        <x:v>0</x:v>
      </x:c>
      <x:c r="M1033" t="n">
        <x:v>100</x:v>
      </x:c>
      <x:c r="N1033" t="n">
        <x:f>ROUND(F1033*M1033/100,2)</x:f>
        <x:v>4</x:v>
      </x:c>
      <x:c r="O1033" t="str">
        <x:v>实际用油重</x:v>
      </x:c>
    </x:row>
    <x:row r="1034" ht="23" customHeight="1">
      <x:c r="A1034" t="n">
        <x:v>173</x:v>
      </x:c>
      <x:c r="B1034" t="n">
        <x:v>87</x:v>
      </x:c>
      <x:c r="C1034" t="str">
        <x:v>午餐</x:v>
      </x:c>
      <x:c r="D1034" t="str">
        <x:v>豆蛋</x:v>
      </x:c>
      <x:c r="E1034" t="str">
        <x:v>鸡蛋</x:v>
      </x:c>
      <x:c r="F1034" t="n">
        <x:v>120</x:v>
      </x:c>
      <x:c r="G1034" t="n">
        <x:v>144</x:v>
      </x:c>
      <x:c r="H1034" t="n">
        <x:f>ROUND(F1034*G1034/100,2)</x:f>
        <x:v>172.8</x:v>
      </x:c>
      <x:c r="I1034" t="n">
        <x:v>13</x:v>
      </x:c>
      <x:c r="J1034" t="n">
        <x:f>ROUND(F1034*I1034/100,2)</x:f>
        <x:v>15.6</x:v>
      </x:c>
      <x:c r="K1034" t="n">
        <x:v>1.1</x:v>
      </x:c>
      <x:c r="L1034" t="n">
        <x:f>ROUND(F1034*K1034/100,2)</x:f>
        <x:v>1.32</x:v>
      </x:c>
      <x:c r="M1034" t="n">
        <x:v>10</x:v>
      </x:c>
      <x:c r="N1034" t="n">
        <x:f>ROUND(F1034*M1034/100,2)</x:f>
        <x:v>12</x:v>
      </x:c>
      <x:c r="O1034" t="str">
        <x:v>去壳可食重</x:v>
      </x:c>
    </x:row>
    <x:row r="1035" ht="23" customHeight="1">
      <x:c r="A1035" t="n">
        <x:v>173</x:v>
      </x:c>
      <x:c r="B1035" t="n">
        <x:v>87</x:v>
      </x:c>
      <x:c r="C1035" t="str">
        <x:v>午餐</x:v>
      </x:c>
      <x:c r="D1035" t="str">
        <x:v>豆蛋</x:v>
      </x:c>
      <x:c r="E1035" t="str">
        <x:v>嫩豆腐</x:v>
      </x:c>
      <x:c r="F1035" t="n">
        <x:v>160</x:v>
      </x:c>
      <x:c r="G1035" t="n">
        <x:v>55</x:v>
      </x:c>
      <x:c r="H1035" t="n">
        <x:f>ROUND(F1035*G1035/100,2)</x:f>
        <x:v>88</x:v>
      </x:c>
      <x:c r="I1035" t="n">
        <x:v>5</x:v>
      </x:c>
      <x:c r="J1035" t="n">
        <x:f>ROUND(F1035*I1035/100,2)</x:f>
        <x:v>8</x:v>
      </x:c>
      <x:c r="K1035" t="n">
        <x:v>2</x:v>
      </x:c>
      <x:c r="L1035" t="n">
        <x:f>ROUND(F1035*K1035/100,2)</x:f>
        <x:v>3.2</x:v>
      </x:c>
      <x:c r="M1035" t="n">
        <x:v>2.8</x:v>
      </x:c>
      <x:c r="N1035" t="n">
        <x:f>ROUND(F1035*M1035/100,2)</x:f>
        <x:v>4.48</x:v>
      </x:c>
      <x:c r="O1035" t="str">
        <x:v>净重</x:v>
      </x:c>
    </x:row>
    <x:row r="1036" ht="23" customHeight="1">
      <x:c r="A1036" t="n">
        <x:v>173</x:v>
      </x:c>
      <x:c r="B1036" t="n">
        <x:v>87</x:v>
      </x:c>
      <x:c r="C1036" t="str">
        <x:v>午餐</x:v>
      </x:c>
      <x:c r="D1036" t="str">
        <x:v>蔬菜</x:v>
      </x:c>
      <x:c r="E1036" t="str">
        <x:v>菠菜</x:v>
      </x:c>
      <x:c r="F1036" t="n">
        <x:v>160</x:v>
      </x:c>
      <x:c r="G1036" t="n">
        <x:v>23</x:v>
      </x:c>
      <x:c r="H1036" t="n">
        <x:f>ROUND(F1036*G1036/100,2)</x:f>
        <x:v>36.8</x:v>
      </x:c>
      <x:c r="I1036" t="n">
        <x:v>2.9</x:v>
      </x:c>
      <x:c r="J1036" t="n">
        <x:f>ROUND(F1036*I1036/100,2)</x:f>
        <x:v>4.64</x:v>
      </x:c>
      <x:c r="K1036" t="n">
        <x:v>3.6</x:v>
      </x:c>
      <x:c r="L1036" t="n">
        <x:f>ROUND(F1036*K1036/100,2)</x:f>
        <x:v>5.76</x:v>
      </x:c>
      <x:c r="M1036" t="n">
        <x:v>0.4</x:v>
      </x:c>
      <x:c r="N1036" t="n">
        <x:f>ROUND(F1036*M1036/100,2)</x:f>
        <x:v>0.64</x:v>
      </x:c>
      <x:c r="O1036" t="str">
        <x:v>生重</x:v>
      </x:c>
    </x:row>
    <x:row r="1037" ht="23" customHeight="1">
      <x:c r="A1037" t="n">
        <x:v>173</x:v>
      </x:c>
      <x:c r="B1037" t="n">
        <x:v>87</x:v>
      </x:c>
      <x:c r="C1037" t="str">
        <x:v>午餐</x:v>
      </x:c>
      <x:c r="D1037" t="str">
        <x:v>蔬菜</x:v>
      </x:c>
      <x:c r="E1037" t="str">
        <x:v>彩椒</x:v>
      </x:c>
      <x:c r="F1037" t="n">
        <x:v>110</x:v>
      </x:c>
      <x:c r="G1037" t="n">
        <x:v>27</x:v>
      </x:c>
      <x:c r="H1037" t="n">
        <x:f>ROUND(F1037*G1037/100,2)</x:f>
        <x:v>29.7</x:v>
      </x:c>
      <x:c r="I1037" t="n">
        <x:v>1</x:v>
      </x:c>
      <x:c r="J1037" t="n">
        <x:f>ROUND(F1037*I1037/100,2)</x:f>
        <x:v>1.1</x:v>
      </x:c>
      <x:c r="K1037" t="n">
        <x:v>6.1</x:v>
      </x:c>
      <x:c r="L1037" t="n">
        <x:f>ROUND(F1037*K1037/100,2)</x:f>
        <x:v>6.71</x:v>
      </x:c>
      <x:c r="M1037" t="n">
        <x:v>0.2</x:v>
      </x:c>
      <x:c r="N1037" t="n">
        <x:f>ROUND(F1037*M1037/100,2)</x:f>
        <x:v>0.22</x:v>
      </x:c>
      <x:c r="O1037" t="str">
        <x:v>生重</x:v>
      </x:c>
    </x:row>
    <x:row r="1038" ht="23" customHeight="1">
      <x:c r="A1038" t="n">
        <x:v>173</x:v>
      </x:c>
      <x:c r="B1038" t="n">
        <x:v>87</x:v>
      </x:c>
      <x:c r="C1038" t="str">
        <x:v>午餐</x:v>
      </x:c>
      <x:c r="D1038" t="str">
        <x:v>主食</x:v>
      </x:c>
      <x:c r="E1038" t="str">
        <x:v>紫薯</x:v>
      </x:c>
      <x:c r="F1038" t="n">
        <x:v>125</x:v>
      </x:c>
      <x:c r="G1038" t="n">
        <x:v>95</x:v>
      </x:c>
      <x:c r="H1038" t="n">
        <x:f>ROUND(F1038*G1038/100,2)</x:f>
        <x:v>118.75</x:v>
      </x:c>
      <x:c r="I1038" t="n">
        <x:v>1.6</x:v>
      </x:c>
      <x:c r="J1038" t="n">
        <x:f>ROUND(F1038*I1038/100,2)</x:f>
        <x:v>2</x:v>
      </x:c>
      <x:c r="K1038" t="n">
        <x:v>22</x:v>
      </x:c>
      <x:c r="L1038" t="n">
        <x:f>ROUND(F1038*K1038/100,2)</x:f>
        <x:v>27.5</x:v>
      </x:c>
      <x:c r="M1038" t="n">
        <x:v>0.1</x:v>
      </x:c>
      <x:c r="N1038" t="n">
        <x:f>ROUND(F1038*M1038/100,2)</x:f>
        <x:v>0.13</x:v>
      </x:c>
      <x:c r="O1038" t="str">
        <x:v>蒸熟净重</x:v>
      </x:c>
    </x:row>
    <x:row r="1039" ht="23" customHeight="1">
      <x:c r="A1039" t="n">
        <x:v>173</x:v>
      </x:c>
      <x:c r="B1039" t="n">
        <x:v>87</x:v>
      </x:c>
      <x:c r="C1039" t="str">
        <x:v>午餐</x:v>
      </x:c>
      <x:c r="D1039" t="str">
        <x:v>油脂</x:v>
      </x:c>
      <x:c r="E1039" t="str">
        <x:v>烹调油</x:v>
      </x:c>
      <x:c r="F1039" t="n">
        <x:v>3</x:v>
      </x:c>
      <x:c r="G1039" t="n">
        <x:v>900</x:v>
      </x:c>
      <x:c r="H1039" t="n">
        <x:f>ROUND(F1039*G1039/100,2)</x:f>
        <x:v>27</x:v>
      </x:c>
      <x:c r="I1039" t="n">
        <x:v>0</x:v>
      </x:c>
      <x:c r="J1039" t="n">
        <x:f>ROUND(F1039*I1039/100,2)</x:f>
        <x:v>0</x:v>
      </x:c>
      <x:c r="K1039" t="n">
        <x:v>0</x:v>
      </x:c>
      <x:c r="L1039" t="n">
        <x:f>ROUND(F1039*K1039/100,2)</x:f>
        <x:v>0</x:v>
      </x:c>
      <x:c r="M1039" t="n">
        <x:v>100</x:v>
      </x:c>
      <x:c r="N1039" t="n">
        <x:f>ROUND(F1039*M1039/100,2)</x:f>
        <x:v>3</x:v>
      </x:c>
      <x:c r="O1039" t="str">
        <x:v>实际用油重</x:v>
      </x:c>
    </x:row>
    <x:row r="1040" ht="23" customHeight="1">
      <x:c r="A1040" t="n">
        <x:v>174</x:v>
      </x:c>
      <x:c r="B1040" t="n">
        <x:v>87</x:v>
      </x:c>
      <x:c r="C1040" t="str">
        <x:v>晚餐</x:v>
      </x:c>
      <x:c r="D1040" t="str">
        <x:v>鱼类</x:v>
      </x:c>
      <x:c r="E1040" t="str">
        <x:v>巴沙鱼</x:v>
      </x:c>
      <x:c r="F1040" t="n">
        <x:v>185</x:v>
      </x:c>
      <x:c r="G1040" t="n">
        <x:v>90</x:v>
      </x:c>
      <x:c r="H1040" t="n">
        <x:f>ROUND(F1040*G1040/100,2)</x:f>
        <x:v>166.5</x:v>
      </x:c>
      <x:c r="I1040" t="n">
        <x:v>17</x:v>
      </x:c>
      <x:c r="J1040" t="n">
        <x:f>ROUND(F1040*I1040/100,2)</x:f>
        <x:v>31.45</x:v>
      </x:c>
      <x:c r="K1040" t="n">
        <x:v>0</x:v>
      </x:c>
      <x:c r="L1040" t="n">
        <x:f>ROUND(F1040*K1040/100,2)</x:f>
        <x:v>0</x:v>
      </x:c>
      <x:c r="M1040" t="n">
        <x:v>2.3</x:v>
      </x:c>
      <x:c r="N1040" t="n">
        <x:f>ROUND(F1040*M1040/100,2)</x:f>
        <x:v>4.25</x:v>
      </x:c>
      <x:c r="O1040" t="str">
        <x:v>净鱼肉生重</x:v>
      </x:c>
    </x:row>
    <x:row r="1041" ht="23" customHeight="1">
      <x:c r="A1041" t="n">
        <x:v>174</x:v>
      </x:c>
      <x:c r="B1041" t="n">
        <x:v>87</x:v>
      </x:c>
      <x:c r="C1041" t="str">
        <x:v>晚餐</x:v>
      </x:c>
      <x:c r="D1041" t="str"/>
      <x:c r="E1041" t="str"/>
      <x:c r="F1041" t="n">
        <x:v>0</x:v>
      </x:c>
      <x:c r="G1041" t="n">
        <x:v>0</x:v>
      </x:c>
      <x:c r="H1041" t="n">
        <x:f>ROUND(F1041*G1041/100,2)</x:f>
        <x:v>0</x:v>
      </x:c>
      <x:c r="I1041" t="n">
        <x:v>0</x:v>
      </x:c>
      <x:c r="J1041" t="n">
        <x:f>ROUND(F1041*I1041/100,2)</x:f>
        <x:v>0</x:v>
      </x:c>
      <x:c r="K1041" t="n">
        <x:v>0</x:v>
      </x:c>
      <x:c r="L1041" t="n">
        <x:f>ROUND(F1041*K1041/100,2)</x:f>
        <x:v>0</x:v>
      </x:c>
      <x:c r="M1041" t="n">
        <x:v>0</x:v>
      </x:c>
      <x:c r="N1041" t="n">
        <x:f>ROUND(F1041*M1041/100,2)</x:f>
        <x:v>0</x:v>
      </x:c>
      <x:c r="O1041" t="str"/>
    </x:row>
    <x:row r="1042" ht="23" customHeight="1">
      <x:c r="A1042" t="n">
        <x:v>174</x:v>
      </x:c>
      <x:c r="B1042" t="n">
        <x:v>87</x:v>
      </x:c>
      <x:c r="C1042" t="str">
        <x:v>晚餐</x:v>
      </x:c>
      <x:c r="D1042" t="str">
        <x:v>蔬菜</x:v>
      </x:c>
      <x:c r="E1042" t="str">
        <x:v>黄瓜</x:v>
      </x:c>
      <x:c r="F1042" t="n">
        <x:v>160</x:v>
      </x:c>
      <x:c r="G1042" t="n">
        <x:v>16</x:v>
      </x:c>
      <x:c r="H1042" t="n">
        <x:f>ROUND(F1042*G1042/100,2)</x:f>
        <x:v>25.6</x:v>
      </x:c>
      <x:c r="I1042" t="n">
        <x:v>0.7</x:v>
      </x:c>
      <x:c r="J1042" t="n">
        <x:f>ROUND(F1042*I1042/100,2)</x:f>
        <x:v>1.12</x:v>
      </x:c>
      <x:c r="K1042" t="n">
        <x:v>3.6</x:v>
      </x:c>
      <x:c r="L1042" t="n">
        <x:f>ROUND(F1042*K1042/100,2)</x:f>
        <x:v>5.76</x:v>
      </x:c>
      <x:c r="M1042" t="n">
        <x:v>0.1</x:v>
      </x:c>
      <x:c r="N1042" t="n">
        <x:f>ROUND(F1042*M1042/100,2)</x:f>
        <x:v>0.16</x:v>
      </x:c>
      <x:c r="O1042" t="str">
        <x:v>生重</x:v>
      </x:c>
    </x:row>
    <x:row r="1043" ht="23" customHeight="1">
      <x:c r="A1043" t="n">
        <x:v>174</x:v>
      </x:c>
      <x:c r="B1043" t="n">
        <x:v>87</x:v>
      </x:c>
      <x:c r="C1043" t="str">
        <x:v>晚餐</x:v>
      </x:c>
      <x:c r="D1043" t="str">
        <x:v>蔬菜</x:v>
      </x:c>
      <x:c r="E1043" t="str">
        <x:v>荷兰豆</x:v>
      </x:c>
      <x:c r="F1043" t="n">
        <x:v>140</x:v>
      </x:c>
      <x:c r="G1043" t="n">
        <x:v>42</x:v>
      </x:c>
      <x:c r="H1043" t="n">
        <x:f>ROUND(F1043*G1043/100,2)</x:f>
        <x:v>58.8</x:v>
      </x:c>
      <x:c r="I1043" t="n">
        <x:v>2.8</x:v>
      </x:c>
      <x:c r="J1043" t="n">
        <x:f>ROUND(F1043*I1043/100,2)</x:f>
        <x:v>3.92</x:v>
      </x:c>
      <x:c r="K1043" t="n">
        <x:v>7.5</x:v>
      </x:c>
      <x:c r="L1043" t="n">
        <x:f>ROUND(F1043*K1043/100,2)</x:f>
        <x:v>10.5</x:v>
      </x:c>
      <x:c r="M1043" t="n">
        <x:v>0.3</x:v>
      </x:c>
      <x:c r="N1043" t="n">
        <x:f>ROUND(F1043*M1043/100,2)</x:f>
        <x:v>0.42</x:v>
      </x:c>
      <x:c r="O1043" t="str">
        <x:v>生重</x:v>
      </x:c>
    </x:row>
    <x:row r="1044" ht="23" customHeight="1">
      <x:c r="A1044" t="n">
        <x:v>174</x:v>
      </x:c>
      <x:c r="B1044" t="n">
        <x:v>87</x:v>
      </x:c>
      <x:c r="C1044" t="str">
        <x:v>晚餐</x:v>
      </x:c>
      <x:c r="D1044" t="str">
        <x:v>主食</x:v>
      </x:c>
      <x:c r="E1044" t="str">
        <x:v>藜麦饭</x:v>
      </x:c>
      <x:c r="F1044" t="n">
        <x:v>80</x:v>
      </x:c>
      <x:c r="G1044" t="n">
        <x:v>120</x:v>
      </x:c>
      <x:c r="H1044" t="n">
        <x:f>ROUND(F1044*G1044/100,2)</x:f>
        <x:v>96</x:v>
      </x:c>
      <x:c r="I1044" t="n">
        <x:v>4.4</x:v>
      </x:c>
      <x:c r="J1044" t="n">
        <x:f>ROUND(F1044*I1044/100,2)</x:f>
        <x:v>3.52</x:v>
      </x:c>
      <x:c r="K1044" t="n">
        <x:v>21.3</x:v>
      </x:c>
      <x:c r="L1044" t="n">
        <x:f>ROUND(F1044*K1044/100,2)</x:f>
        <x:v>17.04</x:v>
      </x:c>
      <x:c r="M1044" t="n">
        <x:v>1.9</x:v>
      </x:c>
      <x:c r="N1044" t="n">
        <x:f>ROUND(F1044*M1044/100,2)</x:f>
        <x:v>1.52</x:v>
      </x:c>
      <x:c r="O1044" t="str">
        <x:v>熟重</x:v>
      </x:c>
    </x:row>
    <x:row r="1045" ht="23" customHeight="1">
      <x:c r="A1045" t="n">
        <x:v>174</x:v>
      </x:c>
      <x:c r="B1045" t="n">
        <x:v>87</x:v>
      </x:c>
      <x:c r="C1045" t="str">
        <x:v>晚餐</x:v>
      </x:c>
      <x:c r="D1045" t="str">
        <x:v>油脂</x:v>
      </x:c>
      <x:c r="E1045" t="str">
        <x:v>烹调油</x:v>
      </x:c>
      <x:c r="F1045" t="n">
        <x:v>4</x:v>
      </x:c>
      <x:c r="G1045" t="n">
        <x:v>900</x:v>
      </x:c>
      <x:c r="H1045" t="n">
        <x:f>ROUND(F1045*G1045/100,2)</x:f>
        <x:v>36</x:v>
      </x:c>
      <x:c r="I1045" t="n">
        <x:v>0</x:v>
      </x:c>
      <x:c r="J1045" t="n">
        <x:f>ROUND(F1045*I1045/100,2)</x:f>
        <x:v>0</x:v>
      </x:c>
      <x:c r="K1045" t="n">
        <x:v>0</x:v>
      </x:c>
      <x:c r="L1045" t="n">
        <x:f>ROUND(F1045*K1045/100,2)</x:f>
        <x:v>0</x:v>
      </x:c>
      <x:c r="M1045" t="n">
        <x:v>100</x:v>
      </x:c>
      <x:c r="N1045" t="n">
        <x:f>ROUND(F1045*M1045/100,2)</x:f>
        <x:v>4</x:v>
      </x:c>
      <x:c r="O1045" t="str">
        <x:v>实际用油重</x:v>
      </x:c>
    </x:row>
    <x:row r="1046" ht="23" customHeight="1">
      <x:c r="A1046" t="n">
        <x:v>175</x:v>
      </x:c>
      <x:c r="B1046" t="n">
        <x:v>88</x:v>
      </x:c>
      <x:c r="C1046" t="str">
        <x:v>午餐</x:v>
      </x:c>
      <x:c r="D1046" t="str">
        <x:v>豆蛋</x:v>
      </x:c>
      <x:c r="E1046" t="str">
        <x:v>北豆腐</x:v>
      </x:c>
      <x:c r="F1046" t="n">
        <x:v>280</x:v>
      </x:c>
      <x:c r="G1046" t="n">
        <x:v>90</x:v>
      </x:c>
      <x:c r="H1046" t="n">
        <x:f>ROUND(F1046*G1046/100,2)</x:f>
        <x:v>252</x:v>
      </x:c>
      <x:c r="I1046" t="n">
        <x:v>10</x:v>
      </x:c>
      <x:c r="J1046" t="n">
        <x:f>ROUND(F1046*I1046/100,2)</x:f>
        <x:v>28</x:v>
      </x:c>
      <x:c r="K1046" t="n">
        <x:v>2</x:v>
      </x:c>
      <x:c r="L1046" t="n">
        <x:f>ROUND(F1046*K1046/100,2)</x:f>
        <x:v>5.6</x:v>
      </x:c>
      <x:c r="M1046" t="n">
        <x:v>5</x:v>
      </x:c>
      <x:c r="N1046" t="n">
        <x:f>ROUND(F1046*M1046/100,2)</x:f>
        <x:v>14</x:v>
      </x:c>
      <x:c r="O1046" t="str">
        <x:v>净重</x:v>
      </x:c>
    </x:row>
    <x:row r="1047" ht="23" customHeight="1">
      <x:c r="A1047" t="n">
        <x:v>175</x:v>
      </x:c>
      <x:c r="B1047" t="n">
        <x:v>88</x:v>
      </x:c>
      <x:c r="C1047" t="str">
        <x:v>午餐</x:v>
      </x:c>
      <x:c r="D1047" t="str"/>
      <x:c r="E1047" t="str"/>
      <x:c r="F1047" t="n">
        <x:v>0</x:v>
      </x:c>
      <x:c r="G1047" t="n">
        <x:v>0</x:v>
      </x:c>
      <x:c r="H1047" t="n">
        <x:f>ROUND(F1047*G1047/100,2)</x:f>
        <x:v>0</x:v>
      </x:c>
      <x:c r="I1047" t="n">
        <x:v>0</x:v>
      </x:c>
      <x:c r="J1047" t="n">
        <x:f>ROUND(F1047*I1047/100,2)</x:f>
        <x:v>0</x:v>
      </x:c>
      <x:c r="K1047" t="n">
        <x:v>0</x:v>
      </x:c>
      <x:c r="L1047" t="n">
        <x:f>ROUND(F1047*K1047/100,2)</x:f>
        <x:v>0</x:v>
      </x:c>
      <x:c r="M1047" t="n">
        <x:v>0</x:v>
      </x:c>
      <x:c r="N1047" t="n">
        <x:f>ROUND(F1047*M1047/100,2)</x:f>
        <x:v>0</x:v>
      </x:c>
      <x:c r="O1047" t="str"/>
    </x:row>
    <x:row r="1048" ht="23" customHeight="1">
      <x:c r="A1048" t="n">
        <x:v>175</x:v>
      </x:c>
      <x:c r="B1048" t="n">
        <x:v>88</x:v>
      </x:c>
      <x:c r="C1048" t="str">
        <x:v>午餐</x:v>
      </x:c>
      <x:c r="D1048" t="str">
        <x:v>蔬菜</x:v>
      </x:c>
      <x:c r="E1048" t="str">
        <x:v>娃娃菜</x:v>
      </x:c>
      <x:c r="F1048" t="n">
        <x:v>140</x:v>
      </x:c>
      <x:c r="G1048" t="n">
        <x:v>17</x:v>
      </x:c>
      <x:c r="H1048" t="n">
        <x:f>ROUND(F1048*G1048/100,2)</x:f>
        <x:v>23.8</x:v>
      </x:c>
      <x:c r="I1048" t="n">
        <x:v>1.3</x:v>
      </x:c>
      <x:c r="J1048" t="n">
        <x:f>ROUND(F1048*I1048/100,2)</x:f>
        <x:v>1.82</x:v>
      </x:c>
      <x:c r="K1048" t="n">
        <x:v>3</x:v>
      </x:c>
      <x:c r="L1048" t="n">
        <x:f>ROUND(F1048*K1048/100,2)</x:f>
        <x:v>4.2</x:v>
      </x:c>
      <x:c r="M1048" t="n">
        <x:v>0.2</x:v>
      </x:c>
      <x:c r="N1048" t="n">
        <x:f>ROUND(F1048*M1048/100,2)</x:f>
        <x:v>0.28</x:v>
      </x:c>
      <x:c r="O1048" t="str">
        <x:v>生重</x:v>
      </x:c>
    </x:row>
    <x:row r="1049" ht="23" customHeight="1">
      <x:c r="A1049" t="n">
        <x:v>175</x:v>
      </x:c>
      <x:c r="B1049" t="n">
        <x:v>88</x:v>
      </x:c>
      <x:c r="C1049" t="str">
        <x:v>午餐</x:v>
      </x:c>
      <x:c r="D1049" t="str">
        <x:v>蔬菜</x:v>
      </x:c>
      <x:c r="E1049" t="str">
        <x:v>海带</x:v>
      </x:c>
      <x:c r="F1049" t="n">
        <x:v>140</x:v>
      </x:c>
      <x:c r="G1049" t="n">
        <x:v>25</x:v>
      </x:c>
      <x:c r="H1049" t="n">
        <x:f>ROUND(F1049*G1049/100,2)</x:f>
        <x:v>35</x:v>
      </x:c>
      <x:c r="I1049" t="n">
        <x:v>1</x:v>
      </x:c>
      <x:c r="J1049" t="n">
        <x:f>ROUND(F1049*I1049/100,2)</x:f>
        <x:v>1.4</x:v>
      </x:c>
      <x:c r="K1049" t="n">
        <x:v>5</x:v>
      </x:c>
      <x:c r="L1049" t="n">
        <x:f>ROUND(F1049*K1049/100,2)</x:f>
        <x:v>7</x:v>
      </x:c>
      <x:c r="M1049" t="n">
        <x:v>0.1</x:v>
      </x:c>
      <x:c r="N1049" t="n">
        <x:f>ROUND(F1049*M1049/100,2)</x:f>
        <x:v>0.14</x:v>
      </x:c>
      <x:c r="O1049" t="str">
        <x:v>泡发沥水重</x:v>
      </x:c>
    </x:row>
    <x:row r="1050" ht="23" customHeight="1">
      <x:c r="A1050" t="n">
        <x:v>175</x:v>
      </x:c>
      <x:c r="B1050" t="n">
        <x:v>88</x:v>
      </x:c>
      <x:c r="C1050" t="str">
        <x:v>午餐</x:v>
      </x:c>
      <x:c r="D1050" t="str">
        <x:v>主食</x:v>
      </x:c>
      <x:c r="E1050" t="str">
        <x:v>全麦面</x:v>
      </x:c>
      <x:c r="F1050" t="n">
        <x:v>135</x:v>
      </x:c>
      <x:c r="G1050" t="n">
        <x:v>124</x:v>
      </x:c>
      <x:c r="H1050" t="n">
        <x:f>ROUND(F1050*G1050/100,2)</x:f>
        <x:v>167.4</x:v>
      </x:c>
      <x:c r="I1050" t="n">
        <x:v>5</x:v>
      </x:c>
      <x:c r="J1050" t="n">
        <x:f>ROUND(F1050*I1050/100,2)</x:f>
        <x:v>6.75</x:v>
      </x:c>
      <x:c r="K1050" t="n">
        <x:v>25</x:v>
      </x:c>
      <x:c r="L1050" t="n">
        <x:f>ROUND(F1050*K1050/100,2)</x:f>
        <x:v>33.75</x:v>
      </x:c>
      <x:c r="M1050" t="n">
        <x:v>1.1</x:v>
      </x:c>
      <x:c r="N1050" t="n">
        <x:f>ROUND(F1050*M1050/100,2)</x:f>
        <x:v>1.49</x:v>
      </x:c>
      <x:c r="O1050" t="str">
        <x:v>煮熟沥水重</x:v>
      </x:c>
    </x:row>
    <x:row r="1051" ht="23" customHeight="1">
      <x:c r="A1051" t="n">
        <x:v>175</x:v>
      </x:c>
      <x:c r="B1051" t="n">
        <x:v>88</x:v>
      </x:c>
      <x:c r="C1051" t="str">
        <x:v>午餐</x:v>
      </x:c>
      <x:c r="D1051" t="str">
        <x:v>油脂</x:v>
      </x:c>
      <x:c r="E1051" t="str">
        <x:v>烹调油</x:v>
      </x:c>
      <x:c r="F1051" t="n">
        <x:v>5</x:v>
      </x:c>
      <x:c r="G1051" t="n">
        <x:v>900</x:v>
      </x:c>
      <x:c r="H1051" t="n">
        <x:f>ROUND(F1051*G1051/100,2)</x:f>
        <x:v>45</x:v>
      </x:c>
      <x:c r="I1051" t="n">
        <x:v>0</x:v>
      </x:c>
      <x:c r="J1051" t="n">
        <x:f>ROUND(F1051*I1051/100,2)</x:f>
        <x:v>0</x:v>
      </x:c>
      <x:c r="K1051" t="n">
        <x:v>0</x:v>
      </x:c>
      <x:c r="L1051" t="n">
        <x:f>ROUND(F1051*K1051/100,2)</x:f>
        <x:v>0</x:v>
      </x:c>
      <x:c r="M1051" t="n">
        <x:v>100</x:v>
      </x:c>
      <x:c r="N1051" t="n">
        <x:f>ROUND(F1051*M1051/100,2)</x:f>
        <x:v>5</x:v>
      </x:c>
      <x:c r="O1051" t="str">
        <x:v>实际用油重</x:v>
      </x:c>
    </x:row>
    <x:row r="1052" ht="23" customHeight="1">
      <x:c r="A1052" t="n">
        <x:v>176</x:v>
      </x:c>
      <x:c r="B1052" t="n">
        <x:v>88</x:v>
      </x:c>
      <x:c r="C1052" t="str">
        <x:v>晚餐</x:v>
      </x:c>
      <x:c r="D1052" t="str">
        <x:v>禽肉</x:v>
      </x:c>
      <x:c r="E1052" t="str">
        <x:v>去皮鸡腿肉</x:v>
      </x:c>
      <x:c r="F1052" t="n">
        <x:v>145</x:v>
      </x:c>
      <x:c r="G1052" t="n">
        <x:v>125</x:v>
      </x:c>
      <x:c r="H1052" t="n">
        <x:f>ROUND(F1052*G1052/100,2)</x:f>
        <x:v>181.25</x:v>
      </x:c>
      <x:c r="I1052" t="n">
        <x:v>20</x:v>
      </x:c>
      <x:c r="J1052" t="n">
        <x:f>ROUND(F1052*I1052/100,2)</x:f>
        <x:v>29</x:v>
      </x:c>
      <x:c r="K1052" t="n">
        <x:v>0</x:v>
      </x:c>
      <x:c r="L1052" t="n">
        <x:f>ROUND(F1052*K1052/100,2)</x:f>
        <x:v>0</x:v>
      </x:c>
      <x:c r="M1052" t="n">
        <x:v>5</x:v>
      </x:c>
      <x:c r="N1052" t="n">
        <x:f>ROUND(F1052*M1052/100,2)</x:f>
        <x:v>7.25</x:v>
      </x:c>
      <x:c r="O1052" t="str">
        <x:v>生重</x:v>
      </x:c>
    </x:row>
    <x:row r="1053" ht="23" customHeight="1">
      <x:c r="A1053" t="n">
        <x:v>176</x:v>
      </x:c>
      <x:c r="B1053" t="n">
        <x:v>88</x:v>
      </x:c>
      <x:c r="C1053" t="str">
        <x:v>晚餐</x:v>
      </x:c>
      <x:c r="D1053" t="str"/>
      <x:c r="E1053" t="str"/>
      <x:c r="F1053" t="n">
        <x:v>0</x:v>
      </x:c>
      <x:c r="G1053" t="n">
        <x:v>0</x:v>
      </x:c>
      <x:c r="H1053" t="n">
        <x:f>ROUND(F1053*G1053/100,2)</x:f>
        <x:v>0</x:v>
      </x:c>
      <x:c r="I1053" t="n">
        <x:v>0</x:v>
      </x:c>
      <x:c r="J1053" t="n">
        <x:f>ROUND(F1053*I1053/100,2)</x:f>
        <x:v>0</x:v>
      </x:c>
      <x:c r="K1053" t="n">
        <x:v>0</x:v>
      </x:c>
      <x:c r="L1053" t="n">
        <x:f>ROUND(F1053*K1053/100,2)</x:f>
        <x:v>0</x:v>
      </x:c>
      <x:c r="M1053" t="n">
        <x:v>0</x:v>
      </x:c>
      <x:c r="N1053" t="n">
        <x:f>ROUND(F1053*M1053/100,2)</x:f>
        <x:v>0</x:v>
      </x:c>
      <x:c r="O1053" t="str"/>
    </x:row>
    <x:row r="1054" ht="23" customHeight="1">
      <x:c r="A1054" t="n">
        <x:v>176</x:v>
      </x:c>
      <x:c r="B1054" t="n">
        <x:v>88</x:v>
      </x:c>
      <x:c r="C1054" t="str">
        <x:v>晚餐</x:v>
      </x:c>
      <x:c r="D1054" t="str">
        <x:v>蔬菜</x:v>
      </x:c>
      <x:c r="E1054" t="str">
        <x:v>紫甘蓝</x:v>
      </x:c>
      <x:c r="F1054" t="n">
        <x:v>160</x:v>
      </x:c>
      <x:c r="G1054" t="n">
        <x:v>31</x:v>
      </x:c>
      <x:c r="H1054" t="n">
        <x:f>ROUND(F1054*G1054/100,2)</x:f>
        <x:v>49.6</x:v>
      </x:c>
      <x:c r="I1054" t="n">
        <x:v>1.4</x:v>
      </x:c>
      <x:c r="J1054" t="n">
        <x:f>ROUND(F1054*I1054/100,2)</x:f>
        <x:v>2.24</x:v>
      </x:c>
      <x:c r="K1054" t="n">
        <x:v>7.3</x:v>
      </x:c>
      <x:c r="L1054" t="n">
        <x:f>ROUND(F1054*K1054/100,2)</x:f>
        <x:v>11.68</x:v>
      </x:c>
      <x:c r="M1054" t="n">
        <x:v>0.1</x:v>
      </x:c>
      <x:c r="N1054" t="n">
        <x:f>ROUND(F1054*M1054/100,2)</x:f>
        <x:v>0.16</x:v>
      </x:c>
      <x:c r="O1054" t="str">
        <x:v>生重</x:v>
      </x:c>
    </x:row>
    <x:row r="1055" ht="23" customHeight="1">
      <x:c r="A1055" t="n">
        <x:v>176</x:v>
      </x:c>
      <x:c r="B1055" t="n">
        <x:v>88</x:v>
      </x:c>
      <x:c r="C1055" t="str">
        <x:v>晚餐</x:v>
      </x:c>
      <x:c r="D1055" t="str">
        <x:v>蔬菜</x:v>
      </x:c>
      <x:c r="E1055" t="str">
        <x:v>菜心</x:v>
      </x:c>
      <x:c r="F1055" t="n">
        <x:v>110</x:v>
      </x:c>
      <x:c r="G1055" t="n">
        <x:v>20</x:v>
      </x:c>
      <x:c r="H1055" t="n">
        <x:f>ROUND(F1055*G1055/100,2)</x:f>
        <x:v>22</x:v>
      </x:c>
      <x:c r="I1055" t="n">
        <x:v>2</x:v>
      </x:c>
      <x:c r="J1055" t="n">
        <x:f>ROUND(F1055*I1055/100,2)</x:f>
        <x:v>2.2</x:v>
      </x:c>
      <x:c r="K1055" t="n">
        <x:v>3.5</x:v>
      </x:c>
      <x:c r="L1055" t="n">
        <x:f>ROUND(F1055*K1055/100,2)</x:f>
        <x:v>3.85</x:v>
      </x:c>
      <x:c r="M1055" t="n">
        <x:v>0.3</x:v>
      </x:c>
      <x:c r="N1055" t="n">
        <x:f>ROUND(F1055*M1055/100,2)</x:f>
        <x:v>0.33</x:v>
      </x:c>
      <x:c r="O1055" t="str">
        <x:v>生重</x:v>
      </x:c>
    </x:row>
    <x:row r="1056" ht="23" customHeight="1">
      <x:c r="A1056" t="n">
        <x:v>176</x:v>
      </x:c>
      <x:c r="B1056" t="n">
        <x:v>88</x:v>
      </x:c>
      <x:c r="C1056" t="str">
        <x:v>晚餐</x:v>
      </x:c>
      <x:c r="D1056" t="str">
        <x:v>主食</x:v>
      </x:c>
      <x:c r="E1056" t="str">
        <x:v>燕麦饭</x:v>
      </x:c>
      <x:c r="F1056" t="n">
        <x:v>110</x:v>
      </x:c>
      <x:c r="G1056" t="n">
        <x:v>110</x:v>
      </x:c>
      <x:c r="H1056" t="n">
        <x:f>ROUND(F1056*G1056/100,2)</x:f>
        <x:v>121</x:v>
      </x:c>
      <x:c r="I1056" t="n">
        <x:v>3.2</x:v>
      </x:c>
      <x:c r="J1056" t="n">
        <x:f>ROUND(F1056*I1056/100,2)</x:f>
        <x:v>3.52</x:v>
      </x:c>
      <x:c r="K1056" t="n">
        <x:v>21</x:v>
      </x:c>
      <x:c r="L1056" t="n">
        <x:f>ROUND(F1056*K1056/100,2)</x:f>
        <x:v>23.1</x:v>
      </x:c>
      <x:c r="M1056" t="n">
        <x:v>1.8</x:v>
      </x:c>
      <x:c r="N1056" t="n">
        <x:f>ROUND(F1056*M1056/100,2)</x:f>
        <x:v>1.98</x:v>
      </x:c>
      <x:c r="O1056" t="str">
        <x:v>熟重</x:v>
      </x:c>
    </x:row>
    <x:row r="1057" ht="23" customHeight="1">
      <x:c r="A1057" t="n">
        <x:v>176</x:v>
      </x:c>
      <x:c r="B1057" t="n">
        <x:v>88</x:v>
      </x:c>
      <x:c r="C1057" t="str">
        <x:v>晚餐</x:v>
      </x:c>
      <x:c r="D1057" t="str">
        <x:v>油脂</x:v>
      </x:c>
      <x:c r="E1057" t="str">
        <x:v>烹调油</x:v>
      </x:c>
      <x:c r="F1057" t="n">
        <x:v>3</x:v>
      </x:c>
      <x:c r="G1057" t="n">
        <x:v>900</x:v>
      </x:c>
      <x:c r="H1057" t="n">
        <x:f>ROUND(F1057*G1057/100,2)</x:f>
        <x:v>27</x:v>
      </x:c>
      <x:c r="I1057" t="n">
        <x:v>0</x:v>
      </x:c>
      <x:c r="J1057" t="n">
        <x:f>ROUND(F1057*I1057/100,2)</x:f>
        <x:v>0</x:v>
      </x:c>
      <x:c r="K1057" t="n">
        <x:v>0</x:v>
      </x:c>
      <x:c r="L1057" t="n">
        <x:f>ROUND(F1057*K1057/100,2)</x:f>
        <x:v>0</x:v>
      </x:c>
      <x:c r="M1057" t="n">
        <x:v>100</x:v>
      </x:c>
      <x:c r="N1057" t="n">
        <x:f>ROUND(F1057*M1057/100,2)</x:f>
        <x:v>3</x:v>
      </x:c>
      <x:c r="O1057" t="str">
        <x:v>实际用油重</x:v>
      </x:c>
    </x:row>
    <x:row r="1058" ht="23" customHeight="1">
      <x:c r="A1058" t="n">
        <x:v>177</x:v>
      </x:c>
      <x:c r="B1058" t="n">
        <x:v>89</x:v>
      </x:c>
      <x:c r="C1058" t="str">
        <x:v>午餐</x:v>
      </x:c>
      <x:c r="D1058" t="str">
        <x:v>豆蛋</x:v>
      </x:c>
      <x:c r="E1058" t="str">
        <x:v>嫩豆腐</x:v>
      </x:c>
      <x:c r="F1058" t="n">
        <x:v>280</x:v>
      </x:c>
      <x:c r="G1058" t="n">
        <x:v>55</x:v>
      </x:c>
      <x:c r="H1058" t="n">
        <x:f>ROUND(F1058*G1058/100,2)</x:f>
        <x:v>154</x:v>
      </x:c>
      <x:c r="I1058" t="n">
        <x:v>5</x:v>
      </x:c>
      <x:c r="J1058" t="n">
        <x:f>ROUND(F1058*I1058/100,2)</x:f>
        <x:v>14</x:v>
      </x:c>
      <x:c r="K1058" t="n">
        <x:v>2</x:v>
      </x:c>
      <x:c r="L1058" t="n">
        <x:f>ROUND(F1058*K1058/100,2)</x:f>
        <x:v>5.6</x:v>
      </x:c>
      <x:c r="M1058" t="n">
        <x:v>2.8</x:v>
      </x:c>
      <x:c r="N1058" t="n">
        <x:f>ROUND(F1058*M1058/100,2)</x:f>
        <x:v>7.84</x:v>
      </x:c>
      <x:c r="O1058" t="str">
        <x:v>净重</x:v>
      </x:c>
    </x:row>
    <x:row r="1059" ht="23" customHeight="1">
      <x:c r="A1059" t="n">
        <x:v>177</x:v>
      </x:c>
      <x:c r="B1059" t="n">
        <x:v>89</x:v>
      </x:c>
      <x:c r="C1059" t="str">
        <x:v>午餐</x:v>
      </x:c>
      <x:c r="D1059" t="str">
        <x:v>豆蛋</x:v>
      </x:c>
      <x:c r="E1059" t="str">
        <x:v>鸡蛋</x:v>
      </x:c>
      <x:c r="F1059" t="n">
        <x:v>85</x:v>
      </x:c>
      <x:c r="G1059" t="n">
        <x:v>144</x:v>
      </x:c>
      <x:c r="H1059" t="n">
        <x:f>ROUND(F1059*G1059/100,2)</x:f>
        <x:v>122.4</x:v>
      </x:c>
      <x:c r="I1059" t="n">
        <x:v>13</x:v>
      </x:c>
      <x:c r="J1059" t="n">
        <x:f>ROUND(F1059*I1059/100,2)</x:f>
        <x:v>11.05</x:v>
      </x:c>
      <x:c r="K1059" t="n">
        <x:v>1.1</x:v>
      </x:c>
      <x:c r="L1059" t="n">
        <x:f>ROUND(F1059*K1059/100,2)</x:f>
        <x:v>0.94</x:v>
      </x:c>
      <x:c r="M1059" t="n">
        <x:v>10</x:v>
      </x:c>
      <x:c r="N1059" t="n">
        <x:f>ROUND(F1059*M1059/100,2)</x:f>
        <x:v>8.5</x:v>
      </x:c>
      <x:c r="O1059" t="str">
        <x:v>去壳可食重</x:v>
      </x:c>
    </x:row>
    <x:row r="1060" ht="23" customHeight="1">
      <x:c r="A1060" t="n">
        <x:v>177</x:v>
      </x:c>
      <x:c r="B1060" t="n">
        <x:v>89</x:v>
      </x:c>
      <x:c r="C1060" t="str">
        <x:v>午餐</x:v>
      </x:c>
      <x:c r="D1060" t="str">
        <x:v>蔬菜</x:v>
      </x:c>
      <x:c r="E1060" t="str">
        <x:v>花菜</x:v>
      </x:c>
      <x:c r="F1060" t="n">
        <x:v>160</x:v>
      </x:c>
      <x:c r="G1060" t="n">
        <x:v>25</x:v>
      </x:c>
      <x:c r="H1060" t="n">
        <x:f>ROUND(F1060*G1060/100,2)</x:f>
        <x:v>40</x:v>
      </x:c>
      <x:c r="I1060" t="n">
        <x:v>2</x:v>
      </x:c>
      <x:c r="J1060" t="n">
        <x:f>ROUND(F1060*I1060/100,2)</x:f>
        <x:v>3.2</x:v>
      </x:c>
      <x:c r="K1060" t="n">
        <x:v>5</x:v>
      </x:c>
      <x:c r="L1060" t="n">
        <x:f>ROUND(F1060*K1060/100,2)</x:f>
        <x:v>8</x:v>
      </x:c>
      <x:c r="M1060" t="n">
        <x:v>0.3</x:v>
      </x:c>
      <x:c r="N1060" t="n">
        <x:f>ROUND(F1060*M1060/100,2)</x:f>
        <x:v>0.48</x:v>
      </x:c>
      <x:c r="O1060" t="str">
        <x:v>生重</x:v>
      </x:c>
    </x:row>
    <x:row r="1061" ht="23" customHeight="1">
      <x:c r="A1061" t="n">
        <x:v>177</x:v>
      </x:c>
      <x:c r="B1061" t="n">
        <x:v>89</x:v>
      </x:c>
      <x:c r="C1061" t="str">
        <x:v>午餐</x:v>
      </x:c>
      <x:c r="D1061" t="str">
        <x:v>蔬菜</x:v>
      </x:c>
      <x:c r="E1061" t="str">
        <x:v>莴笋</x:v>
      </x:c>
      <x:c r="F1061" t="n">
        <x:v>140</x:v>
      </x:c>
      <x:c r="G1061" t="n">
        <x:v>15</x:v>
      </x:c>
      <x:c r="H1061" t="n">
        <x:f>ROUND(F1061*G1061/100,2)</x:f>
        <x:v>21</x:v>
      </x:c>
      <x:c r="I1061" t="n">
        <x:v>1</x:v>
      </x:c>
      <x:c r="J1061" t="n">
        <x:f>ROUND(F1061*I1061/100,2)</x:f>
        <x:v>1.4</x:v>
      </x:c>
      <x:c r="K1061" t="n">
        <x:v>2.8</x:v>
      </x:c>
      <x:c r="L1061" t="n">
        <x:f>ROUND(F1061*K1061/100,2)</x:f>
        <x:v>3.92</x:v>
      </x:c>
      <x:c r="M1061" t="n">
        <x:v>0.1</x:v>
      </x:c>
      <x:c r="N1061" t="n">
        <x:f>ROUND(F1061*M1061/100,2)</x:f>
        <x:v>0.14</x:v>
      </x:c>
      <x:c r="O1061" t="str">
        <x:v>生重</x:v>
      </x:c>
    </x:row>
    <x:row r="1062" ht="23" customHeight="1">
      <x:c r="A1062" t="n">
        <x:v>177</x:v>
      </x:c>
      <x:c r="B1062" t="n">
        <x:v>89</x:v>
      </x:c>
      <x:c r="C1062" t="str">
        <x:v>午餐</x:v>
      </x:c>
      <x:c r="D1062" t="str">
        <x:v>主食</x:v>
      </x:c>
      <x:c r="E1062" t="str">
        <x:v>山药</x:v>
      </x:c>
      <x:c r="F1062" t="n">
        <x:v>150</x:v>
      </x:c>
      <x:c r="G1062" t="n">
        <x:v>62</x:v>
      </x:c>
      <x:c r="H1062" t="n">
        <x:f>ROUND(F1062*G1062/100,2)</x:f>
        <x:v>93</x:v>
      </x:c>
      <x:c r="I1062" t="n">
        <x:v>1.5</x:v>
      </x:c>
      <x:c r="J1062" t="n">
        <x:f>ROUND(F1062*I1062/100,2)</x:f>
        <x:v>2.25</x:v>
      </x:c>
      <x:c r="K1062" t="n">
        <x:v>14.1</x:v>
      </x:c>
      <x:c r="L1062" t="n">
        <x:f>ROUND(F1062*K1062/100,2)</x:f>
        <x:v>21.15</x:v>
      </x:c>
      <x:c r="M1062" t="n">
        <x:v>0.1</x:v>
      </x:c>
      <x:c r="N1062" t="n">
        <x:f>ROUND(F1062*M1062/100,2)</x:f>
        <x:v>0.15</x:v>
      </x:c>
      <x:c r="O1062" t="str">
        <x:v>蒸熟净重</x:v>
      </x:c>
    </x:row>
    <x:row r="1063" ht="23" customHeight="1">
      <x:c r="A1063" t="n">
        <x:v>177</x:v>
      </x:c>
      <x:c r="B1063" t="n">
        <x:v>89</x:v>
      </x:c>
      <x:c r="C1063" t="str">
        <x:v>午餐</x:v>
      </x:c>
      <x:c r="D1063" t="str">
        <x:v>油脂</x:v>
      </x:c>
      <x:c r="E1063" t="str">
        <x:v>烹调油</x:v>
      </x:c>
      <x:c r="F1063" t="n">
        <x:v>4</x:v>
      </x:c>
      <x:c r="G1063" t="n">
        <x:v>900</x:v>
      </x:c>
      <x:c r="H1063" t="n">
        <x:f>ROUND(F1063*G1063/100,2)</x:f>
        <x:v>36</x:v>
      </x:c>
      <x:c r="I1063" t="n">
        <x:v>0</x:v>
      </x:c>
      <x:c r="J1063" t="n">
        <x:f>ROUND(F1063*I1063/100,2)</x:f>
        <x:v>0</x:v>
      </x:c>
      <x:c r="K1063" t="n">
        <x:v>0</x:v>
      </x:c>
      <x:c r="L1063" t="n">
        <x:f>ROUND(F1063*K1063/100,2)</x:f>
        <x:v>0</x:v>
      </x:c>
      <x:c r="M1063" t="n">
        <x:v>100</x:v>
      </x:c>
      <x:c r="N1063" t="n">
        <x:f>ROUND(F1063*M1063/100,2)</x:f>
        <x:v>4</x:v>
      </x:c>
      <x:c r="O1063" t="str">
        <x:v>实际用油重</x:v>
      </x:c>
    </x:row>
    <x:row r="1064" ht="23" customHeight="1">
      <x:c r="A1064" t="n">
        <x:v>178</x:v>
      </x:c>
      <x:c r="B1064" t="n">
        <x:v>89</x:v>
      </x:c>
      <x:c r="C1064" t="str">
        <x:v>晚餐</x:v>
      </x:c>
      <x:c r="D1064" t="str">
        <x:v>海鲜</x:v>
      </x:c>
      <x:c r="E1064" t="str">
        <x:v>虾仁</x:v>
      </x:c>
      <x:c r="F1064" t="n">
        <x:v>190</x:v>
      </x:c>
      <x:c r="G1064" t="n">
        <x:v>90</x:v>
      </x:c>
      <x:c r="H1064" t="n">
        <x:f>ROUND(F1064*G1064/100,2)</x:f>
        <x:v>171</x:v>
      </x:c>
      <x:c r="I1064" t="n">
        <x:v>19</x:v>
      </x:c>
      <x:c r="J1064" t="n">
        <x:f>ROUND(F1064*I1064/100,2)</x:f>
        <x:v>36.1</x:v>
      </x:c>
      <x:c r="K1064" t="n">
        <x:v>0.4</x:v>
      </x:c>
      <x:c r="L1064" t="n">
        <x:f>ROUND(F1064*K1064/100,2)</x:f>
        <x:v>0.76</x:v>
      </x:c>
      <x:c r="M1064" t="n">
        <x:v>1.1</x:v>
      </x:c>
      <x:c r="N1064" t="n">
        <x:f>ROUND(F1064*M1064/100,2)</x:f>
        <x:v>2.09</x:v>
      </x:c>
      <x:c r="O1064" t="str">
        <x:v>生重</x:v>
      </x:c>
    </x:row>
    <x:row r="1065" ht="23" customHeight="1">
      <x:c r="A1065" t="n">
        <x:v>178</x:v>
      </x:c>
      <x:c r="B1065" t="n">
        <x:v>89</x:v>
      </x:c>
      <x:c r="C1065" t="str">
        <x:v>晚餐</x:v>
      </x:c>
      <x:c r="D1065" t="str"/>
      <x:c r="E1065" t="str"/>
      <x:c r="F1065" t="n">
        <x:v>0</x:v>
      </x:c>
      <x:c r="G1065" t="n">
        <x:v>0</x:v>
      </x:c>
      <x:c r="H1065" t="n">
        <x:f>ROUND(F1065*G1065/100,2)</x:f>
        <x:v>0</x:v>
      </x:c>
      <x:c r="I1065" t="n">
        <x:v>0</x:v>
      </x:c>
      <x:c r="J1065" t="n">
        <x:f>ROUND(F1065*I1065/100,2)</x:f>
        <x:v>0</x:v>
      </x:c>
      <x:c r="K1065" t="n">
        <x:v>0</x:v>
      </x:c>
      <x:c r="L1065" t="n">
        <x:f>ROUND(F1065*K1065/100,2)</x:f>
        <x:v>0</x:v>
      </x:c>
      <x:c r="M1065" t="n">
        <x:v>0</x:v>
      </x:c>
      <x:c r="N1065" t="n">
        <x:f>ROUND(F1065*M1065/100,2)</x:f>
        <x:v>0</x:v>
      </x:c>
      <x:c r="O1065" t="str"/>
    </x:row>
    <x:row r="1066" ht="23" customHeight="1">
      <x:c r="A1066" t="n">
        <x:v>178</x:v>
      </x:c>
      <x:c r="B1066" t="n">
        <x:v>89</x:v>
      </x:c>
      <x:c r="C1066" t="str">
        <x:v>晚餐</x:v>
      </x:c>
      <x:c r="D1066" t="str">
        <x:v>蔬菜</x:v>
      </x:c>
      <x:c r="E1066" t="str">
        <x:v>西兰花</x:v>
      </x:c>
      <x:c r="F1066" t="n">
        <x:v>160</x:v>
      </x:c>
      <x:c r="G1066" t="n">
        <x:v>34</x:v>
      </x:c>
      <x:c r="H1066" t="n">
        <x:f>ROUND(F1066*G1066/100,2)</x:f>
        <x:v>54.4</x:v>
      </x:c>
      <x:c r="I1066" t="n">
        <x:v>2.8</x:v>
      </x:c>
      <x:c r="J1066" t="n">
        <x:f>ROUND(F1066*I1066/100,2)</x:f>
        <x:v>4.48</x:v>
      </x:c>
      <x:c r="K1066" t="n">
        <x:v>7</x:v>
      </x:c>
      <x:c r="L1066" t="n">
        <x:f>ROUND(F1066*K1066/100,2)</x:f>
        <x:v>11.2</x:v>
      </x:c>
      <x:c r="M1066" t="n">
        <x:v>0.4</x:v>
      </x:c>
      <x:c r="N1066" t="n">
        <x:f>ROUND(F1066*M1066/100,2)</x:f>
        <x:v>0.64</x:v>
      </x:c>
      <x:c r="O1066" t="str">
        <x:v>生重</x:v>
      </x:c>
    </x:row>
    <x:row r="1067" ht="23" customHeight="1">
      <x:c r="A1067" t="n">
        <x:v>178</x:v>
      </x:c>
      <x:c r="B1067" t="n">
        <x:v>89</x:v>
      </x:c>
      <x:c r="C1067" t="str">
        <x:v>晚餐</x:v>
      </x:c>
      <x:c r="D1067" t="str">
        <x:v>蔬菜</x:v>
      </x:c>
      <x:c r="E1067" t="str">
        <x:v>海带</x:v>
      </x:c>
      <x:c r="F1067" t="n">
        <x:v>155</x:v>
      </x:c>
      <x:c r="G1067" t="n">
        <x:v>25</x:v>
      </x:c>
      <x:c r="H1067" t="n">
        <x:f>ROUND(F1067*G1067/100,2)</x:f>
        <x:v>38.75</x:v>
      </x:c>
      <x:c r="I1067" t="n">
        <x:v>1</x:v>
      </x:c>
      <x:c r="J1067" t="n">
        <x:f>ROUND(F1067*I1067/100,2)</x:f>
        <x:v>1.55</x:v>
      </x:c>
      <x:c r="K1067" t="n">
        <x:v>5</x:v>
      </x:c>
      <x:c r="L1067" t="n">
        <x:f>ROUND(F1067*K1067/100,2)</x:f>
        <x:v>7.75</x:v>
      </x:c>
      <x:c r="M1067" t="n">
        <x:v>0.1</x:v>
      </x:c>
      <x:c r="N1067" t="n">
        <x:f>ROUND(F1067*M1067/100,2)</x:f>
        <x:v>0.16</x:v>
      </x:c>
      <x:c r="O1067" t="str">
        <x:v>泡发沥水重</x:v>
      </x:c>
    </x:row>
    <x:row r="1068" ht="23" customHeight="1">
      <x:c r="A1068" t="n">
        <x:v>178</x:v>
      </x:c>
      <x:c r="B1068" t="n">
        <x:v>89</x:v>
      </x:c>
      <x:c r="C1068" t="str">
        <x:v>晚餐</x:v>
      </x:c>
      <x:c r="D1068" t="str">
        <x:v>主食</x:v>
      </x:c>
      <x:c r="E1068" t="str">
        <x:v>米粉</x:v>
      </x:c>
      <x:c r="F1068" t="n">
        <x:v>125</x:v>
      </x:c>
      <x:c r="G1068" t="n">
        <x:v>110</x:v>
      </x:c>
      <x:c r="H1068" t="n">
        <x:f>ROUND(F1068*G1068/100,2)</x:f>
        <x:v>137.5</x:v>
      </x:c>
      <x:c r="I1068" t="n">
        <x:v>2</x:v>
      </x:c>
      <x:c r="J1068" t="n">
        <x:f>ROUND(F1068*I1068/100,2)</x:f>
        <x:v>2.5</x:v>
      </x:c>
      <x:c r="K1068" t="n">
        <x:v>24</x:v>
      </x:c>
      <x:c r="L1068" t="n">
        <x:f>ROUND(F1068*K1068/100,2)</x:f>
        <x:v>30</x:v>
      </x:c>
      <x:c r="M1068" t="n">
        <x:v>0.4</x:v>
      </x:c>
      <x:c r="N1068" t="n">
        <x:f>ROUND(F1068*M1068/100,2)</x:f>
        <x:v>0.5</x:v>
      </x:c>
      <x:c r="O1068" t="str">
        <x:v>煮熟沥水重</x:v>
      </x:c>
    </x:row>
    <x:row r="1069" ht="23" customHeight="1">
      <x:c r="A1069" t="n">
        <x:v>178</x:v>
      </x:c>
      <x:c r="B1069" t="n">
        <x:v>89</x:v>
      </x:c>
      <x:c r="C1069" t="str">
        <x:v>晚餐</x:v>
      </x:c>
      <x:c r="D1069" t="str">
        <x:v>油脂</x:v>
      </x:c>
      <x:c r="E1069" t="str">
        <x:v>烹调油</x:v>
      </x:c>
      <x:c r="F1069" t="n">
        <x:v>5</x:v>
      </x:c>
      <x:c r="G1069" t="n">
        <x:v>900</x:v>
      </x:c>
      <x:c r="H1069" t="n">
        <x:f>ROUND(F1069*G1069/100,2)</x:f>
        <x:v>45</x:v>
      </x:c>
      <x:c r="I1069" t="n">
        <x:v>0</x:v>
      </x:c>
      <x:c r="J1069" t="n">
        <x:f>ROUND(F1069*I1069/100,2)</x:f>
        <x:v>0</x:v>
      </x:c>
      <x:c r="K1069" t="n">
        <x:v>0</x:v>
      </x:c>
      <x:c r="L1069" t="n">
        <x:f>ROUND(F1069*K1069/100,2)</x:f>
        <x:v>0</x:v>
      </x:c>
      <x:c r="M1069" t="n">
        <x:v>100</x:v>
      </x:c>
      <x:c r="N1069" t="n">
        <x:f>ROUND(F1069*M1069/100,2)</x:f>
        <x:v>5</x:v>
      </x:c>
      <x:c r="O1069" t="str">
        <x:v>实际用油重</x:v>
      </x:c>
    </x:row>
    <x:row r="1070" ht="23" customHeight="1">
      <x:c r="A1070" t="n">
        <x:v>179</x:v>
      </x:c>
      <x:c r="B1070" t="n">
        <x:v>90</x:v>
      </x:c>
      <x:c r="C1070" t="str">
        <x:v>午餐</x:v>
      </x:c>
      <x:c r="D1070" t="str">
        <x:v>鱼类</x:v>
      </x:c>
      <x:c r="E1070" t="str">
        <x:v>鳕鱼</x:v>
      </x:c>
      <x:c r="F1070" t="n">
        <x:v>200</x:v>
      </x:c>
      <x:c r="G1070" t="n">
        <x:v>85</x:v>
      </x:c>
      <x:c r="H1070" t="n">
        <x:f>ROUND(F1070*G1070/100,2)</x:f>
        <x:v>170</x:v>
      </x:c>
      <x:c r="I1070" t="n">
        <x:v>18</x:v>
      </x:c>
      <x:c r="J1070" t="n">
        <x:f>ROUND(F1070*I1070/100,2)</x:f>
        <x:v>36</x:v>
      </x:c>
      <x:c r="K1070" t="n">
        <x:v>0</x:v>
      </x:c>
      <x:c r="L1070" t="n">
        <x:f>ROUND(F1070*K1070/100,2)</x:f>
        <x:v>0</x:v>
      </x:c>
      <x:c r="M1070" t="n">
        <x:v>0.8</x:v>
      </x:c>
      <x:c r="N1070" t="n">
        <x:f>ROUND(F1070*M1070/100,2)</x:f>
        <x:v>1.6</x:v>
      </x:c>
      <x:c r="O1070" t="str">
        <x:v>净鱼肉生重</x:v>
      </x:c>
    </x:row>
    <x:row r="1071" ht="23" customHeight="1">
      <x:c r="A1071" t="n">
        <x:v>179</x:v>
      </x:c>
      <x:c r="B1071" t="n">
        <x:v>90</x:v>
      </x:c>
      <x:c r="C1071" t="str">
        <x:v>午餐</x:v>
      </x:c>
      <x:c r="D1071" t="str"/>
      <x:c r="E1071" t="str"/>
      <x:c r="F1071" t="n">
        <x:v>0</x:v>
      </x:c>
      <x:c r="G1071" t="n">
        <x:v>0</x:v>
      </x:c>
      <x:c r="H1071" t="n">
        <x:f>ROUND(F1071*G1071/100,2)</x:f>
        <x:v>0</x:v>
      </x:c>
      <x:c r="I1071" t="n">
        <x:v>0</x:v>
      </x:c>
      <x:c r="J1071" t="n">
        <x:f>ROUND(F1071*I1071/100,2)</x:f>
        <x:v>0</x:v>
      </x:c>
      <x:c r="K1071" t="n">
        <x:v>0</x:v>
      </x:c>
      <x:c r="L1071" t="n">
        <x:f>ROUND(F1071*K1071/100,2)</x:f>
        <x:v>0</x:v>
      </x:c>
      <x:c r="M1071" t="n">
        <x:v>0</x:v>
      </x:c>
      <x:c r="N1071" t="n">
        <x:f>ROUND(F1071*M1071/100,2)</x:f>
        <x:v>0</x:v>
      </x:c>
      <x:c r="O1071" t="str"/>
    </x:row>
    <x:row r="1072" ht="23" customHeight="1">
      <x:c r="A1072" t="n">
        <x:v>179</x:v>
      </x:c>
      <x:c r="B1072" t="n">
        <x:v>90</x:v>
      </x:c>
      <x:c r="C1072" t="str">
        <x:v>午餐</x:v>
      </x:c>
      <x:c r="D1072" t="str">
        <x:v>蔬菜</x:v>
      </x:c>
      <x:c r="E1072" t="str">
        <x:v>菠菜</x:v>
      </x:c>
      <x:c r="F1072" t="n">
        <x:v>190</x:v>
      </x:c>
      <x:c r="G1072" t="n">
        <x:v>23</x:v>
      </x:c>
      <x:c r="H1072" t="n">
        <x:f>ROUND(F1072*G1072/100,2)</x:f>
        <x:v>43.7</x:v>
      </x:c>
      <x:c r="I1072" t="n">
        <x:v>2.9</x:v>
      </x:c>
      <x:c r="J1072" t="n">
        <x:f>ROUND(F1072*I1072/100,2)</x:f>
        <x:v>5.51</x:v>
      </x:c>
      <x:c r="K1072" t="n">
        <x:v>3.6</x:v>
      </x:c>
      <x:c r="L1072" t="n">
        <x:f>ROUND(F1072*K1072/100,2)</x:f>
        <x:v>6.84</x:v>
      </x:c>
      <x:c r="M1072" t="n">
        <x:v>0.4</x:v>
      </x:c>
      <x:c r="N1072" t="n">
        <x:f>ROUND(F1072*M1072/100,2)</x:f>
        <x:v>0.76</x:v>
      </x:c>
      <x:c r="O1072" t="str">
        <x:v>生重</x:v>
      </x:c>
    </x:row>
    <x:row r="1073" ht="23" customHeight="1">
      <x:c r="A1073" t="n">
        <x:v>179</x:v>
      </x:c>
      <x:c r="B1073" t="n">
        <x:v>90</x:v>
      </x:c>
      <x:c r="C1073" t="str">
        <x:v>午餐</x:v>
      </x:c>
      <x:c r="D1073" t="str">
        <x:v>菌菇</x:v>
      </x:c>
      <x:c r="E1073" t="str">
        <x:v>泡发木耳</x:v>
      </x:c>
      <x:c r="F1073" t="n">
        <x:v>155</x:v>
      </x:c>
      <x:c r="G1073" t="n">
        <x:v>25</x:v>
      </x:c>
      <x:c r="H1073" t="n">
        <x:f>ROUND(F1073*G1073/100,2)</x:f>
        <x:v>38.75</x:v>
      </x:c>
      <x:c r="I1073" t="n">
        <x:v>1.5</x:v>
      </x:c>
      <x:c r="J1073" t="n">
        <x:f>ROUND(F1073*I1073/100,2)</x:f>
        <x:v>2.33</x:v>
      </x:c>
      <x:c r="K1073" t="n">
        <x:v>6</x:v>
      </x:c>
      <x:c r="L1073" t="n">
        <x:f>ROUND(F1073*K1073/100,2)</x:f>
        <x:v>9.3</x:v>
      </x:c>
      <x:c r="M1073" t="n">
        <x:v>0.1</x:v>
      </x:c>
      <x:c r="N1073" t="n">
        <x:f>ROUND(F1073*M1073/100,2)</x:f>
        <x:v>0.16</x:v>
      </x:c>
      <x:c r="O1073" t="str">
        <x:v>泡发沥水重</x:v>
      </x:c>
    </x:row>
    <x:row r="1074" ht="23" customHeight="1">
      <x:c r="A1074" t="n">
        <x:v>179</x:v>
      </x:c>
      <x:c r="B1074" t="n">
        <x:v>90</x:v>
      </x:c>
      <x:c r="C1074" t="str">
        <x:v>午餐</x:v>
      </x:c>
      <x:c r="D1074" t="str">
        <x:v>主食</x:v>
      </x:c>
      <x:c r="E1074" t="str">
        <x:v>白米饭</x:v>
      </x:c>
      <x:c r="F1074" t="n">
        <x:v>110</x:v>
      </x:c>
      <x:c r="G1074" t="n">
        <x:v>116</x:v>
      </x:c>
      <x:c r="H1074" t="n">
        <x:f>ROUND(F1074*G1074/100,2)</x:f>
        <x:v>127.6</x:v>
      </x:c>
      <x:c r="I1074" t="n">
        <x:v>2.6</x:v>
      </x:c>
      <x:c r="J1074" t="n">
        <x:f>ROUND(F1074*I1074/100,2)</x:f>
        <x:v>2.86</x:v>
      </x:c>
      <x:c r="K1074" t="n">
        <x:v>25.6</x:v>
      </x:c>
      <x:c r="L1074" t="n">
        <x:f>ROUND(F1074*K1074/100,2)</x:f>
        <x:v>28.16</x:v>
      </x:c>
      <x:c r="M1074" t="n">
        <x:v>0.3</x:v>
      </x:c>
      <x:c r="N1074" t="n">
        <x:f>ROUND(F1074*M1074/100,2)</x:f>
        <x:v>0.33</x:v>
      </x:c>
      <x:c r="O1074" t="str">
        <x:v>熟重</x:v>
      </x:c>
    </x:row>
    <x:row r="1075" ht="23" customHeight="1">
      <x:c r="A1075" t="n">
        <x:v>179</x:v>
      </x:c>
      <x:c r="B1075" t="n">
        <x:v>90</x:v>
      </x:c>
      <x:c r="C1075" t="str">
        <x:v>午餐</x:v>
      </x:c>
      <x:c r="D1075" t="str">
        <x:v>油脂</x:v>
      </x:c>
      <x:c r="E1075" t="str">
        <x:v>烹调油</x:v>
      </x:c>
      <x:c r="F1075" t="n">
        <x:v>6</x:v>
      </x:c>
      <x:c r="G1075" t="n">
        <x:v>900</x:v>
      </x:c>
      <x:c r="H1075" t="n">
        <x:f>ROUND(F1075*G1075/100,2)</x:f>
        <x:v>54</x:v>
      </x:c>
      <x:c r="I1075" t="n">
        <x:v>0</x:v>
      </x:c>
      <x:c r="J1075" t="n">
        <x:f>ROUND(F1075*I1075/100,2)</x:f>
        <x:v>0</x:v>
      </x:c>
      <x:c r="K1075" t="n">
        <x:v>0</x:v>
      </x:c>
      <x:c r="L1075" t="n">
        <x:f>ROUND(F1075*K1075/100,2)</x:f>
        <x:v>0</x:v>
      </x:c>
      <x:c r="M1075" t="n">
        <x:v>100</x:v>
      </x:c>
      <x:c r="N1075" t="n">
        <x:f>ROUND(F1075*M1075/100,2)</x:f>
        <x:v>6</x:v>
      </x:c>
      <x:c r="O1075" t="str">
        <x:v>实际用油重</x:v>
      </x:c>
    </x:row>
    <x:row r="1076" ht="23" customHeight="1">
      <x:c r="A1076" t="n">
        <x:v>180</x:v>
      </x:c>
      <x:c r="B1076" t="n">
        <x:v>90</x:v>
      </x:c>
      <x:c r="C1076" t="str">
        <x:v>晚餐</x:v>
      </x:c>
      <x:c r="D1076" t="str">
        <x:v>牛肉</x:v>
      </x:c>
      <x:c r="E1076" t="str">
        <x:v>瘦牛肉</x:v>
      </x:c>
      <x:c r="F1076" t="n">
        <x:v>170</x:v>
      </x:c>
      <x:c r="G1076" t="n">
        <x:v>125</x:v>
      </x:c>
      <x:c r="H1076" t="n">
        <x:f>ROUND(F1076*G1076/100,2)</x:f>
        <x:v>212.5</x:v>
      </x:c>
      <x:c r="I1076" t="n">
        <x:v>21</x:v>
      </x:c>
      <x:c r="J1076" t="n">
        <x:f>ROUND(F1076*I1076/100,2)</x:f>
        <x:v>35.7</x:v>
      </x:c>
      <x:c r="K1076" t="n">
        <x:v>0</x:v>
      </x:c>
      <x:c r="L1076" t="n">
        <x:f>ROUND(F1076*K1076/100,2)</x:f>
        <x:v>0</x:v>
      </x:c>
      <x:c r="M1076" t="n">
        <x:v>4</x:v>
      </x:c>
      <x:c r="N1076" t="n">
        <x:f>ROUND(F1076*M1076/100,2)</x:f>
        <x:v>6.8</x:v>
      </x:c>
      <x:c r="O1076" t="str">
        <x:v>生重</x:v>
      </x:c>
    </x:row>
    <x:row r="1077" ht="23" customHeight="1">
      <x:c r="A1077" t="n">
        <x:v>180</x:v>
      </x:c>
      <x:c r="B1077" t="n">
        <x:v>90</x:v>
      </x:c>
      <x:c r="C1077" t="str">
        <x:v>晚餐</x:v>
      </x:c>
      <x:c r="D1077" t="str"/>
      <x:c r="E1077" t="str"/>
      <x:c r="F1077" t="n">
        <x:v>0</x:v>
      </x:c>
      <x:c r="G1077" t="n">
        <x:v>0</x:v>
      </x:c>
      <x:c r="H1077" t="n">
        <x:f>ROUND(F1077*G1077/100,2)</x:f>
        <x:v>0</x:v>
      </x:c>
      <x:c r="I1077" t="n">
        <x:v>0</x:v>
      </x:c>
      <x:c r="J1077" t="n">
        <x:f>ROUND(F1077*I1077/100,2)</x:f>
        <x:v>0</x:v>
      </x:c>
      <x:c r="K1077" t="n">
        <x:v>0</x:v>
      </x:c>
      <x:c r="L1077" t="n">
        <x:f>ROUND(F1077*K1077/100,2)</x:f>
        <x:v>0</x:v>
      </x:c>
      <x:c r="M1077" t="n">
        <x:v>0</x:v>
      </x:c>
      <x:c r="N1077" t="n">
        <x:f>ROUND(F1077*M1077/100,2)</x:f>
        <x:v>0</x:v>
      </x:c>
      <x:c r="O1077" t="str"/>
    </x:row>
    <x:row r="1078" ht="23" customHeight="1">
      <x:c r="A1078" t="n">
        <x:v>180</x:v>
      </x:c>
      <x:c r="B1078" t="n">
        <x:v>90</x:v>
      </x:c>
      <x:c r="C1078" t="str">
        <x:v>晚餐</x:v>
      </x:c>
      <x:c r="D1078" t="str">
        <x:v>蔬菜</x:v>
      </x:c>
      <x:c r="E1078" t="str">
        <x:v>秋葵</x:v>
      </x:c>
      <x:c r="F1078" t="n">
        <x:v>160</x:v>
      </x:c>
      <x:c r="G1078" t="n">
        <x:v>33</x:v>
      </x:c>
      <x:c r="H1078" t="n">
        <x:f>ROUND(F1078*G1078/100,2)</x:f>
        <x:v>52.8</x:v>
      </x:c>
      <x:c r="I1078" t="n">
        <x:v>1.9</x:v>
      </x:c>
      <x:c r="J1078" t="n">
        <x:f>ROUND(F1078*I1078/100,2)</x:f>
        <x:v>3.04</x:v>
      </x:c>
      <x:c r="K1078" t="n">
        <x:v>7.5</x:v>
      </x:c>
      <x:c r="L1078" t="n">
        <x:f>ROUND(F1078*K1078/100,2)</x:f>
        <x:v>12</x:v>
      </x:c>
      <x:c r="M1078" t="n">
        <x:v>0.2</x:v>
      </x:c>
      <x:c r="N1078" t="n">
        <x:f>ROUND(F1078*M1078/100,2)</x:f>
        <x:v>0.32</x:v>
      </x:c>
      <x:c r="O1078" t="str">
        <x:v>生重</x:v>
      </x:c>
    </x:row>
    <x:row r="1079" ht="23" customHeight="1">
      <x:c r="A1079" t="n">
        <x:v>180</x:v>
      </x:c>
      <x:c r="B1079" t="n">
        <x:v>90</x:v>
      </x:c>
      <x:c r="C1079" t="str">
        <x:v>晚餐</x:v>
      </x:c>
      <x:c r="D1079" t="str">
        <x:v>蔬菜</x:v>
      </x:c>
      <x:c r="E1079" t="str">
        <x:v>玉米笋</x:v>
      </x:c>
      <x:c r="F1079" t="n">
        <x:v>125</x:v>
      </x:c>
      <x:c r="G1079" t="n">
        <x:v>26</x:v>
      </x:c>
      <x:c r="H1079" t="n">
        <x:f>ROUND(F1079*G1079/100,2)</x:f>
        <x:v>32.5</x:v>
      </x:c>
      <x:c r="I1079" t="n">
        <x:v>2</x:v>
      </x:c>
      <x:c r="J1079" t="n">
        <x:f>ROUND(F1079*I1079/100,2)</x:f>
        <x:v>2.5</x:v>
      </x:c>
      <x:c r="K1079" t="n">
        <x:v>4.9</x:v>
      </x:c>
      <x:c r="L1079" t="n">
        <x:f>ROUND(F1079*K1079/100,2)</x:f>
        <x:v>6.13</x:v>
      </x:c>
      <x:c r="M1079" t="n">
        <x:v>0.1</x:v>
      </x:c>
      <x:c r="N1079" t="n">
        <x:f>ROUND(F1079*M1079/100,2)</x:f>
        <x:v>0.13</x:v>
      </x:c>
      <x:c r="O1079" t="str">
        <x:v>生重</x:v>
      </x:c>
    </x:row>
    <x:row r="1080" ht="23" customHeight="1">
      <x:c r="A1080" t="n">
        <x:v>180</x:v>
      </x:c>
      <x:c r="B1080" t="n">
        <x:v>90</x:v>
      </x:c>
      <x:c r="C1080" t="str">
        <x:v>晚餐</x:v>
      </x:c>
      <x:c r="D1080" t="str">
        <x:v>主食</x:v>
      </x:c>
      <x:c r="E1080" t="str">
        <x:v>红薯</x:v>
      </x:c>
      <x:c r="F1080" t="n">
        <x:v>80</x:v>
      </x:c>
      <x:c r="G1080" t="n">
        <x:v>88</x:v>
      </x:c>
      <x:c r="H1080" t="n">
        <x:f>ROUND(F1080*G1080/100,2)</x:f>
        <x:v>70.4</x:v>
      </x:c>
      <x:c r="I1080" t="n">
        <x:v>1.6</x:v>
      </x:c>
      <x:c r="J1080" t="n">
        <x:f>ROUND(F1080*I1080/100,2)</x:f>
        <x:v>1.28</x:v>
      </x:c>
      <x:c r="K1080" t="n">
        <x:v>20.5</x:v>
      </x:c>
      <x:c r="L1080" t="n">
        <x:f>ROUND(F1080*K1080/100,2)</x:f>
        <x:v>16.4</x:v>
      </x:c>
      <x:c r="M1080" t="n">
        <x:v>0.1</x:v>
      </x:c>
      <x:c r="N1080" t="n">
        <x:f>ROUND(F1080*M1080/100,2)</x:f>
        <x:v>0.08</x:v>
      </x:c>
      <x:c r="O1080" t="str">
        <x:v>蒸熟净重</x:v>
      </x:c>
    </x:row>
    <x:row r="1081" ht="23" customHeight="1">
      <x:c r="A1081" t="n">
        <x:v>180</x:v>
      </x:c>
      <x:c r="B1081" t="n">
        <x:v>90</x:v>
      </x:c>
      <x:c r="C1081" t="str">
        <x:v>晚餐</x:v>
      </x:c>
      <x:c r="D1081" t="str">
        <x:v>油脂</x:v>
      </x:c>
      <x:c r="E1081" t="str">
        <x:v>烹调油</x:v>
      </x:c>
      <x:c r="F1081" t="n">
        <x:v>5</x:v>
      </x:c>
      <x:c r="G1081" t="n">
        <x:v>900</x:v>
      </x:c>
      <x:c r="H1081" t="n">
        <x:f>ROUND(F1081*G1081/100,2)</x:f>
        <x:v>45</x:v>
      </x:c>
      <x:c r="I1081" t="n">
        <x:v>0</x:v>
      </x:c>
      <x:c r="J1081" t="n">
        <x:f>ROUND(F1081*I1081/100,2)</x:f>
        <x:v>0</x:v>
      </x:c>
      <x:c r="K1081" t="n">
        <x:v>0</x:v>
      </x:c>
      <x:c r="L1081" t="n">
        <x:f>ROUND(F1081*K1081/100,2)</x:f>
        <x:v>0</x:v>
      </x:c>
      <x:c r="M1081" t="n">
        <x:v>100</x:v>
      </x:c>
      <x:c r="N1081" t="n">
        <x:f>ROUND(F1081*M1081/100,2)</x:f>
        <x:v>5</x:v>
      </x:c>
      <x:c r="O1081" t="str">
        <x:v>实际用油重</x:v>
      </x:c>
    </x:row>
    <x:row r="1082" ht="23" customHeight="1">
      <x:c r="A1082" t="n">
        <x:v>181</x:v>
      </x:c>
      <x:c r="B1082" t="n">
        <x:v>91</x:v>
      </x:c>
      <x:c r="C1082" t="str">
        <x:v>午餐</x:v>
      </x:c>
      <x:c r="D1082" t="str">
        <x:v>豆蛋</x:v>
      </x:c>
      <x:c r="E1082" t="str">
        <x:v>北豆腐</x:v>
      </x:c>
      <x:c r="F1082" t="n">
        <x:v>260</x:v>
      </x:c>
      <x:c r="G1082" t="n">
        <x:v>90</x:v>
      </x:c>
      <x:c r="H1082" t="n">
        <x:f>ROUND(F1082*G1082/100,2)</x:f>
        <x:v>234</x:v>
      </x:c>
      <x:c r="I1082" t="n">
        <x:v>10</x:v>
      </x:c>
      <x:c r="J1082" t="n">
        <x:f>ROUND(F1082*I1082/100,2)</x:f>
        <x:v>26</x:v>
      </x:c>
      <x:c r="K1082" t="n">
        <x:v>2</x:v>
      </x:c>
      <x:c r="L1082" t="n">
        <x:f>ROUND(F1082*K1082/100,2)</x:f>
        <x:v>5.2</x:v>
      </x:c>
      <x:c r="M1082" t="n">
        <x:v>5</x:v>
      </x:c>
      <x:c r="N1082" t="n">
        <x:f>ROUND(F1082*M1082/100,2)</x:f>
        <x:v>13</x:v>
      </x:c>
      <x:c r="O1082" t="str">
        <x:v>净重</x:v>
      </x:c>
    </x:row>
    <x:row r="1083" ht="23" customHeight="1">
      <x:c r="A1083" t="n">
        <x:v>181</x:v>
      </x:c>
      <x:c r="B1083" t="n">
        <x:v>91</x:v>
      </x:c>
      <x:c r="C1083" t="str">
        <x:v>午餐</x:v>
      </x:c>
      <x:c r="D1083" t="str">
        <x:v>豆蛋</x:v>
      </x:c>
      <x:c r="E1083" t="str">
        <x:v>鸡蛋</x:v>
      </x:c>
      <x:c r="F1083" t="n">
        <x:v>60</x:v>
      </x:c>
      <x:c r="G1083" t="n">
        <x:v>144</x:v>
      </x:c>
      <x:c r="H1083" t="n">
        <x:f>ROUND(F1083*G1083/100,2)</x:f>
        <x:v>86.4</x:v>
      </x:c>
      <x:c r="I1083" t="n">
        <x:v>13</x:v>
      </x:c>
      <x:c r="J1083" t="n">
        <x:f>ROUND(F1083*I1083/100,2)</x:f>
        <x:v>7.8</x:v>
      </x:c>
      <x:c r="K1083" t="n">
        <x:v>1.1</x:v>
      </x:c>
      <x:c r="L1083" t="n">
        <x:f>ROUND(F1083*K1083/100,2)</x:f>
        <x:v>0.66</x:v>
      </x:c>
      <x:c r="M1083" t="n">
        <x:v>10</x:v>
      </x:c>
      <x:c r="N1083" t="n">
        <x:f>ROUND(F1083*M1083/100,2)</x:f>
        <x:v>6</x:v>
      </x:c>
      <x:c r="O1083" t="str">
        <x:v>去壳可食重</x:v>
      </x:c>
    </x:row>
    <x:row r="1084" ht="23" customHeight="1">
      <x:c r="A1084" t="n">
        <x:v>181</x:v>
      </x:c>
      <x:c r="B1084" t="n">
        <x:v>91</x:v>
      </x:c>
      <x:c r="C1084" t="str">
        <x:v>午餐</x:v>
      </x:c>
      <x:c r="D1084" t="str">
        <x:v>蔬菜</x:v>
      </x:c>
      <x:c r="E1084" t="str">
        <x:v>茼蒿</x:v>
      </x:c>
      <x:c r="F1084" t="n">
        <x:v>140</x:v>
      </x:c>
      <x:c r="G1084" t="n">
        <x:v>24</x:v>
      </x:c>
      <x:c r="H1084" t="n">
        <x:f>ROUND(F1084*G1084/100,2)</x:f>
        <x:v>33.6</x:v>
      </x:c>
      <x:c r="I1084" t="n">
        <x:v>1.9</x:v>
      </x:c>
      <x:c r="J1084" t="n">
        <x:f>ROUND(F1084*I1084/100,2)</x:f>
        <x:v>2.66</x:v>
      </x:c>
      <x:c r="K1084" t="n">
        <x:v>4.3</x:v>
      </x:c>
      <x:c r="L1084" t="n">
        <x:f>ROUND(F1084*K1084/100,2)</x:f>
        <x:v>6.02</x:v>
      </x:c>
      <x:c r="M1084" t="n">
        <x:v>0.3</x:v>
      </x:c>
      <x:c r="N1084" t="n">
        <x:f>ROUND(F1084*M1084/100,2)</x:f>
        <x:v>0.42</x:v>
      </x:c>
      <x:c r="O1084" t="str">
        <x:v>生重</x:v>
      </x:c>
    </x:row>
    <x:row r="1085" ht="23" customHeight="1">
      <x:c r="A1085" t="n">
        <x:v>181</x:v>
      </x:c>
      <x:c r="B1085" t="n">
        <x:v>91</x:v>
      </x:c>
      <x:c r="C1085" t="str">
        <x:v>午餐</x:v>
      </x:c>
      <x:c r="D1085" t="str">
        <x:v>菌菇</x:v>
      </x:c>
      <x:c r="E1085" t="str">
        <x:v>口蘑</x:v>
      </x:c>
      <x:c r="F1085" t="n">
        <x:v>140</x:v>
      </x:c>
      <x:c r="G1085" t="n">
        <x:v>22</x:v>
      </x:c>
      <x:c r="H1085" t="n">
        <x:f>ROUND(F1085*G1085/100,2)</x:f>
        <x:v>30.8</x:v>
      </x:c>
      <x:c r="I1085" t="n">
        <x:v>3.1</x:v>
      </x:c>
      <x:c r="J1085" t="n">
        <x:f>ROUND(F1085*I1085/100,2)</x:f>
        <x:v>4.34</x:v>
      </x:c>
      <x:c r="K1085" t="n">
        <x:v>3.3</x:v>
      </x:c>
      <x:c r="L1085" t="n">
        <x:f>ROUND(F1085*K1085/100,2)</x:f>
        <x:v>4.62</x:v>
      </x:c>
      <x:c r="M1085" t="n">
        <x:v>0.3</x:v>
      </x:c>
      <x:c r="N1085" t="n">
        <x:f>ROUND(F1085*M1085/100,2)</x:f>
        <x:v>0.42</x:v>
      </x:c>
      <x:c r="O1085" t="str">
        <x:v>生重</x:v>
      </x:c>
    </x:row>
    <x:row r="1086" ht="23" customHeight="1">
      <x:c r="A1086" t="n">
        <x:v>181</x:v>
      </x:c>
      <x:c r="B1086" t="n">
        <x:v>91</x:v>
      </x:c>
      <x:c r="C1086" t="str">
        <x:v>午餐</x:v>
      </x:c>
      <x:c r="D1086" t="str">
        <x:v>主食</x:v>
      </x:c>
      <x:c r="E1086" t="str">
        <x:v>红薯</x:v>
      </x:c>
      <x:c r="F1086" t="n">
        <x:v>135</x:v>
      </x:c>
      <x:c r="G1086" t="n">
        <x:v>88</x:v>
      </x:c>
      <x:c r="H1086" t="n">
        <x:f>ROUND(F1086*G1086/100,2)</x:f>
        <x:v>118.8</x:v>
      </x:c>
      <x:c r="I1086" t="n">
        <x:v>1.6</x:v>
      </x:c>
      <x:c r="J1086" t="n">
        <x:f>ROUND(F1086*I1086/100,2)</x:f>
        <x:v>2.16</x:v>
      </x:c>
      <x:c r="K1086" t="n">
        <x:v>20.5</x:v>
      </x:c>
      <x:c r="L1086" t="n">
        <x:f>ROUND(F1086*K1086/100,2)</x:f>
        <x:v>27.68</x:v>
      </x:c>
      <x:c r="M1086" t="n">
        <x:v>0.1</x:v>
      </x:c>
      <x:c r="N1086" t="n">
        <x:f>ROUND(F1086*M1086/100,2)</x:f>
        <x:v>0.14</x:v>
      </x:c>
      <x:c r="O1086" t="str">
        <x:v>蒸熟净重</x:v>
      </x:c>
    </x:row>
    <x:row r="1087" ht="23" customHeight="1">
      <x:c r="A1087" t="n">
        <x:v>181</x:v>
      </x:c>
      <x:c r="B1087" t="n">
        <x:v>91</x:v>
      </x:c>
      <x:c r="C1087" t="str">
        <x:v>午餐</x:v>
      </x:c>
      <x:c r="D1087" t="str">
        <x:v>油脂</x:v>
      </x:c>
      <x:c r="E1087" t="str">
        <x:v>烹调油</x:v>
      </x:c>
      <x:c r="F1087" t="n">
        <x:v>4</x:v>
      </x:c>
      <x:c r="G1087" t="n">
        <x:v>900</x:v>
      </x:c>
      <x:c r="H1087" t="n">
        <x:f>ROUND(F1087*G1087/100,2)</x:f>
        <x:v>36</x:v>
      </x:c>
      <x:c r="I1087" t="n">
        <x:v>0</x:v>
      </x:c>
      <x:c r="J1087" t="n">
        <x:f>ROUND(F1087*I1087/100,2)</x:f>
        <x:v>0</x:v>
      </x:c>
      <x:c r="K1087" t="n">
        <x:v>0</x:v>
      </x:c>
      <x:c r="L1087" t="n">
        <x:f>ROUND(F1087*K1087/100,2)</x:f>
        <x:v>0</x:v>
      </x:c>
      <x:c r="M1087" t="n">
        <x:v>100</x:v>
      </x:c>
      <x:c r="N1087" t="n">
        <x:f>ROUND(F1087*M1087/100,2)</x:f>
        <x:v>4</x:v>
      </x:c>
      <x:c r="O1087" t="str">
        <x:v>实际用油重</x:v>
      </x:c>
    </x:row>
    <x:row r="1088" ht="23" customHeight="1">
      <x:c r="A1088" t="n">
        <x:v>182</x:v>
      </x:c>
      <x:c r="B1088" t="n">
        <x:v>91</x:v>
      </x:c>
      <x:c r="C1088" t="str">
        <x:v>晚餐</x:v>
      </x:c>
      <x:c r="D1088" t="str">
        <x:v>牛肉</x:v>
      </x:c>
      <x:c r="E1088" t="str">
        <x:v>瘦牛肉</x:v>
      </x:c>
      <x:c r="F1088" t="n">
        <x:v>180</x:v>
      </x:c>
      <x:c r="G1088" t="n">
        <x:v>125</x:v>
      </x:c>
      <x:c r="H1088" t="n">
        <x:f>ROUND(F1088*G1088/100,2)</x:f>
        <x:v>225</x:v>
      </x:c>
      <x:c r="I1088" t="n">
        <x:v>21</x:v>
      </x:c>
      <x:c r="J1088" t="n">
        <x:f>ROUND(F1088*I1088/100,2)</x:f>
        <x:v>37.8</x:v>
      </x:c>
      <x:c r="K1088" t="n">
        <x:v>0</x:v>
      </x:c>
      <x:c r="L1088" t="n">
        <x:f>ROUND(F1088*K1088/100,2)</x:f>
        <x:v>0</x:v>
      </x:c>
      <x:c r="M1088" t="n">
        <x:v>4</x:v>
      </x:c>
      <x:c r="N1088" t="n">
        <x:f>ROUND(F1088*M1088/100,2)</x:f>
        <x:v>7.2</x:v>
      </x:c>
      <x:c r="O1088" t="str">
        <x:v>生重</x:v>
      </x:c>
    </x:row>
    <x:row r="1089" ht="23" customHeight="1">
      <x:c r="A1089" t="n">
        <x:v>182</x:v>
      </x:c>
      <x:c r="B1089" t="n">
        <x:v>91</x:v>
      </x:c>
      <x:c r="C1089" t="str">
        <x:v>晚餐</x:v>
      </x:c>
      <x:c r="D1089" t="str"/>
      <x:c r="E1089" t="str"/>
      <x:c r="F1089" t="n">
        <x:v>0</x:v>
      </x:c>
      <x:c r="G1089" t="n">
        <x:v>0</x:v>
      </x:c>
      <x:c r="H1089" t="n">
        <x:f>ROUND(F1089*G1089/100,2)</x:f>
        <x:v>0</x:v>
      </x:c>
      <x:c r="I1089" t="n">
        <x:v>0</x:v>
      </x:c>
      <x:c r="J1089" t="n">
        <x:f>ROUND(F1089*I1089/100,2)</x:f>
        <x:v>0</x:v>
      </x:c>
      <x:c r="K1089" t="n">
        <x:v>0</x:v>
      </x:c>
      <x:c r="L1089" t="n">
        <x:f>ROUND(F1089*K1089/100,2)</x:f>
        <x:v>0</x:v>
      </x:c>
      <x:c r="M1089" t="n">
        <x:v>0</x:v>
      </x:c>
      <x:c r="N1089" t="n">
        <x:f>ROUND(F1089*M1089/100,2)</x:f>
        <x:v>0</x:v>
      </x:c>
      <x:c r="O1089" t="str"/>
    </x:row>
    <x:row r="1090" ht="23" customHeight="1">
      <x:c r="A1090" t="n">
        <x:v>182</x:v>
      </x:c>
      <x:c r="B1090" t="n">
        <x:v>91</x:v>
      </x:c>
      <x:c r="C1090" t="str">
        <x:v>晚餐</x:v>
      </x:c>
      <x:c r="D1090" t="str">
        <x:v>蔬菜</x:v>
      </x:c>
      <x:c r="E1090" t="str">
        <x:v>油麦菜</x:v>
      </x:c>
      <x:c r="F1090" t="n">
        <x:v>140</x:v>
      </x:c>
      <x:c r="G1090" t="n">
        <x:v>18</x:v>
      </x:c>
      <x:c r="H1090" t="n">
        <x:f>ROUND(F1090*G1090/100,2)</x:f>
        <x:v>25.2</x:v>
      </x:c>
      <x:c r="I1090" t="n">
        <x:v>1.4</x:v>
      </x:c>
      <x:c r="J1090" t="n">
        <x:f>ROUND(F1090*I1090/100,2)</x:f>
        <x:v>1.96</x:v>
      </x:c>
      <x:c r="K1090" t="n">
        <x:v>3.1</x:v>
      </x:c>
      <x:c r="L1090" t="n">
        <x:f>ROUND(F1090*K1090/100,2)</x:f>
        <x:v>4.34</x:v>
      </x:c>
      <x:c r="M1090" t="n">
        <x:v>0.2</x:v>
      </x:c>
      <x:c r="N1090" t="n">
        <x:f>ROUND(F1090*M1090/100,2)</x:f>
        <x:v>0.28</x:v>
      </x:c>
      <x:c r="O1090" t="str">
        <x:v>生重</x:v>
      </x:c>
    </x:row>
    <x:row r="1091" ht="23" customHeight="1">
      <x:c r="A1091" t="n">
        <x:v>182</x:v>
      </x:c>
      <x:c r="B1091" t="n">
        <x:v>91</x:v>
      </x:c>
      <x:c r="C1091" t="str">
        <x:v>晚餐</x:v>
      </x:c>
      <x:c r="D1091" t="str">
        <x:v>蔬菜</x:v>
      </x:c>
      <x:c r="E1091" t="str">
        <x:v>胡萝卜</x:v>
      </x:c>
      <x:c r="F1091" t="n">
        <x:v>110</x:v>
      </x:c>
      <x:c r="G1091" t="n">
        <x:v>41</x:v>
      </x:c>
      <x:c r="H1091" t="n">
        <x:f>ROUND(F1091*G1091/100,2)</x:f>
        <x:v>45.1</x:v>
      </x:c>
      <x:c r="I1091" t="n">
        <x:v>0.9</x:v>
      </x:c>
      <x:c r="J1091" t="n">
        <x:f>ROUND(F1091*I1091/100,2)</x:f>
        <x:v>0.99</x:v>
      </x:c>
      <x:c r="K1091" t="n">
        <x:v>10</x:v>
      </x:c>
      <x:c r="L1091" t="n">
        <x:f>ROUND(F1091*K1091/100,2)</x:f>
        <x:v>11</x:v>
      </x:c>
      <x:c r="M1091" t="n">
        <x:v>0.2</x:v>
      </x:c>
      <x:c r="N1091" t="n">
        <x:f>ROUND(F1091*M1091/100,2)</x:f>
        <x:v>0.22</x:v>
      </x:c>
      <x:c r="O1091" t="str">
        <x:v>生重</x:v>
      </x:c>
    </x:row>
    <x:row r="1092" ht="23" customHeight="1">
      <x:c r="A1092" t="n">
        <x:v>182</x:v>
      </x:c>
      <x:c r="B1092" t="n">
        <x:v>91</x:v>
      </x:c>
      <x:c r="C1092" t="str">
        <x:v>晚餐</x:v>
      </x:c>
      <x:c r="D1092" t="str">
        <x:v>主食</x:v>
      </x:c>
      <x:c r="E1092" t="str">
        <x:v>全麦面</x:v>
      </x:c>
      <x:c r="F1092" t="n">
        <x:v>95</x:v>
      </x:c>
      <x:c r="G1092" t="n">
        <x:v>124</x:v>
      </x:c>
      <x:c r="H1092" t="n">
        <x:f>ROUND(F1092*G1092/100,2)</x:f>
        <x:v>117.8</x:v>
      </x:c>
      <x:c r="I1092" t="n">
        <x:v>5</x:v>
      </x:c>
      <x:c r="J1092" t="n">
        <x:f>ROUND(F1092*I1092/100,2)</x:f>
        <x:v>4.75</x:v>
      </x:c>
      <x:c r="K1092" t="n">
        <x:v>25</x:v>
      </x:c>
      <x:c r="L1092" t="n">
        <x:f>ROUND(F1092*K1092/100,2)</x:f>
        <x:v>23.75</x:v>
      </x:c>
      <x:c r="M1092" t="n">
        <x:v>1.1</x:v>
      </x:c>
      <x:c r="N1092" t="n">
        <x:f>ROUND(F1092*M1092/100,2)</x:f>
        <x:v>1.05</x:v>
      </x:c>
      <x:c r="O1092" t="str">
        <x:v>煮熟沥水重</x:v>
      </x:c>
    </x:row>
    <x:row r="1093" ht="23" customHeight="1">
      <x:c r="A1093" t="n">
        <x:v>182</x:v>
      </x:c>
      <x:c r="B1093" t="n">
        <x:v>91</x:v>
      </x:c>
      <x:c r="C1093" t="str">
        <x:v>晚餐</x:v>
      </x:c>
      <x:c r="D1093" t="str">
        <x:v>油脂</x:v>
      </x:c>
      <x:c r="E1093" t="str">
        <x:v>烹调油</x:v>
      </x:c>
      <x:c r="F1093" t="n">
        <x:v>3</x:v>
      </x:c>
      <x:c r="G1093" t="n">
        <x:v>900</x:v>
      </x:c>
      <x:c r="H1093" t="n">
        <x:f>ROUND(F1093*G1093/100,2)</x:f>
        <x:v>27</x:v>
      </x:c>
      <x:c r="I1093" t="n">
        <x:v>0</x:v>
      </x:c>
      <x:c r="J1093" t="n">
        <x:f>ROUND(F1093*I1093/100,2)</x:f>
        <x:v>0</x:v>
      </x:c>
      <x:c r="K1093" t="n">
        <x:v>0</x:v>
      </x:c>
      <x:c r="L1093" t="n">
        <x:f>ROUND(F1093*K1093/100,2)</x:f>
        <x:v>0</x:v>
      </x:c>
      <x:c r="M1093" t="n">
        <x:v>100</x:v>
      </x:c>
      <x:c r="N1093" t="n">
        <x:f>ROUND(F1093*M1093/100,2)</x:f>
        <x:v>3</x:v>
      </x:c>
      <x:c r="O1093" t="str">
        <x:v>实际用油重</x:v>
      </x:c>
    </x:row>
    <x:row r="1094" ht="23" customHeight="1">
      <x:c r="A1094" t="n">
        <x:v>183</x:v>
      </x:c>
      <x:c r="B1094" t="n">
        <x:v>92</x:v>
      </x:c>
      <x:c r="C1094" t="str">
        <x:v>午餐</x:v>
      </x:c>
      <x:c r="D1094" t="str">
        <x:v>豆蛋</x:v>
      </x:c>
      <x:c r="E1094" t="str">
        <x:v>鸡蛋</x:v>
      </x:c>
      <x:c r="F1094" t="n">
        <x:v>110</x:v>
      </x:c>
      <x:c r="G1094" t="n">
        <x:v>144</x:v>
      </x:c>
      <x:c r="H1094" t="n">
        <x:f>ROUND(F1094*G1094/100,2)</x:f>
        <x:v>158.4</x:v>
      </x:c>
      <x:c r="I1094" t="n">
        <x:v>13</x:v>
      </x:c>
      <x:c r="J1094" t="n">
        <x:f>ROUND(F1094*I1094/100,2)</x:f>
        <x:v>14.3</x:v>
      </x:c>
      <x:c r="K1094" t="n">
        <x:v>1.1</x:v>
      </x:c>
      <x:c r="L1094" t="n">
        <x:f>ROUND(F1094*K1094/100,2)</x:f>
        <x:v>1.21</x:v>
      </x:c>
      <x:c r="M1094" t="n">
        <x:v>10</x:v>
      </x:c>
      <x:c r="N1094" t="n">
        <x:f>ROUND(F1094*M1094/100,2)</x:f>
        <x:v>11</x:v>
      </x:c>
      <x:c r="O1094" t="str">
        <x:v>去壳可食重</x:v>
      </x:c>
    </x:row>
    <x:row r="1095" ht="23" customHeight="1">
      <x:c r="A1095" t="n">
        <x:v>183</x:v>
      </x:c>
      <x:c r="B1095" t="n">
        <x:v>92</x:v>
      </x:c>
      <x:c r="C1095" t="str">
        <x:v>午餐</x:v>
      </x:c>
      <x:c r="D1095" t="str">
        <x:v>豆蛋</x:v>
      </x:c>
      <x:c r="E1095" t="str">
        <x:v>北豆腐</x:v>
      </x:c>
      <x:c r="F1095" t="n">
        <x:v>90</x:v>
      </x:c>
      <x:c r="G1095" t="n">
        <x:v>90</x:v>
      </x:c>
      <x:c r="H1095" t="n">
        <x:f>ROUND(F1095*G1095/100,2)</x:f>
        <x:v>81</x:v>
      </x:c>
      <x:c r="I1095" t="n">
        <x:v>10</x:v>
      </x:c>
      <x:c r="J1095" t="n">
        <x:f>ROUND(F1095*I1095/100,2)</x:f>
        <x:v>9</x:v>
      </x:c>
      <x:c r="K1095" t="n">
        <x:v>2</x:v>
      </x:c>
      <x:c r="L1095" t="n">
        <x:f>ROUND(F1095*K1095/100,2)</x:f>
        <x:v>1.8</x:v>
      </x:c>
      <x:c r="M1095" t="n">
        <x:v>5</x:v>
      </x:c>
      <x:c r="N1095" t="n">
        <x:f>ROUND(F1095*M1095/100,2)</x:f>
        <x:v>4.5</x:v>
      </x:c>
      <x:c r="O1095" t="str">
        <x:v>净重</x:v>
      </x:c>
    </x:row>
    <x:row r="1096" ht="23" customHeight="1">
      <x:c r="A1096" t="n">
        <x:v>183</x:v>
      </x:c>
      <x:c r="B1096" t="n">
        <x:v>92</x:v>
      </x:c>
      <x:c r="C1096" t="str">
        <x:v>午餐</x:v>
      </x:c>
      <x:c r="D1096" t="str">
        <x:v>蔬菜</x:v>
      </x:c>
      <x:c r="E1096" t="str">
        <x:v>番茄</x:v>
      </x:c>
      <x:c r="F1096" t="n">
        <x:v>190</x:v>
      </x:c>
      <x:c r="G1096" t="n">
        <x:v>20</x:v>
      </x:c>
      <x:c r="H1096" t="n">
        <x:f>ROUND(F1096*G1096/100,2)</x:f>
        <x:v>38</x:v>
      </x:c>
      <x:c r="I1096" t="n">
        <x:v>0.9</x:v>
      </x:c>
      <x:c r="J1096" t="n">
        <x:f>ROUND(F1096*I1096/100,2)</x:f>
        <x:v>1.71</x:v>
      </x:c>
      <x:c r="K1096" t="n">
        <x:v>4</x:v>
      </x:c>
      <x:c r="L1096" t="n">
        <x:f>ROUND(F1096*K1096/100,2)</x:f>
        <x:v>7.6</x:v>
      </x:c>
      <x:c r="M1096" t="n">
        <x:v>0.2</x:v>
      </x:c>
      <x:c r="N1096" t="n">
        <x:f>ROUND(F1096*M1096/100,2)</x:f>
        <x:v>0.38</x:v>
      </x:c>
      <x:c r="O1096" t="str">
        <x:v>生重</x:v>
      </x:c>
    </x:row>
    <x:row r="1097" ht="23" customHeight="1">
      <x:c r="A1097" t="n">
        <x:v>183</x:v>
      </x:c>
      <x:c r="B1097" t="n">
        <x:v>92</x:v>
      </x:c>
      <x:c r="C1097" t="str">
        <x:v>午餐</x:v>
      </x:c>
      <x:c r="D1097" t="str">
        <x:v>蔬菜</x:v>
      </x:c>
      <x:c r="E1097" t="str">
        <x:v>彩椒</x:v>
      </x:c>
      <x:c r="F1097" t="n">
        <x:v>155</x:v>
      </x:c>
      <x:c r="G1097" t="n">
        <x:v>27</x:v>
      </x:c>
      <x:c r="H1097" t="n">
        <x:f>ROUND(F1097*G1097/100,2)</x:f>
        <x:v>41.85</x:v>
      </x:c>
      <x:c r="I1097" t="n">
        <x:v>1</x:v>
      </x:c>
      <x:c r="J1097" t="n">
        <x:f>ROUND(F1097*I1097/100,2)</x:f>
        <x:v>1.55</x:v>
      </x:c>
      <x:c r="K1097" t="n">
        <x:v>6.1</x:v>
      </x:c>
      <x:c r="L1097" t="n">
        <x:f>ROUND(F1097*K1097/100,2)</x:f>
        <x:v>9.46</x:v>
      </x:c>
      <x:c r="M1097" t="n">
        <x:v>0.2</x:v>
      </x:c>
      <x:c r="N1097" t="n">
        <x:f>ROUND(F1097*M1097/100,2)</x:f>
        <x:v>0.31</x:v>
      </x:c>
      <x:c r="O1097" t="str">
        <x:v>生重</x:v>
      </x:c>
    </x:row>
    <x:row r="1098" ht="23" customHeight="1">
      <x:c r="A1098" t="n">
        <x:v>183</x:v>
      </x:c>
      <x:c r="B1098" t="n">
        <x:v>92</x:v>
      </x:c>
      <x:c r="C1098" t="str">
        <x:v>午餐</x:v>
      </x:c>
      <x:c r="D1098" t="str">
        <x:v>主食</x:v>
      </x:c>
      <x:c r="E1098" t="str">
        <x:v>全麦面</x:v>
      </x:c>
      <x:c r="F1098" t="n">
        <x:v>135</x:v>
      </x:c>
      <x:c r="G1098" t="n">
        <x:v>124</x:v>
      </x:c>
      <x:c r="H1098" t="n">
        <x:f>ROUND(F1098*G1098/100,2)</x:f>
        <x:v>167.4</x:v>
      </x:c>
      <x:c r="I1098" t="n">
        <x:v>5</x:v>
      </x:c>
      <x:c r="J1098" t="n">
        <x:f>ROUND(F1098*I1098/100,2)</x:f>
        <x:v>6.75</x:v>
      </x:c>
      <x:c r="K1098" t="n">
        <x:v>25</x:v>
      </x:c>
      <x:c r="L1098" t="n">
        <x:f>ROUND(F1098*K1098/100,2)</x:f>
        <x:v>33.75</x:v>
      </x:c>
      <x:c r="M1098" t="n">
        <x:v>1.1</x:v>
      </x:c>
      <x:c r="N1098" t="n">
        <x:f>ROUND(F1098*M1098/100,2)</x:f>
        <x:v>1.49</x:v>
      </x:c>
      <x:c r="O1098" t="str">
        <x:v>煮熟沥水重</x:v>
      </x:c>
    </x:row>
    <x:row r="1099" ht="23" customHeight="1">
      <x:c r="A1099" t="n">
        <x:v>183</x:v>
      </x:c>
      <x:c r="B1099" t="n">
        <x:v>92</x:v>
      </x:c>
      <x:c r="C1099" t="str">
        <x:v>午餐</x:v>
      </x:c>
      <x:c r="D1099" t="str">
        <x:v>油脂</x:v>
      </x:c>
      <x:c r="E1099" t="str">
        <x:v>烹调油</x:v>
      </x:c>
      <x:c r="F1099" t="n">
        <x:v>3</x:v>
      </x:c>
      <x:c r="G1099" t="n">
        <x:v>900</x:v>
      </x:c>
      <x:c r="H1099" t="n">
        <x:f>ROUND(F1099*G1099/100,2)</x:f>
        <x:v>27</x:v>
      </x:c>
      <x:c r="I1099" t="n">
        <x:v>0</x:v>
      </x:c>
      <x:c r="J1099" t="n">
        <x:f>ROUND(F1099*I1099/100,2)</x:f>
        <x:v>0</x:v>
      </x:c>
      <x:c r="K1099" t="n">
        <x:v>0</x:v>
      </x:c>
      <x:c r="L1099" t="n">
        <x:f>ROUND(F1099*K1099/100,2)</x:f>
        <x:v>0</x:v>
      </x:c>
      <x:c r="M1099" t="n">
        <x:v>100</x:v>
      </x:c>
      <x:c r="N1099" t="n">
        <x:f>ROUND(F1099*M1099/100,2)</x:f>
        <x:v>3</x:v>
      </x:c>
      <x:c r="O1099" t="str">
        <x:v>实际用油重</x:v>
      </x:c>
    </x:row>
    <x:row r="1100" ht="23" customHeight="1">
      <x:c r="A1100" t="n">
        <x:v>184</x:v>
      </x:c>
      <x:c r="B1100" t="n">
        <x:v>92</x:v>
      </x:c>
      <x:c r="C1100" t="str">
        <x:v>晚餐</x:v>
      </x:c>
      <x:c r="D1100" t="str">
        <x:v>猪肉</x:v>
      </x:c>
      <x:c r="E1100" t="str">
        <x:v>猪瘦肉</x:v>
      </x:c>
      <x:c r="F1100" t="n">
        <x:v>170</x:v>
      </x:c>
      <x:c r="G1100" t="n">
        <x:v>130</x:v>
      </x:c>
      <x:c r="H1100" t="n">
        <x:f>ROUND(F1100*G1100/100,2)</x:f>
        <x:v>221</x:v>
      </x:c>
      <x:c r="I1100" t="n">
        <x:v>20</x:v>
      </x:c>
      <x:c r="J1100" t="n">
        <x:f>ROUND(F1100*I1100/100,2)</x:f>
        <x:v>34</x:v>
      </x:c>
      <x:c r="K1100" t="n">
        <x:v>0</x:v>
      </x:c>
      <x:c r="L1100" t="n">
        <x:f>ROUND(F1100*K1100/100,2)</x:f>
        <x:v>0</x:v>
      </x:c>
      <x:c r="M1100" t="n">
        <x:v>5.5</x:v>
      </x:c>
      <x:c r="N1100" t="n">
        <x:f>ROUND(F1100*M1100/100,2)</x:f>
        <x:v>9.35</x:v>
      </x:c>
      <x:c r="O1100" t="str">
        <x:v>生重</x:v>
      </x:c>
    </x:row>
    <x:row r="1101" ht="23" customHeight="1">
      <x:c r="A1101" t="n">
        <x:v>184</x:v>
      </x:c>
      <x:c r="B1101" t="n">
        <x:v>92</x:v>
      </x:c>
      <x:c r="C1101" t="str">
        <x:v>晚餐</x:v>
      </x:c>
      <x:c r="D1101" t="str"/>
      <x:c r="E1101" t="str"/>
      <x:c r="F1101" t="n">
        <x:v>0</x:v>
      </x:c>
      <x:c r="G1101" t="n">
        <x:v>0</x:v>
      </x:c>
      <x:c r="H1101" t="n">
        <x:f>ROUND(F1101*G1101/100,2)</x:f>
        <x:v>0</x:v>
      </x:c>
      <x:c r="I1101" t="n">
        <x:v>0</x:v>
      </x:c>
      <x:c r="J1101" t="n">
        <x:f>ROUND(F1101*I1101/100,2)</x:f>
        <x:v>0</x:v>
      </x:c>
      <x:c r="K1101" t="n">
        <x:v>0</x:v>
      </x:c>
      <x:c r="L1101" t="n">
        <x:f>ROUND(F1101*K1101/100,2)</x:f>
        <x:v>0</x:v>
      </x:c>
      <x:c r="M1101" t="n">
        <x:v>0</x:v>
      </x:c>
      <x:c r="N1101" t="n">
        <x:f>ROUND(F1101*M1101/100,2)</x:f>
        <x:v>0</x:v>
      </x:c>
      <x:c r="O1101" t="str"/>
    </x:row>
    <x:row r="1102" ht="23" customHeight="1">
      <x:c r="A1102" t="n">
        <x:v>184</x:v>
      </x:c>
      <x:c r="B1102" t="n">
        <x:v>92</x:v>
      </x:c>
      <x:c r="C1102" t="str">
        <x:v>晚餐</x:v>
      </x:c>
      <x:c r="D1102" t="str">
        <x:v>蔬菜</x:v>
      </x:c>
      <x:c r="E1102" t="str">
        <x:v>油麦菜</x:v>
      </x:c>
      <x:c r="F1102" t="n">
        <x:v>140</x:v>
      </x:c>
      <x:c r="G1102" t="n">
        <x:v>18</x:v>
      </x:c>
      <x:c r="H1102" t="n">
        <x:f>ROUND(F1102*G1102/100,2)</x:f>
        <x:v>25.2</x:v>
      </x:c>
      <x:c r="I1102" t="n">
        <x:v>1.4</x:v>
      </x:c>
      <x:c r="J1102" t="n">
        <x:f>ROUND(F1102*I1102/100,2)</x:f>
        <x:v>1.96</x:v>
      </x:c>
      <x:c r="K1102" t="n">
        <x:v>3.1</x:v>
      </x:c>
      <x:c r="L1102" t="n">
        <x:f>ROUND(F1102*K1102/100,2)</x:f>
        <x:v>4.34</x:v>
      </x:c>
      <x:c r="M1102" t="n">
        <x:v>0.2</x:v>
      </x:c>
      <x:c r="N1102" t="n">
        <x:f>ROUND(F1102*M1102/100,2)</x:f>
        <x:v>0.28</x:v>
      </x:c>
      <x:c r="O1102" t="str">
        <x:v>生重</x:v>
      </x:c>
    </x:row>
    <x:row r="1103" ht="23" customHeight="1">
      <x:c r="A1103" t="n">
        <x:v>184</x:v>
      </x:c>
      <x:c r="B1103" t="n">
        <x:v>92</x:v>
      </x:c>
      <x:c r="C1103" t="str">
        <x:v>晚餐</x:v>
      </x:c>
      <x:c r="D1103" t="str">
        <x:v>蔬菜</x:v>
      </x:c>
      <x:c r="E1103" t="str">
        <x:v>白萝卜</x:v>
      </x:c>
      <x:c r="F1103" t="n">
        <x:v>140</x:v>
      </x:c>
      <x:c r="G1103" t="n">
        <x:v>18</x:v>
      </x:c>
      <x:c r="H1103" t="n">
        <x:f>ROUND(F1103*G1103/100,2)</x:f>
        <x:v>25.2</x:v>
      </x:c>
      <x:c r="I1103" t="n">
        <x:v>0.6</x:v>
      </x:c>
      <x:c r="J1103" t="n">
        <x:f>ROUND(F1103*I1103/100,2)</x:f>
        <x:v>0.84</x:v>
      </x:c>
      <x:c r="K1103" t="n">
        <x:v>4</x:v>
      </x:c>
      <x:c r="L1103" t="n">
        <x:f>ROUND(F1103*K1103/100,2)</x:f>
        <x:v>5.6</x:v>
      </x:c>
      <x:c r="M1103" t="n">
        <x:v>0.1</x:v>
      </x:c>
      <x:c r="N1103" t="n">
        <x:f>ROUND(F1103*M1103/100,2)</x:f>
        <x:v>0.14</x:v>
      </x:c>
      <x:c r="O1103" t="str">
        <x:v>生重</x:v>
      </x:c>
    </x:row>
    <x:row r="1104" ht="23" customHeight="1">
      <x:c r="A1104" t="n">
        <x:v>184</x:v>
      </x:c>
      <x:c r="B1104" t="n">
        <x:v>92</x:v>
      </x:c>
      <x:c r="C1104" t="str">
        <x:v>晚餐</x:v>
      </x:c>
      <x:c r="D1104" t="str">
        <x:v>主食</x:v>
      </x:c>
      <x:c r="E1104" t="str">
        <x:v>燕麦饭</x:v>
      </x:c>
      <x:c r="F1104" t="n">
        <x:v>95</x:v>
      </x:c>
      <x:c r="G1104" t="n">
        <x:v>110</x:v>
      </x:c>
      <x:c r="H1104" t="n">
        <x:f>ROUND(F1104*G1104/100,2)</x:f>
        <x:v>104.5</x:v>
      </x:c>
      <x:c r="I1104" t="n">
        <x:v>3.2</x:v>
      </x:c>
      <x:c r="J1104" t="n">
        <x:f>ROUND(F1104*I1104/100,2)</x:f>
        <x:v>3.04</x:v>
      </x:c>
      <x:c r="K1104" t="n">
        <x:v>21</x:v>
      </x:c>
      <x:c r="L1104" t="n">
        <x:f>ROUND(F1104*K1104/100,2)</x:f>
        <x:v>19.95</x:v>
      </x:c>
      <x:c r="M1104" t="n">
        <x:v>1.8</x:v>
      </x:c>
      <x:c r="N1104" t="n">
        <x:f>ROUND(F1104*M1104/100,2)</x:f>
        <x:v>1.71</x:v>
      </x:c>
      <x:c r="O1104" t="str">
        <x:v>熟重</x:v>
      </x:c>
    </x:row>
    <x:row r="1105" ht="23" customHeight="1">
      <x:c r="A1105" t="n">
        <x:v>184</x:v>
      </x:c>
      <x:c r="B1105" t="n">
        <x:v>92</x:v>
      </x:c>
      <x:c r="C1105" t="str">
        <x:v>晚餐</x:v>
      </x:c>
      <x:c r="D1105" t="str">
        <x:v>油脂</x:v>
      </x:c>
      <x:c r="E1105" t="str">
        <x:v>烹调油</x:v>
      </x:c>
      <x:c r="F1105" t="n">
        <x:v>6</x:v>
      </x:c>
      <x:c r="G1105" t="n">
        <x:v>900</x:v>
      </x:c>
      <x:c r="H1105" t="n">
        <x:f>ROUND(F1105*G1105/100,2)</x:f>
        <x:v>54</x:v>
      </x:c>
      <x:c r="I1105" t="n">
        <x:v>0</x:v>
      </x:c>
      <x:c r="J1105" t="n">
        <x:f>ROUND(F1105*I1105/100,2)</x:f>
        <x:v>0</x:v>
      </x:c>
      <x:c r="K1105" t="n">
        <x:v>0</x:v>
      </x:c>
      <x:c r="L1105" t="n">
        <x:f>ROUND(F1105*K1105/100,2)</x:f>
        <x:v>0</x:v>
      </x:c>
      <x:c r="M1105" t="n">
        <x:v>100</x:v>
      </x:c>
      <x:c r="N1105" t="n">
        <x:f>ROUND(F1105*M1105/100,2)</x:f>
        <x:v>6</x:v>
      </x:c>
      <x:c r="O1105" t="str">
        <x:v>实际用油重</x:v>
      </x:c>
    </x:row>
    <x:row r="1106" ht="23" customHeight="1">
      <x:c r="A1106" t="n">
        <x:v>185</x:v>
      </x:c>
      <x:c r="B1106" t="n">
        <x:v>93</x:v>
      </x:c>
      <x:c r="C1106" t="str">
        <x:v>午餐</x:v>
      </x:c>
      <x:c r="D1106" t="str">
        <x:v>牛肉</x:v>
      </x:c>
      <x:c r="E1106" t="str">
        <x:v>瘦牛肉</x:v>
      </x:c>
      <x:c r="F1106" t="n">
        <x:v>165</x:v>
      </x:c>
      <x:c r="G1106" t="n">
        <x:v>125</x:v>
      </x:c>
      <x:c r="H1106" t="n">
        <x:f>ROUND(F1106*G1106/100,2)</x:f>
        <x:v>206.25</x:v>
      </x:c>
      <x:c r="I1106" t="n">
        <x:v>21</x:v>
      </x:c>
      <x:c r="J1106" t="n">
        <x:f>ROUND(F1106*I1106/100,2)</x:f>
        <x:v>34.65</x:v>
      </x:c>
      <x:c r="K1106" t="n">
        <x:v>0</x:v>
      </x:c>
      <x:c r="L1106" t="n">
        <x:f>ROUND(F1106*K1106/100,2)</x:f>
        <x:v>0</x:v>
      </x:c>
      <x:c r="M1106" t="n">
        <x:v>4</x:v>
      </x:c>
      <x:c r="N1106" t="n">
        <x:f>ROUND(F1106*M1106/100,2)</x:f>
        <x:v>6.6</x:v>
      </x:c>
      <x:c r="O1106" t="str">
        <x:v>生重</x:v>
      </x:c>
    </x:row>
    <x:row r="1107" ht="23" customHeight="1">
      <x:c r="A1107" t="n">
        <x:v>185</x:v>
      </x:c>
      <x:c r="B1107" t="n">
        <x:v>93</x:v>
      </x:c>
      <x:c r="C1107" t="str">
        <x:v>午餐</x:v>
      </x:c>
      <x:c r="D1107" t="str"/>
      <x:c r="E1107" t="str"/>
      <x:c r="F1107" t="n">
        <x:v>0</x:v>
      </x:c>
      <x:c r="G1107" t="n">
        <x:v>0</x:v>
      </x:c>
      <x:c r="H1107" t="n">
        <x:f>ROUND(F1107*G1107/100,2)</x:f>
        <x:v>0</x:v>
      </x:c>
      <x:c r="I1107" t="n">
        <x:v>0</x:v>
      </x:c>
      <x:c r="J1107" t="n">
        <x:f>ROUND(F1107*I1107/100,2)</x:f>
        <x:v>0</x:v>
      </x:c>
      <x:c r="K1107" t="n">
        <x:v>0</x:v>
      </x:c>
      <x:c r="L1107" t="n">
        <x:f>ROUND(F1107*K1107/100,2)</x:f>
        <x:v>0</x:v>
      </x:c>
      <x:c r="M1107" t="n">
        <x:v>0</x:v>
      </x:c>
      <x:c r="N1107" t="n">
        <x:f>ROUND(F1107*M1107/100,2)</x:f>
        <x:v>0</x:v>
      </x:c>
      <x:c r="O1107" t="str"/>
    </x:row>
    <x:row r="1108" ht="23" customHeight="1">
      <x:c r="A1108" t="n">
        <x:v>185</x:v>
      </x:c>
      <x:c r="B1108" t="n">
        <x:v>93</x:v>
      </x:c>
      <x:c r="C1108" t="str">
        <x:v>午餐</x:v>
      </x:c>
      <x:c r="D1108" t="str">
        <x:v>蔬菜</x:v>
      </x:c>
      <x:c r="E1108" t="str">
        <x:v>娃娃菜</x:v>
      </x:c>
      <x:c r="F1108" t="n">
        <x:v>160</x:v>
      </x:c>
      <x:c r="G1108" t="n">
        <x:v>17</x:v>
      </x:c>
      <x:c r="H1108" t="n">
        <x:f>ROUND(F1108*G1108/100,2)</x:f>
        <x:v>27.2</x:v>
      </x:c>
      <x:c r="I1108" t="n">
        <x:v>1.3</x:v>
      </x:c>
      <x:c r="J1108" t="n">
        <x:f>ROUND(F1108*I1108/100,2)</x:f>
        <x:v>2.08</x:v>
      </x:c>
      <x:c r="K1108" t="n">
        <x:v>3</x:v>
      </x:c>
      <x:c r="L1108" t="n">
        <x:f>ROUND(F1108*K1108/100,2)</x:f>
        <x:v>4.8</x:v>
      </x:c>
      <x:c r="M1108" t="n">
        <x:v>0.2</x:v>
      </x:c>
      <x:c r="N1108" t="n">
        <x:f>ROUND(F1108*M1108/100,2)</x:f>
        <x:v>0.32</x:v>
      </x:c>
      <x:c r="O1108" t="str">
        <x:v>生重</x:v>
      </x:c>
    </x:row>
    <x:row r="1109" ht="23" customHeight="1">
      <x:c r="A1109" t="n">
        <x:v>185</x:v>
      </x:c>
      <x:c r="B1109" t="n">
        <x:v>93</x:v>
      </x:c>
      <x:c r="C1109" t="str">
        <x:v>午餐</x:v>
      </x:c>
      <x:c r="D1109" t="str">
        <x:v>菌菇</x:v>
      </x:c>
      <x:c r="E1109" t="str">
        <x:v>香菇</x:v>
      </x:c>
      <x:c r="F1109" t="n">
        <x:v>125</x:v>
      </x:c>
      <x:c r="G1109" t="n">
        <x:v>34</x:v>
      </x:c>
      <x:c r="H1109" t="n">
        <x:f>ROUND(F1109*G1109/100,2)</x:f>
        <x:v>42.5</x:v>
      </x:c>
      <x:c r="I1109" t="n">
        <x:v>2.2</x:v>
      </x:c>
      <x:c r="J1109" t="n">
        <x:f>ROUND(F1109*I1109/100,2)</x:f>
        <x:v>2.75</x:v>
      </x:c>
      <x:c r="K1109" t="n">
        <x:v>6.8</x:v>
      </x:c>
      <x:c r="L1109" t="n">
        <x:f>ROUND(F1109*K1109/100,2)</x:f>
        <x:v>8.5</x:v>
      </x:c>
      <x:c r="M1109" t="n">
        <x:v>0.5</x:v>
      </x:c>
      <x:c r="N1109" t="n">
        <x:f>ROUND(F1109*M1109/100,2)</x:f>
        <x:v>0.63</x:v>
      </x:c>
      <x:c r="O1109" t="str">
        <x:v>生重</x:v>
      </x:c>
    </x:row>
    <x:row r="1110" ht="23" customHeight="1">
      <x:c r="A1110" t="n">
        <x:v>185</x:v>
      </x:c>
      <x:c r="B1110" t="n">
        <x:v>93</x:v>
      </x:c>
      <x:c r="C1110" t="str">
        <x:v>午餐</x:v>
      </x:c>
      <x:c r="D1110" t="str">
        <x:v>主食</x:v>
      </x:c>
      <x:c r="E1110" t="str">
        <x:v>山药</x:v>
      </x:c>
      <x:c r="F1110" t="n">
        <x:v>165</x:v>
      </x:c>
      <x:c r="G1110" t="n">
        <x:v>62</x:v>
      </x:c>
      <x:c r="H1110" t="n">
        <x:f>ROUND(F1110*G1110/100,2)</x:f>
        <x:v>102.3</x:v>
      </x:c>
      <x:c r="I1110" t="n">
        <x:v>1.5</x:v>
      </x:c>
      <x:c r="J1110" t="n">
        <x:f>ROUND(F1110*I1110/100,2)</x:f>
        <x:v>2.48</x:v>
      </x:c>
      <x:c r="K1110" t="n">
        <x:v>14.1</x:v>
      </x:c>
      <x:c r="L1110" t="n">
        <x:f>ROUND(F1110*K1110/100,2)</x:f>
        <x:v>23.27</x:v>
      </x:c>
      <x:c r="M1110" t="n">
        <x:v>0.1</x:v>
      </x:c>
      <x:c r="N1110" t="n">
        <x:f>ROUND(F1110*M1110/100,2)</x:f>
        <x:v>0.17</x:v>
      </x:c>
      <x:c r="O1110" t="str">
        <x:v>蒸熟净重</x:v>
      </x:c>
    </x:row>
    <x:row r="1111" ht="23" customHeight="1">
      <x:c r="A1111" t="n">
        <x:v>185</x:v>
      </x:c>
      <x:c r="B1111" t="n">
        <x:v>93</x:v>
      </x:c>
      <x:c r="C1111" t="str">
        <x:v>午餐</x:v>
      </x:c>
      <x:c r="D1111" t="str">
        <x:v>油脂</x:v>
      </x:c>
      <x:c r="E1111" t="str">
        <x:v>烹调油</x:v>
      </x:c>
      <x:c r="F1111" t="n">
        <x:v>3</x:v>
      </x:c>
      <x:c r="G1111" t="n">
        <x:v>900</x:v>
      </x:c>
      <x:c r="H1111" t="n">
        <x:f>ROUND(F1111*G1111/100,2)</x:f>
        <x:v>27</x:v>
      </x:c>
      <x:c r="I1111" t="n">
        <x:v>0</x:v>
      </x:c>
      <x:c r="J1111" t="n">
        <x:f>ROUND(F1111*I1111/100,2)</x:f>
        <x:v>0</x:v>
      </x:c>
      <x:c r="K1111" t="n">
        <x:v>0</x:v>
      </x:c>
      <x:c r="L1111" t="n">
        <x:f>ROUND(F1111*K1111/100,2)</x:f>
        <x:v>0</x:v>
      </x:c>
      <x:c r="M1111" t="n">
        <x:v>100</x:v>
      </x:c>
      <x:c r="N1111" t="n">
        <x:f>ROUND(F1111*M1111/100,2)</x:f>
        <x:v>3</x:v>
      </x:c>
      <x:c r="O1111" t="str">
        <x:v>实际用油重</x:v>
      </x:c>
    </x:row>
    <x:row r="1112" ht="23" customHeight="1">
      <x:c r="A1112" t="n">
        <x:v>186</x:v>
      </x:c>
      <x:c r="B1112" t="n">
        <x:v>93</x:v>
      </x:c>
      <x:c r="C1112" t="str">
        <x:v>晚餐</x:v>
      </x:c>
      <x:c r="D1112" t="str">
        <x:v>豆蛋</x:v>
      </x:c>
      <x:c r="E1112" t="str">
        <x:v>鸡蛋</x:v>
      </x:c>
      <x:c r="F1112" t="n">
        <x:v>100</x:v>
      </x:c>
      <x:c r="G1112" t="n">
        <x:v>144</x:v>
      </x:c>
      <x:c r="H1112" t="n">
        <x:f>ROUND(F1112*G1112/100,2)</x:f>
        <x:v>144</x:v>
      </x:c>
      <x:c r="I1112" t="n">
        <x:v>13</x:v>
      </x:c>
      <x:c r="J1112" t="n">
        <x:f>ROUND(F1112*I1112/100,2)</x:f>
        <x:v>13</x:v>
      </x:c>
      <x:c r="K1112" t="n">
        <x:v>1.1</x:v>
      </x:c>
      <x:c r="L1112" t="n">
        <x:f>ROUND(F1112*K1112/100,2)</x:f>
        <x:v>1.1</x:v>
      </x:c>
      <x:c r="M1112" t="n">
        <x:v>10</x:v>
      </x:c>
      <x:c r="N1112" t="n">
        <x:f>ROUND(F1112*M1112/100,2)</x:f>
        <x:v>10</x:v>
      </x:c>
      <x:c r="O1112" t="str">
        <x:v>去壳可食重</x:v>
      </x:c>
    </x:row>
    <x:row r="1113" ht="23" customHeight="1">
      <x:c r="A1113" t="n">
        <x:v>186</x:v>
      </x:c>
      <x:c r="B1113" t="n">
        <x:v>93</x:v>
      </x:c>
      <x:c r="C1113" t="str">
        <x:v>晚餐</x:v>
      </x:c>
      <x:c r="D1113" t="str">
        <x:v>豆蛋</x:v>
      </x:c>
      <x:c r="E1113" t="str">
        <x:v>北豆腐</x:v>
      </x:c>
      <x:c r="F1113" t="n">
        <x:v>110</x:v>
      </x:c>
      <x:c r="G1113" t="n">
        <x:v>90</x:v>
      </x:c>
      <x:c r="H1113" t="n">
        <x:f>ROUND(F1113*G1113/100,2)</x:f>
        <x:v>99</x:v>
      </x:c>
      <x:c r="I1113" t="n">
        <x:v>10</x:v>
      </x:c>
      <x:c r="J1113" t="n">
        <x:f>ROUND(F1113*I1113/100,2)</x:f>
        <x:v>11</x:v>
      </x:c>
      <x:c r="K1113" t="n">
        <x:v>2</x:v>
      </x:c>
      <x:c r="L1113" t="n">
        <x:f>ROUND(F1113*K1113/100,2)</x:f>
        <x:v>2.2</x:v>
      </x:c>
      <x:c r="M1113" t="n">
        <x:v>5</x:v>
      </x:c>
      <x:c r="N1113" t="n">
        <x:f>ROUND(F1113*M1113/100,2)</x:f>
        <x:v>5.5</x:v>
      </x:c>
      <x:c r="O1113" t="str">
        <x:v>净重</x:v>
      </x:c>
    </x:row>
    <x:row r="1114" ht="23" customHeight="1">
      <x:c r="A1114" t="n">
        <x:v>186</x:v>
      </x:c>
      <x:c r="B1114" t="n">
        <x:v>93</x:v>
      </x:c>
      <x:c r="C1114" t="str">
        <x:v>晚餐</x:v>
      </x:c>
      <x:c r="D1114" t="str">
        <x:v>蔬菜</x:v>
      </x:c>
      <x:c r="E1114" t="str">
        <x:v>小白菜</x:v>
      </x:c>
      <x:c r="F1114" t="n">
        <x:v>175</x:v>
      </x:c>
      <x:c r="G1114" t="n">
        <x:v>17</x:v>
      </x:c>
      <x:c r="H1114" t="n">
        <x:f>ROUND(F1114*G1114/100,2)</x:f>
        <x:v>29.75</x:v>
      </x:c>
      <x:c r="I1114" t="n">
        <x:v>1.6</x:v>
      </x:c>
      <x:c r="J1114" t="n">
        <x:f>ROUND(F1114*I1114/100,2)</x:f>
        <x:v>2.8</x:v>
      </x:c>
      <x:c r="K1114" t="n">
        <x:v>2.8</x:v>
      </x:c>
      <x:c r="L1114" t="n">
        <x:f>ROUND(F1114*K1114/100,2)</x:f>
        <x:v>4.9</x:v>
      </x:c>
      <x:c r="M1114" t="n">
        <x:v>0.2</x:v>
      </x:c>
      <x:c r="N1114" t="n">
        <x:f>ROUND(F1114*M1114/100,2)</x:f>
        <x:v>0.35</x:v>
      </x:c>
      <x:c r="O1114" t="str">
        <x:v>生重</x:v>
      </x:c>
    </x:row>
    <x:row r="1115" ht="23" customHeight="1">
      <x:c r="A1115" t="n">
        <x:v>186</x:v>
      </x:c>
      <x:c r="B1115" t="n">
        <x:v>93</x:v>
      </x:c>
      <x:c r="C1115" t="str">
        <x:v>晚餐</x:v>
      </x:c>
      <x:c r="D1115" t="str">
        <x:v>蔬菜</x:v>
      </x:c>
      <x:c r="E1115" t="str">
        <x:v>洋葱</x:v>
      </x:c>
      <x:c r="F1115" t="n">
        <x:v>125</x:v>
      </x:c>
      <x:c r="G1115" t="n">
        <x:v>40</x:v>
      </x:c>
      <x:c r="H1115" t="n">
        <x:f>ROUND(F1115*G1115/100,2)</x:f>
        <x:v>50</x:v>
      </x:c>
      <x:c r="I1115" t="n">
        <x:v>1.1</x:v>
      </x:c>
      <x:c r="J1115" t="n">
        <x:f>ROUND(F1115*I1115/100,2)</x:f>
        <x:v>1.38</x:v>
      </x:c>
      <x:c r="K1115" t="n">
        <x:v>9.3</x:v>
      </x:c>
      <x:c r="L1115" t="n">
        <x:f>ROUND(F1115*K1115/100,2)</x:f>
        <x:v>11.63</x:v>
      </x:c>
      <x:c r="M1115" t="n">
        <x:v>0.1</x:v>
      </x:c>
      <x:c r="N1115" t="n">
        <x:f>ROUND(F1115*M1115/100,2)</x:f>
        <x:v>0.13</x:v>
      </x:c>
      <x:c r="O1115" t="str">
        <x:v>生重</x:v>
      </x:c>
    </x:row>
    <x:row r="1116" ht="23" customHeight="1">
      <x:c r="A1116" t="n">
        <x:v>186</x:v>
      </x:c>
      <x:c r="B1116" t="n">
        <x:v>93</x:v>
      </x:c>
      <x:c r="C1116" t="str">
        <x:v>晚餐</x:v>
      </x:c>
      <x:c r="D1116" t="str">
        <x:v>主食</x:v>
      </x:c>
      <x:c r="E1116" t="str">
        <x:v>山药</x:v>
      </x:c>
      <x:c r="F1116" t="n">
        <x:v>135</x:v>
      </x:c>
      <x:c r="G1116" t="n">
        <x:v>62</x:v>
      </x:c>
      <x:c r="H1116" t="n">
        <x:f>ROUND(F1116*G1116/100,2)</x:f>
        <x:v>83.7</x:v>
      </x:c>
      <x:c r="I1116" t="n">
        <x:v>1.5</x:v>
      </x:c>
      <x:c r="J1116" t="n">
        <x:f>ROUND(F1116*I1116/100,2)</x:f>
        <x:v>2.03</x:v>
      </x:c>
      <x:c r="K1116" t="n">
        <x:v>14.1</x:v>
      </x:c>
      <x:c r="L1116" t="n">
        <x:f>ROUND(F1116*K1116/100,2)</x:f>
        <x:v>19.04</x:v>
      </x:c>
      <x:c r="M1116" t="n">
        <x:v>0.1</x:v>
      </x:c>
      <x:c r="N1116" t="n">
        <x:f>ROUND(F1116*M1116/100,2)</x:f>
        <x:v>0.14</x:v>
      </x:c>
      <x:c r="O1116" t="str">
        <x:v>蒸熟净重</x:v>
      </x:c>
    </x:row>
    <x:row r="1117" ht="23" customHeight="1">
      <x:c r="A1117" t="n">
        <x:v>186</x:v>
      </x:c>
      <x:c r="B1117" t="n">
        <x:v>93</x:v>
      </x:c>
      <x:c r="C1117" t="str">
        <x:v>晚餐</x:v>
      </x:c>
      <x:c r="D1117" t="str">
        <x:v>油脂</x:v>
      </x:c>
      <x:c r="E1117" t="str">
        <x:v>烹调油</x:v>
      </x:c>
      <x:c r="F1117" t="n">
        <x:v>4</x:v>
      </x:c>
      <x:c r="G1117" t="n">
        <x:v>900</x:v>
      </x:c>
      <x:c r="H1117" t="n">
        <x:f>ROUND(F1117*G1117/100,2)</x:f>
        <x:v>36</x:v>
      </x:c>
      <x:c r="I1117" t="n">
        <x:v>0</x:v>
      </x:c>
      <x:c r="J1117" t="n">
        <x:f>ROUND(F1117*I1117/100,2)</x:f>
        <x:v>0</x:v>
      </x:c>
      <x:c r="K1117" t="n">
        <x:v>0</x:v>
      </x:c>
      <x:c r="L1117" t="n">
        <x:f>ROUND(F1117*K1117/100,2)</x:f>
        <x:v>0</x:v>
      </x:c>
      <x:c r="M1117" t="n">
        <x:v>100</x:v>
      </x:c>
      <x:c r="N1117" t="n">
        <x:f>ROUND(F1117*M1117/100,2)</x:f>
        <x:v>4</x:v>
      </x:c>
      <x:c r="O1117" t="str">
        <x:v>实际用油重</x:v>
      </x:c>
    </x:row>
    <x:row r="1118" ht="23" customHeight="1">
      <x:c r="A1118" t="n">
        <x:v>187</x:v>
      </x:c>
      <x:c r="B1118" t="n">
        <x:v>94</x:v>
      </x:c>
      <x:c r="C1118" t="str">
        <x:v>午餐</x:v>
      </x:c>
      <x:c r="D1118" t="str">
        <x:v>鱼类</x:v>
      </x:c>
      <x:c r="E1118" t="str">
        <x:v>三文鱼</x:v>
      </x:c>
      <x:c r="F1118" t="n">
        <x:v>145</x:v>
      </x:c>
      <x:c r="G1118" t="n">
        <x:v>205</x:v>
      </x:c>
      <x:c r="H1118" t="n">
        <x:f>ROUND(F1118*G1118/100,2)</x:f>
        <x:v>297.25</x:v>
      </x:c>
      <x:c r="I1118" t="n">
        <x:v>20</x:v>
      </x:c>
      <x:c r="J1118" t="n">
        <x:f>ROUND(F1118*I1118/100,2)</x:f>
        <x:v>29</x:v>
      </x:c>
      <x:c r="K1118" t="n">
        <x:v>0</x:v>
      </x:c>
      <x:c r="L1118" t="n">
        <x:f>ROUND(F1118*K1118/100,2)</x:f>
        <x:v>0</x:v>
      </x:c>
      <x:c r="M1118" t="n">
        <x:v>13</x:v>
      </x:c>
      <x:c r="N1118" t="n">
        <x:f>ROUND(F1118*M1118/100,2)</x:f>
        <x:v>18.85</x:v>
      </x:c>
      <x:c r="O1118" t="str">
        <x:v>净鱼肉生重</x:v>
      </x:c>
    </x:row>
    <x:row r="1119" ht="23" customHeight="1">
      <x:c r="A1119" t="n">
        <x:v>187</x:v>
      </x:c>
      <x:c r="B1119" t="n">
        <x:v>94</x:v>
      </x:c>
      <x:c r="C1119" t="str">
        <x:v>午餐</x:v>
      </x:c>
      <x:c r="D1119" t="str"/>
      <x:c r="E1119" t="str"/>
      <x:c r="F1119" t="n">
        <x:v>0</x:v>
      </x:c>
      <x:c r="G1119" t="n">
        <x:v>0</x:v>
      </x:c>
      <x:c r="H1119" t="n">
        <x:f>ROUND(F1119*G1119/100,2)</x:f>
        <x:v>0</x:v>
      </x:c>
      <x:c r="I1119" t="n">
        <x:v>0</x:v>
      </x:c>
      <x:c r="J1119" t="n">
        <x:f>ROUND(F1119*I1119/100,2)</x:f>
        <x:v>0</x:v>
      </x:c>
      <x:c r="K1119" t="n">
        <x:v>0</x:v>
      </x:c>
      <x:c r="L1119" t="n">
        <x:f>ROUND(F1119*K1119/100,2)</x:f>
        <x:v>0</x:v>
      </x:c>
      <x:c r="M1119" t="n">
        <x:v>0</x:v>
      </x:c>
      <x:c r="N1119" t="n">
        <x:f>ROUND(F1119*M1119/100,2)</x:f>
        <x:v>0</x:v>
      </x:c>
      <x:c r="O1119" t="str"/>
    </x:row>
    <x:row r="1120" ht="23" customHeight="1">
      <x:c r="A1120" t="n">
        <x:v>187</x:v>
      </x:c>
      <x:c r="B1120" t="n">
        <x:v>94</x:v>
      </x:c>
      <x:c r="C1120" t="str">
        <x:v>午餐</x:v>
      </x:c>
      <x:c r="D1120" t="str">
        <x:v>蔬菜</x:v>
      </x:c>
      <x:c r="E1120" t="str">
        <x:v>娃娃菜</x:v>
      </x:c>
      <x:c r="F1120" t="n">
        <x:v>175</x:v>
      </x:c>
      <x:c r="G1120" t="n">
        <x:v>17</x:v>
      </x:c>
      <x:c r="H1120" t="n">
        <x:f>ROUND(F1120*G1120/100,2)</x:f>
        <x:v>29.75</x:v>
      </x:c>
      <x:c r="I1120" t="n">
        <x:v>1.3</x:v>
      </x:c>
      <x:c r="J1120" t="n">
        <x:f>ROUND(F1120*I1120/100,2)</x:f>
        <x:v>2.28</x:v>
      </x:c>
      <x:c r="K1120" t="n">
        <x:v>3</x:v>
      </x:c>
      <x:c r="L1120" t="n">
        <x:f>ROUND(F1120*K1120/100,2)</x:f>
        <x:v>5.25</x:v>
      </x:c>
      <x:c r="M1120" t="n">
        <x:v>0.2</x:v>
      </x:c>
      <x:c r="N1120" t="n">
        <x:f>ROUND(F1120*M1120/100,2)</x:f>
        <x:v>0.35</x:v>
      </x:c>
      <x:c r="O1120" t="str">
        <x:v>生重</x:v>
      </x:c>
    </x:row>
    <x:row r="1121" ht="23" customHeight="1">
      <x:c r="A1121" t="n">
        <x:v>187</x:v>
      </x:c>
      <x:c r="B1121" t="n">
        <x:v>94</x:v>
      </x:c>
      <x:c r="C1121" t="str">
        <x:v>午餐</x:v>
      </x:c>
      <x:c r="D1121" t="str">
        <x:v>蔬菜</x:v>
      </x:c>
      <x:c r="E1121" t="str">
        <x:v>花菜</x:v>
      </x:c>
      <x:c r="F1121" t="n">
        <x:v>125</x:v>
      </x:c>
      <x:c r="G1121" t="n">
        <x:v>25</x:v>
      </x:c>
      <x:c r="H1121" t="n">
        <x:f>ROUND(F1121*G1121/100,2)</x:f>
        <x:v>31.25</x:v>
      </x:c>
      <x:c r="I1121" t="n">
        <x:v>2</x:v>
      </x:c>
      <x:c r="J1121" t="n">
        <x:f>ROUND(F1121*I1121/100,2)</x:f>
        <x:v>2.5</x:v>
      </x:c>
      <x:c r="K1121" t="n">
        <x:v>5</x:v>
      </x:c>
      <x:c r="L1121" t="n">
        <x:f>ROUND(F1121*K1121/100,2)</x:f>
        <x:v>6.25</x:v>
      </x:c>
      <x:c r="M1121" t="n">
        <x:v>0.3</x:v>
      </x:c>
      <x:c r="N1121" t="n">
        <x:f>ROUND(F1121*M1121/100,2)</x:f>
        <x:v>0.38</x:v>
      </x:c>
      <x:c r="O1121" t="str">
        <x:v>生重</x:v>
      </x:c>
    </x:row>
    <x:row r="1122" ht="23" customHeight="1">
      <x:c r="A1122" t="n">
        <x:v>187</x:v>
      </x:c>
      <x:c r="B1122" t="n">
        <x:v>94</x:v>
      </x:c>
      <x:c r="C1122" t="str">
        <x:v>午餐</x:v>
      </x:c>
      <x:c r="D1122" t="str">
        <x:v>主食</x:v>
      </x:c>
      <x:c r="E1122" t="str">
        <x:v>荞麦面</x:v>
      </x:c>
      <x:c r="F1122" t="n">
        <x:v>110</x:v>
      </x:c>
      <x:c r="G1122" t="n">
        <x:v>105</x:v>
      </x:c>
      <x:c r="H1122" t="n">
        <x:f>ROUND(F1122*G1122/100,2)</x:f>
        <x:v>115.5</x:v>
      </x:c>
      <x:c r="I1122" t="n">
        <x:v>4</x:v>
      </x:c>
      <x:c r="J1122" t="n">
        <x:f>ROUND(F1122*I1122/100,2)</x:f>
        <x:v>4.4</x:v>
      </x:c>
      <x:c r="K1122" t="n">
        <x:v>21</x:v>
      </x:c>
      <x:c r="L1122" t="n">
        <x:f>ROUND(F1122*K1122/100,2)</x:f>
        <x:v>23.1</x:v>
      </x:c>
      <x:c r="M1122" t="n">
        <x:v>0.7</x:v>
      </x:c>
      <x:c r="N1122" t="n">
        <x:f>ROUND(F1122*M1122/100,2)</x:f>
        <x:v>0.77</x:v>
      </x:c>
      <x:c r="O1122" t="str">
        <x:v>煮熟沥水重</x:v>
      </x:c>
    </x:row>
    <x:row r="1123" ht="23" customHeight="1">
      <x:c r="A1123" t="n">
        <x:v>187</x:v>
      </x:c>
      <x:c r="B1123" t="n">
        <x:v>94</x:v>
      </x:c>
      <x:c r="C1123" t="str">
        <x:v>午餐</x:v>
      </x:c>
      <x:c r="D1123" t="str">
        <x:v>油脂</x:v>
      </x:c>
      <x:c r="E1123" t="str">
        <x:v>烹调油</x:v>
      </x:c>
      <x:c r="F1123" t="n">
        <x:v>4</x:v>
      </x:c>
      <x:c r="G1123" t="n">
        <x:v>900</x:v>
      </x:c>
      <x:c r="H1123" t="n">
        <x:f>ROUND(F1123*G1123/100,2)</x:f>
        <x:v>36</x:v>
      </x:c>
      <x:c r="I1123" t="n">
        <x:v>0</x:v>
      </x:c>
      <x:c r="J1123" t="n">
        <x:f>ROUND(F1123*I1123/100,2)</x:f>
        <x:v>0</x:v>
      </x:c>
      <x:c r="K1123" t="n">
        <x:v>0</x:v>
      </x:c>
      <x:c r="L1123" t="n">
        <x:f>ROUND(F1123*K1123/100,2)</x:f>
        <x:v>0</x:v>
      </x:c>
      <x:c r="M1123" t="n">
        <x:v>100</x:v>
      </x:c>
      <x:c r="N1123" t="n">
        <x:f>ROUND(F1123*M1123/100,2)</x:f>
        <x:v>4</x:v>
      </x:c>
      <x:c r="O1123" t="str">
        <x:v>实际用油重</x:v>
      </x:c>
    </x:row>
    <x:row r="1124" ht="23" customHeight="1">
      <x:c r="A1124" t="n">
        <x:v>188</x:v>
      </x:c>
      <x:c r="B1124" t="n">
        <x:v>94</x:v>
      </x:c>
      <x:c r="C1124" t="str">
        <x:v>晚餐</x:v>
      </x:c>
      <x:c r="D1124" t="str">
        <x:v>牛肉</x:v>
      </x:c>
      <x:c r="E1124" t="str">
        <x:v>牛里脊</x:v>
      </x:c>
      <x:c r="F1124" t="n">
        <x:v>145</x:v>
      </x:c>
      <x:c r="G1124" t="n">
        <x:v>130</x:v>
      </x:c>
      <x:c r="H1124" t="n">
        <x:f>ROUND(F1124*G1124/100,2)</x:f>
        <x:v>188.5</x:v>
      </x:c>
      <x:c r="I1124" t="n">
        <x:v>21</x:v>
      </x:c>
      <x:c r="J1124" t="n">
        <x:f>ROUND(F1124*I1124/100,2)</x:f>
        <x:v>30.45</x:v>
      </x:c>
      <x:c r="K1124" t="n">
        <x:v>0</x:v>
      </x:c>
      <x:c r="L1124" t="n">
        <x:f>ROUND(F1124*K1124/100,2)</x:f>
        <x:v>0</x:v>
      </x:c>
      <x:c r="M1124" t="n">
        <x:v>4.8</x:v>
      </x:c>
      <x:c r="N1124" t="n">
        <x:f>ROUND(F1124*M1124/100,2)</x:f>
        <x:v>6.96</x:v>
      </x:c>
      <x:c r="O1124" t="str">
        <x:v>生重</x:v>
      </x:c>
    </x:row>
    <x:row r="1125" ht="23" customHeight="1">
      <x:c r="A1125" t="n">
        <x:v>188</x:v>
      </x:c>
      <x:c r="B1125" t="n">
        <x:v>94</x:v>
      </x:c>
      <x:c r="C1125" t="str">
        <x:v>晚餐</x:v>
      </x:c>
      <x:c r="D1125" t="str"/>
      <x:c r="E1125" t="str"/>
      <x:c r="F1125" t="n">
        <x:v>0</x:v>
      </x:c>
      <x:c r="G1125" t="n">
        <x:v>0</x:v>
      </x:c>
      <x:c r="H1125" t="n">
        <x:f>ROUND(F1125*G1125/100,2)</x:f>
        <x:v>0</x:v>
      </x:c>
      <x:c r="I1125" t="n">
        <x:v>0</x:v>
      </x:c>
      <x:c r="J1125" t="n">
        <x:f>ROUND(F1125*I1125/100,2)</x:f>
        <x:v>0</x:v>
      </x:c>
      <x:c r="K1125" t="n">
        <x:v>0</x:v>
      </x:c>
      <x:c r="L1125" t="n">
        <x:f>ROUND(F1125*K1125/100,2)</x:f>
        <x:v>0</x:v>
      </x:c>
      <x:c r="M1125" t="n">
        <x:v>0</x:v>
      </x:c>
      <x:c r="N1125" t="n">
        <x:f>ROUND(F1125*M1125/100,2)</x:f>
        <x:v>0</x:v>
      </x:c>
      <x:c r="O1125" t="str"/>
    </x:row>
    <x:row r="1126" ht="23" customHeight="1">
      <x:c r="A1126" t="n">
        <x:v>188</x:v>
      </x:c>
      <x:c r="B1126" t="n">
        <x:v>94</x:v>
      </x:c>
      <x:c r="C1126" t="str">
        <x:v>晚餐</x:v>
      </x:c>
      <x:c r="D1126" t="str">
        <x:v>蔬菜</x:v>
      </x:c>
      <x:c r="E1126" t="str">
        <x:v>芦笋</x:v>
      </x:c>
      <x:c r="F1126" t="n">
        <x:v>190</x:v>
      </x:c>
      <x:c r="G1126" t="n">
        <x:v>20</x:v>
      </x:c>
      <x:c r="H1126" t="n">
        <x:f>ROUND(F1126*G1126/100,2)</x:f>
        <x:v>38</x:v>
      </x:c>
      <x:c r="I1126" t="n">
        <x:v>2.2</x:v>
      </x:c>
      <x:c r="J1126" t="n">
        <x:f>ROUND(F1126*I1126/100,2)</x:f>
        <x:v>4.18</x:v>
      </x:c>
      <x:c r="K1126" t="n">
        <x:v>3.9</x:v>
      </x:c>
      <x:c r="L1126" t="n">
        <x:f>ROUND(F1126*K1126/100,2)</x:f>
        <x:v>7.41</x:v>
      </x:c>
      <x:c r="M1126" t="n">
        <x:v>0.1</x:v>
      </x:c>
      <x:c r="N1126" t="n">
        <x:f>ROUND(F1126*M1126/100,2)</x:f>
        <x:v>0.19</x:v>
      </x:c>
      <x:c r="O1126" t="str">
        <x:v>生重</x:v>
      </x:c>
    </x:row>
    <x:row r="1127" ht="23" customHeight="1">
      <x:c r="A1127" t="n">
        <x:v>188</x:v>
      </x:c>
      <x:c r="B1127" t="n">
        <x:v>94</x:v>
      </x:c>
      <x:c r="C1127" t="str">
        <x:v>晚餐</x:v>
      </x:c>
      <x:c r="D1127" t="str">
        <x:v>蔬菜</x:v>
      </x:c>
      <x:c r="E1127" t="str">
        <x:v>番茄</x:v>
      </x:c>
      <x:c r="F1127" t="n">
        <x:v>110</x:v>
      </x:c>
      <x:c r="G1127" t="n">
        <x:v>20</x:v>
      </x:c>
      <x:c r="H1127" t="n">
        <x:f>ROUND(F1127*G1127/100,2)</x:f>
        <x:v>22</x:v>
      </x:c>
      <x:c r="I1127" t="n">
        <x:v>0.9</x:v>
      </x:c>
      <x:c r="J1127" t="n">
        <x:f>ROUND(F1127*I1127/100,2)</x:f>
        <x:v>0.99</x:v>
      </x:c>
      <x:c r="K1127" t="n">
        <x:v>4</x:v>
      </x:c>
      <x:c r="L1127" t="n">
        <x:f>ROUND(F1127*K1127/100,2)</x:f>
        <x:v>4.4</x:v>
      </x:c>
      <x:c r="M1127" t="n">
        <x:v>0.2</x:v>
      </x:c>
      <x:c r="N1127" t="n">
        <x:f>ROUND(F1127*M1127/100,2)</x:f>
        <x:v>0.22</x:v>
      </x:c>
      <x:c r="O1127" t="str">
        <x:v>生重</x:v>
      </x:c>
    </x:row>
    <x:row r="1128" ht="23" customHeight="1">
      <x:c r="A1128" t="n">
        <x:v>188</x:v>
      </x:c>
      <x:c r="B1128" t="n">
        <x:v>94</x:v>
      </x:c>
      <x:c r="C1128" t="str">
        <x:v>晚餐</x:v>
      </x:c>
      <x:c r="D1128" t="str">
        <x:v>主食</x:v>
      </x:c>
      <x:c r="E1128" t="str">
        <x:v>白米饭</x:v>
      </x:c>
      <x:c r="F1128" t="n">
        <x:v>110</x:v>
      </x:c>
      <x:c r="G1128" t="n">
        <x:v>116</x:v>
      </x:c>
      <x:c r="H1128" t="n">
        <x:f>ROUND(F1128*G1128/100,2)</x:f>
        <x:v>127.6</x:v>
      </x:c>
      <x:c r="I1128" t="n">
        <x:v>2.6</x:v>
      </x:c>
      <x:c r="J1128" t="n">
        <x:f>ROUND(F1128*I1128/100,2)</x:f>
        <x:v>2.86</x:v>
      </x:c>
      <x:c r="K1128" t="n">
        <x:v>25.6</x:v>
      </x:c>
      <x:c r="L1128" t="n">
        <x:f>ROUND(F1128*K1128/100,2)</x:f>
        <x:v>28.16</x:v>
      </x:c>
      <x:c r="M1128" t="n">
        <x:v>0.3</x:v>
      </x:c>
      <x:c r="N1128" t="n">
        <x:f>ROUND(F1128*M1128/100,2)</x:f>
        <x:v>0.33</x:v>
      </x:c>
      <x:c r="O1128" t="str">
        <x:v>熟重</x:v>
      </x:c>
    </x:row>
    <x:row r="1129" ht="23" customHeight="1">
      <x:c r="A1129" t="n">
        <x:v>188</x:v>
      </x:c>
      <x:c r="B1129" t="n">
        <x:v>94</x:v>
      </x:c>
      <x:c r="C1129" t="str">
        <x:v>晚餐</x:v>
      </x:c>
      <x:c r="D1129" t="str">
        <x:v>油脂</x:v>
      </x:c>
      <x:c r="E1129" t="str">
        <x:v>烹调油</x:v>
      </x:c>
      <x:c r="F1129" t="n">
        <x:v>3</x:v>
      </x:c>
      <x:c r="G1129" t="n">
        <x:v>900</x:v>
      </x:c>
      <x:c r="H1129" t="n">
        <x:f>ROUND(F1129*G1129/100,2)</x:f>
        <x:v>27</x:v>
      </x:c>
      <x:c r="I1129" t="n">
        <x:v>0</x:v>
      </x:c>
      <x:c r="J1129" t="n">
        <x:f>ROUND(F1129*I1129/100,2)</x:f>
        <x:v>0</x:v>
      </x:c>
      <x:c r="K1129" t="n">
        <x:v>0</x:v>
      </x:c>
      <x:c r="L1129" t="n">
        <x:f>ROUND(F1129*K1129/100,2)</x:f>
        <x:v>0</x:v>
      </x:c>
      <x:c r="M1129" t="n">
        <x:v>100</x:v>
      </x:c>
      <x:c r="N1129" t="n">
        <x:f>ROUND(F1129*M1129/100,2)</x:f>
        <x:v>3</x:v>
      </x:c>
      <x:c r="O1129" t="str">
        <x:v>实际用油重</x:v>
      </x:c>
    </x:row>
    <x:row r="1130" ht="23" customHeight="1">
      <x:c r="A1130" t="n">
        <x:v>189</x:v>
      </x:c>
      <x:c r="B1130" t="n">
        <x:v>95</x:v>
      </x:c>
      <x:c r="C1130" t="str">
        <x:v>午餐</x:v>
      </x:c>
      <x:c r="D1130" t="str">
        <x:v>海鲜</x:v>
      </x:c>
      <x:c r="E1130" t="str">
        <x:v>鱿鱼</x:v>
      </x:c>
      <x:c r="F1130" t="n">
        <x:v>175</x:v>
      </x:c>
      <x:c r="G1130" t="n">
        <x:v>95</x:v>
      </x:c>
      <x:c r="H1130" t="n">
        <x:f>ROUND(F1130*G1130/100,2)</x:f>
        <x:v>166.25</x:v>
      </x:c>
      <x:c r="I1130" t="n">
        <x:v>17</x:v>
      </x:c>
      <x:c r="J1130" t="n">
        <x:f>ROUND(F1130*I1130/100,2)</x:f>
        <x:v>29.75</x:v>
      </x:c>
      <x:c r="K1130" t="n">
        <x:v>2</x:v>
      </x:c>
      <x:c r="L1130" t="n">
        <x:f>ROUND(F1130*K1130/100,2)</x:f>
        <x:v>3.5</x:v>
      </x:c>
      <x:c r="M1130" t="n">
        <x:v>1.4</x:v>
      </x:c>
      <x:c r="N1130" t="n">
        <x:f>ROUND(F1130*M1130/100,2)</x:f>
        <x:v>2.45</x:v>
      </x:c>
      <x:c r="O1130" t="str">
        <x:v>生重</x:v>
      </x:c>
    </x:row>
    <x:row r="1131" ht="23" customHeight="1">
      <x:c r="A1131" t="n">
        <x:v>189</x:v>
      </x:c>
      <x:c r="B1131" t="n">
        <x:v>95</x:v>
      </x:c>
      <x:c r="C1131" t="str">
        <x:v>午餐</x:v>
      </x:c>
      <x:c r="D1131" t="str"/>
      <x:c r="E1131" t="str"/>
      <x:c r="F1131" t="n">
        <x:v>0</x:v>
      </x:c>
      <x:c r="G1131" t="n">
        <x:v>0</x:v>
      </x:c>
      <x:c r="H1131" t="n">
        <x:f>ROUND(F1131*G1131/100,2)</x:f>
        <x:v>0</x:v>
      </x:c>
      <x:c r="I1131" t="n">
        <x:v>0</x:v>
      </x:c>
      <x:c r="J1131" t="n">
        <x:f>ROUND(F1131*I1131/100,2)</x:f>
        <x:v>0</x:v>
      </x:c>
      <x:c r="K1131" t="n">
        <x:v>0</x:v>
      </x:c>
      <x:c r="L1131" t="n">
        <x:f>ROUND(F1131*K1131/100,2)</x:f>
        <x:v>0</x:v>
      </x:c>
      <x:c r="M1131" t="n">
        <x:v>0</x:v>
      </x:c>
      <x:c r="N1131" t="n">
        <x:f>ROUND(F1131*M1131/100,2)</x:f>
        <x:v>0</x:v>
      </x:c>
      <x:c r="O1131" t="str"/>
    </x:row>
    <x:row r="1132" ht="23" customHeight="1">
      <x:c r="A1132" t="n">
        <x:v>189</x:v>
      </x:c>
      <x:c r="B1132" t="n">
        <x:v>95</x:v>
      </x:c>
      <x:c r="C1132" t="str">
        <x:v>午餐</x:v>
      </x:c>
      <x:c r="D1132" t="str">
        <x:v>蔬菜</x:v>
      </x:c>
      <x:c r="E1132" t="str">
        <x:v>番茄</x:v>
      </x:c>
      <x:c r="F1132" t="n">
        <x:v>140</x:v>
      </x:c>
      <x:c r="G1132" t="n">
        <x:v>20</x:v>
      </x:c>
      <x:c r="H1132" t="n">
        <x:f>ROUND(F1132*G1132/100,2)</x:f>
        <x:v>28</x:v>
      </x:c>
      <x:c r="I1132" t="n">
        <x:v>0.9</x:v>
      </x:c>
      <x:c r="J1132" t="n">
        <x:f>ROUND(F1132*I1132/100,2)</x:f>
        <x:v>1.26</x:v>
      </x:c>
      <x:c r="K1132" t="n">
        <x:v>4</x:v>
      </x:c>
      <x:c r="L1132" t="n">
        <x:f>ROUND(F1132*K1132/100,2)</x:f>
        <x:v>5.6</x:v>
      </x:c>
      <x:c r="M1132" t="n">
        <x:v>0.2</x:v>
      </x:c>
      <x:c r="N1132" t="n">
        <x:f>ROUND(F1132*M1132/100,2)</x:f>
        <x:v>0.28</x:v>
      </x:c>
      <x:c r="O1132" t="str">
        <x:v>生重</x:v>
      </x:c>
    </x:row>
    <x:row r="1133" ht="23" customHeight="1">
      <x:c r="A1133" t="n">
        <x:v>189</x:v>
      </x:c>
      <x:c r="B1133" t="n">
        <x:v>95</x:v>
      </x:c>
      <x:c r="C1133" t="str">
        <x:v>午餐</x:v>
      </x:c>
      <x:c r="D1133" t="str">
        <x:v>蔬菜</x:v>
      </x:c>
      <x:c r="E1133" t="str">
        <x:v>黄瓜</x:v>
      </x:c>
      <x:c r="F1133" t="n">
        <x:v>110</x:v>
      </x:c>
      <x:c r="G1133" t="n">
        <x:v>16</x:v>
      </x:c>
      <x:c r="H1133" t="n">
        <x:f>ROUND(F1133*G1133/100,2)</x:f>
        <x:v>17.6</x:v>
      </x:c>
      <x:c r="I1133" t="n">
        <x:v>0.7</x:v>
      </x:c>
      <x:c r="J1133" t="n">
        <x:f>ROUND(F1133*I1133/100,2)</x:f>
        <x:v>0.77</x:v>
      </x:c>
      <x:c r="K1133" t="n">
        <x:v>3.6</x:v>
      </x:c>
      <x:c r="L1133" t="n">
        <x:f>ROUND(F1133*K1133/100,2)</x:f>
        <x:v>3.96</x:v>
      </x:c>
      <x:c r="M1133" t="n">
        <x:v>0.1</x:v>
      </x:c>
      <x:c r="N1133" t="n">
        <x:f>ROUND(F1133*M1133/100,2)</x:f>
        <x:v>0.11</x:v>
      </x:c>
      <x:c r="O1133" t="str">
        <x:v>生重</x:v>
      </x:c>
    </x:row>
    <x:row r="1134" ht="23" customHeight="1">
      <x:c r="A1134" t="n">
        <x:v>189</x:v>
      </x:c>
      <x:c r="B1134" t="n">
        <x:v>95</x:v>
      </x:c>
      <x:c r="C1134" t="str">
        <x:v>午餐</x:v>
      </x:c>
      <x:c r="D1134" t="str">
        <x:v>主食</x:v>
      </x:c>
      <x:c r="E1134" t="str">
        <x:v>糙米饭</x:v>
      </x:c>
      <x:c r="F1134" t="n">
        <x:v>125</x:v>
      </x:c>
      <x:c r="G1134" t="n">
        <x:v>112</x:v>
      </x:c>
      <x:c r="H1134" t="n">
        <x:f>ROUND(F1134*G1134/100,2)</x:f>
        <x:v>140</x:v>
      </x:c>
      <x:c r="I1134" t="n">
        <x:v>2.6</x:v>
      </x:c>
      <x:c r="J1134" t="n">
        <x:f>ROUND(F1134*I1134/100,2)</x:f>
        <x:v>3.25</x:v>
      </x:c>
      <x:c r="K1134" t="n">
        <x:v>23.5</x:v>
      </x:c>
      <x:c r="L1134" t="n">
        <x:f>ROUND(F1134*K1134/100,2)</x:f>
        <x:v>29.38</x:v>
      </x:c>
      <x:c r="M1134" t="n">
        <x:v>0.9</x:v>
      </x:c>
      <x:c r="N1134" t="n">
        <x:f>ROUND(F1134*M1134/100,2)</x:f>
        <x:v>1.13</x:v>
      </x:c>
      <x:c r="O1134" t="str">
        <x:v>熟重</x:v>
      </x:c>
    </x:row>
    <x:row r="1135" ht="23" customHeight="1">
      <x:c r="A1135" t="n">
        <x:v>189</x:v>
      </x:c>
      <x:c r="B1135" t="n">
        <x:v>95</x:v>
      </x:c>
      <x:c r="C1135" t="str">
        <x:v>午餐</x:v>
      </x:c>
      <x:c r="D1135" t="str">
        <x:v>油脂</x:v>
      </x:c>
      <x:c r="E1135" t="str">
        <x:v>烹调油</x:v>
      </x:c>
      <x:c r="F1135" t="n">
        <x:v>5</x:v>
      </x:c>
      <x:c r="G1135" t="n">
        <x:v>900</x:v>
      </x:c>
      <x:c r="H1135" t="n">
        <x:f>ROUND(F1135*G1135/100,2)</x:f>
        <x:v>45</x:v>
      </x:c>
      <x:c r="I1135" t="n">
        <x:v>0</x:v>
      </x:c>
      <x:c r="J1135" t="n">
        <x:f>ROUND(F1135*I1135/100,2)</x:f>
        <x:v>0</x:v>
      </x:c>
      <x:c r="K1135" t="n">
        <x:v>0</x:v>
      </x:c>
      <x:c r="L1135" t="n">
        <x:f>ROUND(F1135*K1135/100,2)</x:f>
        <x:v>0</x:v>
      </x:c>
      <x:c r="M1135" t="n">
        <x:v>100</x:v>
      </x:c>
      <x:c r="N1135" t="n">
        <x:f>ROUND(F1135*M1135/100,2)</x:f>
        <x:v>5</x:v>
      </x:c>
      <x:c r="O1135" t="str">
        <x:v>实际用油重</x:v>
      </x:c>
    </x:row>
    <x:row r="1136" ht="23" customHeight="1">
      <x:c r="A1136" t="n">
        <x:v>190</x:v>
      </x:c>
      <x:c r="B1136" t="n">
        <x:v>95</x:v>
      </x:c>
      <x:c r="C1136" t="str">
        <x:v>晚餐</x:v>
      </x:c>
      <x:c r="D1136" t="str">
        <x:v>禽肉</x:v>
      </x:c>
      <x:c r="E1136" t="str">
        <x:v>鸡里脊肉</x:v>
      </x:c>
      <x:c r="F1136" t="n">
        <x:v>180</x:v>
      </x:c>
      <x:c r="G1136" t="n">
        <x:v>110</x:v>
      </x:c>
      <x:c r="H1136" t="n">
        <x:f>ROUND(F1136*G1136/100,2)</x:f>
        <x:v>198</x:v>
      </x:c>
      <x:c r="I1136" t="n">
        <x:v>23</x:v>
      </x:c>
      <x:c r="J1136" t="n">
        <x:f>ROUND(F1136*I1136/100,2)</x:f>
        <x:v>41.4</x:v>
      </x:c>
      <x:c r="K1136" t="n">
        <x:v>0</x:v>
      </x:c>
      <x:c r="L1136" t="n">
        <x:f>ROUND(F1136*K1136/100,2)</x:f>
        <x:v>0</x:v>
      </x:c>
      <x:c r="M1136" t="n">
        <x:v>1.8</x:v>
      </x:c>
      <x:c r="N1136" t="n">
        <x:f>ROUND(F1136*M1136/100,2)</x:f>
        <x:v>3.24</x:v>
      </x:c>
      <x:c r="O1136" t="str">
        <x:v>生重</x:v>
      </x:c>
    </x:row>
    <x:row r="1137" ht="23" customHeight="1">
      <x:c r="A1137" t="n">
        <x:v>190</x:v>
      </x:c>
      <x:c r="B1137" t="n">
        <x:v>95</x:v>
      </x:c>
      <x:c r="C1137" t="str">
        <x:v>晚餐</x:v>
      </x:c>
      <x:c r="D1137" t="str"/>
      <x:c r="E1137" t="str"/>
      <x:c r="F1137" t="n">
        <x:v>0</x:v>
      </x:c>
      <x:c r="G1137" t="n">
        <x:v>0</x:v>
      </x:c>
      <x:c r="H1137" t="n">
        <x:f>ROUND(F1137*G1137/100,2)</x:f>
        <x:v>0</x:v>
      </x:c>
      <x:c r="I1137" t="n">
        <x:v>0</x:v>
      </x:c>
      <x:c r="J1137" t="n">
        <x:f>ROUND(F1137*I1137/100,2)</x:f>
        <x:v>0</x:v>
      </x:c>
      <x:c r="K1137" t="n">
        <x:v>0</x:v>
      </x:c>
      <x:c r="L1137" t="n">
        <x:f>ROUND(F1137*K1137/100,2)</x:f>
        <x:v>0</x:v>
      </x:c>
      <x:c r="M1137" t="n">
        <x:v>0</x:v>
      </x:c>
      <x:c r="N1137" t="n">
        <x:f>ROUND(F1137*M1137/100,2)</x:f>
        <x:v>0</x:v>
      </x:c>
      <x:c r="O1137" t="str"/>
    </x:row>
    <x:row r="1138" ht="23" customHeight="1">
      <x:c r="A1138" t="n">
        <x:v>190</x:v>
      </x:c>
      <x:c r="B1138" t="n">
        <x:v>95</x:v>
      </x:c>
      <x:c r="C1138" t="str">
        <x:v>晚餐</x:v>
      </x:c>
      <x:c r="D1138" t="str">
        <x:v>蔬菜</x:v>
      </x:c>
      <x:c r="E1138" t="str">
        <x:v>莴笋</x:v>
      </x:c>
      <x:c r="F1138" t="n">
        <x:v>140</x:v>
      </x:c>
      <x:c r="G1138" t="n">
        <x:v>15</x:v>
      </x:c>
      <x:c r="H1138" t="n">
        <x:f>ROUND(F1138*G1138/100,2)</x:f>
        <x:v>21</x:v>
      </x:c>
      <x:c r="I1138" t="n">
        <x:v>1</x:v>
      </x:c>
      <x:c r="J1138" t="n">
        <x:f>ROUND(F1138*I1138/100,2)</x:f>
        <x:v>1.4</x:v>
      </x:c>
      <x:c r="K1138" t="n">
        <x:v>2.8</x:v>
      </x:c>
      <x:c r="L1138" t="n">
        <x:f>ROUND(F1138*K1138/100,2)</x:f>
        <x:v>3.92</x:v>
      </x:c>
      <x:c r="M1138" t="n">
        <x:v>0.1</x:v>
      </x:c>
      <x:c r="N1138" t="n">
        <x:f>ROUND(F1138*M1138/100,2)</x:f>
        <x:v>0.14</x:v>
      </x:c>
      <x:c r="O1138" t="str">
        <x:v>生重</x:v>
      </x:c>
    </x:row>
    <x:row r="1139" ht="23" customHeight="1">
      <x:c r="A1139" t="n">
        <x:v>190</x:v>
      </x:c>
      <x:c r="B1139" t="n">
        <x:v>95</x:v>
      </x:c>
      <x:c r="C1139" t="str">
        <x:v>晚餐</x:v>
      </x:c>
      <x:c r="D1139" t="str">
        <x:v>蔬菜</x:v>
      </x:c>
      <x:c r="E1139" t="str">
        <x:v>玉米笋</x:v>
      </x:c>
      <x:c r="F1139" t="n">
        <x:v>125</x:v>
      </x:c>
      <x:c r="G1139" t="n">
        <x:v>26</x:v>
      </x:c>
      <x:c r="H1139" t="n">
        <x:f>ROUND(F1139*G1139/100,2)</x:f>
        <x:v>32.5</x:v>
      </x:c>
      <x:c r="I1139" t="n">
        <x:v>2</x:v>
      </x:c>
      <x:c r="J1139" t="n">
        <x:f>ROUND(F1139*I1139/100,2)</x:f>
        <x:v>2.5</x:v>
      </x:c>
      <x:c r="K1139" t="n">
        <x:v>4.9</x:v>
      </x:c>
      <x:c r="L1139" t="n">
        <x:f>ROUND(F1139*K1139/100,2)</x:f>
        <x:v>6.13</x:v>
      </x:c>
      <x:c r="M1139" t="n">
        <x:v>0.1</x:v>
      </x:c>
      <x:c r="N1139" t="n">
        <x:f>ROUND(F1139*M1139/100,2)</x:f>
        <x:v>0.13</x:v>
      </x:c>
      <x:c r="O1139" t="str">
        <x:v>生重</x:v>
      </x:c>
    </x:row>
    <x:row r="1140" ht="23" customHeight="1">
      <x:c r="A1140" t="n">
        <x:v>190</x:v>
      </x:c>
      <x:c r="B1140" t="n">
        <x:v>95</x:v>
      </x:c>
      <x:c r="C1140" t="str">
        <x:v>晚餐</x:v>
      </x:c>
      <x:c r="D1140" t="str">
        <x:v>主食</x:v>
      </x:c>
      <x:c r="E1140" t="str">
        <x:v>米粉</x:v>
      </x:c>
      <x:c r="F1140" t="n">
        <x:v>135</x:v>
      </x:c>
      <x:c r="G1140" t="n">
        <x:v>110</x:v>
      </x:c>
      <x:c r="H1140" t="n">
        <x:f>ROUND(F1140*G1140/100,2)</x:f>
        <x:v>148.5</x:v>
      </x:c>
      <x:c r="I1140" t="n">
        <x:v>2</x:v>
      </x:c>
      <x:c r="J1140" t="n">
        <x:f>ROUND(F1140*I1140/100,2)</x:f>
        <x:v>2.7</x:v>
      </x:c>
      <x:c r="K1140" t="n">
        <x:v>24</x:v>
      </x:c>
      <x:c r="L1140" t="n">
        <x:f>ROUND(F1140*K1140/100,2)</x:f>
        <x:v>32.4</x:v>
      </x:c>
      <x:c r="M1140" t="n">
        <x:v>0.4</x:v>
      </x:c>
      <x:c r="N1140" t="n">
        <x:f>ROUND(F1140*M1140/100,2)</x:f>
        <x:v>0.54</x:v>
      </x:c>
      <x:c r="O1140" t="str">
        <x:v>煮熟沥水重</x:v>
      </x:c>
    </x:row>
    <x:row r="1141" ht="23" customHeight="1">
      <x:c r="A1141" t="n">
        <x:v>190</x:v>
      </x:c>
      <x:c r="B1141" t="n">
        <x:v>95</x:v>
      </x:c>
      <x:c r="C1141" t="str">
        <x:v>晚餐</x:v>
      </x:c>
      <x:c r="D1141" t="str">
        <x:v>油脂</x:v>
      </x:c>
      <x:c r="E1141" t="str">
        <x:v>烹调油</x:v>
      </x:c>
      <x:c r="F1141" t="n">
        <x:v>5</x:v>
      </x:c>
      <x:c r="G1141" t="n">
        <x:v>900</x:v>
      </x:c>
      <x:c r="H1141" t="n">
        <x:f>ROUND(F1141*G1141/100,2)</x:f>
        <x:v>45</x:v>
      </x:c>
      <x:c r="I1141" t="n">
        <x:v>0</x:v>
      </x:c>
      <x:c r="J1141" t="n">
        <x:f>ROUND(F1141*I1141/100,2)</x:f>
        <x:v>0</x:v>
      </x:c>
      <x:c r="K1141" t="n">
        <x:v>0</x:v>
      </x:c>
      <x:c r="L1141" t="n">
        <x:f>ROUND(F1141*K1141/100,2)</x:f>
        <x:v>0</x:v>
      </x:c>
      <x:c r="M1141" t="n">
        <x:v>100</x:v>
      </x:c>
      <x:c r="N1141" t="n">
        <x:f>ROUND(F1141*M1141/100,2)</x:f>
        <x:v>5</x:v>
      </x:c>
      <x:c r="O1141" t="str">
        <x:v>实际用油重</x:v>
      </x:c>
    </x:row>
    <x:row r="1142" ht="23" customHeight="1">
      <x:c r="A1142" t="n">
        <x:v>191</x:v>
      </x:c>
      <x:c r="B1142" t="n">
        <x:v>96</x:v>
      </x:c>
      <x:c r="C1142" t="str">
        <x:v>午餐</x:v>
      </x:c>
      <x:c r="D1142" t="str">
        <x:v>猪肉</x:v>
      </x:c>
      <x:c r="E1142" t="str">
        <x:v>猪里脊</x:v>
      </x:c>
      <x:c r="F1142" t="n">
        <x:v>165</x:v>
      </x:c>
      <x:c r="G1142" t="n">
        <x:v>120</x:v>
      </x:c>
      <x:c r="H1142" t="n">
        <x:f>ROUND(F1142*G1142/100,2)</x:f>
        <x:v>198</x:v>
      </x:c>
      <x:c r="I1142" t="n">
        <x:v>21</x:v>
      </x:c>
      <x:c r="J1142" t="n">
        <x:f>ROUND(F1142*I1142/100,2)</x:f>
        <x:v>34.65</x:v>
      </x:c>
      <x:c r="K1142" t="n">
        <x:v>0</x:v>
      </x:c>
      <x:c r="L1142" t="n">
        <x:f>ROUND(F1142*K1142/100,2)</x:f>
        <x:v>0</x:v>
      </x:c>
      <x:c r="M1142" t="n">
        <x:v>3.5</x:v>
      </x:c>
      <x:c r="N1142" t="n">
        <x:f>ROUND(F1142*M1142/100,2)</x:f>
        <x:v>5.78</x:v>
      </x:c>
      <x:c r="O1142" t="str">
        <x:v>生重</x:v>
      </x:c>
    </x:row>
    <x:row r="1143" ht="23" customHeight="1">
      <x:c r="A1143" t="n">
        <x:v>191</x:v>
      </x:c>
      <x:c r="B1143" t="n">
        <x:v>96</x:v>
      </x:c>
      <x:c r="C1143" t="str">
        <x:v>午餐</x:v>
      </x:c>
      <x:c r="D1143" t="str"/>
      <x:c r="E1143" t="str"/>
      <x:c r="F1143" t="n">
        <x:v>0</x:v>
      </x:c>
      <x:c r="G1143" t="n">
        <x:v>0</x:v>
      </x:c>
      <x:c r="H1143" t="n">
        <x:f>ROUND(F1143*G1143/100,2)</x:f>
        <x:v>0</x:v>
      </x:c>
      <x:c r="I1143" t="n">
        <x:v>0</x:v>
      </x:c>
      <x:c r="J1143" t="n">
        <x:f>ROUND(F1143*I1143/100,2)</x:f>
        <x:v>0</x:v>
      </x:c>
      <x:c r="K1143" t="n">
        <x:v>0</x:v>
      </x:c>
      <x:c r="L1143" t="n">
        <x:f>ROUND(F1143*K1143/100,2)</x:f>
        <x:v>0</x:v>
      </x:c>
      <x:c r="M1143" t="n">
        <x:v>0</x:v>
      </x:c>
      <x:c r="N1143" t="n">
        <x:f>ROUND(F1143*M1143/100,2)</x:f>
        <x:v>0</x:v>
      </x:c>
      <x:c r="O1143" t="str"/>
    </x:row>
    <x:row r="1144" ht="23" customHeight="1">
      <x:c r="A1144" t="n">
        <x:v>191</x:v>
      </x:c>
      <x:c r="B1144" t="n">
        <x:v>96</x:v>
      </x:c>
      <x:c r="C1144" t="str">
        <x:v>午餐</x:v>
      </x:c>
      <x:c r="D1144" t="str">
        <x:v>蔬菜</x:v>
      </x:c>
      <x:c r="E1144" t="str">
        <x:v>荷兰豆</x:v>
      </x:c>
      <x:c r="F1144" t="n">
        <x:v>175</x:v>
      </x:c>
      <x:c r="G1144" t="n">
        <x:v>42</x:v>
      </x:c>
      <x:c r="H1144" t="n">
        <x:f>ROUND(F1144*G1144/100,2)</x:f>
        <x:v>73.5</x:v>
      </x:c>
      <x:c r="I1144" t="n">
        <x:v>2.8</x:v>
      </x:c>
      <x:c r="J1144" t="n">
        <x:f>ROUND(F1144*I1144/100,2)</x:f>
        <x:v>4.9</x:v>
      </x:c>
      <x:c r="K1144" t="n">
        <x:v>7.5</x:v>
      </x:c>
      <x:c r="L1144" t="n">
        <x:f>ROUND(F1144*K1144/100,2)</x:f>
        <x:v>13.13</x:v>
      </x:c>
      <x:c r="M1144" t="n">
        <x:v>0.3</x:v>
      </x:c>
      <x:c r="N1144" t="n">
        <x:f>ROUND(F1144*M1144/100,2)</x:f>
        <x:v>0.53</x:v>
      </x:c>
      <x:c r="O1144" t="str">
        <x:v>生重</x:v>
      </x:c>
    </x:row>
    <x:row r="1145" ht="23" customHeight="1">
      <x:c r="A1145" t="n">
        <x:v>191</x:v>
      </x:c>
      <x:c r="B1145" t="n">
        <x:v>96</x:v>
      </x:c>
      <x:c r="C1145" t="str">
        <x:v>午餐</x:v>
      </x:c>
      <x:c r="D1145" t="str">
        <x:v>蔬菜</x:v>
      </x:c>
      <x:c r="E1145" t="str">
        <x:v>冬瓜</x:v>
      </x:c>
      <x:c r="F1145" t="n">
        <x:v>125</x:v>
      </x:c>
      <x:c r="G1145" t="n">
        <x:v>13</x:v>
      </x:c>
      <x:c r="H1145" t="n">
        <x:f>ROUND(F1145*G1145/100,2)</x:f>
        <x:v>16.25</x:v>
      </x:c>
      <x:c r="I1145" t="n">
        <x:v>0.4</x:v>
      </x:c>
      <x:c r="J1145" t="n">
        <x:f>ROUND(F1145*I1145/100,2)</x:f>
        <x:v>0.5</x:v>
      </x:c>
      <x:c r="K1145" t="n">
        <x:v>3</x:v>
      </x:c>
      <x:c r="L1145" t="n">
        <x:f>ROUND(F1145*K1145/100,2)</x:f>
        <x:v>3.75</x:v>
      </x:c>
      <x:c r="M1145" t="n">
        <x:v>0.2</x:v>
      </x:c>
      <x:c r="N1145" t="n">
        <x:f>ROUND(F1145*M1145/100,2)</x:f>
        <x:v>0.25</x:v>
      </x:c>
      <x:c r="O1145" t="str">
        <x:v>生重</x:v>
      </x:c>
    </x:row>
    <x:row r="1146" ht="23" customHeight="1">
      <x:c r="A1146" t="n">
        <x:v>191</x:v>
      </x:c>
      <x:c r="B1146" t="n">
        <x:v>96</x:v>
      </x:c>
      <x:c r="C1146" t="str">
        <x:v>午餐</x:v>
      </x:c>
      <x:c r="D1146" t="str">
        <x:v>主食</x:v>
      </x:c>
      <x:c r="E1146" t="str">
        <x:v>荞麦面</x:v>
      </x:c>
      <x:c r="F1146" t="n">
        <x:v>135</x:v>
      </x:c>
      <x:c r="G1146" t="n">
        <x:v>105</x:v>
      </x:c>
      <x:c r="H1146" t="n">
        <x:f>ROUND(F1146*G1146/100,2)</x:f>
        <x:v>141.75</x:v>
      </x:c>
      <x:c r="I1146" t="n">
        <x:v>4</x:v>
      </x:c>
      <x:c r="J1146" t="n">
        <x:f>ROUND(F1146*I1146/100,2)</x:f>
        <x:v>5.4</x:v>
      </x:c>
      <x:c r="K1146" t="n">
        <x:v>21</x:v>
      </x:c>
      <x:c r="L1146" t="n">
        <x:f>ROUND(F1146*K1146/100,2)</x:f>
        <x:v>28.35</x:v>
      </x:c>
      <x:c r="M1146" t="n">
        <x:v>0.7</x:v>
      </x:c>
      <x:c r="N1146" t="n">
        <x:f>ROUND(F1146*M1146/100,2)</x:f>
        <x:v>0.95</x:v>
      </x:c>
      <x:c r="O1146" t="str">
        <x:v>煮熟沥水重</x:v>
      </x:c>
    </x:row>
    <x:row r="1147" ht="23" customHeight="1">
      <x:c r="A1147" t="n">
        <x:v>191</x:v>
      </x:c>
      <x:c r="B1147" t="n">
        <x:v>96</x:v>
      </x:c>
      <x:c r="C1147" t="str">
        <x:v>午餐</x:v>
      </x:c>
      <x:c r="D1147" t="str">
        <x:v>油脂</x:v>
      </x:c>
      <x:c r="E1147" t="str">
        <x:v>烹调油</x:v>
      </x:c>
      <x:c r="F1147" t="n">
        <x:v>6</x:v>
      </x:c>
      <x:c r="G1147" t="n">
        <x:v>900</x:v>
      </x:c>
      <x:c r="H1147" t="n">
        <x:f>ROUND(F1147*G1147/100,2)</x:f>
        <x:v>54</x:v>
      </x:c>
      <x:c r="I1147" t="n">
        <x:v>0</x:v>
      </x:c>
      <x:c r="J1147" t="n">
        <x:f>ROUND(F1147*I1147/100,2)</x:f>
        <x:v>0</x:v>
      </x:c>
      <x:c r="K1147" t="n">
        <x:v>0</x:v>
      </x:c>
      <x:c r="L1147" t="n">
        <x:f>ROUND(F1147*K1147/100,2)</x:f>
        <x:v>0</x:v>
      </x:c>
      <x:c r="M1147" t="n">
        <x:v>100</x:v>
      </x:c>
      <x:c r="N1147" t="n">
        <x:f>ROUND(F1147*M1147/100,2)</x:f>
        <x:v>6</x:v>
      </x:c>
      <x:c r="O1147" t="str">
        <x:v>实际用油重</x:v>
      </x:c>
    </x:row>
    <x:row r="1148" ht="23" customHeight="1">
      <x:c r="A1148" t="n">
        <x:v>192</x:v>
      </x:c>
      <x:c r="B1148" t="n">
        <x:v>96</x:v>
      </x:c>
      <x:c r="C1148" t="str">
        <x:v>晚餐</x:v>
      </x:c>
      <x:c r="D1148" t="str">
        <x:v>禽肉</x:v>
      </x:c>
      <x:c r="E1148" t="str">
        <x:v>鸡胸肉</x:v>
      </x:c>
      <x:c r="F1148" t="n">
        <x:v>145</x:v>
      </x:c>
      <x:c r="G1148" t="n">
        <x:v>110</x:v>
      </x:c>
      <x:c r="H1148" t="n">
        <x:f>ROUND(F1148*G1148/100,2)</x:f>
        <x:v>159.5</x:v>
      </x:c>
      <x:c r="I1148" t="n">
        <x:v>23</x:v>
      </x:c>
      <x:c r="J1148" t="n">
        <x:f>ROUND(F1148*I1148/100,2)</x:f>
        <x:v>33.35</x:v>
      </x:c>
      <x:c r="K1148" t="n">
        <x:v>0</x:v>
      </x:c>
      <x:c r="L1148" t="n">
        <x:f>ROUND(F1148*K1148/100,2)</x:f>
        <x:v>0</x:v>
      </x:c>
      <x:c r="M1148" t="n">
        <x:v>2</x:v>
      </x:c>
      <x:c r="N1148" t="n">
        <x:f>ROUND(F1148*M1148/100,2)</x:f>
        <x:v>2.9</x:v>
      </x:c>
      <x:c r="O1148" t="str">
        <x:v>生重</x:v>
      </x:c>
    </x:row>
    <x:row r="1149" ht="23" customHeight="1">
      <x:c r="A1149" t="n">
        <x:v>192</x:v>
      </x:c>
      <x:c r="B1149" t="n">
        <x:v>96</x:v>
      </x:c>
      <x:c r="C1149" t="str">
        <x:v>晚餐</x:v>
      </x:c>
      <x:c r="D1149" t="str"/>
      <x:c r="E1149" t="str"/>
      <x:c r="F1149" t="n">
        <x:v>0</x:v>
      </x:c>
      <x:c r="G1149" t="n">
        <x:v>0</x:v>
      </x:c>
      <x:c r="H1149" t="n">
        <x:f>ROUND(F1149*G1149/100,2)</x:f>
        <x:v>0</x:v>
      </x:c>
      <x:c r="I1149" t="n">
        <x:v>0</x:v>
      </x:c>
      <x:c r="J1149" t="n">
        <x:f>ROUND(F1149*I1149/100,2)</x:f>
        <x:v>0</x:v>
      </x:c>
      <x:c r="K1149" t="n">
        <x:v>0</x:v>
      </x:c>
      <x:c r="L1149" t="n">
        <x:f>ROUND(F1149*K1149/100,2)</x:f>
        <x:v>0</x:v>
      </x:c>
      <x:c r="M1149" t="n">
        <x:v>0</x:v>
      </x:c>
      <x:c r="N1149" t="n">
        <x:f>ROUND(F1149*M1149/100,2)</x:f>
        <x:v>0</x:v>
      </x:c>
      <x:c r="O1149" t="str"/>
    </x:row>
    <x:row r="1150" ht="23" customHeight="1">
      <x:c r="A1150" t="n">
        <x:v>192</x:v>
      </x:c>
      <x:c r="B1150" t="n">
        <x:v>96</x:v>
      </x:c>
      <x:c r="C1150" t="str">
        <x:v>晚餐</x:v>
      </x:c>
      <x:c r="D1150" t="str">
        <x:v>蔬菜</x:v>
      </x:c>
      <x:c r="E1150" t="str">
        <x:v>菜心</x:v>
      </x:c>
      <x:c r="F1150" t="n">
        <x:v>175</x:v>
      </x:c>
      <x:c r="G1150" t="n">
        <x:v>20</x:v>
      </x:c>
      <x:c r="H1150" t="n">
        <x:f>ROUND(F1150*G1150/100,2)</x:f>
        <x:v>35</x:v>
      </x:c>
      <x:c r="I1150" t="n">
        <x:v>2</x:v>
      </x:c>
      <x:c r="J1150" t="n">
        <x:f>ROUND(F1150*I1150/100,2)</x:f>
        <x:v>3.5</x:v>
      </x:c>
      <x:c r="K1150" t="n">
        <x:v>3.5</x:v>
      </x:c>
      <x:c r="L1150" t="n">
        <x:f>ROUND(F1150*K1150/100,2)</x:f>
        <x:v>6.13</x:v>
      </x:c>
      <x:c r="M1150" t="n">
        <x:v>0.3</x:v>
      </x:c>
      <x:c r="N1150" t="n">
        <x:f>ROUND(F1150*M1150/100,2)</x:f>
        <x:v>0.53</x:v>
      </x:c>
      <x:c r="O1150" t="str">
        <x:v>生重</x:v>
      </x:c>
    </x:row>
    <x:row r="1151" ht="23" customHeight="1">
      <x:c r="A1151" t="n">
        <x:v>192</x:v>
      </x:c>
      <x:c r="B1151" t="n">
        <x:v>96</x:v>
      </x:c>
      <x:c r="C1151" t="str">
        <x:v>晚餐</x:v>
      </x:c>
      <x:c r="D1151" t="str">
        <x:v>菌菇</x:v>
      </x:c>
      <x:c r="E1151" t="str">
        <x:v>金针菇</x:v>
      </x:c>
      <x:c r="F1151" t="n">
        <x:v>140</x:v>
      </x:c>
      <x:c r="G1151" t="n">
        <x:v>32</x:v>
      </x:c>
      <x:c r="H1151" t="n">
        <x:f>ROUND(F1151*G1151/100,2)</x:f>
        <x:v>44.8</x:v>
      </x:c>
      <x:c r="I1151" t="n">
        <x:v>2.4</x:v>
      </x:c>
      <x:c r="J1151" t="n">
        <x:f>ROUND(F1151*I1151/100,2)</x:f>
        <x:v>3.36</x:v>
      </x:c>
      <x:c r="K1151" t="n">
        <x:v>6.4</x:v>
      </x:c>
      <x:c r="L1151" t="n">
        <x:f>ROUND(F1151*K1151/100,2)</x:f>
        <x:v>8.96</x:v>
      </x:c>
      <x:c r="M1151" t="n">
        <x:v>0.2</x:v>
      </x:c>
      <x:c r="N1151" t="n">
        <x:f>ROUND(F1151*M1151/100,2)</x:f>
        <x:v>0.28</x:v>
      </x:c>
      <x:c r="O1151" t="str">
        <x:v>生重</x:v>
      </x:c>
    </x:row>
    <x:row r="1152" ht="23" customHeight="1">
      <x:c r="A1152" t="n">
        <x:v>192</x:v>
      </x:c>
      <x:c r="B1152" t="n">
        <x:v>96</x:v>
      </x:c>
      <x:c r="C1152" t="str">
        <x:v>晚餐</x:v>
      </x:c>
      <x:c r="D1152" t="str">
        <x:v>主食</x:v>
      </x:c>
      <x:c r="E1152" t="str">
        <x:v>荞麦面</x:v>
      </x:c>
      <x:c r="F1152" t="n">
        <x:v>95</x:v>
      </x:c>
      <x:c r="G1152" t="n">
        <x:v>105</x:v>
      </x:c>
      <x:c r="H1152" t="n">
        <x:f>ROUND(F1152*G1152/100,2)</x:f>
        <x:v>99.75</x:v>
      </x:c>
      <x:c r="I1152" t="n">
        <x:v>4</x:v>
      </x:c>
      <x:c r="J1152" t="n">
        <x:f>ROUND(F1152*I1152/100,2)</x:f>
        <x:v>3.8</x:v>
      </x:c>
      <x:c r="K1152" t="n">
        <x:v>21</x:v>
      </x:c>
      <x:c r="L1152" t="n">
        <x:f>ROUND(F1152*K1152/100,2)</x:f>
        <x:v>19.95</x:v>
      </x:c>
      <x:c r="M1152" t="n">
        <x:v>0.7</x:v>
      </x:c>
      <x:c r="N1152" t="n">
        <x:f>ROUND(F1152*M1152/100,2)</x:f>
        <x:v>0.67</x:v>
      </x:c>
      <x:c r="O1152" t="str">
        <x:v>煮熟沥水重</x:v>
      </x:c>
    </x:row>
    <x:row r="1153" ht="23" customHeight="1">
      <x:c r="A1153" t="n">
        <x:v>192</x:v>
      </x:c>
      <x:c r="B1153" t="n">
        <x:v>96</x:v>
      </x:c>
      <x:c r="C1153" t="str">
        <x:v>晚餐</x:v>
      </x:c>
      <x:c r="D1153" t="str">
        <x:v>油脂</x:v>
      </x:c>
      <x:c r="E1153" t="str">
        <x:v>烹调油</x:v>
      </x:c>
      <x:c r="F1153" t="n">
        <x:v>5</x:v>
      </x:c>
      <x:c r="G1153" t="n">
        <x:v>900</x:v>
      </x:c>
      <x:c r="H1153" t="n">
        <x:f>ROUND(F1153*G1153/100,2)</x:f>
        <x:v>45</x:v>
      </x:c>
      <x:c r="I1153" t="n">
        <x:v>0</x:v>
      </x:c>
      <x:c r="J1153" t="n">
        <x:f>ROUND(F1153*I1153/100,2)</x:f>
        <x:v>0</x:v>
      </x:c>
      <x:c r="K1153" t="n">
        <x:v>0</x:v>
      </x:c>
      <x:c r="L1153" t="n">
        <x:f>ROUND(F1153*K1153/100,2)</x:f>
        <x:v>0</x:v>
      </x:c>
      <x:c r="M1153" t="n">
        <x:v>100</x:v>
      </x:c>
      <x:c r="N1153" t="n">
        <x:f>ROUND(F1153*M1153/100,2)</x:f>
        <x:v>5</x:v>
      </x:c>
      <x:c r="O1153" t="str">
        <x:v>实际用油重</x:v>
      </x:c>
    </x:row>
    <x:row r="1154" ht="23" customHeight="1">
      <x:c r="A1154" t="n">
        <x:v>193</x:v>
      </x:c>
      <x:c r="B1154" t="n">
        <x:v>97</x:v>
      </x:c>
      <x:c r="C1154" t="str">
        <x:v>午餐</x:v>
      </x:c>
      <x:c r="D1154" t="str">
        <x:v>禽肉</x:v>
      </x:c>
      <x:c r="E1154" t="str">
        <x:v>去皮鸡腿肉</x:v>
      </x:c>
      <x:c r="F1154" t="n">
        <x:v>155</x:v>
      </x:c>
      <x:c r="G1154" t="n">
        <x:v>125</x:v>
      </x:c>
      <x:c r="H1154" t="n">
        <x:f>ROUND(F1154*G1154/100,2)</x:f>
        <x:v>193.75</x:v>
      </x:c>
      <x:c r="I1154" t="n">
        <x:v>20</x:v>
      </x:c>
      <x:c r="J1154" t="n">
        <x:f>ROUND(F1154*I1154/100,2)</x:f>
        <x:v>31</x:v>
      </x:c>
      <x:c r="K1154" t="n">
        <x:v>0</x:v>
      </x:c>
      <x:c r="L1154" t="n">
        <x:f>ROUND(F1154*K1154/100,2)</x:f>
        <x:v>0</x:v>
      </x:c>
      <x:c r="M1154" t="n">
        <x:v>5</x:v>
      </x:c>
      <x:c r="N1154" t="n">
        <x:f>ROUND(F1154*M1154/100,2)</x:f>
        <x:v>7.75</x:v>
      </x:c>
      <x:c r="O1154" t="str">
        <x:v>生重</x:v>
      </x:c>
    </x:row>
    <x:row r="1155" ht="23" customHeight="1">
      <x:c r="A1155" t="n">
        <x:v>193</x:v>
      </x:c>
      <x:c r="B1155" t="n">
        <x:v>97</x:v>
      </x:c>
      <x:c r="C1155" t="str">
        <x:v>午餐</x:v>
      </x:c>
      <x:c r="D1155" t="str">
        <x:v>豆蛋</x:v>
      </x:c>
      <x:c r="E1155" t="str">
        <x:v>熟毛豆仁</x:v>
      </x:c>
      <x:c r="F1155" t="n">
        <x:v>50</x:v>
      </x:c>
      <x:c r="G1155" t="n">
        <x:v>120</x:v>
      </x:c>
      <x:c r="H1155" t="n">
        <x:f>ROUND(F1155*G1155/100,2)</x:f>
        <x:v>60</x:v>
      </x:c>
      <x:c r="I1155" t="n">
        <x:v>12</x:v>
      </x:c>
      <x:c r="J1155" t="n">
        <x:f>ROUND(F1155*I1155/100,2)</x:f>
        <x:v>6</x:v>
      </x:c>
      <x:c r="K1155" t="n">
        <x:v>9</x:v>
      </x:c>
      <x:c r="L1155" t="n">
        <x:f>ROUND(F1155*K1155/100,2)</x:f>
        <x:v>4.5</x:v>
      </x:c>
      <x:c r="M1155" t="n">
        <x:v>5</x:v>
      </x:c>
      <x:c r="N1155" t="n">
        <x:f>ROUND(F1155*M1155/100,2)</x:f>
        <x:v>2.5</x:v>
      </x:c>
      <x:c r="O1155" t="str">
        <x:v>熟重</x:v>
      </x:c>
    </x:row>
    <x:row r="1156" ht="23" customHeight="1">
      <x:c r="A1156" t="n">
        <x:v>193</x:v>
      </x:c>
      <x:c r="B1156" t="n">
        <x:v>97</x:v>
      </x:c>
      <x:c r="C1156" t="str">
        <x:v>午餐</x:v>
      </x:c>
      <x:c r="D1156" t="str">
        <x:v>蔬菜</x:v>
      </x:c>
      <x:c r="E1156" t="str">
        <x:v>油麦菜</x:v>
      </x:c>
      <x:c r="F1156" t="n">
        <x:v>160</x:v>
      </x:c>
      <x:c r="G1156" t="n">
        <x:v>18</x:v>
      </x:c>
      <x:c r="H1156" t="n">
        <x:f>ROUND(F1156*G1156/100,2)</x:f>
        <x:v>28.8</x:v>
      </x:c>
      <x:c r="I1156" t="n">
        <x:v>1.4</x:v>
      </x:c>
      <x:c r="J1156" t="n">
        <x:f>ROUND(F1156*I1156/100,2)</x:f>
        <x:v>2.24</x:v>
      </x:c>
      <x:c r="K1156" t="n">
        <x:v>3.1</x:v>
      </x:c>
      <x:c r="L1156" t="n">
        <x:f>ROUND(F1156*K1156/100,2)</x:f>
        <x:v>4.96</x:v>
      </x:c>
      <x:c r="M1156" t="n">
        <x:v>0.2</x:v>
      </x:c>
      <x:c r="N1156" t="n">
        <x:f>ROUND(F1156*M1156/100,2)</x:f>
        <x:v>0.32</x:v>
      </x:c>
      <x:c r="O1156" t="str">
        <x:v>生重</x:v>
      </x:c>
    </x:row>
    <x:row r="1157" ht="23" customHeight="1">
      <x:c r="A1157" t="n">
        <x:v>193</x:v>
      </x:c>
      <x:c r="B1157" t="n">
        <x:v>97</x:v>
      </x:c>
      <x:c r="C1157" t="str">
        <x:v>午餐</x:v>
      </x:c>
      <x:c r="D1157" t="str">
        <x:v>菌菇</x:v>
      </x:c>
      <x:c r="E1157" t="str">
        <x:v>香菇</x:v>
      </x:c>
      <x:c r="F1157" t="n">
        <x:v>125</x:v>
      </x:c>
      <x:c r="G1157" t="n">
        <x:v>34</x:v>
      </x:c>
      <x:c r="H1157" t="n">
        <x:f>ROUND(F1157*G1157/100,2)</x:f>
        <x:v>42.5</x:v>
      </x:c>
      <x:c r="I1157" t="n">
        <x:v>2.2</x:v>
      </x:c>
      <x:c r="J1157" t="n">
        <x:f>ROUND(F1157*I1157/100,2)</x:f>
        <x:v>2.75</x:v>
      </x:c>
      <x:c r="K1157" t="n">
        <x:v>6.8</x:v>
      </x:c>
      <x:c r="L1157" t="n">
        <x:f>ROUND(F1157*K1157/100,2)</x:f>
        <x:v>8.5</x:v>
      </x:c>
      <x:c r="M1157" t="n">
        <x:v>0.5</x:v>
      </x:c>
      <x:c r="N1157" t="n">
        <x:f>ROUND(F1157*M1157/100,2)</x:f>
        <x:v>0.63</x:v>
      </x:c>
      <x:c r="O1157" t="str">
        <x:v>生重</x:v>
      </x:c>
    </x:row>
    <x:row r="1158" ht="23" customHeight="1">
      <x:c r="A1158" t="n">
        <x:v>193</x:v>
      </x:c>
      <x:c r="B1158" t="n">
        <x:v>97</x:v>
      </x:c>
      <x:c r="C1158" t="str">
        <x:v>午餐</x:v>
      </x:c>
      <x:c r="D1158" t="str">
        <x:v>主食</x:v>
      </x:c>
      <x:c r="E1158" t="str">
        <x:v>乌冬面</x:v>
      </x:c>
      <x:c r="F1158" t="n">
        <x:v>165</x:v>
      </x:c>
      <x:c r="G1158" t="n">
        <x:v>120</x:v>
      </x:c>
      <x:c r="H1158" t="n">
        <x:f>ROUND(F1158*G1158/100,2)</x:f>
        <x:v>198</x:v>
      </x:c>
      <x:c r="I1158" t="n">
        <x:v>2.5</x:v>
      </x:c>
      <x:c r="J1158" t="n">
        <x:f>ROUND(F1158*I1158/100,2)</x:f>
        <x:v>4.13</x:v>
      </x:c>
      <x:c r="K1158" t="n">
        <x:v>25</x:v>
      </x:c>
      <x:c r="L1158" t="n">
        <x:f>ROUND(F1158*K1158/100,2)</x:f>
        <x:v>41.25</x:v>
      </x:c>
      <x:c r="M1158" t="n">
        <x:v>0.6</x:v>
      </x:c>
      <x:c r="N1158" t="n">
        <x:f>ROUND(F1158*M1158/100,2)</x:f>
        <x:v>0.99</x:v>
      </x:c>
      <x:c r="O1158" t="str">
        <x:v>煮熟沥水重</x:v>
      </x:c>
    </x:row>
    <x:row r="1159" ht="23" customHeight="1">
      <x:c r="A1159" t="n">
        <x:v>193</x:v>
      </x:c>
      <x:c r="B1159" t="n">
        <x:v>97</x:v>
      </x:c>
      <x:c r="C1159" t="str">
        <x:v>午餐</x:v>
      </x:c>
      <x:c r="D1159" t="str">
        <x:v>油脂</x:v>
      </x:c>
      <x:c r="E1159" t="str">
        <x:v>烹调油</x:v>
      </x:c>
      <x:c r="F1159" t="n">
        <x:v>3</x:v>
      </x:c>
      <x:c r="G1159" t="n">
        <x:v>900</x:v>
      </x:c>
      <x:c r="H1159" t="n">
        <x:f>ROUND(F1159*G1159/100,2)</x:f>
        <x:v>27</x:v>
      </x:c>
      <x:c r="I1159" t="n">
        <x:v>0</x:v>
      </x:c>
      <x:c r="J1159" t="n">
        <x:f>ROUND(F1159*I1159/100,2)</x:f>
        <x:v>0</x:v>
      </x:c>
      <x:c r="K1159" t="n">
        <x:v>0</x:v>
      </x:c>
      <x:c r="L1159" t="n">
        <x:f>ROUND(F1159*K1159/100,2)</x:f>
        <x:v>0</x:v>
      </x:c>
      <x:c r="M1159" t="n">
        <x:v>100</x:v>
      </x:c>
      <x:c r="N1159" t="n">
        <x:f>ROUND(F1159*M1159/100,2)</x:f>
        <x:v>3</x:v>
      </x:c>
      <x:c r="O1159" t="str">
        <x:v>实际用油重</x:v>
      </x:c>
    </x:row>
    <x:row r="1160" ht="23" customHeight="1">
      <x:c r="A1160" t="n">
        <x:v>194</x:v>
      </x:c>
      <x:c r="B1160" t="n">
        <x:v>97</x:v>
      </x:c>
      <x:c r="C1160" t="str">
        <x:v>晚餐</x:v>
      </x:c>
      <x:c r="D1160" t="str">
        <x:v>鱼类</x:v>
      </x:c>
      <x:c r="E1160" t="str">
        <x:v>鲈鱼</x:v>
      </x:c>
      <x:c r="F1160" t="n">
        <x:v>200</x:v>
      </x:c>
      <x:c r="G1160" t="n">
        <x:v>105</x:v>
      </x:c>
      <x:c r="H1160" t="n">
        <x:f>ROUND(F1160*G1160/100,2)</x:f>
        <x:v>210</x:v>
      </x:c>
      <x:c r="I1160" t="n">
        <x:v>19</x:v>
      </x:c>
      <x:c r="J1160" t="n">
        <x:f>ROUND(F1160*I1160/100,2)</x:f>
        <x:v>38</x:v>
      </x:c>
      <x:c r="K1160" t="n">
        <x:v>0</x:v>
      </x:c>
      <x:c r="L1160" t="n">
        <x:f>ROUND(F1160*K1160/100,2)</x:f>
        <x:v>0</x:v>
      </x:c>
      <x:c r="M1160" t="n">
        <x:v>3</x:v>
      </x:c>
      <x:c r="N1160" t="n">
        <x:f>ROUND(F1160*M1160/100,2)</x:f>
        <x:v>6</x:v>
      </x:c>
      <x:c r="O1160" t="str">
        <x:v>净鱼肉生重</x:v>
      </x:c>
    </x:row>
    <x:row r="1161" ht="23" customHeight="1">
      <x:c r="A1161" t="n">
        <x:v>194</x:v>
      </x:c>
      <x:c r="B1161" t="n">
        <x:v>97</x:v>
      </x:c>
      <x:c r="C1161" t="str">
        <x:v>晚餐</x:v>
      </x:c>
      <x:c r="D1161" t="str"/>
      <x:c r="E1161" t="str"/>
      <x:c r="F1161" t="n">
        <x:v>0</x:v>
      </x:c>
      <x:c r="G1161" t="n">
        <x:v>0</x:v>
      </x:c>
      <x:c r="H1161" t="n">
        <x:f>ROUND(F1161*G1161/100,2)</x:f>
        <x:v>0</x:v>
      </x:c>
      <x:c r="I1161" t="n">
        <x:v>0</x:v>
      </x:c>
      <x:c r="J1161" t="n">
        <x:f>ROUND(F1161*I1161/100,2)</x:f>
        <x:v>0</x:v>
      </x:c>
      <x:c r="K1161" t="n">
        <x:v>0</x:v>
      </x:c>
      <x:c r="L1161" t="n">
        <x:f>ROUND(F1161*K1161/100,2)</x:f>
        <x:v>0</x:v>
      </x:c>
      <x:c r="M1161" t="n">
        <x:v>0</x:v>
      </x:c>
      <x:c r="N1161" t="n">
        <x:f>ROUND(F1161*M1161/100,2)</x:f>
        <x:v>0</x:v>
      </x:c>
      <x:c r="O1161" t="str"/>
    </x:row>
    <x:row r="1162" ht="23" customHeight="1">
      <x:c r="A1162" t="n">
        <x:v>194</x:v>
      </x:c>
      <x:c r="B1162" t="n">
        <x:v>97</x:v>
      </x:c>
      <x:c r="C1162" t="str">
        <x:v>晚餐</x:v>
      </x:c>
      <x:c r="D1162" t="str">
        <x:v>蔬菜</x:v>
      </x:c>
      <x:c r="E1162" t="str">
        <x:v>冬瓜</x:v>
      </x:c>
      <x:c r="F1162" t="n">
        <x:v>190</x:v>
      </x:c>
      <x:c r="G1162" t="n">
        <x:v>13</x:v>
      </x:c>
      <x:c r="H1162" t="n">
        <x:f>ROUND(F1162*G1162/100,2)</x:f>
        <x:v>24.7</x:v>
      </x:c>
      <x:c r="I1162" t="n">
        <x:v>0.4</x:v>
      </x:c>
      <x:c r="J1162" t="n">
        <x:f>ROUND(F1162*I1162/100,2)</x:f>
        <x:v>0.76</x:v>
      </x:c>
      <x:c r="K1162" t="n">
        <x:v>3</x:v>
      </x:c>
      <x:c r="L1162" t="n">
        <x:f>ROUND(F1162*K1162/100,2)</x:f>
        <x:v>5.7</x:v>
      </x:c>
      <x:c r="M1162" t="n">
        <x:v>0.2</x:v>
      </x:c>
      <x:c r="N1162" t="n">
        <x:f>ROUND(F1162*M1162/100,2)</x:f>
        <x:v>0.38</x:v>
      </x:c>
      <x:c r="O1162" t="str">
        <x:v>生重</x:v>
      </x:c>
    </x:row>
    <x:row r="1163" ht="23" customHeight="1">
      <x:c r="A1163" t="n">
        <x:v>194</x:v>
      </x:c>
      <x:c r="B1163" t="n">
        <x:v>97</x:v>
      </x:c>
      <x:c r="C1163" t="str">
        <x:v>晚餐</x:v>
      </x:c>
      <x:c r="D1163" t="str">
        <x:v>菌菇</x:v>
      </x:c>
      <x:c r="E1163" t="str">
        <x:v>泡发木耳</x:v>
      </x:c>
      <x:c r="F1163" t="n">
        <x:v>110</x:v>
      </x:c>
      <x:c r="G1163" t="n">
        <x:v>25</x:v>
      </x:c>
      <x:c r="H1163" t="n">
        <x:f>ROUND(F1163*G1163/100,2)</x:f>
        <x:v>27.5</x:v>
      </x:c>
      <x:c r="I1163" t="n">
        <x:v>1.5</x:v>
      </x:c>
      <x:c r="J1163" t="n">
        <x:f>ROUND(F1163*I1163/100,2)</x:f>
        <x:v>1.65</x:v>
      </x:c>
      <x:c r="K1163" t="n">
        <x:v>6</x:v>
      </x:c>
      <x:c r="L1163" t="n">
        <x:f>ROUND(F1163*K1163/100,2)</x:f>
        <x:v>6.6</x:v>
      </x:c>
      <x:c r="M1163" t="n">
        <x:v>0.1</x:v>
      </x:c>
      <x:c r="N1163" t="n">
        <x:f>ROUND(F1163*M1163/100,2)</x:f>
        <x:v>0.11</x:v>
      </x:c>
      <x:c r="O1163" t="str">
        <x:v>泡发沥水重</x:v>
      </x:c>
    </x:row>
    <x:row r="1164" ht="23" customHeight="1">
      <x:c r="A1164" t="n">
        <x:v>194</x:v>
      </x:c>
      <x:c r="B1164" t="n">
        <x:v>97</x:v>
      </x:c>
      <x:c r="C1164" t="str">
        <x:v>晚餐</x:v>
      </x:c>
      <x:c r="D1164" t="str">
        <x:v>主食</x:v>
      </x:c>
      <x:c r="E1164" t="str">
        <x:v>白米饭</x:v>
      </x:c>
      <x:c r="F1164" t="n">
        <x:v>80</x:v>
      </x:c>
      <x:c r="G1164" t="n">
        <x:v>116</x:v>
      </x:c>
      <x:c r="H1164" t="n">
        <x:f>ROUND(F1164*G1164/100,2)</x:f>
        <x:v>92.8</x:v>
      </x:c>
      <x:c r="I1164" t="n">
        <x:v>2.6</x:v>
      </x:c>
      <x:c r="J1164" t="n">
        <x:f>ROUND(F1164*I1164/100,2)</x:f>
        <x:v>2.08</x:v>
      </x:c>
      <x:c r="K1164" t="n">
        <x:v>25.6</x:v>
      </x:c>
      <x:c r="L1164" t="n">
        <x:f>ROUND(F1164*K1164/100,2)</x:f>
        <x:v>20.48</x:v>
      </x:c>
      <x:c r="M1164" t="n">
        <x:v>0.3</x:v>
      </x:c>
      <x:c r="N1164" t="n">
        <x:f>ROUND(F1164*M1164/100,2)</x:f>
        <x:v>0.24</x:v>
      </x:c>
      <x:c r="O1164" t="str">
        <x:v>熟重</x:v>
      </x:c>
    </x:row>
    <x:row r="1165" ht="23" customHeight="1">
      <x:c r="A1165" t="n">
        <x:v>194</x:v>
      </x:c>
      <x:c r="B1165" t="n">
        <x:v>97</x:v>
      </x:c>
      <x:c r="C1165" t="str">
        <x:v>晚餐</x:v>
      </x:c>
      <x:c r="D1165" t="str">
        <x:v>油脂</x:v>
      </x:c>
      <x:c r="E1165" t="str">
        <x:v>烹调油</x:v>
      </x:c>
      <x:c r="F1165" t="n">
        <x:v>6</x:v>
      </x:c>
      <x:c r="G1165" t="n">
        <x:v>900</x:v>
      </x:c>
      <x:c r="H1165" t="n">
        <x:f>ROUND(F1165*G1165/100,2)</x:f>
        <x:v>54</x:v>
      </x:c>
      <x:c r="I1165" t="n">
        <x:v>0</x:v>
      </x:c>
      <x:c r="J1165" t="n">
        <x:f>ROUND(F1165*I1165/100,2)</x:f>
        <x:v>0</x:v>
      </x:c>
      <x:c r="K1165" t="n">
        <x:v>0</x:v>
      </x:c>
      <x:c r="L1165" t="n">
        <x:f>ROUND(F1165*K1165/100,2)</x:f>
        <x:v>0</x:v>
      </x:c>
      <x:c r="M1165" t="n">
        <x:v>100</x:v>
      </x:c>
      <x:c r="N1165" t="n">
        <x:f>ROUND(F1165*M1165/100,2)</x:f>
        <x:v>6</x:v>
      </x:c>
      <x:c r="O1165" t="str">
        <x:v>实际用油重</x:v>
      </x:c>
    </x:row>
    <x:row r="1166" ht="23" customHeight="1">
      <x:c r="A1166" t="n">
        <x:v>195</x:v>
      </x:c>
      <x:c r="B1166" t="n">
        <x:v>98</x:v>
      </x:c>
      <x:c r="C1166" t="str">
        <x:v>午餐</x:v>
      </x:c>
      <x:c r="D1166" t="str">
        <x:v>牛肉</x:v>
      </x:c>
      <x:c r="E1166" t="str">
        <x:v>牛里脊</x:v>
      </x:c>
      <x:c r="F1166" t="n">
        <x:v>185</x:v>
      </x:c>
      <x:c r="G1166" t="n">
        <x:v>130</x:v>
      </x:c>
      <x:c r="H1166" t="n">
        <x:f>ROUND(F1166*G1166/100,2)</x:f>
        <x:v>240.5</x:v>
      </x:c>
      <x:c r="I1166" t="n">
        <x:v>21</x:v>
      </x:c>
      <x:c r="J1166" t="n">
        <x:f>ROUND(F1166*I1166/100,2)</x:f>
        <x:v>38.85</x:v>
      </x:c>
      <x:c r="K1166" t="n">
        <x:v>0</x:v>
      </x:c>
      <x:c r="L1166" t="n">
        <x:f>ROUND(F1166*K1166/100,2)</x:f>
        <x:v>0</x:v>
      </x:c>
      <x:c r="M1166" t="n">
        <x:v>4.8</x:v>
      </x:c>
      <x:c r="N1166" t="n">
        <x:f>ROUND(F1166*M1166/100,2)</x:f>
        <x:v>8.88</x:v>
      </x:c>
      <x:c r="O1166" t="str">
        <x:v>生重</x:v>
      </x:c>
    </x:row>
    <x:row r="1167" ht="23" customHeight="1">
      <x:c r="A1167" t="n">
        <x:v>195</x:v>
      </x:c>
      <x:c r="B1167" t="n">
        <x:v>98</x:v>
      </x:c>
      <x:c r="C1167" t="str">
        <x:v>午餐</x:v>
      </x:c>
      <x:c r="D1167" t="str"/>
      <x:c r="E1167" t="str"/>
      <x:c r="F1167" t="n">
        <x:v>0</x:v>
      </x:c>
      <x:c r="G1167" t="n">
        <x:v>0</x:v>
      </x:c>
      <x:c r="H1167" t="n">
        <x:f>ROUND(F1167*G1167/100,2)</x:f>
        <x:v>0</x:v>
      </x:c>
      <x:c r="I1167" t="n">
        <x:v>0</x:v>
      </x:c>
      <x:c r="J1167" t="n">
        <x:f>ROUND(F1167*I1167/100,2)</x:f>
        <x:v>0</x:v>
      </x:c>
      <x:c r="K1167" t="n">
        <x:v>0</x:v>
      </x:c>
      <x:c r="L1167" t="n">
        <x:f>ROUND(F1167*K1167/100,2)</x:f>
        <x:v>0</x:v>
      </x:c>
      <x:c r="M1167" t="n">
        <x:v>0</x:v>
      </x:c>
      <x:c r="N1167" t="n">
        <x:f>ROUND(F1167*M1167/100,2)</x:f>
        <x:v>0</x:v>
      </x:c>
      <x:c r="O1167" t="str"/>
    </x:row>
    <x:row r="1168" ht="23" customHeight="1">
      <x:c r="A1168" t="n">
        <x:v>195</x:v>
      </x:c>
      <x:c r="B1168" t="n">
        <x:v>98</x:v>
      </x:c>
      <x:c r="C1168" t="str">
        <x:v>午餐</x:v>
      </x:c>
      <x:c r="D1168" t="str">
        <x:v>蔬菜</x:v>
      </x:c>
      <x:c r="E1168" t="str">
        <x:v>油麦菜</x:v>
      </x:c>
      <x:c r="F1168" t="n">
        <x:v>160</x:v>
      </x:c>
      <x:c r="G1168" t="n">
        <x:v>18</x:v>
      </x:c>
      <x:c r="H1168" t="n">
        <x:f>ROUND(F1168*G1168/100,2)</x:f>
        <x:v>28.8</x:v>
      </x:c>
      <x:c r="I1168" t="n">
        <x:v>1.4</x:v>
      </x:c>
      <x:c r="J1168" t="n">
        <x:f>ROUND(F1168*I1168/100,2)</x:f>
        <x:v>2.24</x:v>
      </x:c>
      <x:c r="K1168" t="n">
        <x:v>3.1</x:v>
      </x:c>
      <x:c r="L1168" t="n">
        <x:f>ROUND(F1168*K1168/100,2)</x:f>
        <x:v>4.96</x:v>
      </x:c>
      <x:c r="M1168" t="n">
        <x:v>0.2</x:v>
      </x:c>
      <x:c r="N1168" t="n">
        <x:f>ROUND(F1168*M1168/100,2)</x:f>
        <x:v>0.32</x:v>
      </x:c>
      <x:c r="O1168" t="str">
        <x:v>生重</x:v>
      </x:c>
    </x:row>
    <x:row r="1169" ht="23" customHeight="1">
      <x:c r="A1169" t="n">
        <x:v>195</x:v>
      </x:c>
      <x:c r="B1169" t="n">
        <x:v>98</x:v>
      </x:c>
      <x:c r="C1169" t="str">
        <x:v>午餐</x:v>
      </x:c>
      <x:c r="D1169" t="str">
        <x:v>菌菇</x:v>
      </x:c>
      <x:c r="E1169" t="str">
        <x:v>口蘑</x:v>
      </x:c>
      <x:c r="F1169" t="n">
        <x:v>140</x:v>
      </x:c>
      <x:c r="G1169" t="n">
        <x:v>22</x:v>
      </x:c>
      <x:c r="H1169" t="n">
        <x:f>ROUND(F1169*G1169/100,2)</x:f>
        <x:v>30.8</x:v>
      </x:c>
      <x:c r="I1169" t="n">
        <x:v>3.1</x:v>
      </x:c>
      <x:c r="J1169" t="n">
        <x:f>ROUND(F1169*I1169/100,2)</x:f>
        <x:v>4.34</x:v>
      </x:c>
      <x:c r="K1169" t="n">
        <x:v>3.3</x:v>
      </x:c>
      <x:c r="L1169" t="n">
        <x:f>ROUND(F1169*K1169/100,2)</x:f>
        <x:v>4.62</x:v>
      </x:c>
      <x:c r="M1169" t="n">
        <x:v>0.3</x:v>
      </x:c>
      <x:c r="N1169" t="n">
        <x:f>ROUND(F1169*M1169/100,2)</x:f>
        <x:v>0.42</x:v>
      </x:c>
      <x:c r="O1169" t="str">
        <x:v>生重</x:v>
      </x:c>
    </x:row>
    <x:row r="1170" ht="23" customHeight="1">
      <x:c r="A1170" t="n">
        <x:v>195</x:v>
      </x:c>
      <x:c r="B1170" t="n">
        <x:v>98</x:v>
      </x:c>
      <x:c r="C1170" t="str">
        <x:v>午餐</x:v>
      </x:c>
      <x:c r="D1170" t="str">
        <x:v>主食</x:v>
      </x:c>
      <x:c r="E1170" t="str">
        <x:v>糙米饭</x:v>
      </x:c>
      <x:c r="F1170" t="n">
        <x:v>125</x:v>
      </x:c>
      <x:c r="G1170" t="n">
        <x:v>112</x:v>
      </x:c>
      <x:c r="H1170" t="n">
        <x:f>ROUND(F1170*G1170/100,2)</x:f>
        <x:v>140</x:v>
      </x:c>
      <x:c r="I1170" t="n">
        <x:v>2.6</x:v>
      </x:c>
      <x:c r="J1170" t="n">
        <x:f>ROUND(F1170*I1170/100,2)</x:f>
        <x:v>3.25</x:v>
      </x:c>
      <x:c r="K1170" t="n">
        <x:v>23.5</x:v>
      </x:c>
      <x:c r="L1170" t="n">
        <x:f>ROUND(F1170*K1170/100,2)</x:f>
        <x:v>29.38</x:v>
      </x:c>
      <x:c r="M1170" t="n">
        <x:v>0.9</x:v>
      </x:c>
      <x:c r="N1170" t="n">
        <x:f>ROUND(F1170*M1170/100,2)</x:f>
        <x:v>1.13</x:v>
      </x:c>
      <x:c r="O1170" t="str">
        <x:v>熟重</x:v>
      </x:c>
    </x:row>
    <x:row r="1171" ht="23" customHeight="1">
      <x:c r="A1171" t="n">
        <x:v>195</x:v>
      </x:c>
      <x:c r="B1171" t="n">
        <x:v>98</x:v>
      </x:c>
      <x:c r="C1171" t="str">
        <x:v>午餐</x:v>
      </x:c>
      <x:c r="D1171" t="str">
        <x:v>油脂</x:v>
      </x:c>
      <x:c r="E1171" t="str">
        <x:v>烹调油</x:v>
      </x:c>
      <x:c r="F1171" t="n">
        <x:v>4</x:v>
      </x:c>
      <x:c r="G1171" t="n">
        <x:v>900</x:v>
      </x:c>
      <x:c r="H1171" t="n">
        <x:f>ROUND(F1171*G1171/100,2)</x:f>
        <x:v>36</x:v>
      </x:c>
      <x:c r="I1171" t="n">
        <x:v>0</x:v>
      </x:c>
      <x:c r="J1171" t="n">
        <x:f>ROUND(F1171*I1171/100,2)</x:f>
        <x:v>0</x:v>
      </x:c>
      <x:c r="K1171" t="n">
        <x:v>0</x:v>
      </x:c>
      <x:c r="L1171" t="n">
        <x:f>ROUND(F1171*K1171/100,2)</x:f>
        <x:v>0</x:v>
      </x:c>
      <x:c r="M1171" t="n">
        <x:v>100</x:v>
      </x:c>
      <x:c r="N1171" t="n">
        <x:f>ROUND(F1171*M1171/100,2)</x:f>
        <x:v>4</x:v>
      </x:c>
      <x:c r="O1171" t="str">
        <x:v>实际用油重</x:v>
      </x:c>
    </x:row>
    <x:row r="1172" ht="23" customHeight="1">
      <x:c r="A1172" t="n">
        <x:v>196</x:v>
      </x:c>
      <x:c r="B1172" t="n">
        <x:v>98</x:v>
      </x:c>
      <x:c r="C1172" t="str">
        <x:v>晚餐</x:v>
      </x:c>
      <x:c r="D1172" t="str">
        <x:v>海鲜</x:v>
      </x:c>
      <x:c r="E1172" t="str">
        <x:v>虾仁</x:v>
      </x:c>
      <x:c r="F1172" t="n">
        <x:v>160</x:v>
      </x:c>
      <x:c r="G1172" t="n">
        <x:v>90</x:v>
      </x:c>
      <x:c r="H1172" t="n">
        <x:f>ROUND(F1172*G1172/100,2)</x:f>
        <x:v>144</x:v>
      </x:c>
      <x:c r="I1172" t="n">
        <x:v>19</x:v>
      </x:c>
      <x:c r="J1172" t="n">
        <x:f>ROUND(F1172*I1172/100,2)</x:f>
        <x:v>30.4</x:v>
      </x:c>
      <x:c r="K1172" t="n">
        <x:v>0.4</x:v>
      </x:c>
      <x:c r="L1172" t="n">
        <x:f>ROUND(F1172*K1172/100,2)</x:f>
        <x:v>0.64</x:v>
      </x:c>
      <x:c r="M1172" t="n">
        <x:v>1.1</x:v>
      </x:c>
      <x:c r="N1172" t="n">
        <x:f>ROUND(F1172*M1172/100,2)</x:f>
        <x:v>1.76</x:v>
      </x:c>
      <x:c r="O1172" t="str">
        <x:v>生重</x:v>
      </x:c>
    </x:row>
    <x:row r="1173" ht="23" customHeight="1">
      <x:c r="A1173" t="n">
        <x:v>196</x:v>
      </x:c>
      <x:c r="B1173" t="n">
        <x:v>98</x:v>
      </x:c>
      <x:c r="C1173" t="str">
        <x:v>晚餐</x:v>
      </x:c>
      <x:c r="D1173" t="str"/>
      <x:c r="E1173" t="str"/>
      <x:c r="F1173" t="n">
        <x:v>0</x:v>
      </x:c>
      <x:c r="G1173" t="n">
        <x:v>0</x:v>
      </x:c>
      <x:c r="H1173" t="n">
        <x:f>ROUND(F1173*G1173/100,2)</x:f>
        <x:v>0</x:v>
      </x:c>
      <x:c r="I1173" t="n">
        <x:v>0</x:v>
      </x:c>
      <x:c r="J1173" t="n">
        <x:f>ROUND(F1173*I1173/100,2)</x:f>
        <x:v>0</x:v>
      </x:c>
      <x:c r="K1173" t="n">
        <x:v>0</x:v>
      </x:c>
      <x:c r="L1173" t="n">
        <x:f>ROUND(F1173*K1173/100,2)</x:f>
        <x:v>0</x:v>
      </x:c>
      <x:c r="M1173" t="n">
        <x:v>0</x:v>
      </x:c>
      <x:c r="N1173" t="n">
        <x:f>ROUND(F1173*M1173/100,2)</x:f>
        <x:v>0</x:v>
      </x:c>
      <x:c r="O1173" t="str"/>
    </x:row>
    <x:row r="1174" ht="23" customHeight="1">
      <x:c r="A1174" t="n">
        <x:v>196</x:v>
      </x:c>
      <x:c r="B1174" t="n">
        <x:v>98</x:v>
      </x:c>
      <x:c r="C1174" t="str">
        <x:v>晚餐</x:v>
      </x:c>
      <x:c r="D1174" t="str">
        <x:v>蔬菜</x:v>
      </x:c>
      <x:c r="E1174" t="str">
        <x:v>丝瓜</x:v>
      </x:c>
      <x:c r="F1174" t="n">
        <x:v>140</x:v>
      </x:c>
      <x:c r="G1174" t="n">
        <x:v>20</x:v>
      </x:c>
      <x:c r="H1174" t="n">
        <x:f>ROUND(F1174*G1174/100,2)</x:f>
        <x:v>28</x:v>
      </x:c>
      <x:c r="I1174" t="n">
        <x:v>1</x:v>
      </x:c>
      <x:c r="J1174" t="n">
        <x:f>ROUND(F1174*I1174/100,2)</x:f>
        <x:v>1.4</x:v>
      </x:c>
      <x:c r="K1174" t="n">
        <x:v>4</x:v>
      </x:c>
      <x:c r="L1174" t="n">
        <x:f>ROUND(F1174*K1174/100,2)</x:f>
        <x:v>5.6</x:v>
      </x:c>
      <x:c r="M1174" t="n">
        <x:v>0.2</x:v>
      </x:c>
      <x:c r="N1174" t="n">
        <x:f>ROUND(F1174*M1174/100,2)</x:f>
        <x:v>0.28</x:v>
      </x:c>
      <x:c r="O1174" t="str">
        <x:v>生重</x:v>
      </x:c>
    </x:row>
    <x:row r="1175" ht="23" customHeight="1">
      <x:c r="A1175" t="n">
        <x:v>196</x:v>
      </x:c>
      <x:c r="B1175" t="n">
        <x:v>98</x:v>
      </x:c>
      <x:c r="C1175" t="str">
        <x:v>晚餐</x:v>
      </x:c>
      <x:c r="D1175" t="str">
        <x:v>蔬菜</x:v>
      </x:c>
      <x:c r="E1175" t="str">
        <x:v>海带</x:v>
      </x:c>
      <x:c r="F1175" t="n">
        <x:v>110</x:v>
      </x:c>
      <x:c r="G1175" t="n">
        <x:v>25</x:v>
      </x:c>
      <x:c r="H1175" t="n">
        <x:f>ROUND(F1175*G1175/100,2)</x:f>
        <x:v>27.5</x:v>
      </x:c>
      <x:c r="I1175" t="n">
        <x:v>1</x:v>
      </x:c>
      <x:c r="J1175" t="n">
        <x:f>ROUND(F1175*I1175/100,2)</x:f>
        <x:v>1.1</x:v>
      </x:c>
      <x:c r="K1175" t="n">
        <x:v>5</x:v>
      </x:c>
      <x:c r="L1175" t="n">
        <x:f>ROUND(F1175*K1175/100,2)</x:f>
        <x:v>5.5</x:v>
      </x:c>
      <x:c r="M1175" t="n">
        <x:v>0.1</x:v>
      </x:c>
      <x:c r="N1175" t="n">
        <x:f>ROUND(F1175*M1175/100,2)</x:f>
        <x:v>0.11</x:v>
      </x:c>
      <x:c r="O1175" t="str">
        <x:v>泡发沥水重</x:v>
      </x:c>
    </x:row>
    <x:row r="1176" ht="23" customHeight="1">
      <x:c r="A1176" t="n">
        <x:v>196</x:v>
      </x:c>
      <x:c r="B1176" t="n">
        <x:v>98</x:v>
      </x:c>
      <x:c r="C1176" t="str">
        <x:v>晚餐</x:v>
      </x:c>
      <x:c r="D1176" t="str">
        <x:v>主食</x:v>
      </x:c>
      <x:c r="E1176" t="str">
        <x:v>紫薯</x:v>
      </x:c>
      <x:c r="F1176" t="n">
        <x:v>135</x:v>
      </x:c>
      <x:c r="G1176" t="n">
        <x:v>95</x:v>
      </x:c>
      <x:c r="H1176" t="n">
        <x:f>ROUND(F1176*G1176/100,2)</x:f>
        <x:v>128.25</x:v>
      </x:c>
      <x:c r="I1176" t="n">
        <x:v>1.6</x:v>
      </x:c>
      <x:c r="J1176" t="n">
        <x:f>ROUND(F1176*I1176/100,2)</x:f>
        <x:v>2.16</x:v>
      </x:c>
      <x:c r="K1176" t="n">
        <x:v>22</x:v>
      </x:c>
      <x:c r="L1176" t="n">
        <x:f>ROUND(F1176*K1176/100,2)</x:f>
        <x:v>29.7</x:v>
      </x:c>
      <x:c r="M1176" t="n">
        <x:v>0.1</x:v>
      </x:c>
      <x:c r="N1176" t="n">
        <x:f>ROUND(F1176*M1176/100,2)</x:f>
        <x:v>0.14</x:v>
      </x:c>
      <x:c r="O1176" t="str">
        <x:v>蒸熟净重</x:v>
      </x:c>
    </x:row>
    <x:row r="1177" ht="23" customHeight="1">
      <x:c r="A1177" t="n">
        <x:v>196</x:v>
      </x:c>
      <x:c r="B1177" t="n">
        <x:v>98</x:v>
      </x:c>
      <x:c r="C1177" t="str">
        <x:v>晚餐</x:v>
      </x:c>
      <x:c r="D1177" t="str">
        <x:v>油脂</x:v>
      </x:c>
      <x:c r="E1177" t="str">
        <x:v>烹调油</x:v>
      </x:c>
      <x:c r="F1177" t="n">
        <x:v>5</x:v>
      </x:c>
      <x:c r="G1177" t="n">
        <x:v>900</x:v>
      </x:c>
      <x:c r="H1177" t="n">
        <x:f>ROUND(F1177*G1177/100,2)</x:f>
        <x:v>45</x:v>
      </x:c>
      <x:c r="I1177" t="n">
        <x:v>0</x:v>
      </x:c>
      <x:c r="J1177" t="n">
        <x:f>ROUND(F1177*I1177/100,2)</x:f>
        <x:v>0</x:v>
      </x:c>
      <x:c r="K1177" t="n">
        <x:v>0</x:v>
      </x:c>
      <x:c r="L1177" t="n">
        <x:f>ROUND(F1177*K1177/100,2)</x:f>
        <x:v>0</x:v>
      </x:c>
      <x:c r="M1177" t="n">
        <x:v>100</x:v>
      </x:c>
      <x:c r="N1177" t="n">
        <x:f>ROUND(F1177*M1177/100,2)</x:f>
        <x:v>5</x:v>
      </x:c>
      <x:c r="O1177" t="str">
        <x:v>实际用油重</x:v>
      </x:c>
    </x:row>
    <x:row r="1178" ht="23" customHeight="1">
      <x:c r="A1178" t="n">
        <x:v>197</x:v>
      </x:c>
      <x:c r="B1178" t="n">
        <x:v>99</x:v>
      </x:c>
      <x:c r="C1178" t="str">
        <x:v>午餐</x:v>
      </x:c>
      <x:c r="D1178" t="str">
        <x:v>鱼类</x:v>
      </x:c>
      <x:c r="E1178" t="str">
        <x:v>鲈鱼</x:v>
      </x:c>
      <x:c r="F1178" t="n">
        <x:v>200</x:v>
      </x:c>
      <x:c r="G1178" t="n">
        <x:v>105</x:v>
      </x:c>
      <x:c r="H1178" t="n">
        <x:f>ROUND(F1178*G1178/100,2)</x:f>
        <x:v>210</x:v>
      </x:c>
      <x:c r="I1178" t="n">
        <x:v>19</x:v>
      </x:c>
      <x:c r="J1178" t="n">
        <x:f>ROUND(F1178*I1178/100,2)</x:f>
        <x:v>38</x:v>
      </x:c>
      <x:c r="K1178" t="n">
        <x:v>0</x:v>
      </x:c>
      <x:c r="L1178" t="n">
        <x:f>ROUND(F1178*K1178/100,2)</x:f>
        <x:v>0</x:v>
      </x:c>
      <x:c r="M1178" t="n">
        <x:v>3</x:v>
      </x:c>
      <x:c r="N1178" t="n">
        <x:f>ROUND(F1178*M1178/100,2)</x:f>
        <x:v>6</x:v>
      </x:c>
      <x:c r="O1178" t="str">
        <x:v>净鱼肉生重</x:v>
      </x:c>
    </x:row>
    <x:row r="1179" ht="23" customHeight="1">
      <x:c r="A1179" t="n">
        <x:v>197</x:v>
      </x:c>
      <x:c r="B1179" t="n">
        <x:v>99</x:v>
      </x:c>
      <x:c r="C1179" t="str">
        <x:v>午餐</x:v>
      </x:c>
      <x:c r="D1179" t="str"/>
      <x:c r="E1179" t="str"/>
      <x:c r="F1179" t="n">
        <x:v>0</x:v>
      </x:c>
      <x:c r="G1179" t="n">
        <x:v>0</x:v>
      </x:c>
      <x:c r="H1179" t="n">
        <x:f>ROUND(F1179*G1179/100,2)</x:f>
        <x:v>0</x:v>
      </x:c>
      <x:c r="I1179" t="n">
        <x:v>0</x:v>
      </x:c>
      <x:c r="J1179" t="n">
        <x:f>ROUND(F1179*I1179/100,2)</x:f>
        <x:v>0</x:v>
      </x:c>
      <x:c r="K1179" t="n">
        <x:v>0</x:v>
      </x:c>
      <x:c r="L1179" t="n">
        <x:f>ROUND(F1179*K1179/100,2)</x:f>
        <x:v>0</x:v>
      </x:c>
      <x:c r="M1179" t="n">
        <x:v>0</x:v>
      </x:c>
      <x:c r="N1179" t="n">
        <x:f>ROUND(F1179*M1179/100,2)</x:f>
        <x:v>0</x:v>
      </x:c>
      <x:c r="O1179" t="str"/>
    </x:row>
    <x:row r="1180" ht="23" customHeight="1">
      <x:c r="A1180" t="n">
        <x:v>197</x:v>
      </x:c>
      <x:c r="B1180" t="n">
        <x:v>99</x:v>
      </x:c>
      <x:c r="C1180" t="str">
        <x:v>午餐</x:v>
      </x:c>
      <x:c r="D1180" t="str">
        <x:v>蔬菜</x:v>
      </x:c>
      <x:c r="E1180" t="str">
        <x:v>茼蒿</x:v>
      </x:c>
      <x:c r="F1180" t="n">
        <x:v>190</x:v>
      </x:c>
      <x:c r="G1180" t="n">
        <x:v>24</x:v>
      </x:c>
      <x:c r="H1180" t="n">
        <x:f>ROUND(F1180*G1180/100,2)</x:f>
        <x:v>45.6</x:v>
      </x:c>
      <x:c r="I1180" t="n">
        <x:v>1.9</x:v>
      </x:c>
      <x:c r="J1180" t="n">
        <x:f>ROUND(F1180*I1180/100,2)</x:f>
        <x:v>3.61</x:v>
      </x:c>
      <x:c r="K1180" t="n">
        <x:v>4.3</x:v>
      </x:c>
      <x:c r="L1180" t="n">
        <x:f>ROUND(F1180*K1180/100,2)</x:f>
        <x:v>8.17</x:v>
      </x:c>
      <x:c r="M1180" t="n">
        <x:v>0.3</x:v>
      </x:c>
      <x:c r="N1180" t="n">
        <x:f>ROUND(F1180*M1180/100,2)</x:f>
        <x:v>0.57</x:v>
      </x:c>
      <x:c r="O1180" t="str">
        <x:v>生重</x:v>
      </x:c>
    </x:row>
    <x:row r="1181" ht="23" customHeight="1">
      <x:c r="A1181" t="n">
        <x:v>197</x:v>
      </x:c>
      <x:c r="B1181" t="n">
        <x:v>99</x:v>
      </x:c>
      <x:c r="C1181" t="str">
        <x:v>午餐</x:v>
      </x:c>
      <x:c r="D1181" t="str">
        <x:v>菌菇</x:v>
      </x:c>
      <x:c r="E1181" t="str">
        <x:v>香菇</x:v>
      </x:c>
      <x:c r="F1181" t="n">
        <x:v>125</x:v>
      </x:c>
      <x:c r="G1181" t="n">
        <x:v>34</x:v>
      </x:c>
      <x:c r="H1181" t="n">
        <x:f>ROUND(F1181*G1181/100,2)</x:f>
        <x:v>42.5</x:v>
      </x:c>
      <x:c r="I1181" t="n">
        <x:v>2.2</x:v>
      </x:c>
      <x:c r="J1181" t="n">
        <x:f>ROUND(F1181*I1181/100,2)</x:f>
        <x:v>2.75</x:v>
      </x:c>
      <x:c r="K1181" t="n">
        <x:v>6.8</x:v>
      </x:c>
      <x:c r="L1181" t="n">
        <x:f>ROUND(F1181*K1181/100,2)</x:f>
        <x:v>8.5</x:v>
      </x:c>
      <x:c r="M1181" t="n">
        <x:v>0.5</x:v>
      </x:c>
      <x:c r="N1181" t="n">
        <x:f>ROUND(F1181*M1181/100,2)</x:f>
        <x:v>0.63</x:v>
      </x:c>
      <x:c r="O1181" t="str">
        <x:v>生重</x:v>
      </x:c>
    </x:row>
    <x:row r="1182" ht="23" customHeight="1">
      <x:c r="A1182" t="n">
        <x:v>197</x:v>
      </x:c>
      <x:c r="B1182" t="n">
        <x:v>99</x:v>
      </x:c>
      <x:c r="C1182" t="str">
        <x:v>午餐</x:v>
      </x:c>
      <x:c r="D1182" t="str">
        <x:v>主食</x:v>
      </x:c>
      <x:c r="E1182" t="str">
        <x:v>藜麦饭</x:v>
      </x:c>
      <x:c r="F1182" t="n">
        <x:v>165</x:v>
      </x:c>
      <x:c r="G1182" t="n">
        <x:v>120</x:v>
      </x:c>
      <x:c r="H1182" t="n">
        <x:f>ROUND(F1182*G1182/100,2)</x:f>
        <x:v>198</x:v>
      </x:c>
      <x:c r="I1182" t="n">
        <x:v>4.4</x:v>
      </x:c>
      <x:c r="J1182" t="n">
        <x:f>ROUND(F1182*I1182/100,2)</x:f>
        <x:v>7.26</x:v>
      </x:c>
      <x:c r="K1182" t="n">
        <x:v>21.3</x:v>
      </x:c>
      <x:c r="L1182" t="n">
        <x:f>ROUND(F1182*K1182/100,2)</x:f>
        <x:v>35.15</x:v>
      </x:c>
      <x:c r="M1182" t="n">
        <x:v>1.9</x:v>
      </x:c>
      <x:c r="N1182" t="n">
        <x:f>ROUND(F1182*M1182/100,2)</x:f>
        <x:v>3.14</x:v>
      </x:c>
      <x:c r="O1182" t="str">
        <x:v>熟重</x:v>
      </x:c>
    </x:row>
    <x:row r="1183" ht="23" customHeight="1">
      <x:c r="A1183" t="n">
        <x:v>197</x:v>
      </x:c>
      <x:c r="B1183" t="n">
        <x:v>99</x:v>
      </x:c>
      <x:c r="C1183" t="str">
        <x:v>午餐</x:v>
      </x:c>
      <x:c r="D1183" t="str">
        <x:v>油脂</x:v>
      </x:c>
      <x:c r="E1183" t="str">
        <x:v>烹调油</x:v>
      </x:c>
      <x:c r="F1183" t="n">
        <x:v>5</x:v>
      </x:c>
      <x:c r="G1183" t="n">
        <x:v>900</x:v>
      </x:c>
      <x:c r="H1183" t="n">
        <x:f>ROUND(F1183*G1183/100,2)</x:f>
        <x:v>45</x:v>
      </x:c>
      <x:c r="I1183" t="n">
        <x:v>0</x:v>
      </x:c>
      <x:c r="J1183" t="n">
        <x:f>ROUND(F1183*I1183/100,2)</x:f>
        <x:v>0</x:v>
      </x:c>
      <x:c r="K1183" t="n">
        <x:v>0</x:v>
      </x:c>
      <x:c r="L1183" t="n">
        <x:f>ROUND(F1183*K1183/100,2)</x:f>
        <x:v>0</x:v>
      </x:c>
      <x:c r="M1183" t="n">
        <x:v>100</x:v>
      </x:c>
      <x:c r="N1183" t="n">
        <x:f>ROUND(F1183*M1183/100,2)</x:f>
        <x:v>5</x:v>
      </x:c>
      <x:c r="O1183" t="str">
        <x:v>实际用油重</x:v>
      </x:c>
    </x:row>
    <x:row r="1184" ht="23" customHeight="1">
      <x:c r="A1184" t="n">
        <x:v>198</x:v>
      </x:c>
      <x:c r="B1184" t="n">
        <x:v>99</x:v>
      </x:c>
      <x:c r="C1184" t="str">
        <x:v>晚餐</x:v>
      </x:c>
      <x:c r="D1184" t="str">
        <x:v>鱼类</x:v>
      </x:c>
      <x:c r="E1184" t="str">
        <x:v>鳕鱼</x:v>
      </x:c>
      <x:c r="F1184" t="n">
        <x:v>200</x:v>
      </x:c>
      <x:c r="G1184" t="n">
        <x:v>85</x:v>
      </x:c>
      <x:c r="H1184" t="n">
        <x:f>ROUND(F1184*G1184/100,2)</x:f>
        <x:v>170</x:v>
      </x:c>
      <x:c r="I1184" t="n">
        <x:v>18</x:v>
      </x:c>
      <x:c r="J1184" t="n">
        <x:f>ROUND(F1184*I1184/100,2)</x:f>
        <x:v>36</x:v>
      </x:c>
      <x:c r="K1184" t="n">
        <x:v>0</x:v>
      </x:c>
      <x:c r="L1184" t="n">
        <x:f>ROUND(F1184*K1184/100,2)</x:f>
        <x:v>0</x:v>
      </x:c>
      <x:c r="M1184" t="n">
        <x:v>0.8</x:v>
      </x:c>
      <x:c r="N1184" t="n">
        <x:f>ROUND(F1184*M1184/100,2)</x:f>
        <x:v>1.6</x:v>
      </x:c>
      <x:c r="O1184" t="str">
        <x:v>净鱼肉生重</x:v>
      </x:c>
    </x:row>
    <x:row r="1185" ht="23" customHeight="1">
      <x:c r="A1185" t="n">
        <x:v>198</x:v>
      </x:c>
      <x:c r="B1185" t="n">
        <x:v>99</x:v>
      </x:c>
      <x:c r="C1185" t="str">
        <x:v>晚餐</x:v>
      </x:c>
      <x:c r="D1185" t="str"/>
      <x:c r="E1185" t="str"/>
      <x:c r="F1185" t="n">
        <x:v>0</x:v>
      </x:c>
      <x:c r="G1185" t="n">
        <x:v>0</x:v>
      </x:c>
      <x:c r="H1185" t="n">
        <x:f>ROUND(F1185*G1185/100,2)</x:f>
        <x:v>0</x:v>
      </x:c>
      <x:c r="I1185" t="n">
        <x:v>0</x:v>
      </x:c>
      <x:c r="J1185" t="n">
        <x:f>ROUND(F1185*I1185/100,2)</x:f>
        <x:v>0</x:v>
      </x:c>
      <x:c r="K1185" t="n">
        <x:v>0</x:v>
      </x:c>
      <x:c r="L1185" t="n">
        <x:f>ROUND(F1185*K1185/100,2)</x:f>
        <x:v>0</x:v>
      </x:c>
      <x:c r="M1185" t="n">
        <x:v>0</x:v>
      </x:c>
      <x:c r="N1185" t="n">
        <x:f>ROUND(F1185*M1185/100,2)</x:f>
        <x:v>0</x:v>
      </x:c>
      <x:c r="O1185" t="str"/>
    </x:row>
    <x:row r="1186" ht="23" customHeight="1">
      <x:c r="A1186" t="n">
        <x:v>198</x:v>
      </x:c>
      <x:c r="B1186" t="n">
        <x:v>99</x:v>
      </x:c>
      <x:c r="C1186" t="str">
        <x:v>晚餐</x:v>
      </x:c>
      <x:c r="D1186" t="str">
        <x:v>蔬菜</x:v>
      </x:c>
      <x:c r="E1186" t="str">
        <x:v>秋葵</x:v>
      </x:c>
      <x:c r="F1186" t="n">
        <x:v>160</x:v>
      </x:c>
      <x:c r="G1186" t="n">
        <x:v>33</x:v>
      </x:c>
      <x:c r="H1186" t="n">
        <x:f>ROUND(F1186*G1186/100,2)</x:f>
        <x:v>52.8</x:v>
      </x:c>
      <x:c r="I1186" t="n">
        <x:v>1.9</x:v>
      </x:c>
      <x:c r="J1186" t="n">
        <x:f>ROUND(F1186*I1186/100,2)</x:f>
        <x:v>3.04</x:v>
      </x:c>
      <x:c r="K1186" t="n">
        <x:v>7.5</x:v>
      </x:c>
      <x:c r="L1186" t="n">
        <x:f>ROUND(F1186*K1186/100,2)</x:f>
        <x:v>12</x:v>
      </x:c>
      <x:c r="M1186" t="n">
        <x:v>0.2</x:v>
      </x:c>
      <x:c r="N1186" t="n">
        <x:f>ROUND(F1186*M1186/100,2)</x:f>
        <x:v>0.32</x:v>
      </x:c>
      <x:c r="O1186" t="str">
        <x:v>生重</x:v>
      </x:c>
    </x:row>
    <x:row r="1187" ht="23" customHeight="1">
      <x:c r="A1187" t="n">
        <x:v>198</x:v>
      </x:c>
      <x:c r="B1187" t="n">
        <x:v>99</x:v>
      </x:c>
      <x:c r="C1187" t="str">
        <x:v>晚餐</x:v>
      </x:c>
      <x:c r="D1187" t="str">
        <x:v>菌菇</x:v>
      </x:c>
      <x:c r="E1187" t="str">
        <x:v>泡发木耳</x:v>
      </x:c>
      <x:c r="F1187" t="n">
        <x:v>140</x:v>
      </x:c>
      <x:c r="G1187" t="n">
        <x:v>25</x:v>
      </x:c>
      <x:c r="H1187" t="n">
        <x:f>ROUND(F1187*G1187/100,2)</x:f>
        <x:v>35</x:v>
      </x:c>
      <x:c r="I1187" t="n">
        <x:v>1.5</x:v>
      </x:c>
      <x:c r="J1187" t="n">
        <x:f>ROUND(F1187*I1187/100,2)</x:f>
        <x:v>2.1</x:v>
      </x:c>
      <x:c r="K1187" t="n">
        <x:v>6</x:v>
      </x:c>
      <x:c r="L1187" t="n">
        <x:f>ROUND(F1187*K1187/100,2)</x:f>
        <x:v>8.4</x:v>
      </x:c>
      <x:c r="M1187" t="n">
        <x:v>0.1</x:v>
      </x:c>
      <x:c r="N1187" t="n">
        <x:f>ROUND(F1187*M1187/100,2)</x:f>
        <x:v>0.14</x:v>
      </x:c>
      <x:c r="O1187" t="str">
        <x:v>泡发沥水重</x:v>
      </x:c>
    </x:row>
    <x:row r="1188" ht="23" customHeight="1">
      <x:c r="A1188" t="n">
        <x:v>198</x:v>
      </x:c>
      <x:c r="B1188" t="n">
        <x:v>99</x:v>
      </x:c>
      <x:c r="C1188" t="str">
        <x:v>晚餐</x:v>
      </x:c>
      <x:c r="D1188" t="str">
        <x:v>主食</x:v>
      </x:c>
      <x:c r="E1188" t="str">
        <x:v>白米饭</x:v>
      </x:c>
      <x:c r="F1188" t="n">
        <x:v>80</x:v>
      </x:c>
      <x:c r="G1188" t="n">
        <x:v>116</x:v>
      </x:c>
      <x:c r="H1188" t="n">
        <x:f>ROUND(F1188*G1188/100,2)</x:f>
        <x:v>92.8</x:v>
      </x:c>
      <x:c r="I1188" t="n">
        <x:v>2.6</x:v>
      </x:c>
      <x:c r="J1188" t="n">
        <x:f>ROUND(F1188*I1188/100,2)</x:f>
        <x:v>2.08</x:v>
      </x:c>
      <x:c r="K1188" t="n">
        <x:v>25.6</x:v>
      </x:c>
      <x:c r="L1188" t="n">
        <x:f>ROUND(F1188*K1188/100,2)</x:f>
        <x:v>20.48</x:v>
      </x:c>
      <x:c r="M1188" t="n">
        <x:v>0.3</x:v>
      </x:c>
      <x:c r="N1188" t="n">
        <x:f>ROUND(F1188*M1188/100,2)</x:f>
        <x:v>0.24</x:v>
      </x:c>
      <x:c r="O1188" t="str">
        <x:v>熟重</x:v>
      </x:c>
    </x:row>
    <x:row r="1189" ht="23" customHeight="1">
      <x:c r="A1189" t="n">
        <x:v>198</x:v>
      </x:c>
      <x:c r="B1189" t="n">
        <x:v>99</x:v>
      </x:c>
      <x:c r="C1189" t="str">
        <x:v>晚餐</x:v>
      </x:c>
      <x:c r="D1189" t="str">
        <x:v>油脂</x:v>
      </x:c>
      <x:c r="E1189" t="str">
        <x:v>烹调油</x:v>
      </x:c>
      <x:c r="F1189" t="n">
        <x:v>6</x:v>
      </x:c>
      <x:c r="G1189" t="n">
        <x:v>900</x:v>
      </x:c>
      <x:c r="H1189" t="n">
        <x:f>ROUND(F1189*G1189/100,2)</x:f>
        <x:v>54</x:v>
      </x:c>
      <x:c r="I1189" t="n">
        <x:v>0</x:v>
      </x:c>
      <x:c r="J1189" t="n">
        <x:f>ROUND(F1189*I1189/100,2)</x:f>
        <x:v>0</x:v>
      </x:c>
      <x:c r="K1189" t="n">
        <x:v>0</x:v>
      </x:c>
      <x:c r="L1189" t="n">
        <x:f>ROUND(F1189*K1189/100,2)</x:f>
        <x:v>0</x:v>
      </x:c>
      <x:c r="M1189" t="n">
        <x:v>100</x:v>
      </x:c>
      <x:c r="N1189" t="n">
        <x:f>ROUND(F1189*M1189/100,2)</x:f>
        <x:v>6</x:v>
      </x:c>
      <x:c r="O1189" t="str">
        <x:v>实际用油重</x:v>
      </x:c>
    </x:row>
    <x:row r="1190" ht="23" customHeight="1">
      <x:c r="A1190" t="n">
        <x:v>199</x:v>
      </x:c>
      <x:c r="B1190" t="n">
        <x:v>100</x:v>
      </x:c>
      <x:c r="C1190" t="str">
        <x:v>午餐</x:v>
      </x:c>
      <x:c r="D1190" t="str">
        <x:v>禽肉</x:v>
      </x:c>
      <x:c r="E1190" t="str">
        <x:v>去皮鸡腿肉</x:v>
      </x:c>
      <x:c r="F1190" t="n">
        <x:v>185</x:v>
      </x:c>
      <x:c r="G1190" t="n">
        <x:v>125</x:v>
      </x:c>
      <x:c r="H1190" t="n">
        <x:f>ROUND(F1190*G1190/100,2)</x:f>
        <x:v>231.25</x:v>
      </x:c>
      <x:c r="I1190" t="n">
        <x:v>20</x:v>
      </x:c>
      <x:c r="J1190" t="n">
        <x:f>ROUND(F1190*I1190/100,2)</x:f>
        <x:v>37</x:v>
      </x:c>
      <x:c r="K1190" t="n">
        <x:v>0</x:v>
      </x:c>
      <x:c r="L1190" t="n">
        <x:f>ROUND(F1190*K1190/100,2)</x:f>
        <x:v>0</x:v>
      </x:c>
      <x:c r="M1190" t="n">
        <x:v>5</x:v>
      </x:c>
      <x:c r="N1190" t="n">
        <x:f>ROUND(F1190*M1190/100,2)</x:f>
        <x:v>9.25</x:v>
      </x:c>
      <x:c r="O1190" t="str">
        <x:v>生重</x:v>
      </x:c>
    </x:row>
    <x:row r="1191" ht="23" customHeight="1">
      <x:c r="A1191" t="n">
        <x:v>199</x:v>
      </x:c>
      <x:c r="B1191" t="n">
        <x:v>100</x:v>
      </x:c>
      <x:c r="C1191" t="str">
        <x:v>午餐</x:v>
      </x:c>
      <x:c r="D1191" t="str"/>
      <x:c r="E1191" t="str"/>
      <x:c r="F1191" t="n">
        <x:v>0</x:v>
      </x:c>
      <x:c r="G1191" t="n">
        <x:v>0</x:v>
      </x:c>
      <x:c r="H1191" t="n">
        <x:f>ROUND(F1191*G1191/100,2)</x:f>
        <x:v>0</x:v>
      </x:c>
      <x:c r="I1191" t="n">
        <x:v>0</x:v>
      </x:c>
      <x:c r="J1191" t="n">
        <x:f>ROUND(F1191*I1191/100,2)</x:f>
        <x:v>0</x:v>
      </x:c>
      <x:c r="K1191" t="n">
        <x:v>0</x:v>
      </x:c>
      <x:c r="L1191" t="n">
        <x:f>ROUND(F1191*K1191/100,2)</x:f>
        <x:v>0</x:v>
      </x:c>
      <x:c r="M1191" t="n">
        <x:v>0</x:v>
      </x:c>
      <x:c r="N1191" t="n">
        <x:f>ROUND(F1191*M1191/100,2)</x:f>
        <x:v>0</x:v>
      </x:c>
      <x:c r="O1191" t="str"/>
    </x:row>
    <x:row r="1192" ht="23" customHeight="1">
      <x:c r="A1192" t="n">
        <x:v>199</x:v>
      </x:c>
      <x:c r="B1192" t="n">
        <x:v>100</x:v>
      </x:c>
      <x:c r="C1192" t="str">
        <x:v>午餐</x:v>
      </x:c>
      <x:c r="D1192" t="str">
        <x:v>蔬菜</x:v>
      </x:c>
      <x:c r="E1192" t="str">
        <x:v>彩椒</x:v>
      </x:c>
      <x:c r="F1192" t="n">
        <x:v>175</x:v>
      </x:c>
      <x:c r="G1192" t="n">
        <x:v>27</x:v>
      </x:c>
      <x:c r="H1192" t="n">
        <x:f>ROUND(F1192*G1192/100,2)</x:f>
        <x:v>47.25</x:v>
      </x:c>
      <x:c r="I1192" t="n">
        <x:v>1</x:v>
      </x:c>
      <x:c r="J1192" t="n">
        <x:f>ROUND(F1192*I1192/100,2)</x:f>
        <x:v>1.75</x:v>
      </x:c>
      <x:c r="K1192" t="n">
        <x:v>6.1</x:v>
      </x:c>
      <x:c r="L1192" t="n">
        <x:f>ROUND(F1192*K1192/100,2)</x:f>
        <x:v>10.68</x:v>
      </x:c>
      <x:c r="M1192" t="n">
        <x:v>0.2</x:v>
      </x:c>
      <x:c r="N1192" t="n">
        <x:f>ROUND(F1192*M1192/100,2)</x:f>
        <x:v>0.35</x:v>
      </x:c>
      <x:c r="O1192" t="str">
        <x:v>生重</x:v>
      </x:c>
    </x:row>
    <x:row r="1193" ht="23" customHeight="1">
      <x:c r="A1193" t="n">
        <x:v>199</x:v>
      </x:c>
      <x:c r="B1193" t="n">
        <x:v>100</x:v>
      </x:c>
      <x:c r="C1193" t="str">
        <x:v>午餐</x:v>
      </x:c>
      <x:c r="D1193" t="str">
        <x:v>菌菇</x:v>
      </x:c>
      <x:c r="E1193" t="str">
        <x:v>香菇</x:v>
      </x:c>
      <x:c r="F1193" t="n">
        <x:v>140</x:v>
      </x:c>
      <x:c r="G1193" t="n">
        <x:v>34</x:v>
      </x:c>
      <x:c r="H1193" t="n">
        <x:f>ROUND(F1193*G1193/100,2)</x:f>
        <x:v>47.6</x:v>
      </x:c>
      <x:c r="I1193" t="n">
        <x:v>2.2</x:v>
      </x:c>
      <x:c r="J1193" t="n">
        <x:f>ROUND(F1193*I1193/100,2)</x:f>
        <x:v>3.08</x:v>
      </x:c>
      <x:c r="K1193" t="n">
        <x:v>6.8</x:v>
      </x:c>
      <x:c r="L1193" t="n">
        <x:f>ROUND(F1193*K1193/100,2)</x:f>
        <x:v>9.52</x:v>
      </x:c>
      <x:c r="M1193" t="n">
        <x:v>0.5</x:v>
      </x:c>
      <x:c r="N1193" t="n">
        <x:f>ROUND(F1193*M1193/100,2)</x:f>
        <x:v>0.7</x:v>
      </x:c>
      <x:c r="O1193" t="str">
        <x:v>生重</x:v>
      </x:c>
    </x:row>
    <x:row r="1194" ht="23" customHeight="1">
      <x:c r="A1194" t="n">
        <x:v>199</x:v>
      </x:c>
      <x:c r="B1194" t="n">
        <x:v>100</x:v>
      </x:c>
      <x:c r="C1194" t="str">
        <x:v>午餐</x:v>
      </x:c>
      <x:c r="D1194" t="str">
        <x:v>主食</x:v>
      </x:c>
      <x:c r="E1194" t="str">
        <x:v>荞麦面</x:v>
      </x:c>
      <x:c r="F1194" t="n">
        <x:v>165</x:v>
      </x:c>
      <x:c r="G1194" t="n">
        <x:v>105</x:v>
      </x:c>
      <x:c r="H1194" t="n">
        <x:f>ROUND(F1194*G1194/100,2)</x:f>
        <x:v>173.25</x:v>
      </x:c>
      <x:c r="I1194" t="n">
        <x:v>4</x:v>
      </x:c>
      <x:c r="J1194" t="n">
        <x:f>ROUND(F1194*I1194/100,2)</x:f>
        <x:v>6.6</x:v>
      </x:c>
      <x:c r="K1194" t="n">
        <x:v>21</x:v>
      </x:c>
      <x:c r="L1194" t="n">
        <x:f>ROUND(F1194*K1194/100,2)</x:f>
        <x:v>34.65</x:v>
      </x:c>
      <x:c r="M1194" t="n">
        <x:v>0.7</x:v>
      </x:c>
      <x:c r="N1194" t="n">
        <x:f>ROUND(F1194*M1194/100,2)</x:f>
        <x:v>1.15</x:v>
      </x:c>
      <x:c r="O1194" t="str">
        <x:v>煮熟沥水重</x:v>
      </x:c>
    </x:row>
    <x:row r="1195" ht="23" customHeight="1">
      <x:c r="A1195" t="n">
        <x:v>199</x:v>
      </x:c>
      <x:c r="B1195" t="n">
        <x:v>100</x:v>
      </x:c>
      <x:c r="C1195" t="str">
        <x:v>午餐</x:v>
      </x:c>
      <x:c r="D1195" t="str">
        <x:v>油脂</x:v>
      </x:c>
      <x:c r="E1195" t="str">
        <x:v>烹调油</x:v>
      </x:c>
      <x:c r="F1195" t="n">
        <x:v>6</x:v>
      </x:c>
      <x:c r="G1195" t="n">
        <x:v>900</x:v>
      </x:c>
      <x:c r="H1195" t="n">
        <x:f>ROUND(F1195*G1195/100,2)</x:f>
        <x:v>54</x:v>
      </x:c>
      <x:c r="I1195" t="n">
        <x:v>0</x:v>
      </x:c>
      <x:c r="J1195" t="n">
        <x:f>ROUND(F1195*I1195/100,2)</x:f>
        <x:v>0</x:v>
      </x:c>
      <x:c r="K1195" t="n">
        <x:v>0</x:v>
      </x:c>
      <x:c r="L1195" t="n">
        <x:f>ROUND(F1195*K1195/100,2)</x:f>
        <x:v>0</x:v>
      </x:c>
      <x:c r="M1195" t="n">
        <x:v>100</x:v>
      </x:c>
      <x:c r="N1195" t="n">
        <x:f>ROUND(F1195*M1195/100,2)</x:f>
        <x:v>6</x:v>
      </x:c>
      <x:c r="O1195" t="str">
        <x:v>实际用油重</x:v>
      </x:c>
    </x:row>
    <x:row r="1196" ht="23" customHeight="1">
      <x:c r="A1196" t="n">
        <x:v>200</x:v>
      </x:c>
      <x:c r="B1196" t="n">
        <x:v>100</x:v>
      </x:c>
      <x:c r="C1196" t="str">
        <x:v>晚餐</x:v>
      </x:c>
      <x:c r="D1196" t="str">
        <x:v>牛肉</x:v>
      </x:c>
      <x:c r="E1196" t="str">
        <x:v>牛里脊</x:v>
      </x:c>
      <x:c r="F1196" t="n">
        <x:v>160</x:v>
      </x:c>
      <x:c r="G1196" t="n">
        <x:v>130</x:v>
      </x:c>
      <x:c r="H1196" t="n">
        <x:f>ROUND(F1196*G1196/100,2)</x:f>
        <x:v>208</x:v>
      </x:c>
      <x:c r="I1196" t="n">
        <x:v>21</x:v>
      </x:c>
      <x:c r="J1196" t="n">
        <x:f>ROUND(F1196*I1196/100,2)</x:f>
        <x:v>33.6</x:v>
      </x:c>
      <x:c r="K1196" t="n">
        <x:v>0</x:v>
      </x:c>
      <x:c r="L1196" t="n">
        <x:f>ROUND(F1196*K1196/100,2)</x:f>
        <x:v>0</x:v>
      </x:c>
      <x:c r="M1196" t="n">
        <x:v>4.8</x:v>
      </x:c>
      <x:c r="N1196" t="n">
        <x:f>ROUND(F1196*M1196/100,2)</x:f>
        <x:v>7.68</x:v>
      </x:c>
      <x:c r="O1196" t="str">
        <x:v>生重</x:v>
      </x:c>
    </x:row>
    <x:row r="1197" ht="23" customHeight="1">
      <x:c r="A1197" t="n">
        <x:v>200</x:v>
      </x:c>
      <x:c r="B1197" t="n">
        <x:v>100</x:v>
      </x:c>
      <x:c r="C1197" t="str">
        <x:v>晚餐</x:v>
      </x:c>
      <x:c r="D1197" t="str"/>
      <x:c r="E1197" t="str"/>
      <x:c r="F1197" t="n">
        <x:v>0</x:v>
      </x:c>
      <x:c r="G1197" t="n">
        <x:v>0</x:v>
      </x:c>
      <x:c r="H1197" t="n">
        <x:f>ROUND(F1197*G1197/100,2)</x:f>
        <x:v>0</x:v>
      </x:c>
      <x:c r="I1197" t="n">
        <x:v>0</x:v>
      </x:c>
      <x:c r="J1197" t="n">
        <x:f>ROUND(F1197*I1197/100,2)</x:f>
        <x:v>0</x:v>
      </x:c>
      <x:c r="K1197" t="n">
        <x:v>0</x:v>
      </x:c>
      <x:c r="L1197" t="n">
        <x:f>ROUND(F1197*K1197/100,2)</x:f>
        <x:v>0</x:v>
      </x:c>
      <x:c r="M1197" t="n">
        <x:v>0</x:v>
      </x:c>
      <x:c r="N1197" t="n">
        <x:f>ROUND(F1197*M1197/100,2)</x:f>
        <x:v>0</x:v>
      </x:c>
      <x:c r="O1197" t="str"/>
    </x:row>
    <x:row r="1198" ht="23" customHeight="1">
      <x:c r="A1198" t="n">
        <x:v>200</x:v>
      </x:c>
      <x:c r="B1198" t="n">
        <x:v>100</x:v>
      </x:c>
      <x:c r="C1198" t="str">
        <x:v>晚餐</x:v>
      </x:c>
      <x:c r="D1198" t="str">
        <x:v>蔬菜</x:v>
      </x:c>
      <x:c r="E1198" t="str">
        <x:v>番茄</x:v>
      </x:c>
      <x:c r="F1198" t="n">
        <x:v>190</x:v>
      </x:c>
      <x:c r="G1198" t="n">
        <x:v>20</x:v>
      </x:c>
      <x:c r="H1198" t="n">
        <x:f>ROUND(F1198*G1198/100,2)</x:f>
        <x:v>38</x:v>
      </x:c>
      <x:c r="I1198" t="n">
        <x:v>0.9</x:v>
      </x:c>
      <x:c r="J1198" t="n">
        <x:f>ROUND(F1198*I1198/100,2)</x:f>
        <x:v>1.71</x:v>
      </x:c>
      <x:c r="K1198" t="n">
        <x:v>4</x:v>
      </x:c>
      <x:c r="L1198" t="n">
        <x:f>ROUND(F1198*K1198/100,2)</x:f>
        <x:v>7.6</x:v>
      </x:c>
      <x:c r="M1198" t="n">
        <x:v>0.2</x:v>
      </x:c>
      <x:c r="N1198" t="n">
        <x:f>ROUND(F1198*M1198/100,2)</x:f>
        <x:v>0.38</x:v>
      </x:c>
      <x:c r="O1198" t="str">
        <x:v>生重</x:v>
      </x:c>
    </x:row>
    <x:row r="1199" ht="23" customHeight="1">
      <x:c r="A1199" t="n">
        <x:v>200</x:v>
      </x:c>
      <x:c r="B1199" t="n">
        <x:v>100</x:v>
      </x:c>
      <x:c r="C1199" t="str">
        <x:v>晚餐</x:v>
      </x:c>
      <x:c r="D1199" t="str">
        <x:v>菌菇</x:v>
      </x:c>
      <x:c r="E1199" t="str">
        <x:v>泡发木耳</x:v>
      </x:c>
      <x:c r="F1199" t="n">
        <x:v>125</x:v>
      </x:c>
      <x:c r="G1199" t="n">
        <x:v>25</x:v>
      </x:c>
      <x:c r="H1199" t="n">
        <x:f>ROUND(F1199*G1199/100,2)</x:f>
        <x:v>31.25</x:v>
      </x:c>
      <x:c r="I1199" t="n">
        <x:v>1.5</x:v>
      </x:c>
      <x:c r="J1199" t="n">
        <x:f>ROUND(F1199*I1199/100,2)</x:f>
        <x:v>1.88</x:v>
      </x:c>
      <x:c r="K1199" t="n">
        <x:v>6</x:v>
      </x:c>
      <x:c r="L1199" t="n">
        <x:f>ROUND(F1199*K1199/100,2)</x:f>
        <x:v>7.5</x:v>
      </x:c>
      <x:c r="M1199" t="n">
        <x:v>0.1</x:v>
      </x:c>
      <x:c r="N1199" t="n">
        <x:f>ROUND(F1199*M1199/100,2)</x:f>
        <x:v>0.13</x:v>
      </x:c>
      <x:c r="O1199" t="str">
        <x:v>泡发沥水重</x:v>
      </x:c>
    </x:row>
    <x:row r="1200" ht="23" customHeight="1">
      <x:c r="A1200" t="n">
        <x:v>200</x:v>
      </x:c>
      <x:c r="B1200" t="n">
        <x:v>100</x:v>
      </x:c>
      <x:c r="C1200" t="str">
        <x:v>晚餐</x:v>
      </x:c>
      <x:c r="D1200" t="str">
        <x:v>主食</x:v>
      </x:c>
      <x:c r="E1200" t="str">
        <x:v>荞麦饭</x:v>
      </x:c>
      <x:c r="F1200" t="n">
        <x:v>110</x:v>
      </x:c>
      <x:c r="G1200" t="n">
        <x:v>110</x:v>
      </x:c>
      <x:c r="H1200" t="n">
        <x:f>ROUND(F1200*G1200/100,2)</x:f>
        <x:v>121</x:v>
      </x:c>
      <x:c r="I1200" t="n">
        <x:v>3.4</x:v>
      </x:c>
      <x:c r="J1200" t="n">
        <x:f>ROUND(F1200*I1200/100,2)</x:f>
        <x:v>3.74</x:v>
      </x:c>
      <x:c r="K1200" t="n">
        <x:v>22</x:v>
      </x:c>
      <x:c r="L1200" t="n">
        <x:f>ROUND(F1200*K1200/100,2)</x:f>
        <x:v>24.2</x:v>
      </x:c>
      <x:c r="M1200" t="n">
        <x:v>1.1</x:v>
      </x:c>
      <x:c r="N1200" t="n">
        <x:f>ROUND(F1200*M1200/100,2)</x:f>
        <x:v>1.21</x:v>
      </x:c>
      <x:c r="O1200" t="str">
        <x:v>熟重</x:v>
      </x:c>
    </x:row>
    <x:row r="1201" ht="23" customHeight="1">
      <x:c r="A1201" t="n">
        <x:v>200</x:v>
      </x:c>
      <x:c r="B1201" t="n">
        <x:v>100</x:v>
      </x:c>
      <x:c r="C1201" t="str">
        <x:v>晚餐</x:v>
      </x:c>
      <x:c r="D1201" t="str">
        <x:v>油脂</x:v>
      </x:c>
      <x:c r="E1201" t="str">
        <x:v>烹调油</x:v>
      </x:c>
      <x:c r="F1201" t="n">
        <x:v>3</x:v>
      </x:c>
      <x:c r="G1201" t="n">
        <x:v>900</x:v>
      </x:c>
      <x:c r="H1201" t="n">
        <x:f>ROUND(F1201*G1201/100,2)</x:f>
        <x:v>27</x:v>
      </x:c>
      <x:c r="I1201" t="n">
        <x:v>0</x:v>
      </x:c>
      <x:c r="J1201" t="n">
        <x:f>ROUND(F1201*I1201/100,2)</x:f>
        <x:v>0</x:v>
      </x:c>
      <x:c r="K1201" t="n">
        <x:v>0</x:v>
      </x:c>
      <x:c r="L1201" t="n">
        <x:f>ROUND(F1201*K1201/100,2)</x:f>
        <x:v>0</x:v>
      </x:c>
      <x:c r="M1201" t="n">
        <x:v>100</x:v>
      </x:c>
      <x:c r="N1201" t="n">
        <x:f>ROUND(F1201*M1201/100,2)</x:f>
        <x:v>3</x:v>
      </x:c>
      <x:c r="O1201" t="str">
        <x:v>实际用油重</x:v>
      </x:c>
    </x:row>
    <x:row r="1202" ht="23" customHeight="1">
      <x:c r="A1202" t="n">
        <x:v>201</x:v>
      </x:c>
      <x:c r="B1202" t="n">
        <x:v>101</x:v>
      </x:c>
      <x:c r="C1202" t="str">
        <x:v>午餐</x:v>
      </x:c>
      <x:c r="D1202" t="str">
        <x:v>豆蛋</x:v>
      </x:c>
      <x:c r="E1202" t="str">
        <x:v>北豆腐</x:v>
      </x:c>
      <x:c r="F1202" t="n">
        <x:v>260</x:v>
      </x:c>
      <x:c r="G1202" t="n">
        <x:v>90</x:v>
      </x:c>
      <x:c r="H1202" t="n">
        <x:f>ROUND(F1202*G1202/100,2)</x:f>
        <x:v>234</x:v>
      </x:c>
      <x:c r="I1202" t="n">
        <x:v>10</x:v>
      </x:c>
      <x:c r="J1202" t="n">
        <x:f>ROUND(F1202*I1202/100,2)</x:f>
        <x:v>26</x:v>
      </x:c>
      <x:c r="K1202" t="n">
        <x:v>2</x:v>
      </x:c>
      <x:c r="L1202" t="n">
        <x:f>ROUND(F1202*K1202/100,2)</x:f>
        <x:v>5.2</x:v>
      </x:c>
      <x:c r="M1202" t="n">
        <x:v>5</x:v>
      </x:c>
      <x:c r="N1202" t="n">
        <x:f>ROUND(F1202*M1202/100,2)</x:f>
        <x:v>13</x:v>
      </x:c>
      <x:c r="O1202" t="str">
        <x:v>净重</x:v>
      </x:c>
    </x:row>
    <x:row r="1203" ht="23" customHeight="1">
      <x:c r="A1203" t="n">
        <x:v>201</x:v>
      </x:c>
      <x:c r="B1203" t="n">
        <x:v>101</x:v>
      </x:c>
      <x:c r="C1203" t="str">
        <x:v>午餐</x:v>
      </x:c>
      <x:c r="D1203" t="str">
        <x:v>豆蛋</x:v>
      </x:c>
      <x:c r="E1203" t="str">
        <x:v>鸡蛋</x:v>
      </x:c>
      <x:c r="F1203" t="n">
        <x:v>50</x:v>
      </x:c>
      <x:c r="G1203" t="n">
        <x:v>144</x:v>
      </x:c>
      <x:c r="H1203" t="n">
        <x:f>ROUND(F1203*G1203/100,2)</x:f>
        <x:v>72</x:v>
      </x:c>
      <x:c r="I1203" t="n">
        <x:v>13</x:v>
      </x:c>
      <x:c r="J1203" t="n">
        <x:f>ROUND(F1203*I1203/100,2)</x:f>
        <x:v>6.5</x:v>
      </x:c>
      <x:c r="K1203" t="n">
        <x:v>1.1</x:v>
      </x:c>
      <x:c r="L1203" t="n">
        <x:f>ROUND(F1203*K1203/100,2)</x:f>
        <x:v>0.55</x:v>
      </x:c>
      <x:c r="M1203" t="n">
        <x:v>10</x:v>
      </x:c>
      <x:c r="N1203" t="n">
        <x:f>ROUND(F1203*M1203/100,2)</x:f>
        <x:v>5</x:v>
      </x:c>
      <x:c r="O1203" t="str">
        <x:v>去壳可食重</x:v>
      </x:c>
    </x:row>
    <x:row r="1204" ht="23" customHeight="1">
      <x:c r="A1204" t="n">
        <x:v>201</x:v>
      </x:c>
      <x:c r="B1204" t="n">
        <x:v>101</x:v>
      </x:c>
      <x:c r="C1204" t="str">
        <x:v>午餐</x:v>
      </x:c>
      <x:c r="D1204" t="str">
        <x:v>蔬菜</x:v>
      </x:c>
      <x:c r="E1204" t="str">
        <x:v>西兰花</x:v>
      </x:c>
      <x:c r="F1204" t="n">
        <x:v>160</x:v>
      </x:c>
      <x:c r="G1204" t="n">
        <x:v>34</x:v>
      </x:c>
      <x:c r="H1204" t="n">
        <x:f>ROUND(F1204*G1204/100,2)</x:f>
        <x:v>54.4</x:v>
      </x:c>
      <x:c r="I1204" t="n">
        <x:v>2.8</x:v>
      </x:c>
      <x:c r="J1204" t="n">
        <x:f>ROUND(F1204*I1204/100,2)</x:f>
        <x:v>4.48</x:v>
      </x:c>
      <x:c r="K1204" t="n">
        <x:v>7</x:v>
      </x:c>
      <x:c r="L1204" t="n">
        <x:f>ROUND(F1204*K1204/100,2)</x:f>
        <x:v>11.2</x:v>
      </x:c>
      <x:c r="M1204" t="n">
        <x:v>0.4</x:v>
      </x:c>
      <x:c r="N1204" t="n">
        <x:f>ROUND(F1204*M1204/100,2)</x:f>
        <x:v>0.64</x:v>
      </x:c>
      <x:c r="O1204" t="str">
        <x:v>生重</x:v>
      </x:c>
    </x:row>
    <x:row r="1205" ht="23" customHeight="1">
      <x:c r="A1205" t="n">
        <x:v>201</x:v>
      </x:c>
      <x:c r="B1205" t="n">
        <x:v>101</x:v>
      </x:c>
      <x:c r="C1205" t="str">
        <x:v>午餐</x:v>
      </x:c>
      <x:c r="D1205" t="str">
        <x:v>蔬菜</x:v>
      </x:c>
      <x:c r="E1205" t="str">
        <x:v>黄瓜</x:v>
      </x:c>
      <x:c r="F1205" t="n">
        <x:v>110</x:v>
      </x:c>
      <x:c r="G1205" t="n">
        <x:v>16</x:v>
      </x:c>
      <x:c r="H1205" t="n">
        <x:f>ROUND(F1205*G1205/100,2)</x:f>
        <x:v>17.6</x:v>
      </x:c>
      <x:c r="I1205" t="n">
        <x:v>0.7</x:v>
      </x:c>
      <x:c r="J1205" t="n">
        <x:f>ROUND(F1205*I1205/100,2)</x:f>
        <x:v>0.77</x:v>
      </x:c>
      <x:c r="K1205" t="n">
        <x:v>3.6</x:v>
      </x:c>
      <x:c r="L1205" t="n">
        <x:f>ROUND(F1205*K1205/100,2)</x:f>
        <x:v>3.96</x:v>
      </x:c>
      <x:c r="M1205" t="n">
        <x:v>0.1</x:v>
      </x:c>
      <x:c r="N1205" t="n">
        <x:f>ROUND(F1205*M1205/100,2)</x:f>
        <x:v>0.11</x:v>
      </x:c>
      <x:c r="O1205" t="str">
        <x:v>生重</x:v>
      </x:c>
    </x:row>
    <x:row r="1206" ht="23" customHeight="1">
      <x:c r="A1206" t="n">
        <x:v>201</x:v>
      </x:c>
      <x:c r="B1206" t="n">
        <x:v>101</x:v>
      </x:c>
      <x:c r="C1206" t="str">
        <x:v>午餐</x:v>
      </x:c>
      <x:c r="D1206" t="str">
        <x:v>主食</x:v>
      </x:c>
      <x:c r="E1206" t="str">
        <x:v>红薯</x:v>
      </x:c>
      <x:c r="F1206" t="n">
        <x:v>165</x:v>
      </x:c>
      <x:c r="G1206" t="n">
        <x:v>88</x:v>
      </x:c>
      <x:c r="H1206" t="n">
        <x:f>ROUND(F1206*G1206/100,2)</x:f>
        <x:v>145.2</x:v>
      </x:c>
      <x:c r="I1206" t="n">
        <x:v>1.6</x:v>
      </x:c>
      <x:c r="J1206" t="n">
        <x:f>ROUND(F1206*I1206/100,2)</x:f>
        <x:v>2.64</x:v>
      </x:c>
      <x:c r="K1206" t="n">
        <x:v>20.5</x:v>
      </x:c>
      <x:c r="L1206" t="n">
        <x:f>ROUND(F1206*K1206/100,2)</x:f>
        <x:v>33.83</x:v>
      </x:c>
      <x:c r="M1206" t="n">
        <x:v>0.1</x:v>
      </x:c>
      <x:c r="N1206" t="n">
        <x:f>ROUND(F1206*M1206/100,2)</x:f>
        <x:v>0.17</x:v>
      </x:c>
      <x:c r="O1206" t="str">
        <x:v>蒸熟净重</x:v>
      </x:c>
    </x:row>
    <x:row r="1207" ht="23" customHeight="1">
      <x:c r="A1207" t="n">
        <x:v>201</x:v>
      </x:c>
      <x:c r="B1207" t="n">
        <x:v>101</x:v>
      </x:c>
      <x:c r="C1207" t="str">
        <x:v>午餐</x:v>
      </x:c>
      <x:c r="D1207" t="str">
        <x:v>油脂</x:v>
      </x:c>
      <x:c r="E1207" t="str">
        <x:v>烹调油</x:v>
      </x:c>
      <x:c r="F1207" t="n">
        <x:v>4</x:v>
      </x:c>
      <x:c r="G1207" t="n">
        <x:v>900</x:v>
      </x:c>
      <x:c r="H1207" t="n">
        <x:f>ROUND(F1207*G1207/100,2)</x:f>
        <x:v>36</x:v>
      </x:c>
      <x:c r="I1207" t="n">
        <x:v>0</x:v>
      </x:c>
      <x:c r="J1207" t="n">
        <x:f>ROUND(F1207*I1207/100,2)</x:f>
        <x:v>0</x:v>
      </x:c>
      <x:c r="K1207" t="n">
        <x:v>0</x:v>
      </x:c>
      <x:c r="L1207" t="n">
        <x:f>ROUND(F1207*K1207/100,2)</x:f>
        <x:v>0</x:v>
      </x:c>
      <x:c r="M1207" t="n">
        <x:v>100</x:v>
      </x:c>
      <x:c r="N1207" t="n">
        <x:f>ROUND(F1207*M1207/100,2)</x:f>
        <x:v>4</x:v>
      </x:c>
      <x:c r="O1207" t="str">
        <x:v>实际用油重</x:v>
      </x:c>
    </x:row>
    <x:row r="1208" ht="23" customHeight="1">
      <x:c r="A1208" t="n">
        <x:v>202</x:v>
      </x:c>
      <x:c r="B1208" t="n">
        <x:v>101</x:v>
      </x:c>
      <x:c r="C1208" t="str">
        <x:v>晚餐</x:v>
      </x:c>
      <x:c r="D1208" t="str">
        <x:v>海鲜</x:v>
      </x:c>
      <x:c r="E1208" t="str">
        <x:v>虾仁</x:v>
      </x:c>
      <x:c r="F1208" t="n">
        <x:v>190</x:v>
      </x:c>
      <x:c r="G1208" t="n">
        <x:v>90</x:v>
      </x:c>
      <x:c r="H1208" t="n">
        <x:f>ROUND(F1208*G1208/100,2)</x:f>
        <x:v>171</x:v>
      </x:c>
      <x:c r="I1208" t="n">
        <x:v>19</x:v>
      </x:c>
      <x:c r="J1208" t="n">
        <x:f>ROUND(F1208*I1208/100,2)</x:f>
        <x:v>36.1</x:v>
      </x:c>
      <x:c r="K1208" t="n">
        <x:v>0.4</x:v>
      </x:c>
      <x:c r="L1208" t="n">
        <x:f>ROUND(F1208*K1208/100,2)</x:f>
        <x:v>0.76</x:v>
      </x:c>
      <x:c r="M1208" t="n">
        <x:v>1.1</x:v>
      </x:c>
      <x:c r="N1208" t="n">
        <x:f>ROUND(F1208*M1208/100,2)</x:f>
        <x:v>2.09</x:v>
      </x:c>
      <x:c r="O1208" t="str">
        <x:v>生重</x:v>
      </x:c>
    </x:row>
    <x:row r="1209" ht="23" customHeight="1">
      <x:c r="A1209" t="n">
        <x:v>202</x:v>
      </x:c>
      <x:c r="B1209" t="n">
        <x:v>101</x:v>
      </x:c>
      <x:c r="C1209" t="str">
        <x:v>晚餐</x:v>
      </x:c>
      <x:c r="D1209" t="str"/>
      <x:c r="E1209" t="str"/>
      <x:c r="F1209" t="n">
        <x:v>0</x:v>
      </x:c>
      <x:c r="G1209" t="n">
        <x:v>0</x:v>
      </x:c>
      <x:c r="H1209" t="n">
        <x:f>ROUND(F1209*G1209/100,2)</x:f>
        <x:v>0</x:v>
      </x:c>
      <x:c r="I1209" t="n">
        <x:v>0</x:v>
      </x:c>
      <x:c r="J1209" t="n">
        <x:f>ROUND(F1209*I1209/100,2)</x:f>
        <x:v>0</x:v>
      </x:c>
      <x:c r="K1209" t="n">
        <x:v>0</x:v>
      </x:c>
      <x:c r="L1209" t="n">
        <x:f>ROUND(F1209*K1209/100,2)</x:f>
        <x:v>0</x:v>
      </x:c>
      <x:c r="M1209" t="n">
        <x:v>0</x:v>
      </x:c>
      <x:c r="N1209" t="n">
        <x:f>ROUND(F1209*M1209/100,2)</x:f>
        <x:v>0</x:v>
      </x:c>
      <x:c r="O1209" t="str"/>
    </x:row>
    <x:row r="1210" ht="23" customHeight="1">
      <x:c r="A1210" t="n">
        <x:v>202</x:v>
      </x:c>
      <x:c r="B1210" t="n">
        <x:v>101</x:v>
      </x:c>
      <x:c r="C1210" t="str">
        <x:v>晚餐</x:v>
      </x:c>
      <x:c r="D1210" t="str">
        <x:v>蔬菜</x:v>
      </x:c>
      <x:c r="E1210" t="str">
        <x:v>芹菜</x:v>
      </x:c>
      <x:c r="F1210" t="n">
        <x:v>175</x:v>
      </x:c>
      <x:c r="G1210" t="n">
        <x:v>17</x:v>
      </x:c>
      <x:c r="H1210" t="n">
        <x:f>ROUND(F1210*G1210/100,2)</x:f>
        <x:v>29.75</x:v>
      </x:c>
      <x:c r="I1210" t="n">
        <x:v>1</x:v>
      </x:c>
      <x:c r="J1210" t="n">
        <x:f>ROUND(F1210*I1210/100,2)</x:f>
        <x:v>1.75</x:v>
      </x:c>
      <x:c r="K1210" t="n">
        <x:v>3.5</x:v>
      </x:c>
      <x:c r="L1210" t="n">
        <x:f>ROUND(F1210*K1210/100,2)</x:f>
        <x:v>6.13</x:v>
      </x:c>
      <x:c r="M1210" t="n">
        <x:v>0.1</x:v>
      </x:c>
      <x:c r="N1210" t="n">
        <x:f>ROUND(F1210*M1210/100,2)</x:f>
        <x:v>0.18</x:v>
      </x:c>
      <x:c r="O1210" t="str">
        <x:v>生重</x:v>
      </x:c>
    </x:row>
    <x:row r="1211" ht="23" customHeight="1">
      <x:c r="A1211" t="n">
        <x:v>202</x:v>
      </x:c>
      <x:c r="B1211" t="n">
        <x:v>101</x:v>
      </x:c>
      <x:c r="C1211" t="str">
        <x:v>晚餐</x:v>
      </x:c>
      <x:c r="D1211" t="str">
        <x:v>蔬菜</x:v>
      </x:c>
      <x:c r="E1211" t="str">
        <x:v>玉米笋</x:v>
      </x:c>
      <x:c r="F1211" t="n">
        <x:v>140</x:v>
      </x:c>
      <x:c r="G1211" t="n">
        <x:v>26</x:v>
      </x:c>
      <x:c r="H1211" t="n">
        <x:f>ROUND(F1211*G1211/100,2)</x:f>
        <x:v>36.4</x:v>
      </x:c>
      <x:c r="I1211" t="n">
        <x:v>2</x:v>
      </x:c>
      <x:c r="J1211" t="n">
        <x:f>ROUND(F1211*I1211/100,2)</x:f>
        <x:v>2.8</x:v>
      </x:c>
      <x:c r="K1211" t="n">
        <x:v>4.9</x:v>
      </x:c>
      <x:c r="L1211" t="n">
        <x:f>ROUND(F1211*K1211/100,2)</x:f>
        <x:v>6.86</x:v>
      </x:c>
      <x:c r="M1211" t="n">
        <x:v>0.1</x:v>
      </x:c>
      <x:c r="N1211" t="n">
        <x:f>ROUND(F1211*M1211/100,2)</x:f>
        <x:v>0.14</x:v>
      </x:c>
      <x:c r="O1211" t="str">
        <x:v>生重</x:v>
      </x:c>
    </x:row>
    <x:row r="1212" ht="23" customHeight="1">
      <x:c r="A1212" t="n">
        <x:v>202</x:v>
      </x:c>
      <x:c r="B1212" t="n">
        <x:v>101</x:v>
      </x:c>
      <x:c r="C1212" t="str">
        <x:v>晚餐</x:v>
      </x:c>
      <x:c r="D1212" t="str">
        <x:v>主食</x:v>
      </x:c>
      <x:c r="E1212" t="str">
        <x:v>杂粮饭</x:v>
      </x:c>
      <x:c r="F1212" t="n">
        <x:v>135</x:v>
      </x:c>
      <x:c r="G1212" t="n">
        <x:v>115</x:v>
      </x:c>
      <x:c r="H1212" t="n">
        <x:f>ROUND(F1212*G1212/100,2)</x:f>
        <x:v>155.25</x:v>
      </x:c>
      <x:c r="I1212" t="n">
        <x:v>3.1</x:v>
      </x:c>
      <x:c r="J1212" t="n">
        <x:f>ROUND(F1212*I1212/100,2)</x:f>
        <x:v>4.18</x:v>
      </x:c>
      <x:c r="K1212" t="n">
        <x:v>23.5</x:v>
      </x:c>
      <x:c r="L1212" t="n">
        <x:f>ROUND(F1212*K1212/100,2)</x:f>
        <x:v>31.73</x:v>
      </x:c>
      <x:c r="M1212" t="n">
        <x:v>1.1</x:v>
      </x:c>
      <x:c r="N1212" t="n">
        <x:f>ROUND(F1212*M1212/100,2)</x:f>
        <x:v>1.49</x:v>
      </x:c>
      <x:c r="O1212" t="str">
        <x:v>熟重</x:v>
      </x:c>
    </x:row>
    <x:row r="1213" ht="23" customHeight="1">
      <x:c r="A1213" t="n">
        <x:v>202</x:v>
      </x:c>
      <x:c r="B1213" t="n">
        <x:v>101</x:v>
      </x:c>
      <x:c r="C1213" t="str">
        <x:v>晚餐</x:v>
      </x:c>
      <x:c r="D1213" t="str">
        <x:v>油脂</x:v>
      </x:c>
      <x:c r="E1213" t="str">
        <x:v>烹调油</x:v>
      </x:c>
      <x:c r="F1213" t="n">
        <x:v>6</x:v>
      </x:c>
      <x:c r="G1213" t="n">
        <x:v>900</x:v>
      </x:c>
      <x:c r="H1213" t="n">
        <x:f>ROUND(F1213*G1213/100,2)</x:f>
        <x:v>54</x:v>
      </x:c>
      <x:c r="I1213" t="n">
        <x:v>0</x:v>
      </x:c>
      <x:c r="J1213" t="n">
        <x:f>ROUND(F1213*I1213/100,2)</x:f>
        <x:v>0</x:v>
      </x:c>
      <x:c r="K1213" t="n">
        <x:v>0</x:v>
      </x:c>
      <x:c r="L1213" t="n">
        <x:f>ROUND(F1213*K1213/100,2)</x:f>
        <x:v>0</x:v>
      </x:c>
      <x:c r="M1213" t="n">
        <x:v>100</x:v>
      </x:c>
      <x:c r="N1213" t="n">
        <x:f>ROUND(F1213*M1213/100,2)</x:f>
        <x:v>6</x:v>
      </x:c>
      <x:c r="O1213" t="str">
        <x:v>实际用油重</x:v>
      </x:c>
    </x:row>
    <x:row r="1214" ht="23" customHeight="1">
      <x:c r="A1214" t="n">
        <x:v>203</x:v>
      </x:c>
      <x:c r="B1214" t="n">
        <x:v>102</x:v>
      </x:c>
      <x:c r="C1214" t="str">
        <x:v>午餐</x:v>
      </x:c>
      <x:c r="D1214" t="str">
        <x:v>禽肉</x:v>
      </x:c>
      <x:c r="E1214" t="str">
        <x:v>鸡胸肉</x:v>
      </x:c>
      <x:c r="F1214" t="n">
        <x:v>175</x:v>
      </x:c>
      <x:c r="G1214" t="n">
        <x:v>110</x:v>
      </x:c>
      <x:c r="H1214" t="n">
        <x:f>ROUND(F1214*G1214/100,2)</x:f>
        <x:v>192.5</x:v>
      </x:c>
      <x:c r="I1214" t="n">
        <x:v>23</x:v>
      </x:c>
      <x:c r="J1214" t="n">
        <x:f>ROUND(F1214*I1214/100,2)</x:f>
        <x:v>40.25</x:v>
      </x:c>
      <x:c r="K1214" t="n">
        <x:v>0</x:v>
      </x:c>
      <x:c r="L1214" t="n">
        <x:f>ROUND(F1214*K1214/100,2)</x:f>
        <x:v>0</x:v>
      </x:c>
      <x:c r="M1214" t="n">
        <x:v>2</x:v>
      </x:c>
      <x:c r="N1214" t="n">
        <x:f>ROUND(F1214*M1214/100,2)</x:f>
        <x:v>3.5</x:v>
      </x:c>
      <x:c r="O1214" t="str">
        <x:v>生重</x:v>
      </x:c>
    </x:row>
    <x:row r="1215" ht="23" customHeight="1">
      <x:c r="A1215" t="n">
        <x:v>203</x:v>
      </x:c>
      <x:c r="B1215" t="n">
        <x:v>102</x:v>
      </x:c>
      <x:c r="C1215" t="str">
        <x:v>午餐</x:v>
      </x:c>
      <x:c r="D1215" t="str"/>
      <x:c r="E1215" t="str"/>
      <x:c r="F1215" t="n">
        <x:v>0</x:v>
      </x:c>
      <x:c r="G1215" t="n">
        <x:v>0</x:v>
      </x:c>
      <x:c r="H1215" t="n">
        <x:f>ROUND(F1215*G1215/100,2)</x:f>
        <x:v>0</x:v>
      </x:c>
      <x:c r="I1215" t="n">
        <x:v>0</x:v>
      </x:c>
      <x:c r="J1215" t="n">
        <x:f>ROUND(F1215*I1215/100,2)</x:f>
        <x:v>0</x:v>
      </x:c>
      <x:c r="K1215" t="n">
        <x:v>0</x:v>
      </x:c>
      <x:c r="L1215" t="n">
        <x:f>ROUND(F1215*K1215/100,2)</x:f>
        <x:v>0</x:v>
      </x:c>
      <x:c r="M1215" t="n">
        <x:v>0</x:v>
      </x:c>
      <x:c r="N1215" t="n">
        <x:f>ROUND(F1215*M1215/100,2)</x:f>
        <x:v>0</x:v>
      </x:c>
      <x:c r="O1215" t="str"/>
    </x:row>
    <x:row r="1216" ht="23" customHeight="1">
      <x:c r="A1216" t="n">
        <x:v>203</x:v>
      </x:c>
      <x:c r="B1216" t="n">
        <x:v>102</x:v>
      </x:c>
      <x:c r="C1216" t="str">
        <x:v>午餐</x:v>
      </x:c>
      <x:c r="D1216" t="str">
        <x:v>蔬菜</x:v>
      </x:c>
      <x:c r="E1216" t="str">
        <x:v>白萝卜</x:v>
      </x:c>
      <x:c r="F1216" t="n">
        <x:v>190</x:v>
      </x:c>
      <x:c r="G1216" t="n">
        <x:v>18</x:v>
      </x:c>
      <x:c r="H1216" t="n">
        <x:f>ROUND(F1216*G1216/100,2)</x:f>
        <x:v>34.2</x:v>
      </x:c>
      <x:c r="I1216" t="n">
        <x:v>0.6</x:v>
      </x:c>
      <x:c r="J1216" t="n">
        <x:f>ROUND(F1216*I1216/100,2)</x:f>
        <x:v>1.14</x:v>
      </x:c>
      <x:c r="K1216" t="n">
        <x:v>4</x:v>
      </x:c>
      <x:c r="L1216" t="n">
        <x:f>ROUND(F1216*K1216/100,2)</x:f>
        <x:v>7.6</x:v>
      </x:c>
      <x:c r="M1216" t="n">
        <x:v>0.1</x:v>
      </x:c>
      <x:c r="N1216" t="n">
        <x:f>ROUND(F1216*M1216/100,2)</x:f>
        <x:v>0.19</x:v>
      </x:c>
      <x:c r="O1216" t="str">
        <x:v>生重</x:v>
      </x:c>
    </x:row>
    <x:row r="1217" ht="23" customHeight="1">
      <x:c r="A1217" t="n">
        <x:v>203</x:v>
      </x:c>
      <x:c r="B1217" t="n">
        <x:v>102</x:v>
      </x:c>
      <x:c r="C1217" t="str">
        <x:v>午餐</x:v>
      </x:c>
      <x:c r="D1217" t="str">
        <x:v>菌菇</x:v>
      </x:c>
      <x:c r="E1217" t="str">
        <x:v>香菇</x:v>
      </x:c>
      <x:c r="F1217" t="n">
        <x:v>140</x:v>
      </x:c>
      <x:c r="G1217" t="n">
        <x:v>34</x:v>
      </x:c>
      <x:c r="H1217" t="n">
        <x:f>ROUND(F1217*G1217/100,2)</x:f>
        <x:v>47.6</x:v>
      </x:c>
      <x:c r="I1217" t="n">
        <x:v>2.2</x:v>
      </x:c>
      <x:c r="J1217" t="n">
        <x:f>ROUND(F1217*I1217/100,2)</x:f>
        <x:v>3.08</x:v>
      </x:c>
      <x:c r="K1217" t="n">
        <x:v>6.8</x:v>
      </x:c>
      <x:c r="L1217" t="n">
        <x:f>ROUND(F1217*K1217/100,2)</x:f>
        <x:v>9.52</x:v>
      </x:c>
      <x:c r="M1217" t="n">
        <x:v>0.5</x:v>
      </x:c>
      <x:c r="N1217" t="n">
        <x:f>ROUND(F1217*M1217/100,2)</x:f>
        <x:v>0.7</x:v>
      </x:c>
      <x:c r="O1217" t="str">
        <x:v>生重</x:v>
      </x:c>
    </x:row>
    <x:row r="1218" ht="23" customHeight="1">
      <x:c r="A1218" t="n">
        <x:v>203</x:v>
      </x:c>
      <x:c r="B1218" t="n">
        <x:v>102</x:v>
      </x:c>
      <x:c r="C1218" t="str">
        <x:v>午餐</x:v>
      </x:c>
      <x:c r="D1218" t="str">
        <x:v>主食</x:v>
      </x:c>
      <x:c r="E1218" t="str">
        <x:v>土豆</x:v>
      </x:c>
      <x:c r="F1218" t="n">
        <x:v>165</x:v>
      </x:c>
      <x:c r="G1218" t="n">
        <x:v>78</x:v>
      </x:c>
      <x:c r="H1218" t="n">
        <x:f>ROUND(F1218*G1218/100,2)</x:f>
        <x:v>128.7</x:v>
      </x:c>
      <x:c r="I1218" t="n">
        <x:v>2</x:v>
      </x:c>
      <x:c r="J1218" t="n">
        <x:f>ROUND(F1218*I1218/100,2)</x:f>
        <x:v>3.3</x:v>
      </x:c>
      <x:c r="K1218" t="n">
        <x:v>17.2</x:v>
      </x:c>
      <x:c r="L1218" t="n">
        <x:f>ROUND(F1218*K1218/100,2)</x:f>
        <x:v>28.38</x:v>
      </x:c>
      <x:c r="M1218" t="n">
        <x:v>0.1</x:v>
      </x:c>
      <x:c r="N1218" t="n">
        <x:f>ROUND(F1218*M1218/100,2)</x:f>
        <x:v>0.17</x:v>
      </x:c>
      <x:c r="O1218" t="str">
        <x:v>蒸熟净重</x:v>
      </x:c>
    </x:row>
    <x:row r="1219" ht="23" customHeight="1">
      <x:c r="A1219" t="n">
        <x:v>203</x:v>
      </x:c>
      <x:c r="B1219" t="n">
        <x:v>102</x:v>
      </x:c>
      <x:c r="C1219" t="str">
        <x:v>午餐</x:v>
      </x:c>
      <x:c r="D1219" t="str">
        <x:v>油脂</x:v>
      </x:c>
      <x:c r="E1219" t="str">
        <x:v>烹调油</x:v>
      </x:c>
      <x:c r="F1219" t="n">
        <x:v>5</x:v>
      </x:c>
      <x:c r="G1219" t="n">
        <x:v>900</x:v>
      </x:c>
      <x:c r="H1219" t="n">
        <x:f>ROUND(F1219*G1219/100,2)</x:f>
        <x:v>45</x:v>
      </x:c>
      <x:c r="I1219" t="n">
        <x:v>0</x:v>
      </x:c>
      <x:c r="J1219" t="n">
        <x:f>ROUND(F1219*I1219/100,2)</x:f>
        <x:v>0</x:v>
      </x:c>
      <x:c r="K1219" t="n">
        <x:v>0</x:v>
      </x:c>
      <x:c r="L1219" t="n">
        <x:f>ROUND(F1219*K1219/100,2)</x:f>
        <x:v>0</x:v>
      </x:c>
      <x:c r="M1219" t="n">
        <x:v>100</x:v>
      </x:c>
      <x:c r="N1219" t="n">
        <x:f>ROUND(F1219*M1219/100,2)</x:f>
        <x:v>5</x:v>
      </x:c>
      <x:c r="O1219" t="str">
        <x:v>实际用油重</x:v>
      </x:c>
    </x:row>
    <x:row r="1220" ht="23" customHeight="1">
      <x:c r="A1220" t="n">
        <x:v>204</x:v>
      </x:c>
      <x:c r="B1220" t="n">
        <x:v>102</x:v>
      </x:c>
      <x:c r="C1220" t="str">
        <x:v>晚餐</x:v>
      </x:c>
      <x:c r="D1220" t="str">
        <x:v>鱼类</x:v>
      </x:c>
      <x:c r="E1220" t="str">
        <x:v>巴沙鱼</x:v>
      </x:c>
      <x:c r="F1220" t="n">
        <x:v>175</x:v>
      </x:c>
      <x:c r="G1220" t="n">
        <x:v>90</x:v>
      </x:c>
      <x:c r="H1220" t="n">
        <x:f>ROUND(F1220*G1220/100,2)</x:f>
        <x:v>157.5</x:v>
      </x:c>
      <x:c r="I1220" t="n">
        <x:v>17</x:v>
      </x:c>
      <x:c r="J1220" t="n">
        <x:f>ROUND(F1220*I1220/100,2)</x:f>
        <x:v>29.75</x:v>
      </x:c>
      <x:c r="K1220" t="n">
        <x:v>0</x:v>
      </x:c>
      <x:c r="L1220" t="n">
        <x:f>ROUND(F1220*K1220/100,2)</x:f>
        <x:v>0</x:v>
      </x:c>
      <x:c r="M1220" t="n">
        <x:v>2.3</x:v>
      </x:c>
      <x:c r="N1220" t="n">
        <x:f>ROUND(F1220*M1220/100,2)</x:f>
        <x:v>4.02</x:v>
      </x:c>
      <x:c r="O1220" t="str">
        <x:v>净鱼肉生重</x:v>
      </x:c>
    </x:row>
    <x:row r="1221" ht="23" customHeight="1">
      <x:c r="A1221" t="n">
        <x:v>204</x:v>
      </x:c>
      <x:c r="B1221" t="n">
        <x:v>102</x:v>
      </x:c>
      <x:c r="C1221" t="str">
        <x:v>晚餐</x:v>
      </x:c>
      <x:c r="D1221" t="str"/>
      <x:c r="E1221" t="str"/>
      <x:c r="F1221" t="n">
        <x:v>0</x:v>
      </x:c>
      <x:c r="G1221" t="n">
        <x:v>0</x:v>
      </x:c>
      <x:c r="H1221" t="n">
        <x:f>ROUND(F1221*G1221/100,2)</x:f>
        <x:v>0</x:v>
      </x:c>
      <x:c r="I1221" t="n">
        <x:v>0</x:v>
      </x:c>
      <x:c r="J1221" t="n">
        <x:f>ROUND(F1221*I1221/100,2)</x:f>
        <x:v>0</x:v>
      </x:c>
      <x:c r="K1221" t="n">
        <x:v>0</x:v>
      </x:c>
      <x:c r="L1221" t="n">
        <x:f>ROUND(F1221*K1221/100,2)</x:f>
        <x:v>0</x:v>
      </x:c>
      <x:c r="M1221" t="n">
        <x:v>0</x:v>
      </x:c>
      <x:c r="N1221" t="n">
        <x:f>ROUND(F1221*M1221/100,2)</x:f>
        <x:v>0</x:v>
      </x:c>
      <x:c r="O1221" t="str"/>
    </x:row>
    <x:row r="1222" ht="23" customHeight="1">
      <x:c r="A1222" t="n">
        <x:v>204</x:v>
      </x:c>
      <x:c r="B1222" t="n">
        <x:v>102</x:v>
      </x:c>
      <x:c r="C1222" t="str">
        <x:v>晚餐</x:v>
      </x:c>
      <x:c r="D1222" t="str">
        <x:v>蔬菜</x:v>
      </x:c>
      <x:c r="E1222" t="str">
        <x:v>西葫芦</x:v>
      </x:c>
      <x:c r="F1222" t="n">
        <x:v>140</x:v>
      </x:c>
      <x:c r="G1222" t="n">
        <x:v>17</x:v>
      </x:c>
      <x:c r="H1222" t="n">
        <x:f>ROUND(F1222*G1222/100,2)</x:f>
        <x:v>23.8</x:v>
      </x:c>
      <x:c r="I1222" t="n">
        <x:v>1.2</x:v>
      </x:c>
      <x:c r="J1222" t="n">
        <x:f>ROUND(F1222*I1222/100,2)</x:f>
        <x:v>1.68</x:v>
      </x:c>
      <x:c r="K1222" t="n">
        <x:v>3.1</x:v>
      </x:c>
      <x:c r="L1222" t="n">
        <x:f>ROUND(F1222*K1222/100,2)</x:f>
        <x:v>4.34</x:v>
      </x:c>
      <x:c r="M1222" t="n">
        <x:v>0.3</x:v>
      </x:c>
      <x:c r="N1222" t="n">
        <x:f>ROUND(F1222*M1222/100,2)</x:f>
        <x:v>0.42</x:v>
      </x:c>
      <x:c r="O1222" t="str">
        <x:v>生重</x:v>
      </x:c>
    </x:row>
    <x:row r="1223" ht="23" customHeight="1">
      <x:c r="A1223" t="n">
        <x:v>204</x:v>
      </x:c>
      <x:c r="B1223" t="n">
        <x:v>102</x:v>
      </x:c>
      <x:c r="C1223" t="str">
        <x:v>晚餐</x:v>
      </x:c>
      <x:c r="D1223" t="str">
        <x:v>蔬菜</x:v>
      </x:c>
      <x:c r="E1223" t="str">
        <x:v>玉米笋</x:v>
      </x:c>
      <x:c r="F1223" t="n">
        <x:v>125</x:v>
      </x:c>
      <x:c r="G1223" t="n">
        <x:v>26</x:v>
      </x:c>
      <x:c r="H1223" t="n">
        <x:f>ROUND(F1223*G1223/100,2)</x:f>
        <x:v>32.5</x:v>
      </x:c>
      <x:c r="I1223" t="n">
        <x:v>2</x:v>
      </x:c>
      <x:c r="J1223" t="n">
        <x:f>ROUND(F1223*I1223/100,2)</x:f>
        <x:v>2.5</x:v>
      </x:c>
      <x:c r="K1223" t="n">
        <x:v>4.9</x:v>
      </x:c>
      <x:c r="L1223" t="n">
        <x:f>ROUND(F1223*K1223/100,2)</x:f>
        <x:v>6.13</x:v>
      </x:c>
      <x:c r="M1223" t="n">
        <x:v>0.1</x:v>
      </x:c>
      <x:c r="N1223" t="n">
        <x:f>ROUND(F1223*M1223/100,2)</x:f>
        <x:v>0.13</x:v>
      </x:c>
      <x:c r="O1223" t="str">
        <x:v>生重</x:v>
      </x:c>
    </x:row>
    <x:row r="1224" ht="23" customHeight="1">
      <x:c r="A1224" t="n">
        <x:v>204</x:v>
      </x:c>
      <x:c r="B1224" t="n">
        <x:v>102</x:v>
      </x:c>
      <x:c r="C1224" t="str">
        <x:v>晚餐</x:v>
      </x:c>
      <x:c r="D1224" t="str">
        <x:v>主食</x:v>
      </x:c>
      <x:c r="E1224" t="str">
        <x:v>杂粮饭</x:v>
      </x:c>
      <x:c r="F1224" t="n">
        <x:v>95</x:v>
      </x:c>
      <x:c r="G1224" t="n">
        <x:v>115</x:v>
      </x:c>
      <x:c r="H1224" t="n">
        <x:f>ROUND(F1224*G1224/100,2)</x:f>
        <x:v>109.25</x:v>
      </x:c>
      <x:c r="I1224" t="n">
        <x:v>3.1</x:v>
      </x:c>
      <x:c r="J1224" t="n">
        <x:f>ROUND(F1224*I1224/100,2)</x:f>
        <x:v>2.95</x:v>
      </x:c>
      <x:c r="K1224" t="n">
        <x:v>23.5</x:v>
      </x:c>
      <x:c r="L1224" t="n">
        <x:f>ROUND(F1224*K1224/100,2)</x:f>
        <x:v>22.33</x:v>
      </x:c>
      <x:c r="M1224" t="n">
        <x:v>1.1</x:v>
      </x:c>
      <x:c r="N1224" t="n">
        <x:f>ROUND(F1224*M1224/100,2)</x:f>
        <x:v>1.05</x:v>
      </x:c>
      <x:c r="O1224" t="str">
        <x:v>熟重</x:v>
      </x:c>
    </x:row>
    <x:row r="1225" ht="23" customHeight="1">
      <x:c r="A1225" t="n">
        <x:v>204</x:v>
      </x:c>
      <x:c r="B1225" t="n">
        <x:v>102</x:v>
      </x:c>
      <x:c r="C1225" t="str">
        <x:v>晚餐</x:v>
      </x:c>
      <x:c r="D1225" t="str">
        <x:v>油脂</x:v>
      </x:c>
      <x:c r="E1225" t="str">
        <x:v>烹调油</x:v>
      </x:c>
      <x:c r="F1225" t="n">
        <x:v>5</x:v>
      </x:c>
      <x:c r="G1225" t="n">
        <x:v>900</x:v>
      </x:c>
      <x:c r="H1225" t="n">
        <x:f>ROUND(F1225*G1225/100,2)</x:f>
        <x:v>45</x:v>
      </x:c>
      <x:c r="I1225" t="n">
        <x:v>0</x:v>
      </x:c>
      <x:c r="J1225" t="n">
        <x:f>ROUND(F1225*I1225/100,2)</x:f>
        <x:v>0</x:v>
      </x:c>
      <x:c r="K1225" t="n">
        <x:v>0</x:v>
      </x:c>
      <x:c r="L1225" t="n">
        <x:f>ROUND(F1225*K1225/100,2)</x:f>
        <x:v>0</x:v>
      </x:c>
      <x:c r="M1225" t="n">
        <x:v>100</x:v>
      </x:c>
      <x:c r="N1225" t="n">
        <x:f>ROUND(F1225*M1225/100,2)</x:f>
        <x:v>5</x:v>
      </x:c>
      <x:c r="O1225" t="str">
        <x:v>实际用油重</x:v>
      </x:c>
    </x:row>
    <x:row r="1226" ht="23" customHeight="1">
      <x:c r="A1226" t="n">
        <x:v>205</x:v>
      </x:c>
      <x:c r="B1226" t="n">
        <x:v>103</x:v>
      </x:c>
      <x:c r="C1226" t="str">
        <x:v>午餐</x:v>
      </x:c>
      <x:c r="D1226" t="str">
        <x:v>猪肉</x:v>
      </x:c>
      <x:c r="E1226" t="str">
        <x:v>猪里脊</x:v>
      </x:c>
      <x:c r="F1226" t="n">
        <x:v>155</x:v>
      </x:c>
      <x:c r="G1226" t="n">
        <x:v>120</x:v>
      </x:c>
      <x:c r="H1226" t="n">
        <x:f>ROUND(F1226*G1226/100,2)</x:f>
        <x:v>186</x:v>
      </x:c>
      <x:c r="I1226" t="n">
        <x:v>21</x:v>
      </x:c>
      <x:c r="J1226" t="n">
        <x:f>ROUND(F1226*I1226/100,2)</x:f>
        <x:v>32.55</x:v>
      </x:c>
      <x:c r="K1226" t="n">
        <x:v>0</x:v>
      </x:c>
      <x:c r="L1226" t="n">
        <x:f>ROUND(F1226*K1226/100,2)</x:f>
        <x:v>0</x:v>
      </x:c>
      <x:c r="M1226" t="n">
        <x:v>3.5</x:v>
      </x:c>
      <x:c r="N1226" t="n">
        <x:f>ROUND(F1226*M1226/100,2)</x:f>
        <x:v>5.43</x:v>
      </x:c>
      <x:c r="O1226" t="str">
        <x:v>生重</x:v>
      </x:c>
    </x:row>
    <x:row r="1227" ht="23" customHeight="1">
      <x:c r="A1227" t="n">
        <x:v>205</x:v>
      </x:c>
      <x:c r="B1227" t="n">
        <x:v>103</x:v>
      </x:c>
      <x:c r="C1227" t="str">
        <x:v>午餐</x:v>
      </x:c>
      <x:c r="D1227" t="str"/>
      <x:c r="E1227" t="str"/>
      <x:c r="F1227" t="n">
        <x:v>0</x:v>
      </x:c>
      <x:c r="G1227" t="n">
        <x:v>0</x:v>
      </x:c>
      <x:c r="H1227" t="n">
        <x:f>ROUND(F1227*G1227/100,2)</x:f>
        <x:v>0</x:v>
      </x:c>
      <x:c r="I1227" t="n">
        <x:v>0</x:v>
      </x:c>
      <x:c r="J1227" t="n">
        <x:f>ROUND(F1227*I1227/100,2)</x:f>
        <x:v>0</x:v>
      </x:c>
      <x:c r="K1227" t="n">
        <x:v>0</x:v>
      </x:c>
      <x:c r="L1227" t="n">
        <x:f>ROUND(F1227*K1227/100,2)</x:f>
        <x:v>0</x:v>
      </x:c>
      <x:c r="M1227" t="n">
        <x:v>0</x:v>
      </x:c>
      <x:c r="N1227" t="n">
        <x:f>ROUND(F1227*M1227/100,2)</x:f>
        <x:v>0</x:v>
      </x:c>
      <x:c r="O1227" t="str"/>
    </x:row>
    <x:row r="1228" ht="23" customHeight="1">
      <x:c r="A1228" t="n">
        <x:v>205</x:v>
      </x:c>
      <x:c r="B1228" t="n">
        <x:v>103</x:v>
      </x:c>
      <x:c r="C1228" t="str">
        <x:v>午餐</x:v>
      </x:c>
      <x:c r="D1228" t="str">
        <x:v>蔬菜</x:v>
      </x:c>
      <x:c r="E1228" t="str">
        <x:v>彩椒</x:v>
      </x:c>
      <x:c r="F1228" t="n">
        <x:v>190</x:v>
      </x:c>
      <x:c r="G1228" t="n">
        <x:v>27</x:v>
      </x:c>
      <x:c r="H1228" t="n">
        <x:f>ROUND(F1228*G1228/100,2)</x:f>
        <x:v>51.3</x:v>
      </x:c>
      <x:c r="I1228" t="n">
        <x:v>1</x:v>
      </x:c>
      <x:c r="J1228" t="n">
        <x:f>ROUND(F1228*I1228/100,2)</x:f>
        <x:v>1.9</x:v>
      </x:c>
      <x:c r="K1228" t="n">
        <x:v>6.1</x:v>
      </x:c>
      <x:c r="L1228" t="n">
        <x:f>ROUND(F1228*K1228/100,2)</x:f>
        <x:v>11.59</x:v>
      </x:c>
      <x:c r="M1228" t="n">
        <x:v>0.2</x:v>
      </x:c>
      <x:c r="N1228" t="n">
        <x:f>ROUND(F1228*M1228/100,2)</x:f>
        <x:v>0.38</x:v>
      </x:c>
      <x:c r="O1228" t="str">
        <x:v>生重</x:v>
      </x:c>
    </x:row>
    <x:row r="1229" ht="23" customHeight="1">
      <x:c r="A1229" t="n">
        <x:v>205</x:v>
      </x:c>
      <x:c r="B1229" t="n">
        <x:v>103</x:v>
      </x:c>
      <x:c r="C1229" t="str">
        <x:v>午餐</x:v>
      </x:c>
      <x:c r="D1229" t="str">
        <x:v>菌菇</x:v>
      </x:c>
      <x:c r="E1229" t="str">
        <x:v>口蘑</x:v>
      </x:c>
      <x:c r="F1229" t="n">
        <x:v>110</x:v>
      </x:c>
      <x:c r="G1229" t="n">
        <x:v>22</x:v>
      </x:c>
      <x:c r="H1229" t="n">
        <x:f>ROUND(F1229*G1229/100,2)</x:f>
        <x:v>24.2</x:v>
      </x:c>
      <x:c r="I1229" t="n">
        <x:v>3.1</x:v>
      </x:c>
      <x:c r="J1229" t="n">
        <x:f>ROUND(F1229*I1229/100,2)</x:f>
        <x:v>3.41</x:v>
      </x:c>
      <x:c r="K1229" t="n">
        <x:v>3.3</x:v>
      </x:c>
      <x:c r="L1229" t="n">
        <x:f>ROUND(F1229*K1229/100,2)</x:f>
        <x:v>3.63</x:v>
      </x:c>
      <x:c r="M1229" t="n">
        <x:v>0.3</x:v>
      </x:c>
      <x:c r="N1229" t="n">
        <x:f>ROUND(F1229*M1229/100,2)</x:f>
        <x:v>0.33</x:v>
      </x:c>
      <x:c r="O1229" t="str">
        <x:v>生重</x:v>
      </x:c>
    </x:row>
    <x:row r="1230" ht="23" customHeight="1">
      <x:c r="A1230" t="n">
        <x:v>205</x:v>
      </x:c>
      <x:c r="B1230" t="n">
        <x:v>103</x:v>
      </x:c>
      <x:c r="C1230" t="str">
        <x:v>午餐</x:v>
      </x:c>
      <x:c r="D1230" t="str">
        <x:v>主食</x:v>
      </x:c>
      <x:c r="E1230" t="str">
        <x:v>红薯</x:v>
      </x:c>
      <x:c r="F1230" t="n">
        <x:v>165</x:v>
      </x:c>
      <x:c r="G1230" t="n">
        <x:v>88</x:v>
      </x:c>
      <x:c r="H1230" t="n">
        <x:f>ROUND(F1230*G1230/100,2)</x:f>
        <x:v>145.2</x:v>
      </x:c>
      <x:c r="I1230" t="n">
        <x:v>1.6</x:v>
      </x:c>
      <x:c r="J1230" t="n">
        <x:f>ROUND(F1230*I1230/100,2)</x:f>
        <x:v>2.64</x:v>
      </x:c>
      <x:c r="K1230" t="n">
        <x:v>20.5</x:v>
      </x:c>
      <x:c r="L1230" t="n">
        <x:f>ROUND(F1230*K1230/100,2)</x:f>
        <x:v>33.83</x:v>
      </x:c>
      <x:c r="M1230" t="n">
        <x:v>0.1</x:v>
      </x:c>
      <x:c r="N1230" t="n">
        <x:f>ROUND(F1230*M1230/100,2)</x:f>
        <x:v>0.17</x:v>
      </x:c>
      <x:c r="O1230" t="str">
        <x:v>蒸熟净重</x:v>
      </x:c>
    </x:row>
    <x:row r="1231" ht="23" customHeight="1">
      <x:c r="A1231" t="n">
        <x:v>205</x:v>
      </x:c>
      <x:c r="B1231" t="n">
        <x:v>103</x:v>
      </x:c>
      <x:c r="C1231" t="str">
        <x:v>午餐</x:v>
      </x:c>
      <x:c r="D1231" t="str">
        <x:v>油脂</x:v>
      </x:c>
      <x:c r="E1231" t="str">
        <x:v>烹调油</x:v>
      </x:c>
      <x:c r="F1231" t="n">
        <x:v>6</x:v>
      </x:c>
      <x:c r="G1231" t="n">
        <x:v>900</x:v>
      </x:c>
      <x:c r="H1231" t="n">
        <x:f>ROUND(F1231*G1231/100,2)</x:f>
        <x:v>54</x:v>
      </x:c>
      <x:c r="I1231" t="n">
        <x:v>0</x:v>
      </x:c>
      <x:c r="J1231" t="n">
        <x:f>ROUND(F1231*I1231/100,2)</x:f>
        <x:v>0</x:v>
      </x:c>
      <x:c r="K1231" t="n">
        <x:v>0</x:v>
      </x:c>
      <x:c r="L1231" t="n">
        <x:f>ROUND(F1231*K1231/100,2)</x:f>
        <x:v>0</x:v>
      </x:c>
      <x:c r="M1231" t="n">
        <x:v>100</x:v>
      </x:c>
      <x:c r="N1231" t="n">
        <x:f>ROUND(F1231*M1231/100,2)</x:f>
        <x:v>6</x:v>
      </x:c>
      <x:c r="O1231" t="str">
        <x:v>实际用油重</x:v>
      </x:c>
    </x:row>
    <x:row r="1232" ht="23" customHeight="1">
      <x:c r="A1232" t="n">
        <x:v>206</x:v>
      </x:c>
      <x:c r="B1232" t="n">
        <x:v>103</x:v>
      </x:c>
      <x:c r="C1232" t="str">
        <x:v>晚餐</x:v>
      </x:c>
      <x:c r="D1232" t="str">
        <x:v>牛肉</x:v>
      </x:c>
      <x:c r="E1232" t="str">
        <x:v>牛里脊</x:v>
      </x:c>
      <x:c r="F1232" t="n">
        <x:v>180</x:v>
      </x:c>
      <x:c r="G1232" t="n">
        <x:v>130</x:v>
      </x:c>
      <x:c r="H1232" t="n">
        <x:f>ROUND(F1232*G1232/100,2)</x:f>
        <x:v>234</x:v>
      </x:c>
      <x:c r="I1232" t="n">
        <x:v>21</x:v>
      </x:c>
      <x:c r="J1232" t="n">
        <x:f>ROUND(F1232*I1232/100,2)</x:f>
        <x:v>37.8</x:v>
      </x:c>
      <x:c r="K1232" t="n">
        <x:v>0</x:v>
      </x:c>
      <x:c r="L1232" t="n">
        <x:f>ROUND(F1232*K1232/100,2)</x:f>
        <x:v>0</x:v>
      </x:c>
      <x:c r="M1232" t="n">
        <x:v>4.8</x:v>
      </x:c>
      <x:c r="N1232" t="n">
        <x:f>ROUND(F1232*M1232/100,2)</x:f>
        <x:v>8.64</x:v>
      </x:c>
      <x:c r="O1232" t="str">
        <x:v>生重</x:v>
      </x:c>
    </x:row>
    <x:row r="1233" ht="23" customHeight="1">
      <x:c r="A1233" t="n">
        <x:v>206</x:v>
      </x:c>
      <x:c r="B1233" t="n">
        <x:v>103</x:v>
      </x:c>
      <x:c r="C1233" t="str">
        <x:v>晚餐</x:v>
      </x:c>
      <x:c r="D1233" t="str">
        <x:v>豆蛋</x:v>
      </x:c>
      <x:c r="E1233" t="str">
        <x:v>北豆腐</x:v>
      </x:c>
      <x:c r="F1233" t="n">
        <x:v>90</x:v>
      </x:c>
      <x:c r="G1233" t="n">
        <x:v>90</x:v>
      </x:c>
      <x:c r="H1233" t="n">
        <x:f>ROUND(F1233*G1233/100,2)</x:f>
        <x:v>81</x:v>
      </x:c>
      <x:c r="I1233" t="n">
        <x:v>10</x:v>
      </x:c>
      <x:c r="J1233" t="n">
        <x:f>ROUND(F1233*I1233/100,2)</x:f>
        <x:v>9</x:v>
      </x:c>
      <x:c r="K1233" t="n">
        <x:v>2</x:v>
      </x:c>
      <x:c r="L1233" t="n">
        <x:f>ROUND(F1233*K1233/100,2)</x:f>
        <x:v>1.8</x:v>
      </x:c>
      <x:c r="M1233" t="n">
        <x:v>5</x:v>
      </x:c>
      <x:c r="N1233" t="n">
        <x:f>ROUND(F1233*M1233/100,2)</x:f>
        <x:v>4.5</x:v>
      </x:c>
      <x:c r="O1233" t="str">
        <x:v>净重</x:v>
      </x:c>
    </x:row>
    <x:row r="1234" ht="23" customHeight="1">
      <x:c r="A1234" t="n">
        <x:v>206</x:v>
      </x:c>
      <x:c r="B1234" t="n">
        <x:v>103</x:v>
      </x:c>
      <x:c r="C1234" t="str">
        <x:v>晚餐</x:v>
      </x:c>
      <x:c r="D1234" t="str">
        <x:v>蔬菜</x:v>
      </x:c>
      <x:c r="E1234" t="str">
        <x:v>菠菜</x:v>
      </x:c>
      <x:c r="F1234" t="n">
        <x:v>160</x:v>
      </x:c>
      <x:c r="G1234" t="n">
        <x:v>23</x:v>
      </x:c>
      <x:c r="H1234" t="n">
        <x:f>ROUND(F1234*G1234/100,2)</x:f>
        <x:v>36.8</x:v>
      </x:c>
      <x:c r="I1234" t="n">
        <x:v>2.9</x:v>
      </x:c>
      <x:c r="J1234" t="n">
        <x:f>ROUND(F1234*I1234/100,2)</x:f>
        <x:v>4.64</x:v>
      </x:c>
      <x:c r="K1234" t="n">
        <x:v>3.6</x:v>
      </x:c>
      <x:c r="L1234" t="n">
        <x:f>ROUND(F1234*K1234/100,2)</x:f>
        <x:v>5.76</x:v>
      </x:c>
      <x:c r="M1234" t="n">
        <x:v>0.4</x:v>
      </x:c>
      <x:c r="N1234" t="n">
        <x:f>ROUND(F1234*M1234/100,2)</x:f>
        <x:v>0.64</x:v>
      </x:c>
      <x:c r="O1234" t="str">
        <x:v>生重</x:v>
      </x:c>
    </x:row>
    <x:row r="1235" ht="23" customHeight="1">
      <x:c r="A1235" t="n">
        <x:v>206</x:v>
      </x:c>
      <x:c r="B1235" t="n">
        <x:v>103</x:v>
      </x:c>
      <x:c r="C1235" t="str">
        <x:v>晚餐</x:v>
      </x:c>
      <x:c r="D1235" t="str">
        <x:v>蔬菜</x:v>
      </x:c>
      <x:c r="E1235" t="str">
        <x:v>冬瓜</x:v>
      </x:c>
      <x:c r="F1235" t="n">
        <x:v>140</x:v>
      </x:c>
      <x:c r="G1235" t="n">
        <x:v>13</x:v>
      </x:c>
      <x:c r="H1235" t="n">
        <x:f>ROUND(F1235*G1235/100,2)</x:f>
        <x:v>18.2</x:v>
      </x:c>
      <x:c r="I1235" t="n">
        <x:v>0.4</x:v>
      </x:c>
      <x:c r="J1235" t="n">
        <x:f>ROUND(F1235*I1235/100,2)</x:f>
        <x:v>0.56</x:v>
      </x:c>
      <x:c r="K1235" t="n">
        <x:v>3</x:v>
      </x:c>
      <x:c r="L1235" t="n">
        <x:f>ROUND(F1235*K1235/100,2)</x:f>
        <x:v>4.2</x:v>
      </x:c>
      <x:c r="M1235" t="n">
        <x:v>0.2</x:v>
      </x:c>
      <x:c r="N1235" t="n">
        <x:f>ROUND(F1235*M1235/100,2)</x:f>
        <x:v>0.28</x:v>
      </x:c>
      <x:c r="O1235" t="str">
        <x:v>生重</x:v>
      </x:c>
    </x:row>
    <x:row r="1236" ht="23" customHeight="1">
      <x:c r="A1236" t="n">
        <x:v>206</x:v>
      </x:c>
      <x:c r="B1236" t="n">
        <x:v>103</x:v>
      </x:c>
      <x:c r="C1236" t="str">
        <x:v>晚餐</x:v>
      </x:c>
      <x:c r="D1236" t="str">
        <x:v>主食</x:v>
      </x:c>
      <x:c r="E1236" t="str">
        <x:v>山药</x:v>
      </x:c>
      <x:c r="F1236" t="n">
        <x:v>125</x:v>
      </x:c>
      <x:c r="G1236" t="n">
        <x:v>62</x:v>
      </x:c>
      <x:c r="H1236" t="n">
        <x:f>ROUND(F1236*G1236/100,2)</x:f>
        <x:v>77.5</x:v>
      </x:c>
      <x:c r="I1236" t="n">
        <x:v>1.5</x:v>
      </x:c>
      <x:c r="J1236" t="n">
        <x:f>ROUND(F1236*I1236/100,2)</x:f>
        <x:v>1.88</x:v>
      </x:c>
      <x:c r="K1236" t="n">
        <x:v>14.1</x:v>
      </x:c>
      <x:c r="L1236" t="n">
        <x:f>ROUND(F1236*K1236/100,2)</x:f>
        <x:v>17.63</x:v>
      </x:c>
      <x:c r="M1236" t="n">
        <x:v>0.1</x:v>
      </x:c>
      <x:c r="N1236" t="n">
        <x:f>ROUND(F1236*M1236/100,2)</x:f>
        <x:v>0.13</x:v>
      </x:c>
      <x:c r="O1236" t="str">
        <x:v>蒸熟净重</x:v>
      </x:c>
    </x:row>
    <x:row r="1237" ht="23" customHeight="1">
      <x:c r="A1237" t="n">
        <x:v>206</x:v>
      </x:c>
      <x:c r="B1237" t="n">
        <x:v>103</x:v>
      </x:c>
      <x:c r="C1237" t="str">
        <x:v>晚餐</x:v>
      </x:c>
      <x:c r="D1237" t="str">
        <x:v>油脂</x:v>
      </x:c>
      <x:c r="E1237" t="str">
        <x:v>烹调油</x:v>
      </x:c>
      <x:c r="F1237" t="n">
        <x:v>4</x:v>
      </x:c>
      <x:c r="G1237" t="n">
        <x:v>900</x:v>
      </x:c>
      <x:c r="H1237" t="n">
        <x:f>ROUND(F1237*G1237/100,2)</x:f>
        <x:v>36</x:v>
      </x:c>
      <x:c r="I1237" t="n">
        <x:v>0</x:v>
      </x:c>
      <x:c r="J1237" t="n">
        <x:f>ROUND(F1237*I1237/100,2)</x:f>
        <x:v>0</x:v>
      </x:c>
      <x:c r="K1237" t="n">
        <x:v>0</x:v>
      </x:c>
      <x:c r="L1237" t="n">
        <x:f>ROUND(F1237*K1237/100,2)</x:f>
        <x:v>0</x:v>
      </x:c>
      <x:c r="M1237" t="n">
        <x:v>100</x:v>
      </x:c>
      <x:c r="N1237" t="n">
        <x:f>ROUND(F1237*M1237/100,2)</x:f>
        <x:v>4</x:v>
      </x:c>
      <x:c r="O1237" t="str">
        <x:v>实际用油重</x:v>
      </x:c>
    </x:row>
    <x:row r="1238" ht="23" customHeight="1">
      <x:c r="A1238" t="n">
        <x:v>207</x:v>
      </x:c>
      <x:c r="B1238" t="n">
        <x:v>104</x:v>
      </x:c>
      <x:c r="C1238" t="str">
        <x:v>午餐</x:v>
      </x:c>
      <x:c r="D1238" t="str">
        <x:v>豆蛋</x:v>
      </x:c>
      <x:c r="E1238" t="str">
        <x:v>北豆腐</x:v>
      </x:c>
      <x:c r="F1238" t="n">
        <x:v>280</x:v>
      </x:c>
      <x:c r="G1238" t="n">
        <x:v>90</x:v>
      </x:c>
      <x:c r="H1238" t="n">
        <x:f>ROUND(F1238*G1238/100,2)</x:f>
        <x:v>252</x:v>
      </x:c>
      <x:c r="I1238" t="n">
        <x:v>10</x:v>
      </x:c>
      <x:c r="J1238" t="n">
        <x:f>ROUND(F1238*I1238/100,2)</x:f>
        <x:v>28</x:v>
      </x:c>
      <x:c r="K1238" t="n">
        <x:v>2</x:v>
      </x:c>
      <x:c r="L1238" t="n">
        <x:f>ROUND(F1238*K1238/100,2)</x:f>
        <x:v>5.6</x:v>
      </x:c>
      <x:c r="M1238" t="n">
        <x:v>5</x:v>
      </x:c>
      <x:c r="N1238" t="n">
        <x:f>ROUND(F1238*M1238/100,2)</x:f>
        <x:v>14</x:v>
      </x:c>
      <x:c r="O1238" t="str">
        <x:v>净重</x:v>
      </x:c>
    </x:row>
    <x:row r="1239" ht="23" customHeight="1">
      <x:c r="A1239" t="n">
        <x:v>207</x:v>
      </x:c>
      <x:c r="B1239" t="n">
        <x:v>104</x:v>
      </x:c>
      <x:c r="C1239" t="str">
        <x:v>午餐</x:v>
      </x:c>
      <x:c r="D1239" t="str">
        <x:v>豆蛋</x:v>
      </x:c>
      <x:c r="E1239" t="str">
        <x:v>熟毛豆仁</x:v>
      </x:c>
      <x:c r="F1239" t="n">
        <x:v>70</x:v>
      </x:c>
      <x:c r="G1239" t="n">
        <x:v>120</x:v>
      </x:c>
      <x:c r="H1239" t="n">
        <x:f>ROUND(F1239*G1239/100,2)</x:f>
        <x:v>84</x:v>
      </x:c>
      <x:c r="I1239" t="n">
        <x:v>12</x:v>
      </x:c>
      <x:c r="J1239" t="n">
        <x:f>ROUND(F1239*I1239/100,2)</x:f>
        <x:v>8.4</x:v>
      </x:c>
      <x:c r="K1239" t="n">
        <x:v>9</x:v>
      </x:c>
      <x:c r="L1239" t="n">
        <x:f>ROUND(F1239*K1239/100,2)</x:f>
        <x:v>6.3</x:v>
      </x:c>
      <x:c r="M1239" t="n">
        <x:v>5</x:v>
      </x:c>
      <x:c r="N1239" t="n">
        <x:f>ROUND(F1239*M1239/100,2)</x:f>
        <x:v>3.5</x:v>
      </x:c>
      <x:c r="O1239" t="str">
        <x:v>熟重</x:v>
      </x:c>
    </x:row>
    <x:row r="1240" ht="23" customHeight="1">
      <x:c r="A1240" t="n">
        <x:v>207</x:v>
      </x:c>
      <x:c r="B1240" t="n">
        <x:v>104</x:v>
      </x:c>
      <x:c r="C1240" t="str">
        <x:v>午餐</x:v>
      </x:c>
      <x:c r="D1240" t="str">
        <x:v>蔬菜</x:v>
      </x:c>
      <x:c r="E1240" t="str">
        <x:v>小白菜</x:v>
      </x:c>
      <x:c r="F1240" t="n">
        <x:v>175</x:v>
      </x:c>
      <x:c r="G1240" t="n">
        <x:v>17</x:v>
      </x:c>
      <x:c r="H1240" t="n">
        <x:f>ROUND(F1240*G1240/100,2)</x:f>
        <x:v>29.75</x:v>
      </x:c>
      <x:c r="I1240" t="n">
        <x:v>1.6</x:v>
      </x:c>
      <x:c r="J1240" t="n">
        <x:f>ROUND(F1240*I1240/100,2)</x:f>
        <x:v>2.8</x:v>
      </x:c>
      <x:c r="K1240" t="n">
        <x:v>2.8</x:v>
      </x:c>
      <x:c r="L1240" t="n">
        <x:f>ROUND(F1240*K1240/100,2)</x:f>
        <x:v>4.9</x:v>
      </x:c>
      <x:c r="M1240" t="n">
        <x:v>0.2</x:v>
      </x:c>
      <x:c r="N1240" t="n">
        <x:f>ROUND(F1240*M1240/100,2)</x:f>
        <x:v>0.35</x:v>
      </x:c>
      <x:c r="O1240" t="str">
        <x:v>生重</x:v>
      </x:c>
    </x:row>
    <x:row r="1241" ht="23" customHeight="1">
      <x:c r="A1241" t="n">
        <x:v>207</x:v>
      </x:c>
      <x:c r="B1241" t="n">
        <x:v>104</x:v>
      </x:c>
      <x:c r="C1241" t="str">
        <x:v>午餐</x:v>
      </x:c>
      <x:c r="D1241" t="str">
        <x:v>蔬菜</x:v>
      </x:c>
      <x:c r="E1241" t="str">
        <x:v>白萝卜</x:v>
      </x:c>
      <x:c r="F1241" t="n">
        <x:v>125</x:v>
      </x:c>
      <x:c r="G1241" t="n">
        <x:v>18</x:v>
      </x:c>
      <x:c r="H1241" t="n">
        <x:f>ROUND(F1241*G1241/100,2)</x:f>
        <x:v>22.5</x:v>
      </x:c>
      <x:c r="I1241" t="n">
        <x:v>0.6</x:v>
      </x:c>
      <x:c r="J1241" t="n">
        <x:f>ROUND(F1241*I1241/100,2)</x:f>
        <x:v>0.75</x:v>
      </x:c>
      <x:c r="K1241" t="n">
        <x:v>4</x:v>
      </x:c>
      <x:c r="L1241" t="n">
        <x:f>ROUND(F1241*K1241/100,2)</x:f>
        <x:v>5</x:v>
      </x:c>
      <x:c r="M1241" t="n">
        <x:v>0.1</x:v>
      </x:c>
      <x:c r="N1241" t="n">
        <x:f>ROUND(F1241*M1241/100,2)</x:f>
        <x:v>0.13</x:v>
      </x:c>
      <x:c r="O1241" t="str">
        <x:v>生重</x:v>
      </x:c>
    </x:row>
    <x:row r="1242" ht="23" customHeight="1">
      <x:c r="A1242" t="n">
        <x:v>207</x:v>
      </x:c>
      <x:c r="B1242" t="n">
        <x:v>104</x:v>
      </x:c>
      <x:c r="C1242" t="str">
        <x:v>午餐</x:v>
      </x:c>
      <x:c r="D1242" t="str">
        <x:v>主食</x:v>
      </x:c>
      <x:c r="E1242" t="str">
        <x:v>糙米饭</x:v>
      </x:c>
      <x:c r="F1242" t="n">
        <x:v>110</x:v>
      </x:c>
      <x:c r="G1242" t="n">
        <x:v>112</x:v>
      </x:c>
      <x:c r="H1242" t="n">
        <x:f>ROUND(F1242*G1242/100,2)</x:f>
        <x:v>123.2</x:v>
      </x:c>
      <x:c r="I1242" t="n">
        <x:v>2.6</x:v>
      </x:c>
      <x:c r="J1242" t="n">
        <x:f>ROUND(F1242*I1242/100,2)</x:f>
        <x:v>2.86</x:v>
      </x:c>
      <x:c r="K1242" t="n">
        <x:v>23.5</x:v>
      </x:c>
      <x:c r="L1242" t="n">
        <x:f>ROUND(F1242*K1242/100,2)</x:f>
        <x:v>25.85</x:v>
      </x:c>
      <x:c r="M1242" t="n">
        <x:v>0.9</x:v>
      </x:c>
      <x:c r="N1242" t="n">
        <x:f>ROUND(F1242*M1242/100,2)</x:f>
        <x:v>0.99</x:v>
      </x:c>
      <x:c r="O1242" t="str">
        <x:v>熟重</x:v>
      </x:c>
    </x:row>
    <x:row r="1243" ht="23" customHeight="1">
      <x:c r="A1243" t="n">
        <x:v>207</x:v>
      </x:c>
      <x:c r="B1243" t="n">
        <x:v>104</x:v>
      </x:c>
      <x:c r="C1243" t="str">
        <x:v>午餐</x:v>
      </x:c>
      <x:c r="D1243" t="str">
        <x:v>油脂</x:v>
      </x:c>
      <x:c r="E1243" t="str">
        <x:v>烹调油</x:v>
      </x:c>
      <x:c r="F1243" t="n">
        <x:v>5</x:v>
      </x:c>
      <x:c r="G1243" t="n">
        <x:v>900</x:v>
      </x:c>
      <x:c r="H1243" t="n">
        <x:f>ROUND(F1243*G1243/100,2)</x:f>
        <x:v>45</x:v>
      </x:c>
      <x:c r="I1243" t="n">
        <x:v>0</x:v>
      </x:c>
      <x:c r="J1243" t="n">
        <x:f>ROUND(F1243*I1243/100,2)</x:f>
        <x:v>0</x:v>
      </x:c>
      <x:c r="K1243" t="n">
        <x:v>0</x:v>
      </x:c>
      <x:c r="L1243" t="n">
        <x:f>ROUND(F1243*K1243/100,2)</x:f>
        <x:v>0</x:v>
      </x:c>
      <x:c r="M1243" t="n">
        <x:v>100</x:v>
      </x:c>
      <x:c r="N1243" t="n">
        <x:f>ROUND(F1243*M1243/100,2)</x:f>
        <x:v>5</x:v>
      </x:c>
      <x:c r="O1243" t="str">
        <x:v>实际用油重</x:v>
      </x:c>
    </x:row>
    <x:row r="1244" ht="23" customHeight="1">
      <x:c r="A1244" t="n">
        <x:v>208</x:v>
      </x:c>
      <x:c r="B1244" t="n">
        <x:v>104</x:v>
      </x:c>
      <x:c r="C1244" t="str">
        <x:v>晚餐</x:v>
      </x:c>
      <x:c r="D1244" t="str">
        <x:v>禽肉</x:v>
      </x:c>
      <x:c r="E1244" t="str">
        <x:v>去皮鸡腿肉</x:v>
      </x:c>
      <x:c r="F1244" t="n">
        <x:v>160</x:v>
      </x:c>
      <x:c r="G1244" t="n">
        <x:v>125</x:v>
      </x:c>
      <x:c r="H1244" t="n">
        <x:f>ROUND(F1244*G1244/100,2)</x:f>
        <x:v>200</x:v>
      </x:c>
      <x:c r="I1244" t="n">
        <x:v>20</x:v>
      </x:c>
      <x:c r="J1244" t="n">
        <x:f>ROUND(F1244*I1244/100,2)</x:f>
        <x:v>32</x:v>
      </x:c>
      <x:c r="K1244" t="n">
        <x:v>0</x:v>
      </x:c>
      <x:c r="L1244" t="n">
        <x:f>ROUND(F1244*K1244/100,2)</x:f>
        <x:v>0</x:v>
      </x:c>
      <x:c r="M1244" t="n">
        <x:v>5</x:v>
      </x:c>
      <x:c r="N1244" t="n">
        <x:f>ROUND(F1244*M1244/100,2)</x:f>
        <x:v>8</x:v>
      </x:c>
      <x:c r="O1244" t="str">
        <x:v>生重</x:v>
      </x:c>
    </x:row>
    <x:row r="1245" ht="23" customHeight="1">
      <x:c r="A1245" t="n">
        <x:v>208</x:v>
      </x:c>
      <x:c r="B1245" t="n">
        <x:v>104</x:v>
      </x:c>
      <x:c r="C1245" t="str">
        <x:v>晚餐</x:v>
      </x:c>
      <x:c r="D1245" t="str"/>
      <x:c r="E1245" t="str"/>
      <x:c r="F1245" t="n">
        <x:v>0</x:v>
      </x:c>
      <x:c r="G1245" t="n">
        <x:v>0</x:v>
      </x:c>
      <x:c r="H1245" t="n">
        <x:f>ROUND(F1245*G1245/100,2)</x:f>
        <x:v>0</x:v>
      </x:c>
      <x:c r="I1245" t="n">
        <x:v>0</x:v>
      </x:c>
      <x:c r="J1245" t="n">
        <x:f>ROUND(F1245*I1245/100,2)</x:f>
        <x:v>0</x:v>
      </x:c>
      <x:c r="K1245" t="n">
        <x:v>0</x:v>
      </x:c>
      <x:c r="L1245" t="n">
        <x:f>ROUND(F1245*K1245/100,2)</x:f>
        <x:v>0</x:v>
      </x:c>
      <x:c r="M1245" t="n">
        <x:v>0</x:v>
      </x:c>
      <x:c r="N1245" t="n">
        <x:f>ROUND(F1245*M1245/100,2)</x:f>
        <x:v>0</x:v>
      </x:c>
      <x:c r="O1245" t="str"/>
    </x:row>
    <x:row r="1246" ht="23" customHeight="1">
      <x:c r="A1246" t="n">
        <x:v>208</x:v>
      </x:c>
      <x:c r="B1246" t="n">
        <x:v>104</x:v>
      </x:c>
      <x:c r="C1246" t="str">
        <x:v>晚餐</x:v>
      </x:c>
      <x:c r="D1246" t="str">
        <x:v>蔬菜</x:v>
      </x:c>
      <x:c r="E1246" t="str">
        <x:v>白萝卜</x:v>
      </x:c>
      <x:c r="F1246" t="n">
        <x:v>175</x:v>
      </x:c>
      <x:c r="G1246" t="n">
        <x:v>18</x:v>
      </x:c>
      <x:c r="H1246" t="n">
        <x:f>ROUND(F1246*G1246/100,2)</x:f>
        <x:v>31.5</x:v>
      </x:c>
      <x:c r="I1246" t="n">
        <x:v>0.6</x:v>
      </x:c>
      <x:c r="J1246" t="n">
        <x:f>ROUND(F1246*I1246/100,2)</x:f>
        <x:v>1.05</x:v>
      </x:c>
      <x:c r="K1246" t="n">
        <x:v>4</x:v>
      </x:c>
      <x:c r="L1246" t="n">
        <x:f>ROUND(F1246*K1246/100,2)</x:f>
        <x:v>7</x:v>
      </x:c>
      <x:c r="M1246" t="n">
        <x:v>0.1</x:v>
      </x:c>
      <x:c r="N1246" t="n">
        <x:f>ROUND(F1246*M1246/100,2)</x:f>
        <x:v>0.18</x:v>
      </x:c>
      <x:c r="O1246" t="str">
        <x:v>生重</x:v>
      </x:c>
    </x:row>
    <x:row r="1247" ht="23" customHeight="1">
      <x:c r="A1247" t="n">
        <x:v>208</x:v>
      </x:c>
      <x:c r="B1247" t="n">
        <x:v>104</x:v>
      </x:c>
      <x:c r="C1247" t="str">
        <x:v>晚餐</x:v>
      </x:c>
      <x:c r="D1247" t="str">
        <x:v>菌菇</x:v>
      </x:c>
      <x:c r="E1247" t="str">
        <x:v>杏鲍菇</x:v>
      </x:c>
      <x:c r="F1247" t="n">
        <x:v>125</x:v>
      </x:c>
      <x:c r="G1247" t="n">
        <x:v>35</x:v>
      </x:c>
      <x:c r="H1247" t="n">
        <x:f>ROUND(F1247*G1247/100,2)</x:f>
        <x:v>43.75</x:v>
      </x:c>
      <x:c r="I1247" t="n">
        <x:v>2</x:v>
      </x:c>
      <x:c r="J1247" t="n">
        <x:f>ROUND(F1247*I1247/100,2)</x:f>
        <x:v>2.5</x:v>
      </x:c>
      <x:c r="K1247" t="n">
        <x:v>7.4</x:v>
      </x:c>
      <x:c r="L1247" t="n">
        <x:f>ROUND(F1247*K1247/100,2)</x:f>
        <x:v>9.25</x:v>
      </x:c>
      <x:c r="M1247" t="n">
        <x:v>0.3</x:v>
      </x:c>
      <x:c r="N1247" t="n">
        <x:f>ROUND(F1247*M1247/100,2)</x:f>
        <x:v>0.38</x:v>
      </x:c>
      <x:c r="O1247" t="str">
        <x:v>生重</x:v>
      </x:c>
    </x:row>
    <x:row r="1248" ht="23" customHeight="1">
      <x:c r="A1248" t="n">
        <x:v>208</x:v>
      </x:c>
      <x:c r="B1248" t="n">
        <x:v>104</x:v>
      </x:c>
      <x:c r="C1248" t="str">
        <x:v>晚餐</x:v>
      </x:c>
      <x:c r="D1248" t="str">
        <x:v>主食</x:v>
      </x:c>
      <x:c r="E1248" t="str">
        <x:v>杂粮饭</x:v>
      </x:c>
      <x:c r="F1248" t="n">
        <x:v>110</x:v>
      </x:c>
      <x:c r="G1248" t="n">
        <x:v>115</x:v>
      </x:c>
      <x:c r="H1248" t="n">
        <x:f>ROUND(F1248*G1248/100,2)</x:f>
        <x:v>126.5</x:v>
      </x:c>
      <x:c r="I1248" t="n">
        <x:v>3.1</x:v>
      </x:c>
      <x:c r="J1248" t="n">
        <x:f>ROUND(F1248*I1248/100,2)</x:f>
        <x:v>3.41</x:v>
      </x:c>
      <x:c r="K1248" t="n">
        <x:v>23.5</x:v>
      </x:c>
      <x:c r="L1248" t="n">
        <x:f>ROUND(F1248*K1248/100,2)</x:f>
        <x:v>25.85</x:v>
      </x:c>
      <x:c r="M1248" t="n">
        <x:v>1.1</x:v>
      </x:c>
      <x:c r="N1248" t="n">
        <x:f>ROUND(F1248*M1248/100,2)</x:f>
        <x:v>1.21</x:v>
      </x:c>
      <x:c r="O1248" t="str">
        <x:v>熟重</x:v>
      </x:c>
    </x:row>
    <x:row r="1249" ht="23" customHeight="1">
      <x:c r="A1249" t="n">
        <x:v>208</x:v>
      </x:c>
      <x:c r="B1249" t="n">
        <x:v>104</x:v>
      </x:c>
      <x:c r="C1249" t="str">
        <x:v>晚餐</x:v>
      </x:c>
      <x:c r="D1249" t="str">
        <x:v>油脂</x:v>
      </x:c>
      <x:c r="E1249" t="str">
        <x:v>烹调油</x:v>
      </x:c>
      <x:c r="F1249" t="n">
        <x:v>4</x:v>
      </x:c>
      <x:c r="G1249" t="n">
        <x:v>900</x:v>
      </x:c>
      <x:c r="H1249" t="n">
        <x:f>ROUND(F1249*G1249/100,2)</x:f>
        <x:v>36</x:v>
      </x:c>
      <x:c r="I1249" t="n">
        <x:v>0</x:v>
      </x:c>
      <x:c r="J1249" t="n">
        <x:f>ROUND(F1249*I1249/100,2)</x:f>
        <x:v>0</x:v>
      </x:c>
      <x:c r="K1249" t="n">
        <x:v>0</x:v>
      </x:c>
      <x:c r="L1249" t="n">
        <x:f>ROUND(F1249*K1249/100,2)</x:f>
        <x:v>0</x:v>
      </x:c>
      <x:c r="M1249" t="n">
        <x:v>100</x:v>
      </x:c>
      <x:c r="N1249" t="n">
        <x:f>ROUND(F1249*M1249/100,2)</x:f>
        <x:v>4</x:v>
      </x:c>
      <x:c r="O1249" t="str">
        <x:v>实际用油重</x:v>
      </x:c>
    </x:row>
    <x:row r="1250" ht="23" customHeight="1">
      <x:c r="A1250" t="n">
        <x:v>209</x:v>
      </x:c>
      <x:c r="B1250" t="n">
        <x:v>105</x:v>
      </x:c>
      <x:c r="C1250" t="str">
        <x:v>午餐</x:v>
      </x:c>
      <x:c r="D1250" t="str">
        <x:v>鱼类</x:v>
      </x:c>
      <x:c r="E1250" t="str">
        <x:v>巴沙鱼</x:v>
      </x:c>
      <x:c r="F1250" t="n">
        <x:v>215</x:v>
      </x:c>
      <x:c r="G1250" t="n">
        <x:v>90</x:v>
      </x:c>
      <x:c r="H1250" t="n">
        <x:f>ROUND(F1250*G1250/100,2)</x:f>
        <x:v>193.5</x:v>
      </x:c>
      <x:c r="I1250" t="n">
        <x:v>17</x:v>
      </x:c>
      <x:c r="J1250" t="n">
        <x:f>ROUND(F1250*I1250/100,2)</x:f>
        <x:v>36.55</x:v>
      </x:c>
      <x:c r="K1250" t="n">
        <x:v>0</x:v>
      </x:c>
      <x:c r="L1250" t="n">
        <x:f>ROUND(F1250*K1250/100,2)</x:f>
        <x:v>0</x:v>
      </x:c>
      <x:c r="M1250" t="n">
        <x:v>2.3</x:v>
      </x:c>
      <x:c r="N1250" t="n">
        <x:f>ROUND(F1250*M1250/100,2)</x:f>
        <x:v>4.94</x:v>
      </x:c>
      <x:c r="O1250" t="str">
        <x:v>净鱼肉生重</x:v>
      </x:c>
    </x:row>
    <x:row r="1251" ht="23" customHeight="1">
      <x:c r="A1251" t="n">
        <x:v>209</x:v>
      </x:c>
      <x:c r="B1251" t="n">
        <x:v>105</x:v>
      </x:c>
      <x:c r="C1251" t="str">
        <x:v>午餐</x:v>
      </x:c>
      <x:c r="D1251" t="str"/>
      <x:c r="E1251" t="str"/>
      <x:c r="F1251" t="n">
        <x:v>0</x:v>
      </x:c>
      <x:c r="G1251" t="n">
        <x:v>0</x:v>
      </x:c>
      <x:c r="H1251" t="n">
        <x:f>ROUND(F1251*G1251/100,2)</x:f>
        <x:v>0</x:v>
      </x:c>
      <x:c r="I1251" t="n">
        <x:v>0</x:v>
      </x:c>
      <x:c r="J1251" t="n">
        <x:f>ROUND(F1251*I1251/100,2)</x:f>
        <x:v>0</x:v>
      </x:c>
      <x:c r="K1251" t="n">
        <x:v>0</x:v>
      </x:c>
      <x:c r="L1251" t="n">
        <x:f>ROUND(F1251*K1251/100,2)</x:f>
        <x:v>0</x:v>
      </x:c>
      <x:c r="M1251" t="n">
        <x:v>0</x:v>
      </x:c>
      <x:c r="N1251" t="n">
        <x:f>ROUND(F1251*M1251/100,2)</x:f>
        <x:v>0</x:v>
      </x:c>
      <x:c r="O1251" t="str"/>
    </x:row>
    <x:row r="1252" ht="23" customHeight="1">
      <x:c r="A1252" t="n">
        <x:v>209</x:v>
      </x:c>
      <x:c r="B1252" t="n">
        <x:v>105</x:v>
      </x:c>
      <x:c r="C1252" t="str">
        <x:v>午餐</x:v>
      </x:c>
      <x:c r="D1252" t="str">
        <x:v>蔬菜</x:v>
      </x:c>
      <x:c r="E1252" t="str">
        <x:v>丝瓜</x:v>
      </x:c>
      <x:c r="F1252" t="n">
        <x:v>175</x:v>
      </x:c>
      <x:c r="G1252" t="n">
        <x:v>20</x:v>
      </x:c>
      <x:c r="H1252" t="n">
        <x:f>ROUND(F1252*G1252/100,2)</x:f>
        <x:v>35</x:v>
      </x:c>
      <x:c r="I1252" t="n">
        <x:v>1</x:v>
      </x:c>
      <x:c r="J1252" t="n">
        <x:f>ROUND(F1252*I1252/100,2)</x:f>
        <x:v>1.75</x:v>
      </x:c>
      <x:c r="K1252" t="n">
        <x:v>4</x:v>
      </x:c>
      <x:c r="L1252" t="n">
        <x:f>ROUND(F1252*K1252/100,2)</x:f>
        <x:v>7</x:v>
      </x:c>
      <x:c r="M1252" t="n">
        <x:v>0.2</x:v>
      </x:c>
      <x:c r="N1252" t="n">
        <x:f>ROUND(F1252*M1252/100,2)</x:f>
        <x:v>0.35</x:v>
      </x:c>
      <x:c r="O1252" t="str">
        <x:v>生重</x:v>
      </x:c>
    </x:row>
    <x:row r="1253" ht="23" customHeight="1">
      <x:c r="A1253" t="n">
        <x:v>209</x:v>
      </x:c>
      <x:c r="B1253" t="n">
        <x:v>105</x:v>
      </x:c>
      <x:c r="C1253" t="str">
        <x:v>午餐</x:v>
      </x:c>
      <x:c r="D1253" t="str">
        <x:v>菌菇</x:v>
      </x:c>
      <x:c r="E1253" t="str">
        <x:v>杏鲍菇</x:v>
      </x:c>
      <x:c r="F1253" t="n">
        <x:v>155</x:v>
      </x:c>
      <x:c r="G1253" t="n">
        <x:v>35</x:v>
      </x:c>
      <x:c r="H1253" t="n">
        <x:f>ROUND(F1253*G1253/100,2)</x:f>
        <x:v>54.25</x:v>
      </x:c>
      <x:c r="I1253" t="n">
        <x:v>2</x:v>
      </x:c>
      <x:c r="J1253" t="n">
        <x:f>ROUND(F1253*I1253/100,2)</x:f>
        <x:v>3.1</x:v>
      </x:c>
      <x:c r="K1253" t="n">
        <x:v>7.4</x:v>
      </x:c>
      <x:c r="L1253" t="n">
        <x:f>ROUND(F1253*K1253/100,2)</x:f>
        <x:v>11.47</x:v>
      </x:c>
      <x:c r="M1253" t="n">
        <x:v>0.3</x:v>
      </x:c>
      <x:c r="N1253" t="n">
        <x:f>ROUND(F1253*M1253/100,2)</x:f>
        <x:v>0.47</x:v>
      </x:c>
      <x:c r="O1253" t="str">
        <x:v>生重</x:v>
      </x:c>
    </x:row>
    <x:row r="1254" ht="23" customHeight="1">
      <x:c r="A1254" t="n">
        <x:v>209</x:v>
      </x:c>
      <x:c r="B1254" t="n">
        <x:v>105</x:v>
      </x:c>
      <x:c r="C1254" t="str">
        <x:v>午餐</x:v>
      </x:c>
      <x:c r="D1254" t="str">
        <x:v>主食</x:v>
      </x:c>
      <x:c r="E1254" t="str">
        <x:v>杂粮饭</x:v>
      </x:c>
      <x:c r="F1254" t="n">
        <x:v>125</x:v>
      </x:c>
      <x:c r="G1254" t="n">
        <x:v>115</x:v>
      </x:c>
      <x:c r="H1254" t="n">
        <x:f>ROUND(F1254*G1254/100,2)</x:f>
        <x:v>143.75</x:v>
      </x:c>
      <x:c r="I1254" t="n">
        <x:v>3.1</x:v>
      </x:c>
      <x:c r="J1254" t="n">
        <x:f>ROUND(F1254*I1254/100,2)</x:f>
        <x:v>3.88</x:v>
      </x:c>
      <x:c r="K1254" t="n">
        <x:v>23.5</x:v>
      </x:c>
      <x:c r="L1254" t="n">
        <x:f>ROUND(F1254*K1254/100,2)</x:f>
        <x:v>29.38</x:v>
      </x:c>
      <x:c r="M1254" t="n">
        <x:v>1.1</x:v>
      </x:c>
      <x:c r="N1254" t="n">
        <x:f>ROUND(F1254*M1254/100,2)</x:f>
        <x:v>1.38</x:v>
      </x:c>
      <x:c r="O1254" t="str">
        <x:v>熟重</x:v>
      </x:c>
    </x:row>
    <x:row r="1255" ht="23" customHeight="1">
      <x:c r="A1255" t="n">
        <x:v>209</x:v>
      </x:c>
      <x:c r="B1255" t="n">
        <x:v>105</x:v>
      </x:c>
      <x:c r="C1255" t="str">
        <x:v>午餐</x:v>
      </x:c>
      <x:c r="D1255" t="str">
        <x:v>油脂</x:v>
      </x:c>
      <x:c r="E1255" t="str">
        <x:v>烹调油</x:v>
      </x:c>
      <x:c r="F1255" t="n">
        <x:v>6</x:v>
      </x:c>
      <x:c r="G1255" t="n">
        <x:v>900</x:v>
      </x:c>
      <x:c r="H1255" t="n">
        <x:f>ROUND(F1255*G1255/100,2)</x:f>
        <x:v>54</x:v>
      </x:c>
      <x:c r="I1255" t="n">
        <x:v>0</x:v>
      </x:c>
      <x:c r="J1255" t="n">
        <x:f>ROUND(F1255*I1255/100,2)</x:f>
        <x:v>0</x:v>
      </x:c>
      <x:c r="K1255" t="n">
        <x:v>0</x:v>
      </x:c>
      <x:c r="L1255" t="n">
        <x:f>ROUND(F1255*K1255/100,2)</x:f>
        <x:v>0</x:v>
      </x:c>
      <x:c r="M1255" t="n">
        <x:v>100</x:v>
      </x:c>
      <x:c r="N1255" t="n">
        <x:f>ROUND(F1255*M1255/100,2)</x:f>
        <x:v>6</x:v>
      </x:c>
      <x:c r="O1255" t="str">
        <x:v>实际用油重</x:v>
      </x:c>
    </x:row>
    <x:row r="1256" ht="23" customHeight="1">
      <x:c r="A1256" t="n">
        <x:v>210</x:v>
      </x:c>
      <x:c r="B1256" t="n">
        <x:v>105</x:v>
      </x:c>
      <x:c r="C1256" t="str">
        <x:v>晚餐</x:v>
      </x:c>
      <x:c r="D1256" t="str">
        <x:v>猪肉</x:v>
      </x:c>
      <x:c r="E1256" t="str">
        <x:v>猪里脊</x:v>
      </x:c>
      <x:c r="F1256" t="n">
        <x:v>145</x:v>
      </x:c>
      <x:c r="G1256" t="n">
        <x:v>120</x:v>
      </x:c>
      <x:c r="H1256" t="n">
        <x:f>ROUND(F1256*G1256/100,2)</x:f>
        <x:v>174</x:v>
      </x:c>
      <x:c r="I1256" t="n">
        <x:v>21</x:v>
      </x:c>
      <x:c r="J1256" t="n">
        <x:f>ROUND(F1256*I1256/100,2)</x:f>
        <x:v>30.45</x:v>
      </x:c>
      <x:c r="K1256" t="n">
        <x:v>0</x:v>
      </x:c>
      <x:c r="L1256" t="n">
        <x:f>ROUND(F1256*K1256/100,2)</x:f>
        <x:v>0</x:v>
      </x:c>
      <x:c r="M1256" t="n">
        <x:v>3.5</x:v>
      </x:c>
      <x:c r="N1256" t="n">
        <x:f>ROUND(F1256*M1256/100,2)</x:f>
        <x:v>5.08</x:v>
      </x:c>
      <x:c r="O1256" t="str">
        <x:v>生重</x:v>
      </x:c>
    </x:row>
    <x:row r="1257" ht="23" customHeight="1">
      <x:c r="A1257" t="n">
        <x:v>210</x:v>
      </x:c>
      <x:c r="B1257" t="n">
        <x:v>105</x:v>
      </x:c>
      <x:c r="C1257" t="str">
        <x:v>晚餐</x:v>
      </x:c>
      <x:c r="D1257" t="str"/>
      <x:c r="E1257" t="str"/>
      <x:c r="F1257" t="n">
        <x:v>0</x:v>
      </x:c>
      <x:c r="G1257" t="n">
        <x:v>0</x:v>
      </x:c>
      <x:c r="H1257" t="n">
        <x:f>ROUND(F1257*G1257/100,2)</x:f>
        <x:v>0</x:v>
      </x:c>
      <x:c r="I1257" t="n">
        <x:v>0</x:v>
      </x:c>
      <x:c r="J1257" t="n">
        <x:f>ROUND(F1257*I1257/100,2)</x:f>
        <x:v>0</x:v>
      </x:c>
      <x:c r="K1257" t="n">
        <x:v>0</x:v>
      </x:c>
      <x:c r="L1257" t="n">
        <x:f>ROUND(F1257*K1257/100,2)</x:f>
        <x:v>0</x:v>
      </x:c>
      <x:c r="M1257" t="n">
        <x:v>0</x:v>
      </x:c>
      <x:c r="N1257" t="n">
        <x:f>ROUND(F1257*M1257/100,2)</x:f>
        <x:v>0</x:v>
      </x:c>
      <x:c r="O1257" t="str"/>
    </x:row>
    <x:row r="1258" ht="23" customHeight="1">
      <x:c r="A1258" t="n">
        <x:v>210</x:v>
      </x:c>
      <x:c r="B1258" t="n">
        <x:v>105</x:v>
      </x:c>
      <x:c r="C1258" t="str">
        <x:v>晚餐</x:v>
      </x:c>
      <x:c r="D1258" t="str">
        <x:v>蔬菜</x:v>
      </x:c>
      <x:c r="E1258" t="str">
        <x:v>菜心</x:v>
      </x:c>
      <x:c r="F1258" t="n">
        <x:v>140</x:v>
      </x:c>
      <x:c r="G1258" t="n">
        <x:v>20</x:v>
      </x:c>
      <x:c r="H1258" t="n">
        <x:f>ROUND(F1258*G1258/100,2)</x:f>
        <x:v>28</x:v>
      </x:c>
      <x:c r="I1258" t="n">
        <x:v>2</x:v>
      </x:c>
      <x:c r="J1258" t="n">
        <x:f>ROUND(F1258*I1258/100,2)</x:f>
        <x:v>2.8</x:v>
      </x:c>
      <x:c r="K1258" t="n">
        <x:v>3.5</x:v>
      </x:c>
      <x:c r="L1258" t="n">
        <x:f>ROUND(F1258*K1258/100,2)</x:f>
        <x:v>4.9</x:v>
      </x:c>
      <x:c r="M1258" t="n">
        <x:v>0.3</x:v>
      </x:c>
      <x:c r="N1258" t="n">
        <x:f>ROUND(F1258*M1258/100,2)</x:f>
        <x:v>0.42</x:v>
      </x:c>
      <x:c r="O1258" t="str">
        <x:v>生重</x:v>
      </x:c>
    </x:row>
    <x:row r="1259" ht="23" customHeight="1">
      <x:c r="A1259" t="n">
        <x:v>210</x:v>
      </x:c>
      <x:c r="B1259" t="n">
        <x:v>105</x:v>
      </x:c>
      <x:c r="C1259" t="str">
        <x:v>晚餐</x:v>
      </x:c>
      <x:c r="D1259" t="str">
        <x:v>蔬菜</x:v>
      </x:c>
      <x:c r="E1259" t="str">
        <x:v>番茄</x:v>
      </x:c>
      <x:c r="F1259" t="n">
        <x:v>110</x:v>
      </x:c>
      <x:c r="G1259" t="n">
        <x:v>20</x:v>
      </x:c>
      <x:c r="H1259" t="n">
        <x:f>ROUND(F1259*G1259/100,2)</x:f>
        <x:v>22</x:v>
      </x:c>
      <x:c r="I1259" t="n">
        <x:v>0.9</x:v>
      </x:c>
      <x:c r="J1259" t="n">
        <x:f>ROUND(F1259*I1259/100,2)</x:f>
        <x:v>0.99</x:v>
      </x:c>
      <x:c r="K1259" t="n">
        <x:v>4</x:v>
      </x:c>
      <x:c r="L1259" t="n">
        <x:f>ROUND(F1259*K1259/100,2)</x:f>
        <x:v>4.4</x:v>
      </x:c>
      <x:c r="M1259" t="n">
        <x:v>0.2</x:v>
      </x:c>
      <x:c r="N1259" t="n">
        <x:f>ROUND(F1259*M1259/100,2)</x:f>
        <x:v>0.22</x:v>
      </x:c>
      <x:c r="O1259" t="str">
        <x:v>生重</x:v>
      </x:c>
    </x:row>
    <x:row r="1260" ht="23" customHeight="1">
      <x:c r="A1260" t="n">
        <x:v>210</x:v>
      </x:c>
      <x:c r="B1260" t="n">
        <x:v>105</x:v>
      </x:c>
      <x:c r="C1260" t="str">
        <x:v>晚餐</x:v>
      </x:c>
      <x:c r="D1260" t="str">
        <x:v>主食</x:v>
      </x:c>
      <x:c r="E1260" t="str">
        <x:v>乌冬面</x:v>
      </x:c>
      <x:c r="F1260" t="n">
        <x:v>125</x:v>
      </x:c>
      <x:c r="G1260" t="n">
        <x:v>120</x:v>
      </x:c>
      <x:c r="H1260" t="n">
        <x:f>ROUND(F1260*G1260/100,2)</x:f>
        <x:v>150</x:v>
      </x:c>
      <x:c r="I1260" t="n">
        <x:v>2.5</x:v>
      </x:c>
      <x:c r="J1260" t="n">
        <x:f>ROUND(F1260*I1260/100,2)</x:f>
        <x:v>3.13</x:v>
      </x:c>
      <x:c r="K1260" t="n">
        <x:v>25</x:v>
      </x:c>
      <x:c r="L1260" t="n">
        <x:f>ROUND(F1260*K1260/100,2)</x:f>
        <x:v>31.25</x:v>
      </x:c>
      <x:c r="M1260" t="n">
        <x:v>0.6</x:v>
      </x:c>
      <x:c r="N1260" t="n">
        <x:f>ROUND(F1260*M1260/100,2)</x:f>
        <x:v>0.75</x:v>
      </x:c>
      <x:c r="O1260" t="str">
        <x:v>煮熟沥水重</x:v>
      </x:c>
    </x:row>
    <x:row r="1261" ht="23" customHeight="1">
      <x:c r="A1261" t="n">
        <x:v>210</x:v>
      </x:c>
      <x:c r="B1261" t="n">
        <x:v>105</x:v>
      </x:c>
      <x:c r="C1261" t="str">
        <x:v>晚餐</x:v>
      </x:c>
      <x:c r="D1261" t="str">
        <x:v>油脂</x:v>
      </x:c>
      <x:c r="E1261" t="str">
        <x:v>烹调油</x:v>
      </x:c>
      <x:c r="F1261" t="n">
        <x:v>3</x:v>
      </x:c>
      <x:c r="G1261" t="n">
        <x:v>900</x:v>
      </x:c>
      <x:c r="H1261" t="n">
        <x:f>ROUND(F1261*G1261/100,2)</x:f>
        <x:v>27</x:v>
      </x:c>
      <x:c r="I1261" t="n">
        <x:v>0</x:v>
      </x:c>
      <x:c r="J1261" t="n">
        <x:f>ROUND(F1261*I1261/100,2)</x:f>
        <x:v>0</x:v>
      </x:c>
      <x:c r="K1261" t="n">
        <x:v>0</x:v>
      </x:c>
      <x:c r="L1261" t="n">
        <x:f>ROUND(F1261*K1261/100,2)</x:f>
        <x:v>0</x:v>
      </x:c>
      <x:c r="M1261" t="n">
        <x:v>100</x:v>
      </x:c>
      <x:c r="N1261" t="n">
        <x:f>ROUND(F1261*M1261/100,2)</x:f>
        <x:v>3</x:v>
      </x:c>
      <x:c r="O1261" t="str">
        <x:v>实际用油重</x:v>
      </x:c>
    </x:row>
    <x:row r="1262" ht="23" customHeight="1">
      <x:c r="A1262" t="n">
        <x:v>211</x:v>
      </x:c>
      <x:c r="B1262" t="n">
        <x:v>106</x:v>
      </x:c>
      <x:c r="C1262" t="str">
        <x:v>午餐</x:v>
      </x:c>
      <x:c r="D1262" t="str">
        <x:v>禽肉</x:v>
      </x:c>
      <x:c r="E1262" t="str">
        <x:v>去皮鸡腿肉</x:v>
      </x:c>
      <x:c r="F1262" t="n">
        <x:v>165</x:v>
      </x:c>
      <x:c r="G1262" t="n">
        <x:v>125</x:v>
      </x:c>
      <x:c r="H1262" t="n">
        <x:f>ROUND(F1262*G1262/100,2)</x:f>
        <x:v>206.25</x:v>
      </x:c>
      <x:c r="I1262" t="n">
        <x:v>20</x:v>
      </x:c>
      <x:c r="J1262" t="n">
        <x:f>ROUND(F1262*I1262/100,2)</x:f>
        <x:v>33</x:v>
      </x:c>
      <x:c r="K1262" t="n">
        <x:v>0</x:v>
      </x:c>
      <x:c r="L1262" t="n">
        <x:f>ROUND(F1262*K1262/100,2)</x:f>
        <x:v>0</x:v>
      </x:c>
      <x:c r="M1262" t="n">
        <x:v>5</x:v>
      </x:c>
      <x:c r="N1262" t="n">
        <x:f>ROUND(F1262*M1262/100,2)</x:f>
        <x:v>8.25</x:v>
      </x:c>
      <x:c r="O1262" t="str">
        <x:v>生重</x:v>
      </x:c>
    </x:row>
    <x:row r="1263" ht="23" customHeight="1">
      <x:c r="A1263" t="n">
        <x:v>211</x:v>
      </x:c>
      <x:c r="B1263" t="n">
        <x:v>106</x:v>
      </x:c>
      <x:c r="C1263" t="str">
        <x:v>午餐</x:v>
      </x:c>
      <x:c r="D1263" t="str"/>
      <x:c r="E1263" t="str"/>
      <x:c r="F1263" t="n">
        <x:v>0</x:v>
      </x:c>
      <x:c r="G1263" t="n">
        <x:v>0</x:v>
      </x:c>
      <x:c r="H1263" t="n">
        <x:f>ROUND(F1263*G1263/100,2)</x:f>
        <x:v>0</x:v>
      </x:c>
      <x:c r="I1263" t="n">
        <x:v>0</x:v>
      </x:c>
      <x:c r="J1263" t="n">
        <x:f>ROUND(F1263*I1263/100,2)</x:f>
        <x:v>0</x:v>
      </x:c>
      <x:c r="K1263" t="n">
        <x:v>0</x:v>
      </x:c>
      <x:c r="L1263" t="n">
        <x:f>ROUND(F1263*K1263/100,2)</x:f>
        <x:v>0</x:v>
      </x:c>
      <x:c r="M1263" t="n">
        <x:v>0</x:v>
      </x:c>
      <x:c r="N1263" t="n">
        <x:f>ROUND(F1263*M1263/100,2)</x:f>
        <x:v>0</x:v>
      </x:c>
      <x:c r="O1263" t="str"/>
    </x:row>
    <x:row r="1264" ht="23" customHeight="1">
      <x:c r="A1264" t="n">
        <x:v>211</x:v>
      </x:c>
      <x:c r="B1264" t="n">
        <x:v>106</x:v>
      </x:c>
      <x:c r="C1264" t="str">
        <x:v>午餐</x:v>
      </x:c>
      <x:c r="D1264" t="str">
        <x:v>蔬菜</x:v>
      </x:c>
      <x:c r="E1264" t="str">
        <x:v>娃娃菜</x:v>
      </x:c>
      <x:c r="F1264" t="n">
        <x:v>190</x:v>
      </x:c>
      <x:c r="G1264" t="n">
        <x:v>17</x:v>
      </x:c>
      <x:c r="H1264" t="n">
        <x:f>ROUND(F1264*G1264/100,2)</x:f>
        <x:v>32.3</x:v>
      </x:c>
      <x:c r="I1264" t="n">
        <x:v>1.3</x:v>
      </x:c>
      <x:c r="J1264" t="n">
        <x:f>ROUND(F1264*I1264/100,2)</x:f>
        <x:v>2.47</x:v>
      </x:c>
      <x:c r="K1264" t="n">
        <x:v>3</x:v>
      </x:c>
      <x:c r="L1264" t="n">
        <x:f>ROUND(F1264*K1264/100,2)</x:f>
        <x:v>5.7</x:v>
      </x:c>
      <x:c r="M1264" t="n">
        <x:v>0.2</x:v>
      </x:c>
      <x:c r="N1264" t="n">
        <x:f>ROUND(F1264*M1264/100,2)</x:f>
        <x:v>0.38</x:v>
      </x:c>
      <x:c r="O1264" t="str">
        <x:v>生重</x:v>
      </x:c>
    </x:row>
    <x:row r="1265" ht="23" customHeight="1">
      <x:c r="A1265" t="n">
        <x:v>211</x:v>
      </x:c>
      <x:c r="B1265" t="n">
        <x:v>106</x:v>
      </x:c>
      <x:c r="C1265" t="str">
        <x:v>午餐</x:v>
      </x:c>
      <x:c r="D1265" t="str">
        <x:v>蔬菜</x:v>
      </x:c>
      <x:c r="E1265" t="str">
        <x:v>白萝卜</x:v>
      </x:c>
      <x:c r="F1265" t="n">
        <x:v>140</x:v>
      </x:c>
      <x:c r="G1265" t="n">
        <x:v>18</x:v>
      </x:c>
      <x:c r="H1265" t="n">
        <x:f>ROUND(F1265*G1265/100,2)</x:f>
        <x:v>25.2</x:v>
      </x:c>
      <x:c r="I1265" t="n">
        <x:v>0.6</x:v>
      </x:c>
      <x:c r="J1265" t="n">
        <x:f>ROUND(F1265*I1265/100,2)</x:f>
        <x:v>0.84</x:v>
      </x:c>
      <x:c r="K1265" t="n">
        <x:v>4</x:v>
      </x:c>
      <x:c r="L1265" t="n">
        <x:f>ROUND(F1265*K1265/100,2)</x:f>
        <x:v>5.6</x:v>
      </x:c>
      <x:c r="M1265" t="n">
        <x:v>0.1</x:v>
      </x:c>
      <x:c r="N1265" t="n">
        <x:f>ROUND(F1265*M1265/100,2)</x:f>
        <x:v>0.14</x:v>
      </x:c>
      <x:c r="O1265" t="str">
        <x:v>生重</x:v>
      </x:c>
    </x:row>
    <x:row r="1266" ht="23" customHeight="1">
      <x:c r="A1266" t="n">
        <x:v>211</x:v>
      </x:c>
      <x:c r="B1266" t="n">
        <x:v>106</x:v>
      </x:c>
      <x:c r="C1266" t="str">
        <x:v>午餐</x:v>
      </x:c>
      <x:c r="D1266" t="str">
        <x:v>主食</x:v>
      </x:c>
      <x:c r="E1266" t="str">
        <x:v>山药</x:v>
      </x:c>
      <x:c r="F1266" t="n">
        <x:v>135</x:v>
      </x:c>
      <x:c r="G1266" t="n">
        <x:v>62</x:v>
      </x:c>
      <x:c r="H1266" t="n">
        <x:f>ROUND(F1266*G1266/100,2)</x:f>
        <x:v>83.7</x:v>
      </x:c>
      <x:c r="I1266" t="n">
        <x:v>1.5</x:v>
      </x:c>
      <x:c r="J1266" t="n">
        <x:f>ROUND(F1266*I1266/100,2)</x:f>
        <x:v>2.03</x:v>
      </x:c>
      <x:c r="K1266" t="n">
        <x:v>14.1</x:v>
      </x:c>
      <x:c r="L1266" t="n">
        <x:f>ROUND(F1266*K1266/100,2)</x:f>
        <x:v>19.04</x:v>
      </x:c>
      <x:c r="M1266" t="n">
        <x:v>0.1</x:v>
      </x:c>
      <x:c r="N1266" t="n">
        <x:f>ROUND(F1266*M1266/100,2)</x:f>
        <x:v>0.14</x:v>
      </x:c>
      <x:c r="O1266" t="str">
        <x:v>蒸熟净重</x:v>
      </x:c>
    </x:row>
    <x:row r="1267" ht="23" customHeight="1">
      <x:c r="A1267" t="n">
        <x:v>211</x:v>
      </x:c>
      <x:c r="B1267" t="n">
        <x:v>106</x:v>
      </x:c>
      <x:c r="C1267" t="str">
        <x:v>午餐</x:v>
      </x:c>
      <x:c r="D1267" t="str">
        <x:v>油脂</x:v>
      </x:c>
      <x:c r="E1267" t="str">
        <x:v>烹调油</x:v>
      </x:c>
      <x:c r="F1267" t="n">
        <x:v>5</x:v>
      </x:c>
      <x:c r="G1267" t="n">
        <x:v>900</x:v>
      </x:c>
      <x:c r="H1267" t="n">
        <x:f>ROUND(F1267*G1267/100,2)</x:f>
        <x:v>45</x:v>
      </x:c>
      <x:c r="I1267" t="n">
        <x:v>0</x:v>
      </x:c>
      <x:c r="J1267" t="n">
        <x:f>ROUND(F1267*I1267/100,2)</x:f>
        <x:v>0</x:v>
      </x:c>
      <x:c r="K1267" t="n">
        <x:v>0</x:v>
      </x:c>
      <x:c r="L1267" t="n">
        <x:f>ROUND(F1267*K1267/100,2)</x:f>
        <x:v>0</x:v>
      </x:c>
      <x:c r="M1267" t="n">
        <x:v>100</x:v>
      </x:c>
      <x:c r="N1267" t="n">
        <x:f>ROUND(F1267*M1267/100,2)</x:f>
        <x:v>5</x:v>
      </x:c>
      <x:c r="O1267" t="str">
        <x:v>实际用油重</x:v>
      </x:c>
    </x:row>
    <x:row r="1268" ht="23" customHeight="1">
      <x:c r="A1268" t="n">
        <x:v>212</x:v>
      </x:c>
      <x:c r="B1268" t="n">
        <x:v>106</x:v>
      </x:c>
      <x:c r="C1268" t="str">
        <x:v>晚餐</x:v>
      </x:c>
      <x:c r="D1268" t="str">
        <x:v>豆蛋</x:v>
      </x:c>
      <x:c r="E1268" t="str">
        <x:v>嫩豆腐</x:v>
      </x:c>
      <x:c r="F1268" t="n">
        <x:v>280</x:v>
      </x:c>
      <x:c r="G1268" t="n">
        <x:v>55</x:v>
      </x:c>
      <x:c r="H1268" t="n">
        <x:f>ROUND(F1268*G1268/100,2)</x:f>
        <x:v>154</x:v>
      </x:c>
      <x:c r="I1268" t="n">
        <x:v>5</x:v>
      </x:c>
      <x:c r="J1268" t="n">
        <x:f>ROUND(F1268*I1268/100,2)</x:f>
        <x:v>14</x:v>
      </x:c>
      <x:c r="K1268" t="n">
        <x:v>2</x:v>
      </x:c>
      <x:c r="L1268" t="n">
        <x:f>ROUND(F1268*K1268/100,2)</x:f>
        <x:v>5.6</x:v>
      </x:c>
      <x:c r="M1268" t="n">
        <x:v>2.8</x:v>
      </x:c>
      <x:c r="N1268" t="n">
        <x:f>ROUND(F1268*M1268/100,2)</x:f>
        <x:v>7.84</x:v>
      </x:c>
      <x:c r="O1268" t="str">
        <x:v>净重</x:v>
      </x:c>
    </x:row>
    <x:row r="1269" ht="23" customHeight="1">
      <x:c r="A1269" t="n">
        <x:v>212</x:v>
      </x:c>
      <x:c r="B1269" t="n">
        <x:v>106</x:v>
      </x:c>
      <x:c r="C1269" t="str">
        <x:v>晚餐</x:v>
      </x:c>
      <x:c r="D1269" t="str">
        <x:v>海鲜</x:v>
      </x:c>
      <x:c r="E1269" t="str">
        <x:v>虾仁</x:v>
      </x:c>
      <x:c r="F1269" t="n">
        <x:v>65</x:v>
      </x:c>
      <x:c r="G1269" t="n">
        <x:v>90</x:v>
      </x:c>
      <x:c r="H1269" t="n">
        <x:f>ROUND(F1269*G1269/100,2)</x:f>
        <x:v>58.5</x:v>
      </x:c>
      <x:c r="I1269" t="n">
        <x:v>19</x:v>
      </x:c>
      <x:c r="J1269" t="n">
        <x:f>ROUND(F1269*I1269/100,2)</x:f>
        <x:v>12.35</x:v>
      </x:c>
      <x:c r="K1269" t="n">
        <x:v>0.4</x:v>
      </x:c>
      <x:c r="L1269" t="n">
        <x:f>ROUND(F1269*K1269/100,2)</x:f>
        <x:v>0.26</x:v>
      </x:c>
      <x:c r="M1269" t="n">
        <x:v>1.1</x:v>
      </x:c>
      <x:c r="N1269" t="n">
        <x:f>ROUND(F1269*M1269/100,2)</x:f>
        <x:v>0.72</x:v>
      </x:c>
      <x:c r="O1269" t="str">
        <x:v>生重</x:v>
      </x:c>
    </x:row>
    <x:row r="1270" ht="23" customHeight="1">
      <x:c r="A1270" t="n">
        <x:v>212</x:v>
      </x:c>
      <x:c r="B1270" t="n">
        <x:v>106</x:v>
      </x:c>
      <x:c r="C1270" t="str">
        <x:v>晚餐</x:v>
      </x:c>
      <x:c r="D1270" t="str">
        <x:v>蔬菜</x:v>
      </x:c>
      <x:c r="E1270" t="str">
        <x:v>苦瓜</x:v>
      </x:c>
      <x:c r="F1270" t="n">
        <x:v>160</x:v>
      </x:c>
      <x:c r="G1270" t="n">
        <x:v>19</x:v>
      </x:c>
      <x:c r="H1270" t="n">
        <x:f>ROUND(F1270*G1270/100,2)</x:f>
        <x:v>30.4</x:v>
      </x:c>
      <x:c r="I1270" t="n">
        <x:v>1</x:v>
      </x:c>
      <x:c r="J1270" t="n">
        <x:f>ROUND(F1270*I1270/100,2)</x:f>
        <x:v>1.6</x:v>
      </x:c>
      <x:c r="K1270" t="n">
        <x:v>4.1</x:v>
      </x:c>
      <x:c r="L1270" t="n">
        <x:f>ROUND(F1270*K1270/100,2)</x:f>
        <x:v>6.56</x:v>
      </x:c>
      <x:c r="M1270" t="n">
        <x:v>0.2</x:v>
      </x:c>
      <x:c r="N1270" t="n">
        <x:f>ROUND(F1270*M1270/100,2)</x:f>
        <x:v>0.32</x:v>
      </x:c>
      <x:c r="O1270" t="str">
        <x:v>生重</x:v>
      </x:c>
    </x:row>
    <x:row r="1271" ht="23" customHeight="1">
      <x:c r="A1271" t="n">
        <x:v>212</x:v>
      </x:c>
      <x:c r="B1271" t="n">
        <x:v>106</x:v>
      </x:c>
      <x:c r="C1271" t="str">
        <x:v>晚餐</x:v>
      </x:c>
      <x:c r="D1271" t="str">
        <x:v>菌菇</x:v>
      </x:c>
      <x:c r="E1271" t="str">
        <x:v>香菇</x:v>
      </x:c>
      <x:c r="F1271" t="n">
        <x:v>155</x:v>
      </x:c>
      <x:c r="G1271" t="n">
        <x:v>34</x:v>
      </x:c>
      <x:c r="H1271" t="n">
        <x:f>ROUND(F1271*G1271/100,2)</x:f>
        <x:v>52.7</x:v>
      </x:c>
      <x:c r="I1271" t="n">
        <x:v>2.2</x:v>
      </x:c>
      <x:c r="J1271" t="n">
        <x:f>ROUND(F1271*I1271/100,2)</x:f>
        <x:v>3.41</x:v>
      </x:c>
      <x:c r="K1271" t="n">
        <x:v>6.8</x:v>
      </x:c>
      <x:c r="L1271" t="n">
        <x:f>ROUND(F1271*K1271/100,2)</x:f>
        <x:v>10.54</x:v>
      </x:c>
      <x:c r="M1271" t="n">
        <x:v>0.5</x:v>
      </x:c>
      <x:c r="N1271" t="n">
        <x:f>ROUND(F1271*M1271/100,2)</x:f>
        <x:v>0.78</x:v>
      </x:c>
      <x:c r="O1271" t="str">
        <x:v>生重</x:v>
      </x:c>
    </x:row>
    <x:row r="1272" ht="23" customHeight="1">
      <x:c r="A1272" t="n">
        <x:v>212</x:v>
      </x:c>
      <x:c r="B1272" t="n">
        <x:v>106</x:v>
      </x:c>
      <x:c r="C1272" t="str">
        <x:v>晚餐</x:v>
      </x:c>
      <x:c r="D1272" t="str">
        <x:v>主食</x:v>
      </x:c>
      <x:c r="E1272" t="str">
        <x:v>荞麦饭</x:v>
      </x:c>
      <x:c r="F1272" t="n">
        <x:v>80</x:v>
      </x:c>
      <x:c r="G1272" t="n">
        <x:v>110</x:v>
      </x:c>
      <x:c r="H1272" t="n">
        <x:f>ROUND(F1272*G1272/100,2)</x:f>
        <x:v>88</x:v>
      </x:c>
      <x:c r="I1272" t="n">
        <x:v>3.4</x:v>
      </x:c>
      <x:c r="J1272" t="n">
        <x:f>ROUND(F1272*I1272/100,2)</x:f>
        <x:v>2.72</x:v>
      </x:c>
      <x:c r="K1272" t="n">
        <x:v>22</x:v>
      </x:c>
      <x:c r="L1272" t="n">
        <x:f>ROUND(F1272*K1272/100,2)</x:f>
        <x:v>17.6</x:v>
      </x:c>
      <x:c r="M1272" t="n">
        <x:v>1.1</x:v>
      </x:c>
      <x:c r="N1272" t="n">
        <x:f>ROUND(F1272*M1272/100,2)</x:f>
        <x:v>0.88</x:v>
      </x:c>
      <x:c r="O1272" t="str">
        <x:v>熟重</x:v>
      </x:c>
    </x:row>
    <x:row r="1273" ht="23" customHeight="1">
      <x:c r="A1273" t="n">
        <x:v>212</x:v>
      </x:c>
      <x:c r="B1273" t="n">
        <x:v>106</x:v>
      </x:c>
      <x:c r="C1273" t="str">
        <x:v>晚餐</x:v>
      </x:c>
      <x:c r="D1273" t="str">
        <x:v>油脂</x:v>
      </x:c>
      <x:c r="E1273" t="str">
        <x:v>烹调油</x:v>
      </x:c>
      <x:c r="F1273" t="n">
        <x:v>4</x:v>
      </x:c>
      <x:c r="G1273" t="n">
        <x:v>900</x:v>
      </x:c>
      <x:c r="H1273" t="n">
        <x:f>ROUND(F1273*G1273/100,2)</x:f>
        <x:v>36</x:v>
      </x:c>
      <x:c r="I1273" t="n">
        <x:v>0</x:v>
      </x:c>
      <x:c r="J1273" t="n">
        <x:f>ROUND(F1273*I1273/100,2)</x:f>
        <x:v>0</x:v>
      </x:c>
      <x:c r="K1273" t="n">
        <x:v>0</x:v>
      </x:c>
      <x:c r="L1273" t="n">
        <x:f>ROUND(F1273*K1273/100,2)</x:f>
        <x:v>0</x:v>
      </x:c>
      <x:c r="M1273" t="n">
        <x:v>100</x:v>
      </x:c>
      <x:c r="N1273" t="n">
        <x:f>ROUND(F1273*M1273/100,2)</x:f>
        <x:v>4</x:v>
      </x:c>
      <x:c r="O1273" t="str">
        <x:v>实际用油重</x:v>
      </x:c>
    </x:row>
    <x:row r="1274" ht="23" customHeight="1">
      <x:c r="A1274" t="n">
        <x:v>213</x:v>
      </x:c>
      <x:c r="B1274" t="n">
        <x:v>107</x:v>
      </x:c>
      <x:c r="C1274" t="str">
        <x:v>午餐</x:v>
      </x:c>
      <x:c r="D1274" t="str">
        <x:v>禽肉</x:v>
      </x:c>
      <x:c r="E1274" t="str">
        <x:v>去皮鸡腿肉</x:v>
      </x:c>
      <x:c r="F1274" t="n">
        <x:v>165</x:v>
      </x:c>
      <x:c r="G1274" t="n">
        <x:v>125</x:v>
      </x:c>
      <x:c r="H1274" t="n">
        <x:f>ROUND(F1274*G1274/100,2)</x:f>
        <x:v>206.25</x:v>
      </x:c>
      <x:c r="I1274" t="n">
        <x:v>20</x:v>
      </x:c>
      <x:c r="J1274" t="n">
        <x:f>ROUND(F1274*I1274/100,2)</x:f>
        <x:v>33</x:v>
      </x:c>
      <x:c r="K1274" t="n">
        <x:v>0</x:v>
      </x:c>
      <x:c r="L1274" t="n">
        <x:f>ROUND(F1274*K1274/100,2)</x:f>
        <x:v>0</x:v>
      </x:c>
      <x:c r="M1274" t="n">
        <x:v>5</x:v>
      </x:c>
      <x:c r="N1274" t="n">
        <x:f>ROUND(F1274*M1274/100,2)</x:f>
        <x:v>8.25</x:v>
      </x:c>
      <x:c r="O1274" t="str">
        <x:v>生重</x:v>
      </x:c>
    </x:row>
    <x:row r="1275" ht="23" customHeight="1">
      <x:c r="A1275" t="n">
        <x:v>213</x:v>
      </x:c>
      <x:c r="B1275" t="n">
        <x:v>107</x:v>
      </x:c>
      <x:c r="C1275" t="str">
        <x:v>午餐</x:v>
      </x:c>
      <x:c r="D1275" t="str"/>
      <x:c r="E1275" t="str"/>
      <x:c r="F1275" t="n">
        <x:v>0</x:v>
      </x:c>
      <x:c r="G1275" t="n">
        <x:v>0</x:v>
      </x:c>
      <x:c r="H1275" t="n">
        <x:f>ROUND(F1275*G1275/100,2)</x:f>
        <x:v>0</x:v>
      </x:c>
      <x:c r="I1275" t="n">
        <x:v>0</x:v>
      </x:c>
      <x:c r="J1275" t="n">
        <x:f>ROUND(F1275*I1275/100,2)</x:f>
        <x:v>0</x:v>
      </x:c>
      <x:c r="K1275" t="n">
        <x:v>0</x:v>
      </x:c>
      <x:c r="L1275" t="n">
        <x:f>ROUND(F1275*K1275/100,2)</x:f>
        <x:v>0</x:v>
      </x:c>
      <x:c r="M1275" t="n">
        <x:v>0</x:v>
      </x:c>
      <x:c r="N1275" t="n">
        <x:f>ROUND(F1275*M1275/100,2)</x:f>
        <x:v>0</x:v>
      </x:c>
      <x:c r="O1275" t="str"/>
    </x:row>
    <x:row r="1276" ht="23" customHeight="1">
      <x:c r="A1276" t="n">
        <x:v>213</x:v>
      </x:c>
      <x:c r="B1276" t="n">
        <x:v>107</x:v>
      </x:c>
      <x:c r="C1276" t="str">
        <x:v>午餐</x:v>
      </x:c>
      <x:c r="D1276" t="str">
        <x:v>蔬菜</x:v>
      </x:c>
      <x:c r="E1276" t="str">
        <x:v>彩椒</x:v>
      </x:c>
      <x:c r="F1276" t="n">
        <x:v>175</x:v>
      </x:c>
      <x:c r="G1276" t="n">
        <x:v>27</x:v>
      </x:c>
      <x:c r="H1276" t="n">
        <x:f>ROUND(F1276*G1276/100,2)</x:f>
        <x:v>47.25</x:v>
      </x:c>
      <x:c r="I1276" t="n">
        <x:v>1</x:v>
      </x:c>
      <x:c r="J1276" t="n">
        <x:f>ROUND(F1276*I1276/100,2)</x:f>
        <x:v>1.75</x:v>
      </x:c>
      <x:c r="K1276" t="n">
        <x:v>6.1</x:v>
      </x:c>
      <x:c r="L1276" t="n">
        <x:f>ROUND(F1276*K1276/100,2)</x:f>
        <x:v>10.68</x:v>
      </x:c>
      <x:c r="M1276" t="n">
        <x:v>0.2</x:v>
      </x:c>
      <x:c r="N1276" t="n">
        <x:f>ROUND(F1276*M1276/100,2)</x:f>
        <x:v>0.35</x:v>
      </x:c>
      <x:c r="O1276" t="str">
        <x:v>生重</x:v>
      </x:c>
    </x:row>
    <x:row r="1277" ht="23" customHeight="1">
      <x:c r="A1277" t="n">
        <x:v>213</x:v>
      </x:c>
      <x:c r="B1277" t="n">
        <x:v>107</x:v>
      </x:c>
      <x:c r="C1277" t="str">
        <x:v>午餐</x:v>
      </x:c>
      <x:c r="D1277" t="str">
        <x:v>蔬菜</x:v>
      </x:c>
      <x:c r="E1277" t="str">
        <x:v>洋葱</x:v>
      </x:c>
      <x:c r="F1277" t="n">
        <x:v>155</x:v>
      </x:c>
      <x:c r="G1277" t="n">
        <x:v>40</x:v>
      </x:c>
      <x:c r="H1277" t="n">
        <x:f>ROUND(F1277*G1277/100,2)</x:f>
        <x:v>62</x:v>
      </x:c>
      <x:c r="I1277" t="n">
        <x:v>1.1</x:v>
      </x:c>
      <x:c r="J1277" t="n">
        <x:f>ROUND(F1277*I1277/100,2)</x:f>
        <x:v>1.71</x:v>
      </x:c>
      <x:c r="K1277" t="n">
        <x:v>9.3</x:v>
      </x:c>
      <x:c r="L1277" t="n">
        <x:f>ROUND(F1277*K1277/100,2)</x:f>
        <x:v>14.42</x:v>
      </x:c>
      <x:c r="M1277" t="n">
        <x:v>0.1</x:v>
      </x:c>
      <x:c r="N1277" t="n">
        <x:f>ROUND(F1277*M1277/100,2)</x:f>
        <x:v>0.16</x:v>
      </x:c>
      <x:c r="O1277" t="str">
        <x:v>生重</x:v>
      </x:c>
    </x:row>
    <x:row r="1278" ht="23" customHeight="1">
      <x:c r="A1278" t="n">
        <x:v>213</x:v>
      </x:c>
      <x:c r="B1278" t="n">
        <x:v>107</x:v>
      </x:c>
      <x:c r="C1278" t="str">
        <x:v>午餐</x:v>
      </x:c>
      <x:c r="D1278" t="str">
        <x:v>主食</x:v>
      </x:c>
      <x:c r="E1278" t="str">
        <x:v>乌冬面</x:v>
      </x:c>
      <x:c r="F1278" t="n">
        <x:v>125</x:v>
      </x:c>
      <x:c r="G1278" t="n">
        <x:v>120</x:v>
      </x:c>
      <x:c r="H1278" t="n">
        <x:f>ROUND(F1278*G1278/100,2)</x:f>
        <x:v>150</x:v>
      </x:c>
      <x:c r="I1278" t="n">
        <x:v>2.5</x:v>
      </x:c>
      <x:c r="J1278" t="n">
        <x:f>ROUND(F1278*I1278/100,2)</x:f>
        <x:v>3.13</x:v>
      </x:c>
      <x:c r="K1278" t="n">
        <x:v>25</x:v>
      </x:c>
      <x:c r="L1278" t="n">
        <x:f>ROUND(F1278*K1278/100,2)</x:f>
        <x:v>31.25</x:v>
      </x:c>
      <x:c r="M1278" t="n">
        <x:v>0.6</x:v>
      </x:c>
      <x:c r="N1278" t="n">
        <x:f>ROUND(F1278*M1278/100,2)</x:f>
        <x:v>0.75</x:v>
      </x:c>
      <x:c r="O1278" t="str">
        <x:v>煮熟沥水重</x:v>
      </x:c>
    </x:row>
    <x:row r="1279" ht="23" customHeight="1">
      <x:c r="A1279" t="n">
        <x:v>213</x:v>
      </x:c>
      <x:c r="B1279" t="n">
        <x:v>107</x:v>
      </x:c>
      <x:c r="C1279" t="str">
        <x:v>午餐</x:v>
      </x:c>
      <x:c r="D1279" t="str">
        <x:v>油脂</x:v>
      </x:c>
      <x:c r="E1279" t="str">
        <x:v>烹调油</x:v>
      </x:c>
      <x:c r="F1279" t="n">
        <x:v>5</x:v>
      </x:c>
      <x:c r="G1279" t="n">
        <x:v>900</x:v>
      </x:c>
      <x:c r="H1279" t="n">
        <x:f>ROUND(F1279*G1279/100,2)</x:f>
        <x:v>45</x:v>
      </x:c>
      <x:c r="I1279" t="n">
        <x:v>0</x:v>
      </x:c>
      <x:c r="J1279" t="n">
        <x:f>ROUND(F1279*I1279/100,2)</x:f>
        <x:v>0</x:v>
      </x:c>
      <x:c r="K1279" t="n">
        <x:v>0</x:v>
      </x:c>
      <x:c r="L1279" t="n">
        <x:f>ROUND(F1279*K1279/100,2)</x:f>
        <x:v>0</x:v>
      </x:c>
      <x:c r="M1279" t="n">
        <x:v>100</x:v>
      </x:c>
      <x:c r="N1279" t="n">
        <x:f>ROUND(F1279*M1279/100,2)</x:f>
        <x:v>5</x:v>
      </x:c>
      <x:c r="O1279" t="str">
        <x:v>实际用油重</x:v>
      </x:c>
    </x:row>
    <x:row r="1280" ht="23" customHeight="1">
      <x:c r="A1280" t="n">
        <x:v>214</x:v>
      </x:c>
      <x:c r="B1280" t="n">
        <x:v>107</x:v>
      </x:c>
      <x:c r="C1280" t="str">
        <x:v>晚餐</x:v>
      </x:c>
      <x:c r="D1280" t="str">
        <x:v>禽肉</x:v>
      </x:c>
      <x:c r="E1280" t="str">
        <x:v>鸡胸肉</x:v>
      </x:c>
      <x:c r="F1280" t="n">
        <x:v>170</x:v>
      </x:c>
      <x:c r="G1280" t="n">
        <x:v>110</x:v>
      </x:c>
      <x:c r="H1280" t="n">
        <x:f>ROUND(F1280*G1280/100,2)</x:f>
        <x:v>187</x:v>
      </x:c>
      <x:c r="I1280" t="n">
        <x:v>23</x:v>
      </x:c>
      <x:c r="J1280" t="n">
        <x:f>ROUND(F1280*I1280/100,2)</x:f>
        <x:v>39.1</x:v>
      </x:c>
      <x:c r="K1280" t="n">
        <x:v>0</x:v>
      </x:c>
      <x:c r="L1280" t="n">
        <x:f>ROUND(F1280*K1280/100,2)</x:f>
        <x:v>0</x:v>
      </x:c>
      <x:c r="M1280" t="n">
        <x:v>2</x:v>
      </x:c>
      <x:c r="N1280" t="n">
        <x:f>ROUND(F1280*M1280/100,2)</x:f>
        <x:v>3.4</x:v>
      </x:c>
      <x:c r="O1280" t="str">
        <x:v>生重</x:v>
      </x:c>
    </x:row>
    <x:row r="1281" ht="23" customHeight="1">
      <x:c r="A1281" t="n">
        <x:v>214</x:v>
      </x:c>
      <x:c r="B1281" t="n">
        <x:v>107</x:v>
      </x:c>
      <x:c r="C1281" t="str">
        <x:v>晚餐</x:v>
      </x:c>
      <x:c r="D1281" t="str"/>
      <x:c r="E1281" t="str"/>
      <x:c r="F1281" t="n">
        <x:v>0</x:v>
      </x:c>
      <x:c r="G1281" t="n">
        <x:v>0</x:v>
      </x:c>
      <x:c r="H1281" t="n">
        <x:f>ROUND(F1281*G1281/100,2)</x:f>
        <x:v>0</x:v>
      </x:c>
      <x:c r="I1281" t="n">
        <x:v>0</x:v>
      </x:c>
      <x:c r="J1281" t="n">
        <x:f>ROUND(F1281*I1281/100,2)</x:f>
        <x:v>0</x:v>
      </x:c>
      <x:c r="K1281" t="n">
        <x:v>0</x:v>
      </x:c>
      <x:c r="L1281" t="n">
        <x:f>ROUND(F1281*K1281/100,2)</x:f>
        <x:v>0</x:v>
      </x:c>
      <x:c r="M1281" t="n">
        <x:v>0</x:v>
      </x:c>
      <x:c r="N1281" t="n">
        <x:f>ROUND(F1281*M1281/100,2)</x:f>
        <x:v>0</x:v>
      </x:c>
      <x:c r="O1281" t="str"/>
    </x:row>
    <x:row r="1282" ht="23" customHeight="1">
      <x:c r="A1282" t="n">
        <x:v>214</x:v>
      </x:c>
      <x:c r="B1282" t="n">
        <x:v>107</x:v>
      </x:c>
      <x:c r="C1282" t="str">
        <x:v>晚餐</x:v>
      </x:c>
      <x:c r="D1282" t="str">
        <x:v>蔬菜</x:v>
      </x:c>
      <x:c r="E1282" t="str">
        <x:v>菠菜</x:v>
      </x:c>
      <x:c r="F1282" t="n">
        <x:v>190</x:v>
      </x:c>
      <x:c r="G1282" t="n">
        <x:v>23</x:v>
      </x:c>
      <x:c r="H1282" t="n">
        <x:f>ROUND(F1282*G1282/100,2)</x:f>
        <x:v>43.7</x:v>
      </x:c>
      <x:c r="I1282" t="n">
        <x:v>2.9</x:v>
      </x:c>
      <x:c r="J1282" t="n">
        <x:f>ROUND(F1282*I1282/100,2)</x:f>
        <x:v>5.51</x:v>
      </x:c>
      <x:c r="K1282" t="n">
        <x:v>3.6</x:v>
      </x:c>
      <x:c r="L1282" t="n">
        <x:f>ROUND(F1282*K1282/100,2)</x:f>
        <x:v>6.84</x:v>
      </x:c>
      <x:c r="M1282" t="n">
        <x:v>0.4</x:v>
      </x:c>
      <x:c r="N1282" t="n">
        <x:f>ROUND(F1282*M1282/100,2)</x:f>
        <x:v>0.76</x:v>
      </x:c>
      <x:c r="O1282" t="str">
        <x:v>生重</x:v>
      </x:c>
    </x:row>
    <x:row r="1283" ht="23" customHeight="1">
      <x:c r="A1283" t="n">
        <x:v>214</x:v>
      </x:c>
      <x:c r="B1283" t="n">
        <x:v>107</x:v>
      </x:c>
      <x:c r="C1283" t="str">
        <x:v>晚餐</x:v>
      </x:c>
      <x:c r="D1283" t="str">
        <x:v>蔬菜</x:v>
      </x:c>
      <x:c r="E1283" t="str">
        <x:v>丝瓜</x:v>
      </x:c>
      <x:c r="F1283" t="n">
        <x:v>155</x:v>
      </x:c>
      <x:c r="G1283" t="n">
        <x:v>20</x:v>
      </x:c>
      <x:c r="H1283" t="n">
        <x:f>ROUND(F1283*G1283/100,2)</x:f>
        <x:v>31</x:v>
      </x:c>
      <x:c r="I1283" t="n">
        <x:v>1</x:v>
      </x:c>
      <x:c r="J1283" t="n">
        <x:f>ROUND(F1283*I1283/100,2)</x:f>
        <x:v>1.55</x:v>
      </x:c>
      <x:c r="K1283" t="n">
        <x:v>4</x:v>
      </x:c>
      <x:c r="L1283" t="n">
        <x:f>ROUND(F1283*K1283/100,2)</x:f>
        <x:v>6.2</x:v>
      </x:c>
      <x:c r="M1283" t="n">
        <x:v>0.2</x:v>
      </x:c>
      <x:c r="N1283" t="n">
        <x:f>ROUND(F1283*M1283/100,2)</x:f>
        <x:v>0.31</x:v>
      </x:c>
      <x:c r="O1283" t="str">
        <x:v>生重</x:v>
      </x:c>
    </x:row>
    <x:row r="1284" ht="23" customHeight="1">
      <x:c r="A1284" t="n">
        <x:v>214</x:v>
      </x:c>
      <x:c r="B1284" t="n">
        <x:v>107</x:v>
      </x:c>
      <x:c r="C1284" t="str">
        <x:v>晚餐</x:v>
      </x:c>
      <x:c r="D1284" t="str">
        <x:v>主食</x:v>
      </x:c>
      <x:c r="E1284" t="str">
        <x:v>山药</x:v>
      </x:c>
      <x:c r="F1284" t="n">
        <x:v>135</x:v>
      </x:c>
      <x:c r="G1284" t="n">
        <x:v>62</x:v>
      </x:c>
      <x:c r="H1284" t="n">
        <x:f>ROUND(F1284*G1284/100,2)</x:f>
        <x:v>83.7</x:v>
      </x:c>
      <x:c r="I1284" t="n">
        <x:v>1.5</x:v>
      </x:c>
      <x:c r="J1284" t="n">
        <x:f>ROUND(F1284*I1284/100,2)</x:f>
        <x:v>2.03</x:v>
      </x:c>
      <x:c r="K1284" t="n">
        <x:v>14.1</x:v>
      </x:c>
      <x:c r="L1284" t="n">
        <x:f>ROUND(F1284*K1284/100,2)</x:f>
        <x:v>19.04</x:v>
      </x:c>
      <x:c r="M1284" t="n">
        <x:v>0.1</x:v>
      </x:c>
      <x:c r="N1284" t="n">
        <x:f>ROUND(F1284*M1284/100,2)</x:f>
        <x:v>0.14</x:v>
      </x:c>
      <x:c r="O1284" t="str">
        <x:v>蒸熟净重</x:v>
      </x:c>
    </x:row>
    <x:row r="1285" ht="23" customHeight="1">
      <x:c r="A1285" t="n">
        <x:v>214</x:v>
      </x:c>
      <x:c r="B1285" t="n">
        <x:v>107</x:v>
      </x:c>
      <x:c r="C1285" t="str">
        <x:v>晚餐</x:v>
      </x:c>
      <x:c r="D1285" t="str">
        <x:v>油脂</x:v>
      </x:c>
      <x:c r="E1285" t="str">
        <x:v>烹调油</x:v>
      </x:c>
      <x:c r="F1285" t="n">
        <x:v>5</x:v>
      </x:c>
      <x:c r="G1285" t="n">
        <x:v>900</x:v>
      </x:c>
      <x:c r="H1285" t="n">
        <x:f>ROUND(F1285*G1285/100,2)</x:f>
        <x:v>45</x:v>
      </x:c>
      <x:c r="I1285" t="n">
        <x:v>0</x:v>
      </x:c>
      <x:c r="J1285" t="n">
        <x:f>ROUND(F1285*I1285/100,2)</x:f>
        <x:v>0</x:v>
      </x:c>
      <x:c r="K1285" t="n">
        <x:v>0</x:v>
      </x:c>
      <x:c r="L1285" t="n">
        <x:f>ROUND(F1285*K1285/100,2)</x:f>
        <x:v>0</x:v>
      </x:c>
      <x:c r="M1285" t="n">
        <x:v>100</x:v>
      </x:c>
      <x:c r="N1285" t="n">
        <x:f>ROUND(F1285*M1285/100,2)</x:f>
        <x:v>5</x:v>
      </x:c>
      <x:c r="O1285" t="str">
        <x:v>实际用油重</x:v>
      </x:c>
    </x:row>
    <x:row r="1286" ht="23" customHeight="1">
      <x:c r="A1286" t="n">
        <x:v>215</x:v>
      </x:c>
      <x:c r="B1286" t="n">
        <x:v>108</x:v>
      </x:c>
      <x:c r="C1286" t="str">
        <x:v>午餐</x:v>
      </x:c>
      <x:c r="D1286" t="str">
        <x:v>鱼类</x:v>
      </x:c>
      <x:c r="E1286" t="str">
        <x:v>鳕鱼</x:v>
      </x:c>
      <x:c r="F1286" t="n">
        <x:v>175</x:v>
      </x:c>
      <x:c r="G1286" t="n">
        <x:v>85</x:v>
      </x:c>
      <x:c r="H1286" t="n">
        <x:f>ROUND(F1286*G1286/100,2)</x:f>
        <x:v>148.75</x:v>
      </x:c>
      <x:c r="I1286" t="n">
        <x:v>18</x:v>
      </x:c>
      <x:c r="J1286" t="n">
        <x:f>ROUND(F1286*I1286/100,2)</x:f>
        <x:v>31.5</x:v>
      </x:c>
      <x:c r="K1286" t="n">
        <x:v>0</x:v>
      </x:c>
      <x:c r="L1286" t="n">
        <x:f>ROUND(F1286*K1286/100,2)</x:f>
        <x:v>0</x:v>
      </x:c>
      <x:c r="M1286" t="n">
        <x:v>0.8</x:v>
      </x:c>
      <x:c r="N1286" t="n">
        <x:f>ROUND(F1286*M1286/100,2)</x:f>
        <x:v>1.4</x:v>
      </x:c>
      <x:c r="O1286" t="str">
        <x:v>净鱼肉生重</x:v>
      </x:c>
    </x:row>
    <x:row r="1287" ht="23" customHeight="1">
      <x:c r="A1287" t="n">
        <x:v>215</x:v>
      </x:c>
      <x:c r="B1287" t="n">
        <x:v>108</x:v>
      </x:c>
      <x:c r="C1287" t="str">
        <x:v>午餐</x:v>
      </x:c>
      <x:c r="D1287" t="str"/>
      <x:c r="E1287" t="str"/>
      <x:c r="F1287" t="n">
        <x:v>0</x:v>
      </x:c>
      <x:c r="G1287" t="n">
        <x:v>0</x:v>
      </x:c>
      <x:c r="H1287" t="n">
        <x:f>ROUND(F1287*G1287/100,2)</x:f>
        <x:v>0</x:v>
      </x:c>
      <x:c r="I1287" t="n">
        <x:v>0</x:v>
      </x:c>
      <x:c r="J1287" t="n">
        <x:f>ROUND(F1287*I1287/100,2)</x:f>
        <x:v>0</x:v>
      </x:c>
      <x:c r="K1287" t="n">
        <x:v>0</x:v>
      </x:c>
      <x:c r="L1287" t="n">
        <x:f>ROUND(F1287*K1287/100,2)</x:f>
        <x:v>0</x:v>
      </x:c>
      <x:c r="M1287" t="n">
        <x:v>0</x:v>
      </x:c>
      <x:c r="N1287" t="n">
        <x:f>ROUND(F1287*M1287/100,2)</x:f>
        <x:v>0</x:v>
      </x:c>
      <x:c r="O1287" t="str"/>
    </x:row>
    <x:row r="1288" ht="23" customHeight="1">
      <x:c r="A1288" t="n">
        <x:v>215</x:v>
      </x:c>
      <x:c r="B1288" t="n">
        <x:v>108</x:v>
      </x:c>
      <x:c r="C1288" t="str">
        <x:v>午餐</x:v>
      </x:c>
      <x:c r="D1288" t="str">
        <x:v>蔬菜</x:v>
      </x:c>
      <x:c r="E1288" t="str">
        <x:v>番茄</x:v>
      </x:c>
      <x:c r="F1288" t="n">
        <x:v>175</x:v>
      </x:c>
      <x:c r="G1288" t="n">
        <x:v>20</x:v>
      </x:c>
      <x:c r="H1288" t="n">
        <x:f>ROUND(F1288*G1288/100,2)</x:f>
        <x:v>35</x:v>
      </x:c>
      <x:c r="I1288" t="n">
        <x:v>0.9</x:v>
      </x:c>
      <x:c r="J1288" t="n">
        <x:f>ROUND(F1288*I1288/100,2)</x:f>
        <x:v>1.58</x:v>
      </x:c>
      <x:c r="K1288" t="n">
        <x:v>4</x:v>
      </x:c>
      <x:c r="L1288" t="n">
        <x:f>ROUND(F1288*K1288/100,2)</x:f>
        <x:v>7</x:v>
      </x:c>
      <x:c r="M1288" t="n">
        <x:v>0.2</x:v>
      </x:c>
      <x:c r="N1288" t="n">
        <x:f>ROUND(F1288*M1288/100,2)</x:f>
        <x:v>0.35</x:v>
      </x:c>
      <x:c r="O1288" t="str">
        <x:v>生重</x:v>
      </x:c>
    </x:row>
    <x:row r="1289" ht="23" customHeight="1">
      <x:c r="A1289" t="n">
        <x:v>215</x:v>
      </x:c>
      <x:c r="B1289" t="n">
        <x:v>108</x:v>
      </x:c>
      <x:c r="C1289" t="str">
        <x:v>午餐</x:v>
      </x:c>
      <x:c r="D1289" t="str">
        <x:v>蔬菜</x:v>
      </x:c>
      <x:c r="E1289" t="str">
        <x:v>菜心</x:v>
      </x:c>
      <x:c r="F1289" t="n">
        <x:v>110</x:v>
      </x:c>
      <x:c r="G1289" t="n">
        <x:v>20</x:v>
      </x:c>
      <x:c r="H1289" t="n">
        <x:f>ROUND(F1289*G1289/100,2)</x:f>
        <x:v>22</x:v>
      </x:c>
      <x:c r="I1289" t="n">
        <x:v>2</x:v>
      </x:c>
      <x:c r="J1289" t="n">
        <x:f>ROUND(F1289*I1289/100,2)</x:f>
        <x:v>2.2</x:v>
      </x:c>
      <x:c r="K1289" t="n">
        <x:v>3.5</x:v>
      </x:c>
      <x:c r="L1289" t="n">
        <x:f>ROUND(F1289*K1289/100,2)</x:f>
        <x:v>3.85</x:v>
      </x:c>
      <x:c r="M1289" t="n">
        <x:v>0.3</x:v>
      </x:c>
      <x:c r="N1289" t="n">
        <x:f>ROUND(F1289*M1289/100,2)</x:f>
        <x:v>0.33</x:v>
      </x:c>
      <x:c r="O1289" t="str">
        <x:v>生重</x:v>
      </x:c>
    </x:row>
    <x:row r="1290" ht="23" customHeight="1">
      <x:c r="A1290" t="n">
        <x:v>215</x:v>
      </x:c>
      <x:c r="B1290" t="n">
        <x:v>108</x:v>
      </x:c>
      <x:c r="C1290" t="str">
        <x:v>午餐</x:v>
      </x:c>
      <x:c r="D1290" t="str">
        <x:v>主食</x:v>
      </x:c>
      <x:c r="E1290" t="str">
        <x:v>糙米饭</x:v>
      </x:c>
      <x:c r="F1290" t="n">
        <x:v>165</x:v>
      </x:c>
      <x:c r="G1290" t="n">
        <x:v>112</x:v>
      </x:c>
      <x:c r="H1290" t="n">
        <x:f>ROUND(F1290*G1290/100,2)</x:f>
        <x:v>184.8</x:v>
      </x:c>
      <x:c r="I1290" t="n">
        <x:v>2.6</x:v>
      </x:c>
      <x:c r="J1290" t="n">
        <x:f>ROUND(F1290*I1290/100,2)</x:f>
        <x:v>4.29</x:v>
      </x:c>
      <x:c r="K1290" t="n">
        <x:v>23.5</x:v>
      </x:c>
      <x:c r="L1290" t="n">
        <x:f>ROUND(F1290*K1290/100,2)</x:f>
        <x:v>38.78</x:v>
      </x:c>
      <x:c r="M1290" t="n">
        <x:v>0.9</x:v>
      </x:c>
      <x:c r="N1290" t="n">
        <x:f>ROUND(F1290*M1290/100,2)</x:f>
        <x:v>1.49</x:v>
      </x:c>
      <x:c r="O1290" t="str">
        <x:v>熟重</x:v>
      </x:c>
    </x:row>
    <x:row r="1291" ht="23" customHeight="1">
      <x:c r="A1291" t="n">
        <x:v>215</x:v>
      </x:c>
      <x:c r="B1291" t="n">
        <x:v>108</x:v>
      </x:c>
      <x:c r="C1291" t="str">
        <x:v>午餐</x:v>
      </x:c>
      <x:c r="D1291" t="str">
        <x:v>油脂</x:v>
      </x:c>
      <x:c r="E1291" t="str">
        <x:v>烹调油</x:v>
      </x:c>
      <x:c r="F1291" t="n">
        <x:v>6</x:v>
      </x:c>
      <x:c r="G1291" t="n">
        <x:v>900</x:v>
      </x:c>
      <x:c r="H1291" t="n">
        <x:f>ROUND(F1291*G1291/100,2)</x:f>
        <x:v>54</x:v>
      </x:c>
      <x:c r="I1291" t="n">
        <x:v>0</x:v>
      </x:c>
      <x:c r="J1291" t="n">
        <x:f>ROUND(F1291*I1291/100,2)</x:f>
        <x:v>0</x:v>
      </x:c>
      <x:c r="K1291" t="n">
        <x:v>0</x:v>
      </x:c>
      <x:c r="L1291" t="n">
        <x:f>ROUND(F1291*K1291/100,2)</x:f>
        <x:v>0</x:v>
      </x:c>
      <x:c r="M1291" t="n">
        <x:v>100</x:v>
      </x:c>
      <x:c r="N1291" t="n">
        <x:f>ROUND(F1291*M1291/100,2)</x:f>
        <x:v>6</x:v>
      </x:c>
      <x:c r="O1291" t="str">
        <x:v>实际用油重</x:v>
      </x:c>
    </x:row>
    <x:row r="1292" ht="23" customHeight="1">
      <x:c r="A1292" t="n">
        <x:v>216</x:v>
      </x:c>
      <x:c r="B1292" t="n">
        <x:v>108</x:v>
      </x:c>
      <x:c r="C1292" t="str">
        <x:v>晚餐</x:v>
      </x:c>
      <x:c r="D1292" t="str">
        <x:v>牛肉</x:v>
      </x:c>
      <x:c r="E1292" t="str">
        <x:v>牛里脊</x:v>
      </x:c>
      <x:c r="F1292" t="n">
        <x:v>170</x:v>
      </x:c>
      <x:c r="G1292" t="n">
        <x:v>130</x:v>
      </x:c>
      <x:c r="H1292" t="n">
        <x:f>ROUND(F1292*G1292/100,2)</x:f>
        <x:v>221</x:v>
      </x:c>
      <x:c r="I1292" t="n">
        <x:v>21</x:v>
      </x:c>
      <x:c r="J1292" t="n">
        <x:f>ROUND(F1292*I1292/100,2)</x:f>
        <x:v>35.7</x:v>
      </x:c>
      <x:c r="K1292" t="n">
        <x:v>0</x:v>
      </x:c>
      <x:c r="L1292" t="n">
        <x:f>ROUND(F1292*K1292/100,2)</x:f>
        <x:v>0</x:v>
      </x:c>
      <x:c r="M1292" t="n">
        <x:v>4.8</x:v>
      </x:c>
      <x:c r="N1292" t="n">
        <x:f>ROUND(F1292*M1292/100,2)</x:f>
        <x:v>8.16</x:v>
      </x:c>
      <x:c r="O1292" t="str">
        <x:v>生重</x:v>
      </x:c>
    </x:row>
    <x:row r="1293" ht="23" customHeight="1">
      <x:c r="A1293" t="n">
        <x:v>216</x:v>
      </x:c>
      <x:c r="B1293" t="n">
        <x:v>108</x:v>
      </x:c>
      <x:c r="C1293" t="str">
        <x:v>晚餐</x:v>
      </x:c>
      <x:c r="D1293" t="str"/>
      <x:c r="E1293" t="str"/>
      <x:c r="F1293" t="n">
        <x:v>0</x:v>
      </x:c>
      <x:c r="G1293" t="n">
        <x:v>0</x:v>
      </x:c>
      <x:c r="H1293" t="n">
        <x:f>ROUND(F1293*G1293/100,2)</x:f>
        <x:v>0</x:v>
      </x:c>
      <x:c r="I1293" t="n">
        <x:v>0</x:v>
      </x:c>
      <x:c r="J1293" t="n">
        <x:f>ROUND(F1293*I1293/100,2)</x:f>
        <x:v>0</x:v>
      </x:c>
      <x:c r="K1293" t="n">
        <x:v>0</x:v>
      </x:c>
      <x:c r="L1293" t="n">
        <x:f>ROUND(F1293*K1293/100,2)</x:f>
        <x:v>0</x:v>
      </x:c>
      <x:c r="M1293" t="n">
        <x:v>0</x:v>
      </x:c>
      <x:c r="N1293" t="n">
        <x:f>ROUND(F1293*M1293/100,2)</x:f>
        <x:v>0</x:v>
      </x:c>
      <x:c r="O1293" t="str"/>
    </x:row>
    <x:row r="1294" ht="23" customHeight="1">
      <x:c r="A1294" t="n">
        <x:v>216</x:v>
      </x:c>
      <x:c r="B1294" t="n">
        <x:v>108</x:v>
      </x:c>
      <x:c r="C1294" t="str">
        <x:v>晚餐</x:v>
      </x:c>
      <x:c r="D1294" t="str">
        <x:v>蔬菜</x:v>
      </x:c>
      <x:c r="E1294" t="str">
        <x:v>彩椒</x:v>
      </x:c>
      <x:c r="F1294" t="n">
        <x:v>190</x:v>
      </x:c>
      <x:c r="G1294" t="n">
        <x:v>27</x:v>
      </x:c>
      <x:c r="H1294" t="n">
        <x:f>ROUND(F1294*G1294/100,2)</x:f>
        <x:v>51.3</x:v>
      </x:c>
      <x:c r="I1294" t="n">
        <x:v>1</x:v>
      </x:c>
      <x:c r="J1294" t="n">
        <x:f>ROUND(F1294*I1294/100,2)</x:f>
        <x:v>1.9</x:v>
      </x:c>
      <x:c r="K1294" t="n">
        <x:v>6.1</x:v>
      </x:c>
      <x:c r="L1294" t="n">
        <x:f>ROUND(F1294*K1294/100,2)</x:f>
        <x:v>11.59</x:v>
      </x:c>
      <x:c r="M1294" t="n">
        <x:v>0.2</x:v>
      </x:c>
      <x:c r="N1294" t="n">
        <x:f>ROUND(F1294*M1294/100,2)</x:f>
        <x:v>0.38</x:v>
      </x:c>
      <x:c r="O1294" t="str">
        <x:v>生重</x:v>
      </x:c>
    </x:row>
    <x:row r="1295" ht="23" customHeight="1">
      <x:c r="A1295" t="n">
        <x:v>216</x:v>
      </x:c>
      <x:c r="B1295" t="n">
        <x:v>108</x:v>
      </x:c>
      <x:c r="C1295" t="str">
        <x:v>晚餐</x:v>
      </x:c>
      <x:c r="D1295" t="str">
        <x:v>蔬菜</x:v>
      </x:c>
      <x:c r="E1295" t="str">
        <x:v>胡萝卜</x:v>
      </x:c>
      <x:c r="F1295" t="n">
        <x:v>125</x:v>
      </x:c>
      <x:c r="G1295" t="n">
        <x:v>41</x:v>
      </x:c>
      <x:c r="H1295" t="n">
        <x:f>ROUND(F1295*G1295/100,2)</x:f>
        <x:v>51.25</x:v>
      </x:c>
      <x:c r="I1295" t="n">
        <x:v>0.9</x:v>
      </x:c>
      <x:c r="J1295" t="n">
        <x:f>ROUND(F1295*I1295/100,2)</x:f>
        <x:v>1.13</x:v>
      </x:c>
      <x:c r="K1295" t="n">
        <x:v>10</x:v>
      </x:c>
      <x:c r="L1295" t="n">
        <x:f>ROUND(F1295*K1295/100,2)</x:f>
        <x:v>12.5</x:v>
      </x:c>
      <x:c r="M1295" t="n">
        <x:v>0.2</x:v>
      </x:c>
      <x:c r="N1295" t="n">
        <x:f>ROUND(F1295*M1295/100,2)</x:f>
        <x:v>0.25</x:v>
      </x:c>
      <x:c r="O1295" t="str">
        <x:v>生重</x:v>
      </x:c>
    </x:row>
    <x:row r="1296" ht="23" customHeight="1">
      <x:c r="A1296" t="n">
        <x:v>216</x:v>
      </x:c>
      <x:c r="B1296" t="n">
        <x:v>108</x:v>
      </x:c>
      <x:c r="C1296" t="str">
        <x:v>晚餐</x:v>
      </x:c>
      <x:c r="D1296" t="str">
        <x:v>主食</x:v>
      </x:c>
      <x:c r="E1296" t="str">
        <x:v>糙米饭</x:v>
      </x:c>
      <x:c r="F1296" t="n">
        <x:v>135</x:v>
      </x:c>
      <x:c r="G1296" t="n">
        <x:v>112</x:v>
      </x:c>
      <x:c r="H1296" t="n">
        <x:f>ROUND(F1296*G1296/100,2)</x:f>
        <x:v>151.2</x:v>
      </x:c>
      <x:c r="I1296" t="n">
        <x:v>2.6</x:v>
      </x:c>
      <x:c r="J1296" t="n">
        <x:f>ROUND(F1296*I1296/100,2)</x:f>
        <x:v>3.51</x:v>
      </x:c>
      <x:c r="K1296" t="n">
        <x:v>23.5</x:v>
      </x:c>
      <x:c r="L1296" t="n">
        <x:f>ROUND(F1296*K1296/100,2)</x:f>
        <x:v>31.73</x:v>
      </x:c>
      <x:c r="M1296" t="n">
        <x:v>0.9</x:v>
      </x:c>
      <x:c r="N1296" t="n">
        <x:f>ROUND(F1296*M1296/100,2)</x:f>
        <x:v>1.22</x:v>
      </x:c>
      <x:c r="O1296" t="str">
        <x:v>熟重</x:v>
      </x:c>
    </x:row>
    <x:row r="1297" ht="23" customHeight="1">
      <x:c r="A1297" t="n">
        <x:v>216</x:v>
      </x:c>
      <x:c r="B1297" t="n">
        <x:v>108</x:v>
      </x:c>
      <x:c r="C1297" t="str">
        <x:v>晚餐</x:v>
      </x:c>
      <x:c r="D1297" t="str">
        <x:v>油脂</x:v>
      </x:c>
      <x:c r="E1297" t="str">
        <x:v>烹调油</x:v>
      </x:c>
      <x:c r="F1297" t="n">
        <x:v>3</x:v>
      </x:c>
      <x:c r="G1297" t="n">
        <x:v>900</x:v>
      </x:c>
      <x:c r="H1297" t="n">
        <x:f>ROUND(F1297*G1297/100,2)</x:f>
        <x:v>27</x:v>
      </x:c>
      <x:c r="I1297" t="n">
        <x:v>0</x:v>
      </x:c>
      <x:c r="J1297" t="n">
        <x:f>ROUND(F1297*I1297/100,2)</x:f>
        <x:v>0</x:v>
      </x:c>
      <x:c r="K1297" t="n">
        <x:v>0</x:v>
      </x:c>
      <x:c r="L1297" t="n">
        <x:f>ROUND(F1297*K1297/100,2)</x:f>
        <x:v>0</x:v>
      </x:c>
      <x:c r="M1297" t="n">
        <x:v>100</x:v>
      </x:c>
      <x:c r="N1297" t="n">
        <x:f>ROUND(F1297*M1297/100,2)</x:f>
        <x:v>3</x:v>
      </x:c>
      <x:c r="O1297" t="str">
        <x:v>实际用油重</x:v>
      </x:c>
    </x:row>
    <x:row r="1298" ht="23" customHeight="1">
      <x:c r="A1298" t="n">
        <x:v>217</x:v>
      </x:c>
      <x:c r="B1298" t="n">
        <x:v>109</x:v>
      </x:c>
      <x:c r="C1298" t="str">
        <x:v>午餐</x:v>
      </x:c>
      <x:c r="D1298" t="str">
        <x:v>海鲜</x:v>
      </x:c>
      <x:c r="E1298" t="str">
        <x:v>鱿鱼</x:v>
      </x:c>
      <x:c r="F1298" t="n">
        <x:v>160</x:v>
      </x:c>
      <x:c r="G1298" t="n">
        <x:v>95</x:v>
      </x:c>
      <x:c r="H1298" t="n">
        <x:f>ROUND(F1298*G1298/100,2)</x:f>
        <x:v>152</x:v>
      </x:c>
      <x:c r="I1298" t="n">
        <x:v>17</x:v>
      </x:c>
      <x:c r="J1298" t="n">
        <x:f>ROUND(F1298*I1298/100,2)</x:f>
        <x:v>27.2</x:v>
      </x:c>
      <x:c r="K1298" t="n">
        <x:v>2</x:v>
      </x:c>
      <x:c r="L1298" t="n">
        <x:f>ROUND(F1298*K1298/100,2)</x:f>
        <x:v>3.2</x:v>
      </x:c>
      <x:c r="M1298" t="n">
        <x:v>1.4</x:v>
      </x:c>
      <x:c r="N1298" t="n">
        <x:f>ROUND(F1298*M1298/100,2)</x:f>
        <x:v>2.24</x:v>
      </x:c>
      <x:c r="O1298" t="str">
        <x:v>生重</x:v>
      </x:c>
    </x:row>
    <x:row r="1299" ht="23" customHeight="1">
      <x:c r="A1299" t="n">
        <x:v>217</x:v>
      </x:c>
      <x:c r="B1299" t="n">
        <x:v>109</x:v>
      </x:c>
      <x:c r="C1299" t="str">
        <x:v>午餐</x:v>
      </x:c>
      <x:c r="D1299" t="str"/>
      <x:c r="E1299" t="str"/>
      <x:c r="F1299" t="n">
        <x:v>0</x:v>
      </x:c>
      <x:c r="G1299" t="n">
        <x:v>0</x:v>
      </x:c>
      <x:c r="H1299" t="n">
        <x:f>ROUND(F1299*G1299/100,2)</x:f>
        <x:v>0</x:v>
      </x:c>
      <x:c r="I1299" t="n">
        <x:v>0</x:v>
      </x:c>
      <x:c r="J1299" t="n">
        <x:f>ROUND(F1299*I1299/100,2)</x:f>
        <x:v>0</x:v>
      </x:c>
      <x:c r="K1299" t="n">
        <x:v>0</x:v>
      </x:c>
      <x:c r="L1299" t="n">
        <x:f>ROUND(F1299*K1299/100,2)</x:f>
        <x:v>0</x:v>
      </x:c>
      <x:c r="M1299" t="n">
        <x:v>0</x:v>
      </x:c>
      <x:c r="N1299" t="n">
        <x:f>ROUND(F1299*M1299/100,2)</x:f>
        <x:v>0</x:v>
      </x:c>
      <x:c r="O1299" t="str"/>
    </x:row>
    <x:row r="1300" ht="23" customHeight="1">
      <x:c r="A1300" t="n">
        <x:v>217</x:v>
      </x:c>
      <x:c r="B1300" t="n">
        <x:v>109</x:v>
      </x:c>
      <x:c r="C1300" t="str">
        <x:v>午餐</x:v>
      </x:c>
      <x:c r="D1300" t="str">
        <x:v>蔬菜</x:v>
      </x:c>
      <x:c r="E1300" t="str">
        <x:v>茼蒿</x:v>
      </x:c>
      <x:c r="F1300" t="n">
        <x:v>175</x:v>
      </x:c>
      <x:c r="G1300" t="n">
        <x:v>24</x:v>
      </x:c>
      <x:c r="H1300" t="n">
        <x:f>ROUND(F1300*G1300/100,2)</x:f>
        <x:v>42</x:v>
      </x:c>
      <x:c r="I1300" t="n">
        <x:v>1.9</x:v>
      </x:c>
      <x:c r="J1300" t="n">
        <x:f>ROUND(F1300*I1300/100,2)</x:f>
        <x:v>3.33</x:v>
      </x:c>
      <x:c r="K1300" t="n">
        <x:v>4.3</x:v>
      </x:c>
      <x:c r="L1300" t="n">
        <x:f>ROUND(F1300*K1300/100,2)</x:f>
        <x:v>7.53</x:v>
      </x:c>
      <x:c r="M1300" t="n">
        <x:v>0.3</x:v>
      </x:c>
      <x:c r="N1300" t="n">
        <x:f>ROUND(F1300*M1300/100,2)</x:f>
        <x:v>0.53</x:v>
      </x:c>
      <x:c r="O1300" t="str">
        <x:v>生重</x:v>
      </x:c>
    </x:row>
    <x:row r="1301" ht="23" customHeight="1">
      <x:c r="A1301" t="n">
        <x:v>217</x:v>
      </x:c>
      <x:c r="B1301" t="n">
        <x:v>109</x:v>
      </x:c>
      <x:c r="C1301" t="str">
        <x:v>午餐</x:v>
      </x:c>
      <x:c r="D1301" t="str">
        <x:v>菌菇</x:v>
      </x:c>
      <x:c r="E1301" t="str">
        <x:v>杏鲍菇</x:v>
      </x:c>
      <x:c r="F1301" t="n">
        <x:v>140</x:v>
      </x:c>
      <x:c r="G1301" t="n">
        <x:v>35</x:v>
      </x:c>
      <x:c r="H1301" t="n">
        <x:f>ROUND(F1301*G1301/100,2)</x:f>
        <x:v>49</x:v>
      </x:c>
      <x:c r="I1301" t="n">
        <x:v>2</x:v>
      </x:c>
      <x:c r="J1301" t="n">
        <x:f>ROUND(F1301*I1301/100,2)</x:f>
        <x:v>2.8</x:v>
      </x:c>
      <x:c r="K1301" t="n">
        <x:v>7.4</x:v>
      </x:c>
      <x:c r="L1301" t="n">
        <x:f>ROUND(F1301*K1301/100,2)</x:f>
        <x:v>10.36</x:v>
      </x:c>
      <x:c r="M1301" t="n">
        <x:v>0.3</x:v>
      </x:c>
      <x:c r="N1301" t="n">
        <x:f>ROUND(F1301*M1301/100,2)</x:f>
        <x:v>0.42</x:v>
      </x:c>
      <x:c r="O1301" t="str">
        <x:v>生重</x:v>
      </x:c>
    </x:row>
    <x:row r="1302" ht="23" customHeight="1">
      <x:c r="A1302" t="n">
        <x:v>217</x:v>
      </x:c>
      <x:c r="B1302" t="n">
        <x:v>109</x:v>
      </x:c>
      <x:c r="C1302" t="str">
        <x:v>午餐</x:v>
      </x:c>
      <x:c r="D1302" t="str">
        <x:v>主食</x:v>
      </x:c>
      <x:c r="E1302" t="str">
        <x:v>燕麦饭</x:v>
      </x:c>
      <x:c r="F1302" t="n">
        <x:v>125</x:v>
      </x:c>
      <x:c r="G1302" t="n">
        <x:v>110</x:v>
      </x:c>
      <x:c r="H1302" t="n">
        <x:f>ROUND(F1302*G1302/100,2)</x:f>
        <x:v>137.5</x:v>
      </x:c>
      <x:c r="I1302" t="n">
        <x:v>3.2</x:v>
      </x:c>
      <x:c r="J1302" t="n">
        <x:f>ROUND(F1302*I1302/100,2)</x:f>
        <x:v>4</x:v>
      </x:c>
      <x:c r="K1302" t="n">
        <x:v>21</x:v>
      </x:c>
      <x:c r="L1302" t="n">
        <x:f>ROUND(F1302*K1302/100,2)</x:f>
        <x:v>26.25</x:v>
      </x:c>
      <x:c r="M1302" t="n">
        <x:v>1.8</x:v>
      </x:c>
      <x:c r="N1302" t="n">
        <x:f>ROUND(F1302*M1302/100,2)</x:f>
        <x:v>2.25</x:v>
      </x:c>
      <x:c r="O1302" t="str">
        <x:v>熟重</x:v>
      </x:c>
    </x:row>
    <x:row r="1303" ht="23" customHeight="1">
      <x:c r="A1303" t="n">
        <x:v>217</x:v>
      </x:c>
      <x:c r="B1303" t="n">
        <x:v>109</x:v>
      </x:c>
      <x:c r="C1303" t="str">
        <x:v>午餐</x:v>
      </x:c>
      <x:c r="D1303" t="str">
        <x:v>油脂</x:v>
      </x:c>
      <x:c r="E1303" t="str">
        <x:v>烹调油</x:v>
      </x:c>
      <x:c r="F1303" t="n">
        <x:v>3</x:v>
      </x:c>
      <x:c r="G1303" t="n">
        <x:v>900</x:v>
      </x:c>
      <x:c r="H1303" t="n">
        <x:f>ROUND(F1303*G1303/100,2)</x:f>
        <x:v>27</x:v>
      </x:c>
      <x:c r="I1303" t="n">
        <x:v>0</x:v>
      </x:c>
      <x:c r="J1303" t="n">
        <x:f>ROUND(F1303*I1303/100,2)</x:f>
        <x:v>0</x:v>
      </x:c>
      <x:c r="K1303" t="n">
        <x:v>0</x:v>
      </x:c>
      <x:c r="L1303" t="n">
        <x:f>ROUND(F1303*K1303/100,2)</x:f>
        <x:v>0</x:v>
      </x:c>
      <x:c r="M1303" t="n">
        <x:v>100</x:v>
      </x:c>
      <x:c r="N1303" t="n">
        <x:f>ROUND(F1303*M1303/100,2)</x:f>
        <x:v>3</x:v>
      </x:c>
      <x:c r="O1303" t="str">
        <x:v>实际用油重</x:v>
      </x:c>
    </x:row>
    <x:row r="1304" ht="23" customHeight="1">
      <x:c r="A1304" t="n">
        <x:v>218</x:v>
      </x:c>
      <x:c r="B1304" t="n">
        <x:v>109</x:v>
      </x:c>
      <x:c r="C1304" t="str">
        <x:v>晚餐</x:v>
      </x:c>
      <x:c r="D1304" t="str">
        <x:v>豆蛋</x:v>
      </x:c>
      <x:c r="E1304" t="str">
        <x:v>北豆腐</x:v>
      </x:c>
      <x:c r="F1304" t="n">
        <x:v>300</x:v>
      </x:c>
      <x:c r="G1304" t="n">
        <x:v>90</x:v>
      </x:c>
      <x:c r="H1304" t="n">
        <x:f>ROUND(F1304*G1304/100,2)</x:f>
        <x:v>270</x:v>
      </x:c>
      <x:c r="I1304" t="n">
        <x:v>10</x:v>
      </x:c>
      <x:c r="J1304" t="n">
        <x:f>ROUND(F1304*I1304/100,2)</x:f>
        <x:v>30</x:v>
      </x:c>
      <x:c r="K1304" t="n">
        <x:v>2</x:v>
      </x:c>
      <x:c r="L1304" t="n">
        <x:f>ROUND(F1304*K1304/100,2)</x:f>
        <x:v>6</x:v>
      </x:c>
      <x:c r="M1304" t="n">
        <x:v>5</x:v>
      </x:c>
      <x:c r="N1304" t="n">
        <x:f>ROUND(F1304*M1304/100,2)</x:f>
        <x:v>15</x:v>
      </x:c>
      <x:c r="O1304" t="str">
        <x:v>净重</x:v>
      </x:c>
    </x:row>
    <x:row r="1305" ht="23" customHeight="1">
      <x:c r="A1305" t="n">
        <x:v>218</x:v>
      </x:c>
      <x:c r="B1305" t="n">
        <x:v>109</x:v>
      </x:c>
      <x:c r="C1305" t="str">
        <x:v>晚餐</x:v>
      </x:c>
      <x:c r="D1305" t="str">
        <x:v>豆蛋</x:v>
      </x:c>
      <x:c r="E1305" t="str">
        <x:v>鸡蛋</x:v>
      </x:c>
      <x:c r="F1305" t="n">
        <x:v>85</x:v>
      </x:c>
      <x:c r="G1305" t="n">
        <x:v>144</x:v>
      </x:c>
      <x:c r="H1305" t="n">
        <x:f>ROUND(F1305*G1305/100,2)</x:f>
        <x:v>122.4</x:v>
      </x:c>
      <x:c r="I1305" t="n">
        <x:v>13</x:v>
      </x:c>
      <x:c r="J1305" t="n">
        <x:f>ROUND(F1305*I1305/100,2)</x:f>
        <x:v>11.05</x:v>
      </x:c>
      <x:c r="K1305" t="n">
        <x:v>1.1</x:v>
      </x:c>
      <x:c r="L1305" t="n">
        <x:f>ROUND(F1305*K1305/100,2)</x:f>
        <x:v>0.94</x:v>
      </x:c>
      <x:c r="M1305" t="n">
        <x:v>10</x:v>
      </x:c>
      <x:c r="N1305" t="n">
        <x:f>ROUND(F1305*M1305/100,2)</x:f>
        <x:v>8.5</x:v>
      </x:c>
      <x:c r="O1305" t="str">
        <x:v>去壳可食重</x:v>
      </x:c>
    </x:row>
    <x:row r="1306" ht="23" customHeight="1">
      <x:c r="A1306" t="n">
        <x:v>218</x:v>
      </x:c>
      <x:c r="B1306" t="n">
        <x:v>109</x:v>
      </x:c>
      <x:c r="C1306" t="str">
        <x:v>晚餐</x:v>
      </x:c>
      <x:c r="D1306" t="str">
        <x:v>蔬菜</x:v>
      </x:c>
      <x:c r="E1306" t="str">
        <x:v>白萝卜</x:v>
      </x:c>
      <x:c r="F1306" t="n">
        <x:v>190</x:v>
      </x:c>
      <x:c r="G1306" t="n">
        <x:v>18</x:v>
      </x:c>
      <x:c r="H1306" t="n">
        <x:f>ROUND(F1306*G1306/100,2)</x:f>
        <x:v>34.2</x:v>
      </x:c>
      <x:c r="I1306" t="n">
        <x:v>0.6</x:v>
      </x:c>
      <x:c r="J1306" t="n">
        <x:f>ROUND(F1306*I1306/100,2)</x:f>
        <x:v>1.14</x:v>
      </x:c>
      <x:c r="K1306" t="n">
        <x:v>4</x:v>
      </x:c>
      <x:c r="L1306" t="n">
        <x:f>ROUND(F1306*K1306/100,2)</x:f>
        <x:v>7.6</x:v>
      </x:c>
      <x:c r="M1306" t="n">
        <x:v>0.1</x:v>
      </x:c>
      <x:c r="N1306" t="n">
        <x:f>ROUND(F1306*M1306/100,2)</x:f>
        <x:v>0.19</x:v>
      </x:c>
      <x:c r="O1306" t="str">
        <x:v>生重</x:v>
      </x:c>
    </x:row>
    <x:row r="1307" ht="23" customHeight="1">
      <x:c r="A1307" t="n">
        <x:v>218</x:v>
      </x:c>
      <x:c r="B1307" t="n">
        <x:v>109</x:v>
      </x:c>
      <x:c r="C1307" t="str">
        <x:v>晚餐</x:v>
      </x:c>
      <x:c r="D1307" t="str">
        <x:v>蔬菜</x:v>
      </x:c>
      <x:c r="E1307" t="str">
        <x:v>彩椒</x:v>
      </x:c>
      <x:c r="F1307" t="n">
        <x:v>155</x:v>
      </x:c>
      <x:c r="G1307" t="n">
        <x:v>27</x:v>
      </x:c>
      <x:c r="H1307" t="n">
        <x:f>ROUND(F1307*G1307/100,2)</x:f>
        <x:v>41.85</x:v>
      </x:c>
      <x:c r="I1307" t="n">
        <x:v>1</x:v>
      </x:c>
      <x:c r="J1307" t="n">
        <x:f>ROUND(F1307*I1307/100,2)</x:f>
        <x:v>1.55</x:v>
      </x:c>
      <x:c r="K1307" t="n">
        <x:v>6.1</x:v>
      </x:c>
      <x:c r="L1307" t="n">
        <x:f>ROUND(F1307*K1307/100,2)</x:f>
        <x:v>9.46</x:v>
      </x:c>
      <x:c r="M1307" t="n">
        <x:v>0.2</x:v>
      </x:c>
      <x:c r="N1307" t="n">
        <x:f>ROUND(F1307*M1307/100,2)</x:f>
        <x:v>0.31</x:v>
      </x:c>
      <x:c r="O1307" t="str">
        <x:v>生重</x:v>
      </x:c>
    </x:row>
    <x:row r="1308" ht="23" customHeight="1">
      <x:c r="A1308" t="n">
        <x:v>218</x:v>
      </x:c>
      <x:c r="B1308" t="n">
        <x:v>109</x:v>
      </x:c>
      <x:c r="C1308" t="str">
        <x:v>晚餐</x:v>
      </x:c>
      <x:c r="D1308" t="str">
        <x:v>主食</x:v>
      </x:c>
      <x:c r="E1308" t="str">
        <x:v>红薯</x:v>
      </x:c>
      <x:c r="F1308" t="n">
        <x:v>110</x:v>
      </x:c>
      <x:c r="G1308" t="n">
        <x:v>88</x:v>
      </x:c>
      <x:c r="H1308" t="n">
        <x:f>ROUND(F1308*G1308/100,2)</x:f>
        <x:v>96.8</x:v>
      </x:c>
      <x:c r="I1308" t="n">
        <x:v>1.6</x:v>
      </x:c>
      <x:c r="J1308" t="n">
        <x:f>ROUND(F1308*I1308/100,2)</x:f>
        <x:v>1.76</x:v>
      </x:c>
      <x:c r="K1308" t="n">
        <x:v>20.5</x:v>
      </x:c>
      <x:c r="L1308" t="n">
        <x:f>ROUND(F1308*K1308/100,2)</x:f>
        <x:v>22.55</x:v>
      </x:c>
      <x:c r="M1308" t="n">
        <x:v>0.1</x:v>
      </x:c>
      <x:c r="N1308" t="n">
        <x:f>ROUND(F1308*M1308/100,2)</x:f>
        <x:v>0.11</x:v>
      </x:c>
      <x:c r="O1308" t="str">
        <x:v>蒸熟净重</x:v>
      </x:c>
    </x:row>
    <x:row r="1309" ht="23" customHeight="1">
      <x:c r="A1309" t="n">
        <x:v>218</x:v>
      </x:c>
      <x:c r="B1309" t="n">
        <x:v>109</x:v>
      </x:c>
      <x:c r="C1309" t="str">
        <x:v>晚餐</x:v>
      </x:c>
      <x:c r="D1309" t="str">
        <x:v>油脂</x:v>
      </x:c>
      <x:c r="E1309" t="str">
        <x:v>烹调油</x:v>
      </x:c>
      <x:c r="F1309" t="n">
        <x:v>5</x:v>
      </x:c>
      <x:c r="G1309" t="n">
        <x:v>900</x:v>
      </x:c>
      <x:c r="H1309" t="n">
        <x:f>ROUND(F1309*G1309/100,2)</x:f>
        <x:v>45</x:v>
      </x:c>
      <x:c r="I1309" t="n">
        <x:v>0</x:v>
      </x:c>
      <x:c r="J1309" t="n">
        <x:f>ROUND(F1309*I1309/100,2)</x:f>
        <x:v>0</x:v>
      </x:c>
      <x:c r="K1309" t="n">
        <x:v>0</x:v>
      </x:c>
      <x:c r="L1309" t="n">
        <x:f>ROUND(F1309*K1309/100,2)</x:f>
        <x:v>0</x:v>
      </x:c>
      <x:c r="M1309" t="n">
        <x:v>100</x:v>
      </x:c>
      <x:c r="N1309" t="n">
        <x:f>ROUND(F1309*M1309/100,2)</x:f>
        <x:v>5</x:v>
      </x:c>
      <x:c r="O1309" t="str">
        <x:v>实际用油重</x:v>
      </x:c>
    </x:row>
    <x:row r="1310" ht="23" customHeight="1">
      <x:c r="A1310" t="n">
        <x:v>219</x:v>
      </x:c>
      <x:c r="B1310" t="n">
        <x:v>110</x:v>
      </x:c>
      <x:c r="C1310" t="str">
        <x:v>午餐</x:v>
      </x:c>
      <x:c r="D1310" t="str">
        <x:v>牛肉</x:v>
      </x:c>
      <x:c r="E1310" t="str">
        <x:v>牛里脊</x:v>
      </x:c>
      <x:c r="F1310" t="n">
        <x:v>175</x:v>
      </x:c>
      <x:c r="G1310" t="n">
        <x:v>130</x:v>
      </x:c>
      <x:c r="H1310" t="n">
        <x:f>ROUND(F1310*G1310/100,2)</x:f>
        <x:v>227.5</x:v>
      </x:c>
      <x:c r="I1310" t="n">
        <x:v>21</x:v>
      </x:c>
      <x:c r="J1310" t="n">
        <x:f>ROUND(F1310*I1310/100,2)</x:f>
        <x:v>36.75</x:v>
      </x:c>
      <x:c r="K1310" t="n">
        <x:v>0</x:v>
      </x:c>
      <x:c r="L1310" t="n">
        <x:f>ROUND(F1310*K1310/100,2)</x:f>
        <x:v>0</x:v>
      </x:c>
      <x:c r="M1310" t="n">
        <x:v>4.8</x:v>
      </x:c>
      <x:c r="N1310" t="n">
        <x:f>ROUND(F1310*M1310/100,2)</x:f>
        <x:v>8.4</x:v>
      </x:c>
      <x:c r="O1310" t="str">
        <x:v>生重</x:v>
      </x:c>
    </x:row>
    <x:row r="1311" ht="23" customHeight="1">
      <x:c r="A1311" t="n">
        <x:v>219</x:v>
      </x:c>
      <x:c r="B1311" t="n">
        <x:v>110</x:v>
      </x:c>
      <x:c r="C1311" t="str">
        <x:v>午餐</x:v>
      </x:c>
      <x:c r="D1311" t="str"/>
      <x:c r="E1311" t="str"/>
      <x:c r="F1311" t="n">
        <x:v>0</x:v>
      </x:c>
      <x:c r="G1311" t="n">
        <x:v>0</x:v>
      </x:c>
      <x:c r="H1311" t="n">
        <x:f>ROUND(F1311*G1311/100,2)</x:f>
        <x:v>0</x:v>
      </x:c>
      <x:c r="I1311" t="n">
        <x:v>0</x:v>
      </x:c>
      <x:c r="J1311" t="n">
        <x:f>ROUND(F1311*I1311/100,2)</x:f>
        <x:v>0</x:v>
      </x:c>
      <x:c r="K1311" t="n">
        <x:v>0</x:v>
      </x:c>
      <x:c r="L1311" t="n">
        <x:f>ROUND(F1311*K1311/100,2)</x:f>
        <x:v>0</x:v>
      </x:c>
      <x:c r="M1311" t="n">
        <x:v>0</x:v>
      </x:c>
      <x:c r="N1311" t="n">
        <x:f>ROUND(F1311*M1311/100,2)</x:f>
        <x:v>0</x:v>
      </x:c>
      <x:c r="O1311" t="str"/>
    </x:row>
    <x:row r="1312" ht="23" customHeight="1">
      <x:c r="A1312" t="n">
        <x:v>219</x:v>
      </x:c>
      <x:c r="B1312" t="n">
        <x:v>110</x:v>
      </x:c>
      <x:c r="C1312" t="str">
        <x:v>午餐</x:v>
      </x:c>
      <x:c r="D1312" t="str">
        <x:v>蔬菜</x:v>
      </x:c>
      <x:c r="E1312" t="str">
        <x:v>竹笋</x:v>
      </x:c>
      <x:c r="F1312" t="n">
        <x:v>190</x:v>
      </x:c>
      <x:c r="G1312" t="n">
        <x:v>27</x:v>
      </x:c>
      <x:c r="H1312" t="n">
        <x:f>ROUND(F1312*G1312/100,2)</x:f>
        <x:v>51.3</x:v>
      </x:c>
      <x:c r="I1312" t="n">
        <x:v>2.6</x:v>
      </x:c>
      <x:c r="J1312" t="n">
        <x:f>ROUND(F1312*I1312/100,2)</x:f>
        <x:v>4.94</x:v>
      </x:c>
      <x:c r="K1312" t="n">
        <x:v>5.2</x:v>
      </x:c>
      <x:c r="L1312" t="n">
        <x:f>ROUND(F1312*K1312/100,2)</x:f>
        <x:v>9.88</x:v>
      </x:c>
      <x:c r="M1312" t="n">
        <x:v>0.3</x:v>
      </x:c>
      <x:c r="N1312" t="n">
        <x:f>ROUND(F1312*M1312/100,2)</x:f>
        <x:v>0.57</x:v>
      </x:c>
      <x:c r="O1312" t="str">
        <x:v>生重</x:v>
      </x:c>
    </x:row>
    <x:row r="1313" ht="23" customHeight="1">
      <x:c r="A1313" t="n">
        <x:v>219</x:v>
      </x:c>
      <x:c r="B1313" t="n">
        <x:v>110</x:v>
      </x:c>
      <x:c r="C1313" t="str">
        <x:v>午餐</x:v>
      </x:c>
      <x:c r="D1313" t="str">
        <x:v>菌菇</x:v>
      </x:c>
      <x:c r="E1313" t="str">
        <x:v>金针菇</x:v>
      </x:c>
      <x:c r="F1313" t="n">
        <x:v>110</x:v>
      </x:c>
      <x:c r="G1313" t="n">
        <x:v>32</x:v>
      </x:c>
      <x:c r="H1313" t="n">
        <x:f>ROUND(F1313*G1313/100,2)</x:f>
        <x:v>35.2</x:v>
      </x:c>
      <x:c r="I1313" t="n">
        <x:v>2.4</x:v>
      </x:c>
      <x:c r="J1313" t="n">
        <x:f>ROUND(F1313*I1313/100,2)</x:f>
        <x:v>2.64</x:v>
      </x:c>
      <x:c r="K1313" t="n">
        <x:v>6.4</x:v>
      </x:c>
      <x:c r="L1313" t="n">
        <x:f>ROUND(F1313*K1313/100,2)</x:f>
        <x:v>7.04</x:v>
      </x:c>
      <x:c r="M1313" t="n">
        <x:v>0.2</x:v>
      </x:c>
      <x:c r="N1313" t="n">
        <x:f>ROUND(F1313*M1313/100,2)</x:f>
        <x:v>0.22</x:v>
      </x:c>
      <x:c r="O1313" t="str">
        <x:v>生重</x:v>
      </x:c>
    </x:row>
    <x:row r="1314" ht="23" customHeight="1">
      <x:c r="A1314" t="n">
        <x:v>219</x:v>
      </x:c>
      <x:c r="B1314" t="n">
        <x:v>110</x:v>
      </x:c>
      <x:c r="C1314" t="str">
        <x:v>午餐</x:v>
      </x:c>
      <x:c r="D1314" t="str">
        <x:v>主食</x:v>
      </x:c>
      <x:c r="E1314" t="str">
        <x:v>米粉</x:v>
      </x:c>
      <x:c r="F1314" t="n">
        <x:v>135</x:v>
      </x:c>
      <x:c r="G1314" t="n">
        <x:v>110</x:v>
      </x:c>
      <x:c r="H1314" t="n">
        <x:f>ROUND(F1314*G1314/100,2)</x:f>
        <x:v>148.5</x:v>
      </x:c>
      <x:c r="I1314" t="n">
        <x:v>2</x:v>
      </x:c>
      <x:c r="J1314" t="n">
        <x:f>ROUND(F1314*I1314/100,2)</x:f>
        <x:v>2.7</x:v>
      </x:c>
      <x:c r="K1314" t="n">
        <x:v>24</x:v>
      </x:c>
      <x:c r="L1314" t="n">
        <x:f>ROUND(F1314*K1314/100,2)</x:f>
        <x:v>32.4</x:v>
      </x:c>
      <x:c r="M1314" t="n">
        <x:v>0.4</x:v>
      </x:c>
      <x:c r="N1314" t="n">
        <x:f>ROUND(F1314*M1314/100,2)</x:f>
        <x:v>0.54</x:v>
      </x:c>
      <x:c r="O1314" t="str">
        <x:v>煮熟沥水重</x:v>
      </x:c>
    </x:row>
    <x:row r="1315" ht="23" customHeight="1">
      <x:c r="A1315" t="n">
        <x:v>219</x:v>
      </x:c>
      <x:c r="B1315" t="n">
        <x:v>110</x:v>
      </x:c>
      <x:c r="C1315" t="str">
        <x:v>午餐</x:v>
      </x:c>
      <x:c r="D1315" t="str">
        <x:v>油脂</x:v>
      </x:c>
      <x:c r="E1315" t="str">
        <x:v>烹调油</x:v>
      </x:c>
      <x:c r="F1315" t="n">
        <x:v>3</x:v>
      </x:c>
      <x:c r="G1315" t="n">
        <x:v>900</x:v>
      </x:c>
      <x:c r="H1315" t="n">
        <x:f>ROUND(F1315*G1315/100,2)</x:f>
        <x:v>27</x:v>
      </x:c>
      <x:c r="I1315" t="n">
        <x:v>0</x:v>
      </x:c>
      <x:c r="J1315" t="n">
        <x:f>ROUND(F1315*I1315/100,2)</x:f>
        <x:v>0</x:v>
      </x:c>
      <x:c r="K1315" t="n">
        <x:v>0</x:v>
      </x:c>
      <x:c r="L1315" t="n">
        <x:f>ROUND(F1315*K1315/100,2)</x:f>
        <x:v>0</x:v>
      </x:c>
      <x:c r="M1315" t="n">
        <x:v>100</x:v>
      </x:c>
      <x:c r="N1315" t="n">
        <x:f>ROUND(F1315*M1315/100,2)</x:f>
        <x:v>3</x:v>
      </x:c>
      <x:c r="O1315" t="str">
        <x:v>实际用油重</x:v>
      </x:c>
    </x:row>
    <x:row r="1316" ht="23" customHeight="1">
      <x:c r="A1316" t="n">
        <x:v>220</x:v>
      </x:c>
      <x:c r="B1316" t="n">
        <x:v>110</x:v>
      </x:c>
      <x:c r="C1316" t="str">
        <x:v>晚餐</x:v>
      </x:c>
      <x:c r="D1316" t="str">
        <x:v>海鲜</x:v>
      </x:c>
      <x:c r="E1316" t="str">
        <x:v>花蛤肉</x:v>
      </x:c>
      <x:c r="F1316" t="n">
        <x:v>170</x:v>
      </x:c>
      <x:c r="G1316" t="n">
        <x:v>75</x:v>
      </x:c>
      <x:c r="H1316" t="n">
        <x:f>ROUND(F1316*G1316/100,2)</x:f>
        <x:v>127.5</x:v>
      </x:c>
      <x:c r="I1316" t="n">
        <x:v>13</x:v>
      </x:c>
      <x:c r="J1316" t="n">
        <x:f>ROUND(F1316*I1316/100,2)</x:f>
        <x:v>22.1</x:v>
      </x:c>
      <x:c r="K1316" t="n">
        <x:v>3.5</x:v>
      </x:c>
      <x:c r="L1316" t="n">
        <x:f>ROUND(F1316*K1316/100,2)</x:f>
        <x:v>5.95</x:v>
      </x:c>
      <x:c r="M1316" t="n">
        <x:v>1</x:v>
      </x:c>
      <x:c r="N1316" t="n">
        <x:f>ROUND(F1316*M1316/100,2)</x:f>
        <x:v>1.7</x:v>
      </x:c>
      <x:c r="O1316" t="str">
        <x:v>净肉生重</x:v>
      </x:c>
    </x:row>
    <x:row r="1317" ht="23" customHeight="1">
      <x:c r="A1317" t="n">
        <x:v>220</x:v>
      </x:c>
      <x:c r="B1317" t="n">
        <x:v>110</x:v>
      </x:c>
      <x:c r="C1317" t="str">
        <x:v>晚餐</x:v>
      </x:c>
      <x:c r="D1317" t="str">
        <x:v>豆蛋</x:v>
      </x:c>
      <x:c r="E1317" t="str">
        <x:v>嫩豆腐</x:v>
      </x:c>
      <x:c r="F1317" t="n">
        <x:v>160</x:v>
      </x:c>
      <x:c r="G1317" t="n">
        <x:v>55</x:v>
      </x:c>
      <x:c r="H1317" t="n">
        <x:f>ROUND(F1317*G1317/100,2)</x:f>
        <x:v>88</x:v>
      </x:c>
      <x:c r="I1317" t="n">
        <x:v>5</x:v>
      </x:c>
      <x:c r="J1317" t="n">
        <x:f>ROUND(F1317*I1317/100,2)</x:f>
        <x:v>8</x:v>
      </x:c>
      <x:c r="K1317" t="n">
        <x:v>2</x:v>
      </x:c>
      <x:c r="L1317" t="n">
        <x:f>ROUND(F1317*K1317/100,2)</x:f>
        <x:v>3.2</x:v>
      </x:c>
      <x:c r="M1317" t="n">
        <x:v>2.8</x:v>
      </x:c>
      <x:c r="N1317" t="n">
        <x:f>ROUND(F1317*M1317/100,2)</x:f>
        <x:v>4.48</x:v>
      </x:c>
      <x:c r="O1317" t="str">
        <x:v>净重</x:v>
      </x:c>
    </x:row>
    <x:row r="1318" ht="23" customHeight="1">
      <x:c r="A1318" t="n">
        <x:v>220</x:v>
      </x:c>
      <x:c r="B1318" t="n">
        <x:v>110</x:v>
      </x:c>
      <x:c r="C1318" t="str">
        <x:v>晚餐</x:v>
      </x:c>
      <x:c r="D1318" t="str">
        <x:v>蔬菜</x:v>
      </x:c>
      <x:c r="E1318" t="str">
        <x:v>小白菜</x:v>
      </x:c>
      <x:c r="F1318" t="n">
        <x:v>175</x:v>
      </x:c>
      <x:c r="G1318" t="n">
        <x:v>17</x:v>
      </x:c>
      <x:c r="H1318" t="n">
        <x:f>ROUND(F1318*G1318/100,2)</x:f>
        <x:v>29.75</x:v>
      </x:c>
      <x:c r="I1318" t="n">
        <x:v>1.6</x:v>
      </x:c>
      <x:c r="J1318" t="n">
        <x:f>ROUND(F1318*I1318/100,2)</x:f>
        <x:v>2.8</x:v>
      </x:c>
      <x:c r="K1318" t="n">
        <x:v>2.8</x:v>
      </x:c>
      <x:c r="L1318" t="n">
        <x:f>ROUND(F1318*K1318/100,2)</x:f>
        <x:v>4.9</x:v>
      </x:c>
      <x:c r="M1318" t="n">
        <x:v>0.2</x:v>
      </x:c>
      <x:c r="N1318" t="n">
        <x:f>ROUND(F1318*M1318/100,2)</x:f>
        <x:v>0.35</x:v>
      </x:c>
      <x:c r="O1318" t="str">
        <x:v>生重</x:v>
      </x:c>
    </x:row>
    <x:row r="1319" ht="23" customHeight="1">
      <x:c r="A1319" t="n">
        <x:v>220</x:v>
      </x:c>
      <x:c r="B1319" t="n">
        <x:v>110</x:v>
      </x:c>
      <x:c r="C1319" t="str">
        <x:v>晚餐</x:v>
      </x:c>
      <x:c r="D1319" t="str">
        <x:v>蔬菜</x:v>
      </x:c>
      <x:c r="E1319" t="str">
        <x:v>白萝卜</x:v>
      </x:c>
      <x:c r="F1319" t="n">
        <x:v>155</x:v>
      </x:c>
      <x:c r="G1319" t="n">
        <x:v>18</x:v>
      </x:c>
      <x:c r="H1319" t="n">
        <x:f>ROUND(F1319*G1319/100,2)</x:f>
        <x:v>27.9</x:v>
      </x:c>
      <x:c r="I1319" t="n">
        <x:v>0.6</x:v>
      </x:c>
      <x:c r="J1319" t="n">
        <x:f>ROUND(F1319*I1319/100,2)</x:f>
        <x:v>0.93</x:v>
      </x:c>
      <x:c r="K1319" t="n">
        <x:v>4</x:v>
      </x:c>
      <x:c r="L1319" t="n">
        <x:f>ROUND(F1319*K1319/100,2)</x:f>
        <x:v>6.2</x:v>
      </x:c>
      <x:c r="M1319" t="n">
        <x:v>0.1</x:v>
      </x:c>
      <x:c r="N1319" t="n">
        <x:f>ROUND(F1319*M1319/100,2)</x:f>
        <x:v>0.16</x:v>
      </x:c>
      <x:c r="O1319" t="str">
        <x:v>生重</x:v>
      </x:c>
    </x:row>
    <x:row r="1320" ht="23" customHeight="1">
      <x:c r="A1320" t="n">
        <x:v>220</x:v>
      </x:c>
      <x:c r="B1320" t="n">
        <x:v>110</x:v>
      </x:c>
      <x:c r="C1320" t="str">
        <x:v>晚餐</x:v>
      </x:c>
      <x:c r="D1320" t="str">
        <x:v>主食</x:v>
      </x:c>
      <x:c r="E1320" t="str">
        <x:v>杂粮饭</x:v>
      </x:c>
      <x:c r="F1320" t="n">
        <x:v>135</x:v>
      </x:c>
      <x:c r="G1320" t="n">
        <x:v>115</x:v>
      </x:c>
      <x:c r="H1320" t="n">
        <x:f>ROUND(F1320*G1320/100,2)</x:f>
        <x:v>155.25</x:v>
      </x:c>
      <x:c r="I1320" t="n">
        <x:v>3.1</x:v>
      </x:c>
      <x:c r="J1320" t="n">
        <x:f>ROUND(F1320*I1320/100,2)</x:f>
        <x:v>4.18</x:v>
      </x:c>
      <x:c r="K1320" t="n">
        <x:v>23.5</x:v>
      </x:c>
      <x:c r="L1320" t="n">
        <x:f>ROUND(F1320*K1320/100,2)</x:f>
        <x:v>31.73</x:v>
      </x:c>
      <x:c r="M1320" t="n">
        <x:v>1.1</x:v>
      </x:c>
      <x:c r="N1320" t="n">
        <x:f>ROUND(F1320*M1320/100,2)</x:f>
        <x:v>1.49</x:v>
      </x:c>
      <x:c r="O1320" t="str">
        <x:v>熟重</x:v>
      </x:c>
    </x:row>
    <x:row r="1321" ht="23" customHeight="1">
      <x:c r="A1321" t="n">
        <x:v>220</x:v>
      </x:c>
      <x:c r="B1321" t="n">
        <x:v>110</x:v>
      </x:c>
      <x:c r="C1321" t="str">
        <x:v>晚餐</x:v>
      </x:c>
      <x:c r="D1321" t="str">
        <x:v>油脂</x:v>
      </x:c>
      <x:c r="E1321" t="str">
        <x:v>烹调油</x:v>
      </x:c>
      <x:c r="F1321" t="n">
        <x:v>5</x:v>
      </x:c>
      <x:c r="G1321" t="n">
        <x:v>900</x:v>
      </x:c>
      <x:c r="H1321" t="n">
        <x:f>ROUND(F1321*G1321/100,2)</x:f>
        <x:v>45</x:v>
      </x:c>
      <x:c r="I1321" t="n">
        <x:v>0</x:v>
      </x:c>
      <x:c r="J1321" t="n">
        <x:f>ROUND(F1321*I1321/100,2)</x:f>
        <x:v>0</x:v>
      </x:c>
      <x:c r="K1321" t="n">
        <x:v>0</x:v>
      </x:c>
      <x:c r="L1321" t="n">
        <x:f>ROUND(F1321*K1321/100,2)</x:f>
        <x:v>0</x:v>
      </x:c>
      <x:c r="M1321" t="n">
        <x:v>100</x:v>
      </x:c>
      <x:c r="N1321" t="n">
        <x:f>ROUND(F1321*M1321/100,2)</x:f>
        <x:v>5</x:v>
      </x:c>
      <x:c r="O1321" t="str">
        <x:v>实际用油重</x:v>
      </x:c>
    </x:row>
    <x:row r="1322" ht="23" customHeight="1">
      <x:c r="A1322" t="n">
        <x:v>221</x:v>
      </x:c>
      <x:c r="B1322" t="n">
        <x:v>111</x:v>
      </x:c>
      <x:c r="C1322" t="str">
        <x:v>午餐</x:v>
      </x:c>
      <x:c r="D1322" t="str">
        <x:v>猪肉</x:v>
      </x:c>
      <x:c r="E1322" t="str">
        <x:v>猪瘦肉</x:v>
      </x:c>
      <x:c r="F1322" t="n">
        <x:v>155</x:v>
      </x:c>
      <x:c r="G1322" t="n">
        <x:v>130</x:v>
      </x:c>
      <x:c r="H1322" t="n">
        <x:f>ROUND(F1322*G1322/100,2)</x:f>
        <x:v>201.5</x:v>
      </x:c>
      <x:c r="I1322" t="n">
        <x:v>20</x:v>
      </x:c>
      <x:c r="J1322" t="n">
        <x:f>ROUND(F1322*I1322/100,2)</x:f>
        <x:v>31</x:v>
      </x:c>
      <x:c r="K1322" t="n">
        <x:v>0</x:v>
      </x:c>
      <x:c r="L1322" t="n">
        <x:f>ROUND(F1322*K1322/100,2)</x:f>
        <x:v>0</x:v>
      </x:c>
      <x:c r="M1322" t="n">
        <x:v>5.5</x:v>
      </x:c>
      <x:c r="N1322" t="n">
        <x:f>ROUND(F1322*M1322/100,2)</x:f>
        <x:v>8.53</x:v>
      </x:c>
      <x:c r="O1322" t="str">
        <x:v>生重</x:v>
      </x:c>
    </x:row>
    <x:row r="1323" ht="23" customHeight="1">
      <x:c r="A1323" t="n">
        <x:v>221</x:v>
      </x:c>
      <x:c r="B1323" t="n">
        <x:v>111</x:v>
      </x:c>
      <x:c r="C1323" t="str">
        <x:v>午餐</x:v>
      </x:c>
      <x:c r="D1323" t="str"/>
      <x:c r="E1323" t="str"/>
      <x:c r="F1323" t="n">
        <x:v>0</x:v>
      </x:c>
      <x:c r="G1323" t="n">
        <x:v>0</x:v>
      </x:c>
      <x:c r="H1323" t="n">
        <x:f>ROUND(F1323*G1323/100,2)</x:f>
        <x:v>0</x:v>
      </x:c>
      <x:c r="I1323" t="n">
        <x:v>0</x:v>
      </x:c>
      <x:c r="J1323" t="n">
        <x:f>ROUND(F1323*I1323/100,2)</x:f>
        <x:v>0</x:v>
      </x:c>
      <x:c r="K1323" t="n">
        <x:v>0</x:v>
      </x:c>
      <x:c r="L1323" t="n">
        <x:f>ROUND(F1323*K1323/100,2)</x:f>
        <x:v>0</x:v>
      </x:c>
      <x:c r="M1323" t="n">
        <x:v>0</x:v>
      </x:c>
      <x:c r="N1323" t="n">
        <x:f>ROUND(F1323*M1323/100,2)</x:f>
        <x:v>0</x:v>
      </x:c>
      <x:c r="O1323" t="str"/>
    </x:row>
    <x:row r="1324" ht="23" customHeight="1">
      <x:c r="A1324" t="n">
        <x:v>221</x:v>
      </x:c>
      <x:c r="B1324" t="n">
        <x:v>111</x:v>
      </x:c>
      <x:c r="C1324" t="str">
        <x:v>午餐</x:v>
      </x:c>
      <x:c r="D1324" t="str">
        <x:v>蔬菜</x:v>
      </x:c>
      <x:c r="E1324" t="str">
        <x:v>茼蒿</x:v>
      </x:c>
      <x:c r="F1324" t="n">
        <x:v>190</x:v>
      </x:c>
      <x:c r="G1324" t="n">
        <x:v>24</x:v>
      </x:c>
      <x:c r="H1324" t="n">
        <x:f>ROUND(F1324*G1324/100,2)</x:f>
        <x:v>45.6</x:v>
      </x:c>
      <x:c r="I1324" t="n">
        <x:v>1.9</x:v>
      </x:c>
      <x:c r="J1324" t="n">
        <x:f>ROUND(F1324*I1324/100,2)</x:f>
        <x:v>3.61</x:v>
      </x:c>
      <x:c r="K1324" t="n">
        <x:v>4.3</x:v>
      </x:c>
      <x:c r="L1324" t="n">
        <x:f>ROUND(F1324*K1324/100,2)</x:f>
        <x:v>8.17</x:v>
      </x:c>
      <x:c r="M1324" t="n">
        <x:v>0.3</x:v>
      </x:c>
      <x:c r="N1324" t="n">
        <x:f>ROUND(F1324*M1324/100,2)</x:f>
        <x:v>0.57</x:v>
      </x:c>
      <x:c r="O1324" t="str">
        <x:v>生重</x:v>
      </x:c>
    </x:row>
    <x:row r="1325" ht="23" customHeight="1">
      <x:c r="A1325" t="n">
        <x:v>221</x:v>
      </x:c>
      <x:c r="B1325" t="n">
        <x:v>111</x:v>
      </x:c>
      <x:c r="C1325" t="str">
        <x:v>午餐</x:v>
      </x:c>
      <x:c r="D1325" t="str">
        <x:v>蔬菜</x:v>
      </x:c>
      <x:c r="E1325" t="str">
        <x:v>洋葱</x:v>
      </x:c>
      <x:c r="F1325" t="n">
        <x:v>110</x:v>
      </x:c>
      <x:c r="G1325" t="n">
        <x:v>40</x:v>
      </x:c>
      <x:c r="H1325" t="n">
        <x:f>ROUND(F1325*G1325/100,2)</x:f>
        <x:v>44</x:v>
      </x:c>
      <x:c r="I1325" t="n">
        <x:v>1.1</x:v>
      </x:c>
      <x:c r="J1325" t="n">
        <x:f>ROUND(F1325*I1325/100,2)</x:f>
        <x:v>1.21</x:v>
      </x:c>
      <x:c r="K1325" t="n">
        <x:v>9.3</x:v>
      </x:c>
      <x:c r="L1325" t="n">
        <x:f>ROUND(F1325*K1325/100,2)</x:f>
        <x:v>10.23</x:v>
      </x:c>
      <x:c r="M1325" t="n">
        <x:v>0.1</x:v>
      </x:c>
      <x:c r="N1325" t="n">
        <x:f>ROUND(F1325*M1325/100,2)</x:f>
        <x:v>0.11</x:v>
      </x:c>
      <x:c r="O1325" t="str">
        <x:v>生重</x:v>
      </x:c>
    </x:row>
    <x:row r="1326" ht="23" customHeight="1">
      <x:c r="A1326" t="n">
        <x:v>221</x:v>
      </x:c>
      <x:c r="B1326" t="n">
        <x:v>111</x:v>
      </x:c>
      <x:c r="C1326" t="str">
        <x:v>午餐</x:v>
      </x:c>
      <x:c r="D1326" t="str">
        <x:v>低主食</x:v>
      </x:c>
      <x:c r="E1326" t="str">
        <x:v>魔芋丝</x:v>
      </x:c>
      <x:c r="F1326" t="n">
        <x:v>130</x:v>
      </x:c>
      <x:c r="G1326" t="n">
        <x:v>9</x:v>
      </x:c>
      <x:c r="H1326" t="n">
        <x:f>ROUND(F1326*G1326/100,2)</x:f>
        <x:v>11.7</x:v>
      </x:c>
      <x:c r="I1326" t="n">
        <x:v>0.3</x:v>
      </x:c>
      <x:c r="J1326" t="n">
        <x:f>ROUND(F1326*I1326/100,2)</x:f>
        <x:v>0.39</x:v>
      </x:c>
      <x:c r="K1326" t="n">
        <x:v>2</x:v>
      </x:c>
      <x:c r="L1326" t="n">
        <x:f>ROUND(F1326*K1326/100,2)</x:f>
        <x:v>2.6</x:v>
      </x:c>
      <x:c r="M1326" t="n">
        <x:v>0</x:v>
      </x:c>
      <x:c r="N1326" t="n">
        <x:f>ROUND(F1326*M1326/100,2)</x:f>
        <x:v>0</x:v>
      </x:c>
      <x:c r="O1326" t="str">
        <x:v>沥水重</x:v>
      </x:c>
    </x:row>
    <x:row r="1327" ht="23" customHeight="1">
      <x:c r="A1327" t="n">
        <x:v>221</x:v>
      </x:c>
      <x:c r="B1327" t="n">
        <x:v>111</x:v>
      </x:c>
      <x:c r="C1327" t="str">
        <x:v>午餐</x:v>
      </x:c>
      <x:c r="D1327" t="str">
        <x:v>油脂</x:v>
      </x:c>
      <x:c r="E1327" t="str">
        <x:v>烹调油</x:v>
      </x:c>
      <x:c r="F1327" t="n">
        <x:v>6</x:v>
      </x:c>
      <x:c r="G1327" t="n">
        <x:v>900</x:v>
      </x:c>
      <x:c r="H1327" t="n">
        <x:f>ROUND(F1327*G1327/100,2)</x:f>
        <x:v>54</x:v>
      </x:c>
      <x:c r="I1327" t="n">
        <x:v>0</x:v>
      </x:c>
      <x:c r="J1327" t="n">
        <x:f>ROUND(F1327*I1327/100,2)</x:f>
        <x:v>0</x:v>
      </x:c>
      <x:c r="K1327" t="n">
        <x:v>0</x:v>
      </x:c>
      <x:c r="L1327" t="n">
        <x:f>ROUND(F1327*K1327/100,2)</x:f>
        <x:v>0</x:v>
      </x:c>
      <x:c r="M1327" t="n">
        <x:v>100</x:v>
      </x:c>
      <x:c r="N1327" t="n">
        <x:f>ROUND(F1327*M1327/100,2)</x:f>
        <x:v>6</x:v>
      </x:c>
      <x:c r="O1327" t="str">
        <x:v>实际用油重</x:v>
      </x:c>
    </x:row>
    <x:row r="1328" ht="23" customHeight="1">
      <x:c r="A1328" t="n">
        <x:v>222</x:v>
      </x:c>
      <x:c r="B1328" t="n">
        <x:v>111</x:v>
      </x:c>
      <x:c r="C1328" t="str">
        <x:v>晚餐</x:v>
      </x:c>
      <x:c r="D1328" t="str">
        <x:v>鱼类</x:v>
      </x:c>
      <x:c r="E1328" t="str">
        <x:v>鳕鱼</x:v>
      </x:c>
      <x:c r="F1328" t="n">
        <x:v>185</x:v>
      </x:c>
      <x:c r="G1328" t="n">
        <x:v>85</x:v>
      </x:c>
      <x:c r="H1328" t="n">
        <x:f>ROUND(F1328*G1328/100,2)</x:f>
        <x:v>157.25</x:v>
      </x:c>
      <x:c r="I1328" t="n">
        <x:v>18</x:v>
      </x:c>
      <x:c r="J1328" t="n">
        <x:f>ROUND(F1328*I1328/100,2)</x:f>
        <x:v>33.3</x:v>
      </x:c>
      <x:c r="K1328" t="n">
        <x:v>0</x:v>
      </x:c>
      <x:c r="L1328" t="n">
        <x:f>ROUND(F1328*K1328/100,2)</x:f>
        <x:v>0</x:v>
      </x:c>
      <x:c r="M1328" t="n">
        <x:v>0.8</x:v>
      </x:c>
      <x:c r="N1328" t="n">
        <x:f>ROUND(F1328*M1328/100,2)</x:f>
        <x:v>1.48</x:v>
      </x:c>
      <x:c r="O1328" t="str">
        <x:v>净鱼肉生重</x:v>
      </x:c>
    </x:row>
    <x:row r="1329" ht="23" customHeight="1">
      <x:c r="A1329" t="n">
        <x:v>222</x:v>
      </x:c>
      <x:c r="B1329" t="n">
        <x:v>111</x:v>
      </x:c>
      <x:c r="C1329" t="str">
        <x:v>晚餐</x:v>
      </x:c>
      <x:c r="D1329" t="str"/>
      <x:c r="E1329" t="str"/>
      <x:c r="F1329" t="n">
        <x:v>0</x:v>
      </x:c>
      <x:c r="G1329" t="n">
        <x:v>0</x:v>
      </x:c>
      <x:c r="H1329" t="n">
        <x:f>ROUND(F1329*G1329/100,2)</x:f>
        <x:v>0</x:v>
      </x:c>
      <x:c r="I1329" t="n">
        <x:v>0</x:v>
      </x:c>
      <x:c r="J1329" t="n">
        <x:f>ROUND(F1329*I1329/100,2)</x:f>
        <x:v>0</x:v>
      </x:c>
      <x:c r="K1329" t="n">
        <x:v>0</x:v>
      </x:c>
      <x:c r="L1329" t="n">
        <x:f>ROUND(F1329*K1329/100,2)</x:f>
        <x:v>0</x:v>
      </x:c>
      <x:c r="M1329" t="n">
        <x:v>0</x:v>
      </x:c>
      <x:c r="N1329" t="n">
        <x:f>ROUND(F1329*M1329/100,2)</x:f>
        <x:v>0</x:v>
      </x:c>
      <x:c r="O1329" t="str"/>
    </x:row>
    <x:row r="1330" ht="23" customHeight="1">
      <x:c r="A1330" t="n">
        <x:v>222</x:v>
      </x:c>
      <x:c r="B1330" t="n">
        <x:v>111</x:v>
      </x:c>
      <x:c r="C1330" t="str">
        <x:v>晚餐</x:v>
      </x:c>
      <x:c r="D1330" t="str">
        <x:v>蔬菜</x:v>
      </x:c>
      <x:c r="E1330" t="str">
        <x:v>丝瓜</x:v>
      </x:c>
      <x:c r="F1330" t="n">
        <x:v>175</x:v>
      </x:c>
      <x:c r="G1330" t="n">
        <x:v>20</x:v>
      </x:c>
      <x:c r="H1330" t="n">
        <x:f>ROUND(F1330*G1330/100,2)</x:f>
        <x:v>35</x:v>
      </x:c>
      <x:c r="I1330" t="n">
        <x:v>1</x:v>
      </x:c>
      <x:c r="J1330" t="n">
        <x:f>ROUND(F1330*I1330/100,2)</x:f>
        <x:v>1.75</x:v>
      </x:c>
      <x:c r="K1330" t="n">
        <x:v>4</x:v>
      </x:c>
      <x:c r="L1330" t="n">
        <x:f>ROUND(F1330*K1330/100,2)</x:f>
        <x:v>7</x:v>
      </x:c>
      <x:c r="M1330" t="n">
        <x:v>0.2</x:v>
      </x:c>
      <x:c r="N1330" t="n">
        <x:f>ROUND(F1330*M1330/100,2)</x:f>
        <x:v>0.35</x:v>
      </x:c>
      <x:c r="O1330" t="str">
        <x:v>生重</x:v>
      </x:c>
    </x:row>
    <x:row r="1331" ht="23" customHeight="1">
      <x:c r="A1331" t="n">
        <x:v>222</x:v>
      </x:c>
      <x:c r="B1331" t="n">
        <x:v>111</x:v>
      </x:c>
      <x:c r="C1331" t="str">
        <x:v>晚餐</x:v>
      </x:c>
      <x:c r="D1331" t="str">
        <x:v>菌菇</x:v>
      </x:c>
      <x:c r="E1331" t="str">
        <x:v>金针菇</x:v>
      </x:c>
      <x:c r="F1331" t="n">
        <x:v>140</x:v>
      </x:c>
      <x:c r="G1331" t="n">
        <x:v>32</x:v>
      </x:c>
      <x:c r="H1331" t="n">
        <x:f>ROUND(F1331*G1331/100,2)</x:f>
        <x:v>44.8</x:v>
      </x:c>
      <x:c r="I1331" t="n">
        <x:v>2.4</x:v>
      </x:c>
      <x:c r="J1331" t="n">
        <x:f>ROUND(F1331*I1331/100,2)</x:f>
        <x:v>3.36</x:v>
      </x:c>
      <x:c r="K1331" t="n">
        <x:v>6.4</x:v>
      </x:c>
      <x:c r="L1331" t="n">
        <x:f>ROUND(F1331*K1331/100,2)</x:f>
        <x:v>8.96</x:v>
      </x:c>
      <x:c r="M1331" t="n">
        <x:v>0.2</x:v>
      </x:c>
      <x:c r="N1331" t="n">
        <x:f>ROUND(F1331*M1331/100,2)</x:f>
        <x:v>0.28</x:v>
      </x:c>
      <x:c r="O1331" t="str">
        <x:v>生重</x:v>
      </x:c>
    </x:row>
    <x:row r="1332" ht="23" customHeight="1">
      <x:c r="A1332" t="n">
        <x:v>222</x:v>
      </x:c>
      <x:c r="B1332" t="n">
        <x:v>111</x:v>
      </x:c>
      <x:c r="C1332" t="str">
        <x:v>晚餐</x:v>
      </x:c>
      <x:c r="D1332" t="str">
        <x:v>主食</x:v>
      </x:c>
      <x:c r="E1332" t="str">
        <x:v>藜麦饭</x:v>
      </x:c>
      <x:c r="F1332" t="n">
        <x:v>135</x:v>
      </x:c>
      <x:c r="G1332" t="n">
        <x:v>120</x:v>
      </x:c>
      <x:c r="H1332" t="n">
        <x:f>ROUND(F1332*G1332/100,2)</x:f>
        <x:v>162</x:v>
      </x:c>
      <x:c r="I1332" t="n">
        <x:v>4.4</x:v>
      </x:c>
      <x:c r="J1332" t="n">
        <x:f>ROUND(F1332*I1332/100,2)</x:f>
        <x:v>5.94</x:v>
      </x:c>
      <x:c r="K1332" t="n">
        <x:v>21.3</x:v>
      </x:c>
      <x:c r="L1332" t="n">
        <x:f>ROUND(F1332*K1332/100,2)</x:f>
        <x:v>28.76</x:v>
      </x:c>
      <x:c r="M1332" t="n">
        <x:v>1.9</x:v>
      </x:c>
      <x:c r="N1332" t="n">
        <x:f>ROUND(F1332*M1332/100,2)</x:f>
        <x:v>2.57</x:v>
      </x:c>
      <x:c r="O1332" t="str">
        <x:v>熟重</x:v>
      </x:c>
    </x:row>
    <x:row r="1333" ht="23" customHeight="1">
      <x:c r="A1333" t="n">
        <x:v>222</x:v>
      </x:c>
      <x:c r="B1333" t="n">
        <x:v>111</x:v>
      </x:c>
      <x:c r="C1333" t="str">
        <x:v>晚餐</x:v>
      </x:c>
      <x:c r="D1333" t="str">
        <x:v>油脂</x:v>
      </x:c>
      <x:c r="E1333" t="str">
        <x:v>烹调油</x:v>
      </x:c>
      <x:c r="F1333" t="n">
        <x:v>5</x:v>
      </x:c>
      <x:c r="G1333" t="n">
        <x:v>900</x:v>
      </x:c>
      <x:c r="H1333" t="n">
        <x:f>ROUND(F1333*G1333/100,2)</x:f>
        <x:v>45</x:v>
      </x:c>
      <x:c r="I1333" t="n">
        <x:v>0</x:v>
      </x:c>
      <x:c r="J1333" t="n">
        <x:f>ROUND(F1333*I1333/100,2)</x:f>
        <x:v>0</x:v>
      </x:c>
      <x:c r="K1333" t="n">
        <x:v>0</x:v>
      </x:c>
      <x:c r="L1333" t="n">
        <x:f>ROUND(F1333*K1333/100,2)</x:f>
        <x:v>0</x:v>
      </x:c>
      <x:c r="M1333" t="n">
        <x:v>100</x:v>
      </x:c>
      <x:c r="N1333" t="n">
        <x:f>ROUND(F1333*M1333/100,2)</x:f>
        <x:v>5</x:v>
      </x:c>
      <x:c r="O1333" t="str">
        <x:v>实际用油重</x:v>
      </x:c>
    </x:row>
    <x:row r="1334" ht="23" customHeight="1">
      <x:c r="A1334" t="n">
        <x:v>223</x:v>
      </x:c>
      <x:c r="B1334" t="n">
        <x:v>112</x:v>
      </x:c>
      <x:c r="C1334" t="str">
        <x:v>午餐</x:v>
      </x:c>
      <x:c r="D1334" t="str">
        <x:v>鱼类</x:v>
      </x:c>
      <x:c r="E1334" t="str">
        <x:v>鳕鱼</x:v>
      </x:c>
      <x:c r="F1334" t="n">
        <x:v>215</x:v>
      </x:c>
      <x:c r="G1334" t="n">
        <x:v>85</x:v>
      </x:c>
      <x:c r="H1334" t="n">
        <x:f>ROUND(F1334*G1334/100,2)</x:f>
        <x:v>182.75</x:v>
      </x:c>
      <x:c r="I1334" t="n">
        <x:v>18</x:v>
      </x:c>
      <x:c r="J1334" t="n">
        <x:f>ROUND(F1334*I1334/100,2)</x:f>
        <x:v>38.7</x:v>
      </x:c>
      <x:c r="K1334" t="n">
        <x:v>0</x:v>
      </x:c>
      <x:c r="L1334" t="n">
        <x:f>ROUND(F1334*K1334/100,2)</x:f>
        <x:v>0</x:v>
      </x:c>
      <x:c r="M1334" t="n">
        <x:v>0.8</x:v>
      </x:c>
      <x:c r="N1334" t="n">
        <x:f>ROUND(F1334*M1334/100,2)</x:f>
        <x:v>1.72</x:v>
      </x:c>
      <x:c r="O1334" t="str">
        <x:v>净鱼肉生重</x:v>
      </x:c>
    </x:row>
    <x:row r="1335" ht="23" customHeight="1">
      <x:c r="A1335" t="n">
        <x:v>223</x:v>
      </x:c>
      <x:c r="B1335" t="n">
        <x:v>112</x:v>
      </x:c>
      <x:c r="C1335" t="str">
        <x:v>午餐</x:v>
      </x:c>
      <x:c r="D1335" t="str"/>
      <x:c r="E1335" t="str"/>
      <x:c r="F1335" t="n">
        <x:v>0</x:v>
      </x:c>
      <x:c r="G1335" t="n">
        <x:v>0</x:v>
      </x:c>
      <x:c r="H1335" t="n">
        <x:f>ROUND(F1335*G1335/100,2)</x:f>
        <x:v>0</x:v>
      </x:c>
      <x:c r="I1335" t="n">
        <x:v>0</x:v>
      </x:c>
      <x:c r="J1335" t="n">
        <x:f>ROUND(F1335*I1335/100,2)</x:f>
        <x:v>0</x:v>
      </x:c>
      <x:c r="K1335" t="n">
        <x:v>0</x:v>
      </x:c>
      <x:c r="L1335" t="n">
        <x:f>ROUND(F1335*K1335/100,2)</x:f>
        <x:v>0</x:v>
      </x:c>
      <x:c r="M1335" t="n">
        <x:v>0</x:v>
      </x:c>
      <x:c r="N1335" t="n">
        <x:f>ROUND(F1335*M1335/100,2)</x:f>
        <x:v>0</x:v>
      </x:c>
      <x:c r="O1335" t="str"/>
    </x:row>
    <x:row r="1336" ht="23" customHeight="1">
      <x:c r="A1336" t="n">
        <x:v>223</x:v>
      </x:c>
      <x:c r="B1336" t="n">
        <x:v>112</x:v>
      </x:c>
      <x:c r="C1336" t="str">
        <x:v>午餐</x:v>
      </x:c>
      <x:c r="D1336" t="str">
        <x:v>蔬菜</x:v>
      </x:c>
      <x:c r="E1336" t="str">
        <x:v>小白菜</x:v>
      </x:c>
      <x:c r="F1336" t="n">
        <x:v>160</x:v>
      </x:c>
      <x:c r="G1336" t="n">
        <x:v>17</x:v>
      </x:c>
      <x:c r="H1336" t="n">
        <x:f>ROUND(F1336*G1336/100,2)</x:f>
        <x:v>27.2</x:v>
      </x:c>
      <x:c r="I1336" t="n">
        <x:v>1.6</x:v>
      </x:c>
      <x:c r="J1336" t="n">
        <x:f>ROUND(F1336*I1336/100,2)</x:f>
        <x:v>2.56</x:v>
      </x:c>
      <x:c r="K1336" t="n">
        <x:v>2.8</x:v>
      </x:c>
      <x:c r="L1336" t="n">
        <x:f>ROUND(F1336*K1336/100,2)</x:f>
        <x:v>4.48</x:v>
      </x:c>
      <x:c r="M1336" t="n">
        <x:v>0.2</x:v>
      </x:c>
      <x:c r="N1336" t="n">
        <x:f>ROUND(F1336*M1336/100,2)</x:f>
        <x:v>0.32</x:v>
      </x:c>
      <x:c r="O1336" t="str">
        <x:v>生重</x:v>
      </x:c>
    </x:row>
    <x:row r="1337" ht="23" customHeight="1">
      <x:c r="A1337" t="n">
        <x:v>223</x:v>
      </x:c>
      <x:c r="B1337" t="n">
        <x:v>112</x:v>
      </x:c>
      <x:c r="C1337" t="str">
        <x:v>午餐</x:v>
      </x:c>
      <x:c r="D1337" t="str">
        <x:v>蔬菜</x:v>
      </x:c>
      <x:c r="E1337" t="str">
        <x:v>海带</x:v>
      </x:c>
      <x:c r="F1337" t="n">
        <x:v>155</x:v>
      </x:c>
      <x:c r="G1337" t="n">
        <x:v>25</x:v>
      </x:c>
      <x:c r="H1337" t="n">
        <x:f>ROUND(F1337*G1337/100,2)</x:f>
        <x:v>38.75</x:v>
      </x:c>
      <x:c r="I1337" t="n">
        <x:v>1</x:v>
      </x:c>
      <x:c r="J1337" t="n">
        <x:f>ROUND(F1337*I1337/100,2)</x:f>
        <x:v>1.55</x:v>
      </x:c>
      <x:c r="K1337" t="n">
        <x:v>5</x:v>
      </x:c>
      <x:c r="L1337" t="n">
        <x:f>ROUND(F1337*K1337/100,2)</x:f>
        <x:v>7.75</x:v>
      </x:c>
      <x:c r="M1337" t="n">
        <x:v>0.1</x:v>
      </x:c>
      <x:c r="N1337" t="n">
        <x:f>ROUND(F1337*M1337/100,2)</x:f>
        <x:v>0.16</x:v>
      </x:c>
      <x:c r="O1337" t="str">
        <x:v>泡发沥水重</x:v>
      </x:c>
    </x:row>
    <x:row r="1338" ht="23" customHeight="1">
      <x:c r="A1338" t="n">
        <x:v>223</x:v>
      </x:c>
      <x:c r="B1338" t="n">
        <x:v>112</x:v>
      </x:c>
      <x:c r="C1338" t="str">
        <x:v>午餐</x:v>
      </x:c>
      <x:c r="D1338" t="str">
        <x:v>主食</x:v>
      </x:c>
      <x:c r="E1338" t="str">
        <x:v>糙米饭</x:v>
      </x:c>
      <x:c r="F1338" t="n">
        <x:v>165</x:v>
      </x:c>
      <x:c r="G1338" t="n">
        <x:v>112</x:v>
      </x:c>
      <x:c r="H1338" t="n">
        <x:f>ROUND(F1338*G1338/100,2)</x:f>
        <x:v>184.8</x:v>
      </x:c>
      <x:c r="I1338" t="n">
        <x:v>2.6</x:v>
      </x:c>
      <x:c r="J1338" t="n">
        <x:f>ROUND(F1338*I1338/100,2)</x:f>
        <x:v>4.29</x:v>
      </x:c>
      <x:c r="K1338" t="n">
        <x:v>23.5</x:v>
      </x:c>
      <x:c r="L1338" t="n">
        <x:f>ROUND(F1338*K1338/100,2)</x:f>
        <x:v>38.78</x:v>
      </x:c>
      <x:c r="M1338" t="n">
        <x:v>0.9</x:v>
      </x:c>
      <x:c r="N1338" t="n">
        <x:f>ROUND(F1338*M1338/100,2)</x:f>
        <x:v>1.49</x:v>
      </x:c>
      <x:c r="O1338" t="str">
        <x:v>熟重</x:v>
      </x:c>
    </x:row>
    <x:row r="1339" ht="23" customHeight="1">
      <x:c r="A1339" t="n">
        <x:v>223</x:v>
      </x:c>
      <x:c r="B1339" t="n">
        <x:v>112</x:v>
      </x:c>
      <x:c r="C1339" t="str">
        <x:v>午餐</x:v>
      </x:c>
      <x:c r="D1339" t="str">
        <x:v>油脂</x:v>
      </x:c>
      <x:c r="E1339" t="str">
        <x:v>烹调油</x:v>
      </x:c>
      <x:c r="F1339" t="n">
        <x:v>5</x:v>
      </x:c>
      <x:c r="G1339" t="n">
        <x:v>900</x:v>
      </x:c>
      <x:c r="H1339" t="n">
        <x:f>ROUND(F1339*G1339/100,2)</x:f>
        <x:v>45</x:v>
      </x:c>
      <x:c r="I1339" t="n">
        <x:v>0</x:v>
      </x:c>
      <x:c r="J1339" t="n">
        <x:f>ROUND(F1339*I1339/100,2)</x:f>
        <x:v>0</x:v>
      </x:c>
      <x:c r="K1339" t="n">
        <x:v>0</x:v>
      </x:c>
      <x:c r="L1339" t="n">
        <x:f>ROUND(F1339*K1339/100,2)</x:f>
        <x:v>0</x:v>
      </x:c>
      <x:c r="M1339" t="n">
        <x:v>100</x:v>
      </x:c>
      <x:c r="N1339" t="n">
        <x:f>ROUND(F1339*M1339/100,2)</x:f>
        <x:v>5</x:v>
      </x:c>
      <x:c r="O1339" t="str">
        <x:v>实际用油重</x:v>
      </x:c>
    </x:row>
    <x:row r="1340" ht="23" customHeight="1">
      <x:c r="A1340" t="n">
        <x:v>224</x:v>
      </x:c>
      <x:c r="B1340" t="n">
        <x:v>112</x:v>
      </x:c>
      <x:c r="C1340" t="str">
        <x:v>晚餐</x:v>
      </x:c>
      <x:c r="D1340" t="str">
        <x:v>禽肉</x:v>
      </x:c>
      <x:c r="E1340" t="str">
        <x:v>去皮鸡腿肉</x:v>
      </x:c>
      <x:c r="F1340" t="n">
        <x:v>160</x:v>
      </x:c>
      <x:c r="G1340" t="n">
        <x:v>125</x:v>
      </x:c>
      <x:c r="H1340" t="n">
        <x:f>ROUND(F1340*G1340/100,2)</x:f>
        <x:v>200</x:v>
      </x:c>
      <x:c r="I1340" t="n">
        <x:v>20</x:v>
      </x:c>
      <x:c r="J1340" t="n">
        <x:f>ROUND(F1340*I1340/100,2)</x:f>
        <x:v>32</x:v>
      </x:c>
      <x:c r="K1340" t="n">
        <x:v>0</x:v>
      </x:c>
      <x:c r="L1340" t="n">
        <x:f>ROUND(F1340*K1340/100,2)</x:f>
        <x:v>0</x:v>
      </x:c>
      <x:c r="M1340" t="n">
        <x:v>5</x:v>
      </x:c>
      <x:c r="N1340" t="n">
        <x:f>ROUND(F1340*M1340/100,2)</x:f>
        <x:v>8</x:v>
      </x:c>
      <x:c r="O1340" t="str">
        <x:v>生重</x:v>
      </x:c>
    </x:row>
    <x:row r="1341" ht="23" customHeight="1">
      <x:c r="A1341" t="n">
        <x:v>224</x:v>
      </x:c>
      <x:c r="B1341" t="n">
        <x:v>112</x:v>
      </x:c>
      <x:c r="C1341" t="str">
        <x:v>晚餐</x:v>
      </x:c>
      <x:c r="D1341" t="str">
        <x:v>豆蛋</x:v>
      </x:c>
      <x:c r="E1341" t="str">
        <x:v>嫩豆腐</x:v>
      </x:c>
      <x:c r="F1341" t="n">
        <x:v>160</x:v>
      </x:c>
      <x:c r="G1341" t="n">
        <x:v>55</x:v>
      </x:c>
      <x:c r="H1341" t="n">
        <x:f>ROUND(F1341*G1341/100,2)</x:f>
        <x:v>88</x:v>
      </x:c>
      <x:c r="I1341" t="n">
        <x:v>5</x:v>
      </x:c>
      <x:c r="J1341" t="n">
        <x:f>ROUND(F1341*I1341/100,2)</x:f>
        <x:v>8</x:v>
      </x:c>
      <x:c r="K1341" t="n">
        <x:v>2</x:v>
      </x:c>
      <x:c r="L1341" t="n">
        <x:f>ROUND(F1341*K1341/100,2)</x:f>
        <x:v>3.2</x:v>
      </x:c>
      <x:c r="M1341" t="n">
        <x:v>2.8</x:v>
      </x:c>
      <x:c r="N1341" t="n">
        <x:f>ROUND(F1341*M1341/100,2)</x:f>
        <x:v>4.48</x:v>
      </x:c>
      <x:c r="O1341" t="str">
        <x:v>净重</x:v>
      </x:c>
    </x:row>
    <x:row r="1342" ht="23" customHeight="1">
      <x:c r="A1342" t="n">
        <x:v>224</x:v>
      </x:c>
      <x:c r="B1342" t="n">
        <x:v>112</x:v>
      </x:c>
      <x:c r="C1342" t="str">
        <x:v>晚餐</x:v>
      </x:c>
      <x:c r="D1342" t="str">
        <x:v>蔬菜</x:v>
      </x:c>
      <x:c r="E1342" t="str">
        <x:v>西葫芦</x:v>
      </x:c>
      <x:c r="F1342" t="n">
        <x:v>140</x:v>
      </x:c>
      <x:c r="G1342" t="n">
        <x:v>17</x:v>
      </x:c>
      <x:c r="H1342" t="n">
        <x:f>ROUND(F1342*G1342/100,2)</x:f>
        <x:v>23.8</x:v>
      </x:c>
      <x:c r="I1342" t="n">
        <x:v>1.2</x:v>
      </x:c>
      <x:c r="J1342" t="n">
        <x:f>ROUND(F1342*I1342/100,2)</x:f>
        <x:v>1.68</x:v>
      </x:c>
      <x:c r="K1342" t="n">
        <x:v>3.1</x:v>
      </x:c>
      <x:c r="L1342" t="n">
        <x:f>ROUND(F1342*K1342/100,2)</x:f>
        <x:v>4.34</x:v>
      </x:c>
      <x:c r="M1342" t="n">
        <x:v>0.3</x:v>
      </x:c>
      <x:c r="N1342" t="n">
        <x:f>ROUND(F1342*M1342/100,2)</x:f>
        <x:v>0.42</x:v>
      </x:c>
      <x:c r="O1342" t="str">
        <x:v>生重</x:v>
      </x:c>
    </x:row>
    <x:row r="1343" ht="23" customHeight="1">
      <x:c r="A1343" t="n">
        <x:v>224</x:v>
      </x:c>
      <x:c r="B1343" t="n">
        <x:v>112</x:v>
      </x:c>
      <x:c r="C1343" t="str">
        <x:v>晚餐</x:v>
      </x:c>
      <x:c r="D1343" t="str">
        <x:v>蔬菜</x:v>
      </x:c>
      <x:c r="E1343" t="str">
        <x:v>菜心</x:v>
      </x:c>
      <x:c r="F1343" t="n">
        <x:v>140</x:v>
      </x:c>
      <x:c r="G1343" t="n">
        <x:v>20</x:v>
      </x:c>
      <x:c r="H1343" t="n">
        <x:f>ROUND(F1343*G1343/100,2)</x:f>
        <x:v>28</x:v>
      </x:c>
      <x:c r="I1343" t="n">
        <x:v>2</x:v>
      </x:c>
      <x:c r="J1343" t="n">
        <x:f>ROUND(F1343*I1343/100,2)</x:f>
        <x:v>2.8</x:v>
      </x:c>
      <x:c r="K1343" t="n">
        <x:v>3.5</x:v>
      </x:c>
      <x:c r="L1343" t="n">
        <x:f>ROUND(F1343*K1343/100,2)</x:f>
        <x:v>4.9</x:v>
      </x:c>
      <x:c r="M1343" t="n">
        <x:v>0.3</x:v>
      </x:c>
      <x:c r="N1343" t="n">
        <x:f>ROUND(F1343*M1343/100,2)</x:f>
        <x:v>0.42</x:v>
      </x:c>
      <x:c r="O1343" t="str">
        <x:v>生重</x:v>
      </x:c>
    </x:row>
    <x:row r="1344" ht="23" customHeight="1">
      <x:c r="A1344" t="n">
        <x:v>224</x:v>
      </x:c>
      <x:c r="B1344" t="n">
        <x:v>112</x:v>
      </x:c>
      <x:c r="C1344" t="str">
        <x:v>晚餐</x:v>
      </x:c>
      <x:c r="D1344" t="str">
        <x:v>主食</x:v>
      </x:c>
      <x:c r="E1344" t="str">
        <x:v>全麦面</x:v>
      </x:c>
      <x:c r="F1344" t="n">
        <x:v>125</x:v>
      </x:c>
      <x:c r="G1344" t="n">
        <x:v>124</x:v>
      </x:c>
      <x:c r="H1344" t="n">
        <x:f>ROUND(F1344*G1344/100,2)</x:f>
        <x:v>155</x:v>
      </x:c>
      <x:c r="I1344" t="n">
        <x:v>5</x:v>
      </x:c>
      <x:c r="J1344" t="n">
        <x:f>ROUND(F1344*I1344/100,2)</x:f>
        <x:v>6.25</x:v>
      </x:c>
      <x:c r="K1344" t="n">
        <x:v>25</x:v>
      </x:c>
      <x:c r="L1344" t="n">
        <x:f>ROUND(F1344*K1344/100,2)</x:f>
        <x:v>31.25</x:v>
      </x:c>
      <x:c r="M1344" t="n">
        <x:v>1.1</x:v>
      </x:c>
      <x:c r="N1344" t="n">
        <x:f>ROUND(F1344*M1344/100,2)</x:f>
        <x:v>1.38</x:v>
      </x:c>
      <x:c r="O1344" t="str">
        <x:v>煮熟沥水重</x:v>
      </x:c>
    </x:row>
    <x:row r="1345" ht="23" customHeight="1">
      <x:c r="A1345" t="n">
        <x:v>224</x:v>
      </x:c>
      <x:c r="B1345" t="n">
        <x:v>112</x:v>
      </x:c>
      <x:c r="C1345" t="str">
        <x:v>晚餐</x:v>
      </x:c>
      <x:c r="D1345" t="str">
        <x:v>油脂</x:v>
      </x:c>
      <x:c r="E1345" t="str">
        <x:v>烹调油</x:v>
      </x:c>
      <x:c r="F1345" t="n">
        <x:v>5</x:v>
      </x:c>
      <x:c r="G1345" t="n">
        <x:v>900</x:v>
      </x:c>
      <x:c r="H1345" t="n">
        <x:f>ROUND(F1345*G1345/100,2)</x:f>
        <x:v>45</x:v>
      </x:c>
      <x:c r="I1345" t="n">
        <x:v>0</x:v>
      </x:c>
      <x:c r="J1345" t="n">
        <x:f>ROUND(F1345*I1345/100,2)</x:f>
        <x:v>0</x:v>
      </x:c>
      <x:c r="K1345" t="n">
        <x:v>0</x:v>
      </x:c>
      <x:c r="L1345" t="n">
        <x:f>ROUND(F1345*K1345/100,2)</x:f>
        <x:v>0</x:v>
      </x:c>
      <x:c r="M1345" t="n">
        <x:v>100</x:v>
      </x:c>
      <x:c r="N1345" t="n">
        <x:f>ROUND(F1345*M1345/100,2)</x:f>
        <x:v>5</x:v>
      </x:c>
      <x:c r="O1345" t="str">
        <x:v>实际用油重</x:v>
      </x:c>
    </x:row>
    <x:row r="1346" ht="23" customHeight="1">
      <x:c r="A1346" t="n">
        <x:v>225</x:v>
      </x:c>
      <x:c r="B1346" t="n">
        <x:v>113</x:v>
      </x:c>
      <x:c r="C1346" t="str">
        <x:v>午餐</x:v>
      </x:c>
      <x:c r="D1346" t="str">
        <x:v>海鲜</x:v>
      </x:c>
      <x:c r="E1346" t="str">
        <x:v>虾仁</x:v>
      </x:c>
      <x:c r="F1346" t="n">
        <x:v>160</x:v>
      </x:c>
      <x:c r="G1346" t="n">
        <x:v>90</x:v>
      </x:c>
      <x:c r="H1346" t="n">
        <x:f>ROUND(F1346*G1346/100,2)</x:f>
        <x:v>144</x:v>
      </x:c>
      <x:c r="I1346" t="n">
        <x:v>19</x:v>
      </x:c>
      <x:c r="J1346" t="n">
        <x:f>ROUND(F1346*I1346/100,2)</x:f>
        <x:v>30.4</x:v>
      </x:c>
      <x:c r="K1346" t="n">
        <x:v>0.4</x:v>
      </x:c>
      <x:c r="L1346" t="n">
        <x:f>ROUND(F1346*K1346/100,2)</x:f>
        <x:v>0.64</x:v>
      </x:c>
      <x:c r="M1346" t="n">
        <x:v>1.1</x:v>
      </x:c>
      <x:c r="N1346" t="n">
        <x:f>ROUND(F1346*M1346/100,2)</x:f>
        <x:v>1.76</x:v>
      </x:c>
      <x:c r="O1346" t="str">
        <x:v>生重</x:v>
      </x:c>
    </x:row>
    <x:row r="1347" ht="23" customHeight="1">
      <x:c r="A1347" t="n">
        <x:v>225</x:v>
      </x:c>
      <x:c r="B1347" t="n">
        <x:v>113</x:v>
      </x:c>
      <x:c r="C1347" t="str">
        <x:v>午餐</x:v>
      </x:c>
      <x:c r="D1347" t="str"/>
      <x:c r="E1347" t="str"/>
      <x:c r="F1347" t="n">
        <x:v>0</x:v>
      </x:c>
      <x:c r="G1347" t="n">
        <x:v>0</x:v>
      </x:c>
      <x:c r="H1347" t="n">
        <x:f>ROUND(F1347*G1347/100,2)</x:f>
        <x:v>0</x:v>
      </x:c>
      <x:c r="I1347" t="n">
        <x:v>0</x:v>
      </x:c>
      <x:c r="J1347" t="n">
        <x:f>ROUND(F1347*I1347/100,2)</x:f>
        <x:v>0</x:v>
      </x:c>
      <x:c r="K1347" t="n">
        <x:v>0</x:v>
      </x:c>
      <x:c r="L1347" t="n">
        <x:f>ROUND(F1347*K1347/100,2)</x:f>
        <x:v>0</x:v>
      </x:c>
      <x:c r="M1347" t="n">
        <x:v>0</x:v>
      </x:c>
      <x:c r="N1347" t="n">
        <x:f>ROUND(F1347*M1347/100,2)</x:f>
        <x:v>0</x:v>
      </x:c>
      <x:c r="O1347" t="str"/>
    </x:row>
    <x:row r="1348" ht="23" customHeight="1">
      <x:c r="A1348" t="n">
        <x:v>225</x:v>
      </x:c>
      <x:c r="B1348" t="n">
        <x:v>113</x:v>
      </x:c>
      <x:c r="C1348" t="str">
        <x:v>午餐</x:v>
      </x:c>
      <x:c r="D1348" t="str">
        <x:v>蔬菜</x:v>
      </x:c>
      <x:c r="E1348" t="str">
        <x:v>生菜</x:v>
      </x:c>
      <x:c r="F1348" t="n">
        <x:v>175</x:v>
      </x:c>
      <x:c r="G1348" t="n">
        <x:v>16</x:v>
      </x:c>
      <x:c r="H1348" t="n">
        <x:f>ROUND(F1348*G1348/100,2)</x:f>
        <x:v>28</x:v>
      </x:c>
      <x:c r="I1348" t="n">
        <x:v>1.4</x:v>
      </x:c>
      <x:c r="J1348" t="n">
        <x:f>ROUND(F1348*I1348/100,2)</x:f>
        <x:v>2.45</x:v>
      </x:c>
      <x:c r="K1348" t="n">
        <x:v>2.9</x:v>
      </x:c>
      <x:c r="L1348" t="n">
        <x:f>ROUND(F1348*K1348/100,2)</x:f>
        <x:v>5.08</x:v>
      </x:c>
      <x:c r="M1348" t="n">
        <x:v>0.1</x:v>
      </x:c>
      <x:c r="N1348" t="n">
        <x:f>ROUND(F1348*M1348/100,2)</x:f>
        <x:v>0.18</x:v>
      </x:c>
      <x:c r="O1348" t="str">
        <x:v>生重</x:v>
      </x:c>
    </x:row>
    <x:row r="1349" ht="23" customHeight="1">
      <x:c r="A1349" t="n">
        <x:v>225</x:v>
      </x:c>
      <x:c r="B1349" t="n">
        <x:v>113</x:v>
      </x:c>
      <x:c r="C1349" t="str">
        <x:v>午餐</x:v>
      </x:c>
      <x:c r="D1349" t="str">
        <x:v>蔬菜</x:v>
      </x:c>
      <x:c r="E1349" t="str">
        <x:v>海带</x:v>
      </x:c>
      <x:c r="F1349" t="n">
        <x:v>110</x:v>
      </x:c>
      <x:c r="G1349" t="n">
        <x:v>25</x:v>
      </x:c>
      <x:c r="H1349" t="n">
        <x:f>ROUND(F1349*G1349/100,2)</x:f>
        <x:v>27.5</x:v>
      </x:c>
      <x:c r="I1349" t="n">
        <x:v>1</x:v>
      </x:c>
      <x:c r="J1349" t="n">
        <x:f>ROUND(F1349*I1349/100,2)</x:f>
        <x:v>1.1</x:v>
      </x:c>
      <x:c r="K1349" t="n">
        <x:v>5</x:v>
      </x:c>
      <x:c r="L1349" t="n">
        <x:f>ROUND(F1349*K1349/100,2)</x:f>
        <x:v>5.5</x:v>
      </x:c>
      <x:c r="M1349" t="n">
        <x:v>0.1</x:v>
      </x:c>
      <x:c r="N1349" t="n">
        <x:f>ROUND(F1349*M1349/100,2)</x:f>
        <x:v>0.11</x:v>
      </x:c>
      <x:c r="O1349" t="str">
        <x:v>泡发沥水重</x:v>
      </x:c>
    </x:row>
    <x:row r="1350" ht="23" customHeight="1">
      <x:c r="A1350" t="n">
        <x:v>225</x:v>
      </x:c>
      <x:c r="B1350" t="n">
        <x:v>113</x:v>
      </x:c>
      <x:c r="C1350" t="str">
        <x:v>午餐</x:v>
      </x:c>
      <x:c r="D1350" t="str">
        <x:v>主食</x:v>
      </x:c>
      <x:c r="E1350" t="str">
        <x:v>荞麦饭</x:v>
      </x:c>
      <x:c r="F1350" t="n">
        <x:v>150</x:v>
      </x:c>
      <x:c r="G1350" t="n">
        <x:v>110</x:v>
      </x:c>
      <x:c r="H1350" t="n">
        <x:f>ROUND(F1350*G1350/100,2)</x:f>
        <x:v>165</x:v>
      </x:c>
      <x:c r="I1350" t="n">
        <x:v>3.4</x:v>
      </x:c>
      <x:c r="J1350" t="n">
        <x:f>ROUND(F1350*I1350/100,2)</x:f>
        <x:v>5.1</x:v>
      </x:c>
      <x:c r="K1350" t="n">
        <x:v>22</x:v>
      </x:c>
      <x:c r="L1350" t="n">
        <x:f>ROUND(F1350*K1350/100,2)</x:f>
        <x:v>33</x:v>
      </x:c>
      <x:c r="M1350" t="n">
        <x:v>1.1</x:v>
      </x:c>
      <x:c r="N1350" t="n">
        <x:f>ROUND(F1350*M1350/100,2)</x:f>
        <x:v>1.65</x:v>
      </x:c>
      <x:c r="O1350" t="str">
        <x:v>熟重</x:v>
      </x:c>
    </x:row>
    <x:row r="1351" ht="23" customHeight="1">
      <x:c r="A1351" t="n">
        <x:v>225</x:v>
      </x:c>
      <x:c r="B1351" t="n">
        <x:v>113</x:v>
      </x:c>
      <x:c r="C1351" t="str">
        <x:v>午餐</x:v>
      </x:c>
      <x:c r="D1351" t="str">
        <x:v>油脂</x:v>
      </x:c>
      <x:c r="E1351" t="str">
        <x:v>烹调油</x:v>
      </x:c>
      <x:c r="F1351" t="n">
        <x:v>3</x:v>
      </x:c>
      <x:c r="G1351" t="n">
        <x:v>900</x:v>
      </x:c>
      <x:c r="H1351" t="n">
        <x:f>ROUND(F1351*G1351/100,2)</x:f>
        <x:v>27</x:v>
      </x:c>
      <x:c r="I1351" t="n">
        <x:v>0</x:v>
      </x:c>
      <x:c r="J1351" t="n">
        <x:f>ROUND(F1351*I1351/100,2)</x:f>
        <x:v>0</x:v>
      </x:c>
      <x:c r="K1351" t="n">
        <x:v>0</x:v>
      </x:c>
      <x:c r="L1351" t="n">
        <x:f>ROUND(F1351*K1351/100,2)</x:f>
        <x:v>0</x:v>
      </x:c>
      <x:c r="M1351" t="n">
        <x:v>100</x:v>
      </x:c>
      <x:c r="N1351" t="n">
        <x:f>ROUND(F1351*M1351/100,2)</x:f>
        <x:v>3</x:v>
      </x:c>
      <x:c r="O1351" t="str">
        <x:v>实际用油重</x:v>
      </x:c>
    </x:row>
    <x:row r="1352" ht="23" customHeight="1">
      <x:c r="A1352" t="n">
        <x:v>226</x:v>
      </x:c>
      <x:c r="B1352" t="n">
        <x:v>113</x:v>
      </x:c>
      <x:c r="C1352" t="str">
        <x:v>晚餐</x:v>
      </x:c>
      <x:c r="D1352" t="str">
        <x:v>鱼类</x:v>
      </x:c>
      <x:c r="E1352" t="str">
        <x:v>鲈鱼</x:v>
      </x:c>
      <x:c r="F1352" t="n">
        <x:v>175</x:v>
      </x:c>
      <x:c r="G1352" t="n">
        <x:v>105</x:v>
      </x:c>
      <x:c r="H1352" t="n">
        <x:f>ROUND(F1352*G1352/100,2)</x:f>
        <x:v>183.75</x:v>
      </x:c>
      <x:c r="I1352" t="n">
        <x:v>19</x:v>
      </x:c>
      <x:c r="J1352" t="n">
        <x:f>ROUND(F1352*I1352/100,2)</x:f>
        <x:v>33.25</x:v>
      </x:c>
      <x:c r="K1352" t="n">
        <x:v>0</x:v>
      </x:c>
      <x:c r="L1352" t="n">
        <x:f>ROUND(F1352*K1352/100,2)</x:f>
        <x:v>0</x:v>
      </x:c>
      <x:c r="M1352" t="n">
        <x:v>3</x:v>
      </x:c>
      <x:c r="N1352" t="n">
        <x:f>ROUND(F1352*M1352/100,2)</x:f>
        <x:v>5.25</x:v>
      </x:c>
      <x:c r="O1352" t="str">
        <x:v>净鱼肉生重</x:v>
      </x:c>
    </x:row>
    <x:row r="1353" ht="23" customHeight="1">
      <x:c r="A1353" t="n">
        <x:v>226</x:v>
      </x:c>
      <x:c r="B1353" t="n">
        <x:v>113</x:v>
      </x:c>
      <x:c r="C1353" t="str">
        <x:v>晚餐</x:v>
      </x:c>
      <x:c r="D1353" t="str"/>
      <x:c r="E1353" t="str"/>
      <x:c r="F1353" t="n">
        <x:v>0</x:v>
      </x:c>
      <x:c r="G1353" t="n">
        <x:v>0</x:v>
      </x:c>
      <x:c r="H1353" t="n">
        <x:f>ROUND(F1353*G1353/100,2)</x:f>
        <x:v>0</x:v>
      </x:c>
      <x:c r="I1353" t="n">
        <x:v>0</x:v>
      </x:c>
      <x:c r="J1353" t="n">
        <x:f>ROUND(F1353*I1353/100,2)</x:f>
        <x:v>0</x:v>
      </x:c>
      <x:c r="K1353" t="n">
        <x:v>0</x:v>
      </x:c>
      <x:c r="L1353" t="n">
        <x:f>ROUND(F1353*K1353/100,2)</x:f>
        <x:v>0</x:v>
      </x:c>
      <x:c r="M1353" t="n">
        <x:v>0</x:v>
      </x:c>
      <x:c r="N1353" t="n">
        <x:f>ROUND(F1353*M1353/100,2)</x:f>
        <x:v>0</x:v>
      </x:c>
      <x:c r="O1353" t="str"/>
    </x:row>
    <x:row r="1354" ht="23" customHeight="1">
      <x:c r="A1354" t="n">
        <x:v>226</x:v>
      </x:c>
      <x:c r="B1354" t="n">
        <x:v>113</x:v>
      </x:c>
      <x:c r="C1354" t="str">
        <x:v>晚餐</x:v>
      </x:c>
      <x:c r="D1354" t="str">
        <x:v>蔬菜</x:v>
      </x:c>
      <x:c r="E1354" t="str">
        <x:v>冬瓜</x:v>
      </x:c>
      <x:c r="F1354" t="n">
        <x:v>160</x:v>
      </x:c>
      <x:c r="G1354" t="n">
        <x:v>13</x:v>
      </x:c>
      <x:c r="H1354" t="n">
        <x:f>ROUND(F1354*G1354/100,2)</x:f>
        <x:v>20.8</x:v>
      </x:c>
      <x:c r="I1354" t="n">
        <x:v>0.4</x:v>
      </x:c>
      <x:c r="J1354" t="n">
        <x:f>ROUND(F1354*I1354/100,2)</x:f>
        <x:v>0.64</x:v>
      </x:c>
      <x:c r="K1354" t="n">
        <x:v>3</x:v>
      </x:c>
      <x:c r="L1354" t="n">
        <x:f>ROUND(F1354*K1354/100,2)</x:f>
        <x:v>4.8</x:v>
      </x:c>
      <x:c r="M1354" t="n">
        <x:v>0.2</x:v>
      </x:c>
      <x:c r="N1354" t="n">
        <x:f>ROUND(F1354*M1354/100,2)</x:f>
        <x:v>0.32</x:v>
      </x:c>
      <x:c r="O1354" t="str">
        <x:v>生重</x:v>
      </x:c>
    </x:row>
    <x:row r="1355" ht="23" customHeight="1">
      <x:c r="A1355" t="n">
        <x:v>226</x:v>
      </x:c>
      <x:c r="B1355" t="n">
        <x:v>113</x:v>
      </x:c>
      <x:c r="C1355" t="str">
        <x:v>晚餐</x:v>
      </x:c>
      <x:c r="D1355" t="str">
        <x:v>蔬菜</x:v>
      </x:c>
      <x:c r="E1355" t="str">
        <x:v>荷兰豆</x:v>
      </x:c>
      <x:c r="F1355" t="n">
        <x:v>125</x:v>
      </x:c>
      <x:c r="G1355" t="n">
        <x:v>42</x:v>
      </x:c>
      <x:c r="H1355" t="n">
        <x:f>ROUND(F1355*G1355/100,2)</x:f>
        <x:v>52.5</x:v>
      </x:c>
      <x:c r="I1355" t="n">
        <x:v>2.8</x:v>
      </x:c>
      <x:c r="J1355" t="n">
        <x:f>ROUND(F1355*I1355/100,2)</x:f>
        <x:v>3.5</x:v>
      </x:c>
      <x:c r="K1355" t="n">
        <x:v>7.5</x:v>
      </x:c>
      <x:c r="L1355" t="n">
        <x:f>ROUND(F1355*K1355/100,2)</x:f>
        <x:v>9.38</x:v>
      </x:c>
      <x:c r="M1355" t="n">
        <x:v>0.3</x:v>
      </x:c>
      <x:c r="N1355" t="n">
        <x:f>ROUND(F1355*M1355/100,2)</x:f>
        <x:v>0.38</x:v>
      </x:c>
      <x:c r="O1355" t="str">
        <x:v>生重</x:v>
      </x:c>
    </x:row>
    <x:row r="1356" ht="23" customHeight="1">
      <x:c r="A1356" t="n">
        <x:v>226</x:v>
      </x:c>
      <x:c r="B1356" t="n">
        <x:v>113</x:v>
      </x:c>
      <x:c r="C1356" t="str">
        <x:v>晚餐</x:v>
      </x:c>
      <x:c r="D1356" t="str">
        <x:v>主食</x:v>
      </x:c>
      <x:c r="E1356" t="str">
        <x:v>杂粮饭</x:v>
      </x:c>
      <x:c r="F1356" t="n">
        <x:v>80</x:v>
      </x:c>
      <x:c r="G1356" t="n">
        <x:v>115</x:v>
      </x:c>
      <x:c r="H1356" t="n">
        <x:f>ROUND(F1356*G1356/100,2)</x:f>
        <x:v>92</x:v>
      </x:c>
      <x:c r="I1356" t="n">
        <x:v>3.1</x:v>
      </x:c>
      <x:c r="J1356" t="n">
        <x:f>ROUND(F1356*I1356/100,2)</x:f>
        <x:v>2.48</x:v>
      </x:c>
      <x:c r="K1356" t="n">
        <x:v>23.5</x:v>
      </x:c>
      <x:c r="L1356" t="n">
        <x:f>ROUND(F1356*K1356/100,2)</x:f>
        <x:v>18.8</x:v>
      </x:c>
      <x:c r="M1356" t="n">
        <x:v>1.1</x:v>
      </x:c>
      <x:c r="N1356" t="n">
        <x:f>ROUND(F1356*M1356/100,2)</x:f>
        <x:v>0.88</x:v>
      </x:c>
      <x:c r="O1356" t="str">
        <x:v>熟重</x:v>
      </x:c>
    </x:row>
    <x:row r="1357" ht="23" customHeight="1">
      <x:c r="A1357" t="n">
        <x:v>226</x:v>
      </x:c>
      <x:c r="B1357" t="n">
        <x:v>113</x:v>
      </x:c>
      <x:c r="C1357" t="str">
        <x:v>晚餐</x:v>
      </x:c>
      <x:c r="D1357" t="str">
        <x:v>油脂</x:v>
      </x:c>
      <x:c r="E1357" t="str">
        <x:v>烹调油</x:v>
      </x:c>
      <x:c r="F1357" t="n">
        <x:v>5</x:v>
      </x:c>
      <x:c r="G1357" t="n">
        <x:v>900</x:v>
      </x:c>
      <x:c r="H1357" t="n">
        <x:f>ROUND(F1357*G1357/100,2)</x:f>
        <x:v>45</x:v>
      </x:c>
      <x:c r="I1357" t="n">
        <x:v>0</x:v>
      </x:c>
      <x:c r="J1357" t="n">
        <x:f>ROUND(F1357*I1357/100,2)</x:f>
        <x:v>0</x:v>
      </x:c>
      <x:c r="K1357" t="n">
        <x:v>0</x:v>
      </x:c>
      <x:c r="L1357" t="n">
        <x:f>ROUND(F1357*K1357/100,2)</x:f>
        <x:v>0</x:v>
      </x:c>
      <x:c r="M1357" t="n">
        <x:v>100</x:v>
      </x:c>
      <x:c r="N1357" t="n">
        <x:f>ROUND(F1357*M1357/100,2)</x:f>
        <x:v>5</x:v>
      </x:c>
      <x:c r="O1357" t="str">
        <x:v>实际用油重</x:v>
      </x:c>
    </x:row>
    <x:row r="1358" ht="23" customHeight="1">
      <x:c r="A1358" t="n">
        <x:v>227</x:v>
      </x:c>
      <x:c r="B1358" t="n">
        <x:v>114</x:v>
      </x:c>
      <x:c r="C1358" t="str">
        <x:v>午餐</x:v>
      </x:c>
      <x:c r="D1358" t="str">
        <x:v>禽肉</x:v>
      </x:c>
      <x:c r="E1358" t="str">
        <x:v>去皮鸡腿肉</x:v>
      </x:c>
      <x:c r="F1358" t="n">
        <x:v>155</x:v>
      </x:c>
      <x:c r="G1358" t="n">
        <x:v>125</x:v>
      </x:c>
      <x:c r="H1358" t="n">
        <x:f>ROUND(F1358*G1358/100,2)</x:f>
        <x:v>193.75</x:v>
      </x:c>
      <x:c r="I1358" t="n">
        <x:v>20</x:v>
      </x:c>
      <x:c r="J1358" t="n">
        <x:f>ROUND(F1358*I1358/100,2)</x:f>
        <x:v>31</x:v>
      </x:c>
      <x:c r="K1358" t="n">
        <x:v>0</x:v>
      </x:c>
      <x:c r="L1358" t="n">
        <x:f>ROUND(F1358*K1358/100,2)</x:f>
        <x:v>0</x:v>
      </x:c>
      <x:c r="M1358" t="n">
        <x:v>5</x:v>
      </x:c>
      <x:c r="N1358" t="n">
        <x:f>ROUND(F1358*M1358/100,2)</x:f>
        <x:v>7.75</x:v>
      </x:c>
      <x:c r="O1358" t="str">
        <x:v>生重</x:v>
      </x:c>
    </x:row>
    <x:row r="1359" ht="23" customHeight="1">
      <x:c r="A1359" t="n">
        <x:v>227</x:v>
      </x:c>
      <x:c r="B1359" t="n">
        <x:v>114</x:v>
      </x:c>
      <x:c r="C1359" t="str">
        <x:v>午餐</x:v>
      </x:c>
      <x:c r="D1359" t="str"/>
      <x:c r="E1359" t="str"/>
      <x:c r="F1359" t="n">
        <x:v>0</x:v>
      </x:c>
      <x:c r="G1359" t="n">
        <x:v>0</x:v>
      </x:c>
      <x:c r="H1359" t="n">
        <x:f>ROUND(F1359*G1359/100,2)</x:f>
        <x:v>0</x:v>
      </x:c>
      <x:c r="I1359" t="n">
        <x:v>0</x:v>
      </x:c>
      <x:c r="J1359" t="n">
        <x:f>ROUND(F1359*I1359/100,2)</x:f>
        <x:v>0</x:v>
      </x:c>
      <x:c r="K1359" t="n">
        <x:v>0</x:v>
      </x:c>
      <x:c r="L1359" t="n">
        <x:f>ROUND(F1359*K1359/100,2)</x:f>
        <x:v>0</x:v>
      </x:c>
      <x:c r="M1359" t="n">
        <x:v>0</x:v>
      </x:c>
      <x:c r="N1359" t="n">
        <x:f>ROUND(F1359*M1359/100,2)</x:f>
        <x:v>0</x:v>
      </x:c>
      <x:c r="O1359" t="str"/>
    </x:row>
    <x:row r="1360" ht="23" customHeight="1">
      <x:c r="A1360" t="n">
        <x:v>227</x:v>
      </x:c>
      <x:c r="B1360" t="n">
        <x:v>114</x:v>
      </x:c>
      <x:c r="C1360" t="str">
        <x:v>午餐</x:v>
      </x:c>
      <x:c r="D1360" t="str">
        <x:v>蔬菜</x:v>
      </x:c>
      <x:c r="E1360" t="str">
        <x:v>生菜</x:v>
      </x:c>
      <x:c r="F1360" t="n">
        <x:v>175</x:v>
      </x:c>
      <x:c r="G1360" t="n">
        <x:v>16</x:v>
      </x:c>
      <x:c r="H1360" t="n">
        <x:f>ROUND(F1360*G1360/100,2)</x:f>
        <x:v>28</x:v>
      </x:c>
      <x:c r="I1360" t="n">
        <x:v>1.4</x:v>
      </x:c>
      <x:c r="J1360" t="n">
        <x:f>ROUND(F1360*I1360/100,2)</x:f>
        <x:v>2.45</x:v>
      </x:c>
      <x:c r="K1360" t="n">
        <x:v>2.9</x:v>
      </x:c>
      <x:c r="L1360" t="n">
        <x:f>ROUND(F1360*K1360/100,2)</x:f>
        <x:v>5.08</x:v>
      </x:c>
      <x:c r="M1360" t="n">
        <x:v>0.1</x:v>
      </x:c>
      <x:c r="N1360" t="n">
        <x:f>ROUND(F1360*M1360/100,2)</x:f>
        <x:v>0.18</x:v>
      </x:c>
      <x:c r="O1360" t="str">
        <x:v>生重</x:v>
      </x:c>
    </x:row>
    <x:row r="1361" ht="23" customHeight="1">
      <x:c r="A1361" t="n">
        <x:v>227</x:v>
      </x:c>
      <x:c r="B1361" t="n">
        <x:v>114</x:v>
      </x:c>
      <x:c r="C1361" t="str">
        <x:v>午餐</x:v>
      </x:c>
      <x:c r="D1361" t="str">
        <x:v>蔬菜</x:v>
      </x:c>
      <x:c r="E1361" t="str">
        <x:v>小白菜</x:v>
      </x:c>
      <x:c r="F1361" t="n">
        <x:v>155</x:v>
      </x:c>
      <x:c r="G1361" t="n">
        <x:v>17</x:v>
      </x:c>
      <x:c r="H1361" t="n">
        <x:f>ROUND(F1361*G1361/100,2)</x:f>
        <x:v>26.35</x:v>
      </x:c>
      <x:c r="I1361" t="n">
        <x:v>1.6</x:v>
      </x:c>
      <x:c r="J1361" t="n">
        <x:f>ROUND(F1361*I1361/100,2)</x:f>
        <x:v>2.48</x:v>
      </x:c>
      <x:c r="K1361" t="n">
        <x:v>2.8</x:v>
      </x:c>
      <x:c r="L1361" t="n">
        <x:f>ROUND(F1361*K1361/100,2)</x:f>
        <x:v>4.34</x:v>
      </x:c>
      <x:c r="M1361" t="n">
        <x:v>0.2</x:v>
      </x:c>
      <x:c r="N1361" t="n">
        <x:f>ROUND(F1361*M1361/100,2)</x:f>
        <x:v>0.31</x:v>
      </x:c>
      <x:c r="O1361" t="str">
        <x:v>生重</x:v>
      </x:c>
    </x:row>
    <x:row r="1362" ht="23" customHeight="1">
      <x:c r="A1362" t="n">
        <x:v>227</x:v>
      </x:c>
      <x:c r="B1362" t="n">
        <x:v>114</x:v>
      </x:c>
      <x:c r="C1362" t="str">
        <x:v>午餐</x:v>
      </x:c>
      <x:c r="D1362" t="str">
        <x:v>主食</x:v>
      </x:c>
      <x:c r="E1362" t="str">
        <x:v>土豆</x:v>
      </x:c>
      <x:c r="F1362" t="n">
        <x:v>150</x:v>
      </x:c>
      <x:c r="G1362" t="n">
        <x:v>78</x:v>
      </x:c>
      <x:c r="H1362" t="n">
        <x:f>ROUND(F1362*G1362/100,2)</x:f>
        <x:v>117</x:v>
      </x:c>
      <x:c r="I1362" t="n">
        <x:v>2</x:v>
      </x:c>
      <x:c r="J1362" t="n">
        <x:f>ROUND(F1362*I1362/100,2)</x:f>
        <x:v>3</x:v>
      </x:c>
      <x:c r="K1362" t="n">
        <x:v>17.2</x:v>
      </x:c>
      <x:c r="L1362" t="n">
        <x:f>ROUND(F1362*K1362/100,2)</x:f>
        <x:v>25.8</x:v>
      </x:c>
      <x:c r="M1362" t="n">
        <x:v>0.1</x:v>
      </x:c>
      <x:c r="N1362" t="n">
        <x:f>ROUND(F1362*M1362/100,2)</x:f>
        <x:v>0.15</x:v>
      </x:c>
      <x:c r="O1362" t="str">
        <x:v>蒸熟净重</x:v>
      </x:c>
    </x:row>
    <x:row r="1363" ht="23" customHeight="1">
      <x:c r="A1363" t="n">
        <x:v>227</x:v>
      </x:c>
      <x:c r="B1363" t="n">
        <x:v>114</x:v>
      </x:c>
      <x:c r="C1363" t="str">
        <x:v>午餐</x:v>
      </x:c>
      <x:c r="D1363" t="str">
        <x:v>油脂</x:v>
      </x:c>
      <x:c r="E1363" t="str">
        <x:v>烹调油</x:v>
      </x:c>
      <x:c r="F1363" t="n">
        <x:v>5</x:v>
      </x:c>
      <x:c r="G1363" t="n">
        <x:v>900</x:v>
      </x:c>
      <x:c r="H1363" t="n">
        <x:f>ROUND(F1363*G1363/100,2)</x:f>
        <x:v>45</x:v>
      </x:c>
      <x:c r="I1363" t="n">
        <x:v>0</x:v>
      </x:c>
      <x:c r="J1363" t="n">
        <x:f>ROUND(F1363*I1363/100,2)</x:f>
        <x:v>0</x:v>
      </x:c>
      <x:c r="K1363" t="n">
        <x:v>0</x:v>
      </x:c>
      <x:c r="L1363" t="n">
        <x:f>ROUND(F1363*K1363/100,2)</x:f>
        <x:v>0</x:v>
      </x:c>
      <x:c r="M1363" t="n">
        <x:v>100</x:v>
      </x:c>
      <x:c r="N1363" t="n">
        <x:f>ROUND(F1363*M1363/100,2)</x:f>
        <x:v>5</x:v>
      </x:c>
      <x:c r="O1363" t="str">
        <x:v>实际用油重</x:v>
      </x:c>
    </x:row>
    <x:row r="1364" ht="23" customHeight="1">
      <x:c r="A1364" t="n">
        <x:v>228</x:v>
      </x:c>
      <x:c r="B1364" t="n">
        <x:v>114</x:v>
      </x:c>
      <x:c r="C1364" t="str">
        <x:v>晚餐</x:v>
      </x:c>
      <x:c r="D1364" t="str">
        <x:v>鱼类</x:v>
      </x:c>
      <x:c r="E1364" t="str">
        <x:v>巴沙鱼</x:v>
      </x:c>
      <x:c r="F1364" t="n">
        <x:v>175</x:v>
      </x:c>
      <x:c r="G1364" t="n">
        <x:v>90</x:v>
      </x:c>
      <x:c r="H1364" t="n">
        <x:f>ROUND(F1364*G1364/100,2)</x:f>
        <x:v>157.5</x:v>
      </x:c>
      <x:c r="I1364" t="n">
        <x:v>17</x:v>
      </x:c>
      <x:c r="J1364" t="n">
        <x:f>ROUND(F1364*I1364/100,2)</x:f>
        <x:v>29.75</x:v>
      </x:c>
      <x:c r="K1364" t="n">
        <x:v>0</x:v>
      </x:c>
      <x:c r="L1364" t="n">
        <x:f>ROUND(F1364*K1364/100,2)</x:f>
        <x:v>0</x:v>
      </x:c>
      <x:c r="M1364" t="n">
        <x:v>2.3</x:v>
      </x:c>
      <x:c r="N1364" t="n">
        <x:f>ROUND(F1364*M1364/100,2)</x:f>
        <x:v>4.02</x:v>
      </x:c>
      <x:c r="O1364" t="str">
        <x:v>净鱼肉生重</x:v>
      </x:c>
    </x:row>
    <x:row r="1365" ht="23" customHeight="1">
      <x:c r="A1365" t="n">
        <x:v>228</x:v>
      </x:c>
      <x:c r="B1365" t="n">
        <x:v>114</x:v>
      </x:c>
      <x:c r="C1365" t="str">
        <x:v>晚餐</x:v>
      </x:c>
      <x:c r="D1365" t="str"/>
      <x:c r="E1365" t="str"/>
      <x:c r="F1365" t="n">
        <x:v>0</x:v>
      </x:c>
      <x:c r="G1365" t="n">
        <x:v>0</x:v>
      </x:c>
      <x:c r="H1365" t="n">
        <x:f>ROUND(F1365*G1365/100,2)</x:f>
        <x:v>0</x:v>
      </x:c>
      <x:c r="I1365" t="n">
        <x:v>0</x:v>
      </x:c>
      <x:c r="J1365" t="n">
        <x:f>ROUND(F1365*I1365/100,2)</x:f>
        <x:v>0</x:v>
      </x:c>
      <x:c r="K1365" t="n">
        <x:v>0</x:v>
      </x:c>
      <x:c r="L1365" t="n">
        <x:f>ROUND(F1365*K1365/100,2)</x:f>
        <x:v>0</x:v>
      </x:c>
      <x:c r="M1365" t="n">
        <x:v>0</x:v>
      </x:c>
      <x:c r="N1365" t="n">
        <x:f>ROUND(F1365*M1365/100,2)</x:f>
        <x:v>0</x:v>
      </x:c>
      <x:c r="O1365" t="str"/>
    </x:row>
    <x:row r="1366" ht="23" customHeight="1">
      <x:c r="A1366" t="n">
        <x:v>228</x:v>
      </x:c>
      <x:c r="B1366" t="n">
        <x:v>114</x:v>
      </x:c>
      <x:c r="C1366" t="str">
        <x:v>晚餐</x:v>
      </x:c>
      <x:c r="D1366" t="str">
        <x:v>蔬菜</x:v>
      </x:c>
      <x:c r="E1366" t="str">
        <x:v>大白菜</x:v>
      </x:c>
      <x:c r="F1366" t="n">
        <x:v>175</x:v>
      </x:c>
      <x:c r="G1366" t="n">
        <x:v>17</x:v>
      </x:c>
      <x:c r="H1366" t="n">
        <x:f>ROUND(F1366*G1366/100,2)</x:f>
        <x:v>29.75</x:v>
      </x:c>
      <x:c r="I1366" t="n">
        <x:v>1.5</x:v>
      </x:c>
      <x:c r="J1366" t="n">
        <x:f>ROUND(F1366*I1366/100,2)</x:f>
        <x:v>2.63</x:v>
      </x:c>
      <x:c r="K1366" t="n">
        <x:v>3.2</x:v>
      </x:c>
      <x:c r="L1366" t="n">
        <x:f>ROUND(F1366*K1366/100,2)</x:f>
        <x:v>5.6</x:v>
      </x:c>
      <x:c r="M1366" t="n">
        <x:v>0.1</x:v>
      </x:c>
      <x:c r="N1366" t="n">
        <x:f>ROUND(F1366*M1366/100,2)</x:f>
        <x:v>0.18</x:v>
      </x:c>
      <x:c r="O1366" t="str">
        <x:v>生重</x:v>
      </x:c>
    </x:row>
    <x:row r="1367" ht="23" customHeight="1">
      <x:c r="A1367" t="n">
        <x:v>228</x:v>
      </x:c>
      <x:c r="B1367" t="n">
        <x:v>114</x:v>
      </x:c>
      <x:c r="C1367" t="str">
        <x:v>晚餐</x:v>
      </x:c>
      <x:c r="D1367" t="str">
        <x:v>蔬菜</x:v>
      </x:c>
      <x:c r="E1367" t="str">
        <x:v>海带</x:v>
      </x:c>
      <x:c r="F1367" t="n">
        <x:v>110</x:v>
      </x:c>
      <x:c r="G1367" t="n">
        <x:v>25</x:v>
      </x:c>
      <x:c r="H1367" t="n">
        <x:f>ROUND(F1367*G1367/100,2)</x:f>
        <x:v>27.5</x:v>
      </x:c>
      <x:c r="I1367" t="n">
        <x:v>1</x:v>
      </x:c>
      <x:c r="J1367" t="n">
        <x:f>ROUND(F1367*I1367/100,2)</x:f>
        <x:v>1.1</x:v>
      </x:c>
      <x:c r="K1367" t="n">
        <x:v>5</x:v>
      </x:c>
      <x:c r="L1367" t="n">
        <x:f>ROUND(F1367*K1367/100,2)</x:f>
        <x:v>5.5</x:v>
      </x:c>
      <x:c r="M1367" t="n">
        <x:v>0.1</x:v>
      </x:c>
      <x:c r="N1367" t="n">
        <x:f>ROUND(F1367*M1367/100,2)</x:f>
        <x:v>0.11</x:v>
      </x:c>
      <x:c r="O1367" t="str">
        <x:v>泡发沥水重</x:v>
      </x:c>
    </x:row>
    <x:row r="1368" ht="23" customHeight="1">
      <x:c r="A1368" t="n">
        <x:v>228</x:v>
      </x:c>
      <x:c r="B1368" t="n">
        <x:v>114</x:v>
      </x:c>
      <x:c r="C1368" t="str">
        <x:v>晚餐</x:v>
      </x:c>
      <x:c r="D1368" t="str">
        <x:v>主食</x:v>
      </x:c>
      <x:c r="E1368" t="str">
        <x:v>荞麦饭</x:v>
      </x:c>
      <x:c r="F1368" t="n">
        <x:v>110</x:v>
      </x:c>
      <x:c r="G1368" t="n">
        <x:v>110</x:v>
      </x:c>
      <x:c r="H1368" t="n">
        <x:f>ROUND(F1368*G1368/100,2)</x:f>
        <x:v>121</x:v>
      </x:c>
      <x:c r="I1368" t="n">
        <x:v>3.4</x:v>
      </x:c>
      <x:c r="J1368" t="n">
        <x:f>ROUND(F1368*I1368/100,2)</x:f>
        <x:v>3.74</x:v>
      </x:c>
      <x:c r="K1368" t="n">
        <x:v>22</x:v>
      </x:c>
      <x:c r="L1368" t="n">
        <x:f>ROUND(F1368*K1368/100,2)</x:f>
        <x:v>24.2</x:v>
      </x:c>
      <x:c r="M1368" t="n">
        <x:v>1.1</x:v>
      </x:c>
      <x:c r="N1368" t="n">
        <x:f>ROUND(F1368*M1368/100,2)</x:f>
        <x:v>1.21</x:v>
      </x:c>
      <x:c r="O1368" t="str">
        <x:v>熟重</x:v>
      </x:c>
    </x:row>
    <x:row r="1369" ht="23" customHeight="1">
      <x:c r="A1369" t="n">
        <x:v>228</x:v>
      </x:c>
      <x:c r="B1369" t="n">
        <x:v>114</x:v>
      </x:c>
      <x:c r="C1369" t="str">
        <x:v>晚餐</x:v>
      </x:c>
      <x:c r="D1369" t="str">
        <x:v>油脂</x:v>
      </x:c>
      <x:c r="E1369" t="str">
        <x:v>烹调油</x:v>
      </x:c>
      <x:c r="F1369" t="n">
        <x:v>4</x:v>
      </x:c>
      <x:c r="G1369" t="n">
        <x:v>900</x:v>
      </x:c>
      <x:c r="H1369" t="n">
        <x:f>ROUND(F1369*G1369/100,2)</x:f>
        <x:v>36</x:v>
      </x:c>
      <x:c r="I1369" t="n">
        <x:v>0</x:v>
      </x:c>
      <x:c r="J1369" t="n">
        <x:f>ROUND(F1369*I1369/100,2)</x:f>
        <x:v>0</x:v>
      </x:c>
      <x:c r="K1369" t="n">
        <x:v>0</x:v>
      </x:c>
      <x:c r="L1369" t="n">
        <x:f>ROUND(F1369*K1369/100,2)</x:f>
        <x:v>0</x:v>
      </x:c>
      <x:c r="M1369" t="n">
        <x:v>100</x:v>
      </x:c>
      <x:c r="N1369" t="n">
        <x:f>ROUND(F1369*M1369/100,2)</x:f>
        <x:v>4</x:v>
      </x:c>
      <x:c r="O1369" t="str">
        <x:v>实际用油重</x:v>
      </x:c>
    </x:row>
    <x:row r="1370" ht="23" customHeight="1">
      <x:c r="A1370" t="n">
        <x:v>229</x:v>
      </x:c>
      <x:c r="B1370" t="n">
        <x:v>115</x:v>
      </x:c>
      <x:c r="C1370" t="str">
        <x:v>午餐</x:v>
      </x:c>
      <x:c r="D1370" t="str">
        <x:v>禽肉</x:v>
      </x:c>
      <x:c r="E1370" t="str">
        <x:v>去皮鸡腿肉</x:v>
      </x:c>
      <x:c r="F1370" t="n">
        <x:v>165</x:v>
      </x:c>
      <x:c r="G1370" t="n">
        <x:v>125</x:v>
      </x:c>
      <x:c r="H1370" t="n">
        <x:f>ROUND(F1370*G1370/100,2)</x:f>
        <x:v>206.25</x:v>
      </x:c>
      <x:c r="I1370" t="n">
        <x:v>20</x:v>
      </x:c>
      <x:c r="J1370" t="n">
        <x:f>ROUND(F1370*I1370/100,2)</x:f>
        <x:v>33</x:v>
      </x:c>
      <x:c r="K1370" t="n">
        <x:v>0</x:v>
      </x:c>
      <x:c r="L1370" t="n">
        <x:f>ROUND(F1370*K1370/100,2)</x:f>
        <x:v>0</x:v>
      </x:c>
      <x:c r="M1370" t="n">
        <x:v>5</x:v>
      </x:c>
      <x:c r="N1370" t="n">
        <x:f>ROUND(F1370*M1370/100,2)</x:f>
        <x:v>8.25</x:v>
      </x:c>
      <x:c r="O1370" t="str">
        <x:v>生重</x:v>
      </x:c>
    </x:row>
    <x:row r="1371" ht="23" customHeight="1">
      <x:c r="A1371" t="n">
        <x:v>229</x:v>
      </x:c>
      <x:c r="B1371" t="n">
        <x:v>115</x:v>
      </x:c>
      <x:c r="C1371" t="str">
        <x:v>午餐</x:v>
      </x:c>
      <x:c r="D1371" t="str"/>
      <x:c r="E1371" t="str"/>
      <x:c r="F1371" t="n">
        <x:v>0</x:v>
      </x:c>
      <x:c r="G1371" t="n">
        <x:v>0</x:v>
      </x:c>
      <x:c r="H1371" t="n">
        <x:f>ROUND(F1371*G1371/100,2)</x:f>
        <x:v>0</x:v>
      </x:c>
      <x:c r="I1371" t="n">
        <x:v>0</x:v>
      </x:c>
      <x:c r="J1371" t="n">
        <x:f>ROUND(F1371*I1371/100,2)</x:f>
        <x:v>0</x:v>
      </x:c>
      <x:c r="K1371" t="n">
        <x:v>0</x:v>
      </x:c>
      <x:c r="L1371" t="n">
        <x:f>ROUND(F1371*K1371/100,2)</x:f>
        <x:v>0</x:v>
      </x:c>
      <x:c r="M1371" t="n">
        <x:v>0</x:v>
      </x:c>
      <x:c r="N1371" t="n">
        <x:f>ROUND(F1371*M1371/100,2)</x:f>
        <x:v>0</x:v>
      </x:c>
      <x:c r="O1371" t="str"/>
    </x:row>
    <x:row r="1372" ht="23" customHeight="1">
      <x:c r="A1372" t="n">
        <x:v>229</x:v>
      </x:c>
      <x:c r="B1372" t="n">
        <x:v>115</x:v>
      </x:c>
      <x:c r="C1372" t="str">
        <x:v>午餐</x:v>
      </x:c>
      <x:c r="D1372" t="str">
        <x:v>蔬菜</x:v>
      </x:c>
      <x:c r="E1372" t="str">
        <x:v>芹菜</x:v>
      </x:c>
      <x:c r="F1372" t="n">
        <x:v>175</x:v>
      </x:c>
      <x:c r="G1372" t="n">
        <x:v>17</x:v>
      </x:c>
      <x:c r="H1372" t="n">
        <x:f>ROUND(F1372*G1372/100,2)</x:f>
        <x:v>29.75</x:v>
      </x:c>
      <x:c r="I1372" t="n">
        <x:v>1</x:v>
      </x:c>
      <x:c r="J1372" t="n">
        <x:f>ROUND(F1372*I1372/100,2)</x:f>
        <x:v>1.75</x:v>
      </x:c>
      <x:c r="K1372" t="n">
        <x:v>3.5</x:v>
      </x:c>
      <x:c r="L1372" t="n">
        <x:f>ROUND(F1372*K1372/100,2)</x:f>
        <x:v>6.13</x:v>
      </x:c>
      <x:c r="M1372" t="n">
        <x:v>0.1</x:v>
      </x:c>
      <x:c r="N1372" t="n">
        <x:f>ROUND(F1372*M1372/100,2)</x:f>
        <x:v>0.18</x:v>
      </x:c>
      <x:c r="O1372" t="str">
        <x:v>生重</x:v>
      </x:c>
    </x:row>
    <x:row r="1373" ht="23" customHeight="1">
      <x:c r="A1373" t="n">
        <x:v>229</x:v>
      </x:c>
      <x:c r="B1373" t="n">
        <x:v>115</x:v>
      </x:c>
      <x:c r="C1373" t="str">
        <x:v>午餐</x:v>
      </x:c>
      <x:c r="D1373" t="str">
        <x:v>蔬菜</x:v>
      </x:c>
      <x:c r="E1373" t="str">
        <x:v>花菜</x:v>
      </x:c>
      <x:c r="F1373" t="n">
        <x:v>110</x:v>
      </x:c>
      <x:c r="G1373" t="n">
        <x:v>25</x:v>
      </x:c>
      <x:c r="H1373" t="n">
        <x:f>ROUND(F1373*G1373/100,2)</x:f>
        <x:v>27.5</x:v>
      </x:c>
      <x:c r="I1373" t="n">
        <x:v>2</x:v>
      </x:c>
      <x:c r="J1373" t="n">
        <x:f>ROUND(F1373*I1373/100,2)</x:f>
        <x:v>2.2</x:v>
      </x:c>
      <x:c r="K1373" t="n">
        <x:v>5</x:v>
      </x:c>
      <x:c r="L1373" t="n">
        <x:f>ROUND(F1373*K1373/100,2)</x:f>
        <x:v>5.5</x:v>
      </x:c>
      <x:c r="M1373" t="n">
        <x:v>0.3</x:v>
      </x:c>
      <x:c r="N1373" t="n">
        <x:f>ROUND(F1373*M1373/100,2)</x:f>
        <x:v>0.33</x:v>
      </x:c>
      <x:c r="O1373" t="str">
        <x:v>生重</x:v>
      </x:c>
    </x:row>
    <x:row r="1374" ht="23" customHeight="1">
      <x:c r="A1374" t="n">
        <x:v>229</x:v>
      </x:c>
      <x:c r="B1374" t="n">
        <x:v>115</x:v>
      </x:c>
      <x:c r="C1374" t="str">
        <x:v>午餐</x:v>
      </x:c>
      <x:c r="D1374" t="str">
        <x:v>主食</x:v>
      </x:c>
      <x:c r="E1374" t="str">
        <x:v>白米饭</x:v>
      </x:c>
      <x:c r="F1374" t="n">
        <x:v>125</x:v>
      </x:c>
      <x:c r="G1374" t="n">
        <x:v>116</x:v>
      </x:c>
      <x:c r="H1374" t="n">
        <x:f>ROUND(F1374*G1374/100,2)</x:f>
        <x:v>145</x:v>
      </x:c>
      <x:c r="I1374" t="n">
        <x:v>2.6</x:v>
      </x:c>
      <x:c r="J1374" t="n">
        <x:f>ROUND(F1374*I1374/100,2)</x:f>
        <x:v>3.25</x:v>
      </x:c>
      <x:c r="K1374" t="n">
        <x:v>25.6</x:v>
      </x:c>
      <x:c r="L1374" t="n">
        <x:f>ROUND(F1374*K1374/100,2)</x:f>
        <x:v>32</x:v>
      </x:c>
      <x:c r="M1374" t="n">
        <x:v>0.3</x:v>
      </x:c>
      <x:c r="N1374" t="n">
        <x:f>ROUND(F1374*M1374/100,2)</x:f>
        <x:v>0.38</x:v>
      </x:c>
      <x:c r="O1374" t="str">
        <x:v>熟重</x:v>
      </x:c>
    </x:row>
    <x:row r="1375" ht="23" customHeight="1">
      <x:c r="A1375" t="n">
        <x:v>229</x:v>
      </x:c>
      <x:c r="B1375" t="n">
        <x:v>115</x:v>
      </x:c>
      <x:c r="C1375" t="str">
        <x:v>午餐</x:v>
      </x:c>
      <x:c r="D1375" t="str">
        <x:v>油脂</x:v>
      </x:c>
      <x:c r="E1375" t="str">
        <x:v>烹调油</x:v>
      </x:c>
      <x:c r="F1375" t="n">
        <x:v>3</x:v>
      </x:c>
      <x:c r="G1375" t="n">
        <x:v>900</x:v>
      </x:c>
      <x:c r="H1375" t="n">
        <x:f>ROUND(F1375*G1375/100,2)</x:f>
        <x:v>27</x:v>
      </x:c>
      <x:c r="I1375" t="n">
        <x:v>0</x:v>
      </x:c>
      <x:c r="J1375" t="n">
        <x:f>ROUND(F1375*I1375/100,2)</x:f>
        <x:v>0</x:v>
      </x:c>
      <x:c r="K1375" t="n">
        <x:v>0</x:v>
      </x:c>
      <x:c r="L1375" t="n">
        <x:f>ROUND(F1375*K1375/100,2)</x:f>
        <x:v>0</x:v>
      </x:c>
      <x:c r="M1375" t="n">
        <x:v>100</x:v>
      </x:c>
      <x:c r="N1375" t="n">
        <x:f>ROUND(F1375*M1375/100,2)</x:f>
        <x:v>3</x:v>
      </x:c>
      <x:c r="O1375" t="str">
        <x:v>实际用油重</x:v>
      </x:c>
    </x:row>
    <x:row r="1376" ht="23" customHeight="1">
      <x:c r="A1376" t="n">
        <x:v>230</x:v>
      </x:c>
      <x:c r="B1376" t="n">
        <x:v>115</x:v>
      </x:c>
      <x:c r="C1376" t="str">
        <x:v>晚餐</x:v>
      </x:c>
      <x:c r="D1376" t="str">
        <x:v>豆蛋</x:v>
      </x:c>
      <x:c r="E1376" t="str">
        <x:v>嫩豆腐</x:v>
      </x:c>
      <x:c r="F1376" t="n">
        <x:v>300</x:v>
      </x:c>
      <x:c r="G1376" t="n">
        <x:v>55</x:v>
      </x:c>
      <x:c r="H1376" t="n">
        <x:f>ROUND(F1376*G1376/100,2)</x:f>
        <x:v>165</x:v>
      </x:c>
      <x:c r="I1376" t="n">
        <x:v>5</x:v>
      </x:c>
      <x:c r="J1376" t="n">
        <x:f>ROUND(F1376*I1376/100,2)</x:f>
        <x:v>15</x:v>
      </x:c>
      <x:c r="K1376" t="n">
        <x:v>2</x:v>
      </x:c>
      <x:c r="L1376" t="n">
        <x:f>ROUND(F1376*K1376/100,2)</x:f>
        <x:v>6</x:v>
      </x:c>
      <x:c r="M1376" t="n">
        <x:v>2.8</x:v>
      </x:c>
      <x:c r="N1376" t="n">
        <x:f>ROUND(F1376*M1376/100,2)</x:f>
        <x:v>8.4</x:v>
      </x:c>
      <x:c r="O1376" t="str">
        <x:v>净重</x:v>
      </x:c>
    </x:row>
    <x:row r="1377" ht="23" customHeight="1">
      <x:c r="A1377" t="n">
        <x:v>230</x:v>
      </x:c>
      <x:c r="B1377" t="n">
        <x:v>115</x:v>
      </x:c>
      <x:c r="C1377" t="str">
        <x:v>晚餐</x:v>
      </x:c>
      <x:c r="D1377" t="str">
        <x:v>豆蛋</x:v>
      </x:c>
      <x:c r="E1377" t="str">
        <x:v>熟毛豆仁</x:v>
      </x:c>
      <x:c r="F1377" t="n">
        <x:v>50</x:v>
      </x:c>
      <x:c r="G1377" t="n">
        <x:v>120</x:v>
      </x:c>
      <x:c r="H1377" t="n">
        <x:f>ROUND(F1377*G1377/100,2)</x:f>
        <x:v>60</x:v>
      </x:c>
      <x:c r="I1377" t="n">
        <x:v>12</x:v>
      </x:c>
      <x:c r="J1377" t="n">
        <x:f>ROUND(F1377*I1377/100,2)</x:f>
        <x:v>6</x:v>
      </x:c>
      <x:c r="K1377" t="n">
        <x:v>9</x:v>
      </x:c>
      <x:c r="L1377" t="n">
        <x:f>ROUND(F1377*K1377/100,2)</x:f>
        <x:v>4.5</x:v>
      </x:c>
      <x:c r="M1377" t="n">
        <x:v>5</x:v>
      </x:c>
      <x:c r="N1377" t="n">
        <x:f>ROUND(F1377*M1377/100,2)</x:f>
        <x:v>2.5</x:v>
      </x:c>
      <x:c r="O1377" t="str">
        <x:v>熟重</x:v>
      </x:c>
    </x:row>
    <x:row r="1378" ht="23" customHeight="1">
      <x:c r="A1378" t="n">
        <x:v>230</x:v>
      </x:c>
      <x:c r="B1378" t="n">
        <x:v>115</x:v>
      </x:c>
      <x:c r="C1378" t="str">
        <x:v>晚餐</x:v>
      </x:c>
      <x:c r="D1378" t="str">
        <x:v>蔬菜</x:v>
      </x:c>
      <x:c r="E1378" t="str">
        <x:v>莴笋</x:v>
      </x:c>
      <x:c r="F1378" t="n">
        <x:v>160</x:v>
      </x:c>
      <x:c r="G1378" t="n">
        <x:v>15</x:v>
      </x:c>
      <x:c r="H1378" t="n">
        <x:f>ROUND(F1378*G1378/100,2)</x:f>
        <x:v>24</x:v>
      </x:c>
      <x:c r="I1378" t="n">
        <x:v>1</x:v>
      </x:c>
      <x:c r="J1378" t="n">
        <x:f>ROUND(F1378*I1378/100,2)</x:f>
        <x:v>1.6</x:v>
      </x:c>
      <x:c r="K1378" t="n">
        <x:v>2.8</x:v>
      </x:c>
      <x:c r="L1378" t="n">
        <x:f>ROUND(F1378*K1378/100,2)</x:f>
        <x:v>4.48</x:v>
      </x:c>
      <x:c r="M1378" t="n">
        <x:v>0.1</x:v>
      </x:c>
      <x:c r="N1378" t="n">
        <x:f>ROUND(F1378*M1378/100,2)</x:f>
        <x:v>0.16</x:v>
      </x:c>
      <x:c r="O1378" t="str">
        <x:v>生重</x:v>
      </x:c>
    </x:row>
    <x:row r="1379" ht="23" customHeight="1">
      <x:c r="A1379" t="n">
        <x:v>230</x:v>
      </x:c>
      <x:c r="B1379" t="n">
        <x:v>115</x:v>
      </x:c>
      <x:c r="C1379" t="str">
        <x:v>晚餐</x:v>
      </x:c>
      <x:c r="D1379" t="str">
        <x:v>菌菇</x:v>
      </x:c>
      <x:c r="E1379" t="str">
        <x:v>杏鲍菇</x:v>
      </x:c>
      <x:c r="F1379" t="n">
        <x:v>140</x:v>
      </x:c>
      <x:c r="G1379" t="n">
        <x:v>35</x:v>
      </x:c>
      <x:c r="H1379" t="n">
        <x:f>ROUND(F1379*G1379/100,2)</x:f>
        <x:v>49</x:v>
      </x:c>
      <x:c r="I1379" t="n">
        <x:v>2</x:v>
      </x:c>
      <x:c r="J1379" t="n">
        <x:f>ROUND(F1379*I1379/100,2)</x:f>
        <x:v>2.8</x:v>
      </x:c>
      <x:c r="K1379" t="n">
        <x:v>7.4</x:v>
      </x:c>
      <x:c r="L1379" t="n">
        <x:f>ROUND(F1379*K1379/100,2)</x:f>
        <x:v>10.36</x:v>
      </x:c>
      <x:c r="M1379" t="n">
        <x:v>0.3</x:v>
      </x:c>
      <x:c r="N1379" t="n">
        <x:f>ROUND(F1379*M1379/100,2)</x:f>
        <x:v>0.42</x:v>
      </x:c>
      <x:c r="O1379" t="str">
        <x:v>生重</x:v>
      </x:c>
    </x:row>
    <x:row r="1380" ht="23" customHeight="1">
      <x:c r="A1380" t="n">
        <x:v>230</x:v>
      </x:c>
      <x:c r="B1380" t="n">
        <x:v>115</x:v>
      </x:c>
      <x:c r="C1380" t="str">
        <x:v>晚餐</x:v>
      </x:c>
      <x:c r="D1380" t="str">
        <x:v>主食</x:v>
      </x:c>
      <x:c r="E1380" t="str">
        <x:v>藜麦饭</x:v>
      </x:c>
      <x:c r="F1380" t="n">
        <x:v>125</x:v>
      </x:c>
      <x:c r="G1380" t="n">
        <x:v>120</x:v>
      </x:c>
      <x:c r="H1380" t="n">
        <x:f>ROUND(F1380*G1380/100,2)</x:f>
        <x:v>150</x:v>
      </x:c>
      <x:c r="I1380" t="n">
        <x:v>4.4</x:v>
      </x:c>
      <x:c r="J1380" t="n">
        <x:f>ROUND(F1380*I1380/100,2)</x:f>
        <x:v>5.5</x:v>
      </x:c>
      <x:c r="K1380" t="n">
        <x:v>21.3</x:v>
      </x:c>
      <x:c r="L1380" t="n">
        <x:f>ROUND(F1380*K1380/100,2)</x:f>
        <x:v>26.63</x:v>
      </x:c>
      <x:c r="M1380" t="n">
        <x:v>1.9</x:v>
      </x:c>
      <x:c r="N1380" t="n">
        <x:f>ROUND(F1380*M1380/100,2)</x:f>
        <x:v>2.38</x:v>
      </x:c>
      <x:c r="O1380" t="str">
        <x:v>熟重</x:v>
      </x:c>
    </x:row>
    <x:row r="1381" ht="23" customHeight="1">
      <x:c r="A1381" t="n">
        <x:v>230</x:v>
      </x:c>
      <x:c r="B1381" t="n">
        <x:v>115</x:v>
      </x:c>
      <x:c r="C1381" t="str">
        <x:v>晚餐</x:v>
      </x:c>
      <x:c r="D1381" t="str">
        <x:v>油脂</x:v>
      </x:c>
      <x:c r="E1381" t="str">
        <x:v>烹调油</x:v>
      </x:c>
      <x:c r="F1381" t="n">
        <x:v>5</x:v>
      </x:c>
      <x:c r="G1381" t="n">
        <x:v>900</x:v>
      </x:c>
      <x:c r="H1381" t="n">
        <x:f>ROUND(F1381*G1381/100,2)</x:f>
        <x:v>45</x:v>
      </x:c>
      <x:c r="I1381" t="n">
        <x:v>0</x:v>
      </x:c>
      <x:c r="J1381" t="n">
        <x:f>ROUND(F1381*I1381/100,2)</x:f>
        <x:v>0</x:v>
      </x:c>
      <x:c r="K1381" t="n">
        <x:v>0</x:v>
      </x:c>
      <x:c r="L1381" t="n">
        <x:f>ROUND(F1381*K1381/100,2)</x:f>
        <x:v>0</x:v>
      </x:c>
      <x:c r="M1381" t="n">
        <x:v>100</x:v>
      </x:c>
      <x:c r="N1381" t="n">
        <x:f>ROUND(F1381*M1381/100,2)</x:f>
        <x:v>5</x:v>
      </x:c>
      <x:c r="O1381" t="str">
        <x:v>实际用油重</x:v>
      </x:c>
    </x:row>
    <x:row r="1382" ht="23" customHeight="1">
      <x:c r="A1382" t="n">
        <x:v>231</x:v>
      </x:c>
      <x:c r="B1382" t="n">
        <x:v>116</x:v>
      </x:c>
      <x:c r="C1382" t="str">
        <x:v>午餐</x:v>
      </x:c>
      <x:c r="D1382" t="str">
        <x:v>鱼类</x:v>
      </x:c>
      <x:c r="E1382" t="str">
        <x:v>鲈鱼</x:v>
      </x:c>
      <x:c r="F1382" t="n">
        <x:v>215</x:v>
      </x:c>
      <x:c r="G1382" t="n">
        <x:v>105</x:v>
      </x:c>
      <x:c r="H1382" t="n">
        <x:f>ROUND(F1382*G1382/100,2)</x:f>
        <x:v>225.75</x:v>
      </x:c>
      <x:c r="I1382" t="n">
        <x:v>19</x:v>
      </x:c>
      <x:c r="J1382" t="n">
        <x:f>ROUND(F1382*I1382/100,2)</x:f>
        <x:v>40.85</x:v>
      </x:c>
      <x:c r="K1382" t="n">
        <x:v>0</x:v>
      </x:c>
      <x:c r="L1382" t="n">
        <x:f>ROUND(F1382*K1382/100,2)</x:f>
        <x:v>0</x:v>
      </x:c>
      <x:c r="M1382" t="n">
        <x:v>3</x:v>
      </x:c>
      <x:c r="N1382" t="n">
        <x:f>ROUND(F1382*M1382/100,2)</x:f>
        <x:v>6.45</x:v>
      </x:c>
      <x:c r="O1382" t="str">
        <x:v>净鱼肉生重</x:v>
      </x:c>
    </x:row>
    <x:row r="1383" ht="23" customHeight="1">
      <x:c r="A1383" t="n">
        <x:v>231</x:v>
      </x:c>
      <x:c r="B1383" t="n">
        <x:v>116</x:v>
      </x:c>
      <x:c r="C1383" t="str">
        <x:v>午餐</x:v>
      </x:c>
      <x:c r="D1383" t="str"/>
      <x:c r="E1383" t="str"/>
      <x:c r="F1383" t="n">
        <x:v>0</x:v>
      </x:c>
      <x:c r="G1383" t="n">
        <x:v>0</x:v>
      </x:c>
      <x:c r="H1383" t="n">
        <x:f>ROUND(F1383*G1383/100,2)</x:f>
        <x:v>0</x:v>
      </x:c>
      <x:c r="I1383" t="n">
        <x:v>0</x:v>
      </x:c>
      <x:c r="J1383" t="n">
        <x:f>ROUND(F1383*I1383/100,2)</x:f>
        <x:v>0</x:v>
      </x:c>
      <x:c r="K1383" t="n">
        <x:v>0</x:v>
      </x:c>
      <x:c r="L1383" t="n">
        <x:f>ROUND(F1383*K1383/100,2)</x:f>
        <x:v>0</x:v>
      </x:c>
      <x:c r="M1383" t="n">
        <x:v>0</x:v>
      </x:c>
      <x:c r="N1383" t="n">
        <x:f>ROUND(F1383*M1383/100,2)</x:f>
        <x:v>0</x:v>
      </x:c>
      <x:c r="O1383" t="str"/>
    </x:row>
    <x:row r="1384" ht="23" customHeight="1">
      <x:c r="A1384" t="n">
        <x:v>231</x:v>
      </x:c>
      <x:c r="B1384" t="n">
        <x:v>116</x:v>
      </x:c>
      <x:c r="C1384" t="str">
        <x:v>午餐</x:v>
      </x:c>
      <x:c r="D1384" t="str">
        <x:v>蔬菜</x:v>
      </x:c>
      <x:c r="E1384" t="str">
        <x:v>茼蒿</x:v>
      </x:c>
      <x:c r="F1384" t="n">
        <x:v>190</x:v>
      </x:c>
      <x:c r="G1384" t="n">
        <x:v>24</x:v>
      </x:c>
      <x:c r="H1384" t="n">
        <x:f>ROUND(F1384*G1384/100,2)</x:f>
        <x:v>45.6</x:v>
      </x:c>
      <x:c r="I1384" t="n">
        <x:v>1.9</x:v>
      </x:c>
      <x:c r="J1384" t="n">
        <x:f>ROUND(F1384*I1384/100,2)</x:f>
        <x:v>3.61</x:v>
      </x:c>
      <x:c r="K1384" t="n">
        <x:v>4.3</x:v>
      </x:c>
      <x:c r="L1384" t="n">
        <x:f>ROUND(F1384*K1384/100,2)</x:f>
        <x:v>8.17</x:v>
      </x:c>
      <x:c r="M1384" t="n">
        <x:v>0.3</x:v>
      </x:c>
      <x:c r="N1384" t="n">
        <x:f>ROUND(F1384*M1384/100,2)</x:f>
        <x:v>0.57</x:v>
      </x:c>
      <x:c r="O1384" t="str">
        <x:v>生重</x:v>
      </x:c>
    </x:row>
    <x:row r="1385" ht="23" customHeight="1">
      <x:c r="A1385" t="n">
        <x:v>231</x:v>
      </x:c>
      <x:c r="B1385" t="n">
        <x:v>116</x:v>
      </x:c>
      <x:c r="C1385" t="str">
        <x:v>午餐</x:v>
      </x:c>
      <x:c r="D1385" t="str">
        <x:v>蔬菜</x:v>
      </x:c>
      <x:c r="E1385" t="str">
        <x:v>小白菜</x:v>
      </x:c>
      <x:c r="F1385" t="n">
        <x:v>140</x:v>
      </x:c>
      <x:c r="G1385" t="n">
        <x:v>17</x:v>
      </x:c>
      <x:c r="H1385" t="n">
        <x:f>ROUND(F1385*G1385/100,2)</x:f>
        <x:v>23.8</x:v>
      </x:c>
      <x:c r="I1385" t="n">
        <x:v>1.6</x:v>
      </x:c>
      <x:c r="J1385" t="n">
        <x:f>ROUND(F1385*I1385/100,2)</x:f>
        <x:v>2.24</x:v>
      </x:c>
      <x:c r="K1385" t="n">
        <x:v>2.8</x:v>
      </x:c>
      <x:c r="L1385" t="n">
        <x:f>ROUND(F1385*K1385/100,2)</x:f>
        <x:v>3.92</x:v>
      </x:c>
      <x:c r="M1385" t="n">
        <x:v>0.2</x:v>
      </x:c>
      <x:c r="N1385" t="n">
        <x:f>ROUND(F1385*M1385/100,2)</x:f>
        <x:v>0.28</x:v>
      </x:c>
      <x:c r="O1385" t="str">
        <x:v>生重</x:v>
      </x:c>
    </x:row>
    <x:row r="1386" ht="23" customHeight="1">
      <x:c r="A1386" t="n">
        <x:v>231</x:v>
      </x:c>
      <x:c r="B1386" t="n">
        <x:v>116</x:v>
      </x:c>
      <x:c r="C1386" t="str">
        <x:v>午餐</x:v>
      </x:c>
      <x:c r="D1386" t="str">
        <x:v>主食</x:v>
      </x:c>
      <x:c r="E1386" t="str">
        <x:v>杂粮饭</x:v>
      </x:c>
      <x:c r="F1386" t="n">
        <x:v>165</x:v>
      </x:c>
      <x:c r="G1386" t="n">
        <x:v>115</x:v>
      </x:c>
      <x:c r="H1386" t="n">
        <x:f>ROUND(F1386*G1386/100,2)</x:f>
        <x:v>189.75</x:v>
      </x:c>
      <x:c r="I1386" t="n">
        <x:v>3.1</x:v>
      </x:c>
      <x:c r="J1386" t="n">
        <x:f>ROUND(F1386*I1386/100,2)</x:f>
        <x:v>5.12</x:v>
      </x:c>
      <x:c r="K1386" t="n">
        <x:v>23.5</x:v>
      </x:c>
      <x:c r="L1386" t="n">
        <x:f>ROUND(F1386*K1386/100,2)</x:f>
        <x:v>38.78</x:v>
      </x:c>
      <x:c r="M1386" t="n">
        <x:v>1.1</x:v>
      </x:c>
      <x:c r="N1386" t="n">
        <x:f>ROUND(F1386*M1386/100,2)</x:f>
        <x:v>1.82</x:v>
      </x:c>
      <x:c r="O1386" t="str">
        <x:v>熟重</x:v>
      </x:c>
    </x:row>
    <x:row r="1387" ht="23" customHeight="1">
      <x:c r="A1387" t="n">
        <x:v>231</x:v>
      </x:c>
      <x:c r="B1387" t="n">
        <x:v>116</x:v>
      </x:c>
      <x:c r="C1387" t="str">
        <x:v>午餐</x:v>
      </x:c>
      <x:c r="D1387" t="str">
        <x:v>油脂</x:v>
      </x:c>
      <x:c r="E1387" t="str">
        <x:v>烹调油</x:v>
      </x:c>
      <x:c r="F1387" t="n">
        <x:v>5</x:v>
      </x:c>
      <x:c r="G1387" t="n">
        <x:v>900</x:v>
      </x:c>
      <x:c r="H1387" t="n">
        <x:f>ROUND(F1387*G1387/100,2)</x:f>
        <x:v>45</x:v>
      </x:c>
      <x:c r="I1387" t="n">
        <x:v>0</x:v>
      </x:c>
      <x:c r="J1387" t="n">
        <x:f>ROUND(F1387*I1387/100,2)</x:f>
        <x:v>0</x:v>
      </x:c>
      <x:c r="K1387" t="n">
        <x:v>0</x:v>
      </x:c>
      <x:c r="L1387" t="n">
        <x:f>ROUND(F1387*K1387/100,2)</x:f>
        <x:v>0</x:v>
      </x:c>
      <x:c r="M1387" t="n">
        <x:v>100</x:v>
      </x:c>
      <x:c r="N1387" t="n">
        <x:f>ROUND(F1387*M1387/100,2)</x:f>
        <x:v>5</x:v>
      </x:c>
      <x:c r="O1387" t="str">
        <x:v>实际用油重</x:v>
      </x:c>
    </x:row>
    <x:row r="1388" ht="23" customHeight="1">
      <x:c r="A1388" t="n">
        <x:v>232</x:v>
      </x:c>
      <x:c r="B1388" t="n">
        <x:v>116</x:v>
      </x:c>
      <x:c r="C1388" t="str">
        <x:v>晚餐</x:v>
      </x:c>
      <x:c r="D1388" t="str">
        <x:v>猪肉</x:v>
      </x:c>
      <x:c r="E1388" t="str">
        <x:v>猪里脊</x:v>
      </x:c>
      <x:c r="F1388" t="n">
        <x:v>160</x:v>
      </x:c>
      <x:c r="G1388" t="n">
        <x:v>120</x:v>
      </x:c>
      <x:c r="H1388" t="n">
        <x:f>ROUND(F1388*G1388/100,2)</x:f>
        <x:v>192</x:v>
      </x:c>
      <x:c r="I1388" t="n">
        <x:v>21</x:v>
      </x:c>
      <x:c r="J1388" t="n">
        <x:f>ROUND(F1388*I1388/100,2)</x:f>
        <x:v>33.6</x:v>
      </x:c>
      <x:c r="K1388" t="n">
        <x:v>0</x:v>
      </x:c>
      <x:c r="L1388" t="n">
        <x:f>ROUND(F1388*K1388/100,2)</x:f>
        <x:v>0</x:v>
      </x:c>
      <x:c r="M1388" t="n">
        <x:v>3.5</x:v>
      </x:c>
      <x:c r="N1388" t="n">
        <x:f>ROUND(F1388*M1388/100,2)</x:f>
        <x:v>5.6</x:v>
      </x:c>
      <x:c r="O1388" t="str">
        <x:v>生重</x:v>
      </x:c>
    </x:row>
    <x:row r="1389" ht="23" customHeight="1">
      <x:c r="A1389" t="n">
        <x:v>232</x:v>
      </x:c>
      <x:c r="B1389" t="n">
        <x:v>116</x:v>
      </x:c>
      <x:c r="C1389" t="str">
        <x:v>晚餐</x:v>
      </x:c>
      <x:c r="D1389" t="str"/>
      <x:c r="E1389" t="str"/>
      <x:c r="F1389" t="n">
        <x:v>0</x:v>
      </x:c>
      <x:c r="G1389" t="n">
        <x:v>0</x:v>
      </x:c>
      <x:c r="H1389" t="n">
        <x:f>ROUND(F1389*G1389/100,2)</x:f>
        <x:v>0</x:v>
      </x:c>
      <x:c r="I1389" t="n">
        <x:v>0</x:v>
      </x:c>
      <x:c r="J1389" t="n">
        <x:f>ROUND(F1389*I1389/100,2)</x:f>
        <x:v>0</x:v>
      </x:c>
      <x:c r="K1389" t="n">
        <x:v>0</x:v>
      </x:c>
      <x:c r="L1389" t="n">
        <x:f>ROUND(F1389*K1389/100,2)</x:f>
        <x:v>0</x:v>
      </x:c>
      <x:c r="M1389" t="n">
        <x:v>0</x:v>
      </x:c>
      <x:c r="N1389" t="n">
        <x:f>ROUND(F1389*M1389/100,2)</x:f>
        <x:v>0</x:v>
      </x:c>
      <x:c r="O1389" t="str"/>
    </x:row>
    <x:row r="1390" ht="23" customHeight="1">
      <x:c r="A1390" t="n">
        <x:v>232</x:v>
      </x:c>
      <x:c r="B1390" t="n">
        <x:v>116</x:v>
      </x:c>
      <x:c r="C1390" t="str">
        <x:v>晚餐</x:v>
      </x:c>
      <x:c r="D1390" t="str">
        <x:v>蔬菜</x:v>
      </x:c>
      <x:c r="E1390" t="str">
        <x:v>菠菜</x:v>
      </x:c>
      <x:c r="F1390" t="n">
        <x:v>190</x:v>
      </x:c>
      <x:c r="G1390" t="n">
        <x:v>23</x:v>
      </x:c>
      <x:c r="H1390" t="n">
        <x:f>ROUND(F1390*G1390/100,2)</x:f>
        <x:v>43.7</x:v>
      </x:c>
      <x:c r="I1390" t="n">
        <x:v>2.9</x:v>
      </x:c>
      <x:c r="J1390" t="n">
        <x:f>ROUND(F1390*I1390/100,2)</x:f>
        <x:v>5.51</x:v>
      </x:c>
      <x:c r="K1390" t="n">
        <x:v>3.6</x:v>
      </x:c>
      <x:c r="L1390" t="n">
        <x:f>ROUND(F1390*K1390/100,2)</x:f>
        <x:v>6.84</x:v>
      </x:c>
      <x:c r="M1390" t="n">
        <x:v>0.4</x:v>
      </x:c>
      <x:c r="N1390" t="n">
        <x:f>ROUND(F1390*M1390/100,2)</x:f>
        <x:v>0.76</x:v>
      </x:c>
      <x:c r="O1390" t="str">
        <x:v>生重</x:v>
      </x:c>
    </x:row>
    <x:row r="1391" ht="23" customHeight="1">
      <x:c r="A1391" t="n">
        <x:v>232</x:v>
      </x:c>
      <x:c r="B1391" t="n">
        <x:v>116</x:v>
      </x:c>
      <x:c r="C1391" t="str">
        <x:v>晚餐</x:v>
      </x:c>
      <x:c r="D1391" t="str">
        <x:v>蔬菜</x:v>
      </x:c>
      <x:c r="E1391" t="str">
        <x:v>玉米笋</x:v>
      </x:c>
      <x:c r="F1391" t="n">
        <x:v>140</x:v>
      </x:c>
      <x:c r="G1391" t="n">
        <x:v>26</x:v>
      </x:c>
      <x:c r="H1391" t="n">
        <x:f>ROUND(F1391*G1391/100,2)</x:f>
        <x:v>36.4</x:v>
      </x:c>
      <x:c r="I1391" t="n">
        <x:v>2</x:v>
      </x:c>
      <x:c r="J1391" t="n">
        <x:f>ROUND(F1391*I1391/100,2)</x:f>
        <x:v>2.8</x:v>
      </x:c>
      <x:c r="K1391" t="n">
        <x:v>4.9</x:v>
      </x:c>
      <x:c r="L1391" t="n">
        <x:f>ROUND(F1391*K1391/100,2)</x:f>
        <x:v>6.86</x:v>
      </x:c>
      <x:c r="M1391" t="n">
        <x:v>0.1</x:v>
      </x:c>
      <x:c r="N1391" t="n">
        <x:f>ROUND(F1391*M1391/100,2)</x:f>
        <x:v>0.14</x:v>
      </x:c>
      <x:c r="O1391" t="str">
        <x:v>生重</x:v>
      </x:c>
    </x:row>
    <x:row r="1392" ht="23" customHeight="1">
      <x:c r="A1392" t="n">
        <x:v>232</x:v>
      </x:c>
      <x:c r="B1392" t="n">
        <x:v>116</x:v>
      </x:c>
      <x:c r="C1392" t="str">
        <x:v>晚餐</x:v>
      </x:c>
      <x:c r="D1392" t="str">
        <x:v>主食</x:v>
      </x:c>
      <x:c r="E1392" t="str">
        <x:v>山药</x:v>
      </x:c>
      <x:c r="F1392" t="n">
        <x:v>95</x:v>
      </x:c>
      <x:c r="G1392" t="n">
        <x:v>62</x:v>
      </x:c>
      <x:c r="H1392" t="n">
        <x:f>ROUND(F1392*G1392/100,2)</x:f>
        <x:v>58.9</x:v>
      </x:c>
      <x:c r="I1392" t="n">
        <x:v>1.5</x:v>
      </x:c>
      <x:c r="J1392" t="n">
        <x:f>ROUND(F1392*I1392/100,2)</x:f>
        <x:v>1.43</x:v>
      </x:c>
      <x:c r="K1392" t="n">
        <x:v>14.1</x:v>
      </x:c>
      <x:c r="L1392" t="n">
        <x:f>ROUND(F1392*K1392/100,2)</x:f>
        <x:v>13.4</x:v>
      </x:c>
      <x:c r="M1392" t="n">
        <x:v>0.1</x:v>
      </x:c>
      <x:c r="N1392" t="n">
        <x:f>ROUND(F1392*M1392/100,2)</x:f>
        <x:v>0.1</x:v>
      </x:c>
      <x:c r="O1392" t="str">
        <x:v>蒸熟净重</x:v>
      </x:c>
    </x:row>
    <x:row r="1393" ht="23" customHeight="1">
      <x:c r="A1393" t="n">
        <x:v>232</x:v>
      </x:c>
      <x:c r="B1393" t="n">
        <x:v>116</x:v>
      </x:c>
      <x:c r="C1393" t="str">
        <x:v>晚餐</x:v>
      </x:c>
      <x:c r="D1393" t="str">
        <x:v>油脂</x:v>
      </x:c>
      <x:c r="E1393" t="str">
        <x:v>烹调油</x:v>
      </x:c>
      <x:c r="F1393" t="n">
        <x:v>4</x:v>
      </x:c>
      <x:c r="G1393" t="n">
        <x:v>900</x:v>
      </x:c>
      <x:c r="H1393" t="n">
        <x:f>ROUND(F1393*G1393/100,2)</x:f>
        <x:v>36</x:v>
      </x:c>
      <x:c r="I1393" t="n">
        <x:v>0</x:v>
      </x:c>
      <x:c r="J1393" t="n">
        <x:f>ROUND(F1393*I1393/100,2)</x:f>
        <x:v>0</x:v>
      </x:c>
      <x:c r="K1393" t="n">
        <x:v>0</x:v>
      </x:c>
      <x:c r="L1393" t="n">
        <x:f>ROUND(F1393*K1393/100,2)</x:f>
        <x:v>0</x:v>
      </x:c>
      <x:c r="M1393" t="n">
        <x:v>100</x:v>
      </x:c>
      <x:c r="N1393" t="n">
        <x:f>ROUND(F1393*M1393/100,2)</x:f>
        <x:v>4</x:v>
      </x:c>
      <x:c r="O1393" t="str">
        <x:v>实际用油重</x:v>
      </x:c>
    </x:row>
    <x:row r="1394" ht="23" customHeight="1">
      <x:c r="A1394" t="n">
        <x:v>233</x:v>
      </x:c>
      <x:c r="B1394" t="n">
        <x:v>117</x:v>
      </x:c>
      <x:c r="C1394" t="str">
        <x:v>午餐</x:v>
      </x:c>
      <x:c r="D1394" t="str">
        <x:v>牛肉</x:v>
      </x:c>
      <x:c r="E1394" t="str">
        <x:v>牛腱子</x:v>
      </x:c>
      <x:c r="F1394" t="n">
        <x:v>175</x:v>
      </x:c>
      <x:c r="G1394" t="n">
        <x:v>140</x:v>
      </x:c>
      <x:c r="H1394" t="n">
        <x:f>ROUND(F1394*G1394/100,2)</x:f>
        <x:v>245</x:v>
      </x:c>
      <x:c r="I1394" t="n">
        <x:v>21</x:v>
      </x:c>
      <x:c r="J1394" t="n">
        <x:f>ROUND(F1394*I1394/100,2)</x:f>
        <x:v>36.75</x:v>
      </x:c>
      <x:c r="K1394" t="n">
        <x:v>0</x:v>
      </x:c>
      <x:c r="L1394" t="n">
        <x:f>ROUND(F1394*K1394/100,2)</x:f>
        <x:v>0</x:v>
      </x:c>
      <x:c r="M1394" t="n">
        <x:v>6</x:v>
      </x:c>
      <x:c r="N1394" t="n">
        <x:f>ROUND(F1394*M1394/100,2)</x:f>
        <x:v>10.5</x:v>
      </x:c>
      <x:c r="O1394" t="str">
        <x:v>生重</x:v>
      </x:c>
    </x:row>
    <x:row r="1395" ht="23" customHeight="1">
      <x:c r="A1395" t="n">
        <x:v>233</x:v>
      </x:c>
      <x:c r="B1395" t="n">
        <x:v>117</x:v>
      </x:c>
      <x:c r="C1395" t="str">
        <x:v>午餐</x:v>
      </x:c>
      <x:c r="D1395" t="str"/>
      <x:c r="E1395" t="str"/>
      <x:c r="F1395" t="n">
        <x:v>0</x:v>
      </x:c>
      <x:c r="G1395" t="n">
        <x:v>0</x:v>
      </x:c>
      <x:c r="H1395" t="n">
        <x:f>ROUND(F1395*G1395/100,2)</x:f>
        <x:v>0</x:v>
      </x:c>
      <x:c r="I1395" t="n">
        <x:v>0</x:v>
      </x:c>
      <x:c r="J1395" t="n">
        <x:f>ROUND(F1395*I1395/100,2)</x:f>
        <x:v>0</x:v>
      </x:c>
      <x:c r="K1395" t="n">
        <x:v>0</x:v>
      </x:c>
      <x:c r="L1395" t="n">
        <x:f>ROUND(F1395*K1395/100,2)</x:f>
        <x:v>0</x:v>
      </x:c>
      <x:c r="M1395" t="n">
        <x:v>0</x:v>
      </x:c>
      <x:c r="N1395" t="n">
        <x:f>ROUND(F1395*M1395/100,2)</x:f>
        <x:v>0</x:v>
      </x:c>
      <x:c r="O1395" t="str"/>
    </x:row>
    <x:row r="1396" ht="23" customHeight="1">
      <x:c r="A1396" t="n">
        <x:v>233</x:v>
      </x:c>
      <x:c r="B1396" t="n">
        <x:v>117</x:v>
      </x:c>
      <x:c r="C1396" t="str">
        <x:v>午餐</x:v>
      </x:c>
      <x:c r="D1396" t="str">
        <x:v>蔬菜</x:v>
      </x:c>
      <x:c r="E1396" t="str">
        <x:v>彩椒</x:v>
      </x:c>
      <x:c r="F1396" t="n">
        <x:v>140</x:v>
      </x:c>
      <x:c r="G1396" t="n">
        <x:v>27</x:v>
      </x:c>
      <x:c r="H1396" t="n">
        <x:f>ROUND(F1396*G1396/100,2)</x:f>
        <x:v>37.8</x:v>
      </x:c>
      <x:c r="I1396" t="n">
        <x:v>1</x:v>
      </x:c>
      <x:c r="J1396" t="n">
        <x:f>ROUND(F1396*I1396/100,2)</x:f>
        <x:v>1.4</x:v>
      </x:c>
      <x:c r="K1396" t="n">
        <x:v>6.1</x:v>
      </x:c>
      <x:c r="L1396" t="n">
        <x:f>ROUND(F1396*K1396/100,2)</x:f>
        <x:v>8.54</x:v>
      </x:c>
      <x:c r="M1396" t="n">
        <x:v>0.2</x:v>
      </x:c>
      <x:c r="N1396" t="n">
        <x:f>ROUND(F1396*M1396/100,2)</x:f>
        <x:v>0.28</x:v>
      </x:c>
      <x:c r="O1396" t="str">
        <x:v>生重</x:v>
      </x:c>
    </x:row>
    <x:row r="1397" ht="23" customHeight="1">
      <x:c r="A1397" t="n">
        <x:v>233</x:v>
      </x:c>
      <x:c r="B1397" t="n">
        <x:v>117</x:v>
      </x:c>
      <x:c r="C1397" t="str">
        <x:v>午餐</x:v>
      </x:c>
      <x:c r="D1397" t="str">
        <x:v>蔬菜</x:v>
      </x:c>
      <x:c r="E1397" t="str">
        <x:v>海带</x:v>
      </x:c>
      <x:c r="F1397" t="n">
        <x:v>110</x:v>
      </x:c>
      <x:c r="G1397" t="n">
        <x:v>25</x:v>
      </x:c>
      <x:c r="H1397" t="n">
        <x:f>ROUND(F1397*G1397/100,2)</x:f>
        <x:v>27.5</x:v>
      </x:c>
      <x:c r="I1397" t="n">
        <x:v>1</x:v>
      </x:c>
      <x:c r="J1397" t="n">
        <x:f>ROUND(F1397*I1397/100,2)</x:f>
        <x:v>1.1</x:v>
      </x:c>
      <x:c r="K1397" t="n">
        <x:v>5</x:v>
      </x:c>
      <x:c r="L1397" t="n">
        <x:f>ROUND(F1397*K1397/100,2)</x:f>
        <x:v>5.5</x:v>
      </x:c>
      <x:c r="M1397" t="n">
        <x:v>0.1</x:v>
      </x:c>
      <x:c r="N1397" t="n">
        <x:f>ROUND(F1397*M1397/100,2)</x:f>
        <x:v>0.11</x:v>
      </x:c>
      <x:c r="O1397" t="str">
        <x:v>泡发沥水重</x:v>
      </x:c>
    </x:row>
    <x:row r="1398" ht="23" customHeight="1">
      <x:c r="A1398" t="n">
        <x:v>233</x:v>
      </x:c>
      <x:c r="B1398" t="n">
        <x:v>117</x:v>
      </x:c>
      <x:c r="C1398" t="str">
        <x:v>午餐</x:v>
      </x:c>
      <x:c r="D1398" t="str">
        <x:v>主食</x:v>
      </x:c>
      <x:c r="E1398" t="str">
        <x:v>糙米饭</x:v>
      </x:c>
      <x:c r="F1398" t="n">
        <x:v>150</x:v>
      </x:c>
      <x:c r="G1398" t="n">
        <x:v>112</x:v>
      </x:c>
      <x:c r="H1398" t="n">
        <x:f>ROUND(F1398*G1398/100,2)</x:f>
        <x:v>168</x:v>
      </x:c>
      <x:c r="I1398" t="n">
        <x:v>2.6</x:v>
      </x:c>
      <x:c r="J1398" t="n">
        <x:f>ROUND(F1398*I1398/100,2)</x:f>
        <x:v>3.9</x:v>
      </x:c>
      <x:c r="K1398" t="n">
        <x:v>23.5</x:v>
      </x:c>
      <x:c r="L1398" t="n">
        <x:f>ROUND(F1398*K1398/100,2)</x:f>
        <x:v>35.25</x:v>
      </x:c>
      <x:c r="M1398" t="n">
        <x:v>0.9</x:v>
      </x:c>
      <x:c r="N1398" t="n">
        <x:f>ROUND(F1398*M1398/100,2)</x:f>
        <x:v>1.35</x:v>
      </x:c>
      <x:c r="O1398" t="str">
        <x:v>熟重</x:v>
      </x:c>
    </x:row>
    <x:row r="1399" ht="23" customHeight="1">
      <x:c r="A1399" t="n">
        <x:v>233</x:v>
      </x:c>
      <x:c r="B1399" t="n">
        <x:v>117</x:v>
      </x:c>
      <x:c r="C1399" t="str">
        <x:v>午餐</x:v>
      </x:c>
      <x:c r="D1399" t="str">
        <x:v>油脂</x:v>
      </x:c>
      <x:c r="E1399" t="str">
        <x:v>烹调油</x:v>
      </x:c>
      <x:c r="F1399" t="n">
        <x:v>4</x:v>
      </x:c>
      <x:c r="G1399" t="n">
        <x:v>900</x:v>
      </x:c>
      <x:c r="H1399" t="n">
        <x:f>ROUND(F1399*G1399/100,2)</x:f>
        <x:v>36</x:v>
      </x:c>
      <x:c r="I1399" t="n">
        <x:v>0</x:v>
      </x:c>
      <x:c r="J1399" t="n">
        <x:f>ROUND(F1399*I1399/100,2)</x:f>
        <x:v>0</x:v>
      </x:c>
      <x:c r="K1399" t="n">
        <x:v>0</x:v>
      </x:c>
      <x:c r="L1399" t="n">
        <x:f>ROUND(F1399*K1399/100,2)</x:f>
        <x:v>0</x:v>
      </x:c>
      <x:c r="M1399" t="n">
        <x:v>100</x:v>
      </x:c>
      <x:c r="N1399" t="n">
        <x:f>ROUND(F1399*M1399/100,2)</x:f>
        <x:v>4</x:v>
      </x:c>
      <x:c r="O1399" t="str">
        <x:v>实际用油重</x:v>
      </x:c>
    </x:row>
    <x:row r="1400" ht="23" customHeight="1">
      <x:c r="A1400" t="n">
        <x:v>234</x:v>
      </x:c>
      <x:c r="B1400" t="n">
        <x:v>117</x:v>
      </x:c>
      <x:c r="C1400" t="str">
        <x:v>晚餐</x:v>
      </x:c>
      <x:c r="D1400" t="str">
        <x:v>海鲜</x:v>
      </x:c>
      <x:c r="E1400" t="str">
        <x:v>虾仁</x:v>
      </x:c>
      <x:c r="F1400" t="n">
        <x:v>175</x:v>
      </x:c>
      <x:c r="G1400" t="n">
        <x:v>90</x:v>
      </x:c>
      <x:c r="H1400" t="n">
        <x:f>ROUND(F1400*G1400/100,2)</x:f>
        <x:v>157.5</x:v>
      </x:c>
      <x:c r="I1400" t="n">
        <x:v>19</x:v>
      </x:c>
      <x:c r="J1400" t="n">
        <x:f>ROUND(F1400*I1400/100,2)</x:f>
        <x:v>33.25</x:v>
      </x:c>
      <x:c r="K1400" t="n">
        <x:v>0.4</x:v>
      </x:c>
      <x:c r="L1400" t="n">
        <x:f>ROUND(F1400*K1400/100,2)</x:f>
        <x:v>0.7</x:v>
      </x:c>
      <x:c r="M1400" t="n">
        <x:v>1.1</x:v>
      </x:c>
      <x:c r="N1400" t="n">
        <x:f>ROUND(F1400*M1400/100,2)</x:f>
        <x:v>1.93</x:v>
      </x:c>
      <x:c r="O1400" t="str">
        <x:v>生重</x:v>
      </x:c>
    </x:row>
    <x:row r="1401" ht="23" customHeight="1">
      <x:c r="A1401" t="n">
        <x:v>234</x:v>
      </x:c>
      <x:c r="B1401" t="n">
        <x:v>117</x:v>
      </x:c>
      <x:c r="C1401" t="str">
        <x:v>晚餐</x:v>
      </x:c>
      <x:c r="D1401" t="str">
        <x:v>豆蛋</x:v>
      </x:c>
      <x:c r="E1401" t="str">
        <x:v>熟毛豆仁</x:v>
      </x:c>
      <x:c r="F1401" t="n">
        <x:v>50</x:v>
      </x:c>
      <x:c r="G1401" t="n">
        <x:v>120</x:v>
      </x:c>
      <x:c r="H1401" t="n">
        <x:f>ROUND(F1401*G1401/100,2)</x:f>
        <x:v>60</x:v>
      </x:c>
      <x:c r="I1401" t="n">
        <x:v>12</x:v>
      </x:c>
      <x:c r="J1401" t="n">
        <x:f>ROUND(F1401*I1401/100,2)</x:f>
        <x:v>6</x:v>
      </x:c>
      <x:c r="K1401" t="n">
        <x:v>9</x:v>
      </x:c>
      <x:c r="L1401" t="n">
        <x:f>ROUND(F1401*K1401/100,2)</x:f>
        <x:v>4.5</x:v>
      </x:c>
      <x:c r="M1401" t="n">
        <x:v>5</x:v>
      </x:c>
      <x:c r="N1401" t="n">
        <x:f>ROUND(F1401*M1401/100,2)</x:f>
        <x:v>2.5</x:v>
      </x:c>
      <x:c r="O1401" t="str">
        <x:v>熟重</x:v>
      </x:c>
    </x:row>
    <x:row r="1402" ht="23" customHeight="1">
      <x:c r="A1402" t="n">
        <x:v>234</x:v>
      </x:c>
      <x:c r="B1402" t="n">
        <x:v>117</x:v>
      </x:c>
      <x:c r="C1402" t="str">
        <x:v>晚餐</x:v>
      </x:c>
      <x:c r="D1402" t="str">
        <x:v>蔬菜</x:v>
      </x:c>
      <x:c r="E1402" t="str">
        <x:v>竹笋</x:v>
      </x:c>
      <x:c r="F1402" t="n">
        <x:v>160</x:v>
      </x:c>
      <x:c r="G1402" t="n">
        <x:v>27</x:v>
      </x:c>
      <x:c r="H1402" t="n">
        <x:f>ROUND(F1402*G1402/100,2)</x:f>
        <x:v>43.2</x:v>
      </x:c>
      <x:c r="I1402" t="n">
        <x:v>2.6</x:v>
      </x:c>
      <x:c r="J1402" t="n">
        <x:f>ROUND(F1402*I1402/100,2)</x:f>
        <x:v>4.16</x:v>
      </x:c>
      <x:c r="K1402" t="n">
        <x:v>5.2</x:v>
      </x:c>
      <x:c r="L1402" t="n">
        <x:f>ROUND(F1402*K1402/100,2)</x:f>
        <x:v>8.32</x:v>
      </x:c>
      <x:c r="M1402" t="n">
        <x:v>0.3</x:v>
      </x:c>
      <x:c r="N1402" t="n">
        <x:f>ROUND(F1402*M1402/100,2)</x:f>
        <x:v>0.48</x:v>
      </x:c>
      <x:c r="O1402" t="str">
        <x:v>生重</x:v>
      </x:c>
    </x:row>
    <x:row r="1403" ht="23" customHeight="1">
      <x:c r="A1403" t="n">
        <x:v>234</x:v>
      </x:c>
      <x:c r="B1403" t="n">
        <x:v>117</x:v>
      </x:c>
      <x:c r="C1403" t="str">
        <x:v>晚餐</x:v>
      </x:c>
      <x:c r="D1403" t="str">
        <x:v>蔬菜</x:v>
      </x:c>
      <x:c r="E1403" t="str">
        <x:v>冬瓜</x:v>
      </x:c>
      <x:c r="F1403" t="n">
        <x:v>140</x:v>
      </x:c>
      <x:c r="G1403" t="n">
        <x:v>13</x:v>
      </x:c>
      <x:c r="H1403" t="n">
        <x:f>ROUND(F1403*G1403/100,2)</x:f>
        <x:v>18.2</x:v>
      </x:c>
      <x:c r="I1403" t="n">
        <x:v>0.4</x:v>
      </x:c>
      <x:c r="J1403" t="n">
        <x:f>ROUND(F1403*I1403/100,2)</x:f>
        <x:v>0.56</x:v>
      </x:c>
      <x:c r="K1403" t="n">
        <x:v>3</x:v>
      </x:c>
      <x:c r="L1403" t="n">
        <x:f>ROUND(F1403*K1403/100,2)</x:f>
        <x:v>4.2</x:v>
      </x:c>
      <x:c r="M1403" t="n">
        <x:v>0.2</x:v>
      </x:c>
      <x:c r="N1403" t="n">
        <x:f>ROUND(F1403*M1403/100,2)</x:f>
        <x:v>0.28</x:v>
      </x:c>
      <x:c r="O1403" t="str">
        <x:v>生重</x:v>
      </x:c>
    </x:row>
    <x:row r="1404" ht="23" customHeight="1">
      <x:c r="A1404" t="n">
        <x:v>234</x:v>
      </x:c>
      <x:c r="B1404" t="n">
        <x:v>117</x:v>
      </x:c>
      <x:c r="C1404" t="str">
        <x:v>晚餐</x:v>
      </x:c>
      <x:c r="D1404" t="str">
        <x:v>主食</x:v>
      </x:c>
      <x:c r="E1404" t="str">
        <x:v>糙米饭</x:v>
      </x:c>
      <x:c r="F1404" t="n">
        <x:v>110</x:v>
      </x:c>
      <x:c r="G1404" t="n">
        <x:v>112</x:v>
      </x:c>
      <x:c r="H1404" t="n">
        <x:f>ROUND(F1404*G1404/100,2)</x:f>
        <x:v>123.2</x:v>
      </x:c>
      <x:c r="I1404" t="n">
        <x:v>2.6</x:v>
      </x:c>
      <x:c r="J1404" t="n">
        <x:f>ROUND(F1404*I1404/100,2)</x:f>
        <x:v>2.86</x:v>
      </x:c>
      <x:c r="K1404" t="n">
        <x:v>23.5</x:v>
      </x:c>
      <x:c r="L1404" t="n">
        <x:f>ROUND(F1404*K1404/100,2)</x:f>
        <x:v>25.85</x:v>
      </x:c>
      <x:c r="M1404" t="n">
        <x:v>0.9</x:v>
      </x:c>
      <x:c r="N1404" t="n">
        <x:f>ROUND(F1404*M1404/100,2)</x:f>
        <x:v>0.99</x:v>
      </x:c>
      <x:c r="O1404" t="str">
        <x:v>熟重</x:v>
      </x:c>
    </x:row>
    <x:row r="1405" ht="23" customHeight="1">
      <x:c r="A1405" t="n">
        <x:v>234</x:v>
      </x:c>
      <x:c r="B1405" t="n">
        <x:v>117</x:v>
      </x:c>
      <x:c r="C1405" t="str">
        <x:v>晚餐</x:v>
      </x:c>
      <x:c r="D1405" t="str">
        <x:v>油脂</x:v>
      </x:c>
      <x:c r="E1405" t="str">
        <x:v>烹调油</x:v>
      </x:c>
      <x:c r="F1405" t="n">
        <x:v>6</x:v>
      </x:c>
      <x:c r="G1405" t="n">
        <x:v>900</x:v>
      </x:c>
      <x:c r="H1405" t="n">
        <x:f>ROUND(F1405*G1405/100,2)</x:f>
        <x:v>54</x:v>
      </x:c>
      <x:c r="I1405" t="n">
        <x:v>0</x:v>
      </x:c>
      <x:c r="J1405" t="n">
        <x:f>ROUND(F1405*I1405/100,2)</x:f>
        <x:v>0</x:v>
      </x:c>
      <x:c r="K1405" t="n">
        <x:v>0</x:v>
      </x:c>
      <x:c r="L1405" t="n">
        <x:f>ROUND(F1405*K1405/100,2)</x:f>
        <x:v>0</x:v>
      </x:c>
      <x:c r="M1405" t="n">
        <x:v>100</x:v>
      </x:c>
      <x:c r="N1405" t="n">
        <x:f>ROUND(F1405*M1405/100,2)</x:f>
        <x:v>6</x:v>
      </x:c>
      <x:c r="O1405" t="str">
        <x:v>实际用油重</x:v>
      </x:c>
    </x:row>
    <x:row r="1406" ht="23" customHeight="1">
      <x:c r="A1406" t="n">
        <x:v>235</x:v>
      </x:c>
      <x:c r="B1406" t="n">
        <x:v>118</x:v>
      </x:c>
      <x:c r="C1406" t="str">
        <x:v>午餐</x:v>
      </x:c>
      <x:c r="D1406" t="str">
        <x:v>禽肉</x:v>
      </x:c>
      <x:c r="E1406" t="str">
        <x:v>去皮鸡腿肉</x:v>
      </x:c>
      <x:c r="F1406" t="n">
        <x:v>155</x:v>
      </x:c>
      <x:c r="G1406" t="n">
        <x:v>125</x:v>
      </x:c>
      <x:c r="H1406" t="n">
        <x:f>ROUND(F1406*G1406/100,2)</x:f>
        <x:v>193.75</x:v>
      </x:c>
      <x:c r="I1406" t="n">
        <x:v>20</x:v>
      </x:c>
      <x:c r="J1406" t="n">
        <x:f>ROUND(F1406*I1406/100,2)</x:f>
        <x:v>31</x:v>
      </x:c>
      <x:c r="K1406" t="n">
        <x:v>0</x:v>
      </x:c>
      <x:c r="L1406" t="n">
        <x:f>ROUND(F1406*K1406/100,2)</x:f>
        <x:v>0</x:v>
      </x:c>
      <x:c r="M1406" t="n">
        <x:v>5</x:v>
      </x:c>
      <x:c r="N1406" t="n">
        <x:f>ROUND(F1406*M1406/100,2)</x:f>
        <x:v>7.75</x:v>
      </x:c>
      <x:c r="O1406" t="str">
        <x:v>生重</x:v>
      </x:c>
    </x:row>
    <x:row r="1407" ht="23" customHeight="1">
      <x:c r="A1407" t="n">
        <x:v>235</x:v>
      </x:c>
      <x:c r="B1407" t="n">
        <x:v>118</x:v>
      </x:c>
      <x:c r="C1407" t="str">
        <x:v>午餐</x:v>
      </x:c>
      <x:c r="D1407" t="str"/>
      <x:c r="E1407" t="str"/>
      <x:c r="F1407" t="n">
        <x:v>0</x:v>
      </x:c>
      <x:c r="G1407" t="n">
        <x:v>0</x:v>
      </x:c>
      <x:c r="H1407" t="n">
        <x:f>ROUND(F1407*G1407/100,2)</x:f>
        <x:v>0</x:v>
      </x:c>
      <x:c r="I1407" t="n">
        <x:v>0</x:v>
      </x:c>
      <x:c r="J1407" t="n">
        <x:f>ROUND(F1407*I1407/100,2)</x:f>
        <x:v>0</x:v>
      </x:c>
      <x:c r="K1407" t="n">
        <x:v>0</x:v>
      </x:c>
      <x:c r="L1407" t="n">
        <x:f>ROUND(F1407*K1407/100,2)</x:f>
        <x:v>0</x:v>
      </x:c>
      <x:c r="M1407" t="n">
        <x:v>0</x:v>
      </x:c>
      <x:c r="N1407" t="n">
        <x:f>ROUND(F1407*M1407/100,2)</x:f>
        <x:v>0</x:v>
      </x:c>
      <x:c r="O1407" t="str"/>
    </x:row>
    <x:row r="1408" ht="23" customHeight="1">
      <x:c r="A1408" t="n">
        <x:v>235</x:v>
      </x:c>
      <x:c r="B1408" t="n">
        <x:v>118</x:v>
      </x:c>
      <x:c r="C1408" t="str">
        <x:v>午餐</x:v>
      </x:c>
      <x:c r="D1408" t="str">
        <x:v>蔬菜</x:v>
      </x:c>
      <x:c r="E1408" t="str">
        <x:v>西兰花</x:v>
      </x:c>
      <x:c r="F1408" t="n">
        <x:v>160</x:v>
      </x:c>
      <x:c r="G1408" t="n">
        <x:v>34</x:v>
      </x:c>
      <x:c r="H1408" t="n">
        <x:f>ROUND(F1408*G1408/100,2)</x:f>
        <x:v>54.4</x:v>
      </x:c>
      <x:c r="I1408" t="n">
        <x:v>2.8</x:v>
      </x:c>
      <x:c r="J1408" t="n">
        <x:f>ROUND(F1408*I1408/100,2)</x:f>
        <x:v>4.48</x:v>
      </x:c>
      <x:c r="K1408" t="n">
        <x:v>7</x:v>
      </x:c>
      <x:c r="L1408" t="n">
        <x:f>ROUND(F1408*K1408/100,2)</x:f>
        <x:v>11.2</x:v>
      </x:c>
      <x:c r="M1408" t="n">
        <x:v>0.4</x:v>
      </x:c>
      <x:c r="N1408" t="n">
        <x:f>ROUND(F1408*M1408/100,2)</x:f>
        <x:v>0.64</x:v>
      </x:c>
      <x:c r="O1408" t="str">
        <x:v>生重</x:v>
      </x:c>
    </x:row>
    <x:row r="1409" ht="23" customHeight="1">
      <x:c r="A1409" t="n">
        <x:v>235</x:v>
      </x:c>
      <x:c r="B1409" t="n">
        <x:v>118</x:v>
      </x:c>
      <x:c r="C1409" t="str">
        <x:v>午餐</x:v>
      </x:c>
      <x:c r="D1409" t="str">
        <x:v>菌菇</x:v>
      </x:c>
      <x:c r="E1409" t="str">
        <x:v>香菇</x:v>
      </x:c>
      <x:c r="F1409" t="n">
        <x:v>110</x:v>
      </x:c>
      <x:c r="G1409" t="n">
        <x:v>34</x:v>
      </x:c>
      <x:c r="H1409" t="n">
        <x:f>ROUND(F1409*G1409/100,2)</x:f>
        <x:v>37.4</x:v>
      </x:c>
      <x:c r="I1409" t="n">
        <x:v>2.2</x:v>
      </x:c>
      <x:c r="J1409" t="n">
        <x:f>ROUND(F1409*I1409/100,2)</x:f>
        <x:v>2.42</x:v>
      </x:c>
      <x:c r="K1409" t="n">
        <x:v>6.8</x:v>
      </x:c>
      <x:c r="L1409" t="n">
        <x:f>ROUND(F1409*K1409/100,2)</x:f>
        <x:v>7.48</x:v>
      </x:c>
      <x:c r="M1409" t="n">
        <x:v>0.5</x:v>
      </x:c>
      <x:c r="N1409" t="n">
        <x:f>ROUND(F1409*M1409/100,2)</x:f>
        <x:v>0.55</x:v>
      </x:c>
      <x:c r="O1409" t="str">
        <x:v>生重</x:v>
      </x:c>
    </x:row>
    <x:row r="1410" ht="23" customHeight="1">
      <x:c r="A1410" t="n">
        <x:v>235</x:v>
      </x:c>
      <x:c r="B1410" t="n">
        <x:v>118</x:v>
      </x:c>
      <x:c r="C1410" t="str">
        <x:v>午餐</x:v>
      </x:c>
      <x:c r="D1410" t="str">
        <x:v>主食</x:v>
      </x:c>
      <x:c r="E1410" t="str">
        <x:v>红薯</x:v>
      </x:c>
      <x:c r="F1410" t="n">
        <x:v>150</x:v>
      </x:c>
      <x:c r="G1410" t="n">
        <x:v>88</x:v>
      </x:c>
      <x:c r="H1410" t="n">
        <x:f>ROUND(F1410*G1410/100,2)</x:f>
        <x:v>132</x:v>
      </x:c>
      <x:c r="I1410" t="n">
        <x:v>1.6</x:v>
      </x:c>
      <x:c r="J1410" t="n">
        <x:f>ROUND(F1410*I1410/100,2)</x:f>
        <x:v>2.4</x:v>
      </x:c>
      <x:c r="K1410" t="n">
        <x:v>20.5</x:v>
      </x:c>
      <x:c r="L1410" t="n">
        <x:f>ROUND(F1410*K1410/100,2)</x:f>
        <x:v>30.75</x:v>
      </x:c>
      <x:c r="M1410" t="n">
        <x:v>0.1</x:v>
      </x:c>
      <x:c r="N1410" t="n">
        <x:f>ROUND(F1410*M1410/100,2)</x:f>
        <x:v>0.15</x:v>
      </x:c>
      <x:c r="O1410" t="str">
        <x:v>蒸熟净重</x:v>
      </x:c>
    </x:row>
    <x:row r="1411" ht="23" customHeight="1">
      <x:c r="A1411" t="n">
        <x:v>235</x:v>
      </x:c>
      <x:c r="B1411" t="n">
        <x:v>118</x:v>
      </x:c>
      <x:c r="C1411" t="str">
        <x:v>午餐</x:v>
      </x:c>
      <x:c r="D1411" t="str">
        <x:v>油脂</x:v>
      </x:c>
      <x:c r="E1411" t="str">
        <x:v>烹调油</x:v>
      </x:c>
      <x:c r="F1411" t="n">
        <x:v>3</x:v>
      </x:c>
      <x:c r="G1411" t="n">
        <x:v>900</x:v>
      </x:c>
      <x:c r="H1411" t="n">
        <x:f>ROUND(F1411*G1411/100,2)</x:f>
        <x:v>27</x:v>
      </x:c>
      <x:c r="I1411" t="n">
        <x:v>0</x:v>
      </x:c>
      <x:c r="J1411" t="n">
        <x:f>ROUND(F1411*I1411/100,2)</x:f>
        <x:v>0</x:v>
      </x:c>
      <x:c r="K1411" t="n">
        <x:v>0</x:v>
      </x:c>
      <x:c r="L1411" t="n">
        <x:f>ROUND(F1411*K1411/100,2)</x:f>
        <x:v>0</x:v>
      </x:c>
      <x:c r="M1411" t="n">
        <x:v>100</x:v>
      </x:c>
      <x:c r="N1411" t="n">
        <x:f>ROUND(F1411*M1411/100,2)</x:f>
        <x:v>3</x:v>
      </x:c>
      <x:c r="O1411" t="str">
        <x:v>实际用油重</x:v>
      </x:c>
    </x:row>
    <x:row r="1412" ht="23" customHeight="1">
      <x:c r="A1412" t="n">
        <x:v>236</x:v>
      </x:c>
      <x:c r="B1412" t="n">
        <x:v>118</x:v>
      </x:c>
      <x:c r="C1412" t="str">
        <x:v>晚餐</x:v>
      </x:c>
      <x:c r="D1412" t="str">
        <x:v>牛肉</x:v>
      </x:c>
      <x:c r="E1412" t="str">
        <x:v>牛腱子</x:v>
      </x:c>
      <x:c r="F1412" t="n">
        <x:v>180</x:v>
      </x:c>
      <x:c r="G1412" t="n">
        <x:v>140</x:v>
      </x:c>
      <x:c r="H1412" t="n">
        <x:f>ROUND(F1412*G1412/100,2)</x:f>
        <x:v>252</x:v>
      </x:c>
      <x:c r="I1412" t="n">
        <x:v>21</x:v>
      </x:c>
      <x:c r="J1412" t="n">
        <x:f>ROUND(F1412*I1412/100,2)</x:f>
        <x:v>37.8</x:v>
      </x:c>
      <x:c r="K1412" t="n">
        <x:v>0</x:v>
      </x:c>
      <x:c r="L1412" t="n">
        <x:f>ROUND(F1412*K1412/100,2)</x:f>
        <x:v>0</x:v>
      </x:c>
      <x:c r="M1412" t="n">
        <x:v>6</x:v>
      </x:c>
      <x:c r="N1412" t="n">
        <x:f>ROUND(F1412*M1412/100,2)</x:f>
        <x:v>10.8</x:v>
      </x:c>
      <x:c r="O1412" t="str">
        <x:v>生重</x:v>
      </x:c>
    </x:row>
    <x:row r="1413" ht="23" customHeight="1">
      <x:c r="A1413" t="n">
        <x:v>236</x:v>
      </x:c>
      <x:c r="B1413" t="n">
        <x:v>118</x:v>
      </x:c>
      <x:c r="C1413" t="str">
        <x:v>晚餐</x:v>
      </x:c>
      <x:c r="D1413" t="str"/>
      <x:c r="E1413" t="str"/>
      <x:c r="F1413" t="n">
        <x:v>0</x:v>
      </x:c>
      <x:c r="G1413" t="n">
        <x:v>0</x:v>
      </x:c>
      <x:c r="H1413" t="n">
        <x:f>ROUND(F1413*G1413/100,2)</x:f>
        <x:v>0</x:v>
      </x:c>
      <x:c r="I1413" t="n">
        <x:v>0</x:v>
      </x:c>
      <x:c r="J1413" t="n">
        <x:f>ROUND(F1413*I1413/100,2)</x:f>
        <x:v>0</x:v>
      </x:c>
      <x:c r="K1413" t="n">
        <x:v>0</x:v>
      </x:c>
      <x:c r="L1413" t="n">
        <x:f>ROUND(F1413*K1413/100,2)</x:f>
        <x:v>0</x:v>
      </x:c>
      <x:c r="M1413" t="n">
        <x:v>0</x:v>
      </x:c>
      <x:c r="N1413" t="n">
        <x:f>ROUND(F1413*M1413/100,2)</x:f>
        <x:v>0</x:v>
      </x:c>
      <x:c r="O1413" t="str"/>
    </x:row>
    <x:row r="1414" ht="23" customHeight="1">
      <x:c r="A1414" t="n">
        <x:v>236</x:v>
      </x:c>
      <x:c r="B1414" t="n">
        <x:v>118</x:v>
      </x:c>
      <x:c r="C1414" t="str">
        <x:v>晚餐</x:v>
      </x:c>
      <x:c r="D1414" t="str">
        <x:v>蔬菜</x:v>
      </x:c>
      <x:c r="E1414" t="str">
        <x:v>紫甘蓝</x:v>
      </x:c>
      <x:c r="F1414" t="n">
        <x:v>160</x:v>
      </x:c>
      <x:c r="G1414" t="n">
        <x:v>31</x:v>
      </x:c>
      <x:c r="H1414" t="n">
        <x:f>ROUND(F1414*G1414/100,2)</x:f>
        <x:v>49.6</x:v>
      </x:c>
      <x:c r="I1414" t="n">
        <x:v>1.4</x:v>
      </x:c>
      <x:c r="J1414" t="n">
        <x:f>ROUND(F1414*I1414/100,2)</x:f>
        <x:v>2.24</x:v>
      </x:c>
      <x:c r="K1414" t="n">
        <x:v>7.3</x:v>
      </x:c>
      <x:c r="L1414" t="n">
        <x:f>ROUND(F1414*K1414/100,2)</x:f>
        <x:v>11.68</x:v>
      </x:c>
      <x:c r="M1414" t="n">
        <x:v>0.1</x:v>
      </x:c>
      <x:c r="N1414" t="n">
        <x:f>ROUND(F1414*M1414/100,2)</x:f>
        <x:v>0.16</x:v>
      </x:c>
      <x:c r="O1414" t="str">
        <x:v>生重</x:v>
      </x:c>
    </x:row>
    <x:row r="1415" ht="23" customHeight="1">
      <x:c r="A1415" t="n">
        <x:v>236</x:v>
      </x:c>
      <x:c r="B1415" t="n">
        <x:v>118</x:v>
      </x:c>
      <x:c r="C1415" t="str">
        <x:v>晚餐</x:v>
      </x:c>
      <x:c r="D1415" t="str">
        <x:v>蔬菜</x:v>
      </x:c>
      <x:c r="E1415" t="str">
        <x:v>黄瓜</x:v>
      </x:c>
      <x:c r="F1415" t="n">
        <x:v>140</x:v>
      </x:c>
      <x:c r="G1415" t="n">
        <x:v>16</x:v>
      </x:c>
      <x:c r="H1415" t="n">
        <x:f>ROUND(F1415*G1415/100,2)</x:f>
        <x:v>22.4</x:v>
      </x:c>
      <x:c r="I1415" t="n">
        <x:v>0.7</x:v>
      </x:c>
      <x:c r="J1415" t="n">
        <x:f>ROUND(F1415*I1415/100,2)</x:f>
        <x:v>0.98</x:v>
      </x:c>
      <x:c r="K1415" t="n">
        <x:v>3.6</x:v>
      </x:c>
      <x:c r="L1415" t="n">
        <x:f>ROUND(F1415*K1415/100,2)</x:f>
        <x:v>5.04</x:v>
      </x:c>
      <x:c r="M1415" t="n">
        <x:v>0.1</x:v>
      </x:c>
      <x:c r="N1415" t="n">
        <x:f>ROUND(F1415*M1415/100,2)</x:f>
        <x:v>0.14</x:v>
      </x:c>
      <x:c r="O1415" t="str">
        <x:v>生重</x:v>
      </x:c>
    </x:row>
    <x:row r="1416" ht="23" customHeight="1">
      <x:c r="A1416" t="n">
        <x:v>236</x:v>
      </x:c>
      <x:c r="B1416" t="n">
        <x:v>118</x:v>
      </x:c>
      <x:c r="C1416" t="str">
        <x:v>晚餐</x:v>
      </x:c>
      <x:c r="D1416" t="str">
        <x:v>主食</x:v>
      </x:c>
      <x:c r="E1416" t="str">
        <x:v>山药</x:v>
      </x:c>
      <x:c r="F1416" t="n">
        <x:v>110</x:v>
      </x:c>
      <x:c r="G1416" t="n">
        <x:v>62</x:v>
      </x:c>
      <x:c r="H1416" t="n">
        <x:f>ROUND(F1416*G1416/100,2)</x:f>
        <x:v>68.2</x:v>
      </x:c>
      <x:c r="I1416" t="n">
        <x:v>1.5</x:v>
      </x:c>
      <x:c r="J1416" t="n">
        <x:f>ROUND(F1416*I1416/100,2)</x:f>
        <x:v>1.65</x:v>
      </x:c>
      <x:c r="K1416" t="n">
        <x:v>14.1</x:v>
      </x:c>
      <x:c r="L1416" t="n">
        <x:f>ROUND(F1416*K1416/100,2)</x:f>
        <x:v>15.51</x:v>
      </x:c>
      <x:c r="M1416" t="n">
        <x:v>0.1</x:v>
      </x:c>
      <x:c r="N1416" t="n">
        <x:f>ROUND(F1416*M1416/100,2)</x:f>
        <x:v>0.11</x:v>
      </x:c>
      <x:c r="O1416" t="str">
        <x:v>蒸熟净重</x:v>
      </x:c>
    </x:row>
    <x:row r="1417" ht="23" customHeight="1">
      <x:c r="A1417" t="n">
        <x:v>236</x:v>
      </x:c>
      <x:c r="B1417" t="n">
        <x:v>118</x:v>
      </x:c>
      <x:c r="C1417" t="str">
        <x:v>晚餐</x:v>
      </x:c>
      <x:c r="D1417" t="str">
        <x:v>油脂</x:v>
      </x:c>
      <x:c r="E1417" t="str">
        <x:v>烹调油</x:v>
      </x:c>
      <x:c r="F1417" t="n">
        <x:v>4</x:v>
      </x:c>
      <x:c r="G1417" t="n">
        <x:v>900</x:v>
      </x:c>
      <x:c r="H1417" t="n">
        <x:f>ROUND(F1417*G1417/100,2)</x:f>
        <x:v>36</x:v>
      </x:c>
      <x:c r="I1417" t="n">
        <x:v>0</x:v>
      </x:c>
      <x:c r="J1417" t="n">
        <x:f>ROUND(F1417*I1417/100,2)</x:f>
        <x:v>0</x:v>
      </x:c>
      <x:c r="K1417" t="n">
        <x:v>0</x:v>
      </x:c>
      <x:c r="L1417" t="n">
        <x:f>ROUND(F1417*K1417/100,2)</x:f>
        <x:v>0</x:v>
      </x:c>
      <x:c r="M1417" t="n">
        <x:v>100</x:v>
      </x:c>
      <x:c r="N1417" t="n">
        <x:f>ROUND(F1417*M1417/100,2)</x:f>
        <x:v>4</x:v>
      </x:c>
      <x:c r="O1417" t="str">
        <x:v>实际用油重</x:v>
      </x:c>
    </x:row>
    <x:row r="1418" ht="23" customHeight="1">
      <x:c r="A1418" t="n">
        <x:v>237</x:v>
      </x:c>
      <x:c r="B1418" t="n">
        <x:v>119</x:v>
      </x:c>
      <x:c r="C1418" t="str">
        <x:v>午餐</x:v>
      </x:c>
      <x:c r="D1418" t="str">
        <x:v>禽肉</x:v>
      </x:c>
      <x:c r="E1418" t="str">
        <x:v>鸡里脊肉</x:v>
      </x:c>
      <x:c r="F1418" t="n">
        <x:v>175</x:v>
      </x:c>
      <x:c r="G1418" t="n">
        <x:v>110</x:v>
      </x:c>
      <x:c r="H1418" t="n">
        <x:f>ROUND(F1418*G1418/100,2)</x:f>
        <x:v>192.5</x:v>
      </x:c>
      <x:c r="I1418" t="n">
        <x:v>23</x:v>
      </x:c>
      <x:c r="J1418" t="n">
        <x:f>ROUND(F1418*I1418/100,2)</x:f>
        <x:v>40.25</x:v>
      </x:c>
      <x:c r="K1418" t="n">
        <x:v>0</x:v>
      </x:c>
      <x:c r="L1418" t="n">
        <x:f>ROUND(F1418*K1418/100,2)</x:f>
        <x:v>0</x:v>
      </x:c>
      <x:c r="M1418" t="n">
        <x:v>1.8</x:v>
      </x:c>
      <x:c r="N1418" t="n">
        <x:f>ROUND(F1418*M1418/100,2)</x:f>
        <x:v>3.15</x:v>
      </x:c>
      <x:c r="O1418" t="str">
        <x:v>生重</x:v>
      </x:c>
    </x:row>
    <x:row r="1419" ht="23" customHeight="1">
      <x:c r="A1419" t="n">
        <x:v>237</x:v>
      </x:c>
      <x:c r="B1419" t="n">
        <x:v>119</x:v>
      </x:c>
      <x:c r="C1419" t="str">
        <x:v>午餐</x:v>
      </x:c>
      <x:c r="D1419" t="str">
        <x:v>豆蛋</x:v>
      </x:c>
      <x:c r="E1419" t="str">
        <x:v>嫩豆腐</x:v>
      </x:c>
      <x:c r="F1419" t="n">
        <x:v>135</x:v>
      </x:c>
      <x:c r="G1419" t="n">
        <x:v>55</x:v>
      </x:c>
      <x:c r="H1419" t="n">
        <x:f>ROUND(F1419*G1419/100,2)</x:f>
        <x:v>74.25</x:v>
      </x:c>
      <x:c r="I1419" t="n">
        <x:v>5</x:v>
      </x:c>
      <x:c r="J1419" t="n">
        <x:f>ROUND(F1419*I1419/100,2)</x:f>
        <x:v>6.75</x:v>
      </x:c>
      <x:c r="K1419" t="n">
        <x:v>2</x:v>
      </x:c>
      <x:c r="L1419" t="n">
        <x:f>ROUND(F1419*K1419/100,2)</x:f>
        <x:v>2.7</x:v>
      </x:c>
      <x:c r="M1419" t="n">
        <x:v>2.8</x:v>
      </x:c>
      <x:c r="N1419" t="n">
        <x:f>ROUND(F1419*M1419/100,2)</x:f>
        <x:v>3.78</x:v>
      </x:c>
      <x:c r="O1419" t="str">
        <x:v>净重</x:v>
      </x:c>
    </x:row>
    <x:row r="1420" ht="23" customHeight="1">
      <x:c r="A1420" t="n">
        <x:v>237</x:v>
      </x:c>
      <x:c r="B1420" t="n">
        <x:v>119</x:v>
      </x:c>
      <x:c r="C1420" t="str">
        <x:v>午餐</x:v>
      </x:c>
      <x:c r="D1420" t="str">
        <x:v>蔬菜</x:v>
      </x:c>
      <x:c r="E1420" t="str">
        <x:v>芹菜</x:v>
      </x:c>
      <x:c r="F1420" t="n">
        <x:v>175</x:v>
      </x:c>
      <x:c r="G1420" t="n">
        <x:v>17</x:v>
      </x:c>
      <x:c r="H1420" t="n">
        <x:f>ROUND(F1420*G1420/100,2)</x:f>
        <x:v>29.75</x:v>
      </x:c>
      <x:c r="I1420" t="n">
        <x:v>1</x:v>
      </x:c>
      <x:c r="J1420" t="n">
        <x:f>ROUND(F1420*I1420/100,2)</x:f>
        <x:v>1.75</x:v>
      </x:c>
      <x:c r="K1420" t="n">
        <x:v>3.5</x:v>
      </x:c>
      <x:c r="L1420" t="n">
        <x:f>ROUND(F1420*K1420/100,2)</x:f>
        <x:v>6.13</x:v>
      </x:c>
      <x:c r="M1420" t="n">
        <x:v>0.1</x:v>
      </x:c>
      <x:c r="N1420" t="n">
        <x:f>ROUND(F1420*M1420/100,2)</x:f>
        <x:v>0.18</x:v>
      </x:c>
      <x:c r="O1420" t="str">
        <x:v>生重</x:v>
      </x:c>
    </x:row>
    <x:row r="1421" ht="23" customHeight="1">
      <x:c r="A1421" t="n">
        <x:v>237</x:v>
      </x:c>
      <x:c r="B1421" t="n">
        <x:v>119</x:v>
      </x:c>
      <x:c r="C1421" t="str">
        <x:v>午餐</x:v>
      </x:c>
      <x:c r="D1421" t="str">
        <x:v>菌菇</x:v>
      </x:c>
      <x:c r="E1421" t="str">
        <x:v>杏鲍菇</x:v>
      </x:c>
      <x:c r="F1421" t="n">
        <x:v>155</x:v>
      </x:c>
      <x:c r="G1421" t="n">
        <x:v>35</x:v>
      </x:c>
      <x:c r="H1421" t="n">
        <x:f>ROUND(F1421*G1421/100,2)</x:f>
        <x:v>54.25</x:v>
      </x:c>
      <x:c r="I1421" t="n">
        <x:v>2</x:v>
      </x:c>
      <x:c r="J1421" t="n">
        <x:f>ROUND(F1421*I1421/100,2)</x:f>
        <x:v>3.1</x:v>
      </x:c>
      <x:c r="K1421" t="n">
        <x:v>7.4</x:v>
      </x:c>
      <x:c r="L1421" t="n">
        <x:f>ROUND(F1421*K1421/100,2)</x:f>
        <x:v>11.47</x:v>
      </x:c>
      <x:c r="M1421" t="n">
        <x:v>0.3</x:v>
      </x:c>
      <x:c r="N1421" t="n">
        <x:f>ROUND(F1421*M1421/100,2)</x:f>
        <x:v>0.47</x:v>
      </x:c>
      <x:c r="O1421" t="str">
        <x:v>生重</x:v>
      </x:c>
    </x:row>
    <x:row r="1422" ht="23" customHeight="1">
      <x:c r="A1422" t="n">
        <x:v>237</x:v>
      </x:c>
      <x:c r="B1422" t="n">
        <x:v>119</x:v>
      </x:c>
      <x:c r="C1422" t="str">
        <x:v>午餐</x:v>
      </x:c>
      <x:c r="D1422" t="str">
        <x:v>主食</x:v>
      </x:c>
      <x:c r="E1422" t="str">
        <x:v>杂粮饭</x:v>
      </x:c>
      <x:c r="F1422" t="n">
        <x:v>135</x:v>
      </x:c>
      <x:c r="G1422" t="n">
        <x:v>115</x:v>
      </x:c>
      <x:c r="H1422" t="n">
        <x:f>ROUND(F1422*G1422/100,2)</x:f>
        <x:v>155.25</x:v>
      </x:c>
      <x:c r="I1422" t="n">
        <x:v>3.1</x:v>
      </x:c>
      <x:c r="J1422" t="n">
        <x:f>ROUND(F1422*I1422/100,2)</x:f>
        <x:v>4.18</x:v>
      </x:c>
      <x:c r="K1422" t="n">
        <x:v>23.5</x:v>
      </x:c>
      <x:c r="L1422" t="n">
        <x:f>ROUND(F1422*K1422/100,2)</x:f>
        <x:v>31.73</x:v>
      </x:c>
      <x:c r="M1422" t="n">
        <x:v>1.1</x:v>
      </x:c>
      <x:c r="N1422" t="n">
        <x:f>ROUND(F1422*M1422/100,2)</x:f>
        <x:v>1.49</x:v>
      </x:c>
      <x:c r="O1422" t="str">
        <x:v>熟重</x:v>
      </x:c>
    </x:row>
    <x:row r="1423" ht="23" customHeight="1">
      <x:c r="A1423" t="n">
        <x:v>237</x:v>
      </x:c>
      <x:c r="B1423" t="n">
        <x:v>119</x:v>
      </x:c>
      <x:c r="C1423" t="str">
        <x:v>午餐</x:v>
      </x:c>
      <x:c r="D1423" t="str">
        <x:v>油脂</x:v>
      </x:c>
      <x:c r="E1423" t="str">
        <x:v>烹调油</x:v>
      </x:c>
      <x:c r="F1423" t="n">
        <x:v>6</x:v>
      </x:c>
      <x:c r="G1423" t="n">
        <x:v>900</x:v>
      </x:c>
      <x:c r="H1423" t="n">
        <x:f>ROUND(F1423*G1423/100,2)</x:f>
        <x:v>54</x:v>
      </x:c>
      <x:c r="I1423" t="n">
        <x:v>0</x:v>
      </x:c>
      <x:c r="J1423" t="n">
        <x:f>ROUND(F1423*I1423/100,2)</x:f>
        <x:v>0</x:v>
      </x:c>
      <x:c r="K1423" t="n">
        <x:v>0</x:v>
      </x:c>
      <x:c r="L1423" t="n">
        <x:f>ROUND(F1423*K1423/100,2)</x:f>
        <x:v>0</x:v>
      </x:c>
      <x:c r="M1423" t="n">
        <x:v>100</x:v>
      </x:c>
      <x:c r="N1423" t="n">
        <x:f>ROUND(F1423*M1423/100,2)</x:f>
        <x:v>6</x:v>
      </x:c>
      <x:c r="O1423" t="str">
        <x:v>实际用油重</x:v>
      </x:c>
    </x:row>
    <x:row r="1424" ht="23" customHeight="1">
      <x:c r="A1424" t="n">
        <x:v>238</x:v>
      </x:c>
      <x:c r="B1424" t="n">
        <x:v>119</x:v>
      </x:c>
      <x:c r="C1424" t="str">
        <x:v>晚餐</x:v>
      </x:c>
      <x:c r="D1424" t="str">
        <x:v>海鲜</x:v>
      </x:c>
      <x:c r="E1424" t="str">
        <x:v>虾仁</x:v>
      </x:c>
      <x:c r="F1424" t="n">
        <x:v>160</x:v>
      </x:c>
      <x:c r="G1424" t="n">
        <x:v>90</x:v>
      </x:c>
      <x:c r="H1424" t="n">
        <x:f>ROUND(F1424*G1424/100,2)</x:f>
        <x:v>144</x:v>
      </x:c>
      <x:c r="I1424" t="n">
        <x:v>19</x:v>
      </x:c>
      <x:c r="J1424" t="n">
        <x:f>ROUND(F1424*I1424/100,2)</x:f>
        <x:v>30.4</x:v>
      </x:c>
      <x:c r="K1424" t="n">
        <x:v>0.4</x:v>
      </x:c>
      <x:c r="L1424" t="n">
        <x:f>ROUND(F1424*K1424/100,2)</x:f>
        <x:v>0.64</x:v>
      </x:c>
      <x:c r="M1424" t="n">
        <x:v>1.1</x:v>
      </x:c>
      <x:c r="N1424" t="n">
        <x:f>ROUND(F1424*M1424/100,2)</x:f>
        <x:v>1.76</x:v>
      </x:c>
      <x:c r="O1424" t="str">
        <x:v>生重</x:v>
      </x:c>
    </x:row>
    <x:row r="1425" ht="23" customHeight="1">
      <x:c r="A1425" t="n">
        <x:v>238</x:v>
      </x:c>
      <x:c r="B1425" t="n">
        <x:v>119</x:v>
      </x:c>
      <x:c r="C1425" t="str">
        <x:v>晚餐</x:v>
      </x:c>
      <x:c r="D1425" t="str"/>
      <x:c r="E1425" t="str"/>
      <x:c r="F1425" t="n">
        <x:v>0</x:v>
      </x:c>
      <x:c r="G1425" t="n">
        <x:v>0</x:v>
      </x:c>
      <x:c r="H1425" t="n">
        <x:f>ROUND(F1425*G1425/100,2)</x:f>
        <x:v>0</x:v>
      </x:c>
      <x:c r="I1425" t="n">
        <x:v>0</x:v>
      </x:c>
      <x:c r="J1425" t="n">
        <x:f>ROUND(F1425*I1425/100,2)</x:f>
        <x:v>0</x:v>
      </x:c>
      <x:c r="K1425" t="n">
        <x:v>0</x:v>
      </x:c>
      <x:c r="L1425" t="n">
        <x:f>ROUND(F1425*K1425/100,2)</x:f>
        <x:v>0</x:v>
      </x:c>
      <x:c r="M1425" t="n">
        <x:v>0</x:v>
      </x:c>
      <x:c r="N1425" t="n">
        <x:f>ROUND(F1425*M1425/100,2)</x:f>
        <x:v>0</x:v>
      </x:c>
      <x:c r="O1425" t="str"/>
    </x:row>
    <x:row r="1426" ht="23" customHeight="1">
      <x:c r="A1426" t="n">
        <x:v>238</x:v>
      </x:c>
      <x:c r="B1426" t="n">
        <x:v>119</x:v>
      </x:c>
      <x:c r="C1426" t="str">
        <x:v>晚餐</x:v>
      </x:c>
      <x:c r="D1426" t="str">
        <x:v>蔬菜</x:v>
      </x:c>
      <x:c r="E1426" t="str">
        <x:v>秋葵</x:v>
      </x:c>
      <x:c r="F1426" t="n">
        <x:v>140</x:v>
      </x:c>
      <x:c r="G1426" t="n">
        <x:v>33</x:v>
      </x:c>
      <x:c r="H1426" t="n">
        <x:f>ROUND(F1426*G1426/100,2)</x:f>
        <x:v>46.2</x:v>
      </x:c>
      <x:c r="I1426" t="n">
        <x:v>1.9</x:v>
      </x:c>
      <x:c r="J1426" t="n">
        <x:f>ROUND(F1426*I1426/100,2)</x:f>
        <x:v>2.66</x:v>
      </x:c>
      <x:c r="K1426" t="n">
        <x:v>7.5</x:v>
      </x:c>
      <x:c r="L1426" t="n">
        <x:f>ROUND(F1426*K1426/100,2)</x:f>
        <x:v>10.5</x:v>
      </x:c>
      <x:c r="M1426" t="n">
        <x:v>0.2</x:v>
      </x:c>
      <x:c r="N1426" t="n">
        <x:f>ROUND(F1426*M1426/100,2)</x:f>
        <x:v>0.28</x:v>
      </x:c>
      <x:c r="O1426" t="str">
        <x:v>生重</x:v>
      </x:c>
    </x:row>
    <x:row r="1427" ht="23" customHeight="1">
      <x:c r="A1427" t="n">
        <x:v>238</x:v>
      </x:c>
      <x:c r="B1427" t="n">
        <x:v>119</x:v>
      </x:c>
      <x:c r="C1427" t="str">
        <x:v>晚餐</x:v>
      </x:c>
      <x:c r="D1427" t="str">
        <x:v>蔬菜</x:v>
      </x:c>
      <x:c r="E1427" t="str">
        <x:v>彩椒</x:v>
      </x:c>
      <x:c r="F1427" t="n">
        <x:v>125</x:v>
      </x:c>
      <x:c r="G1427" t="n">
        <x:v>27</x:v>
      </x:c>
      <x:c r="H1427" t="n">
        <x:f>ROUND(F1427*G1427/100,2)</x:f>
        <x:v>33.75</x:v>
      </x:c>
      <x:c r="I1427" t="n">
        <x:v>1</x:v>
      </x:c>
      <x:c r="J1427" t="n">
        <x:f>ROUND(F1427*I1427/100,2)</x:f>
        <x:v>1.25</x:v>
      </x:c>
      <x:c r="K1427" t="n">
        <x:v>6.1</x:v>
      </x:c>
      <x:c r="L1427" t="n">
        <x:f>ROUND(F1427*K1427/100,2)</x:f>
        <x:v>7.63</x:v>
      </x:c>
      <x:c r="M1427" t="n">
        <x:v>0.2</x:v>
      </x:c>
      <x:c r="N1427" t="n">
        <x:f>ROUND(F1427*M1427/100,2)</x:f>
        <x:v>0.25</x:v>
      </x:c>
      <x:c r="O1427" t="str">
        <x:v>生重</x:v>
      </x:c>
    </x:row>
    <x:row r="1428" ht="23" customHeight="1">
      <x:c r="A1428" t="n">
        <x:v>238</x:v>
      </x:c>
      <x:c r="B1428" t="n">
        <x:v>119</x:v>
      </x:c>
      <x:c r="C1428" t="str">
        <x:v>晚餐</x:v>
      </x:c>
      <x:c r="D1428" t="str">
        <x:v>主食</x:v>
      </x:c>
      <x:c r="E1428" t="str">
        <x:v>白米饭</x:v>
      </x:c>
      <x:c r="F1428" t="n">
        <x:v>95</x:v>
      </x:c>
      <x:c r="G1428" t="n">
        <x:v>116</x:v>
      </x:c>
      <x:c r="H1428" t="n">
        <x:f>ROUND(F1428*G1428/100,2)</x:f>
        <x:v>110.2</x:v>
      </x:c>
      <x:c r="I1428" t="n">
        <x:v>2.6</x:v>
      </x:c>
      <x:c r="J1428" t="n">
        <x:f>ROUND(F1428*I1428/100,2)</x:f>
        <x:v>2.47</x:v>
      </x:c>
      <x:c r="K1428" t="n">
        <x:v>25.6</x:v>
      </x:c>
      <x:c r="L1428" t="n">
        <x:f>ROUND(F1428*K1428/100,2)</x:f>
        <x:v>24.32</x:v>
      </x:c>
      <x:c r="M1428" t="n">
        <x:v>0.3</x:v>
      </x:c>
      <x:c r="N1428" t="n">
        <x:f>ROUND(F1428*M1428/100,2)</x:f>
        <x:v>0.28</x:v>
      </x:c>
      <x:c r="O1428" t="str">
        <x:v>熟重</x:v>
      </x:c>
    </x:row>
    <x:row r="1429" ht="23" customHeight="1">
      <x:c r="A1429" t="n">
        <x:v>238</x:v>
      </x:c>
      <x:c r="B1429" t="n">
        <x:v>119</x:v>
      </x:c>
      <x:c r="C1429" t="str">
        <x:v>晚餐</x:v>
      </x:c>
      <x:c r="D1429" t="str">
        <x:v>油脂</x:v>
      </x:c>
      <x:c r="E1429" t="str">
        <x:v>烹调油</x:v>
      </x:c>
      <x:c r="F1429" t="n">
        <x:v>5</x:v>
      </x:c>
      <x:c r="G1429" t="n">
        <x:v>900</x:v>
      </x:c>
      <x:c r="H1429" t="n">
        <x:f>ROUND(F1429*G1429/100,2)</x:f>
        <x:v>45</x:v>
      </x:c>
      <x:c r="I1429" t="n">
        <x:v>0</x:v>
      </x:c>
      <x:c r="J1429" t="n">
        <x:f>ROUND(F1429*I1429/100,2)</x:f>
        <x:v>0</x:v>
      </x:c>
      <x:c r="K1429" t="n">
        <x:v>0</x:v>
      </x:c>
      <x:c r="L1429" t="n">
        <x:f>ROUND(F1429*K1429/100,2)</x:f>
        <x:v>0</x:v>
      </x:c>
      <x:c r="M1429" t="n">
        <x:v>100</x:v>
      </x:c>
      <x:c r="N1429" t="n">
        <x:f>ROUND(F1429*M1429/100,2)</x:f>
        <x:v>5</x:v>
      </x:c>
      <x:c r="O1429" t="str">
        <x:v>实际用油重</x:v>
      </x:c>
    </x:row>
    <x:row r="1430" ht="23" customHeight="1">
      <x:c r="A1430" t="n">
        <x:v>239</x:v>
      </x:c>
      <x:c r="B1430" t="n">
        <x:v>120</x:v>
      </x:c>
      <x:c r="C1430" t="str">
        <x:v>午餐</x:v>
      </x:c>
      <x:c r="D1430" t="str">
        <x:v>鱼类</x:v>
      </x:c>
      <x:c r="E1430" t="str">
        <x:v>鳕鱼</x:v>
      </x:c>
      <x:c r="F1430" t="n">
        <x:v>175</x:v>
      </x:c>
      <x:c r="G1430" t="n">
        <x:v>85</x:v>
      </x:c>
      <x:c r="H1430" t="n">
        <x:f>ROUND(F1430*G1430/100,2)</x:f>
        <x:v>148.75</x:v>
      </x:c>
      <x:c r="I1430" t="n">
        <x:v>18</x:v>
      </x:c>
      <x:c r="J1430" t="n">
        <x:f>ROUND(F1430*I1430/100,2)</x:f>
        <x:v>31.5</x:v>
      </x:c>
      <x:c r="K1430" t="n">
        <x:v>0</x:v>
      </x:c>
      <x:c r="L1430" t="n">
        <x:f>ROUND(F1430*K1430/100,2)</x:f>
        <x:v>0</x:v>
      </x:c>
      <x:c r="M1430" t="n">
        <x:v>0.8</x:v>
      </x:c>
      <x:c r="N1430" t="n">
        <x:f>ROUND(F1430*M1430/100,2)</x:f>
        <x:v>1.4</x:v>
      </x:c>
      <x:c r="O1430" t="str">
        <x:v>净鱼肉生重</x:v>
      </x:c>
    </x:row>
    <x:row r="1431" ht="23" customHeight="1">
      <x:c r="A1431" t="n">
        <x:v>239</x:v>
      </x:c>
      <x:c r="B1431" t="n">
        <x:v>120</x:v>
      </x:c>
      <x:c r="C1431" t="str">
        <x:v>午餐</x:v>
      </x:c>
      <x:c r="D1431" t="str"/>
      <x:c r="E1431" t="str"/>
      <x:c r="F1431" t="n">
        <x:v>0</x:v>
      </x:c>
      <x:c r="G1431" t="n">
        <x:v>0</x:v>
      </x:c>
      <x:c r="H1431" t="n">
        <x:f>ROUND(F1431*G1431/100,2)</x:f>
        <x:v>0</x:v>
      </x:c>
      <x:c r="I1431" t="n">
        <x:v>0</x:v>
      </x:c>
      <x:c r="J1431" t="n">
        <x:f>ROUND(F1431*I1431/100,2)</x:f>
        <x:v>0</x:v>
      </x:c>
      <x:c r="K1431" t="n">
        <x:v>0</x:v>
      </x:c>
      <x:c r="L1431" t="n">
        <x:f>ROUND(F1431*K1431/100,2)</x:f>
        <x:v>0</x:v>
      </x:c>
      <x:c r="M1431" t="n">
        <x:v>0</x:v>
      </x:c>
      <x:c r="N1431" t="n">
        <x:f>ROUND(F1431*M1431/100,2)</x:f>
        <x:v>0</x:v>
      </x:c>
      <x:c r="O1431" t="str"/>
    </x:row>
    <x:row r="1432" ht="23" customHeight="1">
      <x:c r="A1432" t="n">
        <x:v>239</x:v>
      </x:c>
      <x:c r="B1432" t="n">
        <x:v>120</x:v>
      </x:c>
      <x:c r="C1432" t="str">
        <x:v>午餐</x:v>
      </x:c>
      <x:c r="D1432" t="str">
        <x:v>蔬菜</x:v>
      </x:c>
      <x:c r="E1432" t="str">
        <x:v>生菜</x:v>
      </x:c>
      <x:c r="F1432" t="n">
        <x:v>160</x:v>
      </x:c>
      <x:c r="G1432" t="n">
        <x:v>16</x:v>
      </x:c>
      <x:c r="H1432" t="n">
        <x:f>ROUND(F1432*G1432/100,2)</x:f>
        <x:v>25.6</x:v>
      </x:c>
      <x:c r="I1432" t="n">
        <x:v>1.4</x:v>
      </x:c>
      <x:c r="J1432" t="n">
        <x:f>ROUND(F1432*I1432/100,2)</x:f>
        <x:v>2.24</x:v>
      </x:c>
      <x:c r="K1432" t="n">
        <x:v>2.9</x:v>
      </x:c>
      <x:c r="L1432" t="n">
        <x:f>ROUND(F1432*K1432/100,2)</x:f>
        <x:v>4.64</x:v>
      </x:c>
      <x:c r="M1432" t="n">
        <x:v>0.1</x:v>
      </x:c>
      <x:c r="N1432" t="n">
        <x:f>ROUND(F1432*M1432/100,2)</x:f>
        <x:v>0.16</x:v>
      </x:c>
      <x:c r="O1432" t="str">
        <x:v>生重</x:v>
      </x:c>
    </x:row>
    <x:row r="1433" ht="23" customHeight="1">
      <x:c r="A1433" t="n">
        <x:v>239</x:v>
      </x:c>
      <x:c r="B1433" t="n">
        <x:v>120</x:v>
      </x:c>
      <x:c r="C1433" t="str">
        <x:v>午餐</x:v>
      </x:c>
      <x:c r="D1433" t="str">
        <x:v>蔬菜</x:v>
      </x:c>
      <x:c r="E1433" t="str">
        <x:v>白萝卜</x:v>
      </x:c>
      <x:c r="F1433" t="n">
        <x:v>155</x:v>
      </x:c>
      <x:c r="G1433" t="n">
        <x:v>18</x:v>
      </x:c>
      <x:c r="H1433" t="n">
        <x:f>ROUND(F1433*G1433/100,2)</x:f>
        <x:v>27.9</x:v>
      </x:c>
      <x:c r="I1433" t="n">
        <x:v>0.6</x:v>
      </x:c>
      <x:c r="J1433" t="n">
        <x:f>ROUND(F1433*I1433/100,2)</x:f>
        <x:v>0.93</x:v>
      </x:c>
      <x:c r="K1433" t="n">
        <x:v>4</x:v>
      </x:c>
      <x:c r="L1433" t="n">
        <x:f>ROUND(F1433*K1433/100,2)</x:f>
        <x:v>6.2</x:v>
      </x:c>
      <x:c r="M1433" t="n">
        <x:v>0.1</x:v>
      </x:c>
      <x:c r="N1433" t="n">
        <x:f>ROUND(F1433*M1433/100,2)</x:f>
        <x:v>0.16</x:v>
      </x:c>
      <x:c r="O1433" t="str">
        <x:v>生重</x:v>
      </x:c>
    </x:row>
    <x:row r="1434" ht="23" customHeight="1">
      <x:c r="A1434" t="n">
        <x:v>239</x:v>
      </x:c>
      <x:c r="B1434" t="n">
        <x:v>120</x:v>
      </x:c>
      <x:c r="C1434" t="str">
        <x:v>午餐</x:v>
      </x:c>
      <x:c r="D1434" t="str">
        <x:v>主食</x:v>
      </x:c>
      <x:c r="E1434" t="str">
        <x:v>荞麦面</x:v>
      </x:c>
      <x:c r="F1434" t="n">
        <x:v>135</x:v>
      </x:c>
      <x:c r="G1434" t="n">
        <x:v>105</x:v>
      </x:c>
      <x:c r="H1434" t="n">
        <x:f>ROUND(F1434*G1434/100,2)</x:f>
        <x:v>141.75</x:v>
      </x:c>
      <x:c r="I1434" t="n">
        <x:v>4</x:v>
      </x:c>
      <x:c r="J1434" t="n">
        <x:f>ROUND(F1434*I1434/100,2)</x:f>
        <x:v>5.4</x:v>
      </x:c>
      <x:c r="K1434" t="n">
        <x:v>21</x:v>
      </x:c>
      <x:c r="L1434" t="n">
        <x:f>ROUND(F1434*K1434/100,2)</x:f>
        <x:v>28.35</x:v>
      </x:c>
      <x:c r="M1434" t="n">
        <x:v>0.7</x:v>
      </x:c>
      <x:c r="N1434" t="n">
        <x:f>ROUND(F1434*M1434/100,2)</x:f>
        <x:v>0.95</x:v>
      </x:c>
      <x:c r="O1434" t="str">
        <x:v>煮熟沥水重</x:v>
      </x:c>
    </x:row>
    <x:row r="1435" ht="23" customHeight="1">
      <x:c r="A1435" t="n">
        <x:v>239</x:v>
      </x:c>
      <x:c r="B1435" t="n">
        <x:v>120</x:v>
      </x:c>
      <x:c r="C1435" t="str">
        <x:v>午餐</x:v>
      </x:c>
      <x:c r="D1435" t="str">
        <x:v>油脂</x:v>
      </x:c>
      <x:c r="E1435" t="str">
        <x:v>烹调油</x:v>
      </x:c>
      <x:c r="F1435" t="n">
        <x:v>4</x:v>
      </x:c>
      <x:c r="G1435" t="n">
        <x:v>900</x:v>
      </x:c>
      <x:c r="H1435" t="n">
        <x:f>ROUND(F1435*G1435/100,2)</x:f>
        <x:v>36</x:v>
      </x:c>
      <x:c r="I1435" t="n">
        <x:v>0</x:v>
      </x:c>
      <x:c r="J1435" t="n">
        <x:f>ROUND(F1435*I1435/100,2)</x:f>
        <x:v>0</x:v>
      </x:c>
      <x:c r="K1435" t="n">
        <x:v>0</x:v>
      </x:c>
      <x:c r="L1435" t="n">
        <x:f>ROUND(F1435*K1435/100,2)</x:f>
        <x:v>0</x:v>
      </x:c>
      <x:c r="M1435" t="n">
        <x:v>100</x:v>
      </x:c>
      <x:c r="N1435" t="n">
        <x:f>ROUND(F1435*M1435/100,2)</x:f>
        <x:v>4</x:v>
      </x:c>
      <x:c r="O1435" t="str">
        <x:v>实际用油重</x:v>
      </x:c>
    </x:row>
    <x:row r="1436" ht="23" customHeight="1">
      <x:c r="A1436" t="n">
        <x:v>240</x:v>
      </x:c>
      <x:c r="B1436" t="n">
        <x:v>120</x:v>
      </x:c>
      <x:c r="C1436" t="str">
        <x:v>晚餐</x:v>
      </x:c>
      <x:c r="D1436" t="str">
        <x:v>牛肉</x:v>
      </x:c>
      <x:c r="E1436" t="str">
        <x:v>牛里脊</x:v>
      </x:c>
      <x:c r="F1436" t="n">
        <x:v>145</x:v>
      </x:c>
      <x:c r="G1436" t="n">
        <x:v>130</x:v>
      </x:c>
      <x:c r="H1436" t="n">
        <x:f>ROUND(F1436*G1436/100,2)</x:f>
        <x:v>188.5</x:v>
      </x:c>
      <x:c r="I1436" t="n">
        <x:v>21</x:v>
      </x:c>
      <x:c r="J1436" t="n">
        <x:f>ROUND(F1436*I1436/100,2)</x:f>
        <x:v>30.45</x:v>
      </x:c>
      <x:c r="K1436" t="n">
        <x:v>0</x:v>
      </x:c>
      <x:c r="L1436" t="n">
        <x:f>ROUND(F1436*K1436/100,2)</x:f>
        <x:v>0</x:v>
      </x:c>
      <x:c r="M1436" t="n">
        <x:v>4.8</x:v>
      </x:c>
      <x:c r="N1436" t="n">
        <x:f>ROUND(F1436*M1436/100,2)</x:f>
        <x:v>6.96</x:v>
      </x:c>
      <x:c r="O1436" t="str">
        <x:v>生重</x:v>
      </x:c>
    </x:row>
    <x:row r="1437" ht="23" customHeight="1">
      <x:c r="A1437" t="n">
        <x:v>240</x:v>
      </x:c>
      <x:c r="B1437" t="n">
        <x:v>120</x:v>
      </x:c>
      <x:c r="C1437" t="str">
        <x:v>晚餐</x:v>
      </x:c>
      <x:c r="D1437" t="str"/>
      <x:c r="E1437" t="str"/>
      <x:c r="F1437" t="n">
        <x:v>0</x:v>
      </x:c>
      <x:c r="G1437" t="n">
        <x:v>0</x:v>
      </x:c>
      <x:c r="H1437" t="n">
        <x:f>ROUND(F1437*G1437/100,2)</x:f>
        <x:v>0</x:v>
      </x:c>
      <x:c r="I1437" t="n">
        <x:v>0</x:v>
      </x:c>
      <x:c r="J1437" t="n">
        <x:f>ROUND(F1437*I1437/100,2)</x:f>
        <x:v>0</x:v>
      </x:c>
      <x:c r="K1437" t="n">
        <x:v>0</x:v>
      </x:c>
      <x:c r="L1437" t="n">
        <x:f>ROUND(F1437*K1437/100,2)</x:f>
        <x:v>0</x:v>
      </x:c>
      <x:c r="M1437" t="n">
        <x:v>0</x:v>
      </x:c>
      <x:c r="N1437" t="n">
        <x:f>ROUND(F1437*M1437/100,2)</x:f>
        <x:v>0</x:v>
      </x:c>
      <x:c r="O1437" t="str"/>
    </x:row>
    <x:row r="1438" ht="23" customHeight="1">
      <x:c r="A1438" t="n">
        <x:v>240</x:v>
      </x:c>
      <x:c r="B1438" t="n">
        <x:v>120</x:v>
      </x:c>
      <x:c r="C1438" t="str">
        <x:v>晚餐</x:v>
      </x:c>
      <x:c r="D1438" t="str">
        <x:v>蔬菜</x:v>
      </x:c>
      <x:c r="E1438" t="str">
        <x:v>秋葵</x:v>
      </x:c>
      <x:c r="F1438" t="n">
        <x:v>140</x:v>
      </x:c>
      <x:c r="G1438" t="n">
        <x:v>33</x:v>
      </x:c>
      <x:c r="H1438" t="n">
        <x:f>ROUND(F1438*G1438/100,2)</x:f>
        <x:v>46.2</x:v>
      </x:c>
      <x:c r="I1438" t="n">
        <x:v>1.9</x:v>
      </x:c>
      <x:c r="J1438" t="n">
        <x:f>ROUND(F1438*I1438/100,2)</x:f>
        <x:v>2.66</x:v>
      </x:c>
      <x:c r="K1438" t="n">
        <x:v>7.5</x:v>
      </x:c>
      <x:c r="L1438" t="n">
        <x:f>ROUND(F1438*K1438/100,2)</x:f>
        <x:v>10.5</x:v>
      </x:c>
      <x:c r="M1438" t="n">
        <x:v>0.2</x:v>
      </x:c>
      <x:c r="N1438" t="n">
        <x:f>ROUND(F1438*M1438/100,2)</x:f>
        <x:v>0.28</x:v>
      </x:c>
      <x:c r="O1438" t="str">
        <x:v>生重</x:v>
      </x:c>
    </x:row>
    <x:row r="1439" ht="23" customHeight="1">
      <x:c r="A1439" t="n">
        <x:v>240</x:v>
      </x:c>
      <x:c r="B1439" t="n">
        <x:v>120</x:v>
      </x:c>
      <x:c r="C1439" t="str">
        <x:v>晚餐</x:v>
      </x:c>
      <x:c r="D1439" t="str">
        <x:v>蔬菜</x:v>
      </x:c>
      <x:c r="E1439" t="str">
        <x:v>紫甘蓝</x:v>
      </x:c>
      <x:c r="F1439" t="n">
        <x:v>155</x:v>
      </x:c>
      <x:c r="G1439" t="n">
        <x:v>31</x:v>
      </x:c>
      <x:c r="H1439" t="n">
        <x:f>ROUND(F1439*G1439/100,2)</x:f>
        <x:v>48.05</x:v>
      </x:c>
      <x:c r="I1439" t="n">
        <x:v>1.4</x:v>
      </x:c>
      <x:c r="J1439" t="n">
        <x:f>ROUND(F1439*I1439/100,2)</x:f>
        <x:v>2.17</x:v>
      </x:c>
      <x:c r="K1439" t="n">
        <x:v>7.3</x:v>
      </x:c>
      <x:c r="L1439" t="n">
        <x:f>ROUND(F1439*K1439/100,2)</x:f>
        <x:v>11.32</x:v>
      </x:c>
      <x:c r="M1439" t="n">
        <x:v>0.1</x:v>
      </x:c>
      <x:c r="N1439" t="n">
        <x:f>ROUND(F1439*M1439/100,2)</x:f>
        <x:v>0.16</x:v>
      </x:c>
      <x:c r="O1439" t="str">
        <x:v>生重</x:v>
      </x:c>
    </x:row>
    <x:row r="1440" ht="23" customHeight="1">
      <x:c r="A1440" t="n">
        <x:v>240</x:v>
      </x:c>
      <x:c r="B1440" t="n">
        <x:v>120</x:v>
      </x:c>
      <x:c r="C1440" t="str">
        <x:v>晚餐</x:v>
      </x:c>
      <x:c r="D1440" t="str">
        <x:v>主食</x:v>
      </x:c>
      <x:c r="E1440" t="str">
        <x:v>玉米</x:v>
      </x:c>
      <x:c r="F1440" t="n">
        <x:v>95</x:v>
      </x:c>
      <x:c r="G1440" t="n">
        <x:v>105</x:v>
      </x:c>
      <x:c r="H1440" t="n">
        <x:f>ROUND(F1440*G1440/100,2)</x:f>
        <x:v>99.75</x:v>
      </x:c>
      <x:c r="I1440" t="n">
        <x:v>3.4</x:v>
      </x:c>
      <x:c r="J1440" t="n">
        <x:f>ROUND(F1440*I1440/100,2)</x:f>
        <x:v>3.23</x:v>
      </x:c>
      <x:c r="K1440" t="n">
        <x:v>22</x:v>
      </x:c>
      <x:c r="L1440" t="n">
        <x:f>ROUND(F1440*K1440/100,2)</x:f>
        <x:v>20.9</x:v>
      </x:c>
      <x:c r="M1440" t="n">
        <x:v>1.5</x:v>
      </x:c>
      <x:c r="N1440" t="n">
        <x:f>ROUND(F1440*M1440/100,2)</x:f>
        <x:v>1.43</x:v>
      </x:c>
      <x:c r="O1440" t="str">
        <x:v>蒸熟净重</x:v>
      </x:c>
    </x:row>
    <x:row r="1441" ht="23" customHeight="1">
      <x:c r="A1441" t="n">
        <x:v>240</x:v>
      </x:c>
      <x:c r="B1441" t="n">
        <x:v>120</x:v>
      </x:c>
      <x:c r="C1441" t="str">
        <x:v>晚餐</x:v>
      </x:c>
      <x:c r="D1441" t="str">
        <x:v>油脂</x:v>
      </x:c>
      <x:c r="E1441" t="str">
        <x:v>烹调油</x:v>
      </x:c>
      <x:c r="F1441" t="n">
        <x:v>5</x:v>
      </x:c>
      <x:c r="G1441" t="n">
        <x:v>900</x:v>
      </x:c>
      <x:c r="H1441" t="n">
        <x:f>ROUND(F1441*G1441/100,2)</x:f>
        <x:v>45</x:v>
      </x:c>
      <x:c r="I1441" t="n">
        <x:v>0</x:v>
      </x:c>
      <x:c r="J1441" t="n">
        <x:f>ROUND(F1441*I1441/100,2)</x:f>
        <x:v>0</x:v>
      </x:c>
      <x:c r="K1441" t="n">
        <x:v>0</x:v>
      </x:c>
      <x:c r="L1441" t="n">
        <x:f>ROUND(F1441*K1441/100,2)</x:f>
        <x:v>0</x:v>
      </x:c>
      <x:c r="M1441" t="n">
        <x:v>100</x:v>
      </x:c>
      <x:c r="N1441" t="n">
        <x:f>ROUND(F1441*M1441/100,2)</x:f>
        <x:v>5</x:v>
      </x:c>
      <x:c r="O1441" t="str">
        <x:v>实际用油重</x:v>
      </x:c>
    </x:row>
    <x:row r="1442" ht="23" customHeight="1">
      <x:c r="A1442" t="n">
        <x:v>241</x:v>
      </x:c>
      <x:c r="B1442" t="n">
        <x:v>121</x:v>
      </x:c>
      <x:c r="C1442" t="str">
        <x:v>午餐</x:v>
      </x:c>
      <x:c r="D1442" t="str">
        <x:v>鱼类</x:v>
      </x:c>
      <x:c r="E1442" t="str">
        <x:v>鳕鱼</x:v>
      </x:c>
      <x:c r="F1442" t="n">
        <x:v>215</x:v>
      </x:c>
      <x:c r="G1442" t="n">
        <x:v>85</x:v>
      </x:c>
      <x:c r="H1442" t="n">
        <x:f>ROUND(F1442*G1442/100,2)</x:f>
        <x:v>182.75</x:v>
      </x:c>
      <x:c r="I1442" t="n">
        <x:v>18</x:v>
      </x:c>
      <x:c r="J1442" t="n">
        <x:f>ROUND(F1442*I1442/100,2)</x:f>
        <x:v>38.7</x:v>
      </x:c>
      <x:c r="K1442" t="n">
        <x:v>0</x:v>
      </x:c>
      <x:c r="L1442" t="n">
        <x:f>ROUND(F1442*K1442/100,2)</x:f>
        <x:v>0</x:v>
      </x:c>
      <x:c r="M1442" t="n">
        <x:v>0.8</x:v>
      </x:c>
      <x:c r="N1442" t="n">
        <x:f>ROUND(F1442*M1442/100,2)</x:f>
        <x:v>1.72</x:v>
      </x:c>
      <x:c r="O1442" t="str">
        <x:v>净鱼肉生重</x:v>
      </x:c>
    </x:row>
    <x:row r="1443" ht="23" customHeight="1">
      <x:c r="A1443" t="n">
        <x:v>241</x:v>
      </x:c>
      <x:c r="B1443" t="n">
        <x:v>121</x:v>
      </x:c>
      <x:c r="C1443" t="str">
        <x:v>午餐</x:v>
      </x:c>
      <x:c r="D1443" t="str"/>
      <x:c r="E1443" t="str"/>
      <x:c r="F1443" t="n">
        <x:v>0</x:v>
      </x:c>
      <x:c r="G1443" t="n">
        <x:v>0</x:v>
      </x:c>
      <x:c r="H1443" t="n">
        <x:f>ROUND(F1443*G1443/100,2)</x:f>
        <x:v>0</x:v>
      </x:c>
      <x:c r="I1443" t="n">
        <x:v>0</x:v>
      </x:c>
      <x:c r="J1443" t="n">
        <x:f>ROUND(F1443*I1443/100,2)</x:f>
        <x:v>0</x:v>
      </x:c>
      <x:c r="K1443" t="n">
        <x:v>0</x:v>
      </x:c>
      <x:c r="L1443" t="n">
        <x:f>ROUND(F1443*K1443/100,2)</x:f>
        <x:v>0</x:v>
      </x:c>
      <x:c r="M1443" t="n">
        <x:v>0</x:v>
      </x:c>
      <x:c r="N1443" t="n">
        <x:f>ROUND(F1443*M1443/100,2)</x:f>
        <x:v>0</x:v>
      </x:c>
      <x:c r="O1443" t="str"/>
    </x:row>
    <x:row r="1444" ht="23" customHeight="1">
      <x:c r="A1444" t="n">
        <x:v>241</x:v>
      </x:c>
      <x:c r="B1444" t="n">
        <x:v>121</x:v>
      </x:c>
      <x:c r="C1444" t="str">
        <x:v>午餐</x:v>
      </x:c>
      <x:c r="D1444" t="str">
        <x:v>蔬菜</x:v>
      </x:c>
      <x:c r="E1444" t="str">
        <x:v>花菜</x:v>
      </x:c>
      <x:c r="F1444" t="n">
        <x:v>140</x:v>
      </x:c>
      <x:c r="G1444" t="n">
        <x:v>25</x:v>
      </x:c>
      <x:c r="H1444" t="n">
        <x:f>ROUND(F1444*G1444/100,2)</x:f>
        <x:v>35</x:v>
      </x:c>
      <x:c r="I1444" t="n">
        <x:v>2</x:v>
      </x:c>
      <x:c r="J1444" t="n">
        <x:f>ROUND(F1444*I1444/100,2)</x:f>
        <x:v>2.8</x:v>
      </x:c>
      <x:c r="K1444" t="n">
        <x:v>5</x:v>
      </x:c>
      <x:c r="L1444" t="n">
        <x:f>ROUND(F1444*K1444/100,2)</x:f>
        <x:v>7</x:v>
      </x:c>
      <x:c r="M1444" t="n">
        <x:v>0.3</x:v>
      </x:c>
      <x:c r="N1444" t="n">
        <x:f>ROUND(F1444*M1444/100,2)</x:f>
        <x:v>0.42</x:v>
      </x:c>
      <x:c r="O1444" t="str">
        <x:v>生重</x:v>
      </x:c>
    </x:row>
    <x:row r="1445" ht="23" customHeight="1">
      <x:c r="A1445" t="n">
        <x:v>241</x:v>
      </x:c>
      <x:c r="B1445" t="n">
        <x:v>121</x:v>
      </x:c>
      <x:c r="C1445" t="str">
        <x:v>午餐</x:v>
      </x:c>
      <x:c r="D1445" t="str">
        <x:v>菌菇</x:v>
      </x:c>
      <x:c r="E1445" t="str">
        <x:v>金针菇</x:v>
      </x:c>
      <x:c r="F1445" t="n">
        <x:v>140</x:v>
      </x:c>
      <x:c r="G1445" t="n">
        <x:v>32</x:v>
      </x:c>
      <x:c r="H1445" t="n">
        <x:f>ROUND(F1445*G1445/100,2)</x:f>
        <x:v>44.8</x:v>
      </x:c>
      <x:c r="I1445" t="n">
        <x:v>2.4</x:v>
      </x:c>
      <x:c r="J1445" t="n">
        <x:f>ROUND(F1445*I1445/100,2)</x:f>
        <x:v>3.36</x:v>
      </x:c>
      <x:c r="K1445" t="n">
        <x:v>6.4</x:v>
      </x:c>
      <x:c r="L1445" t="n">
        <x:f>ROUND(F1445*K1445/100,2)</x:f>
        <x:v>8.96</x:v>
      </x:c>
      <x:c r="M1445" t="n">
        <x:v>0.2</x:v>
      </x:c>
      <x:c r="N1445" t="n">
        <x:f>ROUND(F1445*M1445/100,2)</x:f>
        <x:v>0.28</x:v>
      </x:c>
      <x:c r="O1445" t="str">
        <x:v>生重</x:v>
      </x:c>
    </x:row>
    <x:row r="1446" ht="23" customHeight="1">
      <x:c r="A1446" t="n">
        <x:v>241</x:v>
      </x:c>
      <x:c r="B1446" t="n">
        <x:v>121</x:v>
      </x:c>
      <x:c r="C1446" t="str">
        <x:v>午餐</x:v>
      </x:c>
      <x:c r="D1446" t="str">
        <x:v>主食</x:v>
      </x:c>
      <x:c r="E1446" t="str">
        <x:v>藜麦饭</x:v>
      </x:c>
      <x:c r="F1446" t="n">
        <x:v>110</x:v>
      </x:c>
      <x:c r="G1446" t="n">
        <x:v>120</x:v>
      </x:c>
      <x:c r="H1446" t="n">
        <x:f>ROUND(F1446*G1446/100,2)</x:f>
        <x:v>132</x:v>
      </x:c>
      <x:c r="I1446" t="n">
        <x:v>4.4</x:v>
      </x:c>
      <x:c r="J1446" t="n">
        <x:f>ROUND(F1446*I1446/100,2)</x:f>
        <x:v>4.84</x:v>
      </x:c>
      <x:c r="K1446" t="n">
        <x:v>21.3</x:v>
      </x:c>
      <x:c r="L1446" t="n">
        <x:f>ROUND(F1446*K1446/100,2)</x:f>
        <x:v>23.43</x:v>
      </x:c>
      <x:c r="M1446" t="n">
        <x:v>1.9</x:v>
      </x:c>
      <x:c r="N1446" t="n">
        <x:f>ROUND(F1446*M1446/100,2)</x:f>
        <x:v>2.09</x:v>
      </x:c>
      <x:c r="O1446" t="str">
        <x:v>熟重</x:v>
      </x:c>
    </x:row>
    <x:row r="1447" ht="23" customHeight="1">
      <x:c r="A1447" t="n">
        <x:v>241</x:v>
      </x:c>
      <x:c r="B1447" t="n">
        <x:v>121</x:v>
      </x:c>
      <x:c r="C1447" t="str">
        <x:v>午餐</x:v>
      </x:c>
      <x:c r="D1447" t="str">
        <x:v>油脂</x:v>
      </x:c>
      <x:c r="E1447" t="str">
        <x:v>烹调油</x:v>
      </x:c>
      <x:c r="F1447" t="n">
        <x:v>4</x:v>
      </x:c>
      <x:c r="G1447" t="n">
        <x:v>900</x:v>
      </x:c>
      <x:c r="H1447" t="n">
        <x:f>ROUND(F1447*G1447/100,2)</x:f>
        <x:v>36</x:v>
      </x:c>
      <x:c r="I1447" t="n">
        <x:v>0</x:v>
      </x:c>
      <x:c r="J1447" t="n">
        <x:f>ROUND(F1447*I1447/100,2)</x:f>
        <x:v>0</x:v>
      </x:c>
      <x:c r="K1447" t="n">
        <x:v>0</x:v>
      </x:c>
      <x:c r="L1447" t="n">
        <x:f>ROUND(F1447*K1447/100,2)</x:f>
        <x:v>0</x:v>
      </x:c>
      <x:c r="M1447" t="n">
        <x:v>100</x:v>
      </x:c>
      <x:c r="N1447" t="n">
        <x:f>ROUND(F1447*M1447/100,2)</x:f>
        <x:v>4</x:v>
      </x:c>
      <x:c r="O1447" t="str">
        <x:v>实际用油重</x:v>
      </x:c>
    </x:row>
    <x:row r="1448" ht="23" customHeight="1">
      <x:c r="A1448" t="n">
        <x:v>242</x:v>
      </x:c>
      <x:c r="B1448" t="n">
        <x:v>121</x:v>
      </x:c>
      <x:c r="C1448" t="str">
        <x:v>晚餐</x:v>
      </x:c>
      <x:c r="D1448" t="str">
        <x:v>海鲜</x:v>
      </x:c>
      <x:c r="E1448" t="str">
        <x:v>虾仁</x:v>
      </x:c>
      <x:c r="F1448" t="n">
        <x:v>175</x:v>
      </x:c>
      <x:c r="G1448" t="n">
        <x:v>90</x:v>
      </x:c>
      <x:c r="H1448" t="n">
        <x:f>ROUND(F1448*G1448/100,2)</x:f>
        <x:v>157.5</x:v>
      </x:c>
      <x:c r="I1448" t="n">
        <x:v>19</x:v>
      </x:c>
      <x:c r="J1448" t="n">
        <x:f>ROUND(F1448*I1448/100,2)</x:f>
        <x:v>33.25</x:v>
      </x:c>
      <x:c r="K1448" t="n">
        <x:v>0.4</x:v>
      </x:c>
      <x:c r="L1448" t="n">
        <x:f>ROUND(F1448*K1448/100,2)</x:f>
        <x:v>0.7</x:v>
      </x:c>
      <x:c r="M1448" t="n">
        <x:v>1.1</x:v>
      </x:c>
      <x:c r="N1448" t="n">
        <x:f>ROUND(F1448*M1448/100,2)</x:f>
        <x:v>1.93</x:v>
      </x:c>
      <x:c r="O1448" t="str">
        <x:v>生重</x:v>
      </x:c>
    </x:row>
    <x:row r="1449" ht="23" customHeight="1">
      <x:c r="A1449" t="n">
        <x:v>242</x:v>
      </x:c>
      <x:c r="B1449" t="n">
        <x:v>121</x:v>
      </x:c>
      <x:c r="C1449" t="str">
        <x:v>晚餐</x:v>
      </x:c>
      <x:c r="D1449" t="str"/>
      <x:c r="E1449" t="str"/>
      <x:c r="F1449" t="n">
        <x:v>0</x:v>
      </x:c>
      <x:c r="G1449" t="n">
        <x:v>0</x:v>
      </x:c>
      <x:c r="H1449" t="n">
        <x:f>ROUND(F1449*G1449/100,2)</x:f>
        <x:v>0</x:v>
      </x:c>
      <x:c r="I1449" t="n">
        <x:v>0</x:v>
      </x:c>
      <x:c r="J1449" t="n">
        <x:f>ROUND(F1449*I1449/100,2)</x:f>
        <x:v>0</x:v>
      </x:c>
      <x:c r="K1449" t="n">
        <x:v>0</x:v>
      </x:c>
      <x:c r="L1449" t="n">
        <x:f>ROUND(F1449*K1449/100,2)</x:f>
        <x:v>0</x:v>
      </x:c>
      <x:c r="M1449" t="n">
        <x:v>0</x:v>
      </x:c>
      <x:c r="N1449" t="n">
        <x:f>ROUND(F1449*M1449/100,2)</x:f>
        <x:v>0</x:v>
      </x:c>
      <x:c r="O1449" t="str"/>
    </x:row>
    <x:row r="1450" ht="23" customHeight="1">
      <x:c r="A1450" t="n">
        <x:v>242</x:v>
      </x:c>
      <x:c r="B1450" t="n">
        <x:v>121</x:v>
      </x:c>
      <x:c r="C1450" t="str">
        <x:v>晚餐</x:v>
      </x:c>
      <x:c r="D1450" t="str">
        <x:v>蔬菜</x:v>
      </x:c>
      <x:c r="E1450" t="str">
        <x:v>生菜</x:v>
      </x:c>
      <x:c r="F1450" t="n">
        <x:v>175</x:v>
      </x:c>
      <x:c r="G1450" t="n">
        <x:v>16</x:v>
      </x:c>
      <x:c r="H1450" t="n">
        <x:f>ROUND(F1450*G1450/100,2)</x:f>
        <x:v>28</x:v>
      </x:c>
      <x:c r="I1450" t="n">
        <x:v>1.4</x:v>
      </x:c>
      <x:c r="J1450" t="n">
        <x:f>ROUND(F1450*I1450/100,2)</x:f>
        <x:v>2.45</x:v>
      </x:c>
      <x:c r="K1450" t="n">
        <x:v>2.9</x:v>
      </x:c>
      <x:c r="L1450" t="n">
        <x:f>ROUND(F1450*K1450/100,2)</x:f>
        <x:v>5.08</x:v>
      </x:c>
      <x:c r="M1450" t="n">
        <x:v>0.1</x:v>
      </x:c>
      <x:c r="N1450" t="n">
        <x:f>ROUND(F1450*M1450/100,2)</x:f>
        <x:v>0.18</x:v>
      </x:c>
      <x:c r="O1450" t="str">
        <x:v>生重</x:v>
      </x:c>
    </x:row>
    <x:row r="1451" ht="23" customHeight="1">
      <x:c r="A1451" t="n">
        <x:v>242</x:v>
      </x:c>
      <x:c r="B1451" t="n">
        <x:v>121</x:v>
      </x:c>
      <x:c r="C1451" t="str">
        <x:v>晚餐</x:v>
      </x:c>
      <x:c r="D1451" t="str">
        <x:v>蔬菜</x:v>
      </x:c>
      <x:c r="E1451" t="str">
        <x:v>莴笋</x:v>
      </x:c>
      <x:c r="F1451" t="n">
        <x:v>155</x:v>
      </x:c>
      <x:c r="G1451" t="n">
        <x:v>15</x:v>
      </x:c>
      <x:c r="H1451" t="n">
        <x:f>ROUND(F1451*G1451/100,2)</x:f>
        <x:v>23.25</x:v>
      </x:c>
      <x:c r="I1451" t="n">
        <x:v>1</x:v>
      </x:c>
      <x:c r="J1451" t="n">
        <x:f>ROUND(F1451*I1451/100,2)</x:f>
        <x:v>1.55</x:v>
      </x:c>
      <x:c r="K1451" t="n">
        <x:v>2.8</x:v>
      </x:c>
      <x:c r="L1451" t="n">
        <x:f>ROUND(F1451*K1451/100,2)</x:f>
        <x:v>4.34</x:v>
      </x:c>
      <x:c r="M1451" t="n">
        <x:v>0.1</x:v>
      </x:c>
      <x:c r="N1451" t="n">
        <x:f>ROUND(F1451*M1451/100,2)</x:f>
        <x:v>0.16</x:v>
      </x:c>
      <x:c r="O1451" t="str">
        <x:v>生重</x:v>
      </x:c>
    </x:row>
    <x:row r="1452" ht="23" customHeight="1">
      <x:c r="A1452" t="n">
        <x:v>242</x:v>
      </x:c>
      <x:c r="B1452" t="n">
        <x:v>121</x:v>
      </x:c>
      <x:c r="C1452" t="str">
        <x:v>晚餐</x:v>
      </x:c>
      <x:c r="D1452" t="str">
        <x:v>主食</x:v>
      </x:c>
      <x:c r="E1452" t="str">
        <x:v>白米饭</x:v>
      </x:c>
      <x:c r="F1452" t="n">
        <x:v>80</x:v>
      </x:c>
      <x:c r="G1452" t="n">
        <x:v>116</x:v>
      </x:c>
      <x:c r="H1452" t="n">
        <x:f>ROUND(F1452*G1452/100,2)</x:f>
        <x:v>92.8</x:v>
      </x:c>
      <x:c r="I1452" t="n">
        <x:v>2.6</x:v>
      </x:c>
      <x:c r="J1452" t="n">
        <x:f>ROUND(F1452*I1452/100,2)</x:f>
        <x:v>2.08</x:v>
      </x:c>
      <x:c r="K1452" t="n">
        <x:v>25.6</x:v>
      </x:c>
      <x:c r="L1452" t="n">
        <x:f>ROUND(F1452*K1452/100,2)</x:f>
        <x:v>20.48</x:v>
      </x:c>
      <x:c r="M1452" t="n">
        <x:v>0.3</x:v>
      </x:c>
      <x:c r="N1452" t="n">
        <x:f>ROUND(F1452*M1452/100,2)</x:f>
        <x:v>0.24</x:v>
      </x:c>
      <x:c r="O1452" t="str">
        <x:v>熟重</x:v>
      </x:c>
    </x:row>
    <x:row r="1453" ht="23" customHeight="1">
      <x:c r="A1453" t="n">
        <x:v>242</x:v>
      </x:c>
      <x:c r="B1453" t="n">
        <x:v>121</x:v>
      </x:c>
      <x:c r="C1453" t="str">
        <x:v>晚餐</x:v>
      </x:c>
      <x:c r="D1453" t="str">
        <x:v>油脂</x:v>
      </x:c>
      <x:c r="E1453" t="str">
        <x:v>烹调油</x:v>
      </x:c>
      <x:c r="F1453" t="n">
        <x:v>6</x:v>
      </x:c>
      <x:c r="G1453" t="n">
        <x:v>900</x:v>
      </x:c>
      <x:c r="H1453" t="n">
        <x:f>ROUND(F1453*G1453/100,2)</x:f>
        <x:v>54</x:v>
      </x:c>
      <x:c r="I1453" t="n">
        <x:v>0</x:v>
      </x:c>
      <x:c r="J1453" t="n">
        <x:f>ROUND(F1453*I1453/100,2)</x:f>
        <x:v>0</x:v>
      </x:c>
      <x:c r="K1453" t="n">
        <x:v>0</x:v>
      </x:c>
      <x:c r="L1453" t="n">
        <x:f>ROUND(F1453*K1453/100,2)</x:f>
        <x:v>0</x:v>
      </x:c>
      <x:c r="M1453" t="n">
        <x:v>100</x:v>
      </x:c>
      <x:c r="N1453" t="n">
        <x:f>ROUND(F1453*M1453/100,2)</x:f>
        <x:v>6</x:v>
      </x:c>
      <x:c r="O1453" t="str">
        <x:v>实际用油重</x:v>
      </x:c>
    </x:row>
    <x:row r="1454" ht="23" customHeight="1">
      <x:c r="A1454" t="n">
        <x:v>243</x:v>
      </x:c>
      <x:c r="B1454" t="n">
        <x:v>122</x:v>
      </x:c>
      <x:c r="C1454" t="str">
        <x:v>午餐</x:v>
      </x:c>
      <x:c r="D1454" t="str">
        <x:v>鱼类</x:v>
      </x:c>
      <x:c r="E1454" t="str">
        <x:v>巴沙鱼</x:v>
      </x:c>
      <x:c r="F1454" t="n">
        <x:v>175</x:v>
      </x:c>
      <x:c r="G1454" t="n">
        <x:v>90</x:v>
      </x:c>
      <x:c r="H1454" t="n">
        <x:f>ROUND(F1454*G1454/100,2)</x:f>
        <x:v>157.5</x:v>
      </x:c>
      <x:c r="I1454" t="n">
        <x:v>17</x:v>
      </x:c>
      <x:c r="J1454" t="n">
        <x:f>ROUND(F1454*I1454/100,2)</x:f>
        <x:v>29.75</x:v>
      </x:c>
      <x:c r="K1454" t="n">
        <x:v>0</x:v>
      </x:c>
      <x:c r="L1454" t="n">
        <x:f>ROUND(F1454*K1454/100,2)</x:f>
        <x:v>0</x:v>
      </x:c>
      <x:c r="M1454" t="n">
        <x:v>2.3</x:v>
      </x:c>
      <x:c r="N1454" t="n">
        <x:f>ROUND(F1454*M1454/100,2)</x:f>
        <x:v>4.02</x:v>
      </x:c>
      <x:c r="O1454" t="str">
        <x:v>净鱼肉生重</x:v>
      </x:c>
    </x:row>
    <x:row r="1455" ht="23" customHeight="1">
      <x:c r="A1455" t="n">
        <x:v>243</x:v>
      </x:c>
      <x:c r="B1455" t="n">
        <x:v>122</x:v>
      </x:c>
      <x:c r="C1455" t="str">
        <x:v>午餐</x:v>
      </x:c>
      <x:c r="D1455" t="str"/>
      <x:c r="E1455" t="str"/>
      <x:c r="F1455" t="n">
        <x:v>0</x:v>
      </x:c>
      <x:c r="G1455" t="n">
        <x:v>0</x:v>
      </x:c>
      <x:c r="H1455" t="n">
        <x:f>ROUND(F1455*G1455/100,2)</x:f>
        <x:v>0</x:v>
      </x:c>
      <x:c r="I1455" t="n">
        <x:v>0</x:v>
      </x:c>
      <x:c r="J1455" t="n">
        <x:f>ROUND(F1455*I1455/100,2)</x:f>
        <x:v>0</x:v>
      </x:c>
      <x:c r="K1455" t="n">
        <x:v>0</x:v>
      </x:c>
      <x:c r="L1455" t="n">
        <x:f>ROUND(F1455*K1455/100,2)</x:f>
        <x:v>0</x:v>
      </x:c>
      <x:c r="M1455" t="n">
        <x:v>0</x:v>
      </x:c>
      <x:c r="N1455" t="n">
        <x:f>ROUND(F1455*M1455/100,2)</x:f>
        <x:v>0</x:v>
      </x:c>
      <x:c r="O1455" t="str"/>
    </x:row>
    <x:row r="1456" ht="23" customHeight="1">
      <x:c r="A1456" t="n">
        <x:v>243</x:v>
      </x:c>
      <x:c r="B1456" t="n">
        <x:v>122</x:v>
      </x:c>
      <x:c r="C1456" t="str">
        <x:v>午餐</x:v>
      </x:c>
      <x:c r="D1456" t="str">
        <x:v>蔬菜</x:v>
      </x:c>
      <x:c r="E1456" t="str">
        <x:v>芦笋</x:v>
      </x:c>
      <x:c r="F1456" t="n">
        <x:v>140</x:v>
      </x:c>
      <x:c r="G1456" t="n">
        <x:v>20</x:v>
      </x:c>
      <x:c r="H1456" t="n">
        <x:f>ROUND(F1456*G1456/100,2)</x:f>
        <x:v>28</x:v>
      </x:c>
      <x:c r="I1456" t="n">
        <x:v>2.2</x:v>
      </x:c>
      <x:c r="J1456" t="n">
        <x:f>ROUND(F1456*I1456/100,2)</x:f>
        <x:v>3.08</x:v>
      </x:c>
      <x:c r="K1456" t="n">
        <x:v>3.9</x:v>
      </x:c>
      <x:c r="L1456" t="n">
        <x:f>ROUND(F1456*K1456/100,2)</x:f>
        <x:v>5.46</x:v>
      </x:c>
      <x:c r="M1456" t="n">
        <x:v>0.1</x:v>
      </x:c>
      <x:c r="N1456" t="n">
        <x:f>ROUND(F1456*M1456/100,2)</x:f>
        <x:v>0.14</x:v>
      </x:c>
      <x:c r="O1456" t="str">
        <x:v>生重</x:v>
      </x:c>
    </x:row>
    <x:row r="1457" ht="23" customHeight="1">
      <x:c r="A1457" t="n">
        <x:v>243</x:v>
      </x:c>
      <x:c r="B1457" t="n">
        <x:v>122</x:v>
      </x:c>
      <x:c r="C1457" t="str">
        <x:v>午餐</x:v>
      </x:c>
      <x:c r="D1457" t="str">
        <x:v>蔬菜</x:v>
      </x:c>
      <x:c r="E1457" t="str">
        <x:v>菜心</x:v>
      </x:c>
      <x:c r="F1457" t="n">
        <x:v>125</x:v>
      </x:c>
      <x:c r="G1457" t="n">
        <x:v>20</x:v>
      </x:c>
      <x:c r="H1457" t="n">
        <x:f>ROUND(F1457*G1457/100,2)</x:f>
        <x:v>25</x:v>
      </x:c>
      <x:c r="I1457" t="n">
        <x:v>2</x:v>
      </x:c>
      <x:c r="J1457" t="n">
        <x:f>ROUND(F1457*I1457/100,2)</x:f>
        <x:v>2.5</x:v>
      </x:c>
      <x:c r="K1457" t="n">
        <x:v>3.5</x:v>
      </x:c>
      <x:c r="L1457" t="n">
        <x:f>ROUND(F1457*K1457/100,2)</x:f>
        <x:v>4.38</x:v>
      </x:c>
      <x:c r="M1457" t="n">
        <x:v>0.3</x:v>
      </x:c>
      <x:c r="N1457" t="n">
        <x:f>ROUND(F1457*M1457/100,2)</x:f>
        <x:v>0.38</x:v>
      </x:c>
      <x:c r="O1457" t="str">
        <x:v>生重</x:v>
      </x:c>
    </x:row>
    <x:row r="1458" ht="23" customHeight="1">
      <x:c r="A1458" t="n">
        <x:v>243</x:v>
      </x:c>
      <x:c r="B1458" t="n">
        <x:v>122</x:v>
      </x:c>
      <x:c r="C1458" t="str">
        <x:v>午餐</x:v>
      </x:c>
      <x:c r="D1458" t="str">
        <x:v>主食</x:v>
      </x:c>
      <x:c r="E1458" t="str">
        <x:v>燕麦饭</x:v>
      </x:c>
      <x:c r="F1458" t="n">
        <x:v>135</x:v>
      </x:c>
      <x:c r="G1458" t="n">
        <x:v>110</x:v>
      </x:c>
      <x:c r="H1458" t="n">
        <x:f>ROUND(F1458*G1458/100,2)</x:f>
        <x:v>148.5</x:v>
      </x:c>
      <x:c r="I1458" t="n">
        <x:v>3.2</x:v>
      </x:c>
      <x:c r="J1458" t="n">
        <x:f>ROUND(F1458*I1458/100,2)</x:f>
        <x:v>4.32</x:v>
      </x:c>
      <x:c r="K1458" t="n">
        <x:v>21</x:v>
      </x:c>
      <x:c r="L1458" t="n">
        <x:f>ROUND(F1458*K1458/100,2)</x:f>
        <x:v>28.35</x:v>
      </x:c>
      <x:c r="M1458" t="n">
        <x:v>1.8</x:v>
      </x:c>
      <x:c r="N1458" t="n">
        <x:f>ROUND(F1458*M1458/100,2)</x:f>
        <x:v>2.43</x:v>
      </x:c>
      <x:c r="O1458" t="str">
        <x:v>熟重</x:v>
      </x:c>
    </x:row>
    <x:row r="1459" ht="23" customHeight="1">
      <x:c r="A1459" t="n">
        <x:v>243</x:v>
      </x:c>
      <x:c r="B1459" t="n">
        <x:v>122</x:v>
      </x:c>
      <x:c r="C1459" t="str">
        <x:v>午餐</x:v>
      </x:c>
      <x:c r="D1459" t="str">
        <x:v>油脂</x:v>
      </x:c>
      <x:c r="E1459" t="str">
        <x:v>烹调油</x:v>
      </x:c>
      <x:c r="F1459" t="n">
        <x:v>5</x:v>
      </x:c>
      <x:c r="G1459" t="n">
        <x:v>900</x:v>
      </x:c>
      <x:c r="H1459" t="n">
        <x:f>ROUND(F1459*G1459/100,2)</x:f>
        <x:v>45</x:v>
      </x:c>
      <x:c r="I1459" t="n">
        <x:v>0</x:v>
      </x:c>
      <x:c r="J1459" t="n">
        <x:f>ROUND(F1459*I1459/100,2)</x:f>
        <x:v>0</x:v>
      </x:c>
      <x:c r="K1459" t="n">
        <x:v>0</x:v>
      </x:c>
      <x:c r="L1459" t="n">
        <x:f>ROUND(F1459*K1459/100,2)</x:f>
        <x:v>0</x:v>
      </x:c>
      <x:c r="M1459" t="n">
        <x:v>100</x:v>
      </x:c>
      <x:c r="N1459" t="n">
        <x:f>ROUND(F1459*M1459/100,2)</x:f>
        <x:v>5</x:v>
      </x:c>
      <x:c r="O1459" t="str">
        <x:v>实际用油重</x:v>
      </x:c>
    </x:row>
    <x:row r="1460" ht="23" customHeight="1">
      <x:c r="A1460" t="n">
        <x:v>244</x:v>
      </x:c>
      <x:c r="B1460" t="n">
        <x:v>122</x:v>
      </x:c>
      <x:c r="C1460" t="str">
        <x:v>晚餐</x:v>
      </x:c>
      <x:c r="D1460" t="str">
        <x:v>豆蛋</x:v>
      </x:c>
      <x:c r="E1460" t="str">
        <x:v>北豆腐</x:v>
      </x:c>
      <x:c r="F1460" t="n">
        <x:v>240</x:v>
      </x:c>
      <x:c r="G1460" t="n">
        <x:v>90</x:v>
      </x:c>
      <x:c r="H1460" t="n">
        <x:f>ROUND(F1460*G1460/100,2)</x:f>
        <x:v>216</x:v>
      </x:c>
      <x:c r="I1460" t="n">
        <x:v>10</x:v>
      </x:c>
      <x:c r="J1460" t="n">
        <x:f>ROUND(F1460*I1460/100,2)</x:f>
        <x:v>24</x:v>
      </x:c>
      <x:c r="K1460" t="n">
        <x:v>2</x:v>
      </x:c>
      <x:c r="L1460" t="n">
        <x:f>ROUND(F1460*K1460/100,2)</x:f>
        <x:v>4.8</x:v>
      </x:c>
      <x:c r="M1460" t="n">
        <x:v>5</x:v>
      </x:c>
      <x:c r="N1460" t="n">
        <x:f>ROUND(F1460*M1460/100,2)</x:f>
        <x:v>12</x:v>
      </x:c>
      <x:c r="O1460" t="str">
        <x:v>净重</x:v>
      </x:c>
    </x:row>
    <x:row r="1461" ht="23" customHeight="1">
      <x:c r="A1461" t="n">
        <x:v>244</x:v>
      </x:c>
      <x:c r="B1461" t="n">
        <x:v>122</x:v>
      </x:c>
      <x:c r="C1461" t="str">
        <x:v>晚餐</x:v>
      </x:c>
      <x:c r="D1461" t="str">
        <x:v>豆蛋</x:v>
      </x:c>
      <x:c r="E1461" t="str">
        <x:v>鸡蛋</x:v>
      </x:c>
      <x:c r="F1461" t="n">
        <x:v>85</x:v>
      </x:c>
      <x:c r="G1461" t="n">
        <x:v>144</x:v>
      </x:c>
      <x:c r="H1461" t="n">
        <x:f>ROUND(F1461*G1461/100,2)</x:f>
        <x:v>122.4</x:v>
      </x:c>
      <x:c r="I1461" t="n">
        <x:v>13</x:v>
      </x:c>
      <x:c r="J1461" t="n">
        <x:f>ROUND(F1461*I1461/100,2)</x:f>
        <x:v>11.05</x:v>
      </x:c>
      <x:c r="K1461" t="n">
        <x:v>1.1</x:v>
      </x:c>
      <x:c r="L1461" t="n">
        <x:f>ROUND(F1461*K1461/100,2)</x:f>
        <x:v>0.94</x:v>
      </x:c>
      <x:c r="M1461" t="n">
        <x:v>10</x:v>
      </x:c>
      <x:c r="N1461" t="n">
        <x:f>ROUND(F1461*M1461/100,2)</x:f>
        <x:v>8.5</x:v>
      </x:c>
      <x:c r="O1461" t="str">
        <x:v>去壳可食重</x:v>
      </x:c>
    </x:row>
    <x:row r="1462" ht="23" customHeight="1">
      <x:c r="A1462" t="n">
        <x:v>244</x:v>
      </x:c>
      <x:c r="B1462" t="n">
        <x:v>122</x:v>
      </x:c>
      <x:c r="C1462" t="str">
        <x:v>晚餐</x:v>
      </x:c>
      <x:c r="D1462" t="str">
        <x:v>蔬菜</x:v>
      </x:c>
      <x:c r="E1462" t="str">
        <x:v>紫甘蓝</x:v>
      </x:c>
      <x:c r="F1462" t="n">
        <x:v>160</x:v>
      </x:c>
      <x:c r="G1462" t="n">
        <x:v>31</x:v>
      </x:c>
      <x:c r="H1462" t="n">
        <x:f>ROUND(F1462*G1462/100,2)</x:f>
        <x:v>49.6</x:v>
      </x:c>
      <x:c r="I1462" t="n">
        <x:v>1.4</x:v>
      </x:c>
      <x:c r="J1462" t="n">
        <x:f>ROUND(F1462*I1462/100,2)</x:f>
        <x:v>2.24</x:v>
      </x:c>
      <x:c r="K1462" t="n">
        <x:v>7.3</x:v>
      </x:c>
      <x:c r="L1462" t="n">
        <x:f>ROUND(F1462*K1462/100,2)</x:f>
        <x:v>11.68</x:v>
      </x:c>
      <x:c r="M1462" t="n">
        <x:v>0.1</x:v>
      </x:c>
      <x:c r="N1462" t="n">
        <x:f>ROUND(F1462*M1462/100,2)</x:f>
        <x:v>0.16</x:v>
      </x:c>
      <x:c r="O1462" t="str">
        <x:v>生重</x:v>
      </x:c>
    </x:row>
    <x:row r="1463" ht="23" customHeight="1">
      <x:c r="A1463" t="n">
        <x:v>244</x:v>
      </x:c>
      <x:c r="B1463" t="n">
        <x:v>122</x:v>
      </x:c>
      <x:c r="C1463" t="str">
        <x:v>晚餐</x:v>
      </x:c>
      <x:c r="D1463" t="str">
        <x:v>菌菇</x:v>
      </x:c>
      <x:c r="E1463" t="str">
        <x:v>口蘑</x:v>
      </x:c>
      <x:c r="F1463" t="n">
        <x:v>110</x:v>
      </x:c>
      <x:c r="G1463" t="n">
        <x:v>22</x:v>
      </x:c>
      <x:c r="H1463" t="n">
        <x:f>ROUND(F1463*G1463/100,2)</x:f>
        <x:v>24.2</x:v>
      </x:c>
      <x:c r="I1463" t="n">
        <x:v>3.1</x:v>
      </x:c>
      <x:c r="J1463" t="n">
        <x:f>ROUND(F1463*I1463/100,2)</x:f>
        <x:v>3.41</x:v>
      </x:c>
      <x:c r="K1463" t="n">
        <x:v>3.3</x:v>
      </x:c>
      <x:c r="L1463" t="n">
        <x:f>ROUND(F1463*K1463/100,2)</x:f>
        <x:v>3.63</x:v>
      </x:c>
      <x:c r="M1463" t="n">
        <x:v>0.3</x:v>
      </x:c>
      <x:c r="N1463" t="n">
        <x:f>ROUND(F1463*M1463/100,2)</x:f>
        <x:v>0.33</x:v>
      </x:c>
      <x:c r="O1463" t="str">
        <x:v>生重</x:v>
      </x:c>
    </x:row>
    <x:row r="1464" ht="23" customHeight="1">
      <x:c r="A1464" t="n">
        <x:v>244</x:v>
      </x:c>
      <x:c r="B1464" t="n">
        <x:v>122</x:v>
      </x:c>
      <x:c r="C1464" t="str">
        <x:v>晚餐</x:v>
      </x:c>
      <x:c r="D1464" t="str">
        <x:v>主食</x:v>
      </x:c>
      <x:c r="E1464" t="str">
        <x:v>荞麦饭</x:v>
      </x:c>
      <x:c r="F1464" t="n">
        <x:v>135</x:v>
      </x:c>
      <x:c r="G1464" t="n">
        <x:v>110</x:v>
      </x:c>
      <x:c r="H1464" t="n">
        <x:f>ROUND(F1464*G1464/100,2)</x:f>
        <x:v>148.5</x:v>
      </x:c>
      <x:c r="I1464" t="n">
        <x:v>3.4</x:v>
      </x:c>
      <x:c r="J1464" t="n">
        <x:f>ROUND(F1464*I1464/100,2)</x:f>
        <x:v>4.59</x:v>
      </x:c>
      <x:c r="K1464" t="n">
        <x:v>22</x:v>
      </x:c>
      <x:c r="L1464" t="n">
        <x:f>ROUND(F1464*K1464/100,2)</x:f>
        <x:v>29.7</x:v>
      </x:c>
      <x:c r="M1464" t="n">
        <x:v>1.1</x:v>
      </x:c>
      <x:c r="N1464" t="n">
        <x:f>ROUND(F1464*M1464/100,2)</x:f>
        <x:v>1.49</x:v>
      </x:c>
      <x:c r="O1464" t="str">
        <x:v>熟重</x:v>
      </x:c>
    </x:row>
    <x:row r="1465" ht="23" customHeight="1">
      <x:c r="A1465" t="n">
        <x:v>244</x:v>
      </x:c>
      <x:c r="B1465" t="n">
        <x:v>122</x:v>
      </x:c>
      <x:c r="C1465" t="str">
        <x:v>晚餐</x:v>
      </x:c>
      <x:c r="D1465" t="str">
        <x:v>油脂</x:v>
      </x:c>
      <x:c r="E1465" t="str">
        <x:v>烹调油</x:v>
      </x:c>
      <x:c r="F1465" t="n">
        <x:v>4</x:v>
      </x:c>
      <x:c r="G1465" t="n">
        <x:v>900</x:v>
      </x:c>
      <x:c r="H1465" t="n">
        <x:f>ROUND(F1465*G1465/100,2)</x:f>
        <x:v>36</x:v>
      </x:c>
      <x:c r="I1465" t="n">
        <x:v>0</x:v>
      </x:c>
      <x:c r="J1465" t="n">
        <x:f>ROUND(F1465*I1465/100,2)</x:f>
        <x:v>0</x:v>
      </x:c>
      <x:c r="K1465" t="n">
        <x:v>0</x:v>
      </x:c>
      <x:c r="L1465" t="n">
        <x:f>ROUND(F1465*K1465/100,2)</x:f>
        <x:v>0</x:v>
      </x:c>
      <x:c r="M1465" t="n">
        <x:v>100</x:v>
      </x:c>
      <x:c r="N1465" t="n">
        <x:f>ROUND(F1465*M1465/100,2)</x:f>
        <x:v>4</x:v>
      </x:c>
      <x:c r="O1465" t="str">
        <x:v>实际用油重</x:v>
      </x:c>
    </x:row>
    <x:row r="1466" ht="23" customHeight="1">
      <x:c r="A1466" t="n">
        <x:v>245</x:v>
      </x:c>
      <x:c r="B1466" t="n">
        <x:v>123</x:v>
      </x:c>
      <x:c r="C1466" t="str">
        <x:v>午餐</x:v>
      </x:c>
      <x:c r="D1466" t="str">
        <x:v>鱼类</x:v>
      </x:c>
      <x:c r="E1466" t="str">
        <x:v>鳕鱼</x:v>
      </x:c>
      <x:c r="F1466" t="n">
        <x:v>200</x:v>
      </x:c>
      <x:c r="G1466" t="n">
        <x:v>85</x:v>
      </x:c>
      <x:c r="H1466" t="n">
        <x:f>ROUND(F1466*G1466/100,2)</x:f>
        <x:v>170</x:v>
      </x:c>
      <x:c r="I1466" t="n">
        <x:v>18</x:v>
      </x:c>
      <x:c r="J1466" t="n">
        <x:f>ROUND(F1466*I1466/100,2)</x:f>
        <x:v>36</x:v>
      </x:c>
      <x:c r="K1466" t="n">
        <x:v>0</x:v>
      </x:c>
      <x:c r="L1466" t="n">
        <x:f>ROUND(F1466*K1466/100,2)</x:f>
        <x:v>0</x:v>
      </x:c>
      <x:c r="M1466" t="n">
        <x:v>0.8</x:v>
      </x:c>
      <x:c r="N1466" t="n">
        <x:f>ROUND(F1466*M1466/100,2)</x:f>
        <x:v>1.6</x:v>
      </x:c>
      <x:c r="O1466" t="str">
        <x:v>净鱼肉生重</x:v>
      </x:c>
    </x:row>
    <x:row r="1467" ht="23" customHeight="1">
      <x:c r="A1467" t="n">
        <x:v>245</x:v>
      </x:c>
      <x:c r="B1467" t="n">
        <x:v>123</x:v>
      </x:c>
      <x:c r="C1467" t="str">
        <x:v>午餐</x:v>
      </x:c>
      <x:c r="D1467" t="str"/>
      <x:c r="E1467" t="str"/>
      <x:c r="F1467" t="n">
        <x:v>0</x:v>
      </x:c>
      <x:c r="G1467" t="n">
        <x:v>0</x:v>
      </x:c>
      <x:c r="H1467" t="n">
        <x:f>ROUND(F1467*G1467/100,2)</x:f>
        <x:v>0</x:v>
      </x:c>
      <x:c r="I1467" t="n">
        <x:v>0</x:v>
      </x:c>
      <x:c r="J1467" t="n">
        <x:f>ROUND(F1467*I1467/100,2)</x:f>
        <x:v>0</x:v>
      </x:c>
      <x:c r="K1467" t="n">
        <x:v>0</x:v>
      </x:c>
      <x:c r="L1467" t="n">
        <x:f>ROUND(F1467*K1467/100,2)</x:f>
        <x:v>0</x:v>
      </x:c>
      <x:c r="M1467" t="n">
        <x:v>0</x:v>
      </x:c>
      <x:c r="N1467" t="n">
        <x:f>ROUND(F1467*M1467/100,2)</x:f>
        <x:v>0</x:v>
      </x:c>
      <x:c r="O1467" t="str"/>
    </x:row>
    <x:row r="1468" ht="23" customHeight="1">
      <x:c r="A1468" t="n">
        <x:v>245</x:v>
      </x:c>
      <x:c r="B1468" t="n">
        <x:v>123</x:v>
      </x:c>
      <x:c r="C1468" t="str">
        <x:v>午餐</x:v>
      </x:c>
      <x:c r="D1468" t="str">
        <x:v>蔬菜</x:v>
      </x:c>
      <x:c r="E1468" t="str">
        <x:v>西兰花</x:v>
      </x:c>
      <x:c r="F1468" t="n">
        <x:v>140</x:v>
      </x:c>
      <x:c r="G1468" t="n">
        <x:v>34</x:v>
      </x:c>
      <x:c r="H1468" t="n">
        <x:f>ROUND(F1468*G1468/100,2)</x:f>
        <x:v>47.6</x:v>
      </x:c>
      <x:c r="I1468" t="n">
        <x:v>2.8</x:v>
      </x:c>
      <x:c r="J1468" t="n">
        <x:f>ROUND(F1468*I1468/100,2)</x:f>
        <x:v>3.92</x:v>
      </x:c>
      <x:c r="K1468" t="n">
        <x:v>7</x:v>
      </x:c>
      <x:c r="L1468" t="n">
        <x:f>ROUND(F1468*K1468/100,2)</x:f>
        <x:v>9.8</x:v>
      </x:c>
      <x:c r="M1468" t="n">
        <x:v>0.4</x:v>
      </x:c>
      <x:c r="N1468" t="n">
        <x:f>ROUND(F1468*M1468/100,2)</x:f>
        <x:v>0.56</x:v>
      </x:c>
      <x:c r="O1468" t="str">
        <x:v>生重</x:v>
      </x:c>
    </x:row>
    <x:row r="1469" ht="23" customHeight="1">
      <x:c r="A1469" t="n">
        <x:v>245</x:v>
      </x:c>
      <x:c r="B1469" t="n">
        <x:v>123</x:v>
      </x:c>
      <x:c r="C1469" t="str">
        <x:v>午餐</x:v>
      </x:c>
      <x:c r="D1469" t="str">
        <x:v>蔬菜</x:v>
      </x:c>
      <x:c r="E1469" t="str">
        <x:v>黄瓜</x:v>
      </x:c>
      <x:c r="F1469" t="n">
        <x:v>155</x:v>
      </x:c>
      <x:c r="G1469" t="n">
        <x:v>16</x:v>
      </x:c>
      <x:c r="H1469" t="n">
        <x:f>ROUND(F1469*G1469/100,2)</x:f>
        <x:v>24.8</x:v>
      </x:c>
      <x:c r="I1469" t="n">
        <x:v>0.7</x:v>
      </x:c>
      <x:c r="J1469" t="n">
        <x:f>ROUND(F1469*I1469/100,2)</x:f>
        <x:v>1.09</x:v>
      </x:c>
      <x:c r="K1469" t="n">
        <x:v>3.6</x:v>
      </x:c>
      <x:c r="L1469" t="n">
        <x:f>ROUND(F1469*K1469/100,2)</x:f>
        <x:v>5.58</x:v>
      </x:c>
      <x:c r="M1469" t="n">
        <x:v>0.1</x:v>
      </x:c>
      <x:c r="N1469" t="n">
        <x:f>ROUND(F1469*M1469/100,2)</x:f>
        <x:v>0.16</x:v>
      </x:c>
      <x:c r="O1469" t="str">
        <x:v>生重</x:v>
      </x:c>
    </x:row>
    <x:row r="1470" ht="23" customHeight="1">
      <x:c r="A1470" t="n">
        <x:v>245</x:v>
      </x:c>
      <x:c r="B1470" t="n">
        <x:v>123</x:v>
      </x:c>
      <x:c r="C1470" t="str">
        <x:v>午餐</x:v>
      </x:c>
      <x:c r="D1470" t="str">
        <x:v>主食</x:v>
      </x:c>
      <x:c r="E1470" t="str">
        <x:v>荞麦面</x:v>
      </x:c>
      <x:c r="F1470" t="n">
        <x:v>165</x:v>
      </x:c>
      <x:c r="G1470" t="n">
        <x:v>105</x:v>
      </x:c>
      <x:c r="H1470" t="n">
        <x:f>ROUND(F1470*G1470/100,2)</x:f>
        <x:v>173.25</x:v>
      </x:c>
      <x:c r="I1470" t="n">
        <x:v>4</x:v>
      </x:c>
      <x:c r="J1470" t="n">
        <x:f>ROUND(F1470*I1470/100,2)</x:f>
        <x:v>6.6</x:v>
      </x:c>
      <x:c r="K1470" t="n">
        <x:v>21</x:v>
      </x:c>
      <x:c r="L1470" t="n">
        <x:f>ROUND(F1470*K1470/100,2)</x:f>
        <x:v>34.65</x:v>
      </x:c>
      <x:c r="M1470" t="n">
        <x:v>0.7</x:v>
      </x:c>
      <x:c r="N1470" t="n">
        <x:f>ROUND(F1470*M1470/100,2)</x:f>
        <x:v>1.15</x:v>
      </x:c>
      <x:c r="O1470" t="str">
        <x:v>煮熟沥水重</x:v>
      </x:c>
    </x:row>
    <x:row r="1471" ht="23" customHeight="1">
      <x:c r="A1471" t="n">
        <x:v>245</x:v>
      </x:c>
      <x:c r="B1471" t="n">
        <x:v>123</x:v>
      </x:c>
      <x:c r="C1471" t="str">
        <x:v>午餐</x:v>
      </x:c>
      <x:c r="D1471" t="str">
        <x:v>油脂</x:v>
      </x:c>
      <x:c r="E1471" t="str">
        <x:v>烹调油</x:v>
      </x:c>
      <x:c r="F1471" t="n">
        <x:v>6</x:v>
      </x:c>
      <x:c r="G1471" t="n">
        <x:v>900</x:v>
      </x:c>
      <x:c r="H1471" t="n">
        <x:f>ROUND(F1471*G1471/100,2)</x:f>
        <x:v>54</x:v>
      </x:c>
      <x:c r="I1471" t="n">
        <x:v>0</x:v>
      </x:c>
      <x:c r="J1471" t="n">
        <x:f>ROUND(F1471*I1471/100,2)</x:f>
        <x:v>0</x:v>
      </x:c>
      <x:c r="K1471" t="n">
        <x:v>0</x:v>
      </x:c>
      <x:c r="L1471" t="n">
        <x:f>ROUND(F1471*K1471/100,2)</x:f>
        <x:v>0</x:v>
      </x:c>
      <x:c r="M1471" t="n">
        <x:v>100</x:v>
      </x:c>
      <x:c r="N1471" t="n">
        <x:f>ROUND(F1471*M1471/100,2)</x:f>
        <x:v>6</x:v>
      </x:c>
      <x:c r="O1471" t="str">
        <x:v>实际用油重</x:v>
      </x:c>
    </x:row>
    <x:row r="1472" ht="23" customHeight="1">
      <x:c r="A1472" t="n">
        <x:v>246</x:v>
      </x:c>
      <x:c r="B1472" t="n">
        <x:v>123</x:v>
      </x:c>
      <x:c r="C1472" t="str">
        <x:v>晚餐</x:v>
      </x:c>
      <x:c r="D1472" t="str">
        <x:v>鱼类</x:v>
      </x:c>
      <x:c r="E1472" t="str">
        <x:v>鲈鱼</x:v>
      </x:c>
      <x:c r="F1472" t="n">
        <x:v>200</x:v>
      </x:c>
      <x:c r="G1472" t="n">
        <x:v>105</x:v>
      </x:c>
      <x:c r="H1472" t="n">
        <x:f>ROUND(F1472*G1472/100,2)</x:f>
        <x:v>210</x:v>
      </x:c>
      <x:c r="I1472" t="n">
        <x:v>19</x:v>
      </x:c>
      <x:c r="J1472" t="n">
        <x:f>ROUND(F1472*I1472/100,2)</x:f>
        <x:v>38</x:v>
      </x:c>
      <x:c r="K1472" t="n">
        <x:v>0</x:v>
      </x:c>
      <x:c r="L1472" t="n">
        <x:f>ROUND(F1472*K1472/100,2)</x:f>
        <x:v>0</x:v>
      </x:c>
      <x:c r="M1472" t="n">
        <x:v>3</x:v>
      </x:c>
      <x:c r="N1472" t="n">
        <x:f>ROUND(F1472*M1472/100,2)</x:f>
        <x:v>6</x:v>
      </x:c>
      <x:c r="O1472" t="str">
        <x:v>净鱼肉生重</x:v>
      </x:c>
    </x:row>
    <x:row r="1473" ht="23" customHeight="1">
      <x:c r="A1473" t="n">
        <x:v>246</x:v>
      </x:c>
      <x:c r="B1473" t="n">
        <x:v>123</x:v>
      </x:c>
      <x:c r="C1473" t="str">
        <x:v>晚餐</x:v>
      </x:c>
      <x:c r="D1473" t="str"/>
      <x:c r="E1473" t="str"/>
      <x:c r="F1473" t="n">
        <x:v>0</x:v>
      </x:c>
      <x:c r="G1473" t="n">
        <x:v>0</x:v>
      </x:c>
      <x:c r="H1473" t="n">
        <x:f>ROUND(F1473*G1473/100,2)</x:f>
        <x:v>0</x:v>
      </x:c>
      <x:c r="I1473" t="n">
        <x:v>0</x:v>
      </x:c>
      <x:c r="J1473" t="n">
        <x:f>ROUND(F1473*I1473/100,2)</x:f>
        <x:v>0</x:v>
      </x:c>
      <x:c r="K1473" t="n">
        <x:v>0</x:v>
      </x:c>
      <x:c r="L1473" t="n">
        <x:f>ROUND(F1473*K1473/100,2)</x:f>
        <x:v>0</x:v>
      </x:c>
      <x:c r="M1473" t="n">
        <x:v>0</x:v>
      </x:c>
      <x:c r="N1473" t="n">
        <x:f>ROUND(F1473*M1473/100,2)</x:f>
        <x:v>0</x:v>
      </x:c>
      <x:c r="O1473" t="str"/>
    </x:row>
    <x:row r="1474" ht="23" customHeight="1">
      <x:c r="A1474" t="n">
        <x:v>246</x:v>
      </x:c>
      <x:c r="B1474" t="n">
        <x:v>123</x:v>
      </x:c>
      <x:c r="C1474" t="str">
        <x:v>晚餐</x:v>
      </x:c>
      <x:c r="D1474" t="str">
        <x:v>蔬菜</x:v>
      </x:c>
      <x:c r="E1474" t="str">
        <x:v>芦笋</x:v>
      </x:c>
      <x:c r="F1474" t="n">
        <x:v>190</x:v>
      </x:c>
      <x:c r="G1474" t="n">
        <x:v>20</x:v>
      </x:c>
      <x:c r="H1474" t="n">
        <x:f>ROUND(F1474*G1474/100,2)</x:f>
        <x:v>38</x:v>
      </x:c>
      <x:c r="I1474" t="n">
        <x:v>2.2</x:v>
      </x:c>
      <x:c r="J1474" t="n">
        <x:f>ROUND(F1474*I1474/100,2)</x:f>
        <x:v>4.18</x:v>
      </x:c>
      <x:c r="K1474" t="n">
        <x:v>3.9</x:v>
      </x:c>
      <x:c r="L1474" t="n">
        <x:f>ROUND(F1474*K1474/100,2)</x:f>
        <x:v>7.41</x:v>
      </x:c>
      <x:c r="M1474" t="n">
        <x:v>0.1</x:v>
      </x:c>
      <x:c r="N1474" t="n">
        <x:f>ROUND(F1474*M1474/100,2)</x:f>
        <x:v>0.19</x:v>
      </x:c>
      <x:c r="O1474" t="str">
        <x:v>生重</x:v>
      </x:c>
    </x:row>
    <x:row r="1475" ht="23" customHeight="1">
      <x:c r="A1475" t="n">
        <x:v>246</x:v>
      </x:c>
      <x:c r="B1475" t="n">
        <x:v>123</x:v>
      </x:c>
      <x:c r="C1475" t="str">
        <x:v>晚餐</x:v>
      </x:c>
      <x:c r="D1475" t="str">
        <x:v>蔬菜</x:v>
      </x:c>
      <x:c r="E1475" t="str">
        <x:v>玉米笋</x:v>
      </x:c>
      <x:c r="F1475" t="n">
        <x:v>140</x:v>
      </x:c>
      <x:c r="G1475" t="n">
        <x:v>26</x:v>
      </x:c>
      <x:c r="H1475" t="n">
        <x:f>ROUND(F1475*G1475/100,2)</x:f>
        <x:v>36.4</x:v>
      </x:c>
      <x:c r="I1475" t="n">
        <x:v>2</x:v>
      </x:c>
      <x:c r="J1475" t="n">
        <x:f>ROUND(F1475*I1475/100,2)</x:f>
        <x:v>2.8</x:v>
      </x:c>
      <x:c r="K1475" t="n">
        <x:v>4.9</x:v>
      </x:c>
      <x:c r="L1475" t="n">
        <x:f>ROUND(F1475*K1475/100,2)</x:f>
        <x:v>6.86</x:v>
      </x:c>
      <x:c r="M1475" t="n">
        <x:v>0.1</x:v>
      </x:c>
      <x:c r="N1475" t="n">
        <x:f>ROUND(F1475*M1475/100,2)</x:f>
        <x:v>0.14</x:v>
      </x:c>
      <x:c r="O1475" t="str">
        <x:v>生重</x:v>
      </x:c>
    </x:row>
    <x:row r="1476" ht="23" customHeight="1">
      <x:c r="A1476" t="n">
        <x:v>246</x:v>
      </x:c>
      <x:c r="B1476" t="n">
        <x:v>123</x:v>
      </x:c>
      <x:c r="C1476" t="str">
        <x:v>晚餐</x:v>
      </x:c>
      <x:c r="D1476" t="str">
        <x:v>主食</x:v>
      </x:c>
      <x:c r="E1476" t="str">
        <x:v>红薯</x:v>
      </x:c>
      <x:c r="F1476" t="n">
        <x:v>135</x:v>
      </x:c>
      <x:c r="G1476" t="n">
        <x:v>88</x:v>
      </x:c>
      <x:c r="H1476" t="n">
        <x:f>ROUND(F1476*G1476/100,2)</x:f>
        <x:v>118.8</x:v>
      </x:c>
      <x:c r="I1476" t="n">
        <x:v>1.6</x:v>
      </x:c>
      <x:c r="J1476" t="n">
        <x:f>ROUND(F1476*I1476/100,2)</x:f>
        <x:v>2.16</x:v>
      </x:c>
      <x:c r="K1476" t="n">
        <x:v>20.5</x:v>
      </x:c>
      <x:c r="L1476" t="n">
        <x:f>ROUND(F1476*K1476/100,2)</x:f>
        <x:v>27.68</x:v>
      </x:c>
      <x:c r="M1476" t="n">
        <x:v>0.1</x:v>
      </x:c>
      <x:c r="N1476" t="n">
        <x:f>ROUND(F1476*M1476/100,2)</x:f>
        <x:v>0.14</x:v>
      </x:c>
      <x:c r="O1476" t="str">
        <x:v>蒸熟净重</x:v>
      </x:c>
    </x:row>
    <x:row r="1477" ht="23" customHeight="1">
      <x:c r="A1477" t="n">
        <x:v>246</x:v>
      </x:c>
      <x:c r="B1477" t="n">
        <x:v>123</x:v>
      </x:c>
      <x:c r="C1477" t="str">
        <x:v>晚餐</x:v>
      </x:c>
      <x:c r="D1477" t="str">
        <x:v>油脂</x:v>
      </x:c>
      <x:c r="E1477" t="str">
        <x:v>烹调油</x:v>
      </x:c>
      <x:c r="F1477" t="n">
        <x:v>6</x:v>
      </x:c>
      <x:c r="G1477" t="n">
        <x:v>900</x:v>
      </x:c>
      <x:c r="H1477" t="n">
        <x:f>ROUND(F1477*G1477/100,2)</x:f>
        <x:v>54</x:v>
      </x:c>
      <x:c r="I1477" t="n">
        <x:v>0</x:v>
      </x:c>
      <x:c r="J1477" t="n">
        <x:f>ROUND(F1477*I1477/100,2)</x:f>
        <x:v>0</x:v>
      </x:c>
      <x:c r="K1477" t="n">
        <x:v>0</x:v>
      </x:c>
      <x:c r="L1477" t="n">
        <x:f>ROUND(F1477*K1477/100,2)</x:f>
        <x:v>0</x:v>
      </x:c>
      <x:c r="M1477" t="n">
        <x:v>100</x:v>
      </x:c>
      <x:c r="N1477" t="n">
        <x:f>ROUND(F1477*M1477/100,2)</x:f>
        <x:v>6</x:v>
      </x:c>
      <x:c r="O1477" t="str">
        <x:v>实际用油重</x:v>
      </x:c>
    </x:row>
    <x:row r="1478" ht="23" customHeight="1">
      <x:c r="A1478" t="n">
        <x:v>247</x:v>
      </x:c>
      <x:c r="B1478" t="n">
        <x:v>124</x:v>
      </x:c>
      <x:c r="C1478" t="str">
        <x:v>午餐</x:v>
      </x:c>
      <x:c r="D1478" t="str">
        <x:v>猪肉</x:v>
      </x:c>
      <x:c r="E1478" t="str">
        <x:v>猪里脊</x:v>
      </x:c>
      <x:c r="F1478" t="n">
        <x:v>155</x:v>
      </x:c>
      <x:c r="G1478" t="n">
        <x:v>120</x:v>
      </x:c>
      <x:c r="H1478" t="n">
        <x:f>ROUND(F1478*G1478/100,2)</x:f>
        <x:v>186</x:v>
      </x:c>
      <x:c r="I1478" t="n">
        <x:v>21</x:v>
      </x:c>
      <x:c r="J1478" t="n">
        <x:f>ROUND(F1478*I1478/100,2)</x:f>
        <x:v>32.55</x:v>
      </x:c>
      <x:c r="K1478" t="n">
        <x:v>0</x:v>
      </x:c>
      <x:c r="L1478" t="n">
        <x:f>ROUND(F1478*K1478/100,2)</x:f>
        <x:v>0</x:v>
      </x:c>
      <x:c r="M1478" t="n">
        <x:v>3.5</x:v>
      </x:c>
      <x:c r="N1478" t="n">
        <x:f>ROUND(F1478*M1478/100,2)</x:f>
        <x:v>5.43</x:v>
      </x:c>
      <x:c r="O1478" t="str">
        <x:v>生重</x:v>
      </x:c>
    </x:row>
    <x:row r="1479" ht="23" customHeight="1">
      <x:c r="A1479" t="n">
        <x:v>247</x:v>
      </x:c>
      <x:c r="B1479" t="n">
        <x:v>124</x:v>
      </x:c>
      <x:c r="C1479" t="str">
        <x:v>午餐</x:v>
      </x:c>
      <x:c r="D1479" t="str">
        <x:v>豆蛋</x:v>
      </x:c>
      <x:c r="E1479" t="str">
        <x:v>熟毛豆仁</x:v>
      </x:c>
      <x:c r="F1479" t="n">
        <x:v>50</x:v>
      </x:c>
      <x:c r="G1479" t="n">
        <x:v>120</x:v>
      </x:c>
      <x:c r="H1479" t="n">
        <x:f>ROUND(F1479*G1479/100,2)</x:f>
        <x:v>60</x:v>
      </x:c>
      <x:c r="I1479" t="n">
        <x:v>12</x:v>
      </x:c>
      <x:c r="J1479" t="n">
        <x:f>ROUND(F1479*I1479/100,2)</x:f>
        <x:v>6</x:v>
      </x:c>
      <x:c r="K1479" t="n">
        <x:v>9</x:v>
      </x:c>
      <x:c r="L1479" t="n">
        <x:f>ROUND(F1479*K1479/100,2)</x:f>
        <x:v>4.5</x:v>
      </x:c>
      <x:c r="M1479" t="n">
        <x:v>5</x:v>
      </x:c>
      <x:c r="N1479" t="n">
        <x:f>ROUND(F1479*M1479/100,2)</x:f>
        <x:v>2.5</x:v>
      </x:c>
      <x:c r="O1479" t="str">
        <x:v>熟重</x:v>
      </x:c>
    </x:row>
    <x:row r="1480" ht="23" customHeight="1">
      <x:c r="A1480" t="n">
        <x:v>247</x:v>
      </x:c>
      <x:c r="B1480" t="n">
        <x:v>124</x:v>
      </x:c>
      <x:c r="C1480" t="str">
        <x:v>午餐</x:v>
      </x:c>
      <x:c r="D1480" t="str">
        <x:v>蔬菜</x:v>
      </x:c>
      <x:c r="E1480" t="str">
        <x:v>番茄</x:v>
      </x:c>
      <x:c r="F1480" t="n">
        <x:v>175</x:v>
      </x:c>
      <x:c r="G1480" t="n">
        <x:v>20</x:v>
      </x:c>
      <x:c r="H1480" t="n">
        <x:f>ROUND(F1480*G1480/100,2)</x:f>
        <x:v>35</x:v>
      </x:c>
      <x:c r="I1480" t="n">
        <x:v>0.9</x:v>
      </x:c>
      <x:c r="J1480" t="n">
        <x:f>ROUND(F1480*I1480/100,2)</x:f>
        <x:v>1.58</x:v>
      </x:c>
      <x:c r="K1480" t="n">
        <x:v>4</x:v>
      </x:c>
      <x:c r="L1480" t="n">
        <x:f>ROUND(F1480*K1480/100,2)</x:f>
        <x:v>7</x:v>
      </x:c>
      <x:c r="M1480" t="n">
        <x:v>0.2</x:v>
      </x:c>
      <x:c r="N1480" t="n">
        <x:f>ROUND(F1480*M1480/100,2)</x:f>
        <x:v>0.35</x:v>
      </x:c>
      <x:c r="O1480" t="str">
        <x:v>生重</x:v>
      </x:c>
    </x:row>
    <x:row r="1481" ht="23" customHeight="1">
      <x:c r="A1481" t="n">
        <x:v>247</x:v>
      </x:c>
      <x:c r="B1481" t="n">
        <x:v>124</x:v>
      </x:c>
      <x:c r="C1481" t="str">
        <x:v>午餐</x:v>
      </x:c>
      <x:c r="D1481" t="str">
        <x:v>蔬菜</x:v>
      </x:c>
      <x:c r="E1481" t="str">
        <x:v>莴笋</x:v>
      </x:c>
      <x:c r="F1481" t="n">
        <x:v>125</x:v>
      </x:c>
      <x:c r="G1481" t="n">
        <x:v>15</x:v>
      </x:c>
      <x:c r="H1481" t="n">
        <x:f>ROUND(F1481*G1481/100,2)</x:f>
        <x:v>18.75</x:v>
      </x:c>
      <x:c r="I1481" t="n">
        <x:v>1</x:v>
      </x:c>
      <x:c r="J1481" t="n">
        <x:f>ROUND(F1481*I1481/100,2)</x:f>
        <x:v>1.25</x:v>
      </x:c>
      <x:c r="K1481" t="n">
        <x:v>2.8</x:v>
      </x:c>
      <x:c r="L1481" t="n">
        <x:f>ROUND(F1481*K1481/100,2)</x:f>
        <x:v>3.5</x:v>
      </x:c>
      <x:c r="M1481" t="n">
        <x:v>0.1</x:v>
      </x:c>
      <x:c r="N1481" t="n">
        <x:f>ROUND(F1481*M1481/100,2)</x:f>
        <x:v>0.13</x:v>
      </x:c>
      <x:c r="O1481" t="str">
        <x:v>生重</x:v>
      </x:c>
    </x:row>
    <x:row r="1482" ht="23" customHeight="1">
      <x:c r="A1482" t="n">
        <x:v>247</x:v>
      </x:c>
      <x:c r="B1482" t="n">
        <x:v>124</x:v>
      </x:c>
      <x:c r="C1482" t="str">
        <x:v>午餐</x:v>
      </x:c>
      <x:c r="D1482" t="str">
        <x:v>主食</x:v>
      </x:c>
      <x:c r="E1482" t="str">
        <x:v>糙米饭</x:v>
      </x:c>
      <x:c r="F1482" t="n">
        <x:v>150</x:v>
      </x:c>
      <x:c r="G1482" t="n">
        <x:v>112</x:v>
      </x:c>
      <x:c r="H1482" t="n">
        <x:f>ROUND(F1482*G1482/100,2)</x:f>
        <x:v>168</x:v>
      </x:c>
      <x:c r="I1482" t="n">
        <x:v>2.6</x:v>
      </x:c>
      <x:c r="J1482" t="n">
        <x:f>ROUND(F1482*I1482/100,2)</x:f>
        <x:v>3.9</x:v>
      </x:c>
      <x:c r="K1482" t="n">
        <x:v>23.5</x:v>
      </x:c>
      <x:c r="L1482" t="n">
        <x:f>ROUND(F1482*K1482/100,2)</x:f>
        <x:v>35.25</x:v>
      </x:c>
      <x:c r="M1482" t="n">
        <x:v>0.9</x:v>
      </x:c>
      <x:c r="N1482" t="n">
        <x:f>ROUND(F1482*M1482/100,2)</x:f>
        <x:v>1.35</x:v>
      </x:c>
      <x:c r="O1482" t="str">
        <x:v>熟重</x:v>
      </x:c>
    </x:row>
    <x:row r="1483" ht="23" customHeight="1">
      <x:c r="A1483" t="n">
        <x:v>247</x:v>
      </x:c>
      <x:c r="B1483" t="n">
        <x:v>124</x:v>
      </x:c>
      <x:c r="C1483" t="str">
        <x:v>午餐</x:v>
      </x:c>
      <x:c r="D1483" t="str">
        <x:v>油脂</x:v>
      </x:c>
      <x:c r="E1483" t="str">
        <x:v>烹调油</x:v>
      </x:c>
      <x:c r="F1483" t="n">
        <x:v>5</x:v>
      </x:c>
      <x:c r="G1483" t="n">
        <x:v>900</x:v>
      </x:c>
      <x:c r="H1483" t="n">
        <x:f>ROUND(F1483*G1483/100,2)</x:f>
        <x:v>45</x:v>
      </x:c>
      <x:c r="I1483" t="n">
        <x:v>0</x:v>
      </x:c>
      <x:c r="J1483" t="n">
        <x:f>ROUND(F1483*I1483/100,2)</x:f>
        <x:v>0</x:v>
      </x:c>
      <x:c r="K1483" t="n">
        <x:v>0</x:v>
      </x:c>
      <x:c r="L1483" t="n">
        <x:f>ROUND(F1483*K1483/100,2)</x:f>
        <x:v>0</x:v>
      </x:c>
      <x:c r="M1483" t="n">
        <x:v>100</x:v>
      </x:c>
      <x:c r="N1483" t="n">
        <x:f>ROUND(F1483*M1483/100,2)</x:f>
        <x:v>5</x:v>
      </x:c>
      <x:c r="O1483" t="str">
        <x:v>实际用油重</x:v>
      </x:c>
    </x:row>
    <x:row r="1484" ht="23" customHeight="1">
      <x:c r="A1484" t="n">
        <x:v>248</x:v>
      </x:c>
      <x:c r="B1484" t="n">
        <x:v>124</x:v>
      </x:c>
      <x:c r="C1484" t="str">
        <x:v>晚餐</x:v>
      </x:c>
      <x:c r="D1484" t="str">
        <x:v>豆蛋</x:v>
      </x:c>
      <x:c r="E1484" t="str">
        <x:v>鸡蛋</x:v>
      </x:c>
      <x:c r="F1484" t="n">
        <x:v>120</x:v>
      </x:c>
      <x:c r="G1484" t="n">
        <x:v>144</x:v>
      </x:c>
      <x:c r="H1484" t="n">
        <x:f>ROUND(F1484*G1484/100,2)</x:f>
        <x:v>172.8</x:v>
      </x:c>
      <x:c r="I1484" t="n">
        <x:v>13</x:v>
      </x:c>
      <x:c r="J1484" t="n">
        <x:f>ROUND(F1484*I1484/100,2)</x:f>
        <x:v>15.6</x:v>
      </x:c>
      <x:c r="K1484" t="n">
        <x:v>1.1</x:v>
      </x:c>
      <x:c r="L1484" t="n">
        <x:f>ROUND(F1484*K1484/100,2)</x:f>
        <x:v>1.32</x:v>
      </x:c>
      <x:c r="M1484" t="n">
        <x:v>10</x:v>
      </x:c>
      <x:c r="N1484" t="n">
        <x:f>ROUND(F1484*M1484/100,2)</x:f>
        <x:v>12</x:v>
      </x:c>
      <x:c r="O1484" t="str">
        <x:v>去壳可食重</x:v>
      </x:c>
    </x:row>
    <x:row r="1485" ht="23" customHeight="1">
      <x:c r="A1485" t="n">
        <x:v>248</x:v>
      </x:c>
      <x:c r="B1485" t="n">
        <x:v>124</x:v>
      </x:c>
      <x:c r="C1485" t="str">
        <x:v>晚餐</x:v>
      </x:c>
      <x:c r="D1485" t="str">
        <x:v>豆蛋</x:v>
      </x:c>
      <x:c r="E1485" t="str">
        <x:v>嫩豆腐</x:v>
      </x:c>
      <x:c r="F1485" t="n">
        <x:v>160</x:v>
      </x:c>
      <x:c r="G1485" t="n">
        <x:v>55</x:v>
      </x:c>
      <x:c r="H1485" t="n">
        <x:f>ROUND(F1485*G1485/100,2)</x:f>
        <x:v>88</x:v>
      </x:c>
      <x:c r="I1485" t="n">
        <x:v>5</x:v>
      </x:c>
      <x:c r="J1485" t="n">
        <x:f>ROUND(F1485*I1485/100,2)</x:f>
        <x:v>8</x:v>
      </x:c>
      <x:c r="K1485" t="n">
        <x:v>2</x:v>
      </x:c>
      <x:c r="L1485" t="n">
        <x:f>ROUND(F1485*K1485/100,2)</x:f>
        <x:v>3.2</x:v>
      </x:c>
      <x:c r="M1485" t="n">
        <x:v>2.8</x:v>
      </x:c>
      <x:c r="N1485" t="n">
        <x:f>ROUND(F1485*M1485/100,2)</x:f>
        <x:v>4.48</x:v>
      </x:c>
      <x:c r="O1485" t="str">
        <x:v>净重</x:v>
      </x:c>
    </x:row>
    <x:row r="1486" ht="23" customHeight="1">
      <x:c r="A1486" t="n">
        <x:v>248</x:v>
      </x:c>
      <x:c r="B1486" t="n">
        <x:v>124</x:v>
      </x:c>
      <x:c r="C1486" t="str">
        <x:v>晚餐</x:v>
      </x:c>
      <x:c r="D1486" t="str">
        <x:v>蔬菜</x:v>
      </x:c>
      <x:c r="E1486" t="str">
        <x:v>番茄</x:v>
      </x:c>
      <x:c r="F1486" t="n">
        <x:v>190</x:v>
      </x:c>
      <x:c r="G1486" t="n">
        <x:v>20</x:v>
      </x:c>
      <x:c r="H1486" t="n">
        <x:f>ROUND(F1486*G1486/100,2)</x:f>
        <x:v>38</x:v>
      </x:c>
      <x:c r="I1486" t="n">
        <x:v>0.9</x:v>
      </x:c>
      <x:c r="J1486" t="n">
        <x:f>ROUND(F1486*I1486/100,2)</x:f>
        <x:v>1.71</x:v>
      </x:c>
      <x:c r="K1486" t="n">
        <x:v>4</x:v>
      </x:c>
      <x:c r="L1486" t="n">
        <x:f>ROUND(F1486*K1486/100,2)</x:f>
        <x:v>7.6</x:v>
      </x:c>
      <x:c r="M1486" t="n">
        <x:v>0.2</x:v>
      </x:c>
      <x:c r="N1486" t="n">
        <x:f>ROUND(F1486*M1486/100,2)</x:f>
        <x:v>0.38</x:v>
      </x:c>
      <x:c r="O1486" t="str">
        <x:v>生重</x:v>
      </x:c>
    </x:row>
    <x:row r="1487" ht="23" customHeight="1">
      <x:c r="A1487" t="n">
        <x:v>248</x:v>
      </x:c>
      <x:c r="B1487" t="n">
        <x:v>124</x:v>
      </x:c>
      <x:c r="C1487" t="str">
        <x:v>晚餐</x:v>
      </x:c>
      <x:c r="D1487" t="str">
        <x:v>蔬菜</x:v>
      </x:c>
      <x:c r="E1487" t="str">
        <x:v>花菜</x:v>
      </x:c>
      <x:c r="F1487" t="n">
        <x:v>155</x:v>
      </x:c>
      <x:c r="G1487" t="n">
        <x:v>25</x:v>
      </x:c>
      <x:c r="H1487" t="n">
        <x:f>ROUND(F1487*G1487/100,2)</x:f>
        <x:v>38.75</x:v>
      </x:c>
      <x:c r="I1487" t="n">
        <x:v>2</x:v>
      </x:c>
      <x:c r="J1487" t="n">
        <x:f>ROUND(F1487*I1487/100,2)</x:f>
        <x:v>3.1</x:v>
      </x:c>
      <x:c r="K1487" t="n">
        <x:v>5</x:v>
      </x:c>
      <x:c r="L1487" t="n">
        <x:f>ROUND(F1487*K1487/100,2)</x:f>
        <x:v>7.75</x:v>
      </x:c>
      <x:c r="M1487" t="n">
        <x:v>0.3</x:v>
      </x:c>
      <x:c r="N1487" t="n">
        <x:f>ROUND(F1487*M1487/100,2)</x:f>
        <x:v>0.47</x:v>
      </x:c>
      <x:c r="O1487" t="str">
        <x:v>生重</x:v>
      </x:c>
    </x:row>
    <x:row r="1488" ht="23" customHeight="1">
      <x:c r="A1488" t="n">
        <x:v>248</x:v>
      </x:c>
      <x:c r="B1488" t="n">
        <x:v>124</x:v>
      </x:c>
      <x:c r="C1488" t="str">
        <x:v>晚餐</x:v>
      </x:c>
      <x:c r="D1488" t="str">
        <x:v>主食</x:v>
      </x:c>
      <x:c r="E1488" t="str">
        <x:v>糙米饭</x:v>
      </x:c>
      <x:c r="F1488" t="n">
        <x:v>125</x:v>
      </x:c>
      <x:c r="G1488" t="n">
        <x:v>112</x:v>
      </x:c>
      <x:c r="H1488" t="n">
        <x:f>ROUND(F1488*G1488/100,2)</x:f>
        <x:v>140</x:v>
      </x:c>
      <x:c r="I1488" t="n">
        <x:v>2.6</x:v>
      </x:c>
      <x:c r="J1488" t="n">
        <x:f>ROUND(F1488*I1488/100,2)</x:f>
        <x:v>3.25</x:v>
      </x:c>
      <x:c r="K1488" t="n">
        <x:v>23.5</x:v>
      </x:c>
      <x:c r="L1488" t="n">
        <x:f>ROUND(F1488*K1488/100,2)</x:f>
        <x:v>29.38</x:v>
      </x:c>
      <x:c r="M1488" t="n">
        <x:v>0.9</x:v>
      </x:c>
      <x:c r="N1488" t="n">
        <x:f>ROUND(F1488*M1488/100,2)</x:f>
        <x:v>1.13</x:v>
      </x:c>
      <x:c r="O1488" t="str">
        <x:v>熟重</x:v>
      </x:c>
    </x:row>
    <x:row r="1489" ht="23" customHeight="1">
      <x:c r="A1489" t="n">
        <x:v>248</x:v>
      </x:c>
      <x:c r="B1489" t="n">
        <x:v>124</x:v>
      </x:c>
      <x:c r="C1489" t="str">
        <x:v>晚餐</x:v>
      </x:c>
      <x:c r="D1489" t="str">
        <x:v>油脂</x:v>
      </x:c>
      <x:c r="E1489" t="str">
        <x:v>烹调油</x:v>
      </x:c>
      <x:c r="F1489" t="n">
        <x:v>5</x:v>
      </x:c>
      <x:c r="G1489" t="n">
        <x:v>900</x:v>
      </x:c>
      <x:c r="H1489" t="n">
        <x:f>ROUND(F1489*G1489/100,2)</x:f>
        <x:v>45</x:v>
      </x:c>
      <x:c r="I1489" t="n">
        <x:v>0</x:v>
      </x:c>
      <x:c r="J1489" t="n">
        <x:f>ROUND(F1489*I1489/100,2)</x:f>
        <x:v>0</x:v>
      </x:c>
      <x:c r="K1489" t="n">
        <x:v>0</x:v>
      </x:c>
      <x:c r="L1489" t="n">
        <x:f>ROUND(F1489*K1489/100,2)</x:f>
        <x:v>0</x:v>
      </x:c>
      <x:c r="M1489" t="n">
        <x:v>100</x:v>
      </x:c>
      <x:c r="N1489" t="n">
        <x:f>ROUND(F1489*M1489/100,2)</x:f>
        <x:v>5</x:v>
      </x:c>
      <x:c r="O1489" t="str">
        <x:v>实际用油重</x:v>
      </x:c>
    </x:row>
    <x:row r="1490" ht="23" customHeight="1">
      <x:c r="A1490" t="n">
        <x:v>249</x:v>
      </x:c>
      <x:c r="B1490" t="n">
        <x:v>125</x:v>
      </x:c>
      <x:c r="C1490" t="str">
        <x:v>午餐</x:v>
      </x:c>
      <x:c r="D1490" t="str">
        <x:v>豆蛋</x:v>
      </x:c>
      <x:c r="E1490" t="str">
        <x:v>北豆腐</x:v>
      </x:c>
      <x:c r="F1490" t="n">
        <x:v>300</x:v>
      </x:c>
      <x:c r="G1490" t="n">
        <x:v>90</x:v>
      </x:c>
      <x:c r="H1490" t="n">
        <x:f>ROUND(F1490*G1490/100,2)</x:f>
        <x:v>270</x:v>
      </x:c>
      <x:c r="I1490" t="n">
        <x:v>10</x:v>
      </x:c>
      <x:c r="J1490" t="n">
        <x:f>ROUND(F1490*I1490/100,2)</x:f>
        <x:v>30</x:v>
      </x:c>
      <x:c r="K1490" t="n">
        <x:v>2</x:v>
      </x:c>
      <x:c r="L1490" t="n">
        <x:f>ROUND(F1490*K1490/100,2)</x:f>
        <x:v>6</x:v>
      </x:c>
      <x:c r="M1490" t="n">
        <x:v>5</x:v>
      </x:c>
      <x:c r="N1490" t="n">
        <x:f>ROUND(F1490*M1490/100,2)</x:f>
        <x:v>15</x:v>
      </x:c>
      <x:c r="O1490" t="str">
        <x:v>净重</x:v>
      </x:c>
    </x:row>
    <x:row r="1491" ht="23" customHeight="1">
      <x:c r="A1491" t="n">
        <x:v>249</x:v>
      </x:c>
      <x:c r="B1491" t="n">
        <x:v>125</x:v>
      </x:c>
      <x:c r="C1491" t="str">
        <x:v>午餐</x:v>
      </x:c>
      <x:c r="D1491" t="str"/>
      <x:c r="E1491" t="str"/>
      <x:c r="F1491" t="n">
        <x:v>0</x:v>
      </x:c>
      <x:c r="G1491" t="n">
        <x:v>0</x:v>
      </x:c>
      <x:c r="H1491" t="n">
        <x:f>ROUND(F1491*G1491/100,2)</x:f>
        <x:v>0</x:v>
      </x:c>
      <x:c r="I1491" t="n">
        <x:v>0</x:v>
      </x:c>
      <x:c r="J1491" t="n">
        <x:f>ROUND(F1491*I1491/100,2)</x:f>
        <x:v>0</x:v>
      </x:c>
      <x:c r="K1491" t="n">
        <x:v>0</x:v>
      </x:c>
      <x:c r="L1491" t="n">
        <x:f>ROUND(F1491*K1491/100,2)</x:f>
        <x:v>0</x:v>
      </x:c>
      <x:c r="M1491" t="n">
        <x:v>0</x:v>
      </x:c>
      <x:c r="N1491" t="n">
        <x:f>ROUND(F1491*M1491/100,2)</x:f>
        <x:v>0</x:v>
      </x:c>
      <x:c r="O1491" t="str"/>
    </x:row>
    <x:row r="1492" ht="23" customHeight="1">
      <x:c r="A1492" t="n">
        <x:v>249</x:v>
      </x:c>
      <x:c r="B1492" t="n">
        <x:v>125</x:v>
      </x:c>
      <x:c r="C1492" t="str">
        <x:v>午餐</x:v>
      </x:c>
      <x:c r="D1492" t="str">
        <x:v>蔬菜</x:v>
      </x:c>
      <x:c r="E1492" t="str">
        <x:v>娃娃菜</x:v>
      </x:c>
      <x:c r="F1492" t="n">
        <x:v>160</x:v>
      </x:c>
      <x:c r="G1492" t="n">
        <x:v>17</x:v>
      </x:c>
      <x:c r="H1492" t="n">
        <x:f>ROUND(F1492*G1492/100,2)</x:f>
        <x:v>27.2</x:v>
      </x:c>
      <x:c r="I1492" t="n">
        <x:v>1.3</x:v>
      </x:c>
      <x:c r="J1492" t="n">
        <x:f>ROUND(F1492*I1492/100,2)</x:f>
        <x:v>2.08</x:v>
      </x:c>
      <x:c r="K1492" t="n">
        <x:v>3</x:v>
      </x:c>
      <x:c r="L1492" t="n">
        <x:f>ROUND(F1492*K1492/100,2)</x:f>
        <x:v>4.8</x:v>
      </x:c>
      <x:c r="M1492" t="n">
        <x:v>0.2</x:v>
      </x:c>
      <x:c r="N1492" t="n">
        <x:f>ROUND(F1492*M1492/100,2)</x:f>
        <x:v>0.32</x:v>
      </x:c>
      <x:c r="O1492" t="str">
        <x:v>生重</x:v>
      </x:c>
    </x:row>
    <x:row r="1493" ht="23" customHeight="1">
      <x:c r="A1493" t="n">
        <x:v>249</x:v>
      </x:c>
      <x:c r="B1493" t="n">
        <x:v>125</x:v>
      </x:c>
      <x:c r="C1493" t="str">
        <x:v>午餐</x:v>
      </x:c>
      <x:c r="D1493" t="str">
        <x:v>菌菇</x:v>
      </x:c>
      <x:c r="E1493" t="str">
        <x:v>香菇</x:v>
      </x:c>
      <x:c r="F1493" t="n">
        <x:v>155</x:v>
      </x:c>
      <x:c r="G1493" t="n">
        <x:v>34</x:v>
      </x:c>
      <x:c r="H1493" t="n">
        <x:f>ROUND(F1493*G1493/100,2)</x:f>
        <x:v>52.7</x:v>
      </x:c>
      <x:c r="I1493" t="n">
        <x:v>2.2</x:v>
      </x:c>
      <x:c r="J1493" t="n">
        <x:f>ROUND(F1493*I1493/100,2)</x:f>
        <x:v>3.41</x:v>
      </x:c>
      <x:c r="K1493" t="n">
        <x:v>6.8</x:v>
      </x:c>
      <x:c r="L1493" t="n">
        <x:f>ROUND(F1493*K1493/100,2)</x:f>
        <x:v>10.54</x:v>
      </x:c>
      <x:c r="M1493" t="n">
        <x:v>0.5</x:v>
      </x:c>
      <x:c r="N1493" t="n">
        <x:f>ROUND(F1493*M1493/100,2)</x:f>
        <x:v>0.78</x:v>
      </x:c>
      <x:c r="O1493" t="str">
        <x:v>生重</x:v>
      </x:c>
    </x:row>
    <x:row r="1494" ht="23" customHeight="1">
      <x:c r="A1494" t="n">
        <x:v>249</x:v>
      </x:c>
      <x:c r="B1494" t="n">
        <x:v>125</x:v>
      </x:c>
      <x:c r="C1494" t="str">
        <x:v>午餐</x:v>
      </x:c>
      <x:c r="D1494" t="str">
        <x:v>主食</x:v>
      </x:c>
      <x:c r="E1494" t="str">
        <x:v>杂粮饭</x:v>
      </x:c>
      <x:c r="F1494" t="n">
        <x:v>135</x:v>
      </x:c>
      <x:c r="G1494" t="n">
        <x:v>115</x:v>
      </x:c>
      <x:c r="H1494" t="n">
        <x:f>ROUND(F1494*G1494/100,2)</x:f>
        <x:v>155.25</x:v>
      </x:c>
      <x:c r="I1494" t="n">
        <x:v>3.1</x:v>
      </x:c>
      <x:c r="J1494" t="n">
        <x:f>ROUND(F1494*I1494/100,2)</x:f>
        <x:v>4.18</x:v>
      </x:c>
      <x:c r="K1494" t="n">
        <x:v>23.5</x:v>
      </x:c>
      <x:c r="L1494" t="n">
        <x:f>ROUND(F1494*K1494/100,2)</x:f>
        <x:v>31.73</x:v>
      </x:c>
      <x:c r="M1494" t="n">
        <x:v>1.1</x:v>
      </x:c>
      <x:c r="N1494" t="n">
        <x:f>ROUND(F1494*M1494/100,2)</x:f>
        <x:v>1.49</x:v>
      </x:c>
      <x:c r="O1494" t="str">
        <x:v>熟重</x:v>
      </x:c>
    </x:row>
    <x:row r="1495" ht="23" customHeight="1">
      <x:c r="A1495" t="n">
        <x:v>249</x:v>
      </x:c>
      <x:c r="B1495" t="n">
        <x:v>125</x:v>
      </x:c>
      <x:c r="C1495" t="str">
        <x:v>午餐</x:v>
      </x:c>
      <x:c r="D1495" t="str">
        <x:v>油脂</x:v>
      </x:c>
      <x:c r="E1495" t="str">
        <x:v>烹调油</x:v>
      </x:c>
      <x:c r="F1495" t="n">
        <x:v>5</x:v>
      </x:c>
      <x:c r="G1495" t="n">
        <x:v>900</x:v>
      </x:c>
      <x:c r="H1495" t="n">
        <x:f>ROUND(F1495*G1495/100,2)</x:f>
        <x:v>45</x:v>
      </x:c>
      <x:c r="I1495" t="n">
        <x:v>0</x:v>
      </x:c>
      <x:c r="J1495" t="n">
        <x:f>ROUND(F1495*I1495/100,2)</x:f>
        <x:v>0</x:v>
      </x:c>
      <x:c r="K1495" t="n">
        <x:v>0</x:v>
      </x:c>
      <x:c r="L1495" t="n">
        <x:f>ROUND(F1495*K1495/100,2)</x:f>
        <x:v>0</x:v>
      </x:c>
      <x:c r="M1495" t="n">
        <x:v>100</x:v>
      </x:c>
      <x:c r="N1495" t="n">
        <x:f>ROUND(F1495*M1495/100,2)</x:f>
        <x:v>5</x:v>
      </x:c>
      <x:c r="O1495" t="str">
        <x:v>实际用油重</x:v>
      </x:c>
    </x:row>
    <x:row r="1496" ht="23" customHeight="1">
      <x:c r="A1496" t="n">
        <x:v>250</x:v>
      </x:c>
      <x:c r="B1496" t="n">
        <x:v>125</x:v>
      </x:c>
      <x:c r="C1496" t="str">
        <x:v>晚餐</x:v>
      </x:c>
      <x:c r="D1496" t="str">
        <x:v>牛肉</x:v>
      </x:c>
      <x:c r="E1496" t="str">
        <x:v>牛腱子</x:v>
      </x:c>
      <x:c r="F1496" t="n">
        <x:v>180</x:v>
      </x:c>
      <x:c r="G1496" t="n">
        <x:v>140</x:v>
      </x:c>
      <x:c r="H1496" t="n">
        <x:f>ROUND(F1496*G1496/100,2)</x:f>
        <x:v>252</x:v>
      </x:c>
      <x:c r="I1496" t="n">
        <x:v>21</x:v>
      </x:c>
      <x:c r="J1496" t="n">
        <x:f>ROUND(F1496*I1496/100,2)</x:f>
        <x:v>37.8</x:v>
      </x:c>
      <x:c r="K1496" t="n">
        <x:v>0</x:v>
      </x:c>
      <x:c r="L1496" t="n">
        <x:f>ROUND(F1496*K1496/100,2)</x:f>
        <x:v>0</x:v>
      </x:c>
      <x:c r="M1496" t="n">
        <x:v>6</x:v>
      </x:c>
      <x:c r="N1496" t="n">
        <x:f>ROUND(F1496*M1496/100,2)</x:f>
        <x:v>10.8</x:v>
      </x:c>
      <x:c r="O1496" t="str">
        <x:v>生重</x:v>
      </x:c>
    </x:row>
    <x:row r="1497" ht="23" customHeight="1">
      <x:c r="A1497" t="n">
        <x:v>250</x:v>
      </x:c>
      <x:c r="B1497" t="n">
        <x:v>125</x:v>
      </x:c>
      <x:c r="C1497" t="str">
        <x:v>晚餐</x:v>
      </x:c>
      <x:c r="D1497" t="str"/>
      <x:c r="E1497" t="str"/>
      <x:c r="F1497" t="n">
        <x:v>0</x:v>
      </x:c>
      <x:c r="G1497" t="n">
        <x:v>0</x:v>
      </x:c>
      <x:c r="H1497" t="n">
        <x:f>ROUND(F1497*G1497/100,2)</x:f>
        <x:v>0</x:v>
      </x:c>
      <x:c r="I1497" t="n">
        <x:v>0</x:v>
      </x:c>
      <x:c r="J1497" t="n">
        <x:f>ROUND(F1497*I1497/100,2)</x:f>
        <x:v>0</x:v>
      </x:c>
      <x:c r="K1497" t="n">
        <x:v>0</x:v>
      </x:c>
      <x:c r="L1497" t="n">
        <x:f>ROUND(F1497*K1497/100,2)</x:f>
        <x:v>0</x:v>
      </x:c>
      <x:c r="M1497" t="n">
        <x:v>0</x:v>
      </x:c>
      <x:c r="N1497" t="n">
        <x:f>ROUND(F1497*M1497/100,2)</x:f>
        <x:v>0</x:v>
      </x:c>
      <x:c r="O1497" t="str"/>
    </x:row>
    <x:row r="1498" ht="23" customHeight="1">
      <x:c r="A1498" t="n">
        <x:v>250</x:v>
      </x:c>
      <x:c r="B1498" t="n">
        <x:v>125</x:v>
      </x:c>
      <x:c r="C1498" t="str">
        <x:v>晚餐</x:v>
      </x:c>
      <x:c r="D1498" t="str">
        <x:v>蔬菜</x:v>
      </x:c>
      <x:c r="E1498" t="str">
        <x:v>白萝卜</x:v>
      </x:c>
      <x:c r="F1498" t="n">
        <x:v>175</x:v>
      </x:c>
      <x:c r="G1498" t="n">
        <x:v>18</x:v>
      </x:c>
      <x:c r="H1498" t="n">
        <x:f>ROUND(F1498*G1498/100,2)</x:f>
        <x:v>31.5</x:v>
      </x:c>
      <x:c r="I1498" t="n">
        <x:v>0.6</x:v>
      </x:c>
      <x:c r="J1498" t="n">
        <x:f>ROUND(F1498*I1498/100,2)</x:f>
        <x:v>1.05</x:v>
      </x:c>
      <x:c r="K1498" t="n">
        <x:v>4</x:v>
      </x:c>
      <x:c r="L1498" t="n">
        <x:f>ROUND(F1498*K1498/100,2)</x:f>
        <x:v>7</x:v>
      </x:c>
      <x:c r="M1498" t="n">
        <x:v>0.1</x:v>
      </x:c>
      <x:c r="N1498" t="n">
        <x:f>ROUND(F1498*M1498/100,2)</x:f>
        <x:v>0.18</x:v>
      </x:c>
      <x:c r="O1498" t="str">
        <x:v>生重</x:v>
      </x:c>
    </x:row>
    <x:row r="1499" ht="23" customHeight="1">
      <x:c r="A1499" t="n">
        <x:v>250</x:v>
      </x:c>
      <x:c r="B1499" t="n">
        <x:v>125</x:v>
      </x:c>
      <x:c r="C1499" t="str">
        <x:v>晚餐</x:v>
      </x:c>
      <x:c r="D1499" t="str">
        <x:v>菌菇</x:v>
      </x:c>
      <x:c r="E1499" t="str">
        <x:v>泡发木耳</x:v>
      </x:c>
      <x:c r="F1499" t="n">
        <x:v>155</x:v>
      </x:c>
      <x:c r="G1499" t="n">
        <x:v>25</x:v>
      </x:c>
      <x:c r="H1499" t="n">
        <x:f>ROUND(F1499*G1499/100,2)</x:f>
        <x:v>38.75</x:v>
      </x:c>
      <x:c r="I1499" t="n">
        <x:v>1.5</x:v>
      </x:c>
      <x:c r="J1499" t="n">
        <x:f>ROUND(F1499*I1499/100,2)</x:f>
        <x:v>2.33</x:v>
      </x:c>
      <x:c r="K1499" t="n">
        <x:v>6</x:v>
      </x:c>
      <x:c r="L1499" t="n">
        <x:f>ROUND(F1499*K1499/100,2)</x:f>
        <x:v>9.3</x:v>
      </x:c>
      <x:c r="M1499" t="n">
        <x:v>0.1</x:v>
      </x:c>
      <x:c r="N1499" t="n">
        <x:f>ROUND(F1499*M1499/100,2)</x:f>
        <x:v>0.16</x:v>
      </x:c>
      <x:c r="O1499" t="str">
        <x:v>泡发沥水重</x:v>
      </x:c>
    </x:row>
    <x:row r="1500" ht="23" customHeight="1">
      <x:c r="A1500" t="n">
        <x:v>250</x:v>
      </x:c>
      <x:c r="B1500" t="n">
        <x:v>125</x:v>
      </x:c>
      <x:c r="C1500" t="str">
        <x:v>晚餐</x:v>
      </x:c>
      <x:c r="D1500" t="str">
        <x:v>主食</x:v>
      </x:c>
      <x:c r="E1500" t="str">
        <x:v>杂粮饭</x:v>
      </x:c>
      <x:c r="F1500" t="n">
        <x:v>110</x:v>
      </x:c>
      <x:c r="G1500" t="n">
        <x:v>115</x:v>
      </x:c>
      <x:c r="H1500" t="n">
        <x:f>ROUND(F1500*G1500/100,2)</x:f>
        <x:v>126.5</x:v>
      </x:c>
      <x:c r="I1500" t="n">
        <x:v>3.1</x:v>
      </x:c>
      <x:c r="J1500" t="n">
        <x:f>ROUND(F1500*I1500/100,2)</x:f>
        <x:v>3.41</x:v>
      </x:c>
      <x:c r="K1500" t="n">
        <x:v>23.5</x:v>
      </x:c>
      <x:c r="L1500" t="n">
        <x:f>ROUND(F1500*K1500/100,2)</x:f>
        <x:v>25.85</x:v>
      </x:c>
      <x:c r="M1500" t="n">
        <x:v>1.1</x:v>
      </x:c>
      <x:c r="N1500" t="n">
        <x:f>ROUND(F1500*M1500/100,2)</x:f>
        <x:v>1.21</x:v>
      </x:c>
      <x:c r="O1500" t="str">
        <x:v>熟重</x:v>
      </x:c>
    </x:row>
    <x:row r="1501" ht="23" customHeight="1">
      <x:c r="A1501" t="n">
        <x:v>250</x:v>
      </x:c>
      <x:c r="B1501" t="n">
        <x:v>125</x:v>
      </x:c>
      <x:c r="C1501" t="str">
        <x:v>晚餐</x:v>
      </x:c>
      <x:c r="D1501" t="str">
        <x:v>油脂</x:v>
      </x:c>
      <x:c r="E1501" t="str">
        <x:v>烹调油</x:v>
      </x:c>
      <x:c r="F1501" t="n">
        <x:v>4</x:v>
      </x:c>
      <x:c r="G1501" t="n">
        <x:v>900</x:v>
      </x:c>
      <x:c r="H1501" t="n">
        <x:f>ROUND(F1501*G1501/100,2)</x:f>
        <x:v>36</x:v>
      </x:c>
      <x:c r="I1501" t="n">
        <x:v>0</x:v>
      </x:c>
      <x:c r="J1501" t="n">
        <x:f>ROUND(F1501*I1501/100,2)</x:f>
        <x:v>0</x:v>
      </x:c>
      <x:c r="K1501" t="n">
        <x:v>0</x:v>
      </x:c>
      <x:c r="L1501" t="n">
        <x:f>ROUND(F1501*K1501/100,2)</x:f>
        <x:v>0</x:v>
      </x:c>
      <x:c r="M1501" t="n">
        <x:v>100</x:v>
      </x:c>
      <x:c r="N1501" t="n">
        <x:f>ROUND(F1501*M1501/100,2)</x:f>
        <x:v>4</x:v>
      </x:c>
      <x:c r="O1501" t="str">
        <x:v>实际用油重</x:v>
      </x:c>
    </x:row>
    <x:row r="1502" ht="23" customHeight="1">
      <x:c r="A1502" t="n">
        <x:v>251</x:v>
      </x:c>
      <x:c r="B1502" t="n">
        <x:v>126</x:v>
      </x:c>
      <x:c r="C1502" t="str">
        <x:v>午餐</x:v>
      </x:c>
      <x:c r="D1502" t="str">
        <x:v>豆蛋</x:v>
      </x:c>
      <x:c r="E1502" t="str">
        <x:v>北豆腐</x:v>
      </x:c>
      <x:c r="F1502" t="n">
        <x:v>260</x:v>
      </x:c>
      <x:c r="G1502" t="n">
        <x:v>90</x:v>
      </x:c>
      <x:c r="H1502" t="n">
        <x:f>ROUND(F1502*G1502/100,2)</x:f>
        <x:v>234</x:v>
      </x:c>
      <x:c r="I1502" t="n">
        <x:v>10</x:v>
      </x:c>
      <x:c r="J1502" t="n">
        <x:f>ROUND(F1502*I1502/100,2)</x:f>
        <x:v>26</x:v>
      </x:c>
      <x:c r="K1502" t="n">
        <x:v>2</x:v>
      </x:c>
      <x:c r="L1502" t="n">
        <x:f>ROUND(F1502*K1502/100,2)</x:f>
        <x:v>5.2</x:v>
      </x:c>
      <x:c r="M1502" t="n">
        <x:v>5</x:v>
      </x:c>
      <x:c r="N1502" t="n">
        <x:f>ROUND(F1502*M1502/100,2)</x:f>
        <x:v>13</x:v>
      </x:c>
      <x:c r="O1502" t="str">
        <x:v>净重</x:v>
      </x:c>
    </x:row>
    <x:row r="1503" ht="23" customHeight="1">
      <x:c r="A1503" t="n">
        <x:v>251</x:v>
      </x:c>
      <x:c r="B1503" t="n">
        <x:v>126</x:v>
      </x:c>
      <x:c r="C1503" t="str">
        <x:v>午餐</x:v>
      </x:c>
      <x:c r="D1503" t="str">
        <x:v>海鲜</x:v>
      </x:c>
      <x:c r="E1503" t="str">
        <x:v>虾仁</x:v>
      </x:c>
      <x:c r="F1503" t="n">
        <x:v>65</x:v>
      </x:c>
      <x:c r="G1503" t="n">
        <x:v>90</x:v>
      </x:c>
      <x:c r="H1503" t="n">
        <x:f>ROUND(F1503*G1503/100,2)</x:f>
        <x:v>58.5</x:v>
      </x:c>
      <x:c r="I1503" t="n">
        <x:v>19</x:v>
      </x:c>
      <x:c r="J1503" t="n">
        <x:f>ROUND(F1503*I1503/100,2)</x:f>
        <x:v>12.35</x:v>
      </x:c>
      <x:c r="K1503" t="n">
        <x:v>0.4</x:v>
      </x:c>
      <x:c r="L1503" t="n">
        <x:f>ROUND(F1503*K1503/100,2)</x:f>
        <x:v>0.26</x:v>
      </x:c>
      <x:c r="M1503" t="n">
        <x:v>1.1</x:v>
      </x:c>
      <x:c r="N1503" t="n">
        <x:f>ROUND(F1503*M1503/100,2)</x:f>
        <x:v>0.72</x:v>
      </x:c>
      <x:c r="O1503" t="str">
        <x:v>生重</x:v>
      </x:c>
    </x:row>
    <x:row r="1504" ht="23" customHeight="1">
      <x:c r="A1504" t="n">
        <x:v>251</x:v>
      </x:c>
      <x:c r="B1504" t="n">
        <x:v>126</x:v>
      </x:c>
      <x:c r="C1504" t="str">
        <x:v>午餐</x:v>
      </x:c>
      <x:c r="D1504" t="str">
        <x:v>蔬菜</x:v>
      </x:c>
      <x:c r="E1504" t="str">
        <x:v>四季豆</x:v>
      </x:c>
      <x:c r="F1504" t="n">
        <x:v>190</x:v>
      </x:c>
      <x:c r="G1504" t="n">
        <x:v>31</x:v>
      </x:c>
      <x:c r="H1504" t="n">
        <x:f>ROUND(F1504*G1504/100,2)</x:f>
        <x:v>58.9</x:v>
      </x:c>
      <x:c r="I1504" t="n">
        <x:v>1.8</x:v>
      </x:c>
      <x:c r="J1504" t="n">
        <x:f>ROUND(F1504*I1504/100,2)</x:f>
        <x:v>3.42</x:v>
      </x:c>
      <x:c r="K1504" t="n">
        <x:v>7</x:v>
      </x:c>
      <x:c r="L1504" t="n">
        <x:f>ROUND(F1504*K1504/100,2)</x:f>
        <x:v>13.3</x:v>
      </x:c>
      <x:c r="M1504" t="n">
        <x:v>0.1</x:v>
      </x:c>
      <x:c r="N1504" t="n">
        <x:f>ROUND(F1504*M1504/100,2)</x:f>
        <x:v>0.19</x:v>
      </x:c>
      <x:c r="O1504" t="str">
        <x:v>生重</x:v>
      </x:c>
    </x:row>
    <x:row r="1505" ht="23" customHeight="1">
      <x:c r="A1505" t="n">
        <x:v>251</x:v>
      </x:c>
      <x:c r="B1505" t="n">
        <x:v>126</x:v>
      </x:c>
      <x:c r="C1505" t="str">
        <x:v>午餐</x:v>
      </x:c>
      <x:c r="D1505" t="str">
        <x:v>蔬菜</x:v>
      </x:c>
      <x:c r="E1505" t="str">
        <x:v>小白菜</x:v>
      </x:c>
      <x:c r="F1505" t="n">
        <x:v>125</x:v>
      </x:c>
      <x:c r="G1505" t="n">
        <x:v>17</x:v>
      </x:c>
      <x:c r="H1505" t="n">
        <x:f>ROUND(F1505*G1505/100,2)</x:f>
        <x:v>21.25</x:v>
      </x:c>
      <x:c r="I1505" t="n">
        <x:v>1.6</x:v>
      </x:c>
      <x:c r="J1505" t="n">
        <x:f>ROUND(F1505*I1505/100,2)</x:f>
        <x:v>2</x:v>
      </x:c>
      <x:c r="K1505" t="n">
        <x:v>2.8</x:v>
      </x:c>
      <x:c r="L1505" t="n">
        <x:f>ROUND(F1505*K1505/100,2)</x:f>
        <x:v>3.5</x:v>
      </x:c>
      <x:c r="M1505" t="n">
        <x:v>0.2</x:v>
      </x:c>
      <x:c r="N1505" t="n">
        <x:f>ROUND(F1505*M1505/100,2)</x:f>
        <x:v>0.25</x:v>
      </x:c>
      <x:c r="O1505" t="str">
        <x:v>生重</x:v>
      </x:c>
    </x:row>
    <x:row r="1506" ht="23" customHeight="1">
      <x:c r="A1506" t="n">
        <x:v>251</x:v>
      </x:c>
      <x:c r="B1506" t="n">
        <x:v>126</x:v>
      </x:c>
      <x:c r="C1506" t="str">
        <x:v>午餐</x:v>
      </x:c>
      <x:c r="D1506" t="str">
        <x:v>主食</x:v>
      </x:c>
      <x:c r="E1506" t="str">
        <x:v>荞麦饭</x:v>
      </x:c>
      <x:c r="F1506" t="n">
        <x:v>150</x:v>
      </x:c>
      <x:c r="G1506" t="n">
        <x:v>110</x:v>
      </x:c>
      <x:c r="H1506" t="n">
        <x:f>ROUND(F1506*G1506/100,2)</x:f>
        <x:v>165</x:v>
      </x:c>
      <x:c r="I1506" t="n">
        <x:v>3.4</x:v>
      </x:c>
      <x:c r="J1506" t="n">
        <x:f>ROUND(F1506*I1506/100,2)</x:f>
        <x:v>5.1</x:v>
      </x:c>
      <x:c r="K1506" t="n">
        <x:v>22</x:v>
      </x:c>
      <x:c r="L1506" t="n">
        <x:f>ROUND(F1506*K1506/100,2)</x:f>
        <x:v>33</x:v>
      </x:c>
      <x:c r="M1506" t="n">
        <x:v>1.1</x:v>
      </x:c>
      <x:c r="N1506" t="n">
        <x:f>ROUND(F1506*M1506/100,2)</x:f>
        <x:v>1.65</x:v>
      </x:c>
      <x:c r="O1506" t="str">
        <x:v>熟重</x:v>
      </x:c>
    </x:row>
    <x:row r="1507" ht="23" customHeight="1">
      <x:c r="A1507" t="n">
        <x:v>251</x:v>
      </x:c>
      <x:c r="B1507" t="n">
        <x:v>126</x:v>
      </x:c>
      <x:c r="C1507" t="str">
        <x:v>午餐</x:v>
      </x:c>
      <x:c r="D1507" t="str">
        <x:v>油脂</x:v>
      </x:c>
      <x:c r="E1507" t="str">
        <x:v>烹调油</x:v>
      </x:c>
      <x:c r="F1507" t="n">
        <x:v>5</x:v>
      </x:c>
      <x:c r="G1507" t="n">
        <x:v>900</x:v>
      </x:c>
      <x:c r="H1507" t="n">
        <x:f>ROUND(F1507*G1507/100,2)</x:f>
        <x:v>45</x:v>
      </x:c>
      <x:c r="I1507" t="n">
        <x:v>0</x:v>
      </x:c>
      <x:c r="J1507" t="n">
        <x:f>ROUND(F1507*I1507/100,2)</x:f>
        <x:v>0</x:v>
      </x:c>
      <x:c r="K1507" t="n">
        <x:v>0</x:v>
      </x:c>
      <x:c r="L1507" t="n">
        <x:f>ROUND(F1507*K1507/100,2)</x:f>
        <x:v>0</x:v>
      </x:c>
      <x:c r="M1507" t="n">
        <x:v>100</x:v>
      </x:c>
      <x:c r="N1507" t="n">
        <x:f>ROUND(F1507*M1507/100,2)</x:f>
        <x:v>5</x:v>
      </x:c>
      <x:c r="O1507" t="str">
        <x:v>实际用油重</x:v>
      </x:c>
    </x:row>
    <x:row r="1508" ht="23" customHeight="1">
      <x:c r="A1508" t="n">
        <x:v>252</x:v>
      </x:c>
      <x:c r="B1508" t="n">
        <x:v>126</x:v>
      </x:c>
      <x:c r="C1508" t="str">
        <x:v>晚餐</x:v>
      </x:c>
      <x:c r="D1508" t="str">
        <x:v>牛肉</x:v>
      </x:c>
      <x:c r="E1508" t="str">
        <x:v>瘦牛肉</x:v>
      </x:c>
      <x:c r="F1508" t="n">
        <x:v>180</x:v>
      </x:c>
      <x:c r="G1508" t="n">
        <x:v>125</x:v>
      </x:c>
      <x:c r="H1508" t="n">
        <x:f>ROUND(F1508*G1508/100,2)</x:f>
        <x:v>225</x:v>
      </x:c>
      <x:c r="I1508" t="n">
        <x:v>21</x:v>
      </x:c>
      <x:c r="J1508" t="n">
        <x:f>ROUND(F1508*I1508/100,2)</x:f>
        <x:v>37.8</x:v>
      </x:c>
      <x:c r="K1508" t="n">
        <x:v>0</x:v>
      </x:c>
      <x:c r="L1508" t="n">
        <x:f>ROUND(F1508*K1508/100,2)</x:f>
        <x:v>0</x:v>
      </x:c>
      <x:c r="M1508" t="n">
        <x:v>4</x:v>
      </x:c>
      <x:c r="N1508" t="n">
        <x:f>ROUND(F1508*M1508/100,2)</x:f>
        <x:v>7.2</x:v>
      </x:c>
      <x:c r="O1508" t="str">
        <x:v>生重</x:v>
      </x:c>
    </x:row>
    <x:row r="1509" ht="23" customHeight="1">
      <x:c r="A1509" t="n">
        <x:v>252</x:v>
      </x:c>
      <x:c r="B1509" t="n">
        <x:v>126</x:v>
      </x:c>
      <x:c r="C1509" t="str">
        <x:v>晚餐</x:v>
      </x:c>
      <x:c r="D1509" t="str">
        <x:v>豆蛋</x:v>
      </x:c>
      <x:c r="E1509" t="str">
        <x:v>北豆腐</x:v>
      </x:c>
      <x:c r="F1509" t="n">
        <x:v>90</x:v>
      </x:c>
      <x:c r="G1509" t="n">
        <x:v>90</x:v>
      </x:c>
      <x:c r="H1509" t="n">
        <x:f>ROUND(F1509*G1509/100,2)</x:f>
        <x:v>81</x:v>
      </x:c>
      <x:c r="I1509" t="n">
        <x:v>10</x:v>
      </x:c>
      <x:c r="J1509" t="n">
        <x:f>ROUND(F1509*I1509/100,2)</x:f>
        <x:v>9</x:v>
      </x:c>
      <x:c r="K1509" t="n">
        <x:v>2</x:v>
      </x:c>
      <x:c r="L1509" t="n">
        <x:f>ROUND(F1509*K1509/100,2)</x:f>
        <x:v>1.8</x:v>
      </x:c>
      <x:c r="M1509" t="n">
        <x:v>5</x:v>
      </x:c>
      <x:c r="N1509" t="n">
        <x:f>ROUND(F1509*M1509/100,2)</x:f>
        <x:v>4.5</x:v>
      </x:c>
      <x:c r="O1509" t="str">
        <x:v>净重</x:v>
      </x:c>
    </x:row>
    <x:row r="1510" ht="23" customHeight="1">
      <x:c r="A1510" t="n">
        <x:v>252</x:v>
      </x:c>
      <x:c r="B1510" t="n">
        <x:v>126</x:v>
      </x:c>
      <x:c r="C1510" t="str">
        <x:v>晚餐</x:v>
      </x:c>
      <x:c r="D1510" t="str">
        <x:v>蔬菜</x:v>
      </x:c>
      <x:c r="E1510" t="str">
        <x:v>大白菜</x:v>
      </x:c>
      <x:c r="F1510" t="n">
        <x:v>160</x:v>
      </x:c>
      <x:c r="G1510" t="n">
        <x:v>17</x:v>
      </x:c>
      <x:c r="H1510" t="n">
        <x:f>ROUND(F1510*G1510/100,2)</x:f>
        <x:v>27.2</x:v>
      </x:c>
      <x:c r="I1510" t="n">
        <x:v>1.5</x:v>
      </x:c>
      <x:c r="J1510" t="n">
        <x:f>ROUND(F1510*I1510/100,2)</x:f>
        <x:v>2.4</x:v>
      </x:c>
      <x:c r="K1510" t="n">
        <x:v>3.2</x:v>
      </x:c>
      <x:c r="L1510" t="n">
        <x:f>ROUND(F1510*K1510/100,2)</x:f>
        <x:v>5.12</x:v>
      </x:c>
      <x:c r="M1510" t="n">
        <x:v>0.1</x:v>
      </x:c>
      <x:c r="N1510" t="n">
        <x:f>ROUND(F1510*M1510/100,2)</x:f>
        <x:v>0.16</x:v>
      </x:c>
      <x:c r="O1510" t="str">
        <x:v>生重</x:v>
      </x:c>
    </x:row>
    <x:row r="1511" ht="23" customHeight="1">
      <x:c r="A1511" t="n">
        <x:v>252</x:v>
      </x:c>
      <x:c r="B1511" t="n">
        <x:v>126</x:v>
      </x:c>
      <x:c r="C1511" t="str">
        <x:v>晚餐</x:v>
      </x:c>
      <x:c r="D1511" t="str">
        <x:v>菌菇</x:v>
      </x:c>
      <x:c r="E1511" t="str">
        <x:v>金针菇</x:v>
      </x:c>
      <x:c r="F1511" t="n">
        <x:v>110</x:v>
      </x:c>
      <x:c r="G1511" t="n">
        <x:v>32</x:v>
      </x:c>
      <x:c r="H1511" t="n">
        <x:f>ROUND(F1511*G1511/100,2)</x:f>
        <x:v>35.2</x:v>
      </x:c>
      <x:c r="I1511" t="n">
        <x:v>2.4</x:v>
      </x:c>
      <x:c r="J1511" t="n">
        <x:f>ROUND(F1511*I1511/100,2)</x:f>
        <x:v>2.64</x:v>
      </x:c>
      <x:c r="K1511" t="n">
        <x:v>6.4</x:v>
      </x:c>
      <x:c r="L1511" t="n">
        <x:f>ROUND(F1511*K1511/100,2)</x:f>
        <x:v>7.04</x:v>
      </x:c>
      <x:c r="M1511" t="n">
        <x:v>0.2</x:v>
      </x:c>
      <x:c r="N1511" t="n">
        <x:f>ROUND(F1511*M1511/100,2)</x:f>
        <x:v>0.22</x:v>
      </x:c>
      <x:c r="O1511" t="str">
        <x:v>生重</x:v>
      </x:c>
    </x:row>
    <x:row r="1512" ht="23" customHeight="1">
      <x:c r="A1512" t="n">
        <x:v>252</x:v>
      </x:c>
      <x:c r="B1512" t="n">
        <x:v>126</x:v>
      </x:c>
      <x:c r="C1512" t="str">
        <x:v>晚餐</x:v>
      </x:c>
      <x:c r="D1512" t="str">
        <x:v>主食</x:v>
      </x:c>
      <x:c r="E1512" t="str">
        <x:v>杂粮饭</x:v>
      </x:c>
      <x:c r="F1512" t="n">
        <x:v>125</x:v>
      </x:c>
      <x:c r="G1512" t="n">
        <x:v>115</x:v>
      </x:c>
      <x:c r="H1512" t="n">
        <x:f>ROUND(F1512*G1512/100,2)</x:f>
        <x:v>143.75</x:v>
      </x:c>
      <x:c r="I1512" t="n">
        <x:v>3.1</x:v>
      </x:c>
      <x:c r="J1512" t="n">
        <x:f>ROUND(F1512*I1512/100,2)</x:f>
        <x:v>3.88</x:v>
      </x:c>
      <x:c r="K1512" t="n">
        <x:v>23.5</x:v>
      </x:c>
      <x:c r="L1512" t="n">
        <x:f>ROUND(F1512*K1512/100,2)</x:f>
        <x:v>29.38</x:v>
      </x:c>
      <x:c r="M1512" t="n">
        <x:v>1.1</x:v>
      </x:c>
      <x:c r="N1512" t="n">
        <x:f>ROUND(F1512*M1512/100,2)</x:f>
        <x:v>1.38</x:v>
      </x:c>
      <x:c r="O1512" t="str">
        <x:v>熟重</x:v>
      </x:c>
    </x:row>
    <x:row r="1513" ht="23" customHeight="1">
      <x:c r="A1513" t="n">
        <x:v>252</x:v>
      </x:c>
      <x:c r="B1513" t="n">
        <x:v>126</x:v>
      </x:c>
      <x:c r="C1513" t="str">
        <x:v>晚餐</x:v>
      </x:c>
      <x:c r="D1513" t="str">
        <x:v>油脂</x:v>
      </x:c>
      <x:c r="E1513" t="str">
        <x:v>烹调油</x:v>
      </x:c>
      <x:c r="F1513" t="n">
        <x:v>6</x:v>
      </x:c>
      <x:c r="G1513" t="n">
        <x:v>900</x:v>
      </x:c>
      <x:c r="H1513" t="n">
        <x:f>ROUND(F1513*G1513/100,2)</x:f>
        <x:v>54</x:v>
      </x:c>
      <x:c r="I1513" t="n">
        <x:v>0</x:v>
      </x:c>
      <x:c r="J1513" t="n">
        <x:f>ROUND(F1513*I1513/100,2)</x:f>
        <x:v>0</x:v>
      </x:c>
      <x:c r="K1513" t="n">
        <x:v>0</x:v>
      </x:c>
      <x:c r="L1513" t="n">
        <x:f>ROUND(F1513*K1513/100,2)</x:f>
        <x:v>0</x:v>
      </x:c>
      <x:c r="M1513" t="n">
        <x:v>100</x:v>
      </x:c>
      <x:c r="N1513" t="n">
        <x:f>ROUND(F1513*M1513/100,2)</x:f>
        <x:v>6</x:v>
      </x:c>
      <x:c r="O1513" t="str">
        <x:v>实际用油重</x:v>
      </x:c>
    </x:row>
    <x:row r="1514" ht="23" customHeight="1">
      <x:c r="A1514" t="n">
        <x:v>253</x:v>
      </x:c>
      <x:c r="B1514" t="n">
        <x:v>127</x:v>
      </x:c>
      <x:c r="C1514" t="str">
        <x:v>午餐</x:v>
      </x:c>
      <x:c r="D1514" t="str">
        <x:v>禽肉</x:v>
      </x:c>
      <x:c r="E1514" t="str">
        <x:v>鸡胸肉</x:v>
      </x:c>
      <x:c r="F1514" t="n">
        <x:v>165</x:v>
      </x:c>
      <x:c r="G1514" t="n">
        <x:v>110</x:v>
      </x:c>
      <x:c r="H1514" t="n">
        <x:f>ROUND(F1514*G1514/100,2)</x:f>
        <x:v>181.5</x:v>
      </x:c>
      <x:c r="I1514" t="n">
        <x:v>23</x:v>
      </x:c>
      <x:c r="J1514" t="n">
        <x:f>ROUND(F1514*I1514/100,2)</x:f>
        <x:v>37.95</x:v>
      </x:c>
      <x:c r="K1514" t="n">
        <x:v>0</x:v>
      </x:c>
      <x:c r="L1514" t="n">
        <x:f>ROUND(F1514*K1514/100,2)</x:f>
        <x:v>0</x:v>
      </x:c>
      <x:c r="M1514" t="n">
        <x:v>2</x:v>
      </x:c>
      <x:c r="N1514" t="n">
        <x:f>ROUND(F1514*M1514/100,2)</x:f>
        <x:v>3.3</x:v>
      </x:c>
      <x:c r="O1514" t="str">
        <x:v>生重</x:v>
      </x:c>
    </x:row>
    <x:row r="1515" ht="23" customHeight="1">
      <x:c r="A1515" t="n">
        <x:v>253</x:v>
      </x:c>
      <x:c r="B1515" t="n">
        <x:v>127</x:v>
      </x:c>
      <x:c r="C1515" t="str">
        <x:v>午餐</x:v>
      </x:c>
      <x:c r="D1515" t="str"/>
      <x:c r="E1515" t="str"/>
      <x:c r="F1515" t="n">
        <x:v>0</x:v>
      </x:c>
      <x:c r="G1515" t="n">
        <x:v>0</x:v>
      </x:c>
      <x:c r="H1515" t="n">
        <x:f>ROUND(F1515*G1515/100,2)</x:f>
        <x:v>0</x:v>
      </x:c>
      <x:c r="I1515" t="n">
        <x:v>0</x:v>
      </x:c>
      <x:c r="J1515" t="n">
        <x:f>ROUND(F1515*I1515/100,2)</x:f>
        <x:v>0</x:v>
      </x:c>
      <x:c r="K1515" t="n">
        <x:v>0</x:v>
      </x:c>
      <x:c r="L1515" t="n">
        <x:f>ROUND(F1515*K1515/100,2)</x:f>
        <x:v>0</x:v>
      </x:c>
      <x:c r="M1515" t="n">
        <x:v>0</x:v>
      </x:c>
      <x:c r="N1515" t="n">
        <x:f>ROUND(F1515*M1515/100,2)</x:f>
        <x:v>0</x:v>
      </x:c>
      <x:c r="O1515" t="str"/>
    </x:row>
    <x:row r="1516" ht="23" customHeight="1">
      <x:c r="A1516" t="n">
        <x:v>253</x:v>
      </x:c>
      <x:c r="B1516" t="n">
        <x:v>127</x:v>
      </x:c>
      <x:c r="C1516" t="str">
        <x:v>午餐</x:v>
      </x:c>
      <x:c r="D1516" t="str">
        <x:v>蔬菜</x:v>
      </x:c>
      <x:c r="E1516" t="str">
        <x:v>秋葵</x:v>
      </x:c>
      <x:c r="F1516" t="n">
        <x:v>190</x:v>
      </x:c>
      <x:c r="G1516" t="n">
        <x:v>33</x:v>
      </x:c>
      <x:c r="H1516" t="n">
        <x:f>ROUND(F1516*G1516/100,2)</x:f>
        <x:v>62.7</x:v>
      </x:c>
      <x:c r="I1516" t="n">
        <x:v>1.9</x:v>
      </x:c>
      <x:c r="J1516" t="n">
        <x:f>ROUND(F1516*I1516/100,2)</x:f>
        <x:v>3.61</x:v>
      </x:c>
      <x:c r="K1516" t="n">
        <x:v>7.5</x:v>
      </x:c>
      <x:c r="L1516" t="n">
        <x:f>ROUND(F1516*K1516/100,2)</x:f>
        <x:v>14.25</x:v>
      </x:c>
      <x:c r="M1516" t="n">
        <x:v>0.2</x:v>
      </x:c>
      <x:c r="N1516" t="n">
        <x:f>ROUND(F1516*M1516/100,2)</x:f>
        <x:v>0.38</x:v>
      </x:c>
      <x:c r="O1516" t="str">
        <x:v>生重</x:v>
      </x:c>
    </x:row>
    <x:row r="1517" ht="23" customHeight="1">
      <x:c r="A1517" t="n">
        <x:v>253</x:v>
      </x:c>
      <x:c r="B1517" t="n">
        <x:v>127</x:v>
      </x:c>
      <x:c r="C1517" t="str">
        <x:v>午餐</x:v>
      </x:c>
      <x:c r="D1517" t="str">
        <x:v>蔬菜</x:v>
      </x:c>
      <x:c r="E1517" t="str">
        <x:v>黄瓜</x:v>
      </x:c>
      <x:c r="F1517" t="n">
        <x:v>140</x:v>
      </x:c>
      <x:c r="G1517" t="n">
        <x:v>16</x:v>
      </x:c>
      <x:c r="H1517" t="n">
        <x:f>ROUND(F1517*G1517/100,2)</x:f>
        <x:v>22.4</x:v>
      </x:c>
      <x:c r="I1517" t="n">
        <x:v>0.7</x:v>
      </x:c>
      <x:c r="J1517" t="n">
        <x:f>ROUND(F1517*I1517/100,2)</x:f>
        <x:v>0.98</x:v>
      </x:c>
      <x:c r="K1517" t="n">
        <x:v>3.6</x:v>
      </x:c>
      <x:c r="L1517" t="n">
        <x:f>ROUND(F1517*K1517/100,2)</x:f>
        <x:v>5.04</x:v>
      </x:c>
      <x:c r="M1517" t="n">
        <x:v>0.1</x:v>
      </x:c>
      <x:c r="N1517" t="n">
        <x:f>ROUND(F1517*M1517/100,2)</x:f>
        <x:v>0.14</x:v>
      </x:c>
      <x:c r="O1517" t="str">
        <x:v>生重</x:v>
      </x:c>
    </x:row>
    <x:row r="1518" ht="23" customHeight="1">
      <x:c r="A1518" t="n">
        <x:v>253</x:v>
      </x:c>
      <x:c r="B1518" t="n">
        <x:v>127</x:v>
      </x:c>
      <x:c r="C1518" t="str">
        <x:v>午餐</x:v>
      </x:c>
      <x:c r="D1518" t="str">
        <x:v>主食</x:v>
      </x:c>
      <x:c r="E1518" t="str">
        <x:v>杂粮饭</x:v>
      </x:c>
      <x:c r="F1518" t="n">
        <x:v>165</x:v>
      </x:c>
      <x:c r="G1518" t="n">
        <x:v>115</x:v>
      </x:c>
      <x:c r="H1518" t="n">
        <x:f>ROUND(F1518*G1518/100,2)</x:f>
        <x:v>189.75</x:v>
      </x:c>
      <x:c r="I1518" t="n">
        <x:v>3.1</x:v>
      </x:c>
      <x:c r="J1518" t="n">
        <x:f>ROUND(F1518*I1518/100,2)</x:f>
        <x:v>5.12</x:v>
      </x:c>
      <x:c r="K1518" t="n">
        <x:v>23.5</x:v>
      </x:c>
      <x:c r="L1518" t="n">
        <x:f>ROUND(F1518*K1518/100,2)</x:f>
        <x:v>38.78</x:v>
      </x:c>
      <x:c r="M1518" t="n">
        <x:v>1.1</x:v>
      </x:c>
      <x:c r="N1518" t="n">
        <x:f>ROUND(F1518*M1518/100,2)</x:f>
        <x:v>1.82</x:v>
      </x:c>
      <x:c r="O1518" t="str">
        <x:v>熟重</x:v>
      </x:c>
    </x:row>
    <x:row r="1519" ht="23" customHeight="1">
      <x:c r="A1519" t="n">
        <x:v>253</x:v>
      </x:c>
      <x:c r="B1519" t="n">
        <x:v>127</x:v>
      </x:c>
      <x:c r="C1519" t="str">
        <x:v>午餐</x:v>
      </x:c>
      <x:c r="D1519" t="str">
        <x:v>油脂</x:v>
      </x:c>
      <x:c r="E1519" t="str">
        <x:v>烹调油</x:v>
      </x:c>
      <x:c r="F1519" t="n">
        <x:v>5</x:v>
      </x:c>
      <x:c r="G1519" t="n">
        <x:v>900</x:v>
      </x:c>
      <x:c r="H1519" t="n">
        <x:f>ROUND(F1519*G1519/100,2)</x:f>
        <x:v>45</x:v>
      </x:c>
      <x:c r="I1519" t="n">
        <x:v>0</x:v>
      </x:c>
      <x:c r="J1519" t="n">
        <x:f>ROUND(F1519*I1519/100,2)</x:f>
        <x:v>0</x:v>
      </x:c>
      <x:c r="K1519" t="n">
        <x:v>0</x:v>
      </x:c>
      <x:c r="L1519" t="n">
        <x:f>ROUND(F1519*K1519/100,2)</x:f>
        <x:v>0</x:v>
      </x:c>
      <x:c r="M1519" t="n">
        <x:v>100</x:v>
      </x:c>
      <x:c r="N1519" t="n">
        <x:f>ROUND(F1519*M1519/100,2)</x:f>
        <x:v>5</x:v>
      </x:c>
      <x:c r="O1519" t="str">
        <x:v>实际用油重</x:v>
      </x:c>
    </x:row>
    <x:row r="1520" ht="23" customHeight="1">
      <x:c r="A1520" t="n">
        <x:v>254</x:v>
      </x:c>
      <x:c r="B1520" t="n">
        <x:v>127</x:v>
      </x:c>
      <x:c r="C1520" t="str">
        <x:v>晚餐</x:v>
      </x:c>
      <x:c r="D1520" t="str">
        <x:v>禽肉</x:v>
      </x:c>
      <x:c r="E1520" t="str">
        <x:v>去皮鸡腿肉</x:v>
      </x:c>
      <x:c r="F1520" t="n">
        <x:v>170</x:v>
      </x:c>
      <x:c r="G1520" t="n">
        <x:v>125</x:v>
      </x:c>
      <x:c r="H1520" t="n">
        <x:f>ROUND(F1520*G1520/100,2)</x:f>
        <x:v>212.5</x:v>
      </x:c>
      <x:c r="I1520" t="n">
        <x:v>20</x:v>
      </x:c>
      <x:c r="J1520" t="n">
        <x:f>ROUND(F1520*I1520/100,2)</x:f>
        <x:v>34</x:v>
      </x:c>
      <x:c r="K1520" t="n">
        <x:v>0</x:v>
      </x:c>
      <x:c r="L1520" t="n">
        <x:f>ROUND(F1520*K1520/100,2)</x:f>
        <x:v>0</x:v>
      </x:c>
      <x:c r="M1520" t="n">
        <x:v>5</x:v>
      </x:c>
      <x:c r="N1520" t="n">
        <x:f>ROUND(F1520*M1520/100,2)</x:f>
        <x:v>8.5</x:v>
      </x:c>
      <x:c r="O1520" t="str">
        <x:v>生重</x:v>
      </x:c>
    </x:row>
    <x:row r="1521" ht="23" customHeight="1">
      <x:c r="A1521" t="n">
        <x:v>254</x:v>
      </x:c>
      <x:c r="B1521" t="n">
        <x:v>127</x:v>
      </x:c>
      <x:c r="C1521" t="str">
        <x:v>晚餐</x:v>
      </x:c>
      <x:c r="D1521" t="str">
        <x:v>豆蛋</x:v>
      </x:c>
      <x:c r="E1521" t="str">
        <x:v>北豆腐</x:v>
      </x:c>
      <x:c r="F1521" t="n">
        <x:v>110</x:v>
      </x:c>
      <x:c r="G1521" t="n">
        <x:v>90</x:v>
      </x:c>
      <x:c r="H1521" t="n">
        <x:f>ROUND(F1521*G1521/100,2)</x:f>
        <x:v>99</x:v>
      </x:c>
      <x:c r="I1521" t="n">
        <x:v>10</x:v>
      </x:c>
      <x:c r="J1521" t="n">
        <x:f>ROUND(F1521*I1521/100,2)</x:f>
        <x:v>11</x:v>
      </x:c>
      <x:c r="K1521" t="n">
        <x:v>2</x:v>
      </x:c>
      <x:c r="L1521" t="n">
        <x:f>ROUND(F1521*K1521/100,2)</x:f>
        <x:v>2.2</x:v>
      </x:c>
      <x:c r="M1521" t="n">
        <x:v>5</x:v>
      </x:c>
      <x:c r="N1521" t="n">
        <x:f>ROUND(F1521*M1521/100,2)</x:f>
        <x:v>5.5</x:v>
      </x:c>
      <x:c r="O1521" t="str">
        <x:v>净重</x:v>
      </x:c>
    </x:row>
    <x:row r="1522" ht="23" customHeight="1">
      <x:c r="A1522" t="n">
        <x:v>254</x:v>
      </x:c>
      <x:c r="B1522" t="n">
        <x:v>127</x:v>
      </x:c>
      <x:c r="C1522" t="str">
        <x:v>晚餐</x:v>
      </x:c>
      <x:c r="D1522" t="str">
        <x:v>蔬菜</x:v>
      </x:c>
      <x:c r="E1522" t="str">
        <x:v>芹菜</x:v>
      </x:c>
      <x:c r="F1522" t="n">
        <x:v>175</x:v>
      </x:c>
      <x:c r="G1522" t="n">
        <x:v>17</x:v>
      </x:c>
      <x:c r="H1522" t="n">
        <x:f>ROUND(F1522*G1522/100,2)</x:f>
        <x:v>29.75</x:v>
      </x:c>
      <x:c r="I1522" t="n">
        <x:v>1</x:v>
      </x:c>
      <x:c r="J1522" t="n">
        <x:f>ROUND(F1522*I1522/100,2)</x:f>
        <x:v>1.75</x:v>
      </x:c>
      <x:c r="K1522" t="n">
        <x:v>3.5</x:v>
      </x:c>
      <x:c r="L1522" t="n">
        <x:f>ROUND(F1522*K1522/100,2)</x:f>
        <x:v>6.13</x:v>
      </x:c>
      <x:c r="M1522" t="n">
        <x:v>0.1</x:v>
      </x:c>
      <x:c r="N1522" t="n">
        <x:f>ROUND(F1522*M1522/100,2)</x:f>
        <x:v>0.18</x:v>
      </x:c>
      <x:c r="O1522" t="str">
        <x:v>生重</x:v>
      </x:c>
    </x:row>
    <x:row r="1523" ht="23" customHeight="1">
      <x:c r="A1523" t="n">
        <x:v>254</x:v>
      </x:c>
      <x:c r="B1523" t="n">
        <x:v>127</x:v>
      </x:c>
      <x:c r="C1523" t="str">
        <x:v>晚餐</x:v>
      </x:c>
      <x:c r="D1523" t="str">
        <x:v>蔬菜</x:v>
      </x:c>
      <x:c r="E1523" t="str">
        <x:v>花菜</x:v>
      </x:c>
      <x:c r="F1523" t="n">
        <x:v>140</x:v>
      </x:c>
      <x:c r="G1523" t="n">
        <x:v>25</x:v>
      </x:c>
      <x:c r="H1523" t="n">
        <x:f>ROUND(F1523*G1523/100,2)</x:f>
        <x:v>35</x:v>
      </x:c>
      <x:c r="I1523" t="n">
        <x:v>2</x:v>
      </x:c>
      <x:c r="J1523" t="n">
        <x:f>ROUND(F1523*I1523/100,2)</x:f>
        <x:v>2.8</x:v>
      </x:c>
      <x:c r="K1523" t="n">
        <x:v>5</x:v>
      </x:c>
      <x:c r="L1523" t="n">
        <x:f>ROUND(F1523*K1523/100,2)</x:f>
        <x:v>7</x:v>
      </x:c>
      <x:c r="M1523" t="n">
        <x:v>0.3</x:v>
      </x:c>
      <x:c r="N1523" t="n">
        <x:f>ROUND(F1523*M1523/100,2)</x:f>
        <x:v>0.42</x:v>
      </x:c>
      <x:c r="O1523" t="str">
        <x:v>生重</x:v>
      </x:c>
    </x:row>
    <x:row r="1524" ht="23" customHeight="1">
      <x:c r="A1524" t="n">
        <x:v>254</x:v>
      </x:c>
      <x:c r="B1524" t="n">
        <x:v>127</x:v>
      </x:c>
      <x:c r="C1524" t="str">
        <x:v>晚餐</x:v>
      </x:c>
      <x:c r="D1524" t="str">
        <x:v>主食</x:v>
      </x:c>
      <x:c r="E1524" t="str">
        <x:v>杂粮饭</x:v>
      </x:c>
      <x:c r="F1524" t="n">
        <x:v>95</x:v>
      </x:c>
      <x:c r="G1524" t="n">
        <x:v>115</x:v>
      </x:c>
      <x:c r="H1524" t="n">
        <x:f>ROUND(F1524*G1524/100,2)</x:f>
        <x:v>109.25</x:v>
      </x:c>
      <x:c r="I1524" t="n">
        <x:v>3.1</x:v>
      </x:c>
      <x:c r="J1524" t="n">
        <x:f>ROUND(F1524*I1524/100,2)</x:f>
        <x:v>2.95</x:v>
      </x:c>
      <x:c r="K1524" t="n">
        <x:v>23.5</x:v>
      </x:c>
      <x:c r="L1524" t="n">
        <x:f>ROUND(F1524*K1524/100,2)</x:f>
        <x:v>22.33</x:v>
      </x:c>
      <x:c r="M1524" t="n">
        <x:v>1.1</x:v>
      </x:c>
      <x:c r="N1524" t="n">
        <x:f>ROUND(F1524*M1524/100,2)</x:f>
        <x:v>1.05</x:v>
      </x:c>
      <x:c r="O1524" t="str">
        <x:v>熟重</x:v>
      </x:c>
    </x:row>
    <x:row r="1525" ht="23" customHeight="1">
      <x:c r="A1525" t="n">
        <x:v>254</x:v>
      </x:c>
      <x:c r="B1525" t="n">
        <x:v>127</x:v>
      </x:c>
      <x:c r="C1525" t="str">
        <x:v>晚餐</x:v>
      </x:c>
      <x:c r="D1525" t="str">
        <x:v>油脂</x:v>
      </x:c>
      <x:c r="E1525" t="str">
        <x:v>烹调油</x:v>
      </x:c>
      <x:c r="F1525" t="n">
        <x:v>3</x:v>
      </x:c>
      <x:c r="G1525" t="n">
        <x:v>900</x:v>
      </x:c>
      <x:c r="H1525" t="n">
        <x:f>ROUND(F1525*G1525/100,2)</x:f>
        <x:v>27</x:v>
      </x:c>
      <x:c r="I1525" t="n">
        <x:v>0</x:v>
      </x:c>
      <x:c r="J1525" t="n">
        <x:f>ROUND(F1525*I1525/100,2)</x:f>
        <x:v>0</x:v>
      </x:c>
      <x:c r="K1525" t="n">
        <x:v>0</x:v>
      </x:c>
      <x:c r="L1525" t="n">
        <x:f>ROUND(F1525*K1525/100,2)</x:f>
        <x:v>0</x:v>
      </x:c>
      <x:c r="M1525" t="n">
        <x:v>100</x:v>
      </x:c>
      <x:c r="N1525" t="n">
        <x:f>ROUND(F1525*M1525/100,2)</x:f>
        <x:v>3</x:v>
      </x:c>
      <x:c r="O1525" t="str">
        <x:v>实际用油重</x:v>
      </x:c>
    </x:row>
    <x:row r="1526" ht="23" customHeight="1">
      <x:c r="A1526" t="n">
        <x:v>255</x:v>
      </x:c>
      <x:c r="B1526" t="n">
        <x:v>128</x:v>
      </x:c>
      <x:c r="C1526" t="str">
        <x:v>午餐</x:v>
      </x:c>
      <x:c r="D1526" t="str">
        <x:v>海鲜</x:v>
      </x:c>
      <x:c r="E1526" t="str">
        <x:v>扇贝肉</x:v>
      </x:c>
      <x:c r="F1526" t="n">
        <x:v>210</x:v>
      </x:c>
      <x:c r="G1526" t="n">
        <x:v>90</x:v>
      </x:c>
      <x:c r="H1526" t="n">
        <x:f>ROUND(F1526*G1526/100,2)</x:f>
        <x:v>189</x:v>
      </x:c>
      <x:c r="I1526" t="n">
        <x:v>17</x:v>
      </x:c>
      <x:c r="J1526" t="n">
        <x:f>ROUND(F1526*I1526/100,2)</x:f>
        <x:v>35.7</x:v>
      </x:c>
      <x:c r="K1526" t="n">
        <x:v>3</x:v>
      </x:c>
      <x:c r="L1526" t="n">
        <x:f>ROUND(F1526*K1526/100,2)</x:f>
        <x:v>6.3</x:v>
      </x:c>
      <x:c r="M1526" t="n">
        <x:v>0.8</x:v>
      </x:c>
      <x:c r="N1526" t="n">
        <x:f>ROUND(F1526*M1526/100,2)</x:f>
        <x:v>1.68</x:v>
      </x:c>
      <x:c r="O1526" t="str">
        <x:v>生重</x:v>
      </x:c>
    </x:row>
    <x:row r="1527" ht="23" customHeight="1">
      <x:c r="A1527" t="n">
        <x:v>255</x:v>
      </x:c>
      <x:c r="B1527" t="n">
        <x:v>128</x:v>
      </x:c>
      <x:c r="C1527" t="str">
        <x:v>午餐</x:v>
      </x:c>
      <x:c r="D1527" t="str"/>
      <x:c r="E1527" t="str"/>
      <x:c r="F1527" t="n">
        <x:v>0</x:v>
      </x:c>
      <x:c r="G1527" t="n">
        <x:v>0</x:v>
      </x:c>
      <x:c r="H1527" t="n">
        <x:f>ROUND(F1527*G1527/100,2)</x:f>
        <x:v>0</x:v>
      </x:c>
      <x:c r="I1527" t="n">
        <x:v>0</x:v>
      </x:c>
      <x:c r="J1527" t="n">
        <x:f>ROUND(F1527*I1527/100,2)</x:f>
        <x:v>0</x:v>
      </x:c>
      <x:c r="K1527" t="n">
        <x:v>0</x:v>
      </x:c>
      <x:c r="L1527" t="n">
        <x:f>ROUND(F1527*K1527/100,2)</x:f>
        <x:v>0</x:v>
      </x:c>
      <x:c r="M1527" t="n">
        <x:v>0</x:v>
      </x:c>
      <x:c r="N1527" t="n">
        <x:f>ROUND(F1527*M1527/100,2)</x:f>
        <x:v>0</x:v>
      </x:c>
      <x:c r="O1527" t="str"/>
    </x:row>
    <x:row r="1528" ht="23" customHeight="1">
      <x:c r="A1528" t="n">
        <x:v>255</x:v>
      </x:c>
      <x:c r="B1528" t="n">
        <x:v>128</x:v>
      </x:c>
      <x:c r="C1528" t="str">
        <x:v>午餐</x:v>
      </x:c>
      <x:c r="D1528" t="str">
        <x:v>蔬菜</x:v>
      </x:c>
      <x:c r="E1528" t="str">
        <x:v>小白菜</x:v>
      </x:c>
      <x:c r="F1528" t="n">
        <x:v>140</x:v>
      </x:c>
      <x:c r="G1528" t="n">
        <x:v>17</x:v>
      </x:c>
      <x:c r="H1528" t="n">
        <x:f>ROUND(F1528*G1528/100,2)</x:f>
        <x:v>23.8</x:v>
      </x:c>
      <x:c r="I1528" t="n">
        <x:v>1.6</x:v>
      </x:c>
      <x:c r="J1528" t="n">
        <x:f>ROUND(F1528*I1528/100,2)</x:f>
        <x:v>2.24</x:v>
      </x:c>
      <x:c r="K1528" t="n">
        <x:v>2.8</x:v>
      </x:c>
      <x:c r="L1528" t="n">
        <x:f>ROUND(F1528*K1528/100,2)</x:f>
        <x:v>3.92</x:v>
      </x:c>
      <x:c r="M1528" t="n">
        <x:v>0.2</x:v>
      </x:c>
      <x:c r="N1528" t="n">
        <x:f>ROUND(F1528*M1528/100,2)</x:f>
        <x:v>0.28</x:v>
      </x:c>
      <x:c r="O1528" t="str">
        <x:v>生重</x:v>
      </x:c>
    </x:row>
    <x:row r="1529" ht="23" customHeight="1">
      <x:c r="A1529" t="n">
        <x:v>255</x:v>
      </x:c>
      <x:c r="B1529" t="n">
        <x:v>128</x:v>
      </x:c>
      <x:c r="C1529" t="str">
        <x:v>午餐</x:v>
      </x:c>
      <x:c r="D1529" t="str">
        <x:v>蔬菜</x:v>
      </x:c>
      <x:c r="E1529" t="str">
        <x:v>白萝卜</x:v>
      </x:c>
      <x:c r="F1529" t="n">
        <x:v>155</x:v>
      </x:c>
      <x:c r="G1529" t="n">
        <x:v>18</x:v>
      </x:c>
      <x:c r="H1529" t="n">
        <x:f>ROUND(F1529*G1529/100,2)</x:f>
        <x:v>27.9</x:v>
      </x:c>
      <x:c r="I1529" t="n">
        <x:v>0.6</x:v>
      </x:c>
      <x:c r="J1529" t="n">
        <x:f>ROUND(F1529*I1529/100,2)</x:f>
        <x:v>0.93</x:v>
      </x:c>
      <x:c r="K1529" t="n">
        <x:v>4</x:v>
      </x:c>
      <x:c r="L1529" t="n">
        <x:f>ROUND(F1529*K1529/100,2)</x:f>
        <x:v>6.2</x:v>
      </x:c>
      <x:c r="M1529" t="n">
        <x:v>0.1</x:v>
      </x:c>
      <x:c r="N1529" t="n">
        <x:f>ROUND(F1529*M1529/100,2)</x:f>
        <x:v>0.16</x:v>
      </x:c>
      <x:c r="O1529" t="str">
        <x:v>生重</x:v>
      </x:c>
    </x:row>
    <x:row r="1530" ht="23" customHeight="1">
      <x:c r="A1530" t="n">
        <x:v>255</x:v>
      </x:c>
      <x:c r="B1530" t="n">
        <x:v>128</x:v>
      </x:c>
      <x:c r="C1530" t="str">
        <x:v>午餐</x:v>
      </x:c>
      <x:c r="D1530" t="str">
        <x:v>主食</x:v>
      </x:c>
      <x:c r="E1530" t="str">
        <x:v>玉米</x:v>
      </x:c>
      <x:c r="F1530" t="n">
        <x:v>135</x:v>
      </x:c>
      <x:c r="G1530" t="n">
        <x:v>105</x:v>
      </x:c>
      <x:c r="H1530" t="n">
        <x:f>ROUND(F1530*G1530/100,2)</x:f>
        <x:v>141.75</x:v>
      </x:c>
      <x:c r="I1530" t="n">
        <x:v>3.4</x:v>
      </x:c>
      <x:c r="J1530" t="n">
        <x:f>ROUND(F1530*I1530/100,2)</x:f>
        <x:v>4.59</x:v>
      </x:c>
      <x:c r="K1530" t="n">
        <x:v>22</x:v>
      </x:c>
      <x:c r="L1530" t="n">
        <x:f>ROUND(F1530*K1530/100,2)</x:f>
        <x:v>29.7</x:v>
      </x:c>
      <x:c r="M1530" t="n">
        <x:v>1.5</x:v>
      </x:c>
      <x:c r="N1530" t="n">
        <x:f>ROUND(F1530*M1530/100,2)</x:f>
        <x:v>2.03</x:v>
      </x:c>
      <x:c r="O1530" t="str">
        <x:v>蒸熟净重</x:v>
      </x:c>
    </x:row>
    <x:row r="1531" ht="23" customHeight="1">
      <x:c r="A1531" t="n">
        <x:v>255</x:v>
      </x:c>
      <x:c r="B1531" t="n">
        <x:v>128</x:v>
      </x:c>
      <x:c r="C1531" t="str">
        <x:v>午餐</x:v>
      </x:c>
      <x:c r="D1531" t="str">
        <x:v>油脂</x:v>
      </x:c>
      <x:c r="E1531" t="str">
        <x:v>烹调油</x:v>
      </x:c>
      <x:c r="F1531" t="n">
        <x:v>4</x:v>
      </x:c>
      <x:c r="G1531" t="n">
        <x:v>900</x:v>
      </x:c>
      <x:c r="H1531" t="n">
        <x:f>ROUND(F1531*G1531/100,2)</x:f>
        <x:v>36</x:v>
      </x:c>
      <x:c r="I1531" t="n">
        <x:v>0</x:v>
      </x:c>
      <x:c r="J1531" t="n">
        <x:f>ROUND(F1531*I1531/100,2)</x:f>
        <x:v>0</x:v>
      </x:c>
      <x:c r="K1531" t="n">
        <x:v>0</x:v>
      </x:c>
      <x:c r="L1531" t="n">
        <x:f>ROUND(F1531*K1531/100,2)</x:f>
        <x:v>0</x:v>
      </x:c>
      <x:c r="M1531" t="n">
        <x:v>100</x:v>
      </x:c>
      <x:c r="N1531" t="n">
        <x:f>ROUND(F1531*M1531/100,2)</x:f>
        <x:v>4</x:v>
      </x:c>
      <x:c r="O1531" t="str">
        <x:v>实际用油重</x:v>
      </x:c>
    </x:row>
    <x:row r="1532" ht="23" customHeight="1">
      <x:c r="A1532" t="n">
        <x:v>256</x:v>
      </x:c>
      <x:c r="B1532" t="n">
        <x:v>128</x:v>
      </x:c>
      <x:c r="C1532" t="str">
        <x:v>晚餐</x:v>
      </x:c>
      <x:c r="D1532" t="str">
        <x:v>鱼类</x:v>
      </x:c>
      <x:c r="E1532" t="str">
        <x:v>鲈鱼</x:v>
      </x:c>
      <x:c r="F1532" t="n">
        <x:v>200</x:v>
      </x:c>
      <x:c r="G1532" t="n">
        <x:v>105</x:v>
      </x:c>
      <x:c r="H1532" t="n">
        <x:f>ROUND(F1532*G1532/100,2)</x:f>
        <x:v>210</x:v>
      </x:c>
      <x:c r="I1532" t="n">
        <x:v>19</x:v>
      </x:c>
      <x:c r="J1532" t="n">
        <x:f>ROUND(F1532*I1532/100,2)</x:f>
        <x:v>38</x:v>
      </x:c>
      <x:c r="K1532" t="n">
        <x:v>0</x:v>
      </x:c>
      <x:c r="L1532" t="n">
        <x:f>ROUND(F1532*K1532/100,2)</x:f>
        <x:v>0</x:v>
      </x:c>
      <x:c r="M1532" t="n">
        <x:v>3</x:v>
      </x:c>
      <x:c r="N1532" t="n">
        <x:f>ROUND(F1532*M1532/100,2)</x:f>
        <x:v>6</x:v>
      </x:c>
      <x:c r="O1532" t="str">
        <x:v>净鱼肉生重</x:v>
      </x:c>
    </x:row>
    <x:row r="1533" ht="23" customHeight="1">
      <x:c r="A1533" t="n">
        <x:v>256</x:v>
      </x:c>
      <x:c r="B1533" t="n">
        <x:v>128</x:v>
      </x:c>
      <x:c r="C1533" t="str">
        <x:v>晚餐</x:v>
      </x:c>
      <x:c r="D1533" t="str"/>
      <x:c r="E1533" t="str"/>
      <x:c r="F1533" t="n">
        <x:v>0</x:v>
      </x:c>
      <x:c r="G1533" t="n">
        <x:v>0</x:v>
      </x:c>
      <x:c r="H1533" t="n">
        <x:f>ROUND(F1533*G1533/100,2)</x:f>
        <x:v>0</x:v>
      </x:c>
      <x:c r="I1533" t="n">
        <x:v>0</x:v>
      </x:c>
      <x:c r="J1533" t="n">
        <x:f>ROUND(F1533*I1533/100,2)</x:f>
        <x:v>0</x:v>
      </x:c>
      <x:c r="K1533" t="n">
        <x:v>0</x:v>
      </x:c>
      <x:c r="L1533" t="n">
        <x:f>ROUND(F1533*K1533/100,2)</x:f>
        <x:v>0</x:v>
      </x:c>
      <x:c r="M1533" t="n">
        <x:v>0</x:v>
      </x:c>
      <x:c r="N1533" t="n">
        <x:f>ROUND(F1533*M1533/100,2)</x:f>
        <x:v>0</x:v>
      </x:c>
      <x:c r="O1533" t="str"/>
    </x:row>
    <x:row r="1534" ht="23" customHeight="1">
      <x:c r="A1534" t="n">
        <x:v>256</x:v>
      </x:c>
      <x:c r="B1534" t="n">
        <x:v>128</x:v>
      </x:c>
      <x:c r="C1534" t="str">
        <x:v>晚餐</x:v>
      </x:c>
      <x:c r="D1534" t="str">
        <x:v>蔬菜</x:v>
      </x:c>
      <x:c r="E1534" t="str">
        <x:v>油麦菜</x:v>
      </x:c>
      <x:c r="F1534" t="n">
        <x:v>160</x:v>
      </x:c>
      <x:c r="G1534" t="n">
        <x:v>18</x:v>
      </x:c>
      <x:c r="H1534" t="n">
        <x:f>ROUND(F1534*G1534/100,2)</x:f>
        <x:v>28.8</x:v>
      </x:c>
      <x:c r="I1534" t="n">
        <x:v>1.4</x:v>
      </x:c>
      <x:c r="J1534" t="n">
        <x:f>ROUND(F1534*I1534/100,2)</x:f>
        <x:v>2.24</x:v>
      </x:c>
      <x:c r="K1534" t="n">
        <x:v>3.1</x:v>
      </x:c>
      <x:c r="L1534" t="n">
        <x:f>ROUND(F1534*K1534/100,2)</x:f>
        <x:v>4.96</x:v>
      </x:c>
      <x:c r="M1534" t="n">
        <x:v>0.2</x:v>
      </x:c>
      <x:c r="N1534" t="n">
        <x:f>ROUND(F1534*M1534/100,2)</x:f>
        <x:v>0.32</x:v>
      </x:c>
      <x:c r="O1534" t="str">
        <x:v>生重</x:v>
      </x:c>
    </x:row>
    <x:row r="1535" ht="23" customHeight="1">
      <x:c r="A1535" t="n">
        <x:v>256</x:v>
      </x:c>
      <x:c r="B1535" t="n">
        <x:v>128</x:v>
      </x:c>
      <x:c r="C1535" t="str">
        <x:v>晚餐</x:v>
      </x:c>
      <x:c r="D1535" t="str">
        <x:v>菌菇</x:v>
      </x:c>
      <x:c r="E1535" t="str">
        <x:v>金针菇</x:v>
      </x:c>
      <x:c r="F1535" t="n">
        <x:v>140</x:v>
      </x:c>
      <x:c r="G1535" t="n">
        <x:v>32</x:v>
      </x:c>
      <x:c r="H1535" t="n">
        <x:f>ROUND(F1535*G1535/100,2)</x:f>
        <x:v>44.8</x:v>
      </x:c>
      <x:c r="I1535" t="n">
        <x:v>2.4</x:v>
      </x:c>
      <x:c r="J1535" t="n">
        <x:f>ROUND(F1535*I1535/100,2)</x:f>
        <x:v>3.36</x:v>
      </x:c>
      <x:c r="K1535" t="n">
        <x:v>6.4</x:v>
      </x:c>
      <x:c r="L1535" t="n">
        <x:f>ROUND(F1535*K1535/100,2)</x:f>
        <x:v>8.96</x:v>
      </x:c>
      <x:c r="M1535" t="n">
        <x:v>0.2</x:v>
      </x:c>
      <x:c r="N1535" t="n">
        <x:f>ROUND(F1535*M1535/100,2)</x:f>
        <x:v>0.28</x:v>
      </x:c>
      <x:c r="O1535" t="str">
        <x:v>生重</x:v>
      </x:c>
    </x:row>
    <x:row r="1536" ht="23" customHeight="1">
      <x:c r="A1536" t="n">
        <x:v>256</x:v>
      </x:c>
      <x:c r="B1536" t="n">
        <x:v>128</x:v>
      </x:c>
      <x:c r="C1536" t="str">
        <x:v>晚餐</x:v>
      </x:c>
      <x:c r="D1536" t="str">
        <x:v>主食</x:v>
      </x:c>
      <x:c r="E1536" t="str">
        <x:v>糙米饭</x:v>
      </x:c>
      <x:c r="F1536" t="n">
        <x:v>135</x:v>
      </x:c>
      <x:c r="G1536" t="n">
        <x:v>112</x:v>
      </x:c>
      <x:c r="H1536" t="n">
        <x:f>ROUND(F1536*G1536/100,2)</x:f>
        <x:v>151.2</x:v>
      </x:c>
      <x:c r="I1536" t="n">
        <x:v>2.6</x:v>
      </x:c>
      <x:c r="J1536" t="n">
        <x:f>ROUND(F1536*I1536/100,2)</x:f>
        <x:v>3.51</x:v>
      </x:c>
      <x:c r="K1536" t="n">
        <x:v>23.5</x:v>
      </x:c>
      <x:c r="L1536" t="n">
        <x:f>ROUND(F1536*K1536/100,2)</x:f>
        <x:v>31.73</x:v>
      </x:c>
      <x:c r="M1536" t="n">
        <x:v>0.9</x:v>
      </x:c>
      <x:c r="N1536" t="n">
        <x:f>ROUND(F1536*M1536/100,2)</x:f>
        <x:v>1.22</x:v>
      </x:c>
      <x:c r="O1536" t="str">
        <x:v>熟重</x:v>
      </x:c>
    </x:row>
    <x:row r="1537" ht="23" customHeight="1">
      <x:c r="A1537" t="n">
        <x:v>256</x:v>
      </x:c>
      <x:c r="B1537" t="n">
        <x:v>128</x:v>
      </x:c>
      <x:c r="C1537" t="str">
        <x:v>晚餐</x:v>
      </x:c>
      <x:c r="D1537" t="str">
        <x:v>油脂</x:v>
      </x:c>
      <x:c r="E1537" t="str">
        <x:v>烹调油</x:v>
      </x:c>
      <x:c r="F1537" t="n">
        <x:v>5</x:v>
      </x:c>
      <x:c r="G1537" t="n">
        <x:v>900</x:v>
      </x:c>
      <x:c r="H1537" t="n">
        <x:f>ROUND(F1537*G1537/100,2)</x:f>
        <x:v>45</x:v>
      </x:c>
      <x:c r="I1537" t="n">
        <x:v>0</x:v>
      </x:c>
      <x:c r="J1537" t="n">
        <x:f>ROUND(F1537*I1537/100,2)</x:f>
        <x:v>0</x:v>
      </x:c>
      <x:c r="K1537" t="n">
        <x:v>0</x:v>
      </x:c>
      <x:c r="L1537" t="n">
        <x:f>ROUND(F1537*K1537/100,2)</x:f>
        <x:v>0</x:v>
      </x:c>
      <x:c r="M1537" t="n">
        <x:v>100</x:v>
      </x:c>
      <x:c r="N1537" t="n">
        <x:f>ROUND(F1537*M1537/100,2)</x:f>
        <x:v>5</x:v>
      </x:c>
      <x:c r="O1537" t="str">
        <x:v>实际用油重</x:v>
      </x:c>
    </x:row>
    <x:row r="1538" ht="23" customHeight="1">
      <x:c r="A1538" t="n">
        <x:v>257</x:v>
      </x:c>
      <x:c r="B1538" t="n">
        <x:v>129</x:v>
      </x:c>
      <x:c r="C1538" t="str">
        <x:v>午餐</x:v>
      </x:c>
      <x:c r="D1538" t="str">
        <x:v>禽肉</x:v>
      </x:c>
      <x:c r="E1538" t="str">
        <x:v>鸡里脊肉</x:v>
      </x:c>
      <x:c r="F1538" t="n">
        <x:v>155</x:v>
      </x:c>
      <x:c r="G1538" t="n">
        <x:v>110</x:v>
      </x:c>
      <x:c r="H1538" t="n">
        <x:f>ROUND(F1538*G1538/100,2)</x:f>
        <x:v>170.5</x:v>
      </x:c>
      <x:c r="I1538" t="n">
        <x:v>23</x:v>
      </x:c>
      <x:c r="J1538" t="n">
        <x:f>ROUND(F1538*I1538/100,2)</x:f>
        <x:v>35.65</x:v>
      </x:c>
      <x:c r="K1538" t="n">
        <x:v>0</x:v>
      </x:c>
      <x:c r="L1538" t="n">
        <x:f>ROUND(F1538*K1538/100,2)</x:f>
        <x:v>0</x:v>
      </x:c>
      <x:c r="M1538" t="n">
        <x:v>1.8</x:v>
      </x:c>
      <x:c r="N1538" t="n">
        <x:f>ROUND(F1538*M1538/100,2)</x:f>
        <x:v>2.79</x:v>
      </x:c>
      <x:c r="O1538" t="str">
        <x:v>生重</x:v>
      </x:c>
    </x:row>
    <x:row r="1539" ht="23" customHeight="1">
      <x:c r="A1539" t="n">
        <x:v>257</x:v>
      </x:c>
      <x:c r="B1539" t="n">
        <x:v>129</x:v>
      </x:c>
      <x:c r="C1539" t="str">
        <x:v>午餐</x:v>
      </x:c>
      <x:c r="D1539" t="str">
        <x:v>豆蛋</x:v>
      </x:c>
      <x:c r="E1539" t="str">
        <x:v>熟毛豆仁</x:v>
      </x:c>
      <x:c r="F1539" t="n">
        <x:v>50</x:v>
      </x:c>
      <x:c r="G1539" t="n">
        <x:v>120</x:v>
      </x:c>
      <x:c r="H1539" t="n">
        <x:f>ROUND(F1539*G1539/100,2)</x:f>
        <x:v>60</x:v>
      </x:c>
      <x:c r="I1539" t="n">
        <x:v>12</x:v>
      </x:c>
      <x:c r="J1539" t="n">
        <x:f>ROUND(F1539*I1539/100,2)</x:f>
        <x:v>6</x:v>
      </x:c>
      <x:c r="K1539" t="n">
        <x:v>9</x:v>
      </x:c>
      <x:c r="L1539" t="n">
        <x:f>ROUND(F1539*K1539/100,2)</x:f>
        <x:v>4.5</x:v>
      </x:c>
      <x:c r="M1539" t="n">
        <x:v>5</x:v>
      </x:c>
      <x:c r="N1539" t="n">
        <x:f>ROUND(F1539*M1539/100,2)</x:f>
        <x:v>2.5</x:v>
      </x:c>
      <x:c r="O1539" t="str">
        <x:v>熟重</x:v>
      </x:c>
    </x:row>
    <x:row r="1540" ht="23" customHeight="1">
      <x:c r="A1540" t="n">
        <x:v>257</x:v>
      </x:c>
      <x:c r="B1540" t="n">
        <x:v>129</x:v>
      </x:c>
      <x:c r="C1540" t="str">
        <x:v>午餐</x:v>
      </x:c>
      <x:c r="D1540" t="str">
        <x:v>蔬菜</x:v>
      </x:c>
      <x:c r="E1540" t="str">
        <x:v>荷兰豆</x:v>
      </x:c>
      <x:c r="F1540" t="n">
        <x:v>175</x:v>
      </x:c>
      <x:c r="G1540" t="n">
        <x:v>42</x:v>
      </x:c>
      <x:c r="H1540" t="n">
        <x:f>ROUND(F1540*G1540/100,2)</x:f>
        <x:v>73.5</x:v>
      </x:c>
      <x:c r="I1540" t="n">
        <x:v>2.8</x:v>
      </x:c>
      <x:c r="J1540" t="n">
        <x:f>ROUND(F1540*I1540/100,2)</x:f>
        <x:v>4.9</x:v>
      </x:c>
      <x:c r="K1540" t="n">
        <x:v>7.5</x:v>
      </x:c>
      <x:c r="L1540" t="n">
        <x:f>ROUND(F1540*K1540/100,2)</x:f>
        <x:v>13.13</x:v>
      </x:c>
      <x:c r="M1540" t="n">
        <x:v>0.3</x:v>
      </x:c>
      <x:c r="N1540" t="n">
        <x:f>ROUND(F1540*M1540/100,2)</x:f>
        <x:v>0.53</x:v>
      </x:c>
      <x:c r="O1540" t="str">
        <x:v>生重</x:v>
      </x:c>
    </x:row>
    <x:row r="1541" ht="23" customHeight="1">
      <x:c r="A1541" t="n">
        <x:v>257</x:v>
      </x:c>
      <x:c r="B1541" t="n">
        <x:v>129</x:v>
      </x:c>
      <x:c r="C1541" t="str">
        <x:v>午餐</x:v>
      </x:c>
      <x:c r="D1541" t="str">
        <x:v>蔬菜</x:v>
      </x:c>
      <x:c r="E1541" t="str">
        <x:v>芦笋</x:v>
      </x:c>
      <x:c r="F1541" t="n">
        <x:v>140</x:v>
      </x:c>
      <x:c r="G1541" t="n">
        <x:v>20</x:v>
      </x:c>
      <x:c r="H1541" t="n">
        <x:f>ROUND(F1541*G1541/100,2)</x:f>
        <x:v>28</x:v>
      </x:c>
      <x:c r="I1541" t="n">
        <x:v>2.2</x:v>
      </x:c>
      <x:c r="J1541" t="n">
        <x:f>ROUND(F1541*I1541/100,2)</x:f>
        <x:v>3.08</x:v>
      </x:c>
      <x:c r="K1541" t="n">
        <x:v>3.9</x:v>
      </x:c>
      <x:c r="L1541" t="n">
        <x:f>ROUND(F1541*K1541/100,2)</x:f>
        <x:v>5.46</x:v>
      </x:c>
      <x:c r="M1541" t="n">
        <x:v>0.1</x:v>
      </x:c>
      <x:c r="N1541" t="n">
        <x:f>ROUND(F1541*M1541/100,2)</x:f>
        <x:v>0.14</x:v>
      </x:c>
      <x:c r="O1541" t="str">
        <x:v>生重</x:v>
      </x:c>
    </x:row>
    <x:row r="1542" ht="23" customHeight="1">
      <x:c r="A1542" t="n">
        <x:v>257</x:v>
      </x:c>
      <x:c r="B1542" t="n">
        <x:v>129</x:v>
      </x:c>
      <x:c r="C1542" t="str">
        <x:v>午餐</x:v>
      </x:c>
      <x:c r="D1542" t="str">
        <x:v>主食</x:v>
      </x:c>
      <x:c r="E1542" t="str">
        <x:v>米粉</x:v>
      </x:c>
      <x:c r="F1542" t="n">
        <x:v>110</x:v>
      </x:c>
      <x:c r="G1542" t="n">
        <x:v>110</x:v>
      </x:c>
      <x:c r="H1542" t="n">
        <x:f>ROUND(F1542*G1542/100,2)</x:f>
        <x:v>121</x:v>
      </x:c>
      <x:c r="I1542" t="n">
        <x:v>2</x:v>
      </x:c>
      <x:c r="J1542" t="n">
        <x:f>ROUND(F1542*I1542/100,2)</x:f>
        <x:v>2.2</x:v>
      </x:c>
      <x:c r="K1542" t="n">
        <x:v>24</x:v>
      </x:c>
      <x:c r="L1542" t="n">
        <x:f>ROUND(F1542*K1542/100,2)</x:f>
        <x:v>26.4</x:v>
      </x:c>
      <x:c r="M1542" t="n">
        <x:v>0.4</x:v>
      </x:c>
      <x:c r="N1542" t="n">
        <x:f>ROUND(F1542*M1542/100,2)</x:f>
        <x:v>0.44</x:v>
      </x:c>
      <x:c r="O1542" t="str">
        <x:v>煮熟沥水重</x:v>
      </x:c>
    </x:row>
    <x:row r="1543" ht="23" customHeight="1">
      <x:c r="A1543" t="n">
        <x:v>257</x:v>
      </x:c>
      <x:c r="B1543" t="n">
        <x:v>129</x:v>
      </x:c>
      <x:c r="C1543" t="str">
        <x:v>午餐</x:v>
      </x:c>
      <x:c r="D1543" t="str">
        <x:v>油脂</x:v>
      </x:c>
      <x:c r="E1543" t="str">
        <x:v>烹调油</x:v>
      </x:c>
      <x:c r="F1543" t="n">
        <x:v>5</x:v>
      </x:c>
      <x:c r="G1543" t="n">
        <x:v>900</x:v>
      </x:c>
      <x:c r="H1543" t="n">
        <x:f>ROUND(F1543*G1543/100,2)</x:f>
        <x:v>45</x:v>
      </x:c>
      <x:c r="I1543" t="n">
        <x:v>0</x:v>
      </x:c>
      <x:c r="J1543" t="n">
        <x:f>ROUND(F1543*I1543/100,2)</x:f>
        <x:v>0</x:v>
      </x:c>
      <x:c r="K1543" t="n">
        <x:v>0</x:v>
      </x:c>
      <x:c r="L1543" t="n">
        <x:f>ROUND(F1543*K1543/100,2)</x:f>
        <x:v>0</x:v>
      </x:c>
      <x:c r="M1543" t="n">
        <x:v>100</x:v>
      </x:c>
      <x:c r="N1543" t="n">
        <x:f>ROUND(F1543*M1543/100,2)</x:f>
        <x:v>5</x:v>
      </x:c>
      <x:c r="O1543" t="str">
        <x:v>实际用油重</x:v>
      </x:c>
    </x:row>
    <x:row r="1544" ht="23" customHeight="1">
      <x:c r="A1544" t="n">
        <x:v>258</x:v>
      </x:c>
      <x:c r="B1544" t="n">
        <x:v>129</x:v>
      </x:c>
      <x:c r="C1544" t="str">
        <x:v>晚餐</x:v>
      </x:c>
      <x:c r="D1544" t="str">
        <x:v>豆蛋</x:v>
      </x:c>
      <x:c r="E1544" t="str">
        <x:v>鸡蛋</x:v>
      </x:c>
      <x:c r="F1544" t="n">
        <x:v>110</x:v>
      </x:c>
      <x:c r="G1544" t="n">
        <x:v>144</x:v>
      </x:c>
      <x:c r="H1544" t="n">
        <x:f>ROUND(F1544*G1544/100,2)</x:f>
        <x:v>158.4</x:v>
      </x:c>
      <x:c r="I1544" t="n">
        <x:v>13</x:v>
      </x:c>
      <x:c r="J1544" t="n">
        <x:f>ROUND(F1544*I1544/100,2)</x:f>
        <x:v>14.3</x:v>
      </x:c>
      <x:c r="K1544" t="n">
        <x:v>1.1</x:v>
      </x:c>
      <x:c r="L1544" t="n">
        <x:f>ROUND(F1544*K1544/100,2)</x:f>
        <x:v>1.21</x:v>
      </x:c>
      <x:c r="M1544" t="n">
        <x:v>10</x:v>
      </x:c>
      <x:c r="N1544" t="n">
        <x:f>ROUND(F1544*M1544/100,2)</x:f>
        <x:v>11</x:v>
      </x:c>
      <x:c r="O1544" t="str">
        <x:v>去壳可食重</x:v>
      </x:c>
    </x:row>
    <x:row r="1545" ht="23" customHeight="1">
      <x:c r="A1545" t="n">
        <x:v>258</x:v>
      </x:c>
      <x:c r="B1545" t="n">
        <x:v>129</x:v>
      </x:c>
      <x:c r="C1545" t="str">
        <x:v>晚餐</x:v>
      </x:c>
      <x:c r="D1545" t="str">
        <x:v>豆蛋</x:v>
      </x:c>
      <x:c r="E1545" t="str">
        <x:v>北豆腐</x:v>
      </x:c>
      <x:c r="F1545" t="n">
        <x:v>130</x:v>
      </x:c>
      <x:c r="G1545" t="n">
        <x:v>90</x:v>
      </x:c>
      <x:c r="H1545" t="n">
        <x:f>ROUND(F1545*G1545/100,2)</x:f>
        <x:v>117</x:v>
      </x:c>
      <x:c r="I1545" t="n">
        <x:v>10</x:v>
      </x:c>
      <x:c r="J1545" t="n">
        <x:f>ROUND(F1545*I1545/100,2)</x:f>
        <x:v>13</x:v>
      </x:c>
      <x:c r="K1545" t="n">
        <x:v>2</x:v>
      </x:c>
      <x:c r="L1545" t="n">
        <x:f>ROUND(F1545*K1545/100,2)</x:f>
        <x:v>2.6</x:v>
      </x:c>
      <x:c r="M1545" t="n">
        <x:v>5</x:v>
      </x:c>
      <x:c r="N1545" t="n">
        <x:f>ROUND(F1545*M1545/100,2)</x:f>
        <x:v>6.5</x:v>
      </x:c>
      <x:c r="O1545" t="str">
        <x:v>净重</x:v>
      </x:c>
    </x:row>
    <x:row r="1546" ht="23" customHeight="1">
      <x:c r="A1546" t="n">
        <x:v>258</x:v>
      </x:c>
      <x:c r="B1546" t="n">
        <x:v>129</x:v>
      </x:c>
      <x:c r="C1546" t="str">
        <x:v>晚餐</x:v>
      </x:c>
      <x:c r="D1546" t="str">
        <x:v>蔬菜</x:v>
      </x:c>
      <x:c r="E1546" t="str">
        <x:v>西葫芦</x:v>
      </x:c>
      <x:c r="F1546" t="n">
        <x:v>140</x:v>
      </x:c>
      <x:c r="G1546" t="n">
        <x:v>17</x:v>
      </x:c>
      <x:c r="H1546" t="n">
        <x:f>ROUND(F1546*G1546/100,2)</x:f>
        <x:v>23.8</x:v>
      </x:c>
      <x:c r="I1546" t="n">
        <x:v>1.2</x:v>
      </x:c>
      <x:c r="J1546" t="n">
        <x:f>ROUND(F1546*I1546/100,2)</x:f>
        <x:v>1.68</x:v>
      </x:c>
      <x:c r="K1546" t="n">
        <x:v>3.1</x:v>
      </x:c>
      <x:c r="L1546" t="n">
        <x:f>ROUND(F1546*K1546/100,2)</x:f>
        <x:v>4.34</x:v>
      </x:c>
      <x:c r="M1546" t="n">
        <x:v>0.3</x:v>
      </x:c>
      <x:c r="N1546" t="n">
        <x:f>ROUND(F1546*M1546/100,2)</x:f>
        <x:v>0.42</x:v>
      </x:c>
      <x:c r="O1546" t="str">
        <x:v>生重</x:v>
      </x:c>
    </x:row>
    <x:row r="1547" ht="23" customHeight="1">
      <x:c r="A1547" t="n">
        <x:v>258</x:v>
      </x:c>
      <x:c r="B1547" t="n">
        <x:v>129</x:v>
      </x:c>
      <x:c r="C1547" t="str">
        <x:v>晚餐</x:v>
      </x:c>
      <x:c r="D1547" t="str">
        <x:v>蔬菜</x:v>
      </x:c>
      <x:c r="E1547" t="str">
        <x:v>彩椒</x:v>
      </x:c>
      <x:c r="F1547" t="n">
        <x:v>125</x:v>
      </x:c>
      <x:c r="G1547" t="n">
        <x:v>27</x:v>
      </x:c>
      <x:c r="H1547" t="n">
        <x:f>ROUND(F1547*G1547/100,2)</x:f>
        <x:v>33.75</x:v>
      </x:c>
      <x:c r="I1547" t="n">
        <x:v>1</x:v>
      </x:c>
      <x:c r="J1547" t="n">
        <x:f>ROUND(F1547*I1547/100,2)</x:f>
        <x:v>1.25</x:v>
      </x:c>
      <x:c r="K1547" t="n">
        <x:v>6.1</x:v>
      </x:c>
      <x:c r="L1547" t="n">
        <x:f>ROUND(F1547*K1547/100,2)</x:f>
        <x:v>7.63</x:v>
      </x:c>
      <x:c r="M1547" t="n">
        <x:v>0.2</x:v>
      </x:c>
      <x:c r="N1547" t="n">
        <x:f>ROUND(F1547*M1547/100,2)</x:f>
        <x:v>0.25</x:v>
      </x:c>
      <x:c r="O1547" t="str">
        <x:v>生重</x:v>
      </x:c>
    </x:row>
    <x:row r="1548" ht="23" customHeight="1">
      <x:c r="A1548" t="n">
        <x:v>258</x:v>
      </x:c>
      <x:c r="B1548" t="n">
        <x:v>129</x:v>
      </x:c>
      <x:c r="C1548" t="str">
        <x:v>晚餐</x:v>
      </x:c>
      <x:c r="D1548" t="str">
        <x:v>主食</x:v>
      </x:c>
      <x:c r="E1548" t="str">
        <x:v>藜麦饭</x:v>
      </x:c>
      <x:c r="F1548" t="n">
        <x:v>95</x:v>
      </x:c>
      <x:c r="G1548" t="n">
        <x:v>120</x:v>
      </x:c>
      <x:c r="H1548" t="n">
        <x:f>ROUND(F1548*G1548/100,2)</x:f>
        <x:v>114</x:v>
      </x:c>
      <x:c r="I1548" t="n">
        <x:v>4.4</x:v>
      </x:c>
      <x:c r="J1548" t="n">
        <x:f>ROUND(F1548*I1548/100,2)</x:f>
        <x:v>4.18</x:v>
      </x:c>
      <x:c r="K1548" t="n">
        <x:v>21.3</x:v>
      </x:c>
      <x:c r="L1548" t="n">
        <x:f>ROUND(F1548*K1548/100,2)</x:f>
        <x:v>20.24</x:v>
      </x:c>
      <x:c r="M1548" t="n">
        <x:v>1.9</x:v>
      </x:c>
      <x:c r="N1548" t="n">
        <x:f>ROUND(F1548*M1548/100,2)</x:f>
        <x:v>1.81</x:v>
      </x:c>
      <x:c r="O1548" t="str">
        <x:v>熟重</x:v>
      </x:c>
    </x:row>
    <x:row r="1549" ht="23" customHeight="1">
      <x:c r="A1549" t="n">
        <x:v>258</x:v>
      </x:c>
      <x:c r="B1549" t="n">
        <x:v>129</x:v>
      </x:c>
      <x:c r="C1549" t="str">
        <x:v>晚餐</x:v>
      </x:c>
      <x:c r="D1549" t="str">
        <x:v>油脂</x:v>
      </x:c>
      <x:c r="E1549" t="str">
        <x:v>烹调油</x:v>
      </x:c>
      <x:c r="F1549" t="n">
        <x:v>4</x:v>
      </x:c>
      <x:c r="G1549" t="n">
        <x:v>900</x:v>
      </x:c>
      <x:c r="H1549" t="n">
        <x:f>ROUND(F1549*G1549/100,2)</x:f>
        <x:v>36</x:v>
      </x:c>
      <x:c r="I1549" t="n">
        <x:v>0</x:v>
      </x:c>
      <x:c r="J1549" t="n">
        <x:f>ROUND(F1549*I1549/100,2)</x:f>
        <x:v>0</x:v>
      </x:c>
      <x:c r="K1549" t="n">
        <x:v>0</x:v>
      </x:c>
      <x:c r="L1549" t="n">
        <x:f>ROUND(F1549*K1549/100,2)</x:f>
        <x:v>0</x:v>
      </x:c>
      <x:c r="M1549" t="n">
        <x:v>100</x:v>
      </x:c>
      <x:c r="N1549" t="n">
        <x:f>ROUND(F1549*M1549/100,2)</x:f>
        <x:v>4</x:v>
      </x:c>
      <x:c r="O1549" t="str">
        <x:v>实际用油重</x:v>
      </x:c>
    </x:row>
    <x:row r="1550" ht="23" customHeight="1">
      <x:c r="A1550" t="n">
        <x:v>259</x:v>
      </x:c>
      <x:c r="B1550" t="n">
        <x:v>130</x:v>
      </x:c>
      <x:c r="C1550" t="str">
        <x:v>午餐</x:v>
      </x:c>
      <x:c r="D1550" t="str">
        <x:v>鱼类</x:v>
      </x:c>
      <x:c r="E1550" t="str">
        <x:v>鳕鱼</x:v>
      </x:c>
      <x:c r="F1550" t="n">
        <x:v>215</x:v>
      </x:c>
      <x:c r="G1550" t="n">
        <x:v>85</x:v>
      </x:c>
      <x:c r="H1550" t="n">
        <x:f>ROUND(F1550*G1550/100,2)</x:f>
        <x:v>182.75</x:v>
      </x:c>
      <x:c r="I1550" t="n">
        <x:v>18</x:v>
      </x:c>
      <x:c r="J1550" t="n">
        <x:f>ROUND(F1550*I1550/100,2)</x:f>
        <x:v>38.7</x:v>
      </x:c>
      <x:c r="K1550" t="n">
        <x:v>0</x:v>
      </x:c>
      <x:c r="L1550" t="n">
        <x:f>ROUND(F1550*K1550/100,2)</x:f>
        <x:v>0</x:v>
      </x:c>
      <x:c r="M1550" t="n">
        <x:v>0.8</x:v>
      </x:c>
      <x:c r="N1550" t="n">
        <x:f>ROUND(F1550*M1550/100,2)</x:f>
        <x:v>1.72</x:v>
      </x:c>
      <x:c r="O1550" t="str">
        <x:v>净鱼肉生重</x:v>
      </x:c>
    </x:row>
    <x:row r="1551" ht="23" customHeight="1">
      <x:c r="A1551" t="n">
        <x:v>259</x:v>
      </x:c>
      <x:c r="B1551" t="n">
        <x:v>130</x:v>
      </x:c>
      <x:c r="C1551" t="str">
        <x:v>午餐</x:v>
      </x:c>
      <x:c r="D1551" t="str">
        <x:v>豆蛋</x:v>
      </x:c>
      <x:c r="E1551" t="str">
        <x:v>北豆腐</x:v>
      </x:c>
      <x:c r="F1551" t="n">
        <x:v>90</x:v>
      </x:c>
      <x:c r="G1551" t="n">
        <x:v>90</x:v>
      </x:c>
      <x:c r="H1551" t="n">
        <x:f>ROUND(F1551*G1551/100,2)</x:f>
        <x:v>81</x:v>
      </x:c>
      <x:c r="I1551" t="n">
        <x:v>10</x:v>
      </x:c>
      <x:c r="J1551" t="n">
        <x:f>ROUND(F1551*I1551/100,2)</x:f>
        <x:v>9</x:v>
      </x:c>
      <x:c r="K1551" t="n">
        <x:v>2</x:v>
      </x:c>
      <x:c r="L1551" t="n">
        <x:f>ROUND(F1551*K1551/100,2)</x:f>
        <x:v>1.8</x:v>
      </x:c>
      <x:c r="M1551" t="n">
        <x:v>5</x:v>
      </x:c>
      <x:c r="N1551" t="n">
        <x:f>ROUND(F1551*M1551/100,2)</x:f>
        <x:v>4.5</x:v>
      </x:c>
      <x:c r="O1551" t="str">
        <x:v>净重</x:v>
      </x:c>
    </x:row>
    <x:row r="1552" ht="23" customHeight="1">
      <x:c r="A1552" t="n">
        <x:v>259</x:v>
      </x:c>
      <x:c r="B1552" t="n">
        <x:v>130</x:v>
      </x:c>
      <x:c r="C1552" t="str">
        <x:v>午餐</x:v>
      </x:c>
      <x:c r="D1552" t="str">
        <x:v>蔬菜</x:v>
      </x:c>
      <x:c r="E1552" t="str">
        <x:v>芦笋</x:v>
      </x:c>
      <x:c r="F1552" t="n">
        <x:v>175</x:v>
      </x:c>
      <x:c r="G1552" t="n">
        <x:v>20</x:v>
      </x:c>
      <x:c r="H1552" t="n">
        <x:f>ROUND(F1552*G1552/100,2)</x:f>
        <x:v>35</x:v>
      </x:c>
      <x:c r="I1552" t="n">
        <x:v>2.2</x:v>
      </x:c>
      <x:c r="J1552" t="n">
        <x:f>ROUND(F1552*I1552/100,2)</x:f>
        <x:v>3.85</x:v>
      </x:c>
      <x:c r="K1552" t="n">
        <x:v>3.9</x:v>
      </x:c>
      <x:c r="L1552" t="n">
        <x:f>ROUND(F1552*K1552/100,2)</x:f>
        <x:v>6.83</x:v>
      </x:c>
      <x:c r="M1552" t="n">
        <x:v>0.1</x:v>
      </x:c>
      <x:c r="N1552" t="n">
        <x:f>ROUND(F1552*M1552/100,2)</x:f>
        <x:v>0.18</x:v>
      </x:c>
      <x:c r="O1552" t="str">
        <x:v>生重</x:v>
      </x:c>
    </x:row>
    <x:row r="1553" ht="23" customHeight="1">
      <x:c r="A1553" t="n">
        <x:v>259</x:v>
      </x:c>
      <x:c r="B1553" t="n">
        <x:v>130</x:v>
      </x:c>
      <x:c r="C1553" t="str">
        <x:v>午餐</x:v>
      </x:c>
      <x:c r="D1553" t="str">
        <x:v>菌菇</x:v>
      </x:c>
      <x:c r="E1553" t="str">
        <x:v>香菇</x:v>
      </x:c>
      <x:c r="F1553" t="n">
        <x:v>110</x:v>
      </x:c>
      <x:c r="G1553" t="n">
        <x:v>34</x:v>
      </x:c>
      <x:c r="H1553" t="n">
        <x:f>ROUND(F1553*G1553/100,2)</x:f>
        <x:v>37.4</x:v>
      </x:c>
      <x:c r="I1553" t="n">
        <x:v>2.2</x:v>
      </x:c>
      <x:c r="J1553" t="n">
        <x:f>ROUND(F1553*I1553/100,2)</x:f>
        <x:v>2.42</x:v>
      </x:c>
      <x:c r="K1553" t="n">
        <x:v>6.8</x:v>
      </x:c>
      <x:c r="L1553" t="n">
        <x:f>ROUND(F1553*K1553/100,2)</x:f>
        <x:v>7.48</x:v>
      </x:c>
      <x:c r="M1553" t="n">
        <x:v>0.5</x:v>
      </x:c>
      <x:c r="N1553" t="n">
        <x:f>ROUND(F1553*M1553/100,2)</x:f>
        <x:v>0.55</x:v>
      </x:c>
      <x:c r="O1553" t="str">
        <x:v>生重</x:v>
      </x:c>
    </x:row>
    <x:row r="1554" ht="23" customHeight="1">
      <x:c r="A1554" t="n">
        <x:v>259</x:v>
      </x:c>
      <x:c r="B1554" t="n">
        <x:v>130</x:v>
      </x:c>
      <x:c r="C1554" t="str">
        <x:v>午餐</x:v>
      </x:c>
      <x:c r="D1554" t="str">
        <x:v>主食</x:v>
      </x:c>
      <x:c r="E1554" t="str">
        <x:v>山药</x:v>
      </x:c>
      <x:c r="F1554" t="n">
        <x:v>110</x:v>
      </x:c>
      <x:c r="G1554" t="n">
        <x:v>62</x:v>
      </x:c>
      <x:c r="H1554" t="n">
        <x:f>ROUND(F1554*G1554/100,2)</x:f>
        <x:v>68.2</x:v>
      </x:c>
      <x:c r="I1554" t="n">
        <x:v>1.5</x:v>
      </x:c>
      <x:c r="J1554" t="n">
        <x:f>ROUND(F1554*I1554/100,2)</x:f>
        <x:v>1.65</x:v>
      </x:c>
      <x:c r="K1554" t="n">
        <x:v>14.1</x:v>
      </x:c>
      <x:c r="L1554" t="n">
        <x:f>ROUND(F1554*K1554/100,2)</x:f>
        <x:v>15.51</x:v>
      </x:c>
      <x:c r="M1554" t="n">
        <x:v>0.1</x:v>
      </x:c>
      <x:c r="N1554" t="n">
        <x:f>ROUND(F1554*M1554/100,2)</x:f>
        <x:v>0.11</x:v>
      </x:c>
      <x:c r="O1554" t="str">
        <x:v>蒸熟净重</x:v>
      </x:c>
    </x:row>
    <x:row r="1555" ht="23" customHeight="1">
      <x:c r="A1555" t="n">
        <x:v>259</x:v>
      </x:c>
      <x:c r="B1555" t="n">
        <x:v>130</x:v>
      </x:c>
      <x:c r="C1555" t="str">
        <x:v>午餐</x:v>
      </x:c>
      <x:c r="D1555" t="str">
        <x:v>油脂</x:v>
      </x:c>
      <x:c r="E1555" t="str">
        <x:v>烹调油</x:v>
      </x:c>
      <x:c r="F1555" t="n">
        <x:v>6</x:v>
      </x:c>
      <x:c r="G1555" t="n">
        <x:v>900</x:v>
      </x:c>
      <x:c r="H1555" t="n">
        <x:f>ROUND(F1555*G1555/100,2)</x:f>
        <x:v>54</x:v>
      </x:c>
      <x:c r="I1555" t="n">
        <x:v>0</x:v>
      </x:c>
      <x:c r="J1555" t="n">
        <x:f>ROUND(F1555*I1555/100,2)</x:f>
        <x:v>0</x:v>
      </x:c>
      <x:c r="K1555" t="n">
        <x:v>0</x:v>
      </x:c>
      <x:c r="L1555" t="n">
        <x:f>ROUND(F1555*K1555/100,2)</x:f>
        <x:v>0</x:v>
      </x:c>
      <x:c r="M1555" t="n">
        <x:v>100</x:v>
      </x:c>
      <x:c r="N1555" t="n">
        <x:f>ROUND(F1555*M1555/100,2)</x:f>
        <x:v>6</x:v>
      </x:c>
      <x:c r="O1555" t="str">
        <x:v>实际用油重</x:v>
      </x:c>
    </x:row>
    <x:row r="1556" ht="23" customHeight="1">
      <x:c r="A1556" t="n">
        <x:v>260</x:v>
      </x:c>
      <x:c r="B1556" t="n">
        <x:v>130</x:v>
      </x:c>
      <x:c r="C1556" t="str">
        <x:v>晚餐</x:v>
      </x:c>
      <x:c r="D1556" t="str">
        <x:v>牛肉</x:v>
      </x:c>
      <x:c r="E1556" t="str">
        <x:v>牛里脊</x:v>
      </x:c>
      <x:c r="F1556" t="n">
        <x:v>145</x:v>
      </x:c>
      <x:c r="G1556" t="n">
        <x:v>130</x:v>
      </x:c>
      <x:c r="H1556" t="n">
        <x:f>ROUND(F1556*G1556/100,2)</x:f>
        <x:v>188.5</x:v>
      </x:c>
      <x:c r="I1556" t="n">
        <x:v>21</x:v>
      </x:c>
      <x:c r="J1556" t="n">
        <x:f>ROUND(F1556*I1556/100,2)</x:f>
        <x:v>30.45</x:v>
      </x:c>
      <x:c r="K1556" t="n">
        <x:v>0</x:v>
      </x:c>
      <x:c r="L1556" t="n">
        <x:f>ROUND(F1556*K1556/100,2)</x:f>
        <x:v>0</x:v>
      </x:c>
      <x:c r="M1556" t="n">
        <x:v>4.8</x:v>
      </x:c>
      <x:c r="N1556" t="n">
        <x:f>ROUND(F1556*M1556/100,2)</x:f>
        <x:v>6.96</x:v>
      </x:c>
      <x:c r="O1556" t="str">
        <x:v>生重</x:v>
      </x:c>
    </x:row>
    <x:row r="1557" ht="23" customHeight="1">
      <x:c r="A1557" t="n">
        <x:v>260</x:v>
      </x:c>
      <x:c r="B1557" t="n">
        <x:v>130</x:v>
      </x:c>
      <x:c r="C1557" t="str">
        <x:v>晚餐</x:v>
      </x:c>
      <x:c r="D1557" t="str"/>
      <x:c r="E1557" t="str"/>
      <x:c r="F1557" t="n">
        <x:v>0</x:v>
      </x:c>
      <x:c r="G1557" t="n">
        <x:v>0</x:v>
      </x:c>
      <x:c r="H1557" t="n">
        <x:f>ROUND(F1557*G1557/100,2)</x:f>
        <x:v>0</x:v>
      </x:c>
      <x:c r="I1557" t="n">
        <x:v>0</x:v>
      </x:c>
      <x:c r="J1557" t="n">
        <x:f>ROUND(F1557*I1557/100,2)</x:f>
        <x:v>0</x:v>
      </x:c>
      <x:c r="K1557" t="n">
        <x:v>0</x:v>
      </x:c>
      <x:c r="L1557" t="n">
        <x:f>ROUND(F1557*K1557/100,2)</x:f>
        <x:v>0</x:v>
      </x:c>
      <x:c r="M1557" t="n">
        <x:v>0</x:v>
      </x:c>
      <x:c r="N1557" t="n">
        <x:f>ROUND(F1557*M1557/100,2)</x:f>
        <x:v>0</x:v>
      </x:c>
      <x:c r="O1557" t="str"/>
    </x:row>
    <x:row r="1558" ht="23" customHeight="1">
      <x:c r="A1558" t="n">
        <x:v>260</x:v>
      </x:c>
      <x:c r="B1558" t="n">
        <x:v>130</x:v>
      </x:c>
      <x:c r="C1558" t="str">
        <x:v>晚餐</x:v>
      </x:c>
      <x:c r="D1558" t="str">
        <x:v>蔬菜</x:v>
      </x:c>
      <x:c r="E1558" t="str">
        <x:v>番茄</x:v>
      </x:c>
      <x:c r="F1558" t="n">
        <x:v>175</x:v>
      </x:c>
      <x:c r="G1558" t="n">
        <x:v>20</x:v>
      </x:c>
      <x:c r="H1558" t="n">
        <x:f>ROUND(F1558*G1558/100,2)</x:f>
        <x:v>35</x:v>
      </x:c>
      <x:c r="I1558" t="n">
        <x:v>0.9</x:v>
      </x:c>
      <x:c r="J1558" t="n">
        <x:f>ROUND(F1558*I1558/100,2)</x:f>
        <x:v>1.58</x:v>
      </x:c>
      <x:c r="K1558" t="n">
        <x:v>4</x:v>
      </x:c>
      <x:c r="L1558" t="n">
        <x:f>ROUND(F1558*K1558/100,2)</x:f>
        <x:v>7</x:v>
      </x:c>
      <x:c r="M1558" t="n">
        <x:v>0.2</x:v>
      </x:c>
      <x:c r="N1558" t="n">
        <x:f>ROUND(F1558*M1558/100,2)</x:f>
        <x:v>0.35</x:v>
      </x:c>
      <x:c r="O1558" t="str">
        <x:v>生重</x:v>
      </x:c>
    </x:row>
    <x:row r="1559" ht="23" customHeight="1">
      <x:c r="A1559" t="n">
        <x:v>260</x:v>
      </x:c>
      <x:c r="B1559" t="n">
        <x:v>130</x:v>
      </x:c>
      <x:c r="C1559" t="str">
        <x:v>晚餐</x:v>
      </x:c>
      <x:c r="D1559" t="str">
        <x:v>菌菇</x:v>
      </x:c>
      <x:c r="E1559" t="str">
        <x:v>杏鲍菇</x:v>
      </x:c>
      <x:c r="F1559" t="n">
        <x:v>140</x:v>
      </x:c>
      <x:c r="G1559" t="n">
        <x:v>35</x:v>
      </x:c>
      <x:c r="H1559" t="n">
        <x:f>ROUND(F1559*G1559/100,2)</x:f>
        <x:v>49</x:v>
      </x:c>
      <x:c r="I1559" t="n">
        <x:v>2</x:v>
      </x:c>
      <x:c r="J1559" t="n">
        <x:f>ROUND(F1559*I1559/100,2)</x:f>
        <x:v>2.8</x:v>
      </x:c>
      <x:c r="K1559" t="n">
        <x:v>7.4</x:v>
      </x:c>
      <x:c r="L1559" t="n">
        <x:f>ROUND(F1559*K1559/100,2)</x:f>
        <x:v>10.36</x:v>
      </x:c>
      <x:c r="M1559" t="n">
        <x:v>0.3</x:v>
      </x:c>
      <x:c r="N1559" t="n">
        <x:f>ROUND(F1559*M1559/100,2)</x:f>
        <x:v>0.42</x:v>
      </x:c>
      <x:c r="O1559" t="str">
        <x:v>生重</x:v>
      </x:c>
    </x:row>
    <x:row r="1560" ht="23" customHeight="1">
      <x:c r="A1560" t="n">
        <x:v>260</x:v>
      </x:c>
      <x:c r="B1560" t="n">
        <x:v>130</x:v>
      </x:c>
      <x:c r="C1560" t="str">
        <x:v>晚餐</x:v>
      </x:c>
      <x:c r="D1560" t="str">
        <x:v>主食</x:v>
      </x:c>
      <x:c r="E1560" t="str">
        <x:v>杂粮饭</x:v>
      </x:c>
      <x:c r="F1560" t="n">
        <x:v>125</x:v>
      </x:c>
      <x:c r="G1560" t="n">
        <x:v>115</x:v>
      </x:c>
      <x:c r="H1560" t="n">
        <x:f>ROUND(F1560*G1560/100,2)</x:f>
        <x:v>143.75</x:v>
      </x:c>
      <x:c r="I1560" t="n">
        <x:v>3.1</x:v>
      </x:c>
      <x:c r="J1560" t="n">
        <x:f>ROUND(F1560*I1560/100,2)</x:f>
        <x:v>3.88</x:v>
      </x:c>
      <x:c r="K1560" t="n">
        <x:v>23.5</x:v>
      </x:c>
      <x:c r="L1560" t="n">
        <x:f>ROUND(F1560*K1560/100,2)</x:f>
        <x:v>29.38</x:v>
      </x:c>
      <x:c r="M1560" t="n">
        <x:v>1.1</x:v>
      </x:c>
      <x:c r="N1560" t="n">
        <x:f>ROUND(F1560*M1560/100,2)</x:f>
        <x:v>1.38</x:v>
      </x:c>
      <x:c r="O1560" t="str">
        <x:v>熟重</x:v>
      </x:c>
    </x:row>
    <x:row r="1561" ht="23" customHeight="1">
      <x:c r="A1561" t="n">
        <x:v>260</x:v>
      </x:c>
      <x:c r="B1561" t="n">
        <x:v>130</x:v>
      </x:c>
      <x:c r="C1561" t="str">
        <x:v>晚餐</x:v>
      </x:c>
      <x:c r="D1561" t="str">
        <x:v>油脂</x:v>
      </x:c>
      <x:c r="E1561" t="str">
        <x:v>烹调油</x:v>
      </x:c>
      <x:c r="F1561" t="n">
        <x:v>5</x:v>
      </x:c>
      <x:c r="G1561" t="n">
        <x:v>900</x:v>
      </x:c>
      <x:c r="H1561" t="n">
        <x:f>ROUND(F1561*G1561/100,2)</x:f>
        <x:v>45</x:v>
      </x:c>
      <x:c r="I1561" t="n">
        <x:v>0</x:v>
      </x:c>
      <x:c r="J1561" t="n">
        <x:f>ROUND(F1561*I1561/100,2)</x:f>
        <x:v>0</x:v>
      </x:c>
      <x:c r="K1561" t="n">
        <x:v>0</x:v>
      </x:c>
      <x:c r="L1561" t="n">
        <x:f>ROUND(F1561*K1561/100,2)</x:f>
        <x:v>0</x:v>
      </x:c>
      <x:c r="M1561" t="n">
        <x:v>100</x:v>
      </x:c>
      <x:c r="N1561" t="n">
        <x:f>ROUND(F1561*M1561/100,2)</x:f>
        <x:v>5</x:v>
      </x:c>
      <x:c r="O1561" t="str">
        <x:v>实际用油重</x:v>
      </x:c>
    </x:row>
    <x:row r="1562" ht="23" customHeight="1">
      <x:c r="A1562" t="n">
        <x:v>261</x:v>
      </x:c>
      <x:c r="B1562" t="n">
        <x:v>131</x:v>
      </x:c>
      <x:c r="C1562" t="str">
        <x:v>午餐</x:v>
      </x:c>
      <x:c r="D1562" t="str">
        <x:v>牛肉</x:v>
      </x:c>
      <x:c r="E1562" t="str">
        <x:v>瘦牛肉</x:v>
      </x:c>
      <x:c r="F1562" t="n">
        <x:v>175</x:v>
      </x:c>
      <x:c r="G1562" t="n">
        <x:v>125</x:v>
      </x:c>
      <x:c r="H1562" t="n">
        <x:f>ROUND(F1562*G1562/100,2)</x:f>
        <x:v>218.75</x:v>
      </x:c>
      <x:c r="I1562" t="n">
        <x:v>21</x:v>
      </x:c>
      <x:c r="J1562" t="n">
        <x:f>ROUND(F1562*I1562/100,2)</x:f>
        <x:v>36.75</x:v>
      </x:c>
      <x:c r="K1562" t="n">
        <x:v>0</x:v>
      </x:c>
      <x:c r="L1562" t="n">
        <x:f>ROUND(F1562*K1562/100,2)</x:f>
        <x:v>0</x:v>
      </x:c>
      <x:c r="M1562" t="n">
        <x:v>4</x:v>
      </x:c>
      <x:c r="N1562" t="n">
        <x:f>ROUND(F1562*M1562/100,2)</x:f>
        <x:v>7</x:v>
      </x:c>
      <x:c r="O1562" t="str">
        <x:v>生重</x:v>
      </x:c>
    </x:row>
    <x:row r="1563" ht="23" customHeight="1">
      <x:c r="A1563" t="n">
        <x:v>261</x:v>
      </x:c>
      <x:c r="B1563" t="n">
        <x:v>131</x:v>
      </x:c>
      <x:c r="C1563" t="str">
        <x:v>午餐</x:v>
      </x:c>
      <x:c r="D1563" t="str"/>
      <x:c r="E1563" t="str"/>
      <x:c r="F1563" t="n">
        <x:v>0</x:v>
      </x:c>
      <x:c r="G1563" t="n">
        <x:v>0</x:v>
      </x:c>
      <x:c r="H1563" t="n">
        <x:f>ROUND(F1563*G1563/100,2)</x:f>
        <x:v>0</x:v>
      </x:c>
      <x:c r="I1563" t="n">
        <x:v>0</x:v>
      </x:c>
      <x:c r="J1563" t="n">
        <x:f>ROUND(F1563*I1563/100,2)</x:f>
        <x:v>0</x:v>
      </x:c>
      <x:c r="K1563" t="n">
        <x:v>0</x:v>
      </x:c>
      <x:c r="L1563" t="n">
        <x:f>ROUND(F1563*K1563/100,2)</x:f>
        <x:v>0</x:v>
      </x:c>
      <x:c r="M1563" t="n">
        <x:v>0</x:v>
      </x:c>
      <x:c r="N1563" t="n">
        <x:f>ROUND(F1563*M1563/100,2)</x:f>
        <x:v>0</x:v>
      </x:c>
      <x:c r="O1563" t="str"/>
    </x:row>
    <x:row r="1564" ht="23" customHeight="1">
      <x:c r="A1564" t="n">
        <x:v>261</x:v>
      </x:c>
      <x:c r="B1564" t="n">
        <x:v>131</x:v>
      </x:c>
      <x:c r="C1564" t="str">
        <x:v>午餐</x:v>
      </x:c>
      <x:c r="D1564" t="str">
        <x:v>蔬菜</x:v>
      </x:c>
      <x:c r="E1564" t="str">
        <x:v>菜心</x:v>
      </x:c>
      <x:c r="F1564" t="n">
        <x:v>160</x:v>
      </x:c>
      <x:c r="G1564" t="n">
        <x:v>20</x:v>
      </x:c>
      <x:c r="H1564" t="n">
        <x:f>ROUND(F1564*G1564/100,2)</x:f>
        <x:v>32</x:v>
      </x:c>
      <x:c r="I1564" t="n">
        <x:v>2</x:v>
      </x:c>
      <x:c r="J1564" t="n">
        <x:f>ROUND(F1564*I1564/100,2)</x:f>
        <x:v>3.2</x:v>
      </x:c>
      <x:c r="K1564" t="n">
        <x:v>3.5</x:v>
      </x:c>
      <x:c r="L1564" t="n">
        <x:f>ROUND(F1564*K1564/100,2)</x:f>
        <x:v>5.6</x:v>
      </x:c>
      <x:c r="M1564" t="n">
        <x:v>0.3</x:v>
      </x:c>
      <x:c r="N1564" t="n">
        <x:f>ROUND(F1564*M1564/100,2)</x:f>
        <x:v>0.48</x:v>
      </x:c>
      <x:c r="O1564" t="str">
        <x:v>生重</x:v>
      </x:c>
    </x:row>
    <x:row r="1565" ht="23" customHeight="1">
      <x:c r="A1565" t="n">
        <x:v>261</x:v>
      </x:c>
      <x:c r="B1565" t="n">
        <x:v>131</x:v>
      </x:c>
      <x:c r="C1565" t="str">
        <x:v>午餐</x:v>
      </x:c>
      <x:c r="D1565" t="str">
        <x:v>蔬菜</x:v>
      </x:c>
      <x:c r="E1565" t="str">
        <x:v>莴笋</x:v>
      </x:c>
      <x:c r="F1565" t="n">
        <x:v>140</x:v>
      </x:c>
      <x:c r="G1565" t="n">
        <x:v>15</x:v>
      </x:c>
      <x:c r="H1565" t="n">
        <x:f>ROUND(F1565*G1565/100,2)</x:f>
        <x:v>21</x:v>
      </x:c>
      <x:c r="I1565" t="n">
        <x:v>1</x:v>
      </x:c>
      <x:c r="J1565" t="n">
        <x:f>ROUND(F1565*I1565/100,2)</x:f>
        <x:v>1.4</x:v>
      </x:c>
      <x:c r="K1565" t="n">
        <x:v>2.8</x:v>
      </x:c>
      <x:c r="L1565" t="n">
        <x:f>ROUND(F1565*K1565/100,2)</x:f>
        <x:v>3.92</x:v>
      </x:c>
      <x:c r="M1565" t="n">
        <x:v>0.1</x:v>
      </x:c>
      <x:c r="N1565" t="n">
        <x:f>ROUND(F1565*M1565/100,2)</x:f>
        <x:v>0.14</x:v>
      </x:c>
      <x:c r="O1565" t="str">
        <x:v>生重</x:v>
      </x:c>
    </x:row>
    <x:row r="1566" ht="23" customHeight="1">
      <x:c r="A1566" t="n">
        <x:v>261</x:v>
      </x:c>
      <x:c r="B1566" t="n">
        <x:v>131</x:v>
      </x:c>
      <x:c r="C1566" t="str">
        <x:v>午餐</x:v>
      </x:c>
      <x:c r="D1566" t="str">
        <x:v>主食</x:v>
      </x:c>
      <x:c r="E1566" t="str">
        <x:v>米粉</x:v>
      </x:c>
      <x:c r="F1566" t="n">
        <x:v>135</x:v>
      </x:c>
      <x:c r="G1566" t="n">
        <x:v>110</x:v>
      </x:c>
      <x:c r="H1566" t="n">
        <x:f>ROUND(F1566*G1566/100,2)</x:f>
        <x:v>148.5</x:v>
      </x:c>
      <x:c r="I1566" t="n">
        <x:v>2</x:v>
      </x:c>
      <x:c r="J1566" t="n">
        <x:f>ROUND(F1566*I1566/100,2)</x:f>
        <x:v>2.7</x:v>
      </x:c>
      <x:c r="K1566" t="n">
        <x:v>24</x:v>
      </x:c>
      <x:c r="L1566" t="n">
        <x:f>ROUND(F1566*K1566/100,2)</x:f>
        <x:v>32.4</x:v>
      </x:c>
      <x:c r="M1566" t="n">
        <x:v>0.4</x:v>
      </x:c>
      <x:c r="N1566" t="n">
        <x:f>ROUND(F1566*M1566/100,2)</x:f>
        <x:v>0.54</x:v>
      </x:c>
      <x:c r="O1566" t="str">
        <x:v>煮熟沥水重</x:v>
      </x:c>
    </x:row>
    <x:row r="1567" ht="23" customHeight="1">
      <x:c r="A1567" t="n">
        <x:v>261</x:v>
      </x:c>
      <x:c r="B1567" t="n">
        <x:v>131</x:v>
      </x:c>
      <x:c r="C1567" t="str">
        <x:v>午餐</x:v>
      </x:c>
      <x:c r="D1567" t="str">
        <x:v>油脂</x:v>
      </x:c>
      <x:c r="E1567" t="str">
        <x:v>烹调油</x:v>
      </x:c>
      <x:c r="F1567" t="n">
        <x:v>3</x:v>
      </x:c>
      <x:c r="G1567" t="n">
        <x:v>900</x:v>
      </x:c>
      <x:c r="H1567" t="n">
        <x:f>ROUND(F1567*G1567/100,2)</x:f>
        <x:v>27</x:v>
      </x:c>
      <x:c r="I1567" t="n">
        <x:v>0</x:v>
      </x:c>
      <x:c r="J1567" t="n">
        <x:f>ROUND(F1567*I1567/100,2)</x:f>
        <x:v>0</x:v>
      </x:c>
      <x:c r="K1567" t="n">
        <x:v>0</x:v>
      </x:c>
      <x:c r="L1567" t="n">
        <x:f>ROUND(F1567*K1567/100,2)</x:f>
        <x:v>0</x:v>
      </x:c>
      <x:c r="M1567" t="n">
        <x:v>100</x:v>
      </x:c>
      <x:c r="N1567" t="n">
        <x:f>ROUND(F1567*M1567/100,2)</x:f>
        <x:v>3</x:v>
      </x:c>
      <x:c r="O1567" t="str">
        <x:v>实际用油重</x:v>
      </x:c>
    </x:row>
    <x:row r="1568" ht="23" customHeight="1">
      <x:c r="A1568" t="n">
        <x:v>262</x:v>
      </x:c>
      <x:c r="B1568" t="n">
        <x:v>131</x:v>
      </x:c>
      <x:c r="C1568" t="str">
        <x:v>晚餐</x:v>
      </x:c>
      <x:c r="D1568" t="str">
        <x:v>猪肉</x:v>
      </x:c>
      <x:c r="E1568" t="str">
        <x:v>猪瘦肉</x:v>
      </x:c>
      <x:c r="F1568" t="n">
        <x:v>145</x:v>
      </x:c>
      <x:c r="G1568" t="n">
        <x:v>130</x:v>
      </x:c>
      <x:c r="H1568" t="n">
        <x:f>ROUND(F1568*G1568/100,2)</x:f>
        <x:v>188.5</x:v>
      </x:c>
      <x:c r="I1568" t="n">
        <x:v>20</x:v>
      </x:c>
      <x:c r="J1568" t="n">
        <x:f>ROUND(F1568*I1568/100,2)</x:f>
        <x:v>29</x:v>
      </x:c>
      <x:c r="K1568" t="n">
        <x:v>0</x:v>
      </x:c>
      <x:c r="L1568" t="n">
        <x:f>ROUND(F1568*K1568/100,2)</x:f>
        <x:v>0</x:v>
      </x:c>
      <x:c r="M1568" t="n">
        <x:v>5.5</x:v>
      </x:c>
      <x:c r="N1568" t="n">
        <x:f>ROUND(F1568*M1568/100,2)</x:f>
        <x:v>7.98</x:v>
      </x:c>
      <x:c r="O1568" t="str">
        <x:v>生重</x:v>
      </x:c>
    </x:row>
    <x:row r="1569" ht="23" customHeight="1">
      <x:c r="A1569" t="n">
        <x:v>262</x:v>
      </x:c>
      <x:c r="B1569" t="n">
        <x:v>131</x:v>
      </x:c>
      <x:c r="C1569" t="str">
        <x:v>晚餐</x:v>
      </x:c>
      <x:c r="D1569" t="str"/>
      <x:c r="E1569" t="str"/>
      <x:c r="F1569" t="n">
        <x:v>0</x:v>
      </x:c>
      <x:c r="G1569" t="n">
        <x:v>0</x:v>
      </x:c>
      <x:c r="H1569" t="n">
        <x:f>ROUND(F1569*G1569/100,2)</x:f>
        <x:v>0</x:v>
      </x:c>
      <x:c r="I1569" t="n">
        <x:v>0</x:v>
      </x:c>
      <x:c r="J1569" t="n">
        <x:f>ROUND(F1569*I1569/100,2)</x:f>
        <x:v>0</x:v>
      </x:c>
      <x:c r="K1569" t="n">
        <x:v>0</x:v>
      </x:c>
      <x:c r="L1569" t="n">
        <x:f>ROUND(F1569*K1569/100,2)</x:f>
        <x:v>0</x:v>
      </x:c>
      <x:c r="M1569" t="n">
        <x:v>0</x:v>
      </x:c>
      <x:c r="N1569" t="n">
        <x:f>ROUND(F1569*M1569/100,2)</x:f>
        <x:v>0</x:v>
      </x:c>
      <x:c r="O1569" t="str"/>
    </x:row>
    <x:row r="1570" ht="23" customHeight="1">
      <x:c r="A1570" t="n">
        <x:v>262</x:v>
      </x:c>
      <x:c r="B1570" t="n">
        <x:v>131</x:v>
      </x:c>
      <x:c r="C1570" t="str">
        <x:v>晚餐</x:v>
      </x:c>
      <x:c r="D1570" t="str">
        <x:v>蔬菜</x:v>
      </x:c>
      <x:c r="E1570" t="str">
        <x:v>菜心</x:v>
      </x:c>
      <x:c r="F1570" t="n">
        <x:v>190</x:v>
      </x:c>
      <x:c r="G1570" t="n">
        <x:v>20</x:v>
      </x:c>
      <x:c r="H1570" t="n">
        <x:f>ROUND(F1570*G1570/100,2)</x:f>
        <x:v>38</x:v>
      </x:c>
      <x:c r="I1570" t="n">
        <x:v>2</x:v>
      </x:c>
      <x:c r="J1570" t="n">
        <x:f>ROUND(F1570*I1570/100,2)</x:f>
        <x:v>3.8</x:v>
      </x:c>
      <x:c r="K1570" t="n">
        <x:v>3.5</x:v>
      </x:c>
      <x:c r="L1570" t="n">
        <x:f>ROUND(F1570*K1570/100,2)</x:f>
        <x:v>6.65</x:v>
      </x:c>
      <x:c r="M1570" t="n">
        <x:v>0.3</x:v>
      </x:c>
      <x:c r="N1570" t="n">
        <x:f>ROUND(F1570*M1570/100,2)</x:f>
        <x:v>0.57</x:v>
      </x:c>
      <x:c r="O1570" t="str">
        <x:v>生重</x:v>
      </x:c>
    </x:row>
    <x:row r="1571" ht="23" customHeight="1">
      <x:c r="A1571" t="n">
        <x:v>262</x:v>
      </x:c>
      <x:c r="B1571" t="n">
        <x:v>131</x:v>
      </x:c>
      <x:c r="C1571" t="str">
        <x:v>晚餐</x:v>
      </x:c>
      <x:c r="D1571" t="str">
        <x:v>蔬菜</x:v>
      </x:c>
      <x:c r="E1571" t="str">
        <x:v>胡萝卜</x:v>
      </x:c>
      <x:c r="F1571" t="n">
        <x:v>140</x:v>
      </x:c>
      <x:c r="G1571" t="n">
        <x:v>41</x:v>
      </x:c>
      <x:c r="H1571" t="n">
        <x:f>ROUND(F1571*G1571/100,2)</x:f>
        <x:v>57.4</x:v>
      </x:c>
      <x:c r="I1571" t="n">
        <x:v>0.9</x:v>
      </x:c>
      <x:c r="J1571" t="n">
        <x:f>ROUND(F1571*I1571/100,2)</x:f>
        <x:v>1.26</x:v>
      </x:c>
      <x:c r="K1571" t="n">
        <x:v>10</x:v>
      </x:c>
      <x:c r="L1571" t="n">
        <x:f>ROUND(F1571*K1571/100,2)</x:f>
        <x:v>14</x:v>
      </x:c>
      <x:c r="M1571" t="n">
        <x:v>0.2</x:v>
      </x:c>
      <x:c r="N1571" t="n">
        <x:f>ROUND(F1571*M1571/100,2)</x:f>
        <x:v>0.28</x:v>
      </x:c>
      <x:c r="O1571" t="str">
        <x:v>生重</x:v>
      </x:c>
    </x:row>
    <x:row r="1572" ht="23" customHeight="1">
      <x:c r="A1572" t="n">
        <x:v>262</x:v>
      </x:c>
      <x:c r="B1572" t="n">
        <x:v>131</x:v>
      </x:c>
      <x:c r="C1572" t="str">
        <x:v>晚餐</x:v>
      </x:c>
      <x:c r="D1572" t="str">
        <x:v>主食</x:v>
      </x:c>
      <x:c r="E1572" t="str">
        <x:v>荞麦面</x:v>
      </x:c>
      <x:c r="F1572" t="n">
        <x:v>95</x:v>
      </x:c>
      <x:c r="G1572" t="n">
        <x:v>105</x:v>
      </x:c>
      <x:c r="H1572" t="n">
        <x:f>ROUND(F1572*G1572/100,2)</x:f>
        <x:v>99.75</x:v>
      </x:c>
      <x:c r="I1572" t="n">
        <x:v>4</x:v>
      </x:c>
      <x:c r="J1572" t="n">
        <x:f>ROUND(F1572*I1572/100,2)</x:f>
        <x:v>3.8</x:v>
      </x:c>
      <x:c r="K1572" t="n">
        <x:v>21</x:v>
      </x:c>
      <x:c r="L1572" t="n">
        <x:f>ROUND(F1572*K1572/100,2)</x:f>
        <x:v>19.95</x:v>
      </x:c>
      <x:c r="M1572" t="n">
        <x:v>0.7</x:v>
      </x:c>
      <x:c r="N1572" t="n">
        <x:f>ROUND(F1572*M1572/100,2)</x:f>
        <x:v>0.67</x:v>
      </x:c>
      <x:c r="O1572" t="str">
        <x:v>煮熟沥水重</x:v>
      </x:c>
    </x:row>
    <x:row r="1573" ht="23" customHeight="1">
      <x:c r="A1573" t="n">
        <x:v>262</x:v>
      </x:c>
      <x:c r="B1573" t="n">
        <x:v>131</x:v>
      </x:c>
      <x:c r="C1573" t="str">
        <x:v>晚餐</x:v>
      </x:c>
      <x:c r="D1573" t="str">
        <x:v>油脂</x:v>
      </x:c>
      <x:c r="E1573" t="str">
        <x:v>烹调油</x:v>
      </x:c>
      <x:c r="F1573" t="n">
        <x:v>5</x:v>
      </x:c>
      <x:c r="G1573" t="n">
        <x:v>900</x:v>
      </x:c>
      <x:c r="H1573" t="n">
        <x:f>ROUND(F1573*G1573/100,2)</x:f>
        <x:v>45</x:v>
      </x:c>
      <x:c r="I1573" t="n">
        <x:v>0</x:v>
      </x:c>
      <x:c r="J1573" t="n">
        <x:f>ROUND(F1573*I1573/100,2)</x:f>
        <x:v>0</x:v>
      </x:c>
      <x:c r="K1573" t="n">
        <x:v>0</x:v>
      </x:c>
      <x:c r="L1573" t="n">
        <x:f>ROUND(F1573*K1573/100,2)</x:f>
        <x:v>0</x:v>
      </x:c>
      <x:c r="M1573" t="n">
        <x:v>100</x:v>
      </x:c>
      <x:c r="N1573" t="n">
        <x:f>ROUND(F1573*M1573/100,2)</x:f>
        <x:v>5</x:v>
      </x:c>
      <x:c r="O1573" t="str">
        <x:v>实际用油重</x:v>
      </x:c>
    </x:row>
    <x:row r="1574" ht="23" customHeight="1">
      <x:c r="A1574" t="n">
        <x:v>263</x:v>
      </x:c>
      <x:c r="B1574" t="n">
        <x:v>132</x:v>
      </x:c>
      <x:c r="C1574" t="str">
        <x:v>午餐</x:v>
      </x:c>
      <x:c r="D1574" t="str">
        <x:v>海鲜</x:v>
      </x:c>
      <x:c r="E1574" t="str">
        <x:v>虾仁</x:v>
      </x:c>
      <x:c r="F1574" t="n">
        <x:v>175</x:v>
      </x:c>
      <x:c r="G1574" t="n">
        <x:v>90</x:v>
      </x:c>
      <x:c r="H1574" t="n">
        <x:f>ROUND(F1574*G1574/100,2)</x:f>
        <x:v>157.5</x:v>
      </x:c>
      <x:c r="I1574" t="n">
        <x:v>19</x:v>
      </x:c>
      <x:c r="J1574" t="n">
        <x:f>ROUND(F1574*I1574/100,2)</x:f>
        <x:v>33.25</x:v>
      </x:c>
      <x:c r="K1574" t="n">
        <x:v>0.4</x:v>
      </x:c>
      <x:c r="L1574" t="n">
        <x:f>ROUND(F1574*K1574/100,2)</x:f>
        <x:v>0.7</x:v>
      </x:c>
      <x:c r="M1574" t="n">
        <x:v>1.1</x:v>
      </x:c>
      <x:c r="N1574" t="n">
        <x:f>ROUND(F1574*M1574/100,2)</x:f>
        <x:v>1.93</x:v>
      </x:c>
      <x:c r="O1574" t="str">
        <x:v>生重</x:v>
      </x:c>
    </x:row>
    <x:row r="1575" ht="23" customHeight="1">
      <x:c r="A1575" t="n">
        <x:v>263</x:v>
      </x:c>
      <x:c r="B1575" t="n">
        <x:v>132</x:v>
      </x:c>
      <x:c r="C1575" t="str">
        <x:v>午餐</x:v>
      </x:c>
      <x:c r="D1575" t="str"/>
      <x:c r="E1575" t="str"/>
      <x:c r="F1575" t="n">
        <x:v>0</x:v>
      </x:c>
      <x:c r="G1575" t="n">
        <x:v>0</x:v>
      </x:c>
      <x:c r="H1575" t="n">
        <x:f>ROUND(F1575*G1575/100,2)</x:f>
        <x:v>0</x:v>
      </x:c>
      <x:c r="I1575" t="n">
        <x:v>0</x:v>
      </x:c>
      <x:c r="J1575" t="n">
        <x:f>ROUND(F1575*I1575/100,2)</x:f>
        <x:v>0</x:v>
      </x:c>
      <x:c r="K1575" t="n">
        <x:v>0</x:v>
      </x:c>
      <x:c r="L1575" t="n">
        <x:f>ROUND(F1575*K1575/100,2)</x:f>
        <x:v>0</x:v>
      </x:c>
      <x:c r="M1575" t="n">
        <x:v>0</x:v>
      </x:c>
      <x:c r="N1575" t="n">
        <x:f>ROUND(F1575*M1575/100,2)</x:f>
        <x:v>0</x:v>
      </x:c>
      <x:c r="O1575" t="str"/>
    </x:row>
    <x:row r="1576" ht="23" customHeight="1">
      <x:c r="A1576" t="n">
        <x:v>263</x:v>
      </x:c>
      <x:c r="B1576" t="n">
        <x:v>132</x:v>
      </x:c>
      <x:c r="C1576" t="str">
        <x:v>午餐</x:v>
      </x:c>
      <x:c r="D1576" t="str">
        <x:v>蔬菜</x:v>
      </x:c>
      <x:c r="E1576" t="str">
        <x:v>西兰花</x:v>
      </x:c>
      <x:c r="F1576" t="n">
        <x:v>175</x:v>
      </x:c>
      <x:c r="G1576" t="n">
        <x:v>34</x:v>
      </x:c>
      <x:c r="H1576" t="n">
        <x:f>ROUND(F1576*G1576/100,2)</x:f>
        <x:v>59.5</x:v>
      </x:c>
      <x:c r="I1576" t="n">
        <x:v>2.8</x:v>
      </x:c>
      <x:c r="J1576" t="n">
        <x:f>ROUND(F1576*I1576/100,2)</x:f>
        <x:v>4.9</x:v>
      </x:c>
      <x:c r="K1576" t="n">
        <x:v>7</x:v>
      </x:c>
      <x:c r="L1576" t="n">
        <x:f>ROUND(F1576*K1576/100,2)</x:f>
        <x:v>12.25</x:v>
      </x:c>
      <x:c r="M1576" t="n">
        <x:v>0.4</x:v>
      </x:c>
      <x:c r="N1576" t="n">
        <x:f>ROUND(F1576*M1576/100,2)</x:f>
        <x:v>0.7</x:v>
      </x:c>
      <x:c r="O1576" t="str">
        <x:v>生重</x:v>
      </x:c>
    </x:row>
    <x:row r="1577" ht="23" customHeight="1">
      <x:c r="A1577" t="n">
        <x:v>263</x:v>
      </x:c>
      <x:c r="B1577" t="n">
        <x:v>132</x:v>
      </x:c>
      <x:c r="C1577" t="str">
        <x:v>午餐</x:v>
      </x:c>
      <x:c r="D1577" t="str">
        <x:v>菌菇</x:v>
      </x:c>
      <x:c r="E1577" t="str">
        <x:v>金针菇</x:v>
      </x:c>
      <x:c r="F1577" t="n">
        <x:v>155</x:v>
      </x:c>
      <x:c r="G1577" t="n">
        <x:v>32</x:v>
      </x:c>
      <x:c r="H1577" t="n">
        <x:f>ROUND(F1577*G1577/100,2)</x:f>
        <x:v>49.6</x:v>
      </x:c>
      <x:c r="I1577" t="n">
        <x:v>2.4</x:v>
      </x:c>
      <x:c r="J1577" t="n">
        <x:f>ROUND(F1577*I1577/100,2)</x:f>
        <x:v>3.72</x:v>
      </x:c>
      <x:c r="K1577" t="n">
        <x:v>6.4</x:v>
      </x:c>
      <x:c r="L1577" t="n">
        <x:f>ROUND(F1577*K1577/100,2)</x:f>
        <x:v>9.92</x:v>
      </x:c>
      <x:c r="M1577" t="n">
        <x:v>0.2</x:v>
      </x:c>
      <x:c r="N1577" t="n">
        <x:f>ROUND(F1577*M1577/100,2)</x:f>
        <x:v>0.31</x:v>
      </x:c>
      <x:c r="O1577" t="str">
        <x:v>生重</x:v>
      </x:c>
    </x:row>
    <x:row r="1578" ht="23" customHeight="1">
      <x:c r="A1578" t="n">
        <x:v>263</x:v>
      </x:c>
      <x:c r="B1578" t="n">
        <x:v>132</x:v>
      </x:c>
      <x:c r="C1578" t="str">
        <x:v>午餐</x:v>
      </x:c>
      <x:c r="D1578" t="str">
        <x:v>主食</x:v>
      </x:c>
      <x:c r="E1578" t="str">
        <x:v>乌冬面</x:v>
      </x:c>
      <x:c r="F1578" t="n">
        <x:v>135</x:v>
      </x:c>
      <x:c r="G1578" t="n">
        <x:v>120</x:v>
      </x:c>
      <x:c r="H1578" t="n">
        <x:f>ROUND(F1578*G1578/100,2)</x:f>
        <x:v>162</x:v>
      </x:c>
      <x:c r="I1578" t="n">
        <x:v>2.5</x:v>
      </x:c>
      <x:c r="J1578" t="n">
        <x:f>ROUND(F1578*I1578/100,2)</x:f>
        <x:v>3.38</x:v>
      </x:c>
      <x:c r="K1578" t="n">
        <x:v>25</x:v>
      </x:c>
      <x:c r="L1578" t="n">
        <x:f>ROUND(F1578*K1578/100,2)</x:f>
        <x:v>33.75</x:v>
      </x:c>
      <x:c r="M1578" t="n">
        <x:v>0.6</x:v>
      </x:c>
      <x:c r="N1578" t="n">
        <x:f>ROUND(F1578*M1578/100,2)</x:f>
        <x:v>0.81</x:v>
      </x:c>
      <x:c r="O1578" t="str">
        <x:v>煮熟沥水重</x:v>
      </x:c>
    </x:row>
    <x:row r="1579" ht="23" customHeight="1">
      <x:c r="A1579" t="n">
        <x:v>263</x:v>
      </x:c>
      <x:c r="B1579" t="n">
        <x:v>132</x:v>
      </x:c>
      <x:c r="C1579" t="str">
        <x:v>午餐</x:v>
      </x:c>
      <x:c r="D1579" t="str">
        <x:v>油脂</x:v>
      </x:c>
      <x:c r="E1579" t="str">
        <x:v>烹调油</x:v>
      </x:c>
      <x:c r="F1579" t="n">
        <x:v>3</x:v>
      </x:c>
      <x:c r="G1579" t="n">
        <x:v>900</x:v>
      </x:c>
      <x:c r="H1579" t="n">
        <x:f>ROUND(F1579*G1579/100,2)</x:f>
        <x:v>27</x:v>
      </x:c>
      <x:c r="I1579" t="n">
        <x:v>0</x:v>
      </x:c>
      <x:c r="J1579" t="n">
        <x:f>ROUND(F1579*I1579/100,2)</x:f>
        <x:v>0</x:v>
      </x:c>
      <x:c r="K1579" t="n">
        <x:v>0</x:v>
      </x:c>
      <x:c r="L1579" t="n">
        <x:f>ROUND(F1579*K1579/100,2)</x:f>
        <x:v>0</x:v>
      </x:c>
      <x:c r="M1579" t="n">
        <x:v>100</x:v>
      </x:c>
      <x:c r="N1579" t="n">
        <x:f>ROUND(F1579*M1579/100,2)</x:f>
        <x:v>3</x:v>
      </x:c>
      <x:c r="O1579" t="str">
        <x:v>实际用油重</x:v>
      </x:c>
    </x:row>
    <x:row r="1580" ht="23" customHeight="1">
      <x:c r="A1580" t="n">
        <x:v>264</x:v>
      </x:c>
      <x:c r="B1580" t="n">
        <x:v>132</x:v>
      </x:c>
      <x:c r="C1580" t="str">
        <x:v>晚餐</x:v>
      </x:c>
      <x:c r="D1580" t="str">
        <x:v>豆蛋</x:v>
      </x:c>
      <x:c r="E1580" t="str">
        <x:v>北豆腐</x:v>
      </x:c>
      <x:c r="F1580" t="n">
        <x:v>280</x:v>
      </x:c>
      <x:c r="G1580" t="n">
        <x:v>90</x:v>
      </x:c>
      <x:c r="H1580" t="n">
        <x:f>ROUND(F1580*G1580/100,2)</x:f>
        <x:v>252</x:v>
      </x:c>
      <x:c r="I1580" t="n">
        <x:v>10</x:v>
      </x:c>
      <x:c r="J1580" t="n">
        <x:f>ROUND(F1580*I1580/100,2)</x:f>
        <x:v>28</x:v>
      </x:c>
      <x:c r="K1580" t="n">
        <x:v>2</x:v>
      </x:c>
      <x:c r="L1580" t="n">
        <x:f>ROUND(F1580*K1580/100,2)</x:f>
        <x:v>5.6</x:v>
      </x:c>
      <x:c r="M1580" t="n">
        <x:v>5</x:v>
      </x:c>
      <x:c r="N1580" t="n">
        <x:f>ROUND(F1580*M1580/100,2)</x:f>
        <x:v>14</x:v>
      </x:c>
      <x:c r="O1580" t="str">
        <x:v>净重</x:v>
      </x:c>
    </x:row>
    <x:row r="1581" ht="23" customHeight="1">
      <x:c r="A1581" t="n">
        <x:v>264</x:v>
      </x:c>
      <x:c r="B1581" t="n">
        <x:v>132</x:v>
      </x:c>
      <x:c r="C1581" t="str">
        <x:v>晚餐</x:v>
      </x:c>
      <x:c r="D1581" t="str">
        <x:v>豆蛋</x:v>
      </x:c>
      <x:c r="E1581" t="str">
        <x:v>鸡蛋</x:v>
      </x:c>
      <x:c r="F1581" t="n">
        <x:v>50</x:v>
      </x:c>
      <x:c r="G1581" t="n">
        <x:v>144</x:v>
      </x:c>
      <x:c r="H1581" t="n">
        <x:f>ROUND(F1581*G1581/100,2)</x:f>
        <x:v>72</x:v>
      </x:c>
      <x:c r="I1581" t="n">
        <x:v>13</x:v>
      </x:c>
      <x:c r="J1581" t="n">
        <x:f>ROUND(F1581*I1581/100,2)</x:f>
        <x:v>6.5</x:v>
      </x:c>
      <x:c r="K1581" t="n">
        <x:v>1.1</x:v>
      </x:c>
      <x:c r="L1581" t="n">
        <x:f>ROUND(F1581*K1581/100,2)</x:f>
        <x:v>0.55</x:v>
      </x:c>
      <x:c r="M1581" t="n">
        <x:v>10</x:v>
      </x:c>
      <x:c r="N1581" t="n">
        <x:f>ROUND(F1581*M1581/100,2)</x:f>
        <x:v>5</x:v>
      </x:c>
      <x:c r="O1581" t="str">
        <x:v>去壳可食重</x:v>
      </x:c>
    </x:row>
    <x:row r="1582" ht="23" customHeight="1">
      <x:c r="A1582" t="n">
        <x:v>264</x:v>
      </x:c>
      <x:c r="B1582" t="n">
        <x:v>132</x:v>
      </x:c>
      <x:c r="C1582" t="str">
        <x:v>晚餐</x:v>
      </x:c>
      <x:c r="D1582" t="str">
        <x:v>蔬菜</x:v>
      </x:c>
      <x:c r="E1582" t="str">
        <x:v>茼蒿</x:v>
      </x:c>
      <x:c r="F1582" t="n">
        <x:v>190</x:v>
      </x:c>
      <x:c r="G1582" t="n">
        <x:v>24</x:v>
      </x:c>
      <x:c r="H1582" t="n">
        <x:f>ROUND(F1582*G1582/100,2)</x:f>
        <x:v>45.6</x:v>
      </x:c>
      <x:c r="I1582" t="n">
        <x:v>1.9</x:v>
      </x:c>
      <x:c r="J1582" t="n">
        <x:f>ROUND(F1582*I1582/100,2)</x:f>
        <x:v>3.61</x:v>
      </x:c>
      <x:c r="K1582" t="n">
        <x:v>4.3</x:v>
      </x:c>
      <x:c r="L1582" t="n">
        <x:f>ROUND(F1582*K1582/100,2)</x:f>
        <x:v>8.17</x:v>
      </x:c>
      <x:c r="M1582" t="n">
        <x:v>0.3</x:v>
      </x:c>
      <x:c r="N1582" t="n">
        <x:f>ROUND(F1582*M1582/100,2)</x:f>
        <x:v>0.57</x:v>
      </x:c>
      <x:c r="O1582" t="str">
        <x:v>生重</x:v>
      </x:c>
    </x:row>
    <x:row r="1583" ht="23" customHeight="1">
      <x:c r="A1583" t="n">
        <x:v>264</x:v>
      </x:c>
      <x:c r="B1583" t="n">
        <x:v>132</x:v>
      </x:c>
      <x:c r="C1583" t="str">
        <x:v>晚餐</x:v>
      </x:c>
      <x:c r="D1583" t="str">
        <x:v>菌菇</x:v>
      </x:c>
      <x:c r="E1583" t="str">
        <x:v>香菇</x:v>
      </x:c>
      <x:c r="F1583" t="n">
        <x:v>125</x:v>
      </x:c>
      <x:c r="G1583" t="n">
        <x:v>34</x:v>
      </x:c>
      <x:c r="H1583" t="n">
        <x:f>ROUND(F1583*G1583/100,2)</x:f>
        <x:v>42.5</x:v>
      </x:c>
      <x:c r="I1583" t="n">
        <x:v>2.2</x:v>
      </x:c>
      <x:c r="J1583" t="n">
        <x:f>ROUND(F1583*I1583/100,2)</x:f>
        <x:v>2.75</x:v>
      </x:c>
      <x:c r="K1583" t="n">
        <x:v>6.8</x:v>
      </x:c>
      <x:c r="L1583" t="n">
        <x:f>ROUND(F1583*K1583/100,2)</x:f>
        <x:v>8.5</x:v>
      </x:c>
      <x:c r="M1583" t="n">
        <x:v>0.5</x:v>
      </x:c>
      <x:c r="N1583" t="n">
        <x:f>ROUND(F1583*M1583/100,2)</x:f>
        <x:v>0.63</x:v>
      </x:c>
      <x:c r="O1583" t="str">
        <x:v>生重</x:v>
      </x:c>
    </x:row>
    <x:row r="1584" ht="23" customHeight="1">
      <x:c r="A1584" t="n">
        <x:v>264</x:v>
      </x:c>
      <x:c r="B1584" t="n">
        <x:v>132</x:v>
      </x:c>
      <x:c r="C1584" t="str">
        <x:v>晚餐</x:v>
      </x:c>
      <x:c r="D1584" t="str">
        <x:v>主食</x:v>
      </x:c>
      <x:c r="E1584" t="str">
        <x:v>山药</x:v>
      </x:c>
      <x:c r="F1584" t="n">
        <x:v>80</x:v>
      </x:c>
      <x:c r="G1584" t="n">
        <x:v>62</x:v>
      </x:c>
      <x:c r="H1584" t="n">
        <x:f>ROUND(F1584*G1584/100,2)</x:f>
        <x:v>49.6</x:v>
      </x:c>
      <x:c r="I1584" t="n">
        <x:v>1.5</x:v>
      </x:c>
      <x:c r="J1584" t="n">
        <x:f>ROUND(F1584*I1584/100,2)</x:f>
        <x:v>1.2</x:v>
      </x:c>
      <x:c r="K1584" t="n">
        <x:v>14.1</x:v>
      </x:c>
      <x:c r="L1584" t="n">
        <x:f>ROUND(F1584*K1584/100,2)</x:f>
        <x:v>11.28</x:v>
      </x:c>
      <x:c r="M1584" t="n">
        <x:v>0.1</x:v>
      </x:c>
      <x:c r="N1584" t="n">
        <x:f>ROUND(F1584*M1584/100,2)</x:f>
        <x:v>0.08</x:v>
      </x:c>
      <x:c r="O1584" t="str">
        <x:v>蒸熟净重</x:v>
      </x:c>
    </x:row>
    <x:row r="1585" ht="23" customHeight="1">
      <x:c r="A1585" t="n">
        <x:v>264</x:v>
      </x:c>
      <x:c r="B1585" t="n">
        <x:v>132</x:v>
      </x:c>
      <x:c r="C1585" t="str">
        <x:v>晚餐</x:v>
      </x:c>
      <x:c r="D1585" t="str">
        <x:v>油脂</x:v>
      </x:c>
      <x:c r="E1585" t="str">
        <x:v>烹调油</x:v>
      </x:c>
      <x:c r="F1585" t="n">
        <x:v>6</x:v>
      </x:c>
      <x:c r="G1585" t="n">
        <x:v>900</x:v>
      </x:c>
      <x:c r="H1585" t="n">
        <x:f>ROUND(F1585*G1585/100,2)</x:f>
        <x:v>54</x:v>
      </x:c>
      <x:c r="I1585" t="n">
        <x:v>0</x:v>
      </x:c>
      <x:c r="J1585" t="n">
        <x:f>ROUND(F1585*I1585/100,2)</x:f>
        <x:v>0</x:v>
      </x:c>
      <x:c r="K1585" t="n">
        <x:v>0</x:v>
      </x:c>
      <x:c r="L1585" t="n">
        <x:f>ROUND(F1585*K1585/100,2)</x:f>
        <x:v>0</x:v>
      </x:c>
      <x:c r="M1585" t="n">
        <x:v>100</x:v>
      </x:c>
      <x:c r="N1585" t="n">
        <x:f>ROUND(F1585*M1585/100,2)</x:f>
        <x:v>6</x:v>
      </x:c>
      <x:c r="O1585" t="str">
        <x:v>实际用油重</x:v>
      </x:c>
    </x:row>
    <x:row r="1586" ht="23" customHeight="1">
      <x:c r="A1586" t="n">
        <x:v>265</x:v>
      </x:c>
      <x:c r="B1586" t="n">
        <x:v>133</x:v>
      </x:c>
      <x:c r="C1586" t="str">
        <x:v>午餐</x:v>
      </x:c>
      <x:c r="D1586" t="str">
        <x:v>牛肉</x:v>
      </x:c>
      <x:c r="E1586" t="str">
        <x:v>牛里脊</x:v>
      </x:c>
      <x:c r="F1586" t="n">
        <x:v>185</x:v>
      </x:c>
      <x:c r="G1586" t="n">
        <x:v>130</x:v>
      </x:c>
      <x:c r="H1586" t="n">
        <x:f>ROUND(F1586*G1586/100,2)</x:f>
        <x:v>240.5</x:v>
      </x:c>
      <x:c r="I1586" t="n">
        <x:v>21</x:v>
      </x:c>
      <x:c r="J1586" t="n">
        <x:f>ROUND(F1586*I1586/100,2)</x:f>
        <x:v>38.85</x:v>
      </x:c>
      <x:c r="K1586" t="n">
        <x:v>0</x:v>
      </x:c>
      <x:c r="L1586" t="n">
        <x:f>ROUND(F1586*K1586/100,2)</x:f>
        <x:v>0</x:v>
      </x:c>
      <x:c r="M1586" t="n">
        <x:v>4.8</x:v>
      </x:c>
      <x:c r="N1586" t="n">
        <x:f>ROUND(F1586*M1586/100,2)</x:f>
        <x:v>8.88</x:v>
      </x:c>
      <x:c r="O1586" t="str">
        <x:v>生重</x:v>
      </x:c>
    </x:row>
    <x:row r="1587" ht="23" customHeight="1">
      <x:c r="A1587" t="n">
        <x:v>265</x:v>
      </x:c>
      <x:c r="B1587" t="n">
        <x:v>133</x:v>
      </x:c>
      <x:c r="C1587" t="str">
        <x:v>午餐</x:v>
      </x:c>
      <x:c r="D1587" t="str"/>
      <x:c r="E1587" t="str"/>
      <x:c r="F1587" t="n">
        <x:v>0</x:v>
      </x:c>
      <x:c r="G1587" t="n">
        <x:v>0</x:v>
      </x:c>
      <x:c r="H1587" t="n">
        <x:f>ROUND(F1587*G1587/100,2)</x:f>
        <x:v>0</x:v>
      </x:c>
      <x:c r="I1587" t="n">
        <x:v>0</x:v>
      </x:c>
      <x:c r="J1587" t="n">
        <x:f>ROUND(F1587*I1587/100,2)</x:f>
        <x:v>0</x:v>
      </x:c>
      <x:c r="K1587" t="n">
        <x:v>0</x:v>
      </x:c>
      <x:c r="L1587" t="n">
        <x:f>ROUND(F1587*K1587/100,2)</x:f>
        <x:v>0</x:v>
      </x:c>
      <x:c r="M1587" t="n">
        <x:v>0</x:v>
      </x:c>
      <x:c r="N1587" t="n">
        <x:f>ROUND(F1587*M1587/100,2)</x:f>
        <x:v>0</x:v>
      </x:c>
      <x:c r="O1587" t="str"/>
    </x:row>
    <x:row r="1588" ht="23" customHeight="1">
      <x:c r="A1588" t="n">
        <x:v>265</x:v>
      </x:c>
      <x:c r="B1588" t="n">
        <x:v>133</x:v>
      </x:c>
      <x:c r="C1588" t="str">
        <x:v>午餐</x:v>
      </x:c>
      <x:c r="D1588" t="str">
        <x:v>蔬菜</x:v>
      </x:c>
      <x:c r="E1588" t="str">
        <x:v>生菜</x:v>
      </x:c>
      <x:c r="F1588" t="n">
        <x:v>190</x:v>
      </x:c>
      <x:c r="G1588" t="n">
        <x:v>16</x:v>
      </x:c>
      <x:c r="H1588" t="n">
        <x:f>ROUND(F1588*G1588/100,2)</x:f>
        <x:v>30.4</x:v>
      </x:c>
      <x:c r="I1588" t="n">
        <x:v>1.4</x:v>
      </x:c>
      <x:c r="J1588" t="n">
        <x:f>ROUND(F1588*I1588/100,2)</x:f>
        <x:v>2.66</x:v>
      </x:c>
      <x:c r="K1588" t="n">
        <x:v>2.9</x:v>
      </x:c>
      <x:c r="L1588" t="n">
        <x:f>ROUND(F1588*K1588/100,2)</x:f>
        <x:v>5.51</x:v>
      </x:c>
      <x:c r="M1588" t="n">
        <x:v>0.1</x:v>
      </x:c>
      <x:c r="N1588" t="n">
        <x:f>ROUND(F1588*M1588/100,2)</x:f>
        <x:v>0.19</x:v>
      </x:c>
      <x:c r="O1588" t="str">
        <x:v>生重</x:v>
      </x:c>
    </x:row>
    <x:row r="1589" ht="23" customHeight="1">
      <x:c r="A1589" t="n">
        <x:v>265</x:v>
      </x:c>
      <x:c r="B1589" t="n">
        <x:v>133</x:v>
      </x:c>
      <x:c r="C1589" t="str">
        <x:v>午餐</x:v>
      </x:c>
      <x:c r="D1589" t="str">
        <x:v>蔬菜</x:v>
      </x:c>
      <x:c r="E1589" t="str">
        <x:v>冬瓜</x:v>
      </x:c>
      <x:c r="F1589" t="n">
        <x:v>140</x:v>
      </x:c>
      <x:c r="G1589" t="n">
        <x:v>13</x:v>
      </x:c>
      <x:c r="H1589" t="n">
        <x:f>ROUND(F1589*G1589/100,2)</x:f>
        <x:v>18.2</x:v>
      </x:c>
      <x:c r="I1589" t="n">
        <x:v>0.4</x:v>
      </x:c>
      <x:c r="J1589" t="n">
        <x:f>ROUND(F1589*I1589/100,2)</x:f>
        <x:v>0.56</x:v>
      </x:c>
      <x:c r="K1589" t="n">
        <x:v>3</x:v>
      </x:c>
      <x:c r="L1589" t="n">
        <x:f>ROUND(F1589*K1589/100,2)</x:f>
        <x:v>4.2</x:v>
      </x:c>
      <x:c r="M1589" t="n">
        <x:v>0.2</x:v>
      </x:c>
      <x:c r="N1589" t="n">
        <x:f>ROUND(F1589*M1589/100,2)</x:f>
        <x:v>0.28</x:v>
      </x:c>
      <x:c r="O1589" t="str">
        <x:v>生重</x:v>
      </x:c>
    </x:row>
    <x:row r="1590" ht="23" customHeight="1">
      <x:c r="A1590" t="n">
        <x:v>265</x:v>
      </x:c>
      <x:c r="B1590" t="n">
        <x:v>133</x:v>
      </x:c>
      <x:c r="C1590" t="str">
        <x:v>午餐</x:v>
      </x:c>
      <x:c r="D1590" t="str">
        <x:v>主食</x:v>
      </x:c>
      <x:c r="E1590" t="str">
        <x:v>燕麦饭</x:v>
      </x:c>
      <x:c r="F1590" t="n">
        <x:v>150</x:v>
      </x:c>
      <x:c r="G1590" t="n">
        <x:v>110</x:v>
      </x:c>
      <x:c r="H1590" t="n">
        <x:f>ROUND(F1590*G1590/100,2)</x:f>
        <x:v>165</x:v>
      </x:c>
      <x:c r="I1590" t="n">
        <x:v>3.2</x:v>
      </x:c>
      <x:c r="J1590" t="n">
        <x:f>ROUND(F1590*I1590/100,2)</x:f>
        <x:v>4.8</x:v>
      </x:c>
      <x:c r="K1590" t="n">
        <x:v>21</x:v>
      </x:c>
      <x:c r="L1590" t="n">
        <x:f>ROUND(F1590*K1590/100,2)</x:f>
        <x:v>31.5</x:v>
      </x:c>
      <x:c r="M1590" t="n">
        <x:v>1.8</x:v>
      </x:c>
      <x:c r="N1590" t="n">
        <x:f>ROUND(F1590*M1590/100,2)</x:f>
        <x:v>2.7</x:v>
      </x:c>
      <x:c r="O1590" t="str">
        <x:v>熟重</x:v>
      </x:c>
    </x:row>
    <x:row r="1591" ht="23" customHeight="1">
      <x:c r="A1591" t="n">
        <x:v>265</x:v>
      </x:c>
      <x:c r="B1591" t="n">
        <x:v>133</x:v>
      </x:c>
      <x:c r="C1591" t="str">
        <x:v>午餐</x:v>
      </x:c>
      <x:c r="D1591" t="str">
        <x:v>油脂</x:v>
      </x:c>
      <x:c r="E1591" t="str">
        <x:v>烹调油</x:v>
      </x:c>
      <x:c r="F1591" t="n">
        <x:v>4</x:v>
      </x:c>
      <x:c r="G1591" t="n">
        <x:v>900</x:v>
      </x:c>
      <x:c r="H1591" t="n">
        <x:f>ROUND(F1591*G1591/100,2)</x:f>
        <x:v>36</x:v>
      </x:c>
      <x:c r="I1591" t="n">
        <x:v>0</x:v>
      </x:c>
      <x:c r="J1591" t="n">
        <x:f>ROUND(F1591*I1591/100,2)</x:f>
        <x:v>0</x:v>
      </x:c>
      <x:c r="K1591" t="n">
        <x:v>0</x:v>
      </x:c>
      <x:c r="L1591" t="n">
        <x:f>ROUND(F1591*K1591/100,2)</x:f>
        <x:v>0</x:v>
      </x:c>
      <x:c r="M1591" t="n">
        <x:v>100</x:v>
      </x:c>
      <x:c r="N1591" t="n">
        <x:f>ROUND(F1591*M1591/100,2)</x:f>
        <x:v>4</x:v>
      </x:c>
      <x:c r="O1591" t="str">
        <x:v>实际用油重</x:v>
      </x:c>
    </x:row>
    <x:row r="1592" ht="23" customHeight="1">
      <x:c r="A1592" t="n">
        <x:v>266</x:v>
      </x:c>
      <x:c r="B1592" t="n">
        <x:v>133</x:v>
      </x:c>
      <x:c r="C1592" t="str">
        <x:v>晚餐</x:v>
      </x:c>
      <x:c r="D1592" t="str">
        <x:v>鱼类</x:v>
      </x:c>
      <x:c r="E1592" t="str">
        <x:v>三文鱼</x:v>
      </x:c>
      <x:c r="F1592" t="n">
        <x:v>120</x:v>
      </x:c>
      <x:c r="G1592" t="n">
        <x:v>205</x:v>
      </x:c>
      <x:c r="H1592" t="n">
        <x:f>ROUND(F1592*G1592/100,2)</x:f>
        <x:v>246</x:v>
      </x:c>
      <x:c r="I1592" t="n">
        <x:v>20</x:v>
      </x:c>
      <x:c r="J1592" t="n">
        <x:f>ROUND(F1592*I1592/100,2)</x:f>
        <x:v>24</x:v>
      </x:c>
      <x:c r="K1592" t="n">
        <x:v>0</x:v>
      </x:c>
      <x:c r="L1592" t="n">
        <x:f>ROUND(F1592*K1592/100,2)</x:f>
        <x:v>0</x:v>
      </x:c>
      <x:c r="M1592" t="n">
        <x:v>13</x:v>
      </x:c>
      <x:c r="N1592" t="n">
        <x:f>ROUND(F1592*M1592/100,2)</x:f>
        <x:v>15.6</x:v>
      </x:c>
      <x:c r="O1592" t="str">
        <x:v>净鱼肉生重</x:v>
      </x:c>
    </x:row>
    <x:row r="1593" ht="23" customHeight="1">
      <x:c r="A1593" t="n">
        <x:v>266</x:v>
      </x:c>
      <x:c r="B1593" t="n">
        <x:v>133</x:v>
      </x:c>
      <x:c r="C1593" t="str">
        <x:v>晚餐</x:v>
      </x:c>
      <x:c r="D1593" t="str"/>
      <x:c r="E1593" t="str"/>
      <x:c r="F1593" t="n">
        <x:v>0</x:v>
      </x:c>
      <x:c r="G1593" t="n">
        <x:v>0</x:v>
      </x:c>
      <x:c r="H1593" t="n">
        <x:f>ROUND(F1593*G1593/100,2)</x:f>
        <x:v>0</x:v>
      </x:c>
      <x:c r="I1593" t="n">
        <x:v>0</x:v>
      </x:c>
      <x:c r="J1593" t="n">
        <x:f>ROUND(F1593*I1593/100,2)</x:f>
        <x:v>0</x:v>
      </x:c>
      <x:c r="K1593" t="n">
        <x:v>0</x:v>
      </x:c>
      <x:c r="L1593" t="n">
        <x:f>ROUND(F1593*K1593/100,2)</x:f>
        <x:v>0</x:v>
      </x:c>
      <x:c r="M1593" t="n">
        <x:v>0</x:v>
      </x:c>
      <x:c r="N1593" t="n">
        <x:f>ROUND(F1593*M1593/100,2)</x:f>
        <x:v>0</x:v>
      </x:c>
      <x:c r="O1593" t="str"/>
    </x:row>
    <x:row r="1594" ht="23" customHeight="1">
      <x:c r="A1594" t="n">
        <x:v>266</x:v>
      </x:c>
      <x:c r="B1594" t="n">
        <x:v>133</x:v>
      </x:c>
      <x:c r="C1594" t="str">
        <x:v>晚餐</x:v>
      </x:c>
      <x:c r="D1594" t="str">
        <x:v>蔬菜</x:v>
      </x:c>
      <x:c r="E1594" t="str">
        <x:v>四季豆</x:v>
      </x:c>
      <x:c r="F1594" t="n">
        <x:v>175</x:v>
      </x:c>
      <x:c r="G1594" t="n">
        <x:v>31</x:v>
      </x:c>
      <x:c r="H1594" t="n">
        <x:f>ROUND(F1594*G1594/100,2)</x:f>
        <x:v>54.25</x:v>
      </x:c>
      <x:c r="I1594" t="n">
        <x:v>1.8</x:v>
      </x:c>
      <x:c r="J1594" t="n">
        <x:f>ROUND(F1594*I1594/100,2)</x:f>
        <x:v>3.15</x:v>
      </x:c>
      <x:c r="K1594" t="n">
        <x:v>7</x:v>
      </x:c>
      <x:c r="L1594" t="n">
        <x:f>ROUND(F1594*K1594/100,2)</x:f>
        <x:v>12.25</x:v>
      </x:c>
      <x:c r="M1594" t="n">
        <x:v>0.1</x:v>
      </x:c>
      <x:c r="N1594" t="n">
        <x:f>ROUND(F1594*M1594/100,2)</x:f>
        <x:v>0.18</x:v>
      </x:c>
      <x:c r="O1594" t="str">
        <x:v>生重</x:v>
      </x:c>
    </x:row>
    <x:row r="1595" ht="23" customHeight="1">
      <x:c r="A1595" t="n">
        <x:v>266</x:v>
      </x:c>
      <x:c r="B1595" t="n">
        <x:v>133</x:v>
      </x:c>
      <x:c r="C1595" t="str">
        <x:v>晚餐</x:v>
      </x:c>
      <x:c r="D1595" t="str">
        <x:v>菌菇</x:v>
      </x:c>
      <x:c r="E1595" t="str">
        <x:v>口蘑</x:v>
      </x:c>
      <x:c r="F1595" t="n">
        <x:v>110</x:v>
      </x:c>
      <x:c r="G1595" t="n">
        <x:v>22</x:v>
      </x:c>
      <x:c r="H1595" t="n">
        <x:f>ROUND(F1595*G1595/100,2)</x:f>
        <x:v>24.2</x:v>
      </x:c>
      <x:c r="I1595" t="n">
        <x:v>3.1</x:v>
      </x:c>
      <x:c r="J1595" t="n">
        <x:f>ROUND(F1595*I1595/100,2)</x:f>
        <x:v>3.41</x:v>
      </x:c>
      <x:c r="K1595" t="n">
        <x:v>3.3</x:v>
      </x:c>
      <x:c r="L1595" t="n">
        <x:f>ROUND(F1595*K1595/100,2)</x:f>
        <x:v>3.63</x:v>
      </x:c>
      <x:c r="M1595" t="n">
        <x:v>0.3</x:v>
      </x:c>
      <x:c r="N1595" t="n">
        <x:f>ROUND(F1595*M1595/100,2)</x:f>
        <x:v>0.33</x:v>
      </x:c>
      <x:c r="O1595" t="str">
        <x:v>生重</x:v>
      </x:c>
    </x:row>
    <x:row r="1596" ht="23" customHeight="1">
      <x:c r="A1596" t="n">
        <x:v>266</x:v>
      </x:c>
      <x:c r="B1596" t="n">
        <x:v>133</x:v>
      </x:c>
      <x:c r="C1596" t="str">
        <x:v>晚餐</x:v>
      </x:c>
      <x:c r="D1596" t="str">
        <x:v>主食</x:v>
      </x:c>
      <x:c r="E1596" t="str">
        <x:v>米粉</x:v>
      </x:c>
      <x:c r="F1596" t="n">
        <x:v>135</x:v>
      </x:c>
      <x:c r="G1596" t="n">
        <x:v>110</x:v>
      </x:c>
      <x:c r="H1596" t="n">
        <x:f>ROUND(F1596*G1596/100,2)</x:f>
        <x:v>148.5</x:v>
      </x:c>
      <x:c r="I1596" t="n">
        <x:v>2</x:v>
      </x:c>
      <x:c r="J1596" t="n">
        <x:f>ROUND(F1596*I1596/100,2)</x:f>
        <x:v>2.7</x:v>
      </x:c>
      <x:c r="K1596" t="n">
        <x:v>24</x:v>
      </x:c>
      <x:c r="L1596" t="n">
        <x:f>ROUND(F1596*K1596/100,2)</x:f>
        <x:v>32.4</x:v>
      </x:c>
      <x:c r="M1596" t="n">
        <x:v>0.4</x:v>
      </x:c>
      <x:c r="N1596" t="n">
        <x:f>ROUND(F1596*M1596/100,2)</x:f>
        <x:v>0.54</x:v>
      </x:c>
      <x:c r="O1596" t="str">
        <x:v>煮熟沥水重</x:v>
      </x:c>
    </x:row>
    <x:row r="1597" ht="23" customHeight="1">
      <x:c r="A1597" t="n">
        <x:v>266</x:v>
      </x:c>
      <x:c r="B1597" t="n">
        <x:v>133</x:v>
      </x:c>
      <x:c r="C1597" t="str">
        <x:v>晚餐</x:v>
      </x:c>
      <x:c r="D1597" t="str">
        <x:v>油脂</x:v>
      </x:c>
      <x:c r="E1597" t="str">
        <x:v>烹调油</x:v>
      </x:c>
      <x:c r="F1597" t="n">
        <x:v>2</x:v>
      </x:c>
      <x:c r="G1597" t="n">
        <x:v>900</x:v>
      </x:c>
      <x:c r="H1597" t="n">
        <x:f>ROUND(F1597*G1597/100,2)</x:f>
        <x:v>18</x:v>
      </x:c>
      <x:c r="I1597" t="n">
        <x:v>0</x:v>
      </x:c>
      <x:c r="J1597" t="n">
        <x:f>ROUND(F1597*I1597/100,2)</x:f>
        <x:v>0</x:v>
      </x:c>
      <x:c r="K1597" t="n">
        <x:v>0</x:v>
      </x:c>
      <x:c r="L1597" t="n">
        <x:f>ROUND(F1597*K1597/100,2)</x:f>
        <x:v>0</x:v>
      </x:c>
      <x:c r="M1597" t="n">
        <x:v>100</x:v>
      </x:c>
      <x:c r="N1597" t="n">
        <x:f>ROUND(F1597*M1597/100,2)</x:f>
        <x:v>2</x:v>
      </x:c>
      <x:c r="O1597" t="str">
        <x:v>实际用油重</x:v>
      </x:c>
    </x:row>
    <x:row r="1598" ht="23" customHeight="1">
      <x:c r="A1598" t="n">
        <x:v>267</x:v>
      </x:c>
      <x:c r="B1598" t="n">
        <x:v>134</x:v>
      </x:c>
      <x:c r="C1598" t="str">
        <x:v>午餐</x:v>
      </x:c>
      <x:c r="D1598" t="str">
        <x:v>牛肉</x:v>
      </x:c>
      <x:c r="E1598" t="str">
        <x:v>牛里脊</x:v>
      </x:c>
      <x:c r="F1598" t="n">
        <x:v>185</x:v>
      </x:c>
      <x:c r="G1598" t="n">
        <x:v>130</x:v>
      </x:c>
      <x:c r="H1598" t="n">
        <x:f>ROUND(F1598*G1598/100,2)</x:f>
        <x:v>240.5</x:v>
      </x:c>
      <x:c r="I1598" t="n">
        <x:v>21</x:v>
      </x:c>
      <x:c r="J1598" t="n">
        <x:f>ROUND(F1598*I1598/100,2)</x:f>
        <x:v>38.85</x:v>
      </x:c>
      <x:c r="K1598" t="n">
        <x:v>0</x:v>
      </x:c>
      <x:c r="L1598" t="n">
        <x:f>ROUND(F1598*K1598/100,2)</x:f>
        <x:v>0</x:v>
      </x:c>
      <x:c r="M1598" t="n">
        <x:v>4.8</x:v>
      </x:c>
      <x:c r="N1598" t="n">
        <x:f>ROUND(F1598*M1598/100,2)</x:f>
        <x:v>8.88</x:v>
      </x:c>
      <x:c r="O1598" t="str">
        <x:v>生重</x:v>
      </x:c>
    </x:row>
    <x:row r="1599" ht="23" customHeight="1">
      <x:c r="A1599" t="n">
        <x:v>267</x:v>
      </x:c>
      <x:c r="B1599" t="n">
        <x:v>134</x:v>
      </x:c>
      <x:c r="C1599" t="str">
        <x:v>午餐</x:v>
      </x:c>
      <x:c r="D1599" t="str"/>
      <x:c r="E1599" t="str"/>
      <x:c r="F1599" t="n">
        <x:v>0</x:v>
      </x:c>
      <x:c r="G1599" t="n">
        <x:v>0</x:v>
      </x:c>
      <x:c r="H1599" t="n">
        <x:f>ROUND(F1599*G1599/100,2)</x:f>
        <x:v>0</x:v>
      </x:c>
      <x:c r="I1599" t="n">
        <x:v>0</x:v>
      </x:c>
      <x:c r="J1599" t="n">
        <x:f>ROUND(F1599*I1599/100,2)</x:f>
        <x:v>0</x:v>
      </x:c>
      <x:c r="K1599" t="n">
        <x:v>0</x:v>
      </x:c>
      <x:c r="L1599" t="n">
        <x:f>ROUND(F1599*K1599/100,2)</x:f>
        <x:v>0</x:v>
      </x:c>
      <x:c r="M1599" t="n">
        <x:v>0</x:v>
      </x:c>
      <x:c r="N1599" t="n">
        <x:f>ROUND(F1599*M1599/100,2)</x:f>
        <x:v>0</x:v>
      </x:c>
      <x:c r="O1599" t="str"/>
    </x:row>
    <x:row r="1600" ht="23" customHeight="1">
      <x:c r="A1600" t="n">
        <x:v>267</x:v>
      </x:c>
      <x:c r="B1600" t="n">
        <x:v>134</x:v>
      </x:c>
      <x:c r="C1600" t="str">
        <x:v>午餐</x:v>
      </x:c>
      <x:c r="D1600" t="str">
        <x:v>蔬菜</x:v>
      </x:c>
      <x:c r="E1600" t="str">
        <x:v>冬瓜</x:v>
      </x:c>
      <x:c r="F1600" t="n">
        <x:v>140</x:v>
      </x:c>
      <x:c r="G1600" t="n">
        <x:v>13</x:v>
      </x:c>
      <x:c r="H1600" t="n">
        <x:f>ROUND(F1600*G1600/100,2)</x:f>
        <x:v>18.2</x:v>
      </x:c>
      <x:c r="I1600" t="n">
        <x:v>0.4</x:v>
      </x:c>
      <x:c r="J1600" t="n">
        <x:f>ROUND(F1600*I1600/100,2)</x:f>
        <x:v>0.56</x:v>
      </x:c>
      <x:c r="K1600" t="n">
        <x:v>3</x:v>
      </x:c>
      <x:c r="L1600" t="n">
        <x:f>ROUND(F1600*K1600/100,2)</x:f>
        <x:v>4.2</x:v>
      </x:c>
      <x:c r="M1600" t="n">
        <x:v>0.2</x:v>
      </x:c>
      <x:c r="N1600" t="n">
        <x:f>ROUND(F1600*M1600/100,2)</x:f>
        <x:v>0.28</x:v>
      </x:c>
      <x:c r="O1600" t="str">
        <x:v>生重</x:v>
      </x:c>
    </x:row>
    <x:row r="1601" ht="23" customHeight="1">
      <x:c r="A1601" t="n">
        <x:v>267</x:v>
      </x:c>
      <x:c r="B1601" t="n">
        <x:v>134</x:v>
      </x:c>
      <x:c r="C1601" t="str">
        <x:v>午餐</x:v>
      </x:c>
      <x:c r="D1601" t="str">
        <x:v>菌菇</x:v>
      </x:c>
      <x:c r="E1601" t="str">
        <x:v>金针菇</x:v>
      </x:c>
      <x:c r="F1601" t="n">
        <x:v>155</x:v>
      </x:c>
      <x:c r="G1601" t="n">
        <x:v>32</x:v>
      </x:c>
      <x:c r="H1601" t="n">
        <x:f>ROUND(F1601*G1601/100,2)</x:f>
        <x:v>49.6</x:v>
      </x:c>
      <x:c r="I1601" t="n">
        <x:v>2.4</x:v>
      </x:c>
      <x:c r="J1601" t="n">
        <x:f>ROUND(F1601*I1601/100,2)</x:f>
        <x:v>3.72</x:v>
      </x:c>
      <x:c r="K1601" t="n">
        <x:v>6.4</x:v>
      </x:c>
      <x:c r="L1601" t="n">
        <x:f>ROUND(F1601*K1601/100,2)</x:f>
        <x:v>9.92</x:v>
      </x:c>
      <x:c r="M1601" t="n">
        <x:v>0.2</x:v>
      </x:c>
      <x:c r="N1601" t="n">
        <x:f>ROUND(F1601*M1601/100,2)</x:f>
        <x:v>0.31</x:v>
      </x:c>
      <x:c r="O1601" t="str">
        <x:v>生重</x:v>
      </x:c>
    </x:row>
    <x:row r="1602" ht="23" customHeight="1">
      <x:c r="A1602" t="n">
        <x:v>267</x:v>
      </x:c>
      <x:c r="B1602" t="n">
        <x:v>134</x:v>
      </x:c>
      <x:c r="C1602" t="str">
        <x:v>午餐</x:v>
      </x:c>
      <x:c r="D1602" t="str">
        <x:v>主食</x:v>
      </x:c>
      <x:c r="E1602" t="str">
        <x:v>乌冬面</x:v>
      </x:c>
      <x:c r="F1602" t="n">
        <x:v>165</x:v>
      </x:c>
      <x:c r="G1602" t="n">
        <x:v>120</x:v>
      </x:c>
      <x:c r="H1602" t="n">
        <x:f>ROUND(F1602*G1602/100,2)</x:f>
        <x:v>198</x:v>
      </x:c>
      <x:c r="I1602" t="n">
        <x:v>2.5</x:v>
      </x:c>
      <x:c r="J1602" t="n">
        <x:f>ROUND(F1602*I1602/100,2)</x:f>
        <x:v>4.13</x:v>
      </x:c>
      <x:c r="K1602" t="n">
        <x:v>25</x:v>
      </x:c>
      <x:c r="L1602" t="n">
        <x:f>ROUND(F1602*K1602/100,2)</x:f>
        <x:v>41.25</x:v>
      </x:c>
      <x:c r="M1602" t="n">
        <x:v>0.6</x:v>
      </x:c>
      <x:c r="N1602" t="n">
        <x:f>ROUND(F1602*M1602/100,2)</x:f>
        <x:v>0.99</x:v>
      </x:c>
      <x:c r="O1602" t="str">
        <x:v>煮熟沥水重</x:v>
      </x:c>
    </x:row>
    <x:row r="1603" ht="23" customHeight="1">
      <x:c r="A1603" t="n">
        <x:v>267</x:v>
      </x:c>
      <x:c r="B1603" t="n">
        <x:v>134</x:v>
      </x:c>
      <x:c r="C1603" t="str">
        <x:v>午餐</x:v>
      </x:c>
      <x:c r="D1603" t="str">
        <x:v>油脂</x:v>
      </x:c>
      <x:c r="E1603" t="str">
        <x:v>烹调油</x:v>
      </x:c>
      <x:c r="F1603" t="n">
        <x:v>3</x:v>
      </x:c>
      <x:c r="G1603" t="n">
        <x:v>900</x:v>
      </x:c>
      <x:c r="H1603" t="n">
        <x:f>ROUND(F1603*G1603/100,2)</x:f>
        <x:v>27</x:v>
      </x:c>
      <x:c r="I1603" t="n">
        <x:v>0</x:v>
      </x:c>
      <x:c r="J1603" t="n">
        <x:f>ROUND(F1603*I1603/100,2)</x:f>
        <x:v>0</x:v>
      </x:c>
      <x:c r="K1603" t="n">
        <x:v>0</x:v>
      </x:c>
      <x:c r="L1603" t="n">
        <x:f>ROUND(F1603*K1603/100,2)</x:f>
        <x:v>0</x:v>
      </x:c>
      <x:c r="M1603" t="n">
        <x:v>100</x:v>
      </x:c>
      <x:c r="N1603" t="n">
        <x:f>ROUND(F1603*M1603/100,2)</x:f>
        <x:v>3</x:v>
      </x:c>
      <x:c r="O1603" t="str">
        <x:v>实际用油重</x:v>
      </x:c>
    </x:row>
    <x:row r="1604" ht="23" customHeight="1">
      <x:c r="A1604" t="n">
        <x:v>268</x:v>
      </x:c>
      <x:c r="B1604" t="n">
        <x:v>134</x:v>
      </x:c>
      <x:c r="C1604" t="str">
        <x:v>晚餐</x:v>
      </x:c>
      <x:c r="D1604" t="str">
        <x:v>禽肉</x:v>
      </x:c>
      <x:c r="E1604" t="str">
        <x:v>鸡胸肉</x:v>
      </x:c>
      <x:c r="F1604" t="n">
        <x:v>180</x:v>
      </x:c>
      <x:c r="G1604" t="n">
        <x:v>110</x:v>
      </x:c>
      <x:c r="H1604" t="n">
        <x:f>ROUND(F1604*G1604/100,2)</x:f>
        <x:v>198</x:v>
      </x:c>
      <x:c r="I1604" t="n">
        <x:v>23</x:v>
      </x:c>
      <x:c r="J1604" t="n">
        <x:f>ROUND(F1604*I1604/100,2)</x:f>
        <x:v>41.4</x:v>
      </x:c>
      <x:c r="K1604" t="n">
        <x:v>0</x:v>
      </x:c>
      <x:c r="L1604" t="n">
        <x:f>ROUND(F1604*K1604/100,2)</x:f>
        <x:v>0</x:v>
      </x:c>
      <x:c r="M1604" t="n">
        <x:v>2</x:v>
      </x:c>
      <x:c r="N1604" t="n">
        <x:f>ROUND(F1604*M1604/100,2)</x:f>
        <x:v>3.6</x:v>
      </x:c>
      <x:c r="O1604" t="str">
        <x:v>生重</x:v>
      </x:c>
    </x:row>
    <x:row r="1605" ht="23" customHeight="1">
      <x:c r="A1605" t="n">
        <x:v>268</x:v>
      </x:c>
      <x:c r="B1605" t="n">
        <x:v>134</x:v>
      </x:c>
      <x:c r="C1605" t="str">
        <x:v>晚餐</x:v>
      </x:c>
      <x:c r="D1605" t="str"/>
      <x:c r="E1605" t="str"/>
      <x:c r="F1605" t="n">
        <x:v>0</x:v>
      </x:c>
      <x:c r="G1605" t="n">
        <x:v>0</x:v>
      </x:c>
      <x:c r="H1605" t="n">
        <x:f>ROUND(F1605*G1605/100,2)</x:f>
        <x:v>0</x:v>
      </x:c>
      <x:c r="I1605" t="n">
        <x:v>0</x:v>
      </x:c>
      <x:c r="J1605" t="n">
        <x:f>ROUND(F1605*I1605/100,2)</x:f>
        <x:v>0</x:v>
      </x:c>
      <x:c r="K1605" t="n">
        <x:v>0</x:v>
      </x:c>
      <x:c r="L1605" t="n">
        <x:f>ROUND(F1605*K1605/100,2)</x:f>
        <x:v>0</x:v>
      </x:c>
      <x:c r="M1605" t="n">
        <x:v>0</x:v>
      </x:c>
      <x:c r="N1605" t="n">
        <x:f>ROUND(F1605*M1605/100,2)</x:f>
        <x:v>0</x:v>
      </x:c>
      <x:c r="O1605" t="str"/>
    </x:row>
    <x:row r="1606" ht="23" customHeight="1">
      <x:c r="A1606" t="n">
        <x:v>268</x:v>
      </x:c>
      <x:c r="B1606" t="n">
        <x:v>134</x:v>
      </x:c>
      <x:c r="C1606" t="str">
        <x:v>晚餐</x:v>
      </x:c>
      <x:c r="D1606" t="str">
        <x:v>蔬菜</x:v>
      </x:c>
      <x:c r="E1606" t="str">
        <x:v>番茄</x:v>
      </x:c>
      <x:c r="F1606" t="n">
        <x:v>175</x:v>
      </x:c>
      <x:c r="G1606" t="n">
        <x:v>20</x:v>
      </x:c>
      <x:c r="H1606" t="n">
        <x:f>ROUND(F1606*G1606/100,2)</x:f>
        <x:v>35</x:v>
      </x:c>
      <x:c r="I1606" t="n">
        <x:v>0.9</x:v>
      </x:c>
      <x:c r="J1606" t="n">
        <x:f>ROUND(F1606*I1606/100,2)</x:f>
        <x:v>1.58</x:v>
      </x:c>
      <x:c r="K1606" t="n">
        <x:v>4</x:v>
      </x:c>
      <x:c r="L1606" t="n">
        <x:f>ROUND(F1606*K1606/100,2)</x:f>
        <x:v>7</x:v>
      </x:c>
      <x:c r="M1606" t="n">
        <x:v>0.2</x:v>
      </x:c>
      <x:c r="N1606" t="n">
        <x:f>ROUND(F1606*M1606/100,2)</x:f>
        <x:v>0.35</x:v>
      </x:c>
      <x:c r="O1606" t="str">
        <x:v>生重</x:v>
      </x:c>
    </x:row>
    <x:row r="1607" ht="23" customHeight="1">
      <x:c r="A1607" t="n">
        <x:v>268</x:v>
      </x:c>
      <x:c r="B1607" t="n">
        <x:v>134</x:v>
      </x:c>
      <x:c r="C1607" t="str">
        <x:v>晚餐</x:v>
      </x:c>
      <x:c r="D1607" t="str">
        <x:v>蔬菜</x:v>
      </x:c>
      <x:c r="E1607" t="str">
        <x:v>海带</x:v>
      </x:c>
      <x:c r="F1607" t="n">
        <x:v>155</x:v>
      </x:c>
      <x:c r="G1607" t="n">
        <x:v>25</x:v>
      </x:c>
      <x:c r="H1607" t="n">
        <x:f>ROUND(F1607*G1607/100,2)</x:f>
        <x:v>38.75</x:v>
      </x:c>
      <x:c r="I1607" t="n">
        <x:v>1</x:v>
      </x:c>
      <x:c r="J1607" t="n">
        <x:f>ROUND(F1607*I1607/100,2)</x:f>
        <x:v>1.55</x:v>
      </x:c>
      <x:c r="K1607" t="n">
        <x:v>5</x:v>
      </x:c>
      <x:c r="L1607" t="n">
        <x:f>ROUND(F1607*K1607/100,2)</x:f>
        <x:v>7.75</x:v>
      </x:c>
      <x:c r="M1607" t="n">
        <x:v>0.1</x:v>
      </x:c>
      <x:c r="N1607" t="n">
        <x:f>ROUND(F1607*M1607/100,2)</x:f>
        <x:v>0.16</x:v>
      </x:c>
      <x:c r="O1607" t="str">
        <x:v>泡发沥水重</x:v>
      </x:c>
    </x:row>
    <x:row r="1608" ht="23" customHeight="1">
      <x:c r="A1608" t="n">
        <x:v>268</x:v>
      </x:c>
      <x:c r="B1608" t="n">
        <x:v>134</x:v>
      </x:c>
      <x:c r="C1608" t="str">
        <x:v>晚餐</x:v>
      </x:c>
      <x:c r="D1608" t="str">
        <x:v>主食</x:v>
      </x:c>
      <x:c r="E1608" t="str">
        <x:v>土豆</x:v>
      </x:c>
      <x:c r="F1608" t="n">
        <x:v>95</x:v>
      </x:c>
      <x:c r="G1608" t="n">
        <x:v>78</x:v>
      </x:c>
      <x:c r="H1608" t="n">
        <x:f>ROUND(F1608*G1608/100,2)</x:f>
        <x:v>74.1</x:v>
      </x:c>
      <x:c r="I1608" t="n">
        <x:v>2</x:v>
      </x:c>
      <x:c r="J1608" t="n">
        <x:f>ROUND(F1608*I1608/100,2)</x:f>
        <x:v>1.9</x:v>
      </x:c>
      <x:c r="K1608" t="n">
        <x:v>17.2</x:v>
      </x:c>
      <x:c r="L1608" t="n">
        <x:f>ROUND(F1608*K1608/100,2)</x:f>
        <x:v>16.34</x:v>
      </x:c>
      <x:c r="M1608" t="n">
        <x:v>0.1</x:v>
      </x:c>
      <x:c r="N1608" t="n">
        <x:f>ROUND(F1608*M1608/100,2)</x:f>
        <x:v>0.1</x:v>
      </x:c>
      <x:c r="O1608" t="str">
        <x:v>蒸熟净重</x:v>
      </x:c>
    </x:row>
    <x:row r="1609" ht="23" customHeight="1">
      <x:c r="A1609" t="n">
        <x:v>268</x:v>
      </x:c>
      <x:c r="B1609" t="n">
        <x:v>134</x:v>
      </x:c>
      <x:c r="C1609" t="str">
        <x:v>晚餐</x:v>
      </x:c>
      <x:c r="D1609" t="str">
        <x:v>油脂</x:v>
      </x:c>
      <x:c r="E1609" t="str">
        <x:v>烹调油</x:v>
      </x:c>
      <x:c r="F1609" t="n">
        <x:v>5</x:v>
      </x:c>
      <x:c r="G1609" t="n">
        <x:v>900</x:v>
      </x:c>
      <x:c r="H1609" t="n">
        <x:f>ROUND(F1609*G1609/100,2)</x:f>
        <x:v>45</x:v>
      </x:c>
      <x:c r="I1609" t="n">
        <x:v>0</x:v>
      </x:c>
      <x:c r="J1609" t="n">
        <x:f>ROUND(F1609*I1609/100,2)</x:f>
        <x:v>0</x:v>
      </x:c>
      <x:c r="K1609" t="n">
        <x:v>0</x:v>
      </x:c>
      <x:c r="L1609" t="n">
        <x:f>ROUND(F1609*K1609/100,2)</x:f>
        <x:v>0</x:v>
      </x:c>
      <x:c r="M1609" t="n">
        <x:v>100</x:v>
      </x:c>
      <x:c r="N1609" t="n">
        <x:f>ROUND(F1609*M1609/100,2)</x:f>
        <x:v>5</x:v>
      </x:c>
      <x:c r="O1609" t="str">
        <x:v>实际用油重</x:v>
      </x:c>
    </x:row>
    <x:row r="1610" ht="23" customHeight="1">
      <x:c r="A1610" t="n">
        <x:v>269</x:v>
      </x:c>
      <x:c r="B1610" t="n">
        <x:v>135</x:v>
      </x:c>
      <x:c r="C1610" t="str">
        <x:v>午餐</x:v>
      </x:c>
      <x:c r="D1610" t="str">
        <x:v>禽肉</x:v>
      </x:c>
      <x:c r="E1610" t="str">
        <x:v>鸡胸肉</x:v>
      </x:c>
      <x:c r="F1610" t="n">
        <x:v>165</x:v>
      </x:c>
      <x:c r="G1610" t="n">
        <x:v>110</x:v>
      </x:c>
      <x:c r="H1610" t="n">
        <x:f>ROUND(F1610*G1610/100,2)</x:f>
        <x:v>181.5</x:v>
      </x:c>
      <x:c r="I1610" t="n">
        <x:v>23</x:v>
      </x:c>
      <x:c r="J1610" t="n">
        <x:f>ROUND(F1610*I1610/100,2)</x:f>
        <x:v>37.95</x:v>
      </x:c>
      <x:c r="K1610" t="n">
        <x:v>0</x:v>
      </x:c>
      <x:c r="L1610" t="n">
        <x:f>ROUND(F1610*K1610/100,2)</x:f>
        <x:v>0</x:v>
      </x:c>
      <x:c r="M1610" t="n">
        <x:v>2</x:v>
      </x:c>
      <x:c r="N1610" t="n">
        <x:f>ROUND(F1610*M1610/100,2)</x:f>
        <x:v>3.3</x:v>
      </x:c>
      <x:c r="O1610" t="str">
        <x:v>生重</x:v>
      </x:c>
    </x:row>
    <x:row r="1611" ht="23" customHeight="1">
      <x:c r="A1611" t="n">
        <x:v>269</x:v>
      </x:c>
      <x:c r="B1611" t="n">
        <x:v>135</x:v>
      </x:c>
      <x:c r="C1611" t="str">
        <x:v>午餐</x:v>
      </x:c>
      <x:c r="D1611" t="str"/>
      <x:c r="E1611" t="str"/>
      <x:c r="F1611" t="n">
        <x:v>0</x:v>
      </x:c>
      <x:c r="G1611" t="n">
        <x:v>0</x:v>
      </x:c>
      <x:c r="H1611" t="n">
        <x:f>ROUND(F1611*G1611/100,2)</x:f>
        <x:v>0</x:v>
      </x:c>
      <x:c r="I1611" t="n">
        <x:v>0</x:v>
      </x:c>
      <x:c r="J1611" t="n">
        <x:f>ROUND(F1611*I1611/100,2)</x:f>
        <x:v>0</x:v>
      </x:c>
      <x:c r="K1611" t="n">
        <x:v>0</x:v>
      </x:c>
      <x:c r="L1611" t="n">
        <x:f>ROUND(F1611*K1611/100,2)</x:f>
        <x:v>0</x:v>
      </x:c>
      <x:c r="M1611" t="n">
        <x:v>0</x:v>
      </x:c>
      <x:c r="N1611" t="n">
        <x:f>ROUND(F1611*M1611/100,2)</x:f>
        <x:v>0</x:v>
      </x:c>
      <x:c r="O1611" t="str"/>
    </x:row>
    <x:row r="1612" ht="23" customHeight="1">
      <x:c r="A1612" t="n">
        <x:v>269</x:v>
      </x:c>
      <x:c r="B1612" t="n">
        <x:v>135</x:v>
      </x:c>
      <x:c r="C1612" t="str">
        <x:v>午餐</x:v>
      </x:c>
      <x:c r="D1612" t="str">
        <x:v>蔬菜</x:v>
      </x:c>
      <x:c r="E1612" t="str">
        <x:v>彩椒</x:v>
      </x:c>
      <x:c r="F1612" t="n">
        <x:v>140</x:v>
      </x:c>
      <x:c r="G1612" t="n">
        <x:v>27</x:v>
      </x:c>
      <x:c r="H1612" t="n">
        <x:f>ROUND(F1612*G1612/100,2)</x:f>
        <x:v>37.8</x:v>
      </x:c>
      <x:c r="I1612" t="n">
        <x:v>1</x:v>
      </x:c>
      <x:c r="J1612" t="n">
        <x:f>ROUND(F1612*I1612/100,2)</x:f>
        <x:v>1.4</x:v>
      </x:c>
      <x:c r="K1612" t="n">
        <x:v>6.1</x:v>
      </x:c>
      <x:c r="L1612" t="n">
        <x:f>ROUND(F1612*K1612/100,2)</x:f>
        <x:v>8.54</x:v>
      </x:c>
      <x:c r="M1612" t="n">
        <x:v>0.2</x:v>
      </x:c>
      <x:c r="N1612" t="n">
        <x:f>ROUND(F1612*M1612/100,2)</x:f>
        <x:v>0.28</x:v>
      </x:c>
      <x:c r="O1612" t="str">
        <x:v>生重</x:v>
      </x:c>
    </x:row>
    <x:row r="1613" ht="23" customHeight="1">
      <x:c r="A1613" t="n">
        <x:v>269</x:v>
      </x:c>
      <x:c r="B1613" t="n">
        <x:v>135</x:v>
      </x:c>
      <x:c r="C1613" t="str">
        <x:v>午餐</x:v>
      </x:c>
      <x:c r="D1613" t="str">
        <x:v>蔬菜</x:v>
      </x:c>
      <x:c r="E1613" t="str">
        <x:v>黄瓜</x:v>
      </x:c>
      <x:c r="F1613" t="n">
        <x:v>140</x:v>
      </x:c>
      <x:c r="G1613" t="n">
        <x:v>16</x:v>
      </x:c>
      <x:c r="H1613" t="n">
        <x:f>ROUND(F1613*G1613/100,2)</x:f>
        <x:v>22.4</x:v>
      </x:c>
      <x:c r="I1613" t="n">
        <x:v>0.7</x:v>
      </x:c>
      <x:c r="J1613" t="n">
        <x:f>ROUND(F1613*I1613/100,2)</x:f>
        <x:v>0.98</x:v>
      </x:c>
      <x:c r="K1613" t="n">
        <x:v>3.6</x:v>
      </x:c>
      <x:c r="L1613" t="n">
        <x:f>ROUND(F1613*K1613/100,2)</x:f>
        <x:v>5.04</x:v>
      </x:c>
      <x:c r="M1613" t="n">
        <x:v>0.1</x:v>
      </x:c>
      <x:c r="N1613" t="n">
        <x:f>ROUND(F1613*M1613/100,2)</x:f>
        <x:v>0.14</x:v>
      </x:c>
      <x:c r="O1613" t="str">
        <x:v>生重</x:v>
      </x:c>
    </x:row>
    <x:row r="1614" ht="23" customHeight="1">
      <x:c r="A1614" t="n">
        <x:v>269</x:v>
      </x:c>
      <x:c r="B1614" t="n">
        <x:v>135</x:v>
      </x:c>
      <x:c r="C1614" t="str">
        <x:v>午餐</x:v>
      </x:c>
      <x:c r="D1614" t="str">
        <x:v>主食</x:v>
      </x:c>
      <x:c r="E1614" t="str">
        <x:v>乌冬面</x:v>
      </x:c>
      <x:c r="F1614" t="n">
        <x:v>150</x:v>
      </x:c>
      <x:c r="G1614" t="n">
        <x:v>120</x:v>
      </x:c>
      <x:c r="H1614" t="n">
        <x:f>ROUND(F1614*G1614/100,2)</x:f>
        <x:v>180</x:v>
      </x:c>
      <x:c r="I1614" t="n">
        <x:v>2.5</x:v>
      </x:c>
      <x:c r="J1614" t="n">
        <x:f>ROUND(F1614*I1614/100,2)</x:f>
        <x:v>3.75</x:v>
      </x:c>
      <x:c r="K1614" t="n">
        <x:v>25</x:v>
      </x:c>
      <x:c r="L1614" t="n">
        <x:f>ROUND(F1614*K1614/100,2)</x:f>
        <x:v>37.5</x:v>
      </x:c>
      <x:c r="M1614" t="n">
        <x:v>0.6</x:v>
      </x:c>
      <x:c r="N1614" t="n">
        <x:f>ROUND(F1614*M1614/100,2)</x:f>
        <x:v>0.9</x:v>
      </x:c>
      <x:c r="O1614" t="str">
        <x:v>煮熟沥水重</x:v>
      </x:c>
    </x:row>
    <x:row r="1615" ht="23" customHeight="1">
      <x:c r="A1615" t="n">
        <x:v>269</x:v>
      </x:c>
      <x:c r="B1615" t="n">
        <x:v>135</x:v>
      </x:c>
      <x:c r="C1615" t="str">
        <x:v>午餐</x:v>
      </x:c>
      <x:c r="D1615" t="str">
        <x:v>油脂</x:v>
      </x:c>
      <x:c r="E1615" t="str">
        <x:v>烹调油</x:v>
      </x:c>
      <x:c r="F1615" t="n">
        <x:v>5</x:v>
      </x:c>
      <x:c r="G1615" t="n">
        <x:v>900</x:v>
      </x:c>
      <x:c r="H1615" t="n">
        <x:f>ROUND(F1615*G1615/100,2)</x:f>
        <x:v>45</x:v>
      </x:c>
      <x:c r="I1615" t="n">
        <x:v>0</x:v>
      </x:c>
      <x:c r="J1615" t="n">
        <x:f>ROUND(F1615*I1615/100,2)</x:f>
        <x:v>0</x:v>
      </x:c>
      <x:c r="K1615" t="n">
        <x:v>0</x:v>
      </x:c>
      <x:c r="L1615" t="n">
        <x:f>ROUND(F1615*K1615/100,2)</x:f>
        <x:v>0</x:v>
      </x:c>
      <x:c r="M1615" t="n">
        <x:v>100</x:v>
      </x:c>
      <x:c r="N1615" t="n">
        <x:f>ROUND(F1615*M1615/100,2)</x:f>
        <x:v>5</x:v>
      </x:c>
      <x:c r="O1615" t="str">
        <x:v>实际用油重</x:v>
      </x:c>
    </x:row>
    <x:row r="1616" ht="23" customHeight="1">
      <x:c r="A1616" t="n">
        <x:v>270</x:v>
      </x:c>
      <x:c r="B1616" t="n">
        <x:v>135</x:v>
      </x:c>
      <x:c r="C1616" t="str">
        <x:v>晚餐</x:v>
      </x:c>
      <x:c r="D1616" t="str">
        <x:v>猪肉</x:v>
      </x:c>
      <x:c r="E1616" t="str">
        <x:v>猪里脊</x:v>
      </x:c>
      <x:c r="F1616" t="n">
        <x:v>180</x:v>
      </x:c>
      <x:c r="G1616" t="n">
        <x:v>120</x:v>
      </x:c>
      <x:c r="H1616" t="n">
        <x:f>ROUND(F1616*G1616/100,2)</x:f>
        <x:v>216</x:v>
      </x:c>
      <x:c r="I1616" t="n">
        <x:v>21</x:v>
      </x:c>
      <x:c r="J1616" t="n">
        <x:f>ROUND(F1616*I1616/100,2)</x:f>
        <x:v>37.8</x:v>
      </x:c>
      <x:c r="K1616" t="n">
        <x:v>0</x:v>
      </x:c>
      <x:c r="L1616" t="n">
        <x:f>ROUND(F1616*K1616/100,2)</x:f>
        <x:v>0</x:v>
      </x:c>
      <x:c r="M1616" t="n">
        <x:v>3.5</x:v>
      </x:c>
      <x:c r="N1616" t="n">
        <x:f>ROUND(F1616*M1616/100,2)</x:f>
        <x:v>6.3</x:v>
      </x:c>
      <x:c r="O1616" t="str">
        <x:v>生重</x:v>
      </x:c>
    </x:row>
    <x:row r="1617" ht="23" customHeight="1">
      <x:c r="A1617" t="n">
        <x:v>270</x:v>
      </x:c>
      <x:c r="B1617" t="n">
        <x:v>135</x:v>
      </x:c>
      <x:c r="C1617" t="str">
        <x:v>晚餐</x:v>
      </x:c>
      <x:c r="D1617" t="str"/>
      <x:c r="E1617" t="str"/>
      <x:c r="F1617" t="n">
        <x:v>0</x:v>
      </x:c>
      <x:c r="G1617" t="n">
        <x:v>0</x:v>
      </x:c>
      <x:c r="H1617" t="n">
        <x:f>ROUND(F1617*G1617/100,2)</x:f>
        <x:v>0</x:v>
      </x:c>
      <x:c r="I1617" t="n">
        <x:v>0</x:v>
      </x:c>
      <x:c r="J1617" t="n">
        <x:f>ROUND(F1617*I1617/100,2)</x:f>
        <x:v>0</x:v>
      </x:c>
      <x:c r="K1617" t="n">
        <x:v>0</x:v>
      </x:c>
      <x:c r="L1617" t="n">
        <x:f>ROUND(F1617*K1617/100,2)</x:f>
        <x:v>0</x:v>
      </x:c>
      <x:c r="M1617" t="n">
        <x:v>0</x:v>
      </x:c>
      <x:c r="N1617" t="n">
        <x:f>ROUND(F1617*M1617/100,2)</x:f>
        <x:v>0</x:v>
      </x:c>
      <x:c r="O1617" t="str"/>
    </x:row>
    <x:row r="1618" ht="23" customHeight="1">
      <x:c r="A1618" t="n">
        <x:v>270</x:v>
      </x:c>
      <x:c r="B1618" t="n">
        <x:v>135</x:v>
      </x:c>
      <x:c r="C1618" t="str">
        <x:v>晚餐</x:v>
      </x:c>
      <x:c r="D1618" t="str">
        <x:v>蔬菜</x:v>
      </x:c>
      <x:c r="E1618" t="str">
        <x:v>莴笋</x:v>
      </x:c>
      <x:c r="F1618" t="n">
        <x:v>160</x:v>
      </x:c>
      <x:c r="G1618" t="n">
        <x:v>15</x:v>
      </x:c>
      <x:c r="H1618" t="n">
        <x:f>ROUND(F1618*G1618/100,2)</x:f>
        <x:v>24</x:v>
      </x:c>
      <x:c r="I1618" t="n">
        <x:v>1</x:v>
      </x:c>
      <x:c r="J1618" t="n">
        <x:f>ROUND(F1618*I1618/100,2)</x:f>
        <x:v>1.6</x:v>
      </x:c>
      <x:c r="K1618" t="n">
        <x:v>2.8</x:v>
      </x:c>
      <x:c r="L1618" t="n">
        <x:f>ROUND(F1618*K1618/100,2)</x:f>
        <x:v>4.48</x:v>
      </x:c>
      <x:c r="M1618" t="n">
        <x:v>0.1</x:v>
      </x:c>
      <x:c r="N1618" t="n">
        <x:f>ROUND(F1618*M1618/100,2)</x:f>
        <x:v>0.16</x:v>
      </x:c>
      <x:c r="O1618" t="str">
        <x:v>生重</x:v>
      </x:c>
    </x:row>
    <x:row r="1619" ht="23" customHeight="1">
      <x:c r="A1619" t="n">
        <x:v>270</x:v>
      </x:c>
      <x:c r="B1619" t="n">
        <x:v>135</x:v>
      </x:c>
      <x:c r="C1619" t="str">
        <x:v>晚餐</x:v>
      </x:c>
      <x:c r="D1619" t="str">
        <x:v>蔬菜</x:v>
      </x:c>
      <x:c r="E1619" t="str">
        <x:v>黄瓜</x:v>
      </x:c>
      <x:c r="F1619" t="n">
        <x:v>140</x:v>
      </x:c>
      <x:c r="G1619" t="n">
        <x:v>16</x:v>
      </x:c>
      <x:c r="H1619" t="n">
        <x:f>ROUND(F1619*G1619/100,2)</x:f>
        <x:v>22.4</x:v>
      </x:c>
      <x:c r="I1619" t="n">
        <x:v>0.7</x:v>
      </x:c>
      <x:c r="J1619" t="n">
        <x:f>ROUND(F1619*I1619/100,2)</x:f>
        <x:v>0.98</x:v>
      </x:c>
      <x:c r="K1619" t="n">
        <x:v>3.6</x:v>
      </x:c>
      <x:c r="L1619" t="n">
        <x:f>ROUND(F1619*K1619/100,2)</x:f>
        <x:v>5.04</x:v>
      </x:c>
      <x:c r="M1619" t="n">
        <x:v>0.1</x:v>
      </x:c>
      <x:c r="N1619" t="n">
        <x:f>ROUND(F1619*M1619/100,2)</x:f>
        <x:v>0.14</x:v>
      </x:c>
      <x:c r="O1619" t="str">
        <x:v>生重</x:v>
      </x:c>
    </x:row>
    <x:row r="1620" ht="23" customHeight="1">
      <x:c r="A1620" t="n">
        <x:v>270</x:v>
      </x:c>
      <x:c r="B1620" t="n">
        <x:v>135</x:v>
      </x:c>
      <x:c r="C1620" t="str">
        <x:v>晚餐</x:v>
      </x:c>
      <x:c r="D1620" t="str">
        <x:v>主食</x:v>
      </x:c>
      <x:c r="E1620" t="str">
        <x:v>米粉</x:v>
      </x:c>
      <x:c r="F1620" t="n">
        <x:v>135</x:v>
      </x:c>
      <x:c r="G1620" t="n">
        <x:v>110</x:v>
      </x:c>
      <x:c r="H1620" t="n">
        <x:f>ROUND(F1620*G1620/100,2)</x:f>
        <x:v>148.5</x:v>
      </x:c>
      <x:c r="I1620" t="n">
        <x:v>2</x:v>
      </x:c>
      <x:c r="J1620" t="n">
        <x:f>ROUND(F1620*I1620/100,2)</x:f>
        <x:v>2.7</x:v>
      </x:c>
      <x:c r="K1620" t="n">
        <x:v>24</x:v>
      </x:c>
      <x:c r="L1620" t="n">
        <x:f>ROUND(F1620*K1620/100,2)</x:f>
        <x:v>32.4</x:v>
      </x:c>
      <x:c r="M1620" t="n">
        <x:v>0.4</x:v>
      </x:c>
      <x:c r="N1620" t="n">
        <x:f>ROUND(F1620*M1620/100,2)</x:f>
        <x:v>0.54</x:v>
      </x:c>
      <x:c r="O1620" t="str">
        <x:v>煮熟沥水重</x:v>
      </x:c>
    </x:row>
    <x:row r="1621" ht="23" customHeight="1">
      <x:c r="A1621" t="n">
        <x:v>270</x:v>
      </x:c>
      <x:c r="B1621" t="n">
        <x:v>135</x:v>
      </x:c>
      <x:c r="C1621" t="str">
        <x:v>晚餐</x:v>
      </x:c>
      <x:c r="D1621" t="str">
        <x:v>油脂</x:v>
      </x:c>
      <x:c r="E1621" t="str">
        <x:v>烹调油</x:v>
      </x:c>
      <x:c r="F1621" t="n">
        <x:v>5</x:v>
      </x:c>
      <x:c r="G1621" t="n">
        <x:v>900</x:v>
      </x:c>
      <x:c r="H1621" t="n">
        <x:f>ROUND(F1621*G1621/100,2)</x:f>
        <x:v>45</x:v>
      </x:c>
      <x:c r="I1621" t="n">
        <x:v>0</x:v>
      </x:c>
      <x:c r="J1621" t="n">
        <x:f>ROUND(F1621*I1621/100,2)</x:f>
        <x:v>0</x:v>
      </x:c>
      <x:c r="K1621" t="n">
        <x:v>0</x:v>
      </x:c>
      <x:c r="L1621" t="n">
        <x:f>ROUND(F1621*K1621/100,2)</x:f>
        <x:v>0</x:v>
      </x:c>
      <x:c r="M1621" t="n">
        <x:v>100</x:v>
      </x:c>
      <x:c r="N1621" t="n">
        <x:f>ROUND(F1621*M1621/100,2)</x:f>
        <x:v>5</x:v>
      </x:c>
      <x:c r="O1621" t="str">
        <x:v>实际用油重</x:v>
      </x:c>
    </x:row>
    <x:row r="1622" ht="23" customHeight="1">
      <x:c r="A1622" t="n">
        <x:v>271</x:v>
      </x:c>
      <x:c r="B1622" t="n">
        <x:v>136</x:v>
      </x:c>
      <x:c r="C1622" t="str">
        <x:v>午餐</x:v>
      </x:c>
      <x:c r="D1622" t="str">
        <x:v>猪肉</x:v>
      </x:c>
      <x:c r="E1622" t="str">
        <x:v>猪里脊</x:v>
      </x:c>
      <x:c r="F1622" t="n">
        <x:v>155</x:v>
      </x:c>
      <x:c r="G1622" t="n">
        <x:v>120</x:v>
      </x:c>
      <x:c r="H1622" t="n">
        <x:f>ROUND(F1622*G1622/100,2)</x:f>
        <x:v>186</x:v>
      </x:c>
      <x:c r="I1622" t="n">
        <x:v>21</x:v>
      </x:c>
      <x:c r="J1622" t="n">
        <x:f>ROUND(F1622*I1622/100,2)</x:f>
        <x:v>32.55</x:v>
      </x:c>
      <x:c r="K1622" t="n">
        <x:v>0</x:v>
      </x:c>
      <x:c r="L1622" t="n">
        <x:f>ROUND(F1622*K1622/100,2)</x:f>
        <x:v>0</x:v>
      </x:c>
      <x:c r="M1622" t="n">
        <x:v>3.5</x:v>
      </x:c>
      <x:c r="N1622" t="n">
        <x:f>ROUND(F1622*M1622/100,2)</x:f>
        <x:v>5.43</x:v>
      </x:c>
      <x:c r="O1622" t="str">
        <x:v>生重</x:v>
      </x:c>
    </x:row>
    <x:row r="1623" ht="23" customHeight="1">
      <x:c r="A1623" t="n">
        <x:v>271</x:v>
      </x:c>
      <x:c r="B1623" t="n">
        <x:v>136</x:v>
      </x:c>
      <x:c r="C1623" t="str">
        <x:v>午餐</x:v>
      </x:c>
      <x:c r="D1623" t="str"/>
      <x:c r="E1623" t="str"/>
      <x:c r="F1623" t="n">
        <x:v>0</x:v>
      </x:c>
      <x:c r="G1623" t="n">
        <x:v>0</x:v>
      </x:c>
      <x:c r="H1623" t="n">
        <x:f>ROUND(F1623*G1623/100,2)</x:f>
        <x:v>0</x:v>
      </x:c>
      <x:c r="I1623" t="n">
        <x:v>0</x:v>
      </x:c>
      <x:c r="J1623" t="n">
        <x:f>ROUND(F1623*I1623/100,2)</x:f>
        <x:v>0</x:v>
      </x:c>
      <x:c r="K1623" t="n">
        <x:v>0</x:v>
      </x:c>
      <x:c r="L1623" t="n">
        <x:f>ROUND(F1623*K1623/100,2)</x:f>
        <x:v>0</x:v>
      </x:c>
      <x:c r="M1623" t="n">
        <x:v>0</x:v>
      </x:c>
      <x:c r="N1623" t="n">
        <x:f>ROUND(F1623*M1623/100,2)</x:f>
        <x:v>0</x:v>
      </x:c>
      <x:c r="O1623" t="str"/>
    </x:row>
    <x:row r="1624" ht="23" customHeight="1">
      <x:c r="A1624" t="n">
        <x:v>271</x:v>
      </x:c>
      <x:c r="B1624" t="n">
        <x:v>136</x:v>
      </x:c>
      <x:c r="C1624" t="str">
        <x:v>午餐</x:v>
      </x:c>
      <x:c r="D1624" t="str">
        <x:v>蔬菜</x:v>
      </x:c>
      <x:c r="E1624" t="str">
        <x:v>番茄</x:v>
      </x:c>
      <x:c r="F1624" t="n">
        <x:v>175</x:v>
      </x:c>
      <x:c r="G1624" t="n">
        <x:v>20</x:v>
      </x:c>
      <x:c r="H1624" t="n">
        <x:f>ROUND(F1624*G1624/100,2)</x:f>
        <x:v>35</x:v>
      </x:c>
      <x:c r="I1624" t="n">
        <x:v>0.9</x:v>
      </x:c>
      <x:c r="J1624" t="n">
        <x:f>ROUND(F1624*I1624/100,2)</x:f>
        <x:v>1.58</x:v>
      </x:c>
      <x:c r="K1624" t="n">
        <x:v>4</x:v>
      </x:c>
      <x:c r="L1624" t="n">
        <x:f>ROUND(F1624*K1624/100,2)</x:f>
        <x:v>7</x:v>
      </x:c>
      <x:c r="M1624" t="n">
        <x:v>0.2</x:v>
      </x:c>
      <x:c r="N1624" t="n">
        <x:f>ROUND(F1624*M1624/100,2)</x:f>
        <x:v>0.35</x:v>
      </x:c>
      <x:c r="O1624" t="str">
        <x:v>生重</x:v>
      </x:c>
    </x:row>
    <x:row r="1625" ht="23" customHeight="1">
      <x:c r="A1625" t="n">
        <x:v>271</x:v>
      </x:c>
      <x:c r="B1625" t="n">
        <x:v>136</x:v>
      </x:c>
      <x:c r="C1625" t="str">
        <x:v>午餐</x:v>
      </x:c>
      <x:c r="D1625" t="str">
        <x:v>蔬菜</x:v>
      </x:c>
      <x:c r="E1625" t="str">
        <x:v>冬瓜</x:v>
      </x:c>
      <x:c r="F1625" t="n">
        <x:v>155</x:v>
      </x:c>
      <x:c r="G1625" t="n">
        <x:v>13</x:v>
      </x:c>
      <x:c r="H1625" t="n">
        <x:f>ROUND(F1625*G1625/100,2)</x:f>
        <x:v>20.15</x:v>
      </x:c>
      <x:c r="I1625" t="n">
        <x:v>0.4</x:v>
      </x:c>
      <x:c r="J1625" t="n">
        <x:f>ROUND(F1625*I1625/100,2)</x:f>
        <x:v>0.62</x:v>
      </x:c>
      <x:c r="K1625" t="n">
        <x:v>3</x:v>
      </x:c>
      <x:c r="L1625" t="n">
        <x:f>ROUND(F1625*K1625/100,2)</x:f>
        <x:v>4.65</x:v>
      </x:c>
      <x:c r="M1625" t="n">
        <x:v>0.2</x:v>
      </x:c>
      <x:c r="N1625" t="n">
        <x:f>ROUND(F1625*M1625/100,2)</x:f>
        <x:v>0.31</x:v>
      </x:c>
      <x:c r="O1625" t="str">
        <x:v>生重</x:v>
      </x:c>
    </x:row>
    <x:row r="1626" ht="23" customHeight="1">
      <x:c r="A1626" t="n">
        <x:v>271</x:v>
      </x:c>
      <x:c r="B1626" t="n">
        <x:v>136</x:v>
      </x:c>
      <x:c r="C1626" t="str">
        <x:v>午餐</x:v>
      </x:c>
      <x:c r="D1626" t="str">
        <x:v>主食</x:v>
      </x:c>
      <x:c r="E1626" t="str">
        <x:v>白米饭</x:v>
      </x:c>
      <x:c r="F1626" t="n">
        <x:v>150</x:v>
      </x:c>
      <x:c r="G1626" t="n">
        <x:v>116</x:v>
      </x:c>
      <x:c r="H1626" t="n">
        <x:f>ROUND(F1626*G1626/100,2)</x:f>
        <x:v>174</x:v>
      </x:c>
      <x:c r="I1626" t="n">
        <x:v>2.6</x:v>
      </x:c>
      <x:c r="J1626" t="n">
        <x:f>ROUND(F1626*I1626/100,2)</x:f>
        <x:v>3.9</x:v>
      </x:c>
      <x:c r="K1626" t="n">
        <x:v>25.6</x:v>
      </x:c>
      <x:c r="L1626" t="n">
        <x:f>ROUND(F1626*K1626/100,2)</x:f>
        <x:v>38.4</x:v>
      </x:c>
      <x:c r="M1626" t="n">
        <x:v>0.3</x:v>
      </x:c>
      <x:c r="N1626" t="n">
        <x:f>ROUND(F1626*M1626/100,2)</x:f>
        <x:v>0.45</x:v>
      </x:c>
      <x:c r="O1626" t="str">
        <x:v>熟重</x:v>
      </x:c>
    </x:row>
    <x:row r="1627" ht="23" customHeight="1">
      <x:c r="A1627" t="n">
        <x:v>271</x:v>
      </x:c>
      <x:c r="B1627" t="n">
        <x:v>136</x:v>
      </x:c>
      <x:c r="C1627" t="str">
        <x:v>午餐</x:v>
      </x:c>
      <x:c r="D1627" t="str">
        <x:v>油脂</x:v>
      </x:c>
      <x:c r="E1627" t="str">
        <x:v>烹调油</x:v>
      </x:c>
      <x:c r="F1627" t="n">
        <x:v>4</x:v>
      </x:c>
      <x:c r="G1627" t="n">
        <x:v>900</x:v>
      </x:c>
      <x:c r="H1627" t="n">
        <x:f>ROUND(F1627*G1627/100,2)</x:f>
        <x:v>36</x:v>
      </x:c>
      <x:c r="I1627" t="n">
        <x:v>0</x:v>
      </x:c>
      <x:c r="J1627" t="n">
        <x:f>ROUND(F1627*I1627/100,2)</x:f>
        <x:v>0</x:v>
      </x:c>
      <x:c r="K1627" t="n">
        <x:v>0</x:v>
      </x:c>
      <x:c r="L1627" t="n">
        <x:f>ROUND(F1627*K1627/100,2)</x:f>
        <x:v>0</x:v>
      </x:c>
      <x:c r="M1627" t="n">
        <x:v>100</x:v>
      </x:c>
      <x:c r="N1627" t="n">
        <x:f>ROUND(F1627*M1627/100,2)</x:f>
        <x:v>4</x:v>
      </x:c>
      <x:c r="O1627" t="str">
        <x:v>实际用油重</x:v>
      </x:c>
    </x:row>
    <x:row r="1628" ht="23" customHeight="1">
      <x:c r="A1628" t="n">
        <x:v>272</x:v>
      </x:c>
      <x:c r="B1628" t="n">
        <x:v>136</x:v>
      </x:c>
      <x:c r="C1628" t="str">
        <x:v>晚餐</x:v>
      </x:c>
      <x:c r="D1628" t="str">
        <x:v>牛肉</x:v>
      </x:c>
      <x:c r="E1628" t="str">
        <x:v>瘦牛肉</x:v>
      </x:c>
      <x:c r="F1628" t="n">
        <x:v>180</x:v>
      </x:c>
      <x:c r="G1628" t="n">
        <x:v>125</x:v>
      </x:c>
      <x:c r="H1628" t="n">
        <x:f>ROUND(F1628*G1628/100,2)</x:f>
        <x:v>225</x:v>
      </x:c>
      <x:c r="I1628" t="n">
        <x:v>21</x:v>
      </x:c>
      <x:c r="J1628" t="n">
        <x:f>ROUND(F1628*I1628/100,2)</x:f>
        <x:v>37.8</x:v>
      </x:c>
      <x:c r="K1628" t="n">
        <x:v>0</x:v>
      </x:c>
      <x:c r="L1628" t="n">
        <x:f>ROUND(F1628*K1628/100,2)</x:f>
        <x:v>0</x:v>
      </x:c>
      <x:c r="M1628" t="n">
        <x:v>4</x:v>
      </x:c>
      <x:c r="N1628" t="n">
        <x:f>ROUND(F1628*M1628/100,2)</x:f>
        <x:v>7.2</x:v>
      </x:c>
      <x:c r="O1628" t="str">
        <x:v>生重</x:v>
      </x:c>
    </x:row>
    <x:row r="1629" ht="23" customHeight="1">
      <x:c r="A1629" t="n">
        <x:v>272</x:v>
      </x:c>
      <x:c r="B1629" t="n">
        <x:v>136</x:v>
      </x:c>
      <x:c r="C1629" t="str">
        <x:v>晚餐</x:v>
      </x:c>
      <x:c r="D1629" t="str"/>
      <x:c r="E1629" t="str"/>
      <x:c r="F1629" t="n">
        <x:v>0</x:v>
      </x:c>
      <x:c r="G1629" t="n">
        <x:v>0</x:v>
      </x:c>
      <x:c r="H1629" t="n">
        <x:f>ROUND(F1629*G1629/100,2)</x:f>
        <x:v>0</x:v>
      </x:c>
      <x:c r="I1629" t="n">
        <x:v>0</x:v>
      </x:c>
      <x:c r="J1629" t="n">
        <x:f>ROUND(F1629*I1629/100,2)</x:f>
        <x:v>0</x:v>
      </x:c>
      <x:c r="K1629" t="n">
        <x:v>0</x:v>
      </x:c>
      <x:c r="L1629" t="n">
        <x:f>ROUND(F1629*K1629/100,2)</x:f>
        <x:v>0</x:v>
      </x:c>
      <x:c r="M1629" t="n">
        <x:v>0</x:v>
      </x:c>
      <x:c r="N1629" t="n">
        <x:f>ROUND(F1629*M1629/100,2)</x:f>
        <x:v>0</x:v>
      </x:c>
      <x:c r="O1629" t="str"/>
    </x:row>
    <x:row r="1630" ht="23" customHeight="1">
      <x:c r="A1630" t="n">
        <x:v>272</x:v>
      </x:c>
      <x:c r="B1630" t="n">
        <x:v>136</x:v>
      </x:c>
      <x:c r="C1630" t="str">
        <x:v>晚餐</x:v>
      </x:c>
      <x:c r="D1630" t="str">
        <x:v>蔬菜</x:v>
      </x:c>
      <x:c r="E1630" t="str">
        <x:v>花菜</x:v>
      </x:c>
      <x:c r="F1630" t="n">
        <x:v>160</x:v>
      </x:c>
      <x:c r="G1630" t="n">
        <x:v>25</x:v>
      </x:c>
      <x:c r="H1630" t="n">
        <x:f>ROUND(F1630*G1630/100,2)</x:f>
        <x:v>40</x:v>
      </x:c>
      <x:c r="I1630" t="n">
        <x:v>2</x:v>
      </x:c>
      <x:c r="J1630" t="n">
        <x:f>ROUND(F1630*I1630/100,2)</x:f>
        <x:v>3.2</x:v>
      </x:c>
      <x:c r="K1630" t="n">
        <x:v>5</x:v>
      </x:c>
      <x:c r="L1630" t="n">
        <x:f>ROUND(F1630*K1630/100,2)</x:f>
        <x:v>8</x:v>
      </x:c>
      <x:c r="M1630" t="n">
        <x:v>0.3</x:v>
      </x:c>
      <x:c r="N1630" t="n">
        <x:f>ROUND(F1630*M1630/100,2)</x:f>
        <x:v>0.48</x:v>
      </x:c>
      <x:c r="O1630" t="str">
        <x:v>生重</x:v>
      </x:c>
    </x:row>
    <x:row r="1631" ht="23" customHeight="1">
      <x:c r="A1631" t="n">
        <x:v>272</x:v>
      </x:c>
      <x:c r="B1631" t="n">
        <x:v>136</x:v>
      </x:c>
      <x:c r="C1631" t="str">
        <x:v>晚餐</x:v>
      </x:c>
      <x:c r="D1631" t="str">
        <x:v>蔬菜</x:v>
      </x:c>
      <x:c r="E1631" t="str">
        <x:v>白萝卜</x:v>
      </x:c>
      <x:c r="F1631" t="n">
        <x:v>110</x:v>
      </x:c>
      <x:c r="G1631" t="n">
        <x:v>18</x:v>
      </x:c>
      <x:c r="H1631" t="n">
        <x:f>ROUND(F1631*G1631/100,2)</x:f>
        <x:v>19.8</x:v>
      </x:c>
      <x:c r="I1631" t="n">
        <x:v>0.6</x:v>
      </x:c>
      <x:c r="J1631" t="n">
        <x:f>ROUND(F1631*I1631/100,2)</x:f>
        <x:v>0.66</x:v>
      </x:c>
      <x:c r="K1631" t="n">
        <x:v>4</x:v>
      </x:c>
      <x:c r="L1631" t="n">
        <x:f>ROUND(F1631*K1631/100,2)</x:f>
        <x:v>4.4</x:v>
      </x:c>
      <x:c r="M1631" t="n">
        <x:v>0.1</x:v>
      </x:c>
      <x:c r="N1631" t="n">
        <x:f>ROUND(F1631*M1631/100,2)</x:f>
        <x:v>0.11</x:v>
      </x:c>
      <x:c r="O1631" t="str">
        <x:v>生重</x:v>
      </x:c>
    </x:row>
    <x:row r="1632" ht="23" customHeight="1">
      <x:c r="A1632" t="n">
        <x:v>272</x:v>
      </x:c>
      <x:c r="B1632" t="n">
        <x:v>136</x:v>
      </x:c>
      <x:c r="C1632" t="str">
        <x:v>晚餐</x:v>
      </x:c>
      <x:c r="D1632" t="str">
        <x:v>主食</x:v>
      </x:c>
      <x:c r="E1632" t="str">
        <x:v>杂粮饭</x:v>
      </x:c>
      <x:c r="F1632" t="n">
        <x:v>80</x:v>
      </x:c>
      <x:c r="G1632" t="n">
        <x:v>115</x:v>
      </x:c>
      <x:c r="H1632" t="n">
        <x:f>ROUND(F1632*G1632/100,2)</x:f>
        <x:v>92</x:v>
      </x:c>
      <x:c r="I1632" t="n">
        <x:v>3.1</x:v>
      </x:c>
      <x:c r="J1632" t="n">
        <x:f>ROUND(F1632*I1632/100,2)</x:f>
        <x:v>2.48</x:v>
      </x:c>
      <x:c r="K1632" t="n">
        <x:v>23.5</x:v>
      </x:c>
      <x:c r="L1632" t="n">
        <x:f>ROUND(F1632*K1632/100,2)</x:f>
        <x:v>18.8</x:v>
      </x:c>
      <x:c r="M1632" t="n">
        <x:v>1.1</x:v>
      </x:c>
      <x:c r="N1632" t="n">
        <x:f>ROUND(F1632*M1632/100,2)</x:f>
        <x:v>0.88</x:v>
      </x:c>
      <x:c r="O1632" t="str">
        <x:v>熟重</x:v>
      </x:c>
    </x:row>
    <x:row r="1633" ht="23" customHeight="1">
      <x:c r="A1633" t="n">
        <x:v>272</x:v>
      </x:c>
      <x:c r="B1633" t="n">
        <x:v>136</x:v>
      </x:c>
      <x:c r="C1633" t="str">
        <x:v>晚餐</x:v>
      </x:c>
      <x:c r="D1633" t="str">
        <x:v>油脂</x:v>
      </x:c>
      <x:c r="E1633" t="str">
        <x:v>烹调油</x:v>
      </x:c>
      <x:c r="F1633" t="n">
        <x:v>5</x:v>
      </x:c>
      <x:c r="G1633" t="n">
        <x:v>900</x:v>
      </x:c>
      <x:c r="H1633" t="n">
        <x:f>ROUND(F1633*G1633/100,2)</x:f>
        <x:v>45</x:v>
      </x:c>
      <x:c r="I1633" t="n">
        <x:v>0</x:v>
      </x:c>
      <x:c r="J1633" t="n">
        <x:f>ROUND(F1633*I1633/100,2)</x:f>
        <x:v>0</x:v>
      </x:c>
      <x:c r="K1633" t="n">
        <x:v>0</x:v>
      </x:c>
      <x:c r="L1633" t="n">
        <x:f>ROUND(F1633*K1633/100,2)</x:f>
        <x:v>0</x:v>
      </x:c>
      <x:c r="M1633" t="n">
        <x:v>100</x:v>
      </x:c>
      <x:c r="N1633" t="n">
        <x:f>ROUND(F1633*M1633/100,2)</x:f>
        <x:v>5</x:v>
      </x:c>
      <x:c r="O1633" t="str">
        <x:v>实际用油重</x:v>
      </x:c>
    </x:row>
    <x:row r="1634" ht="23" customHeight="1">
      <x:c r="A1634" t="n">
        <x:v>273</x:v>
      </x:c>
      <x:c r="B1634" t="n">
        <x:v>137</x:v>
      </x:c>
      <x:c r="C1634" t="str">
        <x:v>午餐</x:v>
      </x:c>
      <x:c r="D1634" t="str">
        <x:v>禽肉</x:v>
      </x:c>
      <x:c r="E1634" t="str">
        <x:v>鸡胸肉</x:v>
      </x:c>
      <x:c r="F1634" t="n">
        <x:v>175</x:v>
      </x:c>
      <x:c r="G1634" t="n">
        <x:v>110</x:v>
      </x:c>
      <x:c r="H1634" t="n">
        <x:f>ROUND(F1634*G1634/100,2)</x:f>
        <x:v>192.5</x:v>
      </x:c>
      <x:c r="I1634" t="n">
        <x:v>23</x:v>
      </x:c>
      <x:c r="J1634" t="n">
        <x:f>ROUND(F1634*I1634/100,2)</x:f>
        <x:v>40.25</x:v>
      </x:c>
      <x:c r="K1634" t="n">
        <x:v>0</x:v>
      </x:c>
      <x:c r="L1634" t="n">
        <x:f>ROUND(F1634*K1634/100,2)</x:f>
        <x:v>0</x:v>
      </x:c>
      <x:c r="M1634" t="n">
        <x:v>2</x:v>
      </x:c>
      <x:c r="N1634" t="n">
        <x:f>ROUND(F1634*M1634/100,2)</x:f>
        <x:v>3.5</x:v>
      </x:c>
      <x:c r="O1634" t="str">
        <x:v>生重</x:v>
      </x:c>
    </x:row>
    <x:row r="1635" ht="23" customHeight="1">
      <x:c r="A1635" t="n">
        <x:v>273</x:v>
      </x:c>
      <x:c r="B1635" t="n">
        <x:v>137</x:v>
      </x:c>
      <x:c r="C1635" t="str">
        <x:v>午餐</x:v>
      </x:c>
      <x:c r="D1635" t="str"/>
      <x:c r="E1635" t="str"/>
      <x:c r="F1635" t="n">
        <x:v>0</x:v>
      </x:c>
      <x:c r="G1635" t="n">
        <x:v>0</x:v>
      </x:c>
      <x:c r="H1635" t="n">
        <x:f>ROUND(F1635*G1635/100,2)</x:f>
        <x:v>0</x:v>
      </x:c>
      <x:c r="I1635" t="n">
        <x:v>0</x:v>
      </x:c>
      <x:c r="J1635" t="n">
        <x:f>ROUND(F1635*I1635/100,2)</x:f>
        <x:v>0</x:v>
      </x:c>
      <x:c r="K1635" t="n">
        <x:v>0</x:v>
      </x:c>
      <x:c r="L1635" t="n">
        <x:f>ROUND(F1635*K1635/100,2)</x:f>
        <x:v>0</x:v>
      </x:c>
      <x:c r="M1635" t="n">
        <x:v>0</x:v>
      </x:c>
      <x:c r="N1635" t="n">
        <x:f>ROUND(F1635*M1635/100,2)</x:f>
        <x:v>0</x:v>
      </x:c>
      <x:c r="O1635" t="str"/>
    </x:row>
    <x:row r="1636" ht="23" customHeight="1">
      <x:c r="A1636" t="n">
        <x:v>273</x:v>
      </x:c>
      <x:c r="B1636" t="n">
        <x:v>137</x:v>
      </x:c>
      <x:c r="C1636" t="str">
        <x:v>午餐</x:v>
      </x:c>
      <x:c r="D1636" t="str">
        <x:v>蔬菜</x:v>
      </x:c>
      <x:c r="E1636" t="str">
        <x:v>娃娃菜</x:v>
      </x:c>
      <x:c r="F1636" t="n">
        <x:v>160</x:v>
      </x:c>
      <x:c r="G1636" t="n">
        <x:v>17</x:v>
      </x:c>
      <x:c r="H1636" t="n">
        <x:f>ROUND(F1636*G1636/100,2)</x:f>
        <x:v>27.2</x:v>
      </x:c>
      <x:c r="I1636" t="n">
        <x:v>1.3</x:v>
      </x:c>
      <x:c r="J1636" t="n">
        <x:f>ROUND(F1636*I1636/100,2)</x:f>
        <x:v>2.08</x:v>
      </x:c>
      <x:c r="K1636" t="n">
        <x:v>3</x:v>
      </x:c>
      <x:c r="L1636" t="n">
        <x:f>ROUND(F1636*K1636/100,2)</x:f>
        <x:v>4.8</x:v>
      </x:c>
      <x:c r="M1636" t="n">
        <x:v>0.2</x:v>
      </x:c>
      <x:c r="N1636" t="n">
        <x:f>ROUND(F1636*M1636/100,2)</x:f>
        <x:v>0.32</x:v>
      </x:c>
      <x:c r="O1636" t="str">
        <x:v>生重</x:v>
      </x:c>
    </x:row>
    <x:row r="1637" ht="23" customHeight="1">
      <x:c r="A1637" t="n">
        <x:v>273</x:v>
      </x:c>
      <x:c r="B1637" t="n">
        <x:v>137</x:v>
      </x:c>
      <x:c r="C1637" t="str">
        <x:v>午餐</x:v>
      </x:c>
      <x:c r="D1637" t="str">
        <x:v>蔬菜</x:v>
      </x:c>
      <x:c r="E1637" t="str">
        <x:v>荷兰豆</x:v>
      </x:c>
      <x:c r="F1637" t="n">
        <x:v>140</x:v>
      </x:c>
      <x:c r="G1637" t="n">
        <x:v>42</x:v>
      </x:c>
      <x:c r="H1637" t="n">
        <x:f>ROUND(F1637*G1637/100,2)</x:f>
        <x:v>58.8</x:v>
      </x:c>
      <x:c r="I1637" t="n">
        <x:v>2.8</x:v>
      </x:c>
      <x:c r="J1637" t="n">
        <x:f>ROUND(F1637*I1637/100,2)</x:f>
        <x:v>3.92</x:v>
      </x:c>
      <x:c r="K1637" t="n">
        <x:v>7.5</x:v>
      </x:c>
      <x:c r="L1637" t="n">
        <x:f>ROUND(F1637*K1637/100,2)</x:f>
        <x:v>10.5</x:v>
      </x:c>
      <x:c r="M1637" t="n">
        <x:v>0.3</x:v>
      </x:c>
      <x:c r="N1637" t="n">
        <x:f>ROUND(F1637*M1637/100,2)</x:f>
        <x:v>0.42</x:v>
      </x:c>
      <x:c r="O1637" t="str">
        <x:v>生重</x:v>
      </x:c>
    </x:row>
    <x:row r="1638" ht="23" customHeight="1">
      <x:c r="A1638" t="n">
        <x:v>273</x:v>
      </x:c>
      <x:c r="B1638" t="n">
        <x:v>137</x:v>
      </x:c>
      <x:c r="C1638" t="str">
        <x:v>午餐</x:v>
      </x:c>
      <x:c r="D1638" t="str">
        <x:v>主食</x:v>
      </x:c>
      <x:c r="E1638" t="str">
        <x:v>米粉</x:v>
      </x:c>
      <x:c r="F1638" t="n">
        <x:v>150</x:v>
      </x:c>
      <x:c r="G1638" t="n">
        <x:v>110</x:v>
      </x:c>
      <x:c r="H1638" t="n">
        <x:f>ROUND(F1638*G1638/100,2)</x:f>
        <x:v>165</x:v>
      </x:c>
      <x:c r="I1638" t="n">
        <x:v>2</x:v>
      </x:c>
      <x:c r="J1638" t="n">
        <x:f>ROUND(F1638*I1638/100,2)</x:f>
        <x:v>3</x:v>
      </x:c>
      <x:c r="K1638" t="n">
        <x:v>24</x:v>
      </x:c>
      <x:c r="L1638" t="n">
        <x:f>ROUND(F1638*K1638/100,2)</x:f>
        <x:v>36</x:v>
      </x:c>
      <x:c r="M1638" t="n">
        <x:v>0.4</x:v>
      </x:c>
      <x:c r="N1638" t="n">
        <x:f>ROUND(F1638*M1638/100,2)</x:f>
        <x:v>0.6</x:v>
      </x:c>
      <x:c r="O1638" t="str">
        <x:v>煮熟沥水重</x:v>
      </x:c>
    </x:row>
    <x:row r="1639" ht="23" customHeight="1">
      <x:c r="A1639" t="n">
        <x:v>273</x:v>
      </x:c>
      <x:c r="B1639" t="n">
        <x:v>137</x:v>
      </x:c>
      <x:c r="C1639" t="str">
        <x:v>午餐</x:v>
      </x:c>
      <x:c r="D1639" t="str">
        <x:v>油脂</x:v>
      </x:c>
      <x:c r="E1639" t="str">
        <x:v>烹调油</x:v>
      </x:c>
      <x:c r="F1639" t="n">
        <x:v>6</x:v>
      </x:c>
      <x:c r="G1639" t="n">
        <x:v>900</x:v>
      </x:c>
      <x:c r="H1639" t="n">
        <x:f>ROUND(F1639*G1639/100,2)</x:f>
        <x:v>54</x:v>
      </x:c>
      <x:c r="I1639" t="n">
        <x:v>0</x:v>
      </x:c>
      <x:c r="J1639" t="n">
        <x:f>ROUND(F1639*I1639/100,2)</x:f>
        <x:v>0</x:v>
      </x:c>
      <x:c r="K1639" t="n">
        <x:v>0</x:v>
      </x:c>
      <x:c r="L1639" t="n">
        <x:f>ROUND(F1639*K1639/100,2)</x:f>
        <x:v>0</x:v>
      </x:c>
      <x:c r="M1639" t="n">
        <x:v>100</x:v>
      </x:c>
      <x:c r="N1639" t="n">
        <x:f>ROUND(F1639*M1639/100,2)</x:f>
        <x:v>6</x:v>
      </x:c>
      <x:c r="O1639" t="str">
        <x:v>实际用油重</x:v>
      </x:c>
    </x:row>
    <x:row r="1640" ht="23" customHeight="1">
      <x:c r="A1640" t="n">
        <x:v>274</x:v>
      </x:c>
      <x:c r="B1640" t="n">
        <x:v>137</x:v>
      </x:c>
      <x:c r="C1640" t="str">
        <x:v>晚餐</x:v>
      </x:c>
      <x:c r="D1640" t="str">
        <x:v>牛肉</x:v>
      </x:c>
      <x:c r="E1640" t="str">
        <x:v>牛腱子</x:v>
      </x:c>
      <x:c r="F1640" t="n">
        <x:v>180</x:v>
      </x:c>
      <x:c r="G1640" t="n">
        <x:v>140</x:v>
      </x:c>
      <x:c r="H1640" t="n">
        <x:f>ROUND(F1640*G1640/100,2)</x:f>
        <x:v>252</x:v>
      </x:c>
      <x:c r="I1640" t="n">
        <x:v>21</x:v>
      </x:c>
      <x:c r="J1640" t="n">
        <x:f>ROUND(F1640*I1640/100,2)</x:f>
        <x:v>37.8</x:v>
      </x:c>
      <x:c r="K1640" t="n">
        <x:v>0</x:v>
      </x:c>
      <x:c r="L1640" t="n">
        <x:f>ROUND(F1640*K1640/100,2)</x:f>
        <x:v>0</x:v>
      </x:c>
      <x:c r="M1640" t="n">
        <x:v>6</x:v>
      </x:c>
      <x:c r="N1640" t="n">
        <x:f>ROUND(F1640*M1640/100,2)</x:f>
        <x:v>10.8</x:v>
      </x:c>
      <x:c r="O1640" t="str">
        <x:v>生重</x:v>
      </x:c>
    </x:row>
    <x:row r="1641" ht="23" customHeight="1">
      <x:c r="A1641" t="n">
        <x:v>274</x:v>
      </x:c>
      <x:c r="B1641" t="n">
        <x:v>137</x:v>
      </x:c>
      <x:c r="C1641" t="str">
        <x:v>晚餐</x:v>
      </x:c>
      <x:c r="D1641" t="str"/>
      <x:c r="E1641" t="str"/>
      <x:c r="F1641" t="n">
        <x:v>0</x:v>
      </x:c>
      <x:c r="G1641" t="n">
        <x:v>0</x:v>
      </x:c>
      <x:c r="H1641" t="n">
        <x:f>ROUND(F1641*G1641/100,2)</x:f>
        <x:v>0</x:v>
      </x:c>
      <x:c r="I1641" t="n">
        <x:v>0</x:v>
      </x:c>
      <x:c r="J1641" t="n">
        <x:f>ROUND(F1641*I1641/100,2)</x:f>
        <x:v>0</x:v>
      </x:c>
      <x:c r="K1641" t="n">
        <x:v>0</x:v>
      </x:c>
      <x:c r="L1641" t="n">
        <x:f>ROUND(F1641*K1641/100,2)</x:f>
        <x:v>0</x:v>
      </x:c>
      <x:c r="M1641" t="n">
        <x:v>0</x:v>
      </x:c>
      <x:c r="N1641" t="n">
        <x:f>ROUND(F1641*M1641/100,2)</x:f>
        <x:v>0</x:v>
      </x:c>
      <x:c r="O1641" t="str"/>
    </x:row>
    <x:row r="1642" ht="23" customHeight="1">
      <x:c r="A1642" t="n">
        <x:v>274</x:v>
      </x:c>
      <x:c r="B1642" t="n">
        <x:v>137</x:v>
      </x:c>
      <x:c r="C1642" t="str">
        <x:v>晚餐</x:v>
      </x:c>
      <x:c r="D1642" t="str">
        <x:v>蔬菜</x:v>
      </x:c>
      <x:c r="E1642" t="str">
        <x:v>芹菜</x:v>
      </x:c>
      <x:c r="F1642" t="n">
        <x:v>160</x:v>
      </x:c>
      <x:c r="G1642" t="n">
        <x:v>17</x:v>
      </x:c>
      <x:c r="H1642" t="n">
        <x:f>ROUND(F1642*G1642/100,2)</x:f>
        <x:v>27.2</x:v>
      </x:c>
      <x:c r="I1642" t="n">
        <x:v>1</x:v>
      </x:c>
      <x:c r="J1642" t="n">
        <x:f>ROUND(F1642*I1642/100,2)</x:f>
        <x:v>1.6</x:v>
      </x:c>
      <x:c r="K1642" t="n">
        <x:v>3.5</x:v>
      </x:c>
      <x:c r="L1642" t="n">
        <x:f>ROUND(F1642*K1642/100,2)</x:f>
        <x:v>5.6</x:v>
      </x:c>
      <x:c r="M1642" t="n">
        <x:v>0.1</x:v>
      </x:c>
      <x:c r="N1642" t="n">
        <x:f>ROUND(F1642*M1642/100,2)</x:f>
        <x:v>0.16</x:v>
      </x:c>
      <x:c r="O1642" t="str">
        <x:v>生重</x:v>
      </x:c>
    </x:row>
    <x:row r="1643" ht="23" customHeight="1">
      <x:c r="A1643" t="n">
        <x:v>274</x:v>
      </x:c>
      <x:c r="B1643" t="n">
        <x:v>137</x:v>
      </x:c>
      <x:c r="C1643" t="str">
        <x:v>晚餐</x:v>
      </x:c>
      <x:c r="D1643" t="str">
        <x:v>蔬菜</x:v>
      </x:c>
      <x:c r="E1643" t="str">
        <x:v>小白菜</x:v>
      </x:c>
      <x:c r="F1643" t="n">
        <x:v>140</x:v>
      </x:c>
      <x:c r="G1643" t="n">
        <x:v>17</x:v>
      </x:c>
      <x:c r="H1643" t="n">
        <x:f>ROUND(F1643*G1643/100,2)</x:f>
        <x:v>23.8</x:v>
      </x:c>
      <x:c r="I1643" t="n">
        <x:v>1.6</x:v>
      </x:c>
      <x:c r="J1643" t="n">
        <x:f>ROUND(F1643*I1643/100,2)</x:f>
        <x:v>2.24</x:v>
      </x:c>
      <x:c r="K1643" t="n">
        <x:v>2.8</x:v>
      </x:c>
      <x:c r="L1643" t="n">
        <x:f>ROUND(F1643*K1643/100,2)</x:f>
        <x:v>3.92</x:v>
      </x:c>
      <x:c r="M1643" t="n">
        <x:v>0.2</x:v>
      </x:c>
      <x:c r="N1643" t="n">
        <x:f>ROUND(F1643*M1643/100,2)</x:f>
        <x:v>0.28</x:v>
      </x:c>
      <x:c r="O1643" t="str">
        <x:v>生重</x:v>
      </x:c>
    </x:row>
    <x:row r="1644" ht="23" customHeight="1">
      <x:c r="A1644" t="n">
        <x:v>274</x:v>
      </x:c>
      <x:c r="B1644" t="n">
        <x:v>137</x:v>
      </x:c>
      <x:c r="C1644" t="str">
        <x:v>晚餐</x:v>
      </x:c>
      <x:c r="D1644" t="str">
        <x:v>主食</x:v>
      </x:c>
      <x:c r="E1644" t="str">
        <x:v>玉米</x:v>
      </x:c>
      <x:c r="F1644" t="n">
        <x:v>110</x:v>
      </x:c>
      <x:c r="G1644" t="n">
        <x:v>105</x:v>
      </x:c>
      <x:c r="H1644" t="n">
        <x:f>ROUND(F1644*G1644/100,2)</x:f>
        <x:v>115.5</x:v>
      </x:c>
      <x:c r="I1644" t="n">
        <x:v>3.4</x:v>
      </x:c>
      <x:c r="J1644" t="n">
        <x:f>ROUND(F1644*I1644/100,2)</x:f>
        <x:v>3.74</x:v>
      </x:c>
      <x:c r="K1644" t="n">
        <x:v>22</x:v>
      </x:c>
      <x:c r="L1644" t="n">
        <x:f>ROUND(F1644*K1644/100,2)</x:f>
        <x:v>24.2</x:v>
      </x:c>
      <x:c r="M1644" t="n">
        <x:v>1.5</x:v>
      </x:c>
      <x:c r="N1644" t="n">
        <x:f>ROUND(F1644*M1644/100,2)</x:f>
        <x:v>1.65</x:v>
      </x:c>
      <x:c r="O1644" t="str">
        <x:v>蒸熟净重</x:v>
      </x:c>
    </x:row>
    <x:row r="1645" ht="23" customHeight="1">
      <x:c r="A1645" t="n">
        <x:v>274</x:v>
      </x:c>
      <x:c r="B1645" t="n">
        <x:v>137</x:v>
      </x:c>
      <x:c r="C1645" t="str">
        <x:v>晚餐</x:v>
      </x:c>
      <x:c r="D1645" t="str">
        <x:v>油脂</x:v>
      </x:c>
      <x:c r="E1645" t="str">
        <x:v>烹调油</x:v>
      </x:c>
      <x:c r="F1645" t="n">
        <x:v>6</x:v>
      </x:c>
      <x:c r="G1645" t="n">
        <x:v>900</x:v>
      </x:c>
      <x:c r="H1645" t="n">
        <x:f>ROUND(F1645*G1645/100,2)</x:f>
        <x:v>54</x:v>
      </x:c>
      <x:c r="I1645" t="n">
        <x:v>0</x:v>
      </x:c>
      <x:c r="J1645" t="n">
        <x:f>ROUND(F1645*I1645/100,2)</x:f>
        <x:v>0</x:v>
      </x:c>
      <x:c r="K1645" t="n">
        <x:v>0</x:v>
      </x:c>
      <x:c r="L1645" t="n">
        <x:f>ROUND(F1645*K1645/100,2)</x:f>
        <x:v>0</x:v>
      </x:c>
      <x:c r="M1645" t="n">
        <x:v>100</x:v>
      </x:c>
      <x:c r="N1645" t="n">
        <x:f>ROUND(F1645*M1645/100,2)</x:f>
        <x:v>6</x:v>
      </x:c>
      <x:c r="O1645" t="str">
        <x:v>实际用油重</x:v>
      </x:c>
    </x:row>
    <x:row r="1646" ht="23" customHeight="1">
      <x:c r="A1646" t="n">
        <x:v>275</x:v>
      </x:c>
      <x:c r="B1646" t="n">
        <x:v>138</x:v>
      </x:c>
      <x:c r="C1646" t="str">
        <x:v>午餐</x:v>
      </x:c>
      <x:c r="D1646" t="str">
        <x:v>海鲜</x:v>
      </x:c>
      <x:c r="E1646" t="str">
        <x:v>鱿鱼</x:v>
      </x:c>
      <x:c r="F1646" t="n">
        <x:v>175</x:v>
      </x:c>
      <x:c r="G1646" t="n">
        <x:v>95</x:v>
      </x:c>
      <x:c r="H1646" t="n">
        <x:f>ROUND(F1646*G1646/100,2)</x:f>
        <x:v>166.25</x:v>
      </x:c>
      <x:c r="I1646" t="n">
        <x:v>17</x:v>
      </x:c>
      <x:c r="J1646" t="n">
        <x:f>ROUND(F1646*I1646/100,2)</x:f>
        <x:v>29.75</x:v>
      </x:c>
      <x:c r="K1646" t="n">
        <x:v>2</x:v>
      </x:c>
      <x:c r="L1646" t="n">
        <x:f>ROUND(F1646*K1646/100,2)</x:f>
        <x:v>3.5</x:v>
      </x:c>
      <x:c r="M1646" t="n">
        <x:v>1.4</x:v>
      </x:c>
      <x:c r="N1646" t="n">
        <x:f>ROUND(F1646*M1646/100,2)</x:f>
        <x:v>2.45</x:v>
      </x:c>
      <x:c r="O1646" t="str">
        <x:v>生重</x:v>
      </x:c>
    </x:row>
    <x:row r="1647" ht="23" customHeight="1">
      <x:c r="A1647" t="n">
        <x:v>275</x:v>
      </x:c>
      <x:c r="B1647" t="n">
        <x:v>138</x:v>
      </x:c>
      <x:c r="C1647" t="str">
        <x:v>午餐</x:v>
      </x:c>
      <x:c r="D1647" t="str"/>
      <x:c r="E1647" t="str"/>
      <x:c r="F1647" t="n">
        <x:v>0</x:v>
      </x:c>
      <x:c r="G1647" t="n">
        <x:v>0</x:v>
      </x:c>
      <x:c r="H1647" t="n">
        <x:f>ROUND(F1647*G1647/100,2)</x:f>
        <x:v>0</x:v>
      </x:c>
      <x:c r="I1647" t="n">
        <x:v>0</x:v>
      </x:c>
      <x:c r="J1647" t="n">
        <x:f>ROUND(F1647*I1647/100,2)</x:f>
        <x:v>0</x:v>
      </x:c>
      <x:c r="K1647" t="n">
        <x:v>0</x:v>
      </x:c>
      <x:c r="L1647" t="n">
        <x:f>ROUND(F1647*K1647/100,2)</x:f>
        <x:v>0</x:v>
      </x:c>
      <x:c r="M1647" t="n">
        <x:v>0</x:v>
      </x:c>
      <x:c r="N1647" t="n">
        <x:f>ROUND(F1647*M1647/100,2)</x:f>
        <x:v>0</x:v>
      </x:c>
      <x:c r="O1647" t="str"/>
    </x:row>
    <x:row r="1648" ht="23" customHeight="1">
      <x:c r="A1648" t="n">
        <x:v>275</x:v>
      </x:c>
      <x:c r="B1648" t="n">
        <x:v>138</x:v>
      </x:c>
      <x:c r="C1648" t="str">
        <x:v>午餐</x:v>
      </x:c>
      <x:c r="D1648" t="str">
        <x:v>蔬菜</x:v>
      </x:c>
      <x:c r="E1648" t="str">
        <x:v>秋葵</x:v>
      </x:c>
      <x:c r="F1648" t="n">
        <x:v>140</x:v>
      </x:c>
      <x:c r="G1648" t="n">
        <x:v>33</x:v>
      </x:c>
      <x:c r="H1648" t="n">
        <x:f>ROUND(F1648*G1648/100,2)</x:f>
        <x:v>46.2</x:v>
      </x:c>
      <x:c r="I1648" t="n">
        <x:v>1.9</x:v>
      </x:c>
      <x:c r="J1648" t="n">
        <x:f>ROUND(F1648*I1648/100,2)</x:f>
        <x:v>2.66</x:v>
      </x:c>
      <x:c r="K1648" t="n">
        <x:v>7.5</x:v>
      </x:c>
      <x:c r="L1648" t="n">
        <x:f>ROUND(F1648*K1648/100,2)</x:f>
        <x:v>10.5</x:v>
      </x:c>
      <x:c r="M1648" t="n">
        <x:v>0.2</x:v>
      </x:c>
      <x:c r="N1648" t="n">
        <x:f>ROUND(F1648*M1648/100,2)</x:f>
        <x:v>0.28</x:v>
      </x:c>
      <x:c r="O1648" t="str">
        <x:v>生重</x:v>
      </x:c>
    </x:row>
    <x:row r="1649" ht="23" customHeight="1">
      <x:c r="A1649" t="n">
        <x:v>275</x:v>
      </x:c>
      <x:c r="B1649" t="n">
        <x:v>138</x:v>
      </x:c>
      <x:c r="C1649" t="str">
        <x:v>午餐</x:v>
      </x:c>
      <x:c r="D1649" t="str">
        <x:v>蔬菜</x:v>
      </x:c>
      <x:c r="E1649" t="str">
        <x:v>胡萝卜</x:v>
      </x:c>
      <x:c r="F1649" t="n">
        <x:v>110</x:v>
      </x:c>
      <x:c r="G1649" t="n">
        <x:v>41</x:v>
      </x:c>
      <x:c r="H1649" t="n">
        <x:f>ROUND(F1649*G1649/100,2)</x:f>
        <x:v>45.1</x:v>
      </x:c>
      <x:c r="I1649" t="n">
        <x:v>0.9</x:v>
      </x:c>
      <x:c r="J1649" t="n">
        <x:f>ROUND(F1649*I1649/100,2)</x:f>
        <x:v>0.99</x:v>
      </x:c>
      <x:c r="K1649" t="n">
        <x:v>10</x:v>
      </x:c>
      <x:c r="L1649" t="n">
        <x:f>ROUND(F1649*K1649/100,2)</x:f>
        <x:v>11</x:v>
      </x:c>
      <x:c r="M1649" t="n">
        <x:v>0.2</x:v>
      </x:c>
      <x:c r="N1649" t="n">
        <x:f>ROUND(F1649*M1649/100,2)</x:f>
        <x:v>0.22</x:v>
      </x:c>
      <x:c r="O1649" t="str">
        <x:v>生重</x:v>
      </x:c>
    </x:row>
    <x:row r="1650" ht="23" customHeight="1">
      <x:c r="A1650" t="n">
        <x:v>275</x:v>
      </x:c>
      <x:c r="B1650" t="n">
        <x:v>138</x:v>
      </x:c>
      <x:c r="C1650" t="str">
        <x:v>午餐</x:v>
      </x:c>
      <x:c r="D1650" t="str">
        <x:v>主食</x:v>
      </x:c>
      <x:c r="E1650" t="str">
        <x:v>全麦面</x:v>
      </x:c>
      <x:c r="F1650" t="n">
        <x:v>165</x:v>
      </x:c>
      <x:c r="G1650" t="n">
        <x:v>124</x:v>
      </x:c>
      <x:c r="H1650" t="n">
        <x:f>ROUND(F1650*G1650/100,2)</x:f>
        <x:v>204.6</x:v>
      </x:c>
      <x:c r="I1650" t="n">
        <x:v>5</x:v>
      </x:c>
      <x:c r="J1650" t="n">
        <x:f>ROUND(F1650*I1650/100,2)</x:f>
        <x:v>8.25</x:v>
      </x:c>
      <x:c r="K1650" t="n">
        <x:v>25</x:v>
      </x:c>
      <x:c r="L1650" t="n">
        <x:f>ROUND(F1650*K1650/100,2)</x:f>
        <x:v>41.25</x:v>
      </x:c>
      <x:c r="M1650" t="n">
        <x:v>1.1</x:v>
      </x:c>
      <x:c r="N1650" t="n">
        <x:f>ROUND(F1650*M1650/100,2)</x:f>
        <x:v>1.82</x:v>
      </x:c>
      <x:c r="O1650" t="str">
        <x:v>煮熟沥水重</x:v>
      </x:c>
    </x:row>
    <x:row r="1651" ht="23" customHeight="1">
      <x:c r="A1651" t="n">
        <x:v>275</x:v>
      </x:c>
      <x:c r="B1651" t="n">
        <x:v>138</x:v>
      </x:c>
      <x:c r="C1651" t="str">
        <x:v>午餐</x:v>
      </x:c>
      <x:c r="D1651" t="str">
        <x:v>油脂</x:v>
      </x:c>
      <x:c r="E1651" t="str">
        <x:v>烹调油</x:v>
      </x:c>
      <x:c r="F1651" t="n">
        <x:v>4</x:v>
      </x:c>
      <x:c r="G1651" t="n">
        <x:v>900</x:v>
      </x:c>
      <x:c r="H1651" t="n">
        <x:f>ROUND(F1651*G1651/100,2)</x:f>
        <x:v>36</x:v>
      </x:c>
      <x:c r="I1651" t="n">
        <x:v>0</x:v>
      </x:c>
      <x:c r="J1651" t="n">
        <x:f>ROUND(F1651*I1651/100,2)</x:f>
        <x:v>0</x:v>
      </x:c>
      <x:c r="K1651" t="n">
        <x:v>0</x:v>
      </x:c>
      <x:c r="L1651" t="n">
        <x:f>ROUND(F1651*K1651/100,2)</x:f>
        <x:v>0</x:v>
      </x:c>
      <x:c r="M1651" t="n">
        <x:v>100</x:v>
      </x:c>
      <x:c r="N1651" t="n">
        <x:f>ROUND(F1651*M1651/100,2)</x:f>
        <x:v>4</x:v>
      </x:c>
      <x:c r="O1651" t="str">
        <x:v>实际用油重</x:v>
      </x:c>
    </x:row>
    <x:row r="1652" ht="23" customHeight="1">
      <x:c r="A1652" t="n">
        <x:v>276</x:v>
      </x:c>
      <x:c r="B1652" t="n">
        <x:v>138</x:v>
      </x:c>
      <x:c r="C1652" t="str">
        <x:v>晚餐</x:v>
      </x:c>
      <x:c r="D1652" t="str">
        <x:v>豆蛋</x:v>
      </x:c>
      <x:c r="E1652" t="str">
        <x:v>嫩豆腐</x:v>
      </x:c>
      <x:c r="F1652" t="n">
        <x:v>260</x:v>
      </x:c>
      <x:c r="G1652" t="n">
        <x:v>55</x:v>
      </x:c>
      <x:c r="H1652" t="n">
        <x:f>ROUND(F1652*G1652/100,2)</x:f>
        <x:v>143</x:v>
      </x:c>
      <x:c r="I1652" t="n">
        <x:v>5</x:v>
      </x:c>
      <x:c r="J1652" t="n">
        <x:f>ROUND(F1652*I1652/100,2)</x:f>
        <x:v>13</x:v>
      </x:c>
      <x:c r="K1652" t="n">
        <x:v>2</x:v>
      </x:c>
      <x:c r="L1652" t="n">
        <x:f>ROUND(F1652*K1652/100,2)</x:f>
        <x:v>5.2</x:v>
      </x:c>
      <x:c r="M1652" t="n">
        <x:v>2.8</x:v>
      </x:c>
      <x:c r="N1652" t="n">
        <x:f>ROUND(F1652*M1652/100,2)</x:f>
        <x:v>7.28</x:v>
      </x:c>
      <x:c r="O1652" t="str">
        <x:v>净重</x:v>
      </x:c>
    </x:row>
    <x:row r="1653" ht="23" customHeight="1">
      <x:c r="A1653" t="n">
        <x:v>276</x:v>
      </x:c>
      <x:c r="B1653" t="n">
        <x:v>138</x:v>
      </x:c>
      <x:c r="C1653" t="str">
        <x:v>晚餐</x:v>
      </x:c>
      <x:c r="D1653" t="str">
        <x:v>豆蛋</x:v>
      </x:c>
      <x:c r="E1653" t="str">
        <x:v>熟毛豆仁</x:v>
      </x:c>
      <x:c r="F1653" t="n">
        <x:v>70</x:v>
      </x:c>
      <x:c r="G1653" t="n">
        <x:v>120</x:v>
      </x:c>
      <x:c r="H1653" t="n">
        <x:f>ROUND(F1653*G1653/100,2)</x:f>
        <x:v>84</x:v>
      </x:c>
      <x:c r="I1653" t="n">
        <x:v>12</x:v>
      </x:c>
      <x:c r="J1653" t="n">
        <x:f>ROUND(F1653*I1653/100,2)</x:f>
        <x:v>8.4</x:v>
      </x:c>
      <x:c r="K1653" t="n">
        <x:v>9</x:v>
      </x:c>
      <x:c r="L1653" t="n">
        <x:f>ROUND(F1653*K1653/100,2)</x:f>
        <x:v>6.3</x:v>
      </x:c>
      <x:c r="M1653" t="n">
        <x:v>5</x:v>
      </x:c>
      <x:c r="N1653" t="n">
        <x:f>ROUND(F1653*M1653/100,2)</x:f>
        <x:v>3.5</x:v>
      </x:c>
      <x:c r="O1653" t="str">
        <x:v>熟重</x:v>
      </x:c>
    </x:row>
    <x:row r="1654" ht="23" customHeight="1">
      <x:c r="A1654" t="n">
        <x:v>276</x:v>
      </x:c>
      <x:c r="B1654" t="n">
        <x:v>138</x:v>
      </x:c>
      <x:c r="C1654" t="str">
        <x:v>晚餐</x:v>
      </x:c>
      <x:c r="D1654" t="str">
        <x:v>蔬菜</x:v>
      </x:c>
      <x:c r="E1654" t="str">
        <x:v>小白菜</x:v>
      </x:c>
      <x:c r="F1654" t="n">
        <x:v>160</x:v>
      </x:c>
      <x:c r="G1654" t="n">
        <x:v>17</x:v>
      </x:c>
      <x:c r="H1654" t="n">
        <x:f>ROUND(F1654*G1654/100,2)</x:f>
        <x:v>27.2</x:v>
      </x:c>
      <x:c r="I1654" t="n">
        <x:v>1.6</x:v>
      </x:c>
      <x:c r="J1654" t="n">
        <x:f>ROUND(F1654*I1654/100,2)</x:f>
        <x:v>2.56</x:v>
      </x:c>
      <x:c r="K1654" t="n">
        <x:v>2.8</x:v>
      </x:c>
      <x:c r="L1654" t="n">
        <x:f>ROUND(F1654*K1654/100,2)</x:f>
        <x:v>4.48</x:v>
      </x:c>
      <x:c r="M1654" t="n">
        <x:v>0.2</x:v>
      </x:c>
      <x:c r="N1654" t="n">
        <x:f>ROUND(F1654*M1654/100,2)</x:f>
        <x:v>0.32</x:v>
      </x:c>
      <x:c r="O1654" t="str">
        <x:v>生重</x:v>
      </x:c>
    </x:row>
    <x:row r="1655" ht="23" customHeight="1">
      <x:c r="A1655" t="n">
        <x:v>276</x:v>
      </x:c>
      <x:c r="B1655" t="n">
        <x:v>138</x:v>
      </x:c>
      <x:c r="C1655" t="str">
        <x:v>晚餐</x:v>
      </x:c>
      <x:c r="D1655" t="str">
        <x:v>蔬菜</x:v>
      </x:c>
      <x:c r="E1655" t="str">
        <x:v>冬瓜</x:v>
      </x:c>
      <x:c r="F1655" t="n">
        <x:v>140</x:v>
      </x:c>
      <x:c r="G1655" t="n">
        <x:v>13</x:v>
      </x:c>
      <x:c r="H1655" t="n">
        <x:f>ROUND(F1655*G1655/100,2)</x:f>
        <x:v>18.2</x:v>
      </x:c>
      <x:c r="I1655" t="n">
        <x:v>0.4</x:v>
      </x:c>
      <x:c r="J1655" t="n">
        <x:f>ROUND(F1655*I1655/100,2)</x:f>
        <x:v>0.56</x:v>
      </x:c>
      <x:c r="K1655" t="n">
        <x:v>3</x:v>
      </x:c>
      <x:c r="L1655" t="n">
        <x:f>ROUND(F1655*K1655/100,2)</x:f>
        <x:v>4.2</x:v>
      </x:c>
      <x:c r="M1655" t="n">
        <x:v>0.2</x:v>
      </x:c>
      <x:c r="N1655" t="n">
        <x:f>ROUND(F1655*M1655/100,2)</x:f>
        <x:v>0.28</x:v>
      </x:c>
      <x:c r="O1655" t="str">
        <x:v>生重</x:v>
      </x:c>
    </x:row>
    <x:row r="1656" ht="23" customHeight="1">
      <x:c r="A1656" t="n">
        <x:v>276</x:v>
      </x:c>
      <x:c r="B1656" t="n">
        <x:v>138</x:v>
      </x:c>
      <x:c r="C1656" t="str">
        <x:v>晚餐</x:v>
      </x:c>
      <x:c r="D1656" t="str">
        <x:v>主食</x:v>
      </x:c>
      <x:c r="E1656" t="str">
        <x:v>杂粮饭</x:v>
      </x:c>
      <x:c r="F1656" t="n">
        <x:v>125</x:v>
      </x:c>
      <x:c r="G1656" t="n">
        <x:v>115</x:v>
      </x:c>
      <x:c r="H1656" t="n">
        <x:f>ROUND(F1656*G1656/100,2)</x:f>
        <x:v>143.75</x:v>
      </x:c>
      <x:c r="I1656" t="n">
        <x:v>3.1</x:v>
      </x:c>
      <x:c r="J1656" t="n">
        <x:f>ROUND(F1656*I1656/100,2)</x:f>
        <x:v>3.88</x:v>
      </x:c>
      <x:c r="K1656" t="n">
        <x:v>23.5</x:v>
      </x:c>
      <x:c r="L1656" t="n">
        <x:f>ROUND(F1656*K1656/100,2)</x:f>
        <x:v>29.38</x:v>
      </x:c>
      <x:c r="M1656" t="n">
        <x:v>1.1</x:v>
      </x:c>
      <x:c r="N1656" t="n">
        <x:f>ROUND(F1656*M1656/100,2)</x:f>
        <x:v>1.38</x:v>
      </x:c>
      <x:c r="O1656" t="str">
        <x:v>熟重</x:v>
      </x:c>
    </x:row>
    <x:row r="1657" ht="23" customHeight="1">
      <x:c r="A1657" t="n">
        <x:v>276</x:v>
      </x:c>
      <x:c r="B1657" t="n">
        <x:v>138</x:v>
      </x:c>
      <x:c r="C1657" t="str">
        <x:v>晚餐</x:v>
      </x:c>
      <x:c r="D1657" t="str">
        <x:v>油脂</x:v>
      </x:c>
      <x:c r="E1657" t="str">
        <x:v>烹调油</x:v>
      </x:c>
      <x:c r="F1657" t="n">
        <x:v>5</x:v>
      </x:c>
      <x:c r="G1657" t="n">
        <x:v>900</x:v>
      </x:c>
      <x:c r="H1657" t="n">
        <x:f>ROUND(F1657*G1657/100,2)</x:f>
        <x:v>45</x:v>
      </x:c>
      <x:c r="I1657" t="n">
        <x:v>0</x:v>
      </x:c>
      <x:c r="J1657" t="n">
        <x:f>ROUND(F1657*I1657/100,2)</x:f>
        <x:v>0</x:v>
      </x:c>
      <x:c r="K1657" t="n">
        <x:v>0</x:v>
      </x:c>
      <x:c r="L1657" t="n">
        <x:f>ROUND(F1657*K1657/100,2)</x:f>
        <x:v>0</x:v>
      </x:c>
      <x:c r="M1657" t="n">
        <x:v>100</x:v>
      </x:c>
      <x:c r="N1657" t="n">
        <x:f>ROUND(F1657*M1657/100,2)</x:f>
        <x:v>5</x:v>
      </x:c>
      <x:c r="O1657" t="str">
        <x:v>实际用油重</x:v>
      </x:c>
    </x:row>
    <x:row r="1658" ht="23" customHeight="1">
      <x:c r="A1658" t="n">
        <x:v>277</x:v>
      </x:c>
      <x:c r="B1658" t="n">
        <x:v>139</x:v>
      </x:c>
      <x:c r="C1658" t="str">
        <x:v>午餐</x:v>
      </x:c>
      <x:c r="D1658" t="str">
        <x:v>牛肉</x:v>
      </x:c>
      <x:c r="E1658" t="str">
        <x:v>瘦牛肉</x:v>
      </x:c>
      <x:c r="F1658" t="n">
        <x:v>175</x:v>
      </x:c>
      <x:c r="G1658" t="n">
        <x:v>125</x:v>
      </x:c>
      <x:c r="H1658" t="n">
        <x:f>ROUND(F1658*G1658/100,2)</x:f>
        <x:v>218.75</x:v>
      </x:c>
      <x:c r="I1658" t="n">
        <x:v>21</x:v>
      </x:c>
      <x:c r="J1658" t="n">
        <x:f>ROUND(F1658*I1658/100,2)</x:f>
        <x:v>36.75</x:v>
      </x:c>
      <x:c r="K1658" t="n">
        <x:v>0</x:v>
      </x:c>
      <x:c r="L1658" t="n">
        <x:f>ROUND(F1658*K1658/100,2)</x:f>
        <x:v>0</x:v>
      </x:c>
      <x:c r="M1658" t="n">
        <x:v>4</x:v>
      </x:c>
      <x:c r="N1658" t="n">
        <x:f>ROUND(F1658*M1658/100,2)</x:f>
        <x:v>7</x:v>
      </x:c>
      <x:c r="O1658" t="str">
        <x:v>生重</x:v>
      </x:c>
    </x:row>
    <x:row r="1659" ht="23" customHeight="1">
      <x:c r="A1659" t="n">
        <x:v>277</x:v>
      </x:c>
      <x:c r="B1659" t="n">
        <x:v>139</x:v>
      </x:c>
      <x:c r="C1659" t="str">
        <x:v>午餐</x:v>
      </x:c>
      <x:c r="D1659" t="str"/>
      <x:c r="E1659" t="str"/>
      <x:c r="F1659" t="n">
        <x:v>0</x:v>
      </x:c>
      <x:c r="G1659" t="n">
        <x:v>0</x:v>
      </x:c>
      <x:c r="H1659" t="n">
        <x:f>ROUND(F1659*G1659/100,2)</x:f>
        <x:v>0</x:v>
      </x:c>
      <x:c r="I1659" t="n">
        <x:v>0</x:v>
      </x:c>
      <x:c r="J1659" t="n">
        <x:f>ROUND(F1659*I1659/100,2)</x:f>
        <x:v>0</x:v>
      </x:c>
      <x:c r="K1659" t="n">
        <x:v>0</x:v>
      </x:c>
      <x:c r="L1659" t="n">
        <x:f>ROUND(F1659*K1659/100,2)</x:f>
        <x:v>0</x:v>
      </x:c>
      <x:c r="M1659" t="n">
        <x:v>0</x:v>
      </x:c>
      <x:c r="N1659" t="n">
        <x:f>ROUND(F1659*M1659/100,2)</x:f>
        <x:v>0</x:v>
      </x:c>
      <x:c r="O1659" t="str"/>
    </x:row>
    <x:row r="1660" ht="23" customHeight="1">
      <x:c r="A1660" t="n">
        <x:v>277</x:v>
      </x:c>
      <x:c r="B1660" t="n">
        <x:v>139</x:v>
      </x:c>
      <x:c r="C1660" t="str">
        <x:v>午餐</x:v>
      </x:c>
      <x:c r="D1660" t="str">
        <x:v>蔬菜</x:v>
      </x:c>
      <x:c r="E1660" t="str">
        <x:v>西兰花</x:v>
      </x:c>
      <x:c r="F1660" t="n">
        <x:v>160</x:v>
      </x:c>
      <x:c r="G1660" t="n">
        <x:v>34</x:v>
      </x:c>
      <x:c r="H1660" t="n">
        <x:f>ROUND(F1660*G1660/100,2)</x:f>
        <x:v>54.4</x:v>
      </x:c>
      <x:c r="I1660" t="n">
        <x:v>2.8</x:v>
      </x:c>
      <x:c r="J1660" t="n">
        <x:f>ROUND(F1660*I1660/100,2)</x:f>
        <x:v>4.48</x:v>
      </x:c>
      <x:c r="K1660" t="n">
        <x:v>7</x:v>
      </x:c>
      <x:c r="L1660" t="n">
        <x:f>ROUND(F1660*K1660/100,2)</x:f>
        <x:v>11.2</x:v>
      </x:c>
      <x:c r="M1660" t="n">
        <x:v>0.4</x:v>
      </x:c>
      <x:c r="N1660" t="n">
        <x:f>ROUND(F1660*M1660/100,2)</x:f>
        <x:v>0.64</x:v>
      </x:c>
      <x:c r="O1660" t="str">
        <x:v>生重</x:v>
      </x:c>
    </x:row>
    <x:row r="1661" ht="23" customHeight="1">
      <x:c r="A1661" t="n">
        <x:v>277</x:v>
      </x:c>
      <x:c r="B1661" t="n">
        <x:v>139</x:v>
      </x:c>
      <x:c r="C1661" t="str">
        <x:v>午餐</x:v>
      </x:c>
      <x:c r="D1661" t="str">
        <x:v>蔬菜</x:v>
      </x:c>
      <x:c r="E1661" t="str">
        <x:v>绿豆芽</x:v>
      </x:c>
      <x:c r="F1661" t="n">
        <x:v>140</x:v>
      </x:c>
      <x:c r="G1661" t="n">
        <x:v>31</x:v>
      </x:c>
      <x:c r="H1661" t="n">
        <x:f>ROUND(F1661*G1661/100,2)</x:f>
        <x:v>43.4</x:v>
      </x:c>
      <x:c r="I1661" t="n">
        <x:v>3</x:v>
      </x:c>
      <x:c r="J1661" t="n">
        <x:f>ROUND(F1661*I1661/100,2)</x:f>
        <x:v>4.2</x:v>
      </x:c>
      <x:c r="K1661" t="n">
        <x:v>6</x:v>
      </x:c>
      <x:c r="L1661" t="n">
        <x:f>ROUND(F1661*K1661/100,2)</x:f>
        <x:v>8.4</x:v>
      </x:c>
      <x:c r="M1661" t="n">
        <x:v>0.2</x:v>
      </x:c>
      <x:c r="N1661" t="n">
        <x:f>ROUND(F1661*M1661/100,2)</x:f>
        <x:v>0.28</x:v>
      </x:c>
      <x:c r="O1661" t="str">
        <x:v>生重</x:v>
      </x:c>
    </x:row>
    <x:row r="1662" ht="23" customHeight="1">
      <x:c r="A1662" t="n">
        <x:v>277</x:v>
      </x:c>
      <x:c r="B1662" t="n">
        <x:v>139</x:v>
      </x:c>
      <x:c r="C1662" t="str">
        <x:v>午餐</x:v>
      </x:c>
      <x:c r="D1662" t="str">
        <x:v>主食</x:v>
      </x:c>
      <x:c r="E1662" t="str">
        <x:v>荞麦饭</x:v>
      </x:c>
      <x:c r="F1662" t="n">
        <x:v>125</x:v>
      </x:c>
      <x:c r="G1662" t="n">
        <x:v>110</x:v>
      </x:c>
      <x:c r="H1662" t="n">
        <x:f>ROUND(F1662*G1662/100,2)</x:f>
        <x:v>137.5</x:v>
      </x:c>
      <x:c r="I1662" t="n">
        <x:v>3.4</x:v>
      </x:c>
      <x:c r="J1662" t="n">
        <x:f>ROUND(F1662*I1662/100,2)</x:f>
        <x:v>4.25</x:v>
      </x:c>
      <x:c r="K1662" t="n">
        <x:v>22</x:v>
      </x:c>
      <x:c r="L1662" t="n">
        <x:f>ROUND(F1662*K1662/100,2)</x:f>
        <x:v>27.5</x:v>
      </x:c>
      <x:c r="M1662" t="n">
        <x:v>1.1</x:v>
      </x:c>
      <x:c r="N1662" t="n">
        <x:f>ROUND(F1662*M1662/100,2)</x:f>
        <x:v>1.38</x:v>
      </x:c>
      <x:c r="O1662" t="str">
        <x:v>熟重</x:v>
      </x:c>
    </x:row>
    <x:row r="1663" ht="23" customHeight="1">
      <x:c r="A1663" t="n">
        <x:v>277</x:v>
      </x:c>
      <x:c r="B1663" t="n">
        <x:v>139</x:v>
      </x:c>
      <x:c r="C1663" t="str">
        <x:v>午餐</x:v>
      </x:c>
      <x:c r="D1663" t="str">
        <x:v>油脂</x:v>
      </x:c>
      <x:c r="E1663" t="str">
        <x:v>烹调油</x:v>
      </x:c>
      <x:c r="F1663" t="n">
        <x:v>5</x:v>
      </x:c>
      <x:c r="G1663" t="n">
        <x:v>900</x:v>
      </x:c>
      <x:c r="H1663" t="n">
        <x:f>ROUND(F1663*G1663/100,2)</x:f>
        <x:v>45</x:v>
      </x:c>
      <x:c r="I1663" t="n">
        <x:v>0</x:v>
      </x:c>
      <x:c r="J1663" t="n">
        <x:f>ROUND(F1663*I1663/100,2)</x:f>
        <x:v>0</x:v>
      </x:c>
      <x:c r="K1663" t="n">
        <x:v>0</x:v>
      </x:c>
      <x:c r="L1663" t="n">
        <x:f>ROUND(F1663*K1663/100,2)</x:f>
        <x:v>0</x:v>
      </x:c>
      <x:c r="M1663" t="n">
        <x:v>100</x:v>
      </x:c>
      <x:c r="N1663" t="n">
        <x:f>ROUND(F1663*M1663/100,2)</x:f>
        <x:v>5</x:v>
      </x:c>
      <x:c r="O1663" t="str">
        <x:v>实际用油重</x:v>
      </x:c>
    </x:row>
    <x:row r="1664" ht="23" customHeight="1">
      <x:c r="A1664" t="n">
        <x:v>278</x:v>
      </x:c>
      <x:c r="B1664" t="n">
        <x:v>139</x:v>
      </x:c>
      <x:c r="C1664" t="str">
        <x:v>晚餐</x:v>
      </x:c>
      <x:c r="D1664" t="str">
        <x:v>豆蛋</x:v>
      </x:c>
      <x:c r="E1664" t="str">
        <x:v>北豆腐</x:v>
      </x:c>
      <x:c r="F1664" t="n">
        <x:v>280</x:v>
      </x:c>
      <x:c r="G1664" t="n">
        <x:v>90</x:v>
      </x:c>
      <x:c r="H1664" t="n">
        <x:f>ROUND(F1664*G1664/100,2)</x:f>
        <x:v>252</x:v>
      </x:c>
      <x:c r="I1664" t="n">
        <x:v>10</x:v>
      </x:c>
      <x:c r="J1664" t="n">
        <x:f>ROUND(F1664*I1664/100,2)</x:f>
        <x:v>28</x:v>
      </x:c>
      <x:c r="K1664" t="n">
        <x:v>2</x:v>
      </x:c>
      <x:c r="L1664" t="n">
        <x:f>ROUND(F1664*K1664/100,2)</x:f>
        <x:v>5.6</x:v>
      </x:c>
      <x:c r="M1664" t="n">
        <x:v>5</x:v>
      </x:c>
      <x:c r="N1664" t="n">
        <x:f>ROUND(F1664*M1664/100,2)</x:f>
        <x:v>14</x:v>
      </x:c>
      <x:c r="O1664" t="str">
        <x:v>净重</x:v>
      </x:c>
    </x:row>
    <x:row r="1665" ht="23" customHeight="1">
      <x:c r="A1665" t="n">
        <x:v>278</x:v>
      </x:c>
      <x:c r="B1665" t="n">
        <x:v>139</x:v>
      </x:c>
      <x:c r="C1665" t="str">
        <x:v>晚餐</x:v>
      </x:c>
      <x:c r="D1665" t="str">
        <x:v>海鲜</x:v>
      </x:c>
      <x:c r="E1665" t="str">
        <x:v>虾仁</x:v>
      </x:c>
      <x:c r="F1665" t="n">
        <x:v>65</x:v>
      </x:c>
      <x:c r="G1665" t="n">
        <x:v>90</x:v>
      </x:c>
      <x:c r="H1665" t="n">
        <x:f>ROUND(F1665*G1665/100,2)</x:f>
        <x:v>58.5</x:v>
      </x:c>
      <x:c r="I1665" t="n">
        <x:v>19</x:v>
      </x:c>
      <x:c r="J1665" t="n">
        <x:f>ROUND(F1665*I1665/100,2)</x:f>
        <x:v>12.35</x:v>
      </x:c>
      <x:c r="K1665" t="n">
        <x:v>0.4</x:v>
      </x:c>
      <x:c r="L1665" t="n">
        <x:f>ROUND(F1665*K1665/100,2)</x:f>
        <x:v>0.26</x:v>
      </x:c>
      <x:c r="M1665" t="n">
        <x:v>1.1</x:v>
      </x:c>
      <x:c r="N1665" t="n">
        <x:f>ROUND(F1665*M1665/100,2)</x:f>
        <x:v>0.72</x:v>
      </x:c>
      <x:c r="O1665" t="str">
        <x:v>生重</x:v>
      </x:c>
    </x:row>
    <x:row r="1666" ht="23" customHeight="1">
      <x:c r="A1666" t="n">
        <x:v>278</x:v>
      </x:c>
      <x:c r="B1666" t="n">
        <x:v>139</x:v>
      </x:c>
      <x:c r="C1666" t="str">
        <x:v>晚餐</x:v>
      </x:c>
      <x:c r="D1666" t="str">
        <x:v>蔬菜</x:v>
      </x:c>
      <x:c r="E1666" t="str">
        <x:v>番茄</x:v>
      </x:c>
      <x:c r="F1666" t="n">
        <x:v>190</x:v>
      </x:c>
      <x:c r="G1666" t="n">
        <x:v>20</x:v>
      </x:c>
      <x:c r="H1666" t="n">
        <x:f>ROUND(F1666*G1666/100,2)</x:f>
        <x:v>38</x:v>
      </x:c>
      <x:c r="I1666" t="n">
        <x:v>0.9</x:v>
      </x:c>
      <x:c r="J1666" t="n">
        <x:f>ROUND(F1666*I1666/100,2)</x:f>
        <x:v>1.71</x:v>
      </x:c>
      <x:c r="K1666" t="n">
        <x:v>4</x:v>
      </x:c>
      <x:c r="L1666" t="n">
        <x:f>ROUND(F1666*K1666/100,2)</x:f>
        <x:v>7.6</x:v>
      </x:c>
      <x:c r="M1666" t="n">
        <x:v>0.2</x:v>
      </x:c>
      <x:c r="N1666" t="n">
        <x:f>ROUND(F1666*M1666/100,2)</x:f>
        <x:v>0.38</x:v>
      </x:c>
      <x:c r="O1666" t="str">
        <x:v>生重</x:v>
      </x:c>
    </x:row>
    <x:row r="1667" ht="23" customHeight="1">
      <x:c r="A1667" t="n">
        <x:v>278</x:v>
      </x:c>
      <x:c r="B1667" t="n">
        <x:v>139</x:v>
      </x:c>
      <x:c r="C1667" t="str">
        <x:v>晚餐</x:v>
      </x:c>
      <x:c r="D1667" t="str">
        <x:v>蔬菜</x:v>
      </x:c>
      <x:c r="E1667" t="str">
        <x:v>菜心</x:v>
      </x:c>
      <x:c r="F1667" t="n">
        <x:v>155</x:v>
      </x:c>
      <x:c r="G1667" t="n">
        <x:v>20</x:v>
      </x:c>
      <x:c r="H1667" t="n">
        <x:f>ROUND(F1667*G1667/100,2)</x:f>
        <x:v>31</x:v>
      </x:c>
      <x:c r="I1667" t="n">
        <x:v>2</x:v>
      </x:c>
      <x:c r="J1667" t="n">
        <x:f>ROUND(F1667*I1667/100,2)</x:f>
        <x:v>3.1</x:v>
      </x:c>
      <x:c r="K1667" t="n">
        <x:v>3.5</x:v>
      </x:c>
      <x:c r="L1667" t="n">
        <x:f>ROUND(F1667*K1667/100,2)</x:f>
        <x:v>5.43</x:v>
      </x:c>
      <x:c r="M1667" t="n">
        <x:v>0.3</x:v>
      </x:c>
      <x:c r="N1667" t="n">
        <x:f>ROUND(F1667*M1667/100,2)</x:f>
        <x:v>0.47</x:v>
      </x:c>
      <x:c r="O1667" t="str">
        <x:v>生重</x:v>
      </x:c>
    </x:row>
    <x:row r="1668" ht="23" customHeight="1">
      <x:c r="A1668" t="n">
        <x:v>278</x:v>
      </x:c>
      <x:c r="B1668" t="n">
        <x:v>139</x:v>
      </x:c>
      <x:c r="C1668" t="str">
        <x:v>晚餐</x:v>
      </x:c>
      <x:c r="D1668" t="str">
        <x:v>主食</x:v>
      </x:c>
      <x:c r="E1668" t="str">
        <x:v>藜麦饭</x:v>
      </x:c>
      <x:c r="F1668" t="n">
        <x:v>125</x:v>
      </x:c>
      <x:c r="G1668" t="n">
        <x:v>120</x:v>
      </x:c>
      <x:c r="H1668" t="n">
        <x:f>ROUND(F1668*G1668/100,2)</x:f>
        <x:v>150</x:v>
      </x:c>
      <x:c r="I1668" t="n">
        <x:v>4.4</x:v>
      </x:c>
      <x:c r="J1668" t="n">
        <x:f>ROUND(F1668*I1668/100,2)</x:f>
        <x:v>5.5</x:v>
      </x:c>
      <x:c r="K1668" t="n">
        <x:v>21.3</x:v>
      </x:c>
      <x:c r="L1668" t="n">
        <x:f>ROUND(F1668*K1668/100,2)</x:f>
        <x:v>26.63</x:v>
      </x:c>
      <x:c r="M1668" t="n">
        <x:v>1.9</x:v>
      </x:c>
      <x:c r="N1668" t="n">
        <x:f>ROUND(F1668*M1668/100,2)</x:f>
        <x:v>2.38</x:v>
      </x:c>
      <x:c r="O1668" t="str">
        <x:v>熟重</x:v>
      </x:c>
    </x:row>
    <x:row r="1669" ht="23" customHeight="1">
      <x:c r="A1669" t="n">
        <x:v>278</x:v>
      </x:c>
      <x:c r="B1669" t="n">
        <x:v>139</x:v>
      </x:c>
      <x:c r="C1669" t="str">
        <x:v>晚餐</x:v>
      </x:c>
      <x:c r="D1669" t="str">
        <x:v>油脂</x:v>
      </x:c>
      <x:c r="E1669" t="str">
        <x:v>烹调油</x:v>
      </x:c>
      <x:c r="F1669" t="n">
        <x:v>3</x:v>
      </x:c>
      <x:c r="G1669" t="n">
        <x:v>900</x:v>
      </x:c>
      <x:c r="H1669" t="n">
        <x:f>ROUND(F1669*G1669/100,2)</x:f>
        <x:v>27</x:v>
      </x:c>
      <x:c r="I1669" t="n">
        <x:v>0</x:v>
      </x:c>
      <x:c r="J1669" t="n">
        <x:f>ROUND(F1669*I1669/100,2)</x:f>
        <x:v>0</x:v>
      </x:c>
      <x:c r="K1669" t="n">
        <x:v>0</x:v>
      </x:c>
      <x:c r="L1669" t="n">
        <x:f>ROUND(F1669*K1669/100,2)</x:f>
        <x:v>0</x:v>
      </x:c>
      <x:c r="M1669" t="n">
        <x:v>100</x:v>
      </x:c>
      <x:c r="N1669" t="n">
        <x:f>ROUND(F1669*M1669/100,2)</x:f>
        <x:v>3</x:v>
      </x:c>
      <x:c r="O1669" t="str">
        <x:v>实际用油重</x:v>
      </x:c>
    </x:row>
    <x:row r="1670" ht="23" customHeight="1">
      <x:c r="A1670" t="n">
        <x:v>279</x:v>
      </x:c>
      <x:c r="B1670" t="n">
        <x:v>140</x:v>
      </x:c>
      <x:c r="C1670" t="str">
        <x:v>午餐</x:v>
      </x:c>
      <x:c r="D1670" t="str">
        <x:v>禽肉</x:v>
      </x:c>
      <x:c r="E1670" t="str">
        <x:v>去皮鸡腿肉</x:v>
      </x:c>
      <x:c r="F1670" t="n">
        <x:v>185</x:v>
      </x:c>
      <x:c r="G1670" t="n">
        <x:v>125</x:v>
      </x:c>
      <x:c r="H1670" t="n">
        <x:f>ROUND(F1670*G1670/100,2)</x:f>
        <x:v>231.25</x:v>
      </x:c>
      <x:c r="I1670" t="n">
        <x:v>20</x:v>
      </x:c>
      <x:c r="J1670" t="n">
        <x:f>ROUND(F1670*I1670/100,2)</x:f>
        <x:v>37</x:v>
      </x:c>
      <x:c r="K1670" t="n">
        <x:v>0</x:v>
      </x:c>
      <x:c r="L1670" t="n">
        <x:f>ROUND(F1670*K1670/100,2)</x:f>
        <x:v>0</x:v>
      </x:c>
      <x:c r="M1670" t="n">
        <x:v>5</x:v>
      </x:c>
      <x:c r="N1670" t="n">
        <x:f>ROUND(F1670*M1670/100,2)</x:f>
        <x:v>9.25</x:v>
      </x:c>
      <x:c r="O1670" t="str">
        <x:v>生重</x:v>
      </x:c>
    </x:row>
    <x:row r="1671" ht="23" customHeight="1">
      <x:c r="A1671" t="n">
        <x:v>279</x:v>
      </x:c>
      <x:c r="B1671" t="n">
        <x:v>140</x:v>
      </x:c>
      <x:c r="C1671" t="str">
        <x:v>午餐</x:v>
      </x:c>
      <x:c r="D1671" t="str"/>
      <x:c r="E1671" t="str"/>
      <x:c r="F1671" t="n">
        <x:v>0</x:v>
      </x:c>
      <x:c r="G1671" t="n">
        <x:v>0</x:v>
      </x:c>
      <x:c r="H1671" t="n">
        <x:f>ROUND(F1671*G1671/100,2)</x:f>
        <x:v>0</x:v>
      </x:c>
      <x:c r="I1671" t="n">
        <x:v>0</x:v>
      </x:c>
      <x:c r="J1671" t="n">
        <x:f>ROUND(F1671*I1671/100,2)</x:f>
        <x:v>0</x:v>
      </x:c>
      <x:c r="K1671" t="n">
        <x:v>0</x:v>
      </x:c>
      <x:c r="L1671" t="n">
        <x:f>ROUND(F1671*K1671/100,2)</x:f>
        <x:v>0</x:v>
      </x:c>
      <x:c r="M1671" t="n">
        <x:v>0</x:v>
      </x:c>
      <x:c r="N1671" t="n">
        <x:f>ROUND(F1671*M1671/100,2)</x:f>
        <x:v>0</x:v>
      </x:c>
      <x:c r="O1671" t="str"/>
    </x:row>
    <x:row r="1672" ht="23" customHeight="1">
      <x:c r="A1672" t="n">
        <x:v>279</x:v>
      </x:c>
      <x:c r="B1672" t="n">
        <x:v>140</x:v>
      </x:c>
      <x:c r="C1672" t="str">
        <x:v>午餐</x:v>
      </x:c>
      <x:c r="D1672" t="str">
        <x:v>蔬菜</x:v>
      </x:c>
      <x:c r="E1672" t="str">
        <x:v>彩椒</x:v>
      </x:c>
      <x:c r="F1672" t="n">
        <x:v>160</x:v>
      </x:c>
      <x:c r="G1672" t="n">
        <x:v>27</x:v>
      </x:c>
      <x:c r="H1672" t="n">
        <x:f>ROUND(F1672*G1672/100,2)</x:f>
        <x:v>43.2</x:v>
      </x:c>
      <x:c r="I1672" t="n">
        <x:v>1</x:v>
      </x:c>
      <x:c r="J1672" t="n">
        <x:f>ROUND(F1672*I1672/100,2)</x:f>
        <x:v>1.6</x:v>
      </x:c>
      <x:c r="K1672" t="n">
        <x:v>6.1</x:v>
      </x:c>
      <x:c r="L1672" t="n">
        <x:f>ROUND(F1672*K1672/100,2)</x:f>
        <x:v>9.76</x:v>
      </x:c>
      <x:c r="M1672" t="n">
        <x:v>0.2</x:v>
      </x:c>
      <x:c r="N1672" t="n">
        <x:f>ROUND(F1672*M1672/100,2)</x:f>
        <x:v>0.32</x:v>
      </x:c>
      <x:c r="O1672" t="str">
        <x:v>生重</x:v>
      </x:c>
    </x:row>
    <x:row r="1673" ht="23" customHeight="1">
      <x:c r="A1673" t="n">
        <x:v>279</x:v>
      </x:c>
      <x:c r="B1673" t="n">
        <x:v>140</x:v>
      </x:c>
      <x:c r="C1673" t="str">
        <x:v>午餐</x:v>
      </x:c>
      <x:c r="D1673" t="str">
        <x:v>菌菇</x:v>
      </x:c>
      <x:c r="E1673" t="str">
        <x:v>口蘑</x:v>
      </x:c>
      <x:c r="F1673" t="n">
        <x:v>140</x:v>
      </x:c>
      <x:c r="G1673" t="n">
        <x:v>22</x:v>
      </x:c>
      <x:c r="H1673" t="n">
        <x:f>ROUND(F1673*G1673/100,2)</x:f>
        <x:v>30.8</x:v>
      </x:c>
      <x:c r="I1673" t="n">
        <x:v>3.1</x:v>
      </x:c>
      <x:c r="J1673" t="n">
        <x:f>ROUND(F1673*I1673/100,2)</x:f>
        <x:v>4.34</x:v>
      </x:c>
      <x:c r="K1673" t="n">
        <x:v>3.3</x:v>
      </x:c>
      <x:c r="L1673" t="n">
        <x:f>ROUND(F1673*K1673/100,2)</x:f>
        <x:v>4.62</x:v>
      </x:c>
      <x:c r="M1673" t="n">
        <x:v>0.3</x:v>
      </x:c>
      <x:c r="N1673" t="n">
        <x:f>ROUND(F1673*M1673/100,2)</x:f>
        <x:v>0.42</x:v>
      </x:c>
      <x:c r="O1673" t="str">
        <x:v>生重</x:v>
      </x:c>
    </x:row>
    <x:row r="1674" ht="23" customHeight="1">
      <x:c r="A1674" t="n">
        <x:v>279</x:v>
      </x:c>
      <x:c r="B1674" t="n">
        <x:v>140</x:v>
      </x:c>
      <x:c r="C1674" t="str">
        <x:v>午餐</x:v>
      </x:c>
      <x:c r="D1674" t="str">
        <x:v>主食</x:v>
      </x:c>
      <x:c r="E1674" t="str">
        <x:v>糙米饭</x:v>
      </x:c>
      <x:c r="F1674" t="n">
        <x:v>110</x:v>
      </x:c>
      <x:c r="G1674" t="n">
        <x:v>112</x:v>
      </x:c>
      <x:c r="H1674" t="n">
        <x:f>ROUND(F1674*G1674/100,2)</x:f>
        <x:v>123.2</x:v>
      </x:c>
      <x:c r="I1674" t="n">
        <x:v>2.6</x:v>
      </x:c>
      <x:c r="J1674" t="n">
        <x:f>ROUND(F1674*I1674/100,2)</x:f>
        <x:v>2.86</x:v>
      </x:c>
      <x:c r="K1674" t="n">
        <x:v>23.5</x:v>
      </x:c>
      <x:c r="L1674" t="n">
        <x:f>ROUND(F1674*K1674/100,2)</x:f>
        <x:v>25.85</x:v>
      </x:c>
      <x:c r="M1674" t="n">
        <x:v>0.9</x:v>
      </x:c>
      <x:c r="N1674" t="n">
        <x:f>ROUND(F1674*M1674/100,2)</x:f>
        <x:v>0.99</x:v>
      </x:c>
      <x:c r="O1674" t="str">
        <x:v>熟重</x:v>
      </x:c>
    </x:row>
    <x:row r="1675" ht="23" customHeight="1">
      <x:c r="A1675" t="n">
        <x:v>279</x:v>
      </x:c>
      <x:c r="B1675" t="n">
        <x:v>140</x:v>
      </x:c>
      <x:c r="C1675" t="str">
        <x:v>午餐</x:v>
      </x:c>
      <x:c r="D1675" t="str">
        <x:v>油脂</x:v>
      </x:c>
      <x:c r="E1675" t="str">
        <x:v>烹调油</x:v>
      </x:c>
      <x:c r="F1675" t="n">
        <x:v>6</x:v>
      </x:c>
      <x:c r="G1675" t="n">
        <x:v>900</x:v>
      </x:c>
      <x:c r="H1675" t="n">
        <x:f>ROUND(F1675*G1675/100,2)</x:f>
        <x:v>54</x:v>
      </x:c>
      <x:c r="I1675" t="n">
        <x:v>0</x:v>
      </x:c>
      <x:c r="J1675" t="n">
        <x:f>ROUND(F1675*I1675/100,2)</x:f>
        <x:v>0</x:v>
      </x:c>
      <x:c r="K1675" t="n">
        <x:v>0</x:v>
      </x:c>
      <x:c r="L1675" t="n">
        <x:f>ROUND(F1675*K1675/100,2)</x:f>
        <x:v>0</x:v>
      </x:c>
      <x:c r="M1675" t="n">
        <x:v>100</x:v>
      </x:c>
      <x:c r="N1675" t="n">
        <x:f>ROUND(F1675*M1675/100,2)</x:f>
        <x:v>6</x:v>
      </x:c>
      <x:c r="O1675" t="str">
        <x:v>实际用油重</x:v>
      </x:c>
    </x:row>
    <x:row r="1676" ht="23" customHeight="1">
      <x:c r="A1676" t="n">
        <x:v>280</x:v>
      </x:c>
      <x:c r="B1676" t="n">
        <x:v>140</x:v>
      </x:c>
      <x:c r="C1676" t="str">
        <x:v>晚餐</x:v>
      </x:c>
      <x:c r="D1676" t="str">
        <x:v>禽肉</x:v>
      </x:c>
      <x:c r="E1676" t="str">
        <x:v>鸡里脊肉</x:v>
      </x:c>
      <x:c r="F1676" t="n">
        <x:v>160</x:v>
      </x:c>
      <x:c r="G1676" t="n">
        <x:v>110</x:v>
      </x:c>
      <x:c r="H1676" t="n">
        <x:f>ROUND(F1676*G1676/100,2)</x:f>
        <x:v>176</x:v>
      </x:c>
      <x:c r="I1676" t="n">
        <x:v>23</x:v>
      </x:c>
      <x:c r="J1676" t="n">
        <x:f>ROUND(F1676*I1676/100,2)</x:f>
        <x:v>36.8</x:v>
      </x:c>
      <x:c r="K1676" t="n">
        <x:v>0</x:v>
      </x:c>
      <x:c r="L1676" t="n">
        <x:f>ROUND(F1676*K1676/100,2)</x:f>
        <x:v>0</x:v>
      </x:c>
      <x:c r="M1676" t="n">
        <x:v>1.8</x:v>
      </x:c>
      <x:c r="N1676" t="n">
        <x:f>ROUND(F1676*M1676/100,2)</x:f>
        <x:v>2.88</x:v>
      </x:c>
      <x:c r="O1676" t="str">
        <x:v>生重</x:v>
      </x:c>
    </x:row>
    <x:row r="1677" ht="23" customHeight="1">
      <x:c r="A1677" t="n">
        <x:v>280</x:v>
      </x:c>
      <x:c r="B1677" t="n">
        <x:v>140</x:v>
      </x:c>
      <x:c r="C1677" t="str">
        <x:v>晚餐</x:v>
      </x:c>
      <x:c r="D1677" t="str"/>
      <x:c r="E1677" t="str"/>
      <x:c r="F1677" t="n">
        <x:v>0</x:v>
      </x:c>
      <x:c r="G1677" t="n">
        <x:v>0</x:v>
      </x:c>
      <x:c r="H1677" t="n">
        <x:f>ROUND(F1677*G1677/100,2)</x:f>
        <x:v>0</x:v>
      </x:c>
      <x:c r="I1677" t="n">
        <x:v>0</x:v>
      </x:c>
      <x:c r="J1677" t="n">
        <x:f>ROUND(F1677*I1677/100,2)</x:f>
        <x:v>0</x:v>
      </x:c>
      <x:c r="K1677" t="n">
        <x:v>0</x:v>
      </x:c>
      <x:c r="L1677" t="n">
        <x:f>ROUND(F1677*K1677/100,2)</x:f>
        <x:v>0</x:v>
      </x:c>
      <x:c r="M1677" t="n">
        <x:v>0</x:v>
      </x:c>
      <x:c r="N1677" t="n">
        <x:f>ROUND(F1677*M1677/100,2)</x:f>
        <x:v>0</x:v>
      </x:c>
      <x:c r="O1677" t="str"/>
    </x:row>
    <x:row r="1678" ht="23" customHeight="1">
      <x:c r="A1678" t="n">
        <x:v>280</x:v>
      </x:c>
      <x:c r="B1678" t="n">
        <x:v>140</x:v>
      </x:c>
      <x:c r="C1678" t="str">
        <x:v>晚餐</x:v>
      </x:c>
      <x:c r="D1678" t="str">
        <x:v>蔬菜</x:v>
      </x:c>
      <x:c r="E1678" t="str">
        <x:v>紫甘蓝</x:v>
      </x:c>
      <x:c r="F1678" t="n">
        <x:v>160</x:v>
      </x:c>
      <x:c r="G1678" t="n">
        <x:v>31</x:v>
      </x:c>
      <x:c r="H1678" t="n">
        <x:f>ROUND(F1678*G1678/100,2)</x:f>
        <x:v>49.6</x:v>
      </x:c>
      <x:c r="I1678" t="n">
        <x:v>1.4</x:v>
      </x:c>
      <x:c r="J1678" t="n">
        <x:f>ROUND(F1678*I1678/100,2)</x:f>
        <x:v>2.24</x:v>
      </x:c>
      <x:c r="K1678" t="n">
        <x:v>7.3</x:v>
      </x:c>
      <x:c r="L1678" t="n">
        <x:f>ROUND(F1678*K1678/100,2)</x:f>
        <x:v>11.68</x:v>
      </x:c>
      <x:c r="M1678" t="n">
        <x:v>0.1</x:v>
      </x:c>
      <x:c r="N1678" t="n">
        <x:f>ROUND(F1678*M1678/100,2)</x:f>
        <x:v>0.16</x:v>
      </x:c>
      <x:c r="O1678" t="str">
        <x:v>生重</x:v>
      </x:c>
    </x:row>
    <x:row r="1679" ht="23" customHeight="1">
      <x:c r="A1679" t="n">
        <x:v>280</x:v>
      </x:c>
      <x:c r="B1679" t="n">
        <x:v>140</x:v>
      </x:c>
      <x:c r="C1679" t="str">
        <x:v>晚餐</x:v>
      </x:c>
      <x:c r="D1679" t="str">
        <x:v>蔬菜</x:v>
      </x:c>
      <x:c r="E1679" t="str">
        <x:v>芦笋</x:v>
      </x:c>
      <x:c r="F1679" t="n">
        <x:v>125</x:v>
      </x:c>
      <x:c r="G1679" t="n">
        <x:v>20</x:v>
      </x:c>
      <x:c r="H1679" t="n">
        <x:f>ROUND(F1679*G1679/100,2)</x:f>
        <x:v>25</x:v>
      </x:c>
      <x:c r="I1679" t="n">
        <x:v>2.2</x:v>
      </x:c>
      <x:c r="J1679" t="n">
        <x:f>ROUND(F1679*I1679/100,2)</x:f>
        <x:v>2.75</x:v>
      </x:c>
      <x:c r="K1679" t="n">
        <x:v>3.9</x:v>
      </x:c>
      <x:c r="L1679" t="n">
        <x:f>ROUND(F1679*K1679/100,2)</x:f>
        <x:v>4.88</x:v>
      </x:c>
      <x:c r="M1679" t="n">
        <x:v>0.1</x:v>
      </x:c>
      <x:c r="N1679" t="n">
        <x:f>ROUND(F1679*M1679/100,2)</x:f>
        <x:v>0.13</x:v>
      </x:c>
      <x:c r="O1679" t="str">
        <x:v>生重</x:v>
      </x:c>
    </x:row>
    <x:row r="1680" ht="23" customHeight="1">
      <x:c r="A1680" t="n">
        <x:v>280</x:v>
      </x:c>
      <x:c r="B1680" t="n">
        <x:v>140</x:v>
      </x:c>
      <x:c r="C1680" t="str">
        <x:v>晚餐</x:v>
      </x:c>
      <x:c r="D1680" t="str">
        <x:v>主食</x:v>
      </x:c>
      <x:c r="E1680" t="str">
        <x:v>糙米饭</x:v>
      </x:c>
      <x:c r="F1680" t="n">
        <x:v>95</x:v>
      </x:c>
      <x:c r="G1680" t="n">
        <x:v>112</x:v>
      </x:c>
      <x:c r="H1680" t="n">
        <x:f>ROUND(F1680*G1680/100,2)</x:f>
        <x:v>106.4</x:v>
      </x:c>
      <x:c r="I1680" t="n">
        <x:v>2.6</x:v>
      </x:c>
      <x:c r="J1680" t="n">
        <x:f>ROUND(F1680*I1680/100,2)</x:f>
        <x:v>2.47</x:v>
      </x:c>
      <x:c r="K1680" t="n">
        <x:v>23.5</x:v>
      </x:c>
      <x:c r="L1680" t="n">
        <x:f>ROUND(F1680*K1680/100,2)</x:f>
        <x:v>22.33</x:v>
      </x:c>
      <x:c r="M1680" t="n">
        <x:v>0.9</x:v>
      </x:c>
      <x:c r="N1680" t="n">
        <x:f>ROUND(F1680*M1680/100,2)</x:f>
        <x:v>0.86</x:v>
      </x:c>
      <x:c r="O1680" t="str">
        <x:v>熟重</x:v>
      </x:c>
    </x:row>
    <x:row r="1681" ht="23" customHeight="1">
      <x:c r="A1681" t="n">
        <x:v>280</x:v>
      </x:c>
      <x:c r="B1681" t="n">
        <x:v>140</x:v>
      </x:c>
      <x:c r="C1681" t="str">
        <x:v>晚餐</x:v>
      </x:c>
      <x:c r="D1681" t="str">
        <x:v>油脂</x:v>
      </x:c>
      <x:c r="E1681" t="str">
        <x:v>烹调油</x:v>
      </x:c>
      <x:c r="F1681" t="n">
        <x:v>3</x:v>
      </x:c>
      <x:c r="G1681" t="n">
        <x:v>900</x:v>
      </x:c>
      <x:c r="H1681" t="n">
        <x:f>ROUND(F1681*G1681/100,2)</x:f>
        <x:v>27</x:v>
      </x:c>
      <x:c r="I1681" t="n">
        <x:v>0</x:v>
      </x:c>
      <x:c r="J1681" t="n">
        <x:f>ROUND(F1681*I1681/100,2)</x:f>
        <x:v>0</x:v>
      </x:c>
      <x:c r="K1681" t="n">
        <x:v>0</x:v>
      </x:c>
      <x:c r="L1681" t="n">
        <x:f>ROUND(F1681*K1681/100,2)</x:f>
        <x:v>0</x:v>
      </x:c>
      <x:c r="M1681" t="n">
        <x:v>100</x:v>
      </x:c>
      <x:c r="N1681" t="n">
        <x:f>ROUND(F1681*M1681/100,2)</x:f>
        <x:v>3</x:v>
      </x:c>
      <x:c r="O1681" t="str">
        <x:v>实际用油重</x:v>
      </x:c>
    </x:row>
    <x:row r="1682" ht="23" customHeight="1">
      <x:c r="A1682" t="n">
        <x:v>281</x:v>
      </x:c>
      <x:c r="B1682" t="n">
        <x:v>141</x:v>
      </x:c>
      <x:c r="C1682" t="str">
        <x:v>午餐</x:v>
      </x:c>
      <x:c r="D1682" t="str">
        <x:v>牛肉</x:v>
      </x:c>
      <x:c r="E1682" t="str">
        <x:v>瘦牛肉</x:v>
      </x:c>
      <x:c r="F1682" t="n">
        <x:v>165</x:v>
      </x:c>
      <x:c r="G1682" t="n">
        <x:v>125</x:v>
      </x:c>
      <x:c r="H1682" t="n">
        <x:f>ROUND(F1682*G1682/100,2)</x:f>
        <x:v>206.25</x:v>
      </x:c>
      <x:c r="I1682" t="n">
        <x:v>21</x:v>
      </x:c>
      <x:c r="J1682" t="n">
        <x:f>ROUND(F1682*I1682/100,2)</x:f>
        <x:v>34.65</x:v>
      </x:c>
      <x:c r="K1682" t="n">
        <x:v>0</x:v>
      </x:c>
      <x:c r="L1682" t="n">
        <x:f>ROUND(F1682*K1682/100,2)</x:f>
        <x:v>0</x:v>
      </x:c>
      <x:c r="M1682" t="n">
        <x:v>4</x:v>
      </x:c>
      <x:c r="N1682" t="n">
        <x:f>ROUND(F1682*M1682/100,2)</x:f>
        <x:v>6.6</x:v>
      </x:c>
      <x:c r="O1682" t="str">
        <x:v>生重</x:v>
      </x:c>
    </x:row>
    <x:row r="1683" ht="23" customHeight="1">
      <x:c r="A1683" t="n">
        <x:v>281</x:v>
      </x:c>
      <x:c r="B1683" t="n">
        <x:v>141</x:v>
      </x:c>
      <x:c r="C1683" t="str">
        <x:v>午餐</x:v>
      </x:c>
      <x:c r="D1683" t="str"/>
      <x:c r="E1683" t="str"/>
      <x:c r="F1683" t="n">
        <x:v>0</x:v>
      </x:c>
      <x:c r="G1683" t="n">
        <x:v>0</x:v>
      </x:c>
      <x:c r="H1683" t="n">
        <x:f>ROUND(F1683*G1683/100,2)</x:f>
        <x:v>0</x:v>
      </x:c>
      <x:c r="I1683" t="n">
        <x:v>0</x:v>
      </x:c>
      <x:c r="J1683" t="n">
        <x:f>ROUND(F1683*I1683/100,2)</x:f>
        <x:v>0</x:v>
      </x:c>
      <x:c r="K1683" t="n">
        <x:v>0</x:v>
      </x:c>
      <x:c r="L1683" t="n">
        <x:f>ROUND(F1683*K1683/100,2)</x:f>
        <x:v>0</x:v>
      </x:c>
      <x:c r="M1683" t="n">
        <x:v>0</x:v>
      </x:c>
      <x:c r="N1683" t="n">
        <x:f>ROUND(F1683*M1683/100,2)</x:f>
        <x:v>0</x:v>
      </x:c>
      <x:c r="O1683" t="str"/>
    </x:row>
    <x:row r="1684" ht="23" customHeight="1">
      <x:c r="A1684" t="n">
        <x:v>281</x:v>
      </x:c>
      <x:c r="B1684" t="n">
        <x:v>141</x:v>
      </x:c>
      <x:c r="C1684" t="str">
        <x:v>午餐</x:v>
      </x:c>
      <x:c r="D1684" t="str">
        <x:v>蔬菜</x:v>
      </x:c>
      <x:c r="E1684" t="str">
        <x:v>西兰花</x:v>
      </x:c>
      <x:c r="F1684" t="n">
        <x:v>140</x:v>
      </x:c>
      <x:c r="G1684" t="n">
        <x:v>34</x:v>
      </x:c>
      <x:c r="H1684" t="n">
        <x:f>ROUND(F1684*G1684/100,2)</x:f>
        <x:v>47.6</x:v>
      </x:c>
      <x:c r="I1684" t="n">
        <x:v>2.8</x:v>
      </x:c>
      <x:c r="J1684" t="n">
        <x:f>ROUND(F1684*I1684/100,2)</x:f>
        <x:v>3.92</x:v>
      </x:c>
      <x:c r="K1684" t="n">
        <x:v>7</x:v>
      </x:c>
      <x:c r="L1684" t="n">
        <x:f>ROUND(F1684*K1684/100,2)</x:f>
        <x:v>9.8</x:v>
      </x:c>
      <x:c r="M1684" t="n">
        <x:v>0.4</x:v>
      </x:c>
      <x:c r="N1684" t="n">
        <x:f>ROUND(F1684*M1684/100,2)</x:f>
        <x:v>0.56</x:v>
      </x:c>
      <x:c r="O1684" t="str">
        <x:v>生重</x:v>
      </x:c>
    </x:row>
    <x:row r="1685" ht="23" customHeight="1">
      <x:c r="A1685" t="n">
        <x:v>281</x:v>
      </x:c>
      <x:c r="B1685" t="n">
        <x:v>141</x:v>
      </x:c>
      <x:c r="C1685" t="str">
        <x:v>午餐</x:v>
      </x:c>
      <x:c r="D1685" t="str">
        <x:v>菌菇</x:v>
      </x:c>
      <x:c r="E1685" t="str">
        <x:v>口蘑</x:v>
      </x:c>
      <x:c r="F1685" t="n">
        <x:v>155</x:v>
      </x:c>
      <x:c r="G1685" t="n">
        <x:v>22</x:v>
      </x:c>
      <x:c r="H1685" t="n">
        <x:f>ROUND(F1685*G1685/100,2)</x:f>
        <x:v>34.1</x:v>
      </x:c>
      <x:c r="I1685" t="n">
        <x:v>3.1</x:v>
      </x:c>
      <x:c r="J1685" t="n">
        <x:f>ROUND(F1685*I1685/100,2)</x:f>
        <x:v>4.81</x:v>
      </x:c>
      <x:c r="K1685" t="n">
        <x:v>3.3</x:v>
      </x:c>
      <x:c r="L1685" t="n">
        <x:f>ROUND(F1685*K1685/100,2)</x:f>
        <x:v>5.12</x:v>
      </x:c>
      <x:c r="M1685" t="n">
        <x:v>0.3</x:v>
      </x:c>
      <x:c r="N1685" t="n">
        <x:f>ROUND(F1685*M1685/100,2)</x:f>
        <x:v>0.47</x:v>
      </x:c>
      <x:c r="O1685" t="str">
        <x:v>生重</x:v>
      </x:c>
    </x:row>
    <x:row r="1686" ht="23" customHeight="1">
      <x:c r="A1686" t="n">
        <x:v>281</x:v>
      </x:c>
      <x:c r="B1686" t="n">
        <x:v>141</x:v>
      </x:c>
      <x:c r="C1686" t="str">
        <x:v>午餐</x:v>
      </x:c>
      <x:c r="D1686" t="str">
        <x:v>主食</x:v>
      </x:c>
      <x:c r="E1686" t="str">
        <x:v>土豆</x:v>
      </x:c>
      <x:c r="F1686" t="n">
        <x:v>150</x:v>
      </x:c>
      <x:c r="G1686" t="n">
        <x:v>78</x:v>
      </x:c>
      <x:c r="H1686" t="n">
        <x:f>ROUND(F1686*G1686/100,2)</x:f>
        <x:v>117</x:v>
      </x:c>
      <x:c r="I1686" t="n">
        <x:v>2</x:v>
      </x:c>
      <x:c r="J1686" t="n">
        <x:f>ROUND(F1686*I1686/100,2)</x:f>
        <x:v>3</x:v>
      </x:c>
      <x:c r="K1686" t="n">
        <x:v>17.2</x:v>
      </x:c>
      <x:c r="L1686" t="n">
        <x:f>ROUND(F1686*K1686/100,2)</x:f>
        <x:v>25.8</x:v>
      </x:c>
      <x:c r="M1686" t="n">
        <x:v>0.1</x:v>
      </x:c>
      <x:c r="N1686" t="n">
        <x:f>ROUND(F1686*M1686/100,2)</x:f>
        <x:v>0.15</x:v>
      </x:c>
      <x:c r="O1686" t="str">
        <x:v>蒸熟净重</x:v>
      </x:c>
    </x:row>
    <x:row r="1687" ht="23" customHeight="1">
      <x:c r="A1687" t="n">
        <x:v>281</x:v>
      </x:c>
      <x:c r="B1687" t="n">
        <x:v>141</x:v>
      </x:c>
      <x:c r="C1687" t="str">
        <x:v>午餐</x:v>
      </x:c>
      <x:c r="D1687" t="str">
        <x:v>油脂</x:v>
      </x:c>
      <x:c r="E1687" t="str">
        <x:v>烹调油</x:v>
      </x:c>
      <x:c r="F1687" t="n">
        <x:v>3</x:v>
      </x:c>
      <x:c r="G1687" t="n">
        <x:v>900</x:v>
      </x:c>
      <x:c r="H1687" t="n">
        <x:f>ROUND(F1687*G1687/100,2)</x:f>
        <x:v>27</x:v>
      </x:c>
      <x:c r="I1687" t="n">
        <x:v>0</x:v>
      </x:c>
      <x:c r="J1687" t="n">
        <x:f>ROUND(F1687*I1687/100,2)</x:f>
        <x:v>0</x:v>
      </x:c>
      <x:c r="K1687" t="n">
        <x:v>0</x:v>
      </x:c>
      <x:c r="L1687" t="n">
        <x:f>ROUND(F1687*K1687/100,2)</x:f>
        <x:v>0</x:v>
      </x:c>
      <x:c r="M1687" t="n">
        <x:v>100</x:v>
      </x:c>
      <x:c r="N1687" t="n">
        <x:f>ROUND(F1687*M1687/100,2)</x:f>
        <x:v>3</x:v>
      </x:c>
      <x:c r="O1687" t="str">
        <x:v>实际用油重</x:v>
      </x:c>
    </x:row>
    <x:row r="1688" ht="23" customHeight="1">
      <x:c r="A1688" t="n">
        <x:v>282</x:v>
      </x:c>
      <x:c r="B1688" t="n">
        <x:v>141</x:v>
      </x:c>
      <x:c r="C1688" t="str">
        <x:v>晚餐</x:v>
      </x:c>
      <x:c r="D1688" t="str">
        <x:v>禽肉</x:v>
      </x:c>
      <x:c r="E1688" t="str">
        <x:v>鸡胸肉</x:v>
      </x:c>
      <x:c r="F1688" t="n">
        <x:v>180</x:v>
      </x:c>
      <x:c r="G1688" t="n">
        <x:v>110</x:v>
      </x:c>
      <x:c r="H1688" t="n">
        <x:f>ROUND(F1688*G1688/100,2)</x:f>
        <x:v>198</x:v>
      </x:c>
      <x:c r="I1688" t="n">
        <x:v>23</x:v>
      </x:c>
      <x:c r="J1688" t="n">
        <x:f>ROUND(F1688*I1688/100,2)</x:f>
        <x:v>41.4</x:v>
      </x:c>
      <x:c r="K1688" t="n">
        <x:v>0</x:v>
      </x:c>
      <x:c r="L1688" t="n">
        <x:f>ROUND(F1688*K1688/100,2)</x:f>
        <x:v>0</x:v>
      </x:c>
      <x:c r="M1688" t="n">
        <x:v>2</x:v>
      </x:c>
      <x:c r="N1688" t="n">
        <x:f>ROUND(F1688*M1688/100,2)</x:f>
        <x:v>3.6</x:v>
      </x:c>
      <x:c r="O1688" t="str">
        <x:v>生重</x:v>
      </x:c>
    </x:row>
    <x:row r="1689" ht="23" customHeight="1">
      <x:c r="A1689" t="n">
        <x:v>282</x:v>
      </x:c>
      <x:c r="B1689" t="n">
        <x:v>141</x:v>
      </x:c>
      <x:c r="C1689" t="str">
        <x:v>晚餐</x:v>
      </x:c>
      <x:c r="D1689" t="str"/>
      <x:c r="E1689" t="str"/>
      <x:c r="F1689" t="n">
        <x:v>0</x:v>
      </x:c>
      <x:c r="G1689" t="n">
        <x:v>0</x:v>
      </x:c>
      <x:c r="H1689" t="n">
        <x:f>ROUND(F1689*G1689/100,2)</x:f>
        <x:v>0</x:v>
      </x:c>
      <x:c r="I1689" t="n">
        <x:v>0</x:v>
      </x:c>
      <x:c r="J1689" t="n">
        <x:f>ROUND(F1689*I1689/100,2)</x:f>
        <x:v>0</x:v>
      </x:c>
      <x:c r="K1689" t="n">
        <x:v>0</x:v>
      </x:c>
      <x:c r="L1689" t="n">
        <x:f>ROUND(F1689*K1689/100,2)</x:f>
        <x:v>0</x:v>
      </x:c>
      <x:c r="M1689" t="n">
        <x:v>0</x:v>
      </x:c>
      <x:c r="N1689" t="n">
        <x:f>ROUND(F1689*M1689/100,2)</x:f>
        <x:v>0</x:v>
      </x:c>
      <x:c r="O1689" t="str"/>
    </x:row>
    <x:row r="1690" ht="23" customHeight="1">
      <x:c r="A1690" t="n">
        <x:v>282</x:v>
      </x:c>
      <x:c r="B1690" t="n">
        <x:v>141</x:v>
      </x:c>
      <x:c r="C1690" t="str">
        <x:v>晚餐</x:v>
      </x:c>
      <x:c r="D1690" t="str">
        <x:v>蔬菜</x:v>
      </x:c>
      <x:c r="E1690" t="str">
        <x:v>芦笋</x:v>
      </x:c>
      <x:c r="F1690" t="n">
        <x:v>175</x:v>
      </x:c>
      <x:c r="G1690" t="n">
        <x:v>20</x:v>
      </x:c>
      <x:c r="H1690" t="n">
        <x:f>ROUND(F1690*G1690/100,2)</x:f>
        <x:v>35</x:v>
      </x:c>
      <x:c r="I1690" t="n">
        <x:v>2.2</x:v>
      </x:c>
      <x:c r="J1690" t="n">
        <x:f>ROUND(F1690*I1690/100,2)</x:f>
        <x:v>3.85</x:v>
      </x:c>
      <x:c r="K1690" t="n">
        <x:v>3.9</x:v>
      </x:c>
      <x:c r="L1690" t="n">
        <x:f>ROUND(F1690*K1690/100,2)</x:f>
        <x:v>6.83</x:v>
      </x:c>
      <x:c r="M1690" t="n">
        <x:v>0.1</x:v>
      </x:c>
      <x:c r="N1690" t="n">
        <x:f>ROUND(F1690*M1690/100,2)</x:f>
        <x:v>0.18</x:v>
      </x:c>
      <x:c r="O1690" t="str">
        <x:v>生重</x:v>
      </x:c>
    </x:row>
    <x:row r="1691" ht="23" customHeight="1">
      <x:c r="A1691" t="n">
        <x:v>282</x:v>
      </x:c>
      <x:c r="B1691" t="n">
        <x:v>141</x:v>
      </x:c>
      <x:c r="C1691" t="str">
        <x:v>晚餐</x:v>
      </x:c>
      <x:c r="D1691" t="str">
        <x:v>蔬菜</x:v>
      </x:c>
      <x:c r="E1691" t="str">
        <x:v>莴笋</x:v>
      </x:c>
      <x:c r="F1691" t="n">
        <x:v>110</x:v>
      </x:c>
      <x:c r="G1691" t="n">
        <x:v>15</x:v>
      </x:c>
      <x:c r="H1691" t="n">
        <x:f>ROUND(F1691*G1691/100,2)</x:f>
        <x:v>16.5</x:v>
      </x:c>
      <x:c r="I1691" t="n">
        <x:v>1</x:v>
      </x:c>
      <x:c r="J1691" t="n">
        <x:f>ROUND(F1691*I1691/100,2)</x:f>
        <x:v>1.1</x:v>
      </x:c>
      <x:c r="K1691" t="n">
        <x:v>2.8</x:v>
      </x:c>
      <x:c r="L1691" t="n">
        <x:f>ROUND(F1691*K1691/100,2)</x:f>
        <x:v>3.08</x:v>
      </x:c>
      <x:c r="M1691" t="n">
        <x:v>0.1</x:v>
      </x:c>
      <x:c r="N1691" t="n">
        <x:f>ROUND(F1691*M1691/100,2)</x:f>
        <x:v>0.11</x:v>
      </x:c>
      <x:c r="O1691" t="str">
        <x:v>生重</x:v>
      </x:c>
    </x:row>
    <x:row r="1692" ht="23" customHeight="1">
      <x:c r="A1692" t="n">
        <x:v>282</x:v>
      </x:c>
      <x:c r="B1692" t="n">
        <x:v>141</x:v>
      </x:c>
      <x:c r="C1692" t="str">
        <x:v>晚餐</x:v>
      </x:c>
      <x:c r="D1692" t="str">
        <x:v>主食</x:v>
      </x:c>
      <x:c r="E1692" t="str">
        <x:v>玉米</x:v>
      </x:c>
      <x:c r="F1692" t="n">
        <x:v>110</x:v>
      </x:c>
      <x:c r="G1692" t="n">
        <x:v>105</x:v>
      </x:c>
      <x:c r="H1692" t="n">
        <x:f>ROUND(F1692*G1692/100,2)</x:f>
        <x:v>115.5</x:v>
      </x:c>
      <x:c r="I1692" t="n">
        <x:v>3.4</x:v>
      </x:c>
      <x:c r="J1692" t="n">
        <x:f>ROUND(F1692*I1692/100,2)</x:f>
        <x:v>3.74</x:v>
      </x:c>
      <x:c r="K1692" t="n">
        <x:v>22</x:v>
      </x:c>
      <x:c r="L1692" t="n">
        <x:f>ROUND(F1692*K1692/100,2)</x:f>
        <x:v>24.2</x:v>
      </x:c>
      <x:c r="M1692" t="n">
        <x:v>1.5</x:v>
      </x:c>
      <x:c r="N1692" t="n">
        <x:f>ROUND(F1692*M1692/100,2)</x:f>
        <x:v>1.65</x:v>
      </x:c>
      <x:c r="O1692" t="str">
        <x:v>蒸熟净重</x:v>
      </x:c>
    </x:row>
    <x:row r="1693" ht="23" customHeight="1">
      <x:c r="A1693" t="n">
        <x:v>282</x:v>
      </x:c>
      <x:c r="B1693" t="n">
        <x:v>141</x:v>
      </x:c>
      <x:c r="C1693" t="str">
        <x:v>晚餐</x:v>
      </x:c>
      <x:c r="D1693" t="str">
        <x:v>油脂</x:v>
      </x:c>
      <x:c r="E1693" t="str">
        <x:v>烹调油</x:v>
      </x:c>
      <x:c r="F1693" t="n">
        <x:v>6</x:v>
      </x:c>
      <x:c r="G1693" t="n">
        <x:v>900</x:v>
      </x:c>
      <x:c r="H1693" t="n">
        <x:f>ROUND(F1693*G1693/100,2)</x:f>
        <x:v>54</x:v>
      </x:c>
      <x:c r="I1693" t="n">
        <x:v>0</x:v>
      </x:c>
      <x:c r="J1693" t="n">
        <x:f>ROUND(F1693*I1693/100,2)</x:f>
        <x:v>0</x:v>
      </x:c>
      <x:c r="K1693" t="n">
        <x:v>0</x:v>
      </x:c>
      <x:c r="L1693" t="n">
        <x:f>ROUND(F1693*K1693/100,2)</x:f>
        <x:v>0</x:v>
      </x:c>
      <x:c r="M1693" t="n">
        <x:v>100</x:v>
      </x:c>
      <x:c r="N1693" t="n">
        <x:f>ROUND(F1693*M1693/100,2)</x:f>
        <x:v>6</x:v>
      </x:c>
      <x:c r="O1693" t="str">
        <x:v>实际用油重</x:v>
      </x:c>
    </x:row>
    <x:row r="1694" ht="23" customHeight="1">
      <x:c r="A1694" t="n">
        <x:v>283</x:v>
      </x:c>
      <x:c r="B1694" t="n">
        <x:v>142</x:v>
      </x:c>
      <x:c r="C1694" t="str">
        <x:v>午餐</x:v>
      </x:c>
      <x:c r="D1694" t="str">
        <x:v>禽肉</x:v>
      </x:c>
      <x:c r="E1694" t="str">
        <x:v>鸡胸肉</x:v>
      </x:c>
      <x:c r="F1694" t="n">
        <x:v>175</x:v>
      </x:c>
      <x:c r="G1694" t="n">
        <x:v>110</x:v>
      </x:c>
      <x:c r="H1694" t="n">
        <x:f>ROUND(F1694*G1694/100,2)</x:f>
        <x:v>192.5</x:v>
      </x:c>
      <x:c r="I1694" t="n">
        <x:v>23</x:v>
      </x:c>
      <x:c r="J1694" t="n">
        <x:f>ROUND(F1694*I1694/100,2)</x:f>
        <x:v>40.25</x:v>
      </x:c>
      <x:c r="K1694" t="n">
        <x:v>0</x:v>
      </x:c>
      <x:c r="L1694" t="n">
        <x:f>ROUND(F1694*K1694/100,2)</x:f>
        <x:v>0</x:v>
      </x:c>
      <x:c r="M1694" t="n">
        <x:v>2</x:v>
      </x:c>
      <x:c r="N1694" t="n">
        <x:f>ROUND(F1694*M1694/100,2)</x:f>
        <x:v>3.5</x:v>
      </x:c>
      <x:c r="O1694" t="str">
        <x:v>生重</x:v>
      </x:c>
    </x:row>
    <x:row r="1695" ht="23" customHeight="1">
      <x:c r="A1695" t="n">
        <x:v>283</x:v>
      </x:c>
      <x:c r="B1695" t="n">
        <x:v>142</x:v>
      </x:c>
      <x:c r="C1695" t="str">
        <x:v>午餐</x:v>
      </x:c>
      <x:c r="D1695" t="str">
        <x:v>豆蛋</x:v>
      </x:c>
      <x:c r="E1695" t="str">
        <x:v>北豆腐</x:v>
      </x:c>
      <x:c r="F1695" t="n">
        <x:v>110</x:v>
      </x:c>
      <x:c r="G1695" t="n">
        <x:v>90</x:v>
      </x:c>
      <x:c r="H1695" t="n">
        <x:f>ROUND(F1695*G1695/100,2)</x:f>
        <x:v>99</x:v>
      </x:c>
      <x:c r="I1695" t="n">
        <x:v>10</x:v>
      </x:c>
      <x:c r="J1695" t="n">
        <x:f>ROUND(F1695*I1695/100,2)</x:f>
        <x:v>11</x:v>
      </x:c>
      <x:c r="K1695" t="n">
        <x:v>2</x:v>
      </x:c>
      <x:c r="L1695" t="n">
        <x:f>ROUND(F1695*K1695/100,2)</x:f>
        <x:v>2.2</x:v>
      </x:c>
      <x:c r="M1695" t="n">
        <x:v>5</x:v>
      </x:c>
      <x:c r="N1695" t="n">
        <x:f>ROUND(F1695*M1695/100,2)</x:f>
        <x:v>5.5</x:v>
      </x:c>
      <x:c r="O1695" t="str">
        <x:v>净重</x:v>
      </x:c>
    </x:row>
    <x:row r="1696" ht="23" customHeight="1">
      <x:c r="A1696" t="n">
        <x:v>283</x:v>
      </x:c>
      <x:c r="B1696" t="n">
        <x:v>142</x:v>
      </x:c>
      <x:c r="C1696" t="str">
        <x:v>午餐</x:v>
      </x:c>
      <x:c r="D1696" t="str">
        <x:v>蔬菜</x:v>
      </x:c>
      <x:c r="E1696" t="str">
        <x:v>芦笋</x:v>
      </x:c>
      <x:c r="F1696" t="n">
        <x:v>140</x:v>
      </x:c>
      <x:c r="G1696" t="n">
        <x:v>20</x:v>
      </x:c>
      <x:c r="H1696" t="n">
        <x:f>ROUND(F1696*G1696/100,2)</x:f>
        <x:v>28</x:v>
      </x:c>
      <x:c r="I1696" t="n">
        <x:v>2.2</x:v>
      </x:c>
      <x:c r="J1696" t="n">
        <x:f>ROUND(F1696*I1696/100,2)</x:f>
        <x:v>3.08</x:v>
      </x:c>
      <x:c r="K1696" t="n">
        <x:v>3.9</x:v>
      </x:c>
      <x:c r="L1696" t="n">
        <x:f>ROUND(F1696*K1696/100,2)</x:f>
        <x:v>5.46</x:v>
      </x:c>
      <x:c r="M1696" t="n">
        <x:v>0.1</x:v>
      </x:c>
      <x:c r="N1696" t="n">
        <x:f>ROUND(F1696*M1696/100,2)</x:f>
        <x:v>0.14</x:v>
      </x:c>
      <x:c r="O1696" t="str">
        <x:v>生重</x:v>
      </x:c>
    </x:row>
    <x:row r="1697" ht="23" customHeight="1">
      <x:c r="A1697" t="n">
        <x:v>283</x:v>
      </x:c>
      <x:c r="B1697" t="n">
        <x:v>142</x:v>
      </x:c>
      <x:c r="C1697" t="str">
        <x:v>午餐</x:v>
      </x:c>
      <x:c r="D1697" t="str">
        <x:v>菌菇</x:v>
      </x:c>
      <x:c r="E1697" t="str">
        <x:v>香菇</x:v>
      </x:c>
      <x:c r="F1697" t="n">
        <x:v>155</x:v>
      </x:c>
      <x:c r="G1697" t="n">
        <x:v>34</x:v>
      </x:c>
      <x:c r="H1697" t="n">
        <x:f>ROUND(F1697*G1697/100,2)</x:f>
        <x:v>52.7</x:v>
      </x:c>
      <x:c r="I1697" t="n">
        <x:v>2.2</x:v>
      </x:c>
      <x:c r="J1697" t="n">
        <x:f>ROUND(F1697*I1697/100,2)</x:f>
        <x:v>3.41</x:v>
      </x:c>
      <x:c r="K1697" t="n">
        <x:v>6.8</x:v>
      </x:c>
      <x:c r="L1697" t="n">
        <x:f>ROUND(F1697*K1697/100,2)</x:f>
        <x:v>10.54</x:v>
      </x:c>
      <x:c r="M1697" t="n">
        <x:v>0.5</x:v>
      </x:c>
      <x:c r="N1697" t="n">
        <x:f>ROUND(F1697*M1697/100,2)</x:f>
        <x:v>0.78</x:v>
      </x:c>
      <x:c r="O1697" t="str">
        <x:v>生重</x:v>
      </x:c>
    </x:row>
    <x:row r="1698" ht="23" customHeight="1">
      <x:c r="A1698" t="n">
        <x:v>283</x:v>
      </x:c>
      <x:c r="B1698" t="n">
        <x:v>142</x:v>
      </x:c>
      <x:c r="C1698" t="str">
        <x:v>午餐</x:v>
      </x:c>
      <x:c r="D1698" t="str">
        <x:v>主食</x:v>
      </x:c>
      <x:c r="E1698" t="str">
        <x:v>荞麦面</x:v>
      </x:c>
      <x:c r="F1698" t="n">
        <x:v>110</x:v>
      </x:c>
      <x:c r="G1698" t="n">
        <x:v>105</x:v>
      </x:c>
      <x:c r="H1698" t="n">
        <x:f>ROUND(F1698*G1698/100,2)</x:f>
        <x:v>115.5</x:v>
      </x:c>
      <x:c r="I1698" t="n">
        <x:v>4</x:v>
      </x:c>
      <x:c r="J1698" t="n">
        <x:f>ROUND(F1698*I1698/100,2)</x:f>
        <x:v>4.4</x:v>
      </x:c>
      <x:c r="K1698" t="n">
        <x:v>21</x:v>
      </x:c>
      <x:c r="L1698" t="n">
        <x:f>ROUND(F1698*K1698/100,2)</x:f>
        <x:v>23.1</x:v>
      </x:c>
      <x:c r="M1698" t="n">
        <x:v>0.7</x:v>
      </x:c>
      <x:c r="N1698" t="n">
        <x:f>ROUND(F1698*M1698/100,2)</x:f>
        <x:v>0.77</x:v>
      </x:c>
      <x:c r="O1698" t="str">
        <x:v>煮熟沥水重</x:v>
      </x:c>
    </x:row>
    <x:row r="1699" ht="23" customHeight="1">
      <x:c r="A1699" t="n">
        <x:v>283</x:v>
      </x:c>
      <x:c r="B1699" t="n">
        <x:v>142</x:v>
      </x:c>
      <x:c r="C1699" t="str">
        <x:v>午餐</x:v>
      </x:c>
      <x:c r="D1699" t="str">
        <x:v>油脂</x:v>
      </x:c>
      <x:c r="E1699" t="str">
        <x:v>烹调油</x:v>
      </x:c>
      <x:c r="F1699" t="n">
        <x:v>3</x:v>
      </x:c>
      <x:c r="G1699" t="n">
        <x:v>900</x:v>
      </x:c>
      <x:c r="H1699" t="n">
        <x:f>ROUND(F1699*G1699/100,2)</x:f>
        <x:v>27</x:v>
      </x:c>
      <x:c r="I1699" t="n">
        <x:v>0</x:v>
      </x:c>
      <x:c r="J1699" t="n">
        <x:f>ROUND(F1699*I1699/100,2)</x:f>
        <x:v>0</x:v>
      </x:c>
      <x:c r="K1699" t="n">
        <x:v>0</x:v>
      </x:c>
      <x:c r="L1699" t="n">
        <x:f>ROUND(F1699*K1699/100,2)</x:f>
        <x:v>0</x:v>
      </x:c>
      <x:c r="M1699" t="n">
        <x:v>100</x:v>
      </x:c>
      <x:c r="N1699" t="n">
        <x:f>ROUND(F1699*M1699/100,2)</x:f>
        <x:v>3</x:v>
      </x:c>
      <x:c r="O1699" t="str">
        <x:v>实际用油重</x:v>
      </x:c>
    </x:row>
    <x:row r="1700" ht="23" customHeight="1">
      <x:c r="A1700" t="n">
        <x:v>284</x:v>
      </x:c>
      <x:c r="B1700" t="n">
        <x:v>142</x:v>
      </x:c>
      <x:c r="C1700" t="str">
        <x:v>晚餐</x:v>
      </x:c>
      <x:c r="D1700" t="str">
        <x:v>牛肉</x:v>
      </x:c>
      <x:c r="E1700" t="str">
        <x:v>牛腱子</x:v>
      </x:c>
      <x:c r="F1700" t="n">
        <x:v>145</x:v>
      </x:c>
      <x:c r="G1700" t="n">
        <x:v>140</x:v>
      </x:c>
      <x:c r="H1700" t="n">
        <x:f>ROUND(F1700*G1700/100,2)</x:f>
        <x:v>203</x:v>
      </x:c>
      <x:c r="I1700" t="n">
        <x:v>21</x:v>
      </x:c>
      <x:c r="J1700" t="n">
        <x:f>ROUND(F1700*I1700/100,2)</x:f>
        <x:v>30.45</x:v>
      </x:c>
      <x:c r="K1700" t="n">
        <x:v>0</x:v>
      </x:c>
      <x:c r="L1700" t="n">
        <x:f>ROUND(F1700*K1700/100,2)</x:f>
        <x:v>0</x:v>
      </x:c>
      <x:c r="M1700" t="n">
        <x:v>6</x:v>
      </x:c>
      <x:c r="N1700" t="n">
        <x:f>ROUND(F1700*M1700/100,2)</x:f>
        <x:v>8.7</x:v>
      </x:c>
      <x:c r="O1700" t="str">
        <x:v>生重</x:v>
      </x:c>
    </x:row>
    <x:row r="1701" ht="23" customHeight="1">
      <x:c r="A1701" t="n">
        <x:v>284</x:v>
      </x:c>
      <x:c r="B1701" t="n">
        <x:v>142</x:v>
      </x:c>
      <x:c r="C1701" t="str">
        <x:v>晚餐</x:v>
      </x:c>
      <x:c r="D1701" t="str"/>
      <x:c r="E1701" t="str"/>
      <x:c r="F1701" t="n">
        <x:v>0</x:v>
      </x:c>
      <x:c r="G1701" t="n">
        <x:v>0</x:v>
      </x:c>
      <x:c r="H1701" t="n">
        <x:f>ROUND(F1701*G1701/100,2)</x:f>
        <x:v>0</x:v>
      </x:c>
      <x:c r="I1701" t="n">
        <x:v>0</x:v>
      </x:c>
      <x:c r="J1701" t="n">
        <x:f>ROUND(F1701*I1701/100,2)</x:f>
        <x:v>0</x:v>
      </x:c>
      <x:c r="K1701" t="n">
        <x:v>0</x:v>
      </x:c>
      <x:c r="L1701" t="n">
        <x:f>ROUND(F1701*K1701/100,2)</x:f>
        <x:v>0</x:v>
      </x:c>
      <x:c r="M1701" t="n">
        <x:v>0</x:v>
      </x:c>
      <x:c r="N1701" t="n">
        <x:f>ROUND(F1701*M1701/100,2)</x:f>
        <x:v>0</x:v>
      </x:c>
      <x:c r="O1701" t="str"/>
    </x:row>
    <x:row r="1702" ht="23" customHeight="1">
      <x:c r="A1702" t="n">
        <x:v>284</x:v>
      </x:c>
      <x:c r="B1702" t="n">
        <x:v>142</x:v>
      </x:c>
      <x:c r="C1702" t="str">
        <x:v>晚餐</x:v>
      </x:c>
      <x:c r="D1702" t="str">
        <x:v>蔬菜</x:v>
      </x:c>
      <x:c r="E1702" t="str">
        <x:v>番茄</x:v>
      </x:c>
      <x:c r="F1702" t="n">
        <x:v>190</x:v>
      </x:c>
      <x:c r="G1702" t="n">
        <x:v>20</x:v>
      </x:c>
      <x:c r="H1702" t="n">
        <x:f>ROUND(F1702*G1702/100,2)</x:f>
        <x:v>38</x:v>
      </x:c>
      <x:c r="I1702" t="n">
        <x:v>0.9</x:v>
      </x:c>
      <x:c r="J1702" t="n">
        <x:f>ROUND(F1702*I1702/100,2)</x:f>
        <x:v>1.71</x:v>
      </x:c>
      <x:c r="K1702" t="n">
        <x:v>4</x:v>
      </x:c>
      <x:c r="L1702" t="n">
        <x:f>ROUND(F1702*K1702/100,2)</x:f>
        <x:v>7.6</x:v>
      </x:c>
      <x:c r="M1702" t="n">
        <x:v>0.2</x:v>
      </x:c>
      <x:c r="N1702" t="n">
        <x:f>ROUND(F1702*M1702/100,2)</x:f>
        <x:v>0.38</x:v>
      </x:c>
      <x:c r="O1702" t="str">
        <x:v>生重</x:v>
      </x:c>
    </x:row>
    <x:row r="1703" ht="23" customHeight="1">
      <x:c r="A1703" t="n">
        <x:v>284</x:v>
      </x:c>
      <x:c r="B1703" t="n">
        <x:v>142</x:v>
      </x:c>
      <x:c r="C1703" t="str">
        <x:v>晚餐</x:v>
      </x:c>
      <x:c r="D1703" t="str">
        <x:v>蔬菜</x:v>
      </x:c>
      <x:c r="E1703" t="str">
        <x:v>花菜</x:v>
      </x:c>
      <x:c r="F1703" t="n">
        <x:v>155</x:v>
      </x:c>
      <x:c r="G1703" t="n">
        <x:v>25</x:v>
      </x:c>
      <x:c r="H1703" t="n">
        <x:f>ROUND(F1703*G1703/100,2)</x:f>
        <x:v>38.75</x:v>
      </x:c>
      <x:c r="I1703" t="n">
        <x:v>2</x:v>
      </x:c>
      <x:c r="J1703" t="n">
        <x:f>ROUND(F1703*I1703/100,2)</x:f>
        <x:v>3.1</x:v>
      </x:c>
      <x:c r="K1703" t="n">
        <x:v>5</x:v>
      </x:c>
      <x:c r="L1703" t="n">
        <x:f>ROUND(F1703*K1703/100,2)</x:f>
        <x:v>7.75</x:v>
      </x:c>
      <x:c r="M1703" t="n">
        <x:v>0.3</x:v>
      </x:c>
      <x:c r="N1703" t="n">
        <x:f>ROUND(F1703*M1703/100,2)</x:f>
        <x:v>0.47</x:v>
      </x:c>
      <x:c r="O1703" t="str">
        <x:v>生重</x:v>
      </x:c>
    </x:row>
    <x:row r="1704" ht="23" customHeight="1">
      <x:c r="A1704" t="n">
        <x:v>284</x:v>
      </x:c>
      <x:c r="B1704" t="n">
        <x:v>142</x:v>
      </x:c>
      <x:c r="C1704" t="str">
        <x:v>晚餐</x:v>
      </x:c>
      <x:c r="D1704" t="str">
        <x:v>主食</x:v>
      </x:c>
      <x:c r="E1704" t="str">
        <x:v>糙米饭</x:v>
      </x:c>
      <x:c r="F1704" t="n">
        <x:v>95</x:v>
      </x:c>
      <x:c r="G1704" t="n">
        <x:v>112</x:v>
      </x:c>
      <x:c r="H1704" t="n">
        <x:f>ROUND(F1704*G1704/100,2)</x:f>
        <x:v>106.4</x:v>
      </x:c>
      <x:c r="I1704" t="n">
        <x:v>2.6</x:v>
      </x:c>
      <x:c r="J1704" t="n">
        <x:f>ROUND(F1704*I1704/100,2)</x:f>
        <x:v>2.47</x:v>
      </x:c>
      <x:c r="K1704" t="n">
        <x:v>23.5</x:v>
      </x:c>
      <x:c r="L1704" t="n">
        <x:f>ROUND(F1704*K1704/100,2)</x:f>
        <x:v>22.33</x:v>
      </x:c>
      <x:c r="M1704" t="n">
        <x:v>0.9</x:v>
      </x:c>
      <x:c r="N1704" t="n">
        <x:f>ROUND(F1704*M1704/100,2)</x:f>
        <x:v>0.86</x:v>
      </x:c>
      <x:c r="O1704" t="str">
        <x:v>熟重</x:v>
      </x:c>
    </x:row>
    <x:row r="1705" ht="23" customHeight="1">
      <x:c r="A1705" t="n">
        <x:v>284</x:v>
      </x:c>
      <x:c r="B1705" t="n">
        <x:v>142</x:v>
      </x:c>
      <x:c r="C1705" t="str">
        <x:v>晚餐</x:v>
      </x:c>
      <x:c r="D1705" t="str">
        <x:v>油脂</x:v>
      </x:c>
      <x:c r="E1705" t="str">
        <x:v>烹调油</x:v>
      </x:c>
      <x:c r="F1705" t="n">
        <x:v>5</x:v>
      </x:c>
      <x:c r="G1705" t="n">
        <x:v>900</x:v>
      </x:c>
      <x:c r="H1705" t="n">
        <x:f>ROUND(F1705*G1705/100,2)</x:f>
        <x:v>45</x:v>
      </x:c>
      <x:c r="I1705" t="n">
        <x:v>0</x:v>
      </x:c>
      <x:c r="J1705" t="n">
        <x:f>ROUND(F1705*I1705/100,2)</x:f>
        <x:v>0</x:v>
      </x:c>
      <x:c r="K1705" t="n">
        <x:v>0</x:v>
      </x:c>
      <x:c r="L1705" t="n">
        <x:f>ROUND(F1705*K1705/100,2)</x:f>
        <x:v>0</x:v>
      </x:c>
      <x:c r="M1705" t="n">
        <x:v>100</x:v>
      </x:c>
      <x:c r="N1705" t="n">
        <x:f>ROUND(F1705*M1705/100,2)</x:f>
        <x:v>5</x:v>
      </x:c>
      <x:c r="O1705" t="str">
        <x:v>实际用油重</x:v>
      </x:c>
    </x:row>
    <x:row r="1706" ht="23" customHeight="1">
      <x:c r="A1706" t="n">
        <x:v>285</x:v>
      </x:c>
      <x:c r="B1706" t="n">
        <x:v>143</x:v>
      </x:c>
      <x:c r="C1706" t="str">
        <x:v>午餐</x:v>
      </x:c>
      <x:c r="D1706" t="str">
        <x:v>禽肉</x:v>
      </x:c>
      <x:c r="E1706" t="str">
        <x:v>去皮鸡腿肉</x:v>
      </x:c>
      <x:c r="F1706" t="n">
        <x:v>165</x:v>
      </x:c>
      <x:c r="G1706" t="n">
        <x:v>125</x:v>
      </x:c>
      <x:c r="H1706" t="n">
        <x:f>ROUND(F1706*G1706/100,2)</x:f>
        <x:v>206.25</x:v>
      </x:c>
      <x:c r="I1706" t="n">
        <x:v>20</x:v>
      </x:c>
      <x:c r="J1706" t="n">
        <x:f>ROUND(F1706*I1706/100,2)</x:f>
        <x:v>33</x:v>
      </x:c>
      <x:c r="K1706" t="n">
        <x:v>0</x:v>
      </x:c>
      <x:c r="L1706" t="n">
        <x:f>ROUND(F1706*K1706/100,2)</x:f>
        <x:v>0</x:v>
      </x:c>
      <x:c r="M1706" t="n">
        <x:v>5</x:v>
      </x:c>
      <x:c r="N1706" t="n">
        <x:f>ROUND(F1706*M1706/100,2)</x:f>
        <x:v>8.25</x:v>
      </x:c>
      <x:c r="O1706" t="str">
        <x:v>生重</x:v>
      </x:c>
    </x:row>
    <x:row r="1707" ht="23" customHeight="1">
      <x:c r="A1707" t="n">
        <x:v>285</x:v>
      </x:c>
      <x:c r="B1707" t="n">
        <x:v>143</x:v>
      </x:c>
      <x:c r="C1707" t="str">
        <x:v>午餐</x:v>
      </x:c>
      <x:c r="D1707" t="str"/>
      <x:c r="E1707" t="str"/>
      <x:c r="F1707" t="n">
        <x:v>0</x:v>
      </x:c>
      <x:c r="G1707" t="n">
        <x:v>0</x:v>
      </x:c>
      <x:c r="H1707" t="n">
        <x:f>ROUND(F1707*G1707/100,2)</x:f>
        <x:v>0</x:v>
      </x:c>
      <x:c r="I1707" t="n">
        <x:v>0</x:v>
      </x:c>
      <x:c r="J1707" t="n">
        <x:f>ROUND(F1707*I1707/100,2)</x:f>
        <x:v>0</x:v>
      </x:c>
      <x:c r="K1707" t="n">
        <x:v>0</x:v>
      </x:c>
      <x:c r="L1707" t="n">
        <x:f>ROUND(F1707*K1707/100,2)</x:f>
        <x:v>0</x:v>
      </x:c>
      <x:c r="M1707" t="n">
        <x:v>0</x:v>
      </x:c>
      <x:c r="N1707" t="n">
        <x:f>ROUND(F1707*M1707/100,2)</x:f>
        <x:v>0</x:v>
      </x:c>
      <x:c r="O1707" t="str"/>
    </x:row>
    <x:row r="1708" ht="23" customHeight="1">
      <x:c r="A1708" t="n">
        <x:v>285</x:v>
      </x:c>
      <x:c r="B1708" t="n">
        <x:v>143</x:v>
      </x:c>
      <x:c r="C1708" t="str">
        <x:v>午餐</x:v>
      </x:c>
      <x:c r="D1708" t="str">
        <x:v>蔬菜</x:v>
      </x:c>
      <x:c r="E1708" t="str">
        <x:v>丝瓜</x:v>
      </x:c>
      <x:c r="F1708" t="n">
        <x:v>175</x:v>
      </x:c>
      <x:c r="G1708" t="n">
        <x:v>20</x:v>
      </x:c>
      <x:c r="H1708" t="n">
        <x:f>ROUND(F1708*G1708/100,2)</x:f>
        <x:v>35</x:v>
      </x:c>
      <x:c r="I1708" t="n">
        <x:v>1</x:v>
      </x:c>
      <x:c r="J1708" t="n">
        <x:f>ROUND(F1708*I1708/100,2)</x:f>
        <x:v>1.75</x:v>
      </x:c>
      <x:c r="K1708" t="n">
        <x:v>4</x:v>
      </x:c>
      <x:c r="L1708" t="n">
        <x:f>ROUND(F1708*K1708/100,2)</x:f>
        <x:v>7</x:v>
      </x:c>
      <x:c r="M1708" t="n">
        <x:v>0.2</x:v>
      </x:c>
      <x:c r="N1708" t="n">
        <x:f>ROUND(F1708*M1708/100,2)</x:f>
        <x:v>0.35</x:v>
      </x:c>
      <x:c r="O1708" t="str">
        <x:v>生重</x:v>
      </x:c>
    </x:row>
    <x:row r="1709" ht="23" customHeight="1">
      <x:c r="A1709" t="n">
        <x:v>285</x:v>
      </x:c>
      <x:c r="B1709" t="n">
        <x:v>143</x:v>
      </x:c>
      <x:c r="C1709" t="str">
        <x:v>午餐</x:v>
      </x:c>
      <x:c r="D1709" t="str">
        <x:v>蔬菜</x:v>
      </x:c>
      <x:c r="E1709" t="str">
        <x:v>西兰花</x:v>
      </x:c>
      <x:c r="F1709" t="n">
        <x:v>125</x:v>
      </x:c>
      <x:c r="G1709" t="n">
        <x:v>34</x:v>
      </x:c>
      <x:c r="H1709" t="n">
        <x:f>ROUND(F1709*G1709/100,2)</x:f>
        <x:v>42.5</x:v>
      </x:c>
      <x:c r="I1709" t="n">
        <x:v>2.8</x:v>
      </x:c>
      <x:c r="J1709" t="n">
        <x:f>ROUND(F1709*I1709/100,2)</x:f>
        <x:v>3.5</x:v>
      </x:c>
      <x:c r="K1709" t="n">
        <x:v>7</x:v>
      </x:c>
      <x:c r="L1709" t="n">
        <x:f>ROUND(F1709*K1709/100,2)</x:f>
        <x:v>8.75</x:v>
      </x:c>
      <x:c r="M1709" t="n">
        <x:v>0.4</x:v>
      </x:c>
      <x:c r="N1709" t="n">
        <x:f>ROUND(F1709*M1709/100,2)</x:f>
        <x:v>0.5</x:v>
      </x:c>
      <x:c r="O1709" t="str">
        <x:v>生重</x:v>
      </x:c>
    </x:row>
    <x:row r="1710" ht="23" customHeight="1">
      <x:c r="A1710" t="n">
        <x:v>285</x:v>
      </x:c>
      <x:c r="B1710" t="n">
        <x:v>143</x:v>
      </x:c>
      <x:c r="C1710" t="str">
        <x:v>午餐</x:v>
      </x:c>
      <x:c r="D1710" t="str">
        <x:v>主食</x:v>
      </x:c>
      <x:c r="E1710" t="str">
        <x:v>玉米</x:v>
      </x:c>
      <x:c r="F1710" t="n">
        <x:v>150</x:v>
      </x:c>
      <x:c r="G1710" t="n">
        <x:v>105</x:v>
      </x:c>
      <x:c r="H1710" t="n">
        <x:f>ROUND(F1710*G1710/100,2)</x:f>
        <x:v>157.5</x:v>
      </x:c>
      <x:c r="I1710" t="n">
        <x:v>3.4</x:v>
      </x:c>
      <x:c r="J1710" t="n">
        <x:f>ROUND(F1710*I1710/100,2)</x:f>
        <x:v>5.1</x:v>
      </x:c>
      <x:c r="K1710" t="n">
        <x:v>22</x:v>
      </x:c>
      <x:c r="L1710" t="n">
        <x:f>ROUND(F1710*K1710/100,2)</x:f>
        <x:v>33</x:v>
      </x:c>
      <x:c r="M1710" t="n">
        <x:v>1.5</x:v>
      </x:c>
      <x:c r="N1710" t="n">
        <x:f>ROUND(F1710*M1710/100,2)</x:f>
        <x:v>2.25</x:v>
      </x:c>
      <x:c r="O1710" t="str">
        <x:v>蒸熟净重</x:v>
      </x:c>
    </x:row>
    <x:row r="1711" ht="23" customHeight="1">
      <x:c r="A1711" t="n">
        <x:v>285</x:v>
      </x:c>
      <x:c r="B1711" t="n">
        <x:v>143</x:v>
      </x:c>
      <x:c r="C1711" t="str">
        <x:v>午餐</x:v>
      </x:c>
      <x:c r="D1711" t="str">
        <x:v>油脂</x:v>
      </x:c>
      <x:c r="E1711" t="str">
        <x:v>烹调油</x:v>
      </x:c>
      <x:c r="F1711" t="n">
        <x:v>5</x:v>
      </x:c>
      <x:c r="G1711" t="n">
        <x:v>900</x:v>
      </x:c>
      <x:c r="H1711" t="n">
        <x:f>ROUND(F1711*G1711/100,2)</x:f>
        <x:v>45</x:v>
      </x:c>
      <x:c r="I1711" t="n">
        <x:v>0</x:v>
      </x:c>
      <x:c r="J1711" t="n">
        <x:f>ROUND(F1711*I1711/100,2)</x:f>
        <x:v>0</x:v>
      </x:c>
      <x:c r="K1711" t="n">
        <x:v>0</x:v>
      </x:c>
      <x:c r="L1711" t="n">
        <x:f>ROUND(F1711*K1711/100,2)</x:f>
        <x:v>0</x:v>
      </x:c>
      <x:c r="M1711" t="n">
        <x:v>100</x:v>
      </x:c>
      <x:c r="N1711" t="n">
        <x:f>ROUND(F1711*M1711/100,2)</x:f>
        <x:v>5</x:v>
      </x:c>
      <x:c r="O1711" t="str">
        <x:v>实际用油重</x:v>
      </x:c>
    </x:row>
    <x:row r="1712" ht="23" customHeight="1">
      <x:c r="A1712" t="n">
        <x:v>286</x:v>
      </x:c>
      <x:c r="B1712" t="n">
        <x:v>143</x:v>
      </x:c>
      <x:c r="C1712" t="str">
        <x:v>晚餐</x:v>
      </x:c>
      <x:c r="D1712" t="str">
        <x:v>禽肉</x:v>
      </x:c>
      <x:c r="E1712" t="str">
        <x:v>鸡胸肉</x:v>
      </x:c>
      <x:c r="F1712" t="n">
        <x:v>170</x:v>
      </x:c>
      <x:c r="G1712" t="n">
        <x:v>110</x:v>
      </x:c>
      <x:c r="H1712" t="n">
        <x:f>ROUND(F1712*G1712/100,2)</x:f>
        <x:v>187</x:v>
      </x:c>
      <x:c r="I1712" t="n">
        <x:v>23</x:v>
      </x:c>
      <x:c r="J1712" t="n">
        <x:f>ROUND(F1712*I1712/100,2)</x:f>
        <x:v>39.1</x:v>
      </x:c>
      <x:c r="K1712" t="n">
        <x:v>0</x:v>
      </x:c>
      <x:c r="L1712" t="n">
        <x:f>ROUND(F1712*K1712/100,2)</x:f>
        <x:v>0</x:v>
      </x:c>
      <x:c r="M1712" t="n">
        <x:v>2</x:v>
      </x:c>
      <x:c r="N1712" t="n">
        <x:f>ROUND(F1712*M1712/100,2)</x:f>
        <x:v>3.4</x:v>
      </x:c>
      <x:c r="O1712" t="str">
        <x:v>生重</x:v>
      </x:c>
    </x:row>
    <x:row r="1713" ht="23" customHeight="1">
      <x:c r="A1713" t="n">
        <x:v>286</x:v>
      </x:c>
      <x:c r="B1713" t="n">
        <x:v>143</x:v>
      </x:c>
      <x:c r="C1713" t="str">
        <x:v>晚餐</x:v>
      </x:c>
      <x:c r="D1713" t="str"/>
      <x:c r="E1713" t="str"/>
      <x:c r="F1713" t="n">
        <x:v>0</x:v>
      </x:c>
      <x:c r="G1713" t="n">
        <x:v>0</x:v>
      </x:c>
      <x:c r="H1713" t="n">
        <x:f>ROUND(F1713*G1713/100,2)</x:f>
        <x:v>0</x:v>
      </x:c>
      <x:c r="I1713" t="n">
        <x:v>0</x:v>
      </x:c>
      <x:c r="J1713" t="n">
        <x:f>ROUND(F1713*I1713/100,2)</x:f>
        <x:v>0</x:v>
      </x:c>
      <x:c r="K1713" t="n">
        <x:v>0</x:v>
      </x:c>
      <x:c r="L1713" t="n">
        <x:f>ROUND(F1713*K1713/100,2)</x:f>
        <x:v>0</x:v>
      </x:c>
      <x:c r="M1713" t="n">
        <x:v>0</x:v>
      </x:c>
      <x:c r="N1713" t="n">
        <x:f>ROUND(F1713*M1713/100,2)</x:f>
        <x:v>0</x:v>
      </x:c>
      <x:c r="O1713" t="str"/>
    </x:row>
    <x:row r="1714" ht="23" customHeight="1">
      <x:c r="A1714" t="n">
        <x:v>286</x:v>
      </x:c>
      <x:c r="B1714" t="n">
        <x:v>143</x:v>
      </x:c>
      <x:c r="C1714" t="str">
        <x:v>晚餐</x:v>
      </x:c>
      <x:c r="D1714" t="str">
        <x:v>蔬菜</x:v>
      </x:c>
      <x:c r="E1714" t="str">
        <x:v>番茄</x:v>
      </x:c>
      <x:c r="F1714" t="n">
        <x:v>140</x:v>
      </x:c>
      <x:c r="G1714" t="n">
        <x:v>20</x:v>
      </x:c>
      <x:c r="H1714" t="n">
        <x:f>ROUND(F1714*G1714/100,2)</x:f>
        <x:v>28</x:v>
      </x:c>
      <x:c r="I1714" t="n">
        <x:v>0.9</x:v>
      </x:c>
      <x:c r="J1714" t="n">
        <x:f>ROUND(F1714*I1714/100,2)</x:f>
        <x:v>1.26</x:v>
      </x:c>
      <x:c r="K1714" t="n">
        <x:v>4</x:v>
      </x:c>
      <x:c r="L1714" t="n">
        <x:f>ROUND(F1714*K1714/100,2)</x:f>
        <x:v>5.6</x:v>
      </x:c>
      <x:c r="M1714" t="n">
        <x:v>0.2</x:v>
      </x:c>
      <x:c r="N1714" t="n">
        <x:f>ROUND(F1714*M1714/100,2)</x:f>
        <x:v>0.28</x:v>
      </x:c>
      <x:c r="O1714" t="str">
        <x:v>生重</x:v>
      </x:c>
    </x:row>
    <x:row r="1715" ht="23" customHeight="1">
      <x:c r="A1715" t="n">
        <x:v>286</x:v>
      </x:c>
      <x:c r="B1715" t="n">
        <x:v>143</x:v>
      </x:c>
      <x:c r="C1715" t="str">
        <x:v>晚餐</x:v>
      </x:c>
      <x:c r="D1715" t="str">
        <x:v>菌菇</x:v>
      </x:c>
      <x:c r="E1715" t="str">
        <x:v>泡发木耳</x:v>
      </x:c>
      <x:c r="F1715" t="n">
        <x:v>140</x:v>
      </x:c>
      <x:c r="G1715" t="n">
        <x:v>25</x:v>
      </x:c>
      <x:c r="H1715" t="n">
        <x:f>ROUND(F1715*G1715/100,2)</x:f>
        <x:v>35</x:v>
      </x:c>
      <x:c r="I1715" t="n">
        <x:v>1.5</x:v>
      </x:c>
      <x:c r="J1715" t="n">
        <x:f>ROUND(F1715*I1715/100,2)</x:f>
        <x:v>2.1</x:v>
      </x:c>
      <x:c r="K1715" t="n">
        <x:v>6</x:v>
      </x:c>
      <x:c r="L1715" t="n">
        <x:f>ROUND(F1715*K1715/100,2)</x:f>
        <x:v>8.4</x:v>
      </x:c>
      <x:c r="M1715" t="n">
        <x:v>0.1</x:v>
      </x:c>
      <x:c r="N1715" t="n">
        <x:f>ROUND(F1715*M1715/100,2)</x:f>
        <x:v>0.14</x:v>
      </x:c>
      <x:c r="O1715" t="str">
        <x:v>泡发沥水重</x:v>
      </x:c>
    </x:row>
    <x:row r="1716" ht="23" customHeight="1">
      <x:c r="A1716" t="n">
        <x:v>286</x:v>
      </x:c>
      <x:c r="B1716" t="n">
        <x:v>143</x:v>
      </x:c>
      <x:c r="C1716" t="str">
        <x:v>晚餐</x:v>
      </x:c>
      <x:c r="D1716" t="str">
        <x:v>主食</x:v>
      </x:c>
      <x:c r="E1716" t="str">
        <x:v>杂粮饭</x:v>
      </x:c>
      <x:c r="F1716" t="n">
        <x:v>135</x:v>
      </x:c>
      <x:c r="G1716" t="n">
        <x:v>115</x:v>
      </x:c>
      <x:c r="H1716" t="n">
        <x:f>ROUND(F1716*G1716/100,2)</x:f>
        <x:v>155.25</x:v>
      </x:c>
      <x:c r="I1716" t="n">
        <x:v>3.1</x:v>
      </x:c>
      <x:c r="J1716" t="n">
        <x:f>ROUND(F1716*I1716/100,2)</x:f>
        <x:v>4.18</x:v>
      </x:c>
      <x:c r="K1716" t="n">
        <x:v>23.5</x:v>
      </x:c>
      <x:c r="L1716" t="n">
        <x:f>ROUND(F1716*K1716/100,2)</x:f>
        <x:v>31.73</x:v>
      </x:c>
      <x:c r="M1716" t="n">
        <x:v>1.1</x:v>
      </x:c>
      <x:c r="N1716" t="n">
        <x:f>ROUND(F1716*M1716/100,2)</x:f>
        <x:v>1.49</x:v>
      </x:c>
      <x:c r="O1716" t="str">
        <x:v>熟重</x:v>
      </x:c>
    </x:row>
    <x:row r="1717" ht="23" customHeight="1">
      <x:c r="A1717" t="n">
        <x:v>286</x:v>
      </x:c>
      <x:c r="B1717" t="n">
        <x:v>143</x:v>
      </x:c>
      <x:c r="C1717" t="str">
        <x:v>晚餐</x:v>
      </x:c>
      <x:c r="D1717" t="str">
        <x:v>油脂</x:v>
      </x:c>
      <x:c r="E1717" t="str">
        <x:v>烹调油</x:v>
      </x:c>
      <x:c r="F1717" t="n">
        <x:v>3</x:v>
      </x:c>
      <x:c r="G1717" t="n">
        <x:v>900</x:v>
      </x:c>
      <x:c r="H1717" t="n">
        <x:f>ROUND(F1717*G1717/100,2)</x:f>
        <x:v>27</x:v>
      </x:c>
      <x:c r="I1717" t="n">
        <x:v>0</x:v>
      </x:c>
      <x:c r="J1717" t="n">
        <x:f>ROUND(F1717*I1717/100,2)</x:f>
        <x:v>0</x:v>
      </x:c>
      <x:c r="K1717" t="n">
        <x:v>0</x:v>
      </x:c>
      <x:c r="L1717" t="n">
        <x:f>ROUND(F1717*K1717/100,2)</x:f>
        <x:v>0</x:v>
      </x:c>
      <x:c r="M1717" t="n">
        <x:v>100</x:v>
      </x:c>
      <x:c r="N1717" t="n">
        <x:f>ROUND(F1717*M1717/100,2)</x:f>
        <x:v>3</x:v>
      </x:c>
      <x:c r="O1717" t="str">
        <x:v>实际用油重</x:v>
      </x:c>
    </x:row>
    <x:row r="1718" ht="23" customHeight="1">
      <x:c r="A1718" t="n">
        <x:v>287</x:v>
      </x:c>
      <x:c r="B1718" t="n">
        <x:v>144</x:v>
      </x:c>
      <x:c r="C1718" t="str">
        <x:v>午餐</x:v>
      </x:c>
      <x:c r="D1718" t="str">
        <x:v>禽肉</x:v>
      </x:c>
      <x:c r="E1718" t="str">
        <x:v>去皮鸡腿肉</x:v>
      </x:c>
      <x:c r="F1718" t="n">
        <x:v>185</x:v>
      </x:c>
      <x:c r="G1718" t="n">
        <x:v>125</x:v>
      </x:c>
      <x:c r="H1718" t="n">
        <x:f>ROUND(F1718*G1718/100,2)</x:f>
        <x:v>231.25</x:v>
      </x:c>
      <x:c r="I1718" t="n">
        <x:v>20</x:v>
      </x:c>
      <x:c r="J1718" t="n">
        <x:f>ROUND(F1718*I1718/100,2)</x:f>
        <x:v>37</x:v>
      </x:c>
      <x:c r="K1718" t="n">
        <x:v>0</x:v>
      </x:c>
      <x:c r="L1718" t="n">
        <x:f>ROUND(F1718*K1718/100,2)</x:f>
        <x:v>0</x:v>
      </x:c>
      <x:c r="M1718" t="n">
        <x:v>5</x:v>
      </x:c>
      <x:c r="N1718" t="n">
        <x:f>ROUND(F1718*M1718/100,2)</x:f>
        <x:v>9.25</x:v>
      </x:c>
      <x:c r="O1718" t="str">
        <x:v>生重</x:v>
      </x:c>
    </x:row>
    <x:row r="1719" ht="23" customHeight="1">
      <x:c r="A1719" t="n">
        <x:v>287</x:v>
      </x:c>
      <x:c r="B1719" t="n">
        <x:v>144</x:v>
      </x:c>
      <x:c r="C1719" t="str">
        <x:v>午餐</x:v>
      </x:c>
      <x:c r="D1719" t="str"/>
      <x:c r="E1719" t="str"/>
      <x:c r="F1719" t="n">
        <x:v>0</x:v>
      </x:c>
      <x:c r="G1719" t="n">
        <x:v>0</x:v>
      </x:c>
      <x:c r="H1719" t="n">
        <x:f>ROUND(F1719*G1719/100,2)</x:f>
        <x:v>0</x:v>
      </x:c>
      <x:c r="I1719" t="n">
        <x:v>0</x:v>
      </x:c>
      <x:c r="J1719" t="n">
        <x:f>ROUND(F1719*I1719/100,2)</x:f>
        <x:v>0</x:v>
      </x:c>
      <x:c r="K1719" t="n">
        <x:v>0</x:v>
      </x:c>
      <x:c r="L1719" t="n">
        <x:f>ROUND(F1719*K1719/100,2)</x:f>
        <x:v>0</x:v>
      </x:c>
      <x:c r="M1719" t="n">
        <x:v>0</x:v>
      </x:c>
      <x:c r="N1719" t="n">
        <x:f>ROUND(F1719*M1719/100,2)</x:f>
        <x:v>0</x:v>
      </x:c>
      <x:c r="O1719" t="str"/>
    </x:row>
    <x:row r="1720" ht="23" customHeight="1">
      <x:c r="A1720" t="n">
        <x:v>287</x:v>
      </x:c>
      <x:c r="B1720" t="n">
        <x:v>144</x:v>
      </x:c>
      <x:c r="C1720" t="str">
        <x:v>午餐</x:v>
      </x:c>
      <x:c r="D1720" t="str">
        <x:v>蔬菜</x:v>
      </x:c>
      <x:c r="E1720" t="str">
        <x:v>番茄</x:v>
      </x:c>
      <x:c r="F1720" t="n">
        <x:v>190</x:v>
      </x:c>
      <x:c r="G1720" t="n">
        <x:v>20</x:v>
      </x:c>
      <x:c r="H1720" t="n">
        <x:f>ROUND(F1720*G1720/100,2)</x:f>
        <x:v>38</x:v>
      </x:c>
      <x:c r="I1720" t="n">
        <x:v>0.9</x:v>
      </x:c>
      <x:c r="J1720" t="n">
        <x:f>ROUND(F1720*I1720/100,2)</x:f>
        <x:v>1.71</x:v>
      </x:c>
      <x:c r="K1720" t="n">
        <x:v>4</x:v>
      </x:c>
      <x:c r="L1720" t="n">
        <x:f>ROUND(F1720*K1720/100,2)</x:f>
        <x:v>7.6</x:v>
      </x:c>
      <x:c r="M1720" t="n">
        <x:v>0.2</x:v>
      </x:c>
      <x:c r="N1720" t="n">
        <x:f>ROUND(F1720*M1720/100,2)</x:f>
        <x:v>0.38</x:v>
      </x:c>
      <x:c r="O1720" t="str">
        <x:v>生重</x:v>
      </x:c>
    </x:row>
    <x:row r="1721" ht="23" customHeight="1">
      <x:c r="A1721" t="n">
        <x:v>287</x:v>
      </x:c>
      <x:c r="B1721" t="n">
        <x:v>144</x:v>
      </x:c>
      <x:c r="C1721" t="str">
        <x:v>午餐</x:v>
      </x:c>
      <x:c r="D1721" t="str">
        <x:v>蔬菜</x:v>
      </x:c>
      <x:c r="E1721" t="str">
        <x:v>小白菜</x:v>
      </x:c>
      <x:c r="F1721" t="n">
        <x:v>110</x:v>
      </x:c>
      <x:c r="G1721" t="n">
        <x:v>17</x:v>
      </x:c>
      <x:c r="H1721" t="n">
        <x:f>ROUND(F1721*G1721/100,2)</x:f>
        <x:v>18.7</x:v>
      </x:c>
      <x:c r="I1721" t="n">
        <x:v>1.6</x:v>
      </x:c>
      <x:c r="J1721" t="n">
        <x:f>ROUND(F1721*I1721/100,2)</x:f>
        <x:v>1.76</x:v>
      </x:c>
      <x:c r="K1721" t="n">
        <x:v>2.8</x:v>
      </x:c>
      <x:c r="L1721" t="n">
        <x:f>ROUND(F1721*K1721/100,2)</x:f>
        <x:v>3.08</x:v>
      </x:c>
      <x:c r="M1721" t="n">
        <x:v>0.2</x:v>
      </x:c>
      <x:c r="N1721" t="n">
        <x:f>ROUND(F1721*M1721/100,2)</x:f>
        <x:v>0.22</x:v>
      </x:c>
      <x:c r="O1721" t="str">
        <x:v>生重</x:v>
      </x:c>
    </x:row>
    <x:row r="1722" ht="23" customHeight="1">
      <x:c r="A1722" t="n">
        <x:v>287</x:v>
      </x:c>
      <x:c r="B1722" t="n">
        <x:v>144</x:v>
      </x:c>
      <x:c r="C1722" t="str">
        <x:v>午餐</x:v>
      </x:c>
      <x:c r="D1722" t="str">
        <x:v>主食</x:v>
      </x:c>
      <x:c r="E1722" t="str">
        <x:v>红薯</x:v>
      </x:c>
      <x:c r="F1722" t="n">
        <x:v>150</x:v>
      </x:c>
      <x:c r="G1722" t="n">
        <x:v>88</x:v>
      </x:c>
      <x:c r="H1722" t="n">
        <x:f>ROUND(F1722*G1722/100,2)</x:f>
        <x:v>132</x:v>
      </x:c>
      <x:c r="I1722" t="n">
        <x:v>1.6</x:v>
      </x:c>
      <x:c r="J1722" t="n">
        <x:f>ROUND(F1722*I1722/100,2)</x:f>
        <x:v>2.4</x:v>
      </x:c>
      <x:c r="K1722" t="n">
        <x:v>20.5</x:v>
      </x:c>
      <x:c r="L1722" t="n">
        <x:f>ROUND(F1722*K1722/100,2)</x:f>
        <x:v>30.75</x:v>
      </x:c>
      <x:c r="M1722" t="n">
        <x:v>0.1</x:v>
      </x:c>
      <x:c r="N1722" t="n">
        <x:f>ROUND(F1722*M1722/100,2)</x:f>
        <x:v>0.15</x:v>
      </x:c>
      <x:c r="O1722" t="str">
        <x:v>蒸熟净重</x:v>
      </x:c>
    </x:row>
    <x:row r="1723" ht="23" customHeight="1">
      <x:c r="A1723" t="n">
        <x:v>287</x:v>
      </x:c>
      <x:c r="B1723" t="n">
        <x:v>144</x:v>
      </x:c>
      <x:c r="C1723" t="str">
        <x:v>午餐</x:v>
      </x:c>
      <x:c r="D1723" t="str">
        <x:v>油脂</x:v>
      </x:c>
      <x:c r="E1723" t="str">
        <x:v>烹调油</x:v>
      </x:c>
      <x:c r="F1723" t="n">
        <x:v>3</x:v>
      </x:c>
      <x:c r="G1723" t="n">
        <x:v>900</x:v>
      </x:c>
      <x:c r="H1723" t="n">
        <x:f>ROUND(F1723*G1723/100,2)</x:f>
        <x:v>27</x:v>
      </x:c>
      <x:c r="I1723" t="n">
        <x:v>0</x:v>
      </x:c>
      <x:c r="J1723" t="n">
        <x:f>ROUND(F1723*I1723/100,2)</x:f>
        <x:v>0</x:v>
      </x:c>
      <x:c r="K1723" t="n">
        <x:v>0</x:v>
      </x:c>
      <x:c r="L1723" t="n">
        <x:f>ROUND(F1723*K1723/100,2)</x:f>
        <x:v>0</x:v>
      </x:c>
      <x:c r="M1723" t="n">
        <x:v>100</x:v>
      </x:c>
      <x:c r="N1723" t="n">
        <x:f>ROUND(F1723*M1723/100,2)</x:f>
        <x:v>3</x:v>
      </x:c>
      <x:c r="O1723" t="str">
        <x:v>实际用油重</x:v>
      </x:c>
    </x:row>
    <x:row r="1724" ht="23" customHeight="1">
      <x:c r="A1724" t="n">
        <x:v>288</x:v>
      </x:c>
      <x:c r="B1724" t="n">
        <x:v>144</x:v>
      </x:c>
      <x:c r="C1724" t="str">
        <x:v>晚餐</x:v>
      </x:c>
      <x:c r="D1724" t="str">
        <x:v>鱼类</x:v>
      </x:c>
      <x:c r="E1724" t="str">
        <x:v>三文鱼</x:v>
      </x:c>
      <x:c r="F1724" t="n">
        <x:v>120</x:v>
      </x:c>
      <x:c r="G1724" t="n">
        <x:v>205</x:v>
      </x:c>
      <x:c r="H1724" t="n">
        <x:f>ROUND(F1724*G1724/100,2)</x:f>
        <x:v>246</x:v>
      </x:c>
      <x:c r="I1724" t="n">
        <x:v>20</x:v>
      </x:c>
      <x:c r="J1724" t="n">
        <x:f>ROUND(F1724*I1724/100,2)</x:f>
        <x:v>24</x:v>
      </x:c>
      <x:c r="K1724" t="n">
        <x:v>0</x:v>
      </x:c>
      <x:c r="L1724" t="n">
        <x:f>ROUND(F1724*K1724/100,2)</x:f>
        <x:v>0</x:v>
      </x:c>
      <x:c r="M1724" t="n">
        <x:v>13</x:v>
      </x:c>
      <x:c r="N1724" t="n">
        <x:f>ROUND(F1724*M1724/100,2)</x:f>
        <x:v>15.6</x:v>
      </x:c>
      <x:c r="O1724" t="str">
        <x:v>净鱼肉生重</x:v>
      </x:c>
    </x:row>
    <x:row r="1725" ht="23" customHeight="1">
      <x:c r="A1725" t="n">
        <x:v>288</x:v>
      </x:c>
      <x:c r="B1725" t="n">
        <x:v>144</x:v>
      </x:c>
      <x:c r="C1725" t="str">
        <x:v>晚餐</x:v>
      </x:c>
      <x:c r="D1725" t="str"/>
      <x:c r="E1725" t="str"/>
      <x:c r="F1725" t="n">
        <x:v>0</x:v>
      </x:c>
      <x:c r="G1725" t="n">
        <x:v>0</x:v>
      </x:c>
      <x:c r="H1725" t="n">
        <x:f>ROUND(F1725*G1725/100,2)</x:f>
        <x:v>0</x:v>
      </x:c>
      <x:c r="I1725" t="n">
        <x:v>0</x:v>
      </x:c>
      <x:c r="J1725" t="n">
        <x:f>ROUND(F1725*I1725/100,2)</x:f>
        <x:v>0</x:v>
      </x:c>
      <x:c r="K1725" t="n">
        <x:v>0</x:v>
      </x:c>
      <x:c r="L1725" t="n">
        <x:f>ROUND(F1725*K1725/100,2)</x:f>
        <x:v>0</x:v>
      </x:c>
      <x:c r="M1725" t="n">
        <x:v>0</x:v>
      </x:c>
      <x:c r="N1725" t="n">
        <x:f>ROUND(F1725*M1725/100,2)</x:f>
        <x:v>0</x:v>
      </x:c>
      <x:c r="O1725" t="str"/>
    </x:row>
    <x:row r="1726" ht="23" customHeight="1">
      <x:c r="A1726" t="n">
        <x:v>288</x:v>
      </x:c>
      <x:c r="B1726" t="n">
        <x:v>144</x:v>
      </x:c>
      <x:c r="C1726" t="str">
        <x:v>晚餐</x:v>
      </x:c>
      <x:c r="D1726" t="str">
        <x:v>蔬菜</x:v>
      </x:c>
      <x:c r="E1726" t="str">
        <x:v>冬瓜</x:v>
      </x:c>
      <x:c r="F1726" t="n">
        <x:v>190</x:v>
      </x:c>
      <x:c r="G1726" t="n">
        <x:v>13</x:v>
      </x:c>
      <x:c r="H1726" t="n">
        <x:f>ROUND(F1726*G1726/100,2)</x:f>
        <x:v>24.7</x:v>
      </x:c>
      <x:c r="I1726" t="n">
        <x:v>0.4</x:v>
      </x:c>
      <x:c r="J1726" t="n">
        <x:f>ROUND(F1726*I1726/100,2)</x:f>
        <x:v>0.76</x:v>
      </x:c>
      <x:c r="K1726" t="n">
        <x:v>3</x:v>
      </x:c>
      <x:c r="L1726" t="n">
        <x:f>ROUND(F1726*K1726/100,2)</x:f>
        <x:v>5.7</x:v>
      </x:c>
      <x:c r="M1726" t="n">
        <x:v>0.2</x:v>
      </x:c>
      <x:c r="N1726" t="n">
        <x:f>ROUND(F1726*M1726/100,2)</x:f>
        <x:v>0.38</x:v>
      </x:c>
      <x:c r="O1726" t="str">
        <x:v>生重</x:v>
      </x:c>
    </x:row>
    <x:row r="1727" ht="23" customHeight="1">
      <x:c r="A1727" t="n">
        <x:v>288</x:v>
      </x:c>
      <x:c r="B1727" t="n">
        <x:v>144</x:v>
      </x:c>
      <x:c r="C1727" t="str">
        <x:v>晚餐</x:v>
      </x:c>
      <x:c r="D1727" t="str">
        <x:v>蔬菜</x:v>
      </x:c>
      <x:c r="E1727" t="str">
        <x:v>荷兰豆</x:v>
      </x:c>
      <x:c r="F1727" t="n">
        <x:v>125</x:v>
      </x:c>
      <x:c r="G1727" t="n">
        <x:v>42</x:v>
      </x:c>
      <x:c r="H1727" t="n">
        <x:f>ROUND(F1727*G1727/100,2)</x:f>
        <x:v>52.5</x:v>
      </x:c>
      <x:c r="I1727" t="n">
        <x:v>2.8</x:v>
      </x:c>
      <x:c r="J1727" t="n">
        <x:f>ROUND(F1727*I1727/100,2)</x:f>
        <x:v>3.5</x:v>
      </x:c>
      <x:c r="K1727" t="n">
        <x:v>7.5</x:v>
      </x:c>
      <x:c r="L1727" t="n">
        <x:f>ROUND(F1727*K1727/100,2)</x:f>
        <x:v>9.38</x:v>
      </x:c>
      <x:c r="M1727" t="n">
        <x:v>0.3</x:v>
      </x:c>
      <x:c r="N1727" t="n">
        <x:f>ROUND(F1727*M1727/100,2)</x:f>
        <x:v>0.38</x:v>
      </x:c>
      <x:c r="O1727" t="str">
        <x:v>生重</x:v>
      </x:c>
    </x:row>
    <x:row r="1728" ht="23" customHeight="1">
      <x:c r="A1728" t="n">
        <x:v>288</x:v>
      </x:c>
      <x:c r="B1728" t="n">
        <x:v>144</x:v>
      </x:c>
      <x:c r="C1728" t="str">
        <x:v>晚餐</x:v>
      </x:c>
      <x:c r="D1728" t="str">
        <x:v>主食</x:v>
      </x:c>
      <x:c r="E1728" t="str">
        <x:v>山药</x:v>
      </x:c>
      <x:c r="F1728" t="n">
        <x:v>80</x:v>
      </x:c>
      <x:c r="G1728" t="n">
        <x:v>62</x:v>
      </x:c>
      <x:c r="H1728" t="n">
        <x:f>ROUND(F1728*G1728/100,2)</x:f>
        <x:v>49.6</x:v>
      </x:c>
      <x:c r="I1728" t="n">
        <x:v>1.5</x:v>
      </x:c>
      <x:c r="J1728" t="n">
        <x:f>ROUND(F1728*I1728/100,2)</x:f>
        <x:v>1.2</x:v>
      </x:c>
      <x:c r="K1728" t="n">
        <x:v>14.1</x:v>
      </x:c>
      <x:c r="L1728" t="n">
        <x:f>ROUND(F1728*K1728/100,2)</x:f>
        <x:v>11.28</x:v>
      </x:c>
      <x:c r="M1728" t="n">
        <x:v>0.1</x:v>
      </x:c>
      <x:c r="N1728" t="n">
        <x:f>ROUND(F1728*M1728/100,2)</x:f>
        <x:v>0.08</x:v>
      </x:c>
      <x:c r="O1728" t="str">
        <x:v>蒸熟净重</x:v>
      </x:c>
    </x:row>
    <x:row r="1729" ht="23" customHeight="1">
      <x:c r="A1729" t="n">
        <x:v>288</x:v>
      </x:c>
      <x:c r="B1729" t="n">
        <x:v>144</x:v>
      </x:c>
      <x:c r="C1729" t="str">
        <x:v>晚餐</x:v>
      </x:c>
      <x:c r="D1729" t="str">
        <x:v>油脂</x:v>
      </x:c>
      <x:c r="E1729" t="str">
        <x:v>烹调油</x:v>
      </x:c>
      <x:c r="F1729" t="n">
        <x:v>2</x:v>
      </x:c>
      <x:c r="G1729" t="n">
        <x:v>900</x:v>
      </x:c>
      <x:c r="H1729" t="n">
        <x:f>ROUND(F1729*G1729/100,2)</x:f>
        <x:v>18</x:v>
      </x:c>
      <x:c r="I1729" t="n">
        <x:v>0</x:v>
      </x:c>
      <x:c r="J1729" t="n">
        <x:f>ROUND(F1729*I1729/100,2)</x:f>
        <x:v>0</x:v>
      </x:c>
      <x:c r="K1729" t="n">
        <x:v>0</x:v>
      </x:c>
      <x:c r="L1729" t="n">
        <x:f>ROUND(F1729*K1729/100,2)</x:f>
        <x:v>0</x:v>
      </x:c>
      <x:c r="M1729" t="n">
        <x:v>100</x:v>
      </x:c>
      <x:c r="N1729" t="n">
        <x:f>ROUND(F1729*M1729/100,2)</x:f>
        <x:v>2</x:v>
      </x:c>
      <x:c r="O1729" t="str">
        <x:v>实际用油重</x:v>
      </x:c>
    </x:row>
    <x:row r="1730" ht="23" customHeight="1">
      <x:c r="A1730" t="n">
        <x:v>289</x:v>
      </x:c>
      <x:c r="B1730" t="n">
        <x:v>145</x:v>
      </x:c>
      <x:c r="C1730" t="str">
        <x:v>午餐</x:v>
      </x:c>
      <x:c r="D1730" t="str">
        <x:v>海鲜</x:v>
      </x:c>
      <x:c r="E1730" t="str">
        <x:v>虾仁</x:v>
      </x:c>
      <x:c r="F1730" t="n">
        <x:v>175</x:v>
      </x:c>
      <x:c r="G1730" t="n">
        <x:v>90</x:v>
      </x:c>
      <x:c r="H1730" t="n">
        <x:f>ROUND(F1730*G1730/100,2)</x:f>
        <x:v>157.5</x:v>
      </x:c>
      <x:c r="I1730" t="n">
        <x:v>19</x:v>
      </x:c>
      <x:c r="J1730" t="n">
        <x:f>ROUND(F1730*I1730/100,2)</x:f>
        <x:v>33.25</x:v>
      </x:c>
      <x:c r="K1730" t="n">
        <x:v>0.4</x:v>
      </x:c>
      <x:c r="L1730" t="n">
        <x:f>ROUND(F1730*K1730/100,2)</x:f>
        <x:v>0.7</x:v>
      </x:c>
      <x:c r="M1730" t="n">
        <x:v>1.1</x:v>
      </x:c>
      <x:c r="N1730" t="n">
        <x:f>ROUND(F1730*M1730/100,2)</x:f>
        <x:v>1.93</x:v>
      </x:c>
      <x:c r="O1730" t="str">
        <x:v>生重</x:v>
      </x:c>
    </x:row>
    <x:row r="1731" ht="23" customHeight="1">
      <x:c r="A1731" t="n">
        <x:v>289</x:v>
      </x:c>
      <x:c r="B1731" t="n">
        <x:v>145</x:v>
      </x:c>
      <x:c r="C1731" t="str">
        <x:v>午餐</x:v>
      </x:c>
      <x:c r="D1731" t="str"/>
      <x:c r="E1731" t="str"/>
      <x:c r="F1731" t="n">
        <x:v>0</x:v>
      </x:c>
      <x:c r="G1731" t="n">
        <x:v>0</x:v>
      </x:c>
      <x:c r="H1731" t="n">
        <x:f>ROUND(F1731*G1731/100,2)</x:f>
        <x:v>0</x:v>
      </x:c>
      <x:c r="I1731" t="n">
        <x:v>0</x:v>
      </x:c>
      <x:c r="J1731" t="n">
        <x:f>ROUND(F1731*I1731/100,2)</x:f>
        <x:v>0</x:v>
      </x:c>
      <x:c r="K1731" t="n">
        <x:v>0</x:v>
      </x:c>
      <x:c r="L1731" t="n">
        <x:f>ROUND(F1731*K1731/100,2)</x:f>
        <x:v>0</x:v>
      </x:c>
      <x:c r="M1731" t="n">
        <x:v>0</x:v>
      </x:c>
      <x:c r="N1731" t="n">
        <x:f>ROUND(F1731*M1731/100,2)</x:f>
        <x:v>0</x:v>
      </x:c>
      <x:c r="O1731" t="str"/>
    </x:row>
    <x:row r="1732" ht="23" customHeight="1">
      <x:c r="A1732" t="n">
        <x:v>289</x:v>
      </x:c>
      <x:c r="B1732" t="n">
        <x:v>145</x:v>
      </x:c>
      <x:c r="C1732" t="str">
        <x:v>午餐</x:v>
      </x:c>
      <x:c r="D1732" t="str">
        <x:v>蔬菜</x:v>
      </x:c>
      <x:c r="E1732" t="str">
        <x:v>彩椒</x:v>
      </x:c>
      <x:c r="F1732" t="n">
        <x:v>190</x:v>
      </x:c>
      <x:c r="G1732" t="n">
        <x:v>27</x:v>
      </x:c>
      <x:c r="H1732" t="n">
        <x:f>ROUND(F1732*G1732/100,2)</x:f>
        <x:v>51.3</x:v>
      </x:c>
      <x:c r="I1732" t="n">
        <x:v>1</x:v>
      </x:c>
      <x:c r="J1732" t="n">
        <x:f>ROUND(F1732*I1732/100,2)</x:f>
        <x:v>1.9</x:v>
      </x:c>
      <x:c r="K1732" t="n">
        <x:v>6.1</x:v>
      </x:c>
      <x:c r="L1732" t="n">
        <x:f>ROUND(F1732*K1732/100,2)</x:f>
        <x:v>11.59</x:v>
      </x:c>
      <x:c r="M1732" t="n">
        <x:v>0.2</x:v>
      </x:c>
      <x:c r="N1732" t="n">
        <x:f>ROUND(F1732*M1732/100,2)</x:f>
        <x:v>0.38</x:v>
      </x:c>
      <x:c r="O1732" t="str">
        <x:v>生重</x:v>
      </x:c>
    </x:row>
    <x:row r="1733" ht="23" customHeight="1">
      <x:c r="A1733" t="n">
        <x:v>289</x:v>
      </x:c>
      <x:c r="B1733" t="n">
        <x:v>145</x:v>
      </x:c>
      <x:c r="C1733" t="str">
        <x:v>午餐</x:v>
      </x:c>
      <x:c r="D1733" t="str">
        <x:v>菌菇</x:v>
      </x:c>
      <x:c r="E1733" t="str">
        <x:v>香菇</x:v>
      </x:c>
      <x:c r="F1733" t="n">
        <x:v>155</x:v>
      </x:c>
      <x:c r="G1733" t="n">
        <x:v>34</x:v>
      </x:c>
      <x:c r="H1733" t="n">
        <x:f>ROUND(F1733*G1733/100,2)</x:f>
        <x:v>52.7</x:v>
      </x:c>
      <x:c r="I1733" t="n">
        <x:v>2.2</x:v>
      </x:c>
      <x:c r="J1733" t="n">
        <x:f>ROUND(F1733*I1733/100,2)</x:f>
        <x:v>3.41</x:v>
      </x:c>
      <x:c r="K1733" t="n">
        <x:v>6.8</x:v>
      </x:c>
      <x:c r="L1733" t="n">
        <x:f>ROUND(F1733*K1733/100,2)</x:f>
        <x:v>10.54</x:v>
      </x:c>
      <x:c r="M1733" t="n">
        <x:v>0.5</x:v>
      </x:c>
      <x:c r="N1733" t="n">
        <x:f>ROUND(F1733*M1733/100,2)</x:f>
        <x:v>0.78</x:v>
      </x:c>
      <x:c r="O1733" t="str">
        <x:v>生重</x:v>
      </x:c>
    </x:row>
    <x:row r="1734" ht="23" customHeight="1">
      <x:c r="A1734" t="n">
        <x:v>289</x:v>
      </x:c>
      <x:c r="B1734" t="n">
        <x:v>145</x:v>
      </x:c>
      <x:c r="C1734" t="str">
        <x:v>午餐</x:v>
      </x:c>
      <x:c r="D1734" t="str">
        <x:v>主食</x:v>
      </x:c>
      <x:c r="E1734" t="str">
        <x:v>紫薯</x:v>
      </x:c>
      <x:c r="F1734" t="n">
        <x:v>135</x:v>
      </x:c>
      <x:c r="G1734" t="n">
        <x:v>95</x:v>
      </x:c>
      <x:c r="H1734" t="n">
        <x:f>ROUND(F1734*G1734/100,2)</x:f>
        <x:v>128.25</x:v>
      </x:c>
      <x:c r="I1734" t="n">
        <x:v>1.6</x:v>
      </x:c>
      <x:c r="J1734" t="n">
        <x:f>ROUND(F1734*I1734/100,2)</x:f>
        <x:v>2.16</x:v>
      </x:c>
      <x:c r="K1734" t="n">
        <x:v>22</x:v>
      </x:c>
      <x:c r="L1734" t="n">
        <x:f>ROUND(F1734*K1734/100,2)</x:f>
        <x:v>29.7</x:v>
      </x:c>
      <x:c r="M1734" t="n">
        <x:v>0.1</x:v>
      </x:c>
      <x:c r="N1734" t="n">
        <x:f>ROUND(F1734*M1734/100,2)</x:f>
        <x:v>0.14</x:v>
      </x:c>
      <x:c r="O1734" t="str">
        <x:v>蒸熟净重</x:v>
      </x:c>
    </x:row>
    <x:row r="1735" ht="23" customHeight="1">
      <x:c r="A1735" t="n">
        <x:v>289</x:v>
      </x:c>
      <x:c r="B1735" t="n">
        <x:v>145</x:v>
      </x:c>
      <x:c r="C1735" t="str">
        <x:v>午餐</x:v>
      </x:c>
      <x:c r="D1735" t="str">
        <x:v>油脂</x:v>
      </x:c>
      <x:c r="E1735" t="str">
        <x:v>烹调油</x:v>
      </x:c>
      <x:c r="F1735" t="n">
        <x:v>3</x:v>
      </x:c>
      <x:c r="G1735" t="n">
        <x:v>900</x:v>
      </x:c>
      <x:c r="H1735" t="n">
        <x:f>ROUND(F1735*G1735/100,2)</x:f>
        <x:v>27</x:v>
      </x:c>
      <x:c r="I1735" t="n">
        <x:v>0</x:v>
      </x:c>
      <x:c r="J1735" t="n">
        <x:f>ROUND(F1735*I1735/100,2)</x:f>
        <x:v>0</x:v>
      </x:c>
      <x:c r="K1735" t="n">
        <x:v>0</x:v>
      </x:c>
      <x:c r="L1735" t="n">
        <x:f>ROUND(F1735*K1735/100,2)</x:f>
        <x:v>0</x:v>
      </x:c>
      <x:c r="M1735" t="n">
        <x:v>100</x:v>
      </x:c>
      <x:c r="N1735" t="n">
        <x:f>ROUND(F1735*M1735/100,2)</x:f>
        <x:v>3</x:v>
      </x:c>
      <x:c r="O1735" t="str">
        <x:v>实际用油重</x:v>
      </x:c>
    </x:row>
    <x:row r="1736" ht="23" customHeight="1">
      <x:c r="A1736" t="n">
        <x:v>290</x:v>
      </x:c>
      <x:c r="B1736" t="n">
        <x:v>145</x:v>
      </x:c>
      <x:c r="C1736" t="str">
        <x:v>晚餐</x:v>
      </x:c>
      <x:c r="D1736" t="str">
        <x:v>鱼类</x:v>
      </x:c>
      <x:c r="E1736" t="str">
        <x:v>巴沙鱼</x:v>
      </x:c>
      <x:c r="F1736" t="n">
        <x:v>200</x:v>
      </x:c>
      <x:c r="G1736" t="n">
        <x:v>90</x:v>
      </x:c>
      <x:c r="H1736" t="n">
        <x:f>ROUND(F1736*G1736/100,2)</x:f>
        <x:v>180</x:v>
      </x:c>
      <x:c r="I1736" t="n">
        <x:v>17</x:v>
      </x:c>
      <x:c r="J1736" t="n">
        <x:f>ROUND(F1736*I1736/100,2)</x:f>
        <x:v>34</x:v>
      </x:c>
      <x:c r="K1736" t="n">
        <x:v>0</x:v>
      </x:c>
      <x:c r="L1736" t="n">
        <x:f>ROUND(F1736*K1736/100,2)</x:f>
        <x:v>0</x:v>
      </x:c>
      <x:c r="M1736" t="n">
        <x:v>2.3</x:v>
      </x:c>
      <x:c r="N1736" t="n">
        <x:f>ROUND(F1736*M1736/100,2)</x:f>
        <x:v>4.6</x:v>
      </x:c>
      <x:c r="O1736" t="str">
        <x:v>净鱼肉生重</x:v>
      </x:c>
    </x:row>
    <x:row r="1737" ht="23" customHeight="1">
      <x:c r="A1737" t="n">
        <x:v>290</x:v>
      </x:c>
      <x:c r="B1737" t="n">
        <x:v>145</x:v>
      </x:c>
      <x:c r="C1737" t="str">
        <x:v>晚餐</x:v>
      </x:c>
      <x:c r="D1737" t="str"/>
      <x:c r="E1737" t="str"/>
      <x:c r="F1737" t="n">
        <x:v>0</x:v>
      </x:c>
      <x:c r="G1737" t="n">
        <x:v>0</x:v>
      </x:c>
      <x:c r="H1737" t="n">
        <x:f>ROUND(F1737*G1737/100,2)</x:f>
        <x:v>0</x:v>
      </x:c>
      <x:c r="I1737" t="n">
        <x:v>0</x:v>
      </x:c>
      <x:c r="J1737" t="n">
        <x:f>ROUND(F1737*I1737/100,2)</x:f>
        <x:v>0</x:v>
      </x:c>
      <x:c r="K1737" t="n">
        <x:v>0</x:v>
      </x:c>
      <x:c r="L1737" t="n">
        <x:f>ROUND(F1737*K1737/100,2)</x:f>
        <x:v>0</x:v>
      </x:c>
      <x:c r="M1737" t="n">
        <x:v>0</x:v>
      </x:c>
      <x:c r="N1737" t="n">
        <x:f>ROUND(F1737*M1737/100,2)</x:f>
        <x:v>0</x:v>
      </x:c>
      <x:c r="O1737" t="str"/>
    </x:row>
    <x:row r="1738" ht="23" customHeight="1">
      <x:c r="A1738" t="n">
        <x:v>290</x:v>
      </x:c>
      <x:c r="B1738" t="n">
        <x:v>145</x:v>
      </x:c>
      <x:c r="C1738" t="str">
        <x:v>晚餐</x:v>
      </x:c>
      <x:c r="D1738" t="str">
        <x:v>蔬菜</x:v>
      </x:c>
      <x:c r="E1738" t="str">
        <x:v>菠菜</x:v>
      </x:c>
      <x:c r="F1738" t="n">
        <x:v>140</x:v>
      </x:c>
      <x:c r="G1738" t="n">
        <x:v>23</x:v>
      </x:c>
      <x:c r="H1738" t="n">
        <x:f>ROUND(F1738*G1738/100,2)</x:f>
        <x:v>32.2</x:v>
      </x:c>
      <x:c r="I1738" t="n">
        <x:v>2.9</x:v>
      </x:c>
      <x:c r="J1738" t="n">
        <x:f>ROUND(F1738*I1738/100,2)</x:f>
        <x:v>4.06</x:v>
      </x:c>
      <x:c r="K1738" t="n">
        <x:v>3.6</x:v>
      </x:c>
      <x:c r="L1738" t="n">
        <x:f>ROUND(F1738*K1738/100,2)</x:f>
        <x:v>5.04</x:v>
      </x:c>
      <x:c r="M1738" t="n">
        <x:v>0.4</x:v>
      </x:c>
      <x:c r="N1738" t="n">
        <x:f>ROUND(F1738*M1738/100,2)</x:f>
        <x:v>0.56</x:v>
      </x:c>
      <x:c r="O1738" t="str">
        <x:v>生重</x:v>
      </x:c>
    </x:row>
    <x:row r="1739" ht="23" customHeight="1">
      <x:c r="A1739" t="n">
        <x:v>290</x:v>
      </x:c>
      <x:c r="B1739" t="n">
        <x:v>145</x:v>
      </x:c>
      <x:c r="C1739" t="str">
        <x:v>晚餐</x:v>
      </x:c>
      <x:c r="D1739" t="str">
        <x:v>菌菇</x:v>
      </x:c>
      <x:c r="E1739" t="str">
        <x:v>口蘑</x:v>
      </x:c>
      <x:c r="F1739" t="n">
        <x:v>125</x:v>
      </x:c>
      <x:c r="G1739" t="n">
        <x:v>22</x:v>
      </x:c>
      <x:c r="H1739" t="n">
        <x:f>ROUND(F1739*G1739/100,2)</x:f>
        <x:v>27.5</x:v>
      </x:c>
      <x:c r="I1739" t="n">
        <x:v>3.1</x:v>
      </x:c>
      <x:c r="J1739" t="n">
        <x:f>ROUND(F1739*I1739/100,2)</x:f>
        <x:v>3.88</x:v>
      </x:c>
      <x:c r="K1739" t="n">
        <x:v>3.3</x:v>
      </x:c>
      <x:c r="L1739" t="n">
        <x:f>ROUND(F1739*K1739/100,2)</x:f>
        <x:v>4.13</x:v>
      </x:c>
      <x:c r="M1739" t="n">
        <x:v>0.3</x:v>
      </x:c>
      <x:c r="N1739" t="n">
        <x:f>ROUND(F1739*M1739/100,2)</x:f>
        <x:v>0.38</x:v>
      </x:c>
      <x:c r="O1739" t="str">
        <x:v>生重</x:v>
      </x:c>
    </x:row>
    <x:row r="1740" ht="23" customHeight="1">
      <x:c r="A1740" t="n">
        <x:v>290</x:v>
      </x:c>
      <x:c r="B1740" t="n">
        <x:v>145</x:v>
      </x:c>
      <x:c r="C1740" t="str">
        <x:v>晚餐</x:v>
      </x:c>
      <x:c r="D1740" t="str">
        <x:v>主食</x:v>
      </x:c>
      <x:c r="E1740" t="str">
        <x:v>山药</x:v>
      </x:c>
      <x:c r="F1740" t="n">
        <x:v>135</x:v>
      </x:c>
      <x:c r="G1740" t="n">
        <x:v>62</x:v>
      </x:c>
      <x:c r="H1740" t="n">
        <x:f>ROUND(F1740*G1740/100,2)</x:f>
        <x:v>83.7</x:v>
      </x:c>
      <x:c r="I1740" t="n">
        <x:v>1.5</x:v>
      </x:c>
      <x:c r="J1740" t="n">
        <x:f>ROUND(F1740*I1740/100,2)</x:f>
        <x:v>2.03</x:v>
      </x:c>
      <x:c r="K1740" t="n">
        <x:v>14.1</x:v>
      </x:c>
      <x:c r="L1740" t="n">
        <x:f>ROUND(F1740*K1740/100,2)</x:f>
        <x:v>19.04</x:v>
      </x:c>
      <x:c r="M1740" t="n">
        <x:v>0.1</x:v>
      </x:c>
      <x:c r="N1740" t="n">
        <x:f>ROUND(F1740*M1740/100,2)</x:f>
        <x:v>0.14</x:v>
      </x:c>
      <x:c r="O1740" t="str">
        <x:v>蒸熟净重</x:v>
      </x:c>
    </x:row>
    <x:row r="1741" ht="23" customHeight="1">
      <x:c r="A1741" t="n">
        <x:v>290</x:v>
      </x:c>
      <x:c r="B1741" t="n">
        <x:v>145</x:v>
      </x:c>
      <x:c r="C1741" t="str">
        <x:v>晚餐</x:v>
      </x:c>
      <x:c r="D1741" t="str">
        <x:v>油脂</x:v>
      </x:c>
      <x:c r="E1741" t="str">
        <x:v>烹调油</x:v>
      </x:c>
      <x:c r="F1741" t="n">
        <x:v>6</x:v>
      </x:c>
      <x:c r="G1741" t="n">
        <x:v>900</x:v>
      </x:c>
      <x:c r="H1741" t="n">
        <x:f>ROUND(F1741*G1741/100,2)</x:f>
        <x:v>54</x:v>
      </x:c>
      <x:c r="I1741" t="n">
        <x:v>0</x:v>
      </x:c>
      <x:c r="J1741" t="n">
        <x:f>ROUND(F1741*I1741/100,2)</x:f>
        <x:v>0</x:v>
      </x:c>
      <x:c r="K1741" t="n">
        <x:v>0</x:v>
      </x:c>
      <x:c r="L1741" t="n">
        <x:f>ROUND(F1741*K1741/100,2)</x:f>
        <x:v>0</x:v>
      </x:c>
      <x:c r="M1741" t="n">
        <x:v>100</x:v>
      </x:c>
      <x:c r="N1741" t="n">
        <x:f>ROUND(F1741*M1741/100,2)</x:f>
        <x:v>6</x:v>
      </x:c>
      <x:c r="O1741" t="str">
        <x:v>实际用油重</x:v>
      </x:c>
    </x:row>
    <x:row r="1742" ht="23" customHeight="1">
      <x:c r="A1742" t="n">
        <x:v>291</x:v>
      </x:c>
      <x:c r="B1742" t="n">
        <x:v>146</x:v>
      </x:c>
      <x:c r="C1742" t="str">
        <x:v>午餐</x:v>
      </x:c>
      <x:c r="D1742" t="str">
        <x:v>猪肉</x:v>
      </x:c>
      <x:c r="E1742" t="str">
        <x:v>猪瘦肉</x:v>
      </x:c>
      <x:c r="F1742" t="n">
        <x:v>185</x:v>
      </x:c>
      <x:c r="G1742" t="n">
        <x:v>130</x:v>
      </x:c>
      <x:c r="H1742" t="n">
        <x:f>ROUND(F1742*G1742/100,2)</x:f>
        <x:v>240.5</x:v>
      </x:c>
      <x:c r="I1742" t="n">
        <x:v>20</x:v>
      </x:c>
      <x:c r="J1742" t="n">
        <x:f>ROUND(F1742*I1742/100,2)</x:f>
        <x:v>37</x:v>
      </x:c>
      <x:c r="K1742" t="n">
        <x:v>0</x:v>
      </x:c>
      <x:c r="L1742" t="n">
        <x:f>ROUND(F1742*K1742/100,2)</x:f>
        <x:v>0</x:v>
      </x:c>
      <x:c r="M1742" t="n">
        <x:v>5.5</x:v>
      </x:c>
      <x:c r="N1742" t="n">
        <x:f>ROUND(F1742*M1742/100,2)</x:f>
        <x:v>10.18</x:v>
      </x:c>
      <x:c r="O1742" t="str">
        <x:v>生重</x:v>
      </x:c>
    </x:row>
    <x:row r="1743" ht="23" customHeight="1">
      <x:c r="A1743" t="n">
        <x:v>291</x:v>
      </x:c>
      <x:c r="B1743" t="n">
        <x:v>146</x:v>
      </x:c>
      <x:c r="C1743" t="str">
        <x:v>午餐</x:v>
      </x:c>
      <x:c r="D1743" t="str"/>
      <x:c r="E1743" t="str"/>
      <x:c r="F1743" t="n">
        <x:v>0</x:v>
      </x:c>
      <x:c r="G1743" t="n">
        <x:v>0</x:v>
      </x:c>
      <x:c r="H1743" t="n">
        <x:f>ROUND(F1743*G1743/100,2)</x:f>
        <x:v>0</x:v>
      </x:c>
      <x:c r="I1743" t="n">
        <x:v>0</x:v>
      </x:c>
      <x:c r="J1743" t="n">
        <x:f>ROUND(F1743*I1743/100,2)</x:f>
        <x:v>0</x:v>
      </x:c>
      <x:c r="K1743" t="n">
        <x:v>0</x:v>
      </x:c>
      <x:c r="L1743" t="n">
        <x:f>ROUND(F1743*K1743/100,2)</x:f>
        <x:v>0</x:v>
      </x:c>
      <x:c r="M1743" t="n">
        <x:v>0</x:v>
      </x:c>
      <x:c r="N1743" t="n">
        <x:f>ROUND(F1743*M1743/100,2)</x:f>
        <x:v>0</x:v>
      </x:c>
      <x:c r="O1743" t="str"/>
    </x:row>
    <x:row r="1744" ht="23" customHeight="1">
      <x:c r="A1744" t="n">
        <x:v>291</x:v>
      </x:c>
      <x:c r="B1744" t="n">
        <x:v>146</x:v>
      </x:c>
      <x:c r="C1744" t="str">
        <x:v>午餐</x:v>
      </x:c>
      <x:c r="D1744" t="str">
        <x:v>蔬菜</x:v>
      </x:c>
      <x:c r="E1744" t="str">
        <x:v>莴笋</x:v>
      </x:c>
      <x:c r="F1744" t="n">
        <x:v>190</x:v>
      </x:c>
      <x:c r="G1744" t="n">
        <x:v>15</x:v>
      </x:c>
      <x:c r="H1744" t="n">
        <x:f>ROUND(F1744*G1744/100,2)</x:f>
        <x:v>28.5</x:v>
      </x:c>
      <x:c r="I1744" t="n">
        <x:v>1</x:v>
      </x:c>
      <x:c r="J1744" t="n">
        <x:f>ROUND(F1744*I1744/100,2)</x:f>
        <x:v>1.9</x:v>
      </x:c>
      <x:c r="K1744" t="n">
        <x:v>2.8</x:v>
      </x:c>
      <x:c r="L1744" t="n">
        <x:f>ROUND(F1744*K1744/100,2)</x:f>
        <x:v>5.32</x:v>
      </x:c>
      <x:c r="M1744" t="n">
        <x:v>0.1</x:v>
      </x:c>
      <x:c r="N1744" t="n">
        <x:f>ROUND(F1744*M1744/100,2)</x:f>
        <x:v>0.19</x:v>
      </x:c>
      <x:c r="O1744" t="str">
        <x:v>生重</x:v>
      </x:c>
    </x:row>
    <x:row r="1745" ht="23" customHeight="1">
      <x:c r="A1745" t="n">
        <x:v>291</x:v>
      </x:c>
      <x:c r="B1745" t="n">
        <x:v>146</x:v>
      </x:c>
      <x:c r="C1745" t="str">
        <x:v>午餐</x:v>
      </x:c>
      <x:c r="D1745" t="str">
        <x:v>菌菇</x:v>
      </x:c>
      <x:c r="E1745" t="str">
        <x:v>香菇</x:v>
      </x:c>
      <x:c r="F1745" t="n">
        <x:v>110</x:v>
      </x:c>
      <x:c r="G1745" t="n">
        <x:v>34</x:v>
      </x:c>
      <x:c r="H1745" t="n">
        <x:f>ROUND(F1745*G1745/100,2)</x:f>
        <x:v>37.4</x:v>
      </x:c>
      <x:c r="I1745" t="n">
        <x:v>2.2</x:v>
      </x:c>
      <x:c r="J1745" t="n">
        <x:f>ROUND(F1745*I1745/100,2)</x:f>
        <x:v>2.42</x:v>
      </x:c>
      <x:c r="K1745" t="n">
        <x:v>6.8</x:v>
      </x:c>
      <x:c r="L1745" t="n">
        <x:f>ROUND(F1745*K1745/100,2)</x:f>
        <x:v>7.48</x:v>
      </x:c>
      <x:c r="M1745" t="n">
        <x:v>0.5</x:v>
      </x:c>
      <x:c r="N1745" t="n">
        <x:f>ROUND(F1745*M1745/100,2)</x:f>
        <x:v>0.55</x:v>
      </x:c>
      <x:c r="O1745" t="str">
        <x:v>生重</x:v>
      </x:c>
    </x:row>
    <x:row r="1746" ht="23" customHeight="1">
      <x:c r="A1746" t="n">
        <x:v>291</x:v>
      </x:c>
      <x:c r="B1746" t="n">
        <x:v>146</x:v>
      </x:c>
      <x:c r="C1746" t="str">
        <x:v>午餐</x:v>
      </x:c>
      <x:c r="D1746" t="str">
        <x:v>主食</x:v>
      </x:c>
      <x:c r="E1746" t="str">
        <x:v>杂粮饭</x:v>
      </x:c>
      <x:c r="F1746" t="n">
        <x:v>125</x:v>
      </x:c>
      <x:c r="G1746" t="n">
        <x:v>115</x:v>
      </x:c>
      <x:c r="H1746" t="n">
        <x:f>ROUND(F1746*G1746/100,2)</x:f>
        <x:v>143.75</x:v>
      </x:c>
      <x:c r="I1746" t="n">
        <x:v>3.1</x:v>
      </x:c>
      <x:c r="J1746" t="n">
        <x:f>ROUND(F1746*I1746/100,2)</x:f>
        <x:v>3.88</x:v>
      </x:c>
      <x:c r="K1746" t="n">
        <x:v>23.5</x:v>
      </x:c>
      <x:c r="L1746" t="n">
        <x:f>ROUND(F1746*K1746/100,2)</x:f>
        <x:v>29.38</x:v>
      </x:c>
      <x:c r="M1746" t="n">
        <x:v>1.1</x:v>
      </x:c>
      <x:c r="N1746" t="n">
        <x:f>ROUND(F1746*M1746/100,2)</x:f>
        <x:v>1.38</x:v>
      </x:c>
      <x:c r="O1746" t="str">
        <x:v>熟重</x:v>
      </x:c>
    </x:row>
    <x:row r="1747" ht="23" customHeight="1">
      <x:c r="A1747" t="n">
        <x:v>291</x:v>
      </x:c>
      <x:c r="B1747" t="n">
        <x:v>146</x:v>
      </x:c>
      <x:c r="C1747" t="str">
        <x:v>午餐</x:v>
      </x:c>
      <x:c r="D1747" t="str">
        <x:v>油脂</x:v>
      </x:c>
      <x:c r="E1747" t="str">
        <x:v>烹调油</x:v>
      </x:c>
      <x:c r="F1747" t="n">
        <x:v>5</x:v>
      </x:c>
      <x:c r="G1747" t="n">
        <x:v>900</x:v>
      </x:c>
      <x:c r="H1747" t="n">
        <x:f>ROUND(F1747*G1747/100,2)</x:f>
        <x:v>45</x:v>
      </x:c>
      <x:c r="I1747" t="n">
        <x:v>0</x:v>
      </x:c>
      <x:c r="J1747" t="n">
        <x:f>ROUND(F1747*I1747/100,2)</x:f>
        <x:v>0</x:v>
      </x:c>
      <x:c r="K1747" t="n">
        <x:v>0</x:v>
      </x:c>
      <x:c r="L1747" t="n">
        <x:f>ROUND(F1747*K1747/100,2)</x:f>
        <x:v>0</x:v>
      </x:c>
      <x:c r="M1747" t="n">
        <x:v>100</x:v>
      </x:c>
      <x:c r="N1747" t="n">
        <x:f>ROUND(F1747*M1747/100,2)</x:f>
        <x:v>5</x:v>
      </x:c>
      <x:c r="O1747" t="str">
        <x:v>实际用油重</x:v>
      </x:c>
    </x:row>
    <x:row r="1748" ht="23" customHeight="1">
      <x:c r="A1748" t="n">
        <x:v>292</x:v>
      </x:c>
      <x:c r="B1748" t="n">
        <x:v>146</x:v>
      </x:c>
      <x:c r="C1748" t="str">
        <x:v>晚餐</x:v>
      </x:c>
      <x:c r="D1748" t="str">
        <x:v>豆蛋</x:v>
      </x:c>
      <x:c r="E1748" t="str">
        <x:v>嫩豆腐</x:v>
      </x:c>
      <x:c r="F1748" t="n">
        <x:v>240</x:v>
      </x:c>
      <x:c r="G1748" t="n">
        <x:v>55</x:v>
      </x:c>
      <x:c r="H1748" t="n">
        <x:f>ROUND(F1748*G1748/100,2)</x:f>
        <x:v>132</x:v>
      </x:c>
      <x:c r="I1748" t="n">
        <x:v>5</x:v>
      </x:c>
      <x:c r="J1748" t="n">
        <x:f>ROUND(F1748*I1748/100,2)</x:f>
        <x:v>12</x:v>
      </x:c>
      <x:c r="K1748" t="n">
        <x:v>2</x:v>
      </x:c>
      <x:c r="L1748" t="n">
        <x:f>ROUND(F1748*K1748/100,2)</x:f>
        <x:v>4.8</x:v>
      </x:c>
      <x:c r="M1748" t="n">
        <x:v>2.8</x:v>
      </x:c>
      <x:c r="N1748" t="n">
        <x:f>ROUND(F1748*M1748/100,2)</x:f>
        <x:v>6.72</x:v>
      </x:c>
      <x:c r="O1748" t="str">
        <x:v>净重</x:v>
      </x:c>
    </x:row>
    <x:row r="1749" ht="23" customHeight="1">
      <x:c r="A1749" t="n">
        <x:v>292</x:v>
      </x:c>
      <x:c r="B1749" t="n">
        <x:v>146</x:v>
      </x:c>
      <x:c r="C1749" t="str">
        <x:v>晚餐</x:v>
      </x:c>
      <x:c r="D1749" t="str">
        <x:v>豆蛋</x:v>
      </x:c>
      <x:c r="E1749" t="str">
        <x:v>鸡蛋</x:v>
      </x:c>
      <x:c r="F1749" t="n">
        <x:v>60</x:v>
      </x:c>
      <x:c r="G1749" t="n">
        <x:v>144</x:v>
      </x:c>
      <x:c r="H1749" t="n">
        <x:f>ROUND(F1749*G1749/100,2)</x:f>
        <x:v>86.4</x:v>
      </x:c>
      <x:c r="I1749" t="n">
        <x:v>13</x:v>
      </x:c>
      <x:c r="J1749" t="n">
        <x:f>ROUND(F1749*I1749/100,2)</x:f>
        <x:v>7.8</x:v>
      </x:c>
      <x:c r="K1749" t="n">
        <x:v>1.1</x:v>
      </x:c>
      <x:c r="L1749" t="n">
        <x:f>ROUND(F1749*K1749/100,2)</x:f>
        <x:v>0.66</x:v>
      </x:c>
      <x:c r="M1749" t="n">
        <x:v>10</x:v>
      </x:c>
      <x:c r="N1749" t="n">
        <x:f>ROUND(F1749*M1749/100,2)</x:f>
        <x:v>6</x:v>
      </x:c>
      <x:c r="O1749" t="str">
        <x:v>去壳可食重</x:v>
      </x:c>
    </x:row>
    <x:row r="1750" ht="23" customHeight="1">
      <x:c r="A1750" t="n">
        <x:v>292</x:v>
      </x:c>
      <x:c r="B1750" t="n">
        <x:v>146</x:v>
      </x:c>
      <x:c r="C1750" t="str">
        <x:v>晚餐</x:v>
      </x:c>
      <x:c r="D1750" t="str">
        <x:v>蔬菜</x:v>
      </x:c>
      <x:c r="E1750" t="str">
        <x:v>苦瓜</x:v>
      </x:c>
      <x:c r="F1750" t="n">
        <x:v>190</x:v>
      </x:c>
      <x:c r="G1750" t="n">
        <x:v>19</x:v>
      </x:c>
      <x:c r="H1750" t="n">
        <x:f>ROUND(F1750*G1750/100,2)</x:f>
        <x:v>36.1</x:v>
      </x:c>
      <x:c r="I1750" t="n">
        <x:v>1</x:v>
      </x:c>
      <x:c r="J1750" t="n">
        <x:f>ROUND(F1750*I1750/100,2)</x:f>
        <x:v>1.9</x:v>
      </x:c>
      <x:c r="K1750" t="n">
        <x:v>4.1</x:v>
      </x:c>
      <x:c r="L1750" t="n">
        <x:f>ROUND(F1750*K1750/100,2)</x:f>
        <x:v>7.79</x:v>
      </x:c>
      <x:c r="M1750" t="n">
        <x:v>0.2</x:v>
      </x:c>
      <x:c r="N1750" t="n">
        <x:f>ROUND(F1750*M1750/100,2)</x:f>
        <x:v>0.38</x:v>
      </x:c>
      <x:c r="O1750" t="str">
        <x:v>生重</x:v>
      </x:c>
    </x:row>
    <x:row r="1751" ht="23" customHeight="1">
      <x:c r="A1751" t="n">
        <x:v>292</x:v>
      </x:c>
      <x:c r="B1751" t="n">
        <x:v>146</x:v>
      </x:c>
      <x:c r="C1751" t="str">
        <x:v>晚餐</x:v>
      </x:c>
      <x:c r="D1751" t="str">
        <x:v>蔬菜</x:v>
      </x:c>
      <x:c r="E1751" t="str">
        <x:v>小白菜</x:v>
      </x:c>
      <x:c r="F1751" t="n">
        <x:v>110</x:v>
      </x:c>
      <x:c r="G1751" t="n">
        <x:v>17</x:v>
      </x:c>
      <x:c r="H1751" t="n">
        <x:f>ROUND(F1751*G1751/100,2)</x:f>
        <x:v>18.7</x:v>
      </x:c>
      <x:c r="I1751" t="n">
        <x:v>1.6</x:v>
      </x:c>
      <x:c r="J1751" t="n">
        <x:f>ROUND(F1751*I1751/100,2)</x:f>
        <x:v>1.76</x:v>
      </x:c>
      <x:c r="K1751" t="n">
        <x:v>2.8</x:v>
      </x:c>
      <x:c r="L1751" t="n">
        <x:f>ROUND(F1751*K1751/100,2)</x:f>
        <x:v>3.08</x:v>
      </x:c>
      <x:c r="M1751" t="n">
        <x:v>0.2</x:v>
      </x:c>
      <x:c r="N1751" t="n">
        <x:f>ROUND(F1751*M1751/100,2)</x:f>
        <x:v>0.22</x:v>
      </x:c>
      <x:c r="O1751" t="str">
        <x:v>生重</x:v>
      </x:c>
    </x:row>
    <x:row r="1752" ht="23" customHeight="1">
      <x:c r="A1752" t="n">
        <x:v>292</x:v>
      </x:c>
      <x:c r="B1752" t="n">
        <x:v>146</x:v>
      </x:c>
      <x:c r="C1752" t="str">
        <x:v>晚餐</x:v>
      </x:c>
      <x:c r="D1752" t="str">
        <x:v>主食</x:v>
      </x:c>
      <x:c r="E1752" t="str">
        <x:v>荞麦饭</x:v>
      </x:c>
      <x:c r="F1752" t="n">
        <x:v>95</x:v>
      </x:c>
      <x:c r="G1752" t="n">
        <x:v>110</x:v>
      </x:c>
      <x:c r="H1752" t="n">
        <x:f>ROUND(F1752*G1752/100,2)</x:f>
        <x:v>104.5</x:v>
      </x:c>
      <x:c r="I1752" t="n">
        <x:v>3.4</x:v>
      </x:c>
      <x:c r="J1752" t="n">
        <x:f>ROUND(F1752*I1752/100,2)</x:f>
        <x:v>3.23</x:v>
      </x:c>
      <x:c r="K1752" t="n">
        <x:v>22</x:v>
      </x:c>
      <x:c r="L1752" t="n">
        <x:f>ROUND(F1752*K1752/100,2)</x:f>
        <x:v>20.9</x:v>
      </x:c>
      <x:c r="M1752" t="n">
        <x:v>1.1</x:v>
      </x:c>
      <x:c r="N1752" t="n">
        <x:f>ROUND(F1752*M1752/100,2)</x:f>
        <x:v>1.05</x:v>
      </x:c>
      <x:c r="O1752" t="str">
        <x:v>熟重</x:v>
      </x:c>
    </x:row>
    <x:row r="1753" ht="23" customHeight="1">
      <x:c r="A1753" t="n">
        <x:v>292</x:v>
      </x:c>
      <x:c r="B1753" t="n">
        <x:v>146</x:v>
      </x:c>
      <x:c r="C1753" t="str">
        <x:v>晚餐</x:v>
      </x:c>
      <x:c r="D1753" t="str">
        <x:v>油脂</x:v>
      </x:c>
      <x:c r="E1753" t="str">
        <x:v>烹调油</x:v>
      </x:c>
      <x:c r="F1753" t="n">
        <x:v>5</x:v>
      </x:c>
      <x:c r="G1753" t="n">
        <x:v>900</x:v>
      </x:c>
      <x:c r="H1753" t="n">
        <x:f>ROUND(F1753*G1753/100,2)</x:f>
        <x:v>45</x:v>
      </x:c>
      <x:c r="I1753" t="n">
        <x:v>0</x:v>
      </x:c>
      <x:c r="J1753" t="n">
        <x:f>ROUND(F1753*I1753/100,2)</x:f>
        <x:v>0</x:v>
      </x:c>
      <x:c r="K1753" t="n">
        <x:v>0</x:v>
      </x:c>
      <x:c r="L1753" t="n">
        <x:f>ROUND(F1753*K1753/100,2)</x:f>
        <x:v>0</x:v>
      </x:c>
      <x:c r="M1753" t="n">
        <x:v>100</x:v>
      </x:c>
      <x:c r="N1753" t="n">
        <x:f>ROUND(F1753*M1753/100,2)</x:f>
        <x:v>5</x:v>
      </x:c>
      <x:c r="O1753" t="str">
        <x:v>实际用油重</x:v>
      </x:c>
    </x:row>
    <x:row r="1754" ht="23" customHeight="1">
      <x:c r="A1754" t="n">
        <x:v>293</x:v>
      </x:c>
      <x:c r="B1754" t="n">
        <x:v>147</x:v>
      </x:c>
      <x:c r="C1754" t="str">
        <x:v>午餐</x:v>
      </x:c>
      <x:c r="D1754" t="str">
        <x:v>禽肉</x:v>
      </x:c>
      <x:c r="E1754" t="str">
        <x:v>鸡胸肉</x:v>
      </x:c>
      <x:c r="F1754" t="n">
        <x:v>155</x:v>
      </x:c>
      <x:c r="G1754" t="n">
        <x:v>110</x:v>
      </x:c>
      <x:c r="H1754" t="n">
        <x:f>ROUND(F1754*G1754/100,2)</x:f>
        <x:v>170.5</x:v>
      </x:c>
      <x:c r="I1754" t="n">
        <x:v>23</x:v>
      </x:c>
      <x:c r="J1754" t="n">
        <x:f>ROUND(F1754*I1754/100,2)</x:f>
        <x:v>35.65</x:v>
      </x:c>
      <x:c r="K1754" t="n">
        <x:v>0</x:v>
      </x:c>
      <x:c r="L1754" t="n">
        <x:f>ROUND(F1754*K1754/100,2)</x:f>
        <x:v>0</x:v>
      </x:c>
      <x:c r="M1754" t="n">
        <x:v>2</x:v>
      </x:c>
      <x:c r="N1754" t="n">
        <x:f>ROUND(F1754*M1754/100,2)</x:f>
        <x:v>3.1</x:v>
      </x:c>
      <x:c r="O1754" t="str">
        <x:v>生重</x:v>
      </x:c>
    </x:row>
    <x:row r="1755" ht="23" customHeight="1">
      <x:c r="A1755" t="n">
        <x:v>293</x:v>
      </x:c>
      <x:c r="B1755" t="n">
        <x:v>147</x:v>
      </x:c>
      <x:c r="C1755" t="str">
        <x:v>午餐</x:v>
      </x:c>
      <x:c r="D1755" t="str"/>
      <x:c r="E1755" t="str"/>
      <x:c r="F1755" t="n">
        <x:v>0</x:v>
      </x:c>
      <x:c r="G1755" t="n">
        <x:v>0</x:v>
      </x:c>
      <x:c r="H1755" t="n">
        <x:f>ROUND(F1755*G1755/100,2)</x:f>
        <x:v>0</x:v>
      </x:c>
      <x:c r="I1755" t="n">
        <x:v>0</x:v>
      </x:c>
      <x:c r="J1755" t="n">
        <x:f>ROUND(F1755*I1755/100,2)</x:f>
        <x:v>0</x:v>
      </x:c>
      <x:c r="K1755" t="n">
        <x:v>0</x:v>
      </x:c>
      <x:c r="L1755" t="n">
        <x:f>ROUND(F1755*K1755/100,2)</x:f>
        <x:v>0</x:v>
      </x:c>
      <x:c r="M1755" t="n">
        <x:v>0</x:v>
      </x:c>
      <x:c r="N1755" t="n">
        <x:f>ROUND(F1755*M1755/100,2)</x:f>
        <x:v>0</x:v>
      </x:c>
      <x:c r="O1755" t="str"/>
    </x:row>
    <x:row r="1756" ht="23" customHeight="1">
      <x:c r="A1756" t="n">
        <x:v>293</x:v>
      </x:c>
      <x:c r="B1756" t="n">
        <x:v>147</x:v>
      </x:c>
      <x:c r="C1756" t="str">
        <x:v>午餐</x:v>
      </x:c>
      <x:c r="D1756" t="str">
        <x:v>蔬菜</x:v>
      </x:c>
      <x:c r="E1756" t="str">
        <x:v>芦笋</x:v>
      </x:c>
      <x:c r="F1756" t="n">
        <x:v>190</x:v>
      </x:c>
      <x:c r="G1756" t="n">
        <x:v>20</x:v>
      </x:c>
      <x:c r="H1756" t="n">
        <x:f>ROUND(F1756*G1756/100,2)</x:f>
        <x:v>38</x:v>
      </x:c>
      <x:c r="I1756" t="n">
        <x:v>2.2</x:v>
      </x:c>
      <x:c r="J1756" t="n">
        <x:f>ROUND(F1756*I1756/100,2)</x:f>
        <x:v>4.18</x:v>
      </x:c>
      <x:c r="K1756" t="n">
        <x:v>3.9</x:v>
      </x:c>
      <x:c r="L1756" t="n">
        <x:f>ROUND(F1756*K1756/100,2)</x:f>
        <x:v>7.41</x:v>
      </x:c>
      <x:c r="M1756" t="n">
        <x:v>0.1</x:v>
      </x:c>
      <x:c r="N1756" t="n">
        <x:f>ROUND(F1756*M1756/100,2)</x:f>
        <x:v>0.19</x:v>
      </x:c>
      <x:c r="O1756" t="str">
        <x:v>生重</x:v>
      </x:c>
    </x:row>
    <x:row r="1757" ht="23" customHeight="1">
      <x:c r="A1757" t="n">
        <x:v>293</x:v>
      </x:c>
      <x:c r="B1757" t="n">
        <x:v>147</x:v>
      </x:c>
      <x:c r="C1757" t="str">
        <x:v>午餐</x:v>
      </x:c>
      <x:c r="D1757" t="str">
        <x:v>蔬菜</x:v>
      </x:c>
      <x:c r="E1757" t="str">
        <x:v>洋葱</x:v>
      </x:c>
      <x:c r="F1757" t="n">
        <x:v>155</x:v>
      </x:c>
      <x:c r="G1757" t="n">
        <x:v>40</x:v>
      </x:c>
      <x:c r="H1757" t="n">
        <x:f>ROUND(F1757*G1757/100,2)</x:f>
        <x:v>62</x:v>
      </x:c>
      <x:c r="I1757" t="n">
        <x:v>1.1</x:v>
      </x:c>
      <x:c r="J1757" t="n">
        <x:f>ROUND(F1757*I1757/100,2)</x:f>
        <x:v>1.71</x:v>
      </x:c>
      <x:c r="K1757" t="n">
        <x:v>9.3</x:v>
      </x:c>
      <x:c r="L1757" t="n">
        <x:f>ROUND(F1757*K1757/100,2)</x:f>
        <x:v>14.42</x:v>
      </x:c>
      <x:c r="M1757" t="n">
        <x:v>0.1</x:v>
      </x:c>
      <x:c r="N1757" t="n">
        <x:f>ROUND(F1757*M1757/100,2)</x:f>
        <x:v>0.16</x:v>
      </x:c>
      <x:c r="O1757" t="str">
        <x:v>生重</x:v>
      </x:c>
    </x:row>
    <x:row r="1758" ht="23" customHeight="1">
      <x:c r="A1758" t="n">
        <x:v>293</x:v>
      </x:c>
      <x:c r="B1758" t="n">
        <x:v>147</x:v>
      </x:c>
      <x:c r="C1758" t="str">
        <x:v>午餐</x:v>
      </x:c>
      <x:c r="D1758" t="str">
        <x:v>主食</x:v>
      </x:c>
      <x:c r="E1758" t="str">
        <x:v>糙米饭</x:v>
      </x:c>
      <x:c r="F1758" t="n">
        <x:v>125</x:v>
      </x:c>
      <x:c r="G1758" t="n">
        <x:v>112</x:v>
      </x:c>
      <x:c r="H1758" t="n">
        <x:f>ROUND(F1758*G1758/100,2)</x:f>
        <x:v>140</x:v>
      </x:c>
      <x:c r="I1758" t="n">
        <x:v>2.6</x:v>
      </x:c>
      <x:c r="J1758" t="n">
        <x:f>ROUND(F1758*I1758/100,2)</x:f>
        <x:v>3.25</x:v>
      </x:c>
      <x:c r="K1758" t="n">
        <x:v>23.5</x:v>
      </x:c>
      <x:c r="L1758" t="n">
        <x:f>ROUND(F1758*K1758/100,2)</x:f>
        <x:v>29.38</x:v>
      </x:c>
      <x:c r="M1758" t="n">
        <x:v>0.9</x:v>
      </x:c>
      <x:c r="N1758" t="n">
        <x:f>ROUND(F1758*M1758/100,2)</x:f>
        <x:v>1.13</x:v>
      </x:c>
      <x:c r="O1758" t="str">
        <x:v>熟重</x:v>
      </x:c>
    </x:row>
    <x:row r="1759" ht="23" customHeight="1">
      <x:c r="A1759" t="n">
        <x:v>293</x:v>
      </x:c>
      <x:c r="B1759" t="n">
        <x:v>147</x:v>
      </x:c>
      <x:c r="C1759" t="str">
        <x:v>午餐</x:v>
      </x:c>
      <x:c r="D1759" t="str">
        <x:v>油脂</x:v>
      </x:c>
      <x:c r="E1759" t="str">
        <x:v>烹调油</x:v>
      </x:c>
      <x:c r="F1759" t="n">
        <x:v>5</x:v>
      </x:c>
      <x:c r="G1759" t="n">
        <x:v>900</x:v>
      </x:c>
      <x:c r="H1759" t="n">
        <x:f>ROUND(F1759*G1759/100,2)</x:f>
        <x:v>45</x:v>
      </x:c>
      <x:c r="I1759" t="n">
        <x:v>0</x:v>
      </x:c>
      <x:c r="J1759" t="n">
        <x:f>ROUND(F1759*I1759/100,2)</x:f>
        <x:v>0</x:v>
      </x:c>
      <x:c r="K1759" t="n">
        <x:v>0</x:v>
      </x:c>
      <x:c r="L1759" t="n">
        <x:f>ROUND(F1759*K1759/100,2)</x:f>
        <x:v>0</x:v>
      </x:c>
      <x:c r="M1759" t="n">
        <x:v>100</x:v>
      </x:c>
      <x:c r="N1759" t="n">
        <x:f>ROUND(F1759*M1759/100,2)</x:f>
        <x:v>5</x:v>
      </x:c>
      <x:c r="O1759" t="str">
        <x:v>实际用油重</x:v>
      </x:c>
    </x:row>
    <x:row r="1760" ht="23" customHeight="1">
      <x:c r="A1760" t="n">
        <x:v>294</x:v>
      </x:c>
      <x:c r="B1760" t="n">
        <x:v>147</x:v>
      </x:c>
      <x:c r="C1760" t="str">
        <x:v>晚餐</x:v>
      </x:c>
      <x:c r="D1760" t="str">
        <x:v>牛肉</x:v>
      </x:c>
      <x:c r="E1760" t="str">
        <x:v>瘦牛肉</x:v>
      </x:c>
      <x:c r="F1760" t="n">
        <x:v>145</x:v>
      </x:c>
      <x:c r="G1760" t="n">
        <x:v>125</x:v>
      </x:c>
      <x:c r="H1760" t="n">
        <x:f>ROUND(F1760*G1760/100,2)</x:f>
        <x:v>181.25</x:v>
      </x:c>
      <x:c r="I1760" t="n">
        <x:v>21</x:v>
      </x:c>
      <x:c r="J1760" t="n">
        <x:f>ROUND(F1760*I1760/100,2)</x:f>
        <x:v>30.45</x:v>
      </x:c>
      <x:c r="K1760" t="n">
        <x:v>0</x:v>
      </x:c>
      <x:c r="L1760" t="n">
        <x:f>ROUND(F1760*K1760/100,2)</x:f>
        <x:v>0</x:v>
      </x:c>
      <x:c r="M1760" t="n">
        <x:v>4</x:v>
      </x:c>
      <x:c r="N1760" t="n">
        <x:f>ROUND(F1760*M1760/100,2)</x:f>
        <x:v>5.8</x:v>
      </x:c>
      <x:c r="O1760" t="str">
        <x:v>生重</x:v>
      </x:c>
    </x:row>
    <x:row r="1761" ht="23" customHeight="1">
      <x:c r="A1761" t="n">
        <x:v>294</x:v>
      </x:c>
      <x:c r="B1761" t="n">
        <x:v>147</x:v>
      </x:c>
      <x:c r="C1761" t="str">
        <x:v>晚餐</x:v>
      </x:c>
      <x:c r="D1761" t="str"/>
      <x:c r="E1761" t="str"/>
      <x:c r="F1761" t="n">
        <x:v>0</x:v>
      </x:c>
      <x:c r="G1761" t="n">
        <x:v>0</x:v>
      </x:c>
      <x:c r="H1761" t="n">
        <x:f>ROUND(F1761*G1761/100,2)</x:f>
        <x:v>0</x:v>
      </x:c>
      <x:c r="I1761" t="n">
        <x:v>0</x:v>
      </x:c>
      <x:c r="J1761" t="n">
        <x:f>ROUND(F1761*I1761/100,2)</x:f>
        <x:v>0</x:v>
      </x:c>
      <x:c r="K1761" t="n">
        <x:v>0</x:v>
      </x:c>
      <x:c r="L1761" t="n">
        <x:f>ROUND(F1761*K1761/100,2)</x:f>
        <x:v>0</x:v>
      </x:c>
      <x:c r="M1761" t="n">
        <x:v>0</x:v>
      </x:c>
      <x:c r="N1761" t="n">
        <x:f>ROUND(F1761*M1761/100,2)</x:f>
        <x:v>0</x:v>
      </x:c>
      <x:c r="O1761" t="str"/>
    </x:row>
    <x:row r="1762" ht="23" customHeight="1">
      <x:c r="A1762" t="n">
        <x:v>294</x:v>
      </x:c>
      <x:c r="B1762" t="n">
        <x:v>147</x:v>
      </x:c>
      <x:c r="C1762" t="str">
        <x:v>晚餐</x:v>
      </x:c>
      <x:c r="D1762" t="str">
        <x:v>蔬菜</x:v>
      </x:c>
      <x:c r="E1762" t="str">
        <x:v>花菜</x:v>
      </x:c>
      <x:c r="F1762" t="n">
        <x:v>190</x:v>
      </x:c>
      <x:c r="G1762" t="n">
        <x:v>25</x:v>
      </x:c>
      <x:c r="H1762" t="n">
        <x:f>ROUND(F1762*G1762/100,2)</x:f>
        <x:v>47.5</x:v>
      </x:c>
      <x:c r="I1762" t="n">
        <x:v>2</x:v>
      </x:c>
      <x:c r="J1762" t="n">
        <x:f>ROUND(F1762*I1762/100,2)</x:f>
        <x:v>3.8</x:v>
      </x:c>
      <x:c r="K1762" t="n">
        <x:v>5</x:v>
      </x:c>
      <x:c r="L1762" t="n">
        <x:f>ROUND(F1762*K1762/100,2)</x:f>
        <x:v>9.5</x:v>
      </x:c>
      <x:c r="M1762" t="n">
        <x:v>0.3</x:v>
      </x:c>
      <x:c r="N1762" t="n">
        <x:f>ROUND(F1762*M1762/100,2)</x:f>
        <x:v>0.57</x:v>
      </x:c>
      <x:c r="O1762" t="str">
        <x:v>生重</x:v>
      </x:c>
    </x:row>
    <x:row r="1763" ht="23" customHeight="1">
      <x:c r="A1763" t="n">
        <x:v>294</x:v>
      </x:c>
      <x:c r="B1763" t="n">
        <x:v>147</x:v>
      </x:c>
      <x:c r="C1763" t="str">
        <x:v>晚餐</x:v>
      </x:c>
      <x:c r="D1763" t="str">
        <x:v>蔬菜</x:v>
      </x:c>
      <x:c r="E1763" t="str">
        <x:v>芦笋</x:v>
      </x:c>
      <x:c r="F1763" t="n">
        <x:v>155</x:v>
      </x:c>
      <x:c r="G1763" t="n">
        <x:v>20</x:v>
      </x:c>
      <x:c r="H1763" t="n">
        <x:f>ROUND(F1763*G1763/100,2)</x:f>
        <x:v>31</x:v>
      </x:c>
      <x:c r="I1763" t="n">
        <x:v>2.2</x:v>
      </x:c>
      <x:c r="J1763" t="n">
        <x:f>ROUND(F1763*I1763/100,2)</x:f>
        <x:v>3.41</x:v>
      </x:c>
      <x:c r="K1763" t="n">
        <x:v>3.9</x:v>
      </x:c>
      <x:c r="L1763" t="n">
        <x:f>ROUND(F1763*K1763/100,2)</x:f>
        <x:v>6.05</x:v>
      </x:c>
      <x:c r="M1763" t="n">
        <x:v>0.1</x:v>
      </x:c>
      <x:c r="N1763" t="n">
        <x:f>ROUND(F1763*M1763/100,2)</x:f>
        <x:v>0.16</x:v>
      </x:c>
      <x:c r="O1763" t="str">
        <x:v>生重</x:v>
      </x:c>
    </x:row>
    <x:row r="1764" ht="23" customHeight="1">
      <x:c r="A1764" t="n">
        <x:v>294</x:v>
      </x:c>
      <x:c r="B1764" t="n">
        <x:v>147</x:v>
      </x:c>
      <x:c r="C1764" t="str">
        <x:v>晚餐</x:v>
      </x:c>
      <x:c r="D1764" t="str">
        <x:v>主食</x:v>
      </x:c>
      <x:c r="E1764" t="str">
        <x:v>糙米饭</x:v>
      </x:c>
      <x:c r="F1764" t="n">
        <x:v>135</x:v>
      </x:c>
      <x:c r="G1764" t="n">
        <x:v>112</x:v>
      </x:c>
      <x:c r="H1764" t="n">
        <x:f>ROUND(F1764*G1764/100,2)</x:f>
        <x:v>151.2</x:v>
      </x:c>
      <x:c r="I1764" t="n">
        <x:v>2.6</x:v>
      </x:c>
      <x:c r="J1764" t="n">
        <x:f>ROUND(F1764*I1764/100,2)</x:f>
        <x:v>3.51</x:v>
      </x:c>
      <x:c r="K1764" t="n">
        <x:v>23.5</x:v>
      </x:c>
      <x:c r="L1764" t="n">
        <x:f>ROUND(F1764*K1764/100,2)</x:f>
        <x:v>31.73</x:v>
      </x:c>
      <x:c r="M1764" t="n">
        <x:v>0.9</x:v>
      </x:c>
      <x:c r="N1764" t="n">
        <x:f>ROUND(F1764*M1764/100,2)</x:f>
        <x:v>1.22</x:v>
      </x:c>
      <x:c r="O1764" t="str">
        <x:v>熟重</x:v>
      </x:c>
    </x:row>
    <x:row r="1765" ht="23" customHeight="1">
      <x:c r="A1765" t="n">
        <x:v>294</x:v>
      </x:c>
      <x:c r="B1765" t="n">
        <x:v>147</x:v>
      </x:c>
      <x:c r="C1765" t="str">
        <x:v>晚餐</x:v>
      </x:c>
      <x:c r="D1765" t="str">
        <x:v>油脂</x:v>
      </x:c>
      <x:c r="E1765" t="str">
        <x:v>烹调油</x:v>
      </x:c>
      <x:c r="F1765" t="n">
        <x:v>5</x:v>
      </x:c>
      <x:c r="G1765" t="n">
        <x:v>900</x:v>
      </x:c>
      <x:c r="H1765" t="n">
        <x:f>ROUND(F1765*G1765/100,2)</x:f>
        <x:v>45</x:v>
      </x:c>
      <x:c r="I1765" t="n">
        <x:v>0</x:v>
      </x:c>
      <x:c r="J1765" t="n">
        <x:f>ROUND(F1765*I1765/100,2)</x:f>
        <x:v>0</x:v>
      </x:c>
      <x:c r="K1765" t="n">
        <x:v>0</x:v>
      </x:c>
      <x:c r="L1765" t="n">
        <x:f>ROUND(F1765*K1765/100,2)</x:f>
        <x:v>0</x:v>
      </x:c>
      <x:c r="M1765" t="n">
        <x:v>100</x:v>
      </x:c>
      <x:c r="N1765" t="n">
        <x:f>ROUND(F1765*M1765/100,2)</x:f>
        <x:v>5</x:v>
      </x:c>
      <x:c r="O1765" t="str">
        <x:v>实际用油重</x:v>
      </x:c>
    </x:row>
    <x:row r="1766" ht="23" customHeight="1">
      <x:c r="A1766" t="n">
        <x:v>295</x:v>
      </x:c>
      <x:c r="B1766" t="n">
        <x:v>148</x:v>
      </x:c>
      <x:c r="C1766" t="str">
        <x:v>午餐</x:v>
      </x:c>
      <x:c r="D1766" t="str">
        <x:v>猪肉</x:v>
      </x:c>
      <x:c r="E1766" t="str">
        <x:v>猪里脊</x:v>
      </x:c>
      <x:c r="F1766" t="n">
        <x:v>185</x:v>
      </x:c>
      <x:c r="G1766" t="n">
        <x:v>120</x:v>
      </x:c>
      <x:c r="H1766" t="n">
        <x:f>ROUND(F1766*G1766/100,2)</x:f>
        <x:v>222</x:v>
      </x:c>
      <x:c r="I1766" t="n">
        <x:v>21</x:v>
      </x:c>
      <x:c r="J1766" t="n">
        <x:f>ROUND(F1766*I1766/100,2)</x:f>
        <x:v>38.85</x:v>
      </x:c>
      <x:c r="K1766" t="n">
        <x:v>0</x:v>
      </x:c>
      <x:c r="L1766" t="n">
        <x:f>ROUND(F1766*K1766/100,2)</x:f>
        <x:v>0</x:v>
      </x:c>
      <x:c r="M1766" t="n">
        <x:v>3.5</x:v>
      </x:c>
      <x:c r="N1766" t="n">
        <x:f>ROUND(F1766*M1766/100,2)</x:f>
        <x:v>6.48</x:v>
      </x:c>
      <x:c r="O1766" t="str">
        <x:v>生重</x:v>
      </x:c>
    </x:row>
    <x:row r="1767" ht="23" customHeight="1">
      <x:c r="A1767" t="n">
        <x:v>295</x:v>
      </x:c>
      <x:c r="B1767" t="n">
        <x:v>148</x:v>
      </x:c>
      <x:c r="C1767" t="str">
        <x:v>午餐</x:v>
      </x:c>
      <x:c r="D1767" t="str"/>
      <x:c r="E1767" t="str"/>
      <x:c r="F1767" t="n">
        <x:v>0</x:v>
      </x:c>
      <x:c r="G1767" t="n">
        <x:v>0</x:v>
      </x:c>
      <x:c r="H1767" t="n">
        <x:f>ROUND(F1767*G1767/100,2)</x:f>
        <x:v>0</x:v>
      </x:c>
      <x:c r="I1767" t="n">
        <x:v>0</x:v>
      </x:c>
      <x:c r="J1767" t="n">
        <x:f>ROUND(F1767*I1767/100,2)</x:f>
        <x:v>0</x:v>
      </x:c>
      <x:c r="K1767" t="n">
        <x:v>0</x:v>
      </x:c>
      <x:c r="L1767" t="n">
        <x:f>ROUND(F1767*K1767/100,2)</x:f>
        <x:v>0</x:v>
      </x:c>
      <x:c r="M1767" t="n">
        <x:v>0</x:v>
      </x:c>
      <x:c r="N1767" t="n">
        <x:f>ROUND(F1767*M1767/100,2)</x:f>
        <x:v>0</x:v>
      </x:c>
      <x:c r="O1767" t="str"/>
    </x:row>
    <x:row r="1768" ht="23" customHeight="1">
      <x:c r="A1768" t="n">
        <x:v>295</x:v>
      </x:c>
      <x:c r="B1768" t="n">
        <x:v>148</x:v>
      </x:c>
      <x:c r="C1768" t="str">
        <x:v>午餐</x:v>
      </x:c>
      <x:c r="D1768" t="str">
        <x:v>蔬菜</x:v>
      </x:c>
      <x:c r="E1768" t="str">
        <x:v>菠菜</x:v>
      </x:c>
      <x:c r="F1768" t="n">
        <x:v>140</x:v>
      </x:c>
      <x:c r="G1768" t="n">
        <x:v>23</x:v>
      </x:c>
      <x:c r="H1768" t="n">
        <x:f>ROUND(F1768*G1768/100,2)</x:f>
        <x:v>32.2</x:v>
      </x:c>
      <x:c r="I1768" t="n">
        <x:v>2.9</x:v>
      </x:c>
      <x:c r="J1768" t="n">
        <x:f>ROUND(F1768*I1768/100,2)</x:f>
        <x:v>4.06</x:v>
      </x:c>
      <x:c r="K1768" t="n">
        <x:v>3.6</x:v>
      </x:c>
      <x:c r="L1768" t="n">
        <x:f>ROUND(F1768*K1768/100,2)</x:f>
        <x:v>5.04</x:v>
      </x:c>
      <x:c r="M1768" t="n">
        <x:v>0.4</x:v>
      </x:c>
      <x:c r="N1768" t="n">
        <x:f>ROUND(F1768*M1768/100,2)</x:f>
        <x:v>0.56</x:v>
      </x:c>
      <x:c r="O1768" t="str">
        <x:v>生重</x:v>
      </x:c>
    </x:row>
    <x:row r="1769" ht="23" customHeight="1">
      <x:c r="A1769" t="n">
        <x:v>295</x:v>
      </x:c>
      <x:c r="B1769" t="n">
        <x:v>148</x:v>
      </x:c>
      <x:c r="C1769" t="str">
        <x:v>午餐</x:v>
      </x:c>
      <x:c r="D1769" t="str">
        <x:v>蔬菜</x:v>
      </x:c>
      <x:c r="E1769" t="str">
        <x:v>彩椒</x:v>
      </x:c>
      <x:c r="F1769" t="n">
        <x:v>125</x:v>
      </x:c>
      <x:c r="G1769" t="n">
        <x:v>27</x:v>
      </x:c>
      <x:c r="H1769" t="n">
        <x:f>ROUND(F1769*G1769/100,2)</x:f>
        <x:v>33.75</x:v>
      </x:c>
      <x:c r="I1769" t="n">
        <x:v>1</x:v>
      </x:c>
      <x:c r="J1769" t="n">
        <x:f>ROUND(F1769*I1769/100,2)</x:f>
        <x:v>1.25</x:v>
      </x:c>
      <x:c r="K1769" t="n">
        <x:v>6.1</x:v>
      </x:c>
      <x:c r="L1769" t="n">
        <x:f>ROUND(F1769*K1769/100,2)</x:f>
        <x:v>7.63</x:v>
      </x:c>
      <x:c r="M1769" t="n">
        <x:v>0.2</x:v>
      </x:c>
      <x:c r="N1769" t="n">
        <x:f>ROUND(F1769*M1769/100,2)</x:f>
        <x:v>0.25</x:v>
      </x:c>
      <x:c r="O1769" t="str">
        <x:v>生重</x:v>
      </x:c>
    </x:row>
    <x:row r="1770" ht="23" customHeight="1">
      <x:c r="A1770" t="n">
        <x:v>295</x:v>
      </x:c>
      <x:c r="B1770" t="n">
        <x:v>148</x:v>
      </x:c>
      <x:c r="C1770" t="str">
        <x:v>午餐</x:v>
      </x:c>
      <x:c r="D1770" t="str">
        <x:v>主食</x:v>
      </x:c>
      <x:c r="E1770" t="str">
        <x:v>藜麦饭</x:v>
      </x:c>
      <x:c r="F1770" t="n">
        <x:v>165</x:v>
      </x:c>
      <x:c r="G1770" t="n">
        <x:v>120</x:v>
      </x:c>
      <x:c r="H1770" t="n">
        <x:f>ROUND(F1770*G1770/100,2)</x:f>
        <x:v>198</x:v>
      </x:c>
      <x:c r="I1770" t="n">
        <x:v>4.4</x:v>
      </x:c>
      <x:c r="J1770" t="n">
        <x:f>ROUND(F1770*I1770/100,2)</x:f>
        <x:v>7.26</x:v>
      </x:c>
      <x:c r="K1770" t="n">
        <x:v>21.3</x:v>
      </x:c>
      <x:c r="L1770" t="n">
        <x:f>ROUND(F1770*K1770/100,2)</x:f>
        <x:v>35.15</x:v>
      </x:c>
      <x:c r="M1770" t="n">
        <x:v>1.9</x:v>
      </x:c>
      <x:c r="N1770" t="n">
        <x:f>ROUND(F1770*M1770/100,2)</x:f>
        <x:v>3.14</x:v>
      </x:c>
      <x:c r="O1770" t="str">
        <x:v>熟重</x:v>
      </x:c>
    </x:row>
    <x:row r="1771" ht="23" customHeight="1">
      <x:c r="A1771" t="n">
        <x:v>295</x:v>
      </x:c>
      <x:c r="B1771" t="n">
        <x:v>148</x:v>
      </x:c>
      <x:c r="C1771" t="str">
        <x:v>午餐</x:v>
      </x:c>
      <x:c r="D1771" t="str">
        <x:v>油脂</x:v>
      </x:c>
      <x:c r="E1771" t="str">
        <x:v>烹调油</x:v>
      </x:c>
      <x:c r="F1771" t="n">
        <x:v>5</x:v>
      </x:c>
      <x:c r="G1771" t="n">
        <x:v>900</x:v>
      </x:c>
      <x:c r="H1771" t="n">
        <x:f>ROUND(F1771*G1771/100,2)</x:f>
        <x:v>45</x:v>
      </x:c>
      <x:c r="I1771" t="n">
        <x:v>0</x:v>
      </x:c>
      <x:c r="J1771" t="n">
        <x:f>ROUND(F1771*I1771/100,2)</x:f>
        <x:v>0</x:v>
      </x:c>
      <x:c r="K1771" t="n">
        <x:v>0</x:v>
      </x:c>
      <x:c r="L1771" t="n">
        <x:f>ROUND(F1771*K1771/100,2)</x:f>
        <x:v>0</x:v>
      </x:c>
      <x:c r="M1771" t="n">
        <x:v>100</x:v>
      </x:c>
      <x:c r="N1771" t="n">
        <x:f>ROUND(F1771*M1771/100,2)</x:f>
        <x:v>5</x:v>
      </x:c>
      <x:c r="O1771" t="str">
        <x:v>实际用油重</x:v>
      </x:c>
    </x:row>
    <x:row r="1772" ht="23" customHeight="1">
      <x:c r="A1772" t="n">
        <x:v>296</x:v>
      </x:c>
      <x:c r="B1772" t="n">
        <x:v>148</x:v>
      </x:c>
      <x:c r="C1772" t="str">
        <x:v>晚餐</x:v>
      </x:c>
      <x:c r="D1772" t="str">
        <x:v>鱼类</x:v>
      </x:c>
      <x:c r="E1772" t="str">
        <x:v>鳕鱼</x:v>
      </x:c>
      <x:c r="F1772" t="n">
        <x:v>185</x:v>
      </x:c>
      <x:c r="G1772" t="n">
        <x:v>85</x:v>
      </x:c>
      <x:c r="H1772" t="n">
        <x:f>ROUND(F1772*G1772/100,2)</x:f>
        <x:v>157.25</x:v>
      </x:c>
      <x:c r="I1772" t="n">
        <x:v>18</x:v>
      </x:c>
      <x:c r="J1772" t="n">
        <x:f>ROUND(F1772*I1772/100,2)</x:f>
        <x:v>33.3</x:v>
      </x:c>
      <x:c r="K1772" t="n">
        <x:v>0</x:v>
      </x:c>
      <x:c r="L1772" t="n">
        <x:f>ROUND(F1772*K1772/100,2)</x:f>
        <x:v>0</x:v>
      </x:c>
      <x:c r="M1772" t="n">
        <x:v>0.8</x:v>
      </x:c>
      <x:c r="N1772" t="n">
        <x:f>ROUND(F1772*M1772/100,2)</x:f>
        <x:v>1.48</x:v>
      </x:c>
      <x:c r="O1772" t="str">
        <x:v>净鱼肉生重</x:v>
      </x:c>
    </x:row>
    <x:row r="1773" ht="23" customHeight="1">
      <x:c r="A1773" t="n">
        <x:v>296</x:v>
      </x:c>
      <x:c r="B1773" t="n">
        <x:v>148</x:v>
      </x:c>
      <x:c r="C1773" t="str">
        <x:v>晚餐</x:v>
      </x:c>
      <x:c r="D1773" t="str"/>
      <x:c r="E1773" t="str"/>
      <x:c r="F1773" t="n">
        <x:v>0</x:v>
      </x:c>
      <x:c r="G1773" t="n">
        <x:v>0</x:v>
      </x:c>
      <x:c r="H1773" t="n">
        <x:f>ROUND(F1773*G1773/100,2)</x:f>
        <x:v>0</x:v>
      </x:c>
      <x:c r="I1773" t="n">
        <x:v>0</x:v>
      </x:c>
      <x:c r="J1773" t="n">
        <x:f>ROUND(F1773*I1773/100,2)</x:f>
        <x:v>0</x:v>
      </x:c>
      <x:c r="K1773" t="n">
        <x:v>0</x:v>
      </x:c>
      <x:c r="L1773" t="n">
        <x:f>ROUND(F1773*K1773/100,2)</x:f>
        <x:v>0</x:v>
      </x:c>
      <x:c r="M1773" t="n">
        <x:v>0</x:v>
      </x:c>
      <x:c r="N1773" t="n">
        <x:f>ROUND(F1773*M1773/100,2)</x:f>
        <x:v>0</x:v>
      </x:c>
      <x:c r="O1773" t="str"/>
    </x:row>
    <x:row r="1774" ht="23" customHeight="1">
      <x:c r="A1774" t="n">
        <x:v>296</x:v>
      </x:c>
      <x:c r="B1774" t="n">
        <x:v>148</x:v>
      </x:c>
      <x:c r="C1774" t="str">
        <x:v>晚餐</x:v>
      </x:c>
      <x:c r="D1774" t="str">
        <x:v>蔬菜</x:v>
      </x:c>
      <x:c r="E1774" t="str">
        <x:v>生菜</x:v>
      </x:c>
      <x:c r="F1774" t="n">
        <x:v>190</x:v>
      </x:c>
      <x:c r="G1774" t="n">
        <x:v>16</x:v>
      </x:c>
      <x:c r="H1774" t="n">
        <x:f>ROUND(F1774*G1774/100,2)</x:f>
        <x:v>30.4</x:v>
      </x:c>
      <x:c r="I1774" t="n">
        <x:v>1.4</x:v>
      </x:c>
      <x:c r="J1774" t="n">
        <x:f>ROUND(F1774*I1774/100,2)</x:f>
        <x:v>2.66</x:v>
      </x:c>
      <x:c r="K1774" t="n">
        <x:v>2.9</x:v>
      </x:c>
      <x:c r="L1774" t="n">
        <x:f>ROUND(F1774*K1774/100,2)</x:f>
        <x:v>5.51</x:v>
      </x:c>
      <x:c r="M1774" t="n">
        <x:v>0.1</x:v>
      </x:c>
      <x:c r="N1774" t="n">
        <x:f>ROUND(F1774*M1774/100,2)</x:f>
        <x:v>0.19</x:v>
      </x:c>
      <x:c r="O1774" t="str">
        <x:v>生重</x:v>
      </x:c>
    </x:row>
    <x:row r="1775" ht="23" customHeight="1">
      <x:c r="A1775" t="n">
        <x:v>296</x:v>
      </x:c>
      <x:c r="B1775" t="n">
        <x:v>148</x:v>
      </x:c>
      <x:c r="C1775" t="str">
        <x:v>晚餐</x:v>
      </x:c>
      <x:c r="D1775" t="str">
        <x:v>蔬菜</x:v>
      </x:c>
      <x:c r="E1775" t="str">
        <x:v>白萝卜</x:v>
      </x:c>
      <x:c r="F1775" t="n">
        <x:v>140</x:v>
      </x:c>
      <x:c r="G1775" t="n">
        <x:v>18</x:v>
      </x:c>
      <x:c r="H1775" t="n">
        <x:f>ROUND(F1775*G1775/100,2)</x:f>
        <x:v>25.2</x:v>
      </x:c>
      <x:c r="I1775" t="n">
        <x:v>0.6</x:v>
      </x:c>
      <x:c r="J1775" t="n">
        <x:f>ROUND(F1775*I1775/100,2)</x:f>
        <x:v>0.84</x:v>
      </x:c>
      <x:c r="K1775" t="n">
        <x:v>4</x:v>
      </x:c>
      <x:c r="L1775" t="n">
        <x:f>ROUND(F1775*K1775/100,2)</x:f>
        <x:v>5.6</x:v>
      </x:c>
      <x:c r="M1775" t="n">
        <x:v>0.1</x:v>
      </x:c>
      <x:c r="N1775" t="n">
        <x:f>ROUND(F1775*M1775/100,2)</x:f>
        <x:v>0.14</x:v>
      </x:c>
      <x:c r="O1775" t="str">
        <x:v>生重</x:v>
      </x:c>
    </x:row>
    <x:row r="1776" ht="23" customHeight="1">
      <x:c r="A1776" t="n">
        <x:v>296</x:v>
      </x:c>
      <x:c r="B1776" t="n">
        <x:v>148</x:v>
      </x:c>
      <x:c r="C1776" t="str">
        <x:v>晚餐</x:v>
      </x:c>
      <x:c r="D1776" t="str">
        <x:v>主食</x:v>
      </x:c>
      <x:c r="E1776" t="str">
        <x:v>荞麦饭</x:v>
      </x:c>
      <x:c r="F1776" t="n">
        <x:v>110</x:v>
      </x:c>
      <x:c r="G1776" t="n">
        <x:v>110</x:v>
      </x:c>
      <x:c r="H1776" t="n">
        <x:f>ROUND(F1776*G1776/100,2)</x:f>
        <x:v>121</x:v>
      </x:c>
      <x:c r="I1776" t="n">
        <x:v>3.4</x:v>
      </x:c>
      <x:c r="J1776" t="n">
        <x:f>ROUND(F1776*I1776/100,2)</x:f>
        <x:v>3.74</x:v>
      </x:c>
      <x:c r="K1776" t="n">
        <x:v>22</x:v>
      </x:c>
      <x:c r="L1776" t="n">
        <x:f>ROUND(F1776*K1776/100,2)</x:f>
        <x:v>24.2</x:v>
      </x:c>
      <x:c r="M1776" t="n">
        <x:v>1.1</x:v>
      </x:c>
      <x:c r="N1776" t="n">
        <x:f>ROUND(F1776*M1776/100,2)</x:f>
        <x:v>1.21</x:v>
      </x:c>
      <x:c r="O1776" t="str">
        <x:v>熟重</x:v>
      </x:c>
    </x:row>
    <x:row r="1777" ht="23" customHeight="1">
      <x:c r="A1777" t="n">
        <x:v>296</x:v>
      </x:c>
      <x:c r="B1777" t="n">
        <x:v>148</x:v>
      </x:c>
      <x:c r="C1777" t="str">
        <x:v>晚餐</x:v>
      </x:c>
      <x:c r="D1777" t="str">
        <x:v>油脂</x:v>
      </x:c>
      <x:c r="E1777" t="str">
        <x:v>烹调油</x:v>
      </x:c>
      <x:c r="F1777" t="n">
        <x:v>5</x:v>
      </x:c>
      <x:c r="G1777" t="n">
        <x:v>900</x:v>
      </x:c>
      <x:c r="H1777" t="n">
        <x:f>ROUND(F1777*G1777/100,2)</x:f>
        <x:v>45</x:v>
      </x:c>
      <x:c r="I1777" t="n">
        <x:v>0</x:v>
      </x:c>
      <x:c r="J1777" t="n">
        <x:f>ROUND(F1777*I1777/100,2)</x:f>
        <x:v>0</x:v>
      </x:c>
      <x:c r="K1777" t="n">
        <x:v>0</x:v>
      </x:c>
      <x:c r="L1777" t="n">
        <x:f>ROUND(F1777*K1777/100,2)</x:f>
        <x:v>0</x:v>
      </x:c>
      <x:c r="M1777" t="n">
        <x:v>100</x:v>
      </x:c>
      <x:c r="N1777" t="n">
        <x:f>ROUND(F1777*M1777/100,2)</x:f>
        <x:v>5</x:v>
      </x:c>
      <x:c r="O1777" t="str">
        <x:v>实际用油重</x:v>
      </x:c>
    </x:row>
    <x:row r="1778" ht="23" customHeight="1">
      <x:c r="A1778" t="n">
        <x:v>297</x:v>
      </x:c>
      <x:c r="B1778" t="n">
        <x:v>149</x:v>
      </x:c>
      <x:c r="C1778" t="str">
        <x:v>午餐</x:v>
      </x:c>
      <x:c r="D1778" t="str">
        <x:v>豆蛋</x:v>
      </x:c>
      <x:c r="E1778" t="str">
        <x:v>嫩豆腐</x:v>
      </x:c>
      <x:c r="F1778" t="n">
        <x:v>300</x:v>
      </x:c>
      <x:c r="G1778" t="n">
        <x:v>55</x:v>
      </x:c>
      <x:c r="H1778" t="n">
        <x:f>ROUND(F1778*G1778/100,2)</x:f>
        <x:v>165</x:v>
      </x:c>
      <x:c r="I1778" t="n">
        <x:v>5</x:v>
      </x:c>
      <x:c r="J1778" t="n">
        <x:f>ROUND(F1778*I1778/100,2)</x:f>
        <x:v>15</x:v>
      </x:c>
      <x:c r="K1778" t="n">
        <x:v>2</x:v>
      </x:c>
      <x:c r="L1778" t="n">
        <x:f>ROUND(F1778*K1778/100,2)</x:f>
        <x:v>6</x:v>
      </x:c>
      <x:c r="M1778" t="n">
        <x:v>2.8</x:v>
      </x:c>
      <x:c r="N1778" t="n">
        <x:f>ROUND(F1778*M1778/100,2)</x:f>
        <x:v>8.4</x:v>
      </x:c>
      <x:c r="O1778" t="str">
        <x:v>净重</x:v>
      </x:c>
    </x:row>
    <x:row r="1779" ht="23" customHeight="1">
      <x:c r="A1779" t="n">
        <x:v>297</x:v>
      </x:c>
      <x:c r="B1779" t="n">
        <x:v>149</x:v>
      </x:c>
      <x:c r="C1779" t="str">
        <x:v>午餐</x:v>
      </x:c>
      <x:c r="D1779" t="str">
        <x:v>豆蛋</x:v>
      </x:c>
      <x:c r="E1779" t="str">
        <x:v>鸡蛋</x:v>
      </x:c>
      <x:c r="F1779" t="n">
        <x:v>85</x:v>
      </x:c>
      <x:c r="G1779" t="n">
        <x:v>144</x:v>
      </x:c>
      <x:c r="H1779" t="n">
        <x:f>ROUND(F1779*G1779/100,2)</x:f>
        <x:v>122.4</x:v>
      </x:c>
      <x:c r="I1779" t="n">
        <x:v>13</x:v>
      </x:c>
      <x:c r="J1779" t="n">
        <x:f>ROUND(F1779*I1779/100,2)</x:f>
        <x:v>11.05</x:v>
      </x:c>
      <x:c r="K1779" t="n">
        <x:v>1.1</x:v>
      </x:c>
      <x:c r="L1779" t="n">
        <x:f>ROUND(F1779*K1779/100,2)</x:f>
        <x:v>0.94</x:v>
      </x:c>
      <x:c r="M1779" t="n">
        <x:v>10</x:v>
      </x:c>
      <x:c r="N1779" t="n">
        <x:f>ROUND(F1779*M1779/100,2)</x:f>
        <x:v>8.5</x:v>
      </x:c>
      <x:c r="O1779" t="str">
        <x:v>去壳可食重</x:v>
      </x:c>
    </x:row>
    <x:row r="1780" ht="23" customHeight="1">
      <x:c r="A1780" t="n">
        <x:v>297</x:v>
      </x:c>
      <x:c r="B1780" t="n">
        <x:v>149</x:v>
      </x:c>
      <x:c r="C1780" t="str">
        <x:v>午餐</x:v>
      </x:c>
      <x:c r="D1780" t="str">
        <x:v>蔬菜</x:v>
      </x:c>
      <x:c r="E1780" t="str">
        <x:v>西葫芦</x:v>
      </x:c>
      <x:c r="F1780" t="n">
        <x:v>175</x:v>
      </x:c>
      <x:c r="G1780" t="n">
        <x:v>17</x:v>
      </x:c>
      <x:c r="H1780" t="n">
        <x:f>ROUND(F1780*G1780/100,2)</x:f>
        <x:v>29.75</x:v>
      </x:c>
      <x:c r="I1780" t="n">
        <x:v>1.2</x:v>
      </x:c>
      <x:c r="J1780" t="n">
        <x:f>ROUND(F1780*I1780/100,2)</x:f>
        <x:v>2.1</x:v>
      </x:c>
      <x:c r="K1780" t="n">
        <x:v>3.1</x:v>
      </x:c>
      <x:c r="L1780" t="n">
        <x:f>ROUND(F1780*K1780/100,2)</x:f>
        <x:v>5.43</x:v>
      </x:c>
      <x:c r="M1780" t="n">
        <x:v>0.3</x:v>
      </x:c>
      <x:c r="N1780" t="n">
        <x:f>ROUND(F1780*M1780/100,2)</x:f>
        <x:v>0.53</x:v>
      </x:c>
      <x:c r="O1780" t="str">
        <x:v>生重</x:v>
      </x:c>
    </x:row>
    <x:row r="1781" ht="23" customHeight="1">
      <x:c r="A1781" t="n">
        <x:v>297</x:v>
      </x:c>
      <x:c r="B1781" t="n">
        <x:v>149</x:v>
      </x:c>
      <x:c r="C1781" t="str">
        <x:v>午餐</x:v>
      </x:c>
      <x:c r="D1781" t="str">
        <x:v>蔬菜</x:v>
      </x:c>
      <x:c r="E1781" t="str">
        <x:v>玉米笋</x:v>
      </x:c>
      <x:c r="F1781" t="n">
        <x:v>140</x:v>
      </x:c>
      <x:c r="G1781" t="n">
        <x:v>26</x:v>
      </x:c>
      <x:c r="H1781" t="n">
        <x:f>ROUND(F1781*G1781/100,2)</x:f>
        <x:v>36.4</x:v>
      </x:c>
      <x:c r="I1781" t="n">
        <x:v>2</x:v>
      </x:c>
      <x:c r="J1781" t="n">
        <x:f>ROUND(F1781*I1781/100,2)</x:f>
        <x:v>2.8</x:v>
      </x:c>
      <x:c r="K1781" t="n">
        <x:v>4.9</x:v>
      </x:c>
      <x:c r="L1781" t="n">
        <x:f>ROUND(F1781*K1781/100,2)</x:f>
        <x:v>6.86</x:v>
      </x:c>
      <x:c r="M1781" t="n">
        <x:v>0.1</x:v>
      </x:c>
      <x:c r="N1781" t="n">
        <x:f>ROUND(F1781*M1781/100,2)</x:f>
        <x:v>0.14</x:v>
      </x:c>
      <x:c r="O1781" t="str">
        <x:v>生重</x:v>
      </x:c>
    </x:row>
    <x:row r="1782" ht="23" customHeight="1">
      <x:c r="A1782" t="n">
        <x:v>297</x:v>
      </x:c>
      <x:c r="B1782" t="n">
        <x:v>149</x:v>
      </x:c>
      <x:c r="C1782" t="str">
        <x:v>午餐</x:v>
      </x:c>
      <x:c r="D1782" t="str">
        <x:v>主食</x:v>
      </x:c>
      <x:c r="E1782" t="str">
        <x:v>燕麦饭</x:v>
      </x:c>
      <x:c r="F1782" t="n">
        <x:v>110</x:v>
      </x:c>
      <x:c r="G1782" t="n">
        <x:v>110</x:v>
      </x:c>
      <x:c r="H1782" t="n">
        <x:f>ROUND(F1782*G1782/100,2)</x:f>
        <x:v>121</x:v>
      </x:c>
      <x:c r="I1782" t="n">
        <x:v>3.2</x:v>
      </x:c>
      <x:c r="J1782" t="n">
        <x:f>ROUND(F1782*I1782/100,2)</x:f>
        <x:v>3.52</x:v>
      </x:c>
      <x:c r="K1782" t="n">
        <x:v>21</x:v>
      </x:c>
      <x:c r="L1782" t="n">
        <x:f>ROUND(F1782*K1782/100,2)</x:f>
        <x:v>23.1</x:v>
      </x:c>
      <x:c r="M1782" t="n">
        <x:v>1.8</x:v>
      </x:c>
      <x:c r="N1782" t="n">
        <x:f>ROUND(F1782*M1782/100,2)</x:f>
        <x:v>1.98</x:v>
      </x:c>
      <x:c r="O1782" t="str">
        <x:v>熟重</x:v>
      </x:c>
    </x:row>
    <x:row r="1783" ht="23" customHeight="1">
      <x:c r="A1783" t="n">
        <x:v>297</x:v>
      </x:c>
      <x:c r="B1783" t="n">
        <x:v>149</x:v>
      </x:c>
      <x:c r="C1783" t="str">
        <x:v>午餐</x:v>
      </x:c>
      <x:c r="D1783" t="str">
        <x:v>油脂</x:v>
      </x:c>
      <x:c r="E1783" t="str">
        <x:v>烹调油</x:v>
      </x:c>
      <x:c r="F1783" t="n">
        <x:v>4</x:v>
      </x:c>
      <x:c r="G1783" t="n">
        <x:v>900</x:v>
      </x:c>
      <x:c r="H1783" t="n">
        <x:f>ROUND(F1783*G1783/100,2)</x:f>
        <x:v>36</x:v>
      </x:c>
      <x:c r="I1783" t="n">
        <x:v>0</x:v>
      </x:c>
      <x:c r="J1783" t="n">
        <x:f>ROUND(F1783*I1783/100,2)</x:f>
        <x:v>0</x:v>
      </x:c>
      <x:c r="K1783" t="n">
        <x:v>0</x:v>
      </x:c>
      <x:c r="L1783" t="n">
        <x:f>ROUND(F1783*K1783/100,2)</x:f>
        <x:v>0</x:v>
      </x:c>
      <x:c r="M1783" t="n">
        <x:v>100</x:v>
      </x:c>
      <x:c r="N1783" t="n">
        <x:f>ROUND(F1783*M1783/100,2)</x:f>
        <x:v>4</x:v>
      </x:c>
      <x:c r="O1783" t="str">
        <x:v>实际用油重</x:v>
      </x:c>
    </x:row>
    <x:row r="1784" ht="23" customHeight="1">
      <x:c r="A1784" t="n">
        <x:v>298</x:v>
      </x:c>
      <x:c r="B1784" t="n">
        <x:v>149</x:v>
      </x:c>
      <x:c r="C1784" t="str">
        <x:v>晚餐</x:v>
      </x:c>
      <x:c r="D1784" t="str">
        <x:v>海鲜</x:v>
      </x:c>
      <x:c r="E1784" t="str">
        <x:v>花蛤肉</x:v>
      </x:c>
      <x:c r="F1784" t="n">
        <x:v>190</x:v>
      </x:c>
      <x:c r="G1784" t="n">
        <x:v>75</x:v>
      </x:c>
      <x:c r="H1784" t="n">
        <x:f>ROUND(F1784*G1784/100,2)</x:f>
        <x:v>142.5</x:v>
      </x:c>
      <x:c r="I1784" t="n">
        <x:v>13</x:v>
      </x:c>
      <x:c r="J1784" t="n">
        <x:f>ROUND(F1784*I1784/100,2)</x:f>
        <x:v>24.7</x:v>
      </x:c>
      <x:c r="K1784" t="n">
        <x:v>3.5</x:v>
      </x:c>
      <x:c r="L1784" t="n">
        <x:f>ROUND(F1784*K1784/100,2)</x:f>
        <x:v>6.65</x:v>
      </x:c>
      <x:c r="M1784" t="n">
        <x:v>1</x:v>
      </x:c>
      <x:c r="N1784" t="n">
        <x:f>ROUND(F1784*M1784/100,2)</x:f>
        <x:v>1.9</x:v>
      </x:c>
      <x:c r="O1784" t="str">
        <x:v>净肉生重</x:v>
      </x:c>
    </x:row>
    <x:row r="1785" ht="23" customHeight="1">
      <x:c r="A1785" t="n">
        <x:v>298</x:v>
      </x:c>
      <x:c r="B1785" t="n">
        <x:v>149</x:v>
      </x:c>
      <x:c r="C1785" t="str">
        <x:v>晚餐</x:v>
      </x:c>
      <x:c r="D1785" t="str">
        <x:v>豆蛋</x:v>
      </x:c>
      <x:c r="E1785" t="str">
        <x:v>嫩豆腐</x:v>
      </x:c>
      <x:c r="F1785" t="n">
        <x:v>160</x:v>
      </x:c>
      <x:c r="G1785" t="n">
        <x:v>55</x:v>
      </x:c>
      <x:c r="H1785" t="n">
        <x:f>ROUND(F1785*G1785/100,2)</x:f>
        <x:v>88</x:v>
      </x:c>
      <x:c r="I1785" t="n">
        <x:v>5</x:v>
      </x:c>
      <x:c r="J1785" t="n">
        <x:f>ROUND(F1785*I1785/100,2)</x:f>
        <x:v>8</x:v>
      </x:c>
      <x:c r="K1785" t="n">
        <x:v>2</x:v>
      </x:c>
      <x:c r="L1785" t="n">
        <x:f>ROUND(F1785*K1785/100,2)</x:f>
        <x:v>3.2</x:v>
      </x:c>
      <x:c r="M1785" t="n">
        <x:v>2.8</x:v>
      </x:c>
      <x:c r="N1785" t="n">
        <x:f>ROUND(F1785*M1785/100,2)</x:f>
        <x:v>4.48</x:v>
      </x:c>
      <x:c r="O1785" t="str">
        <x:v>净重</x:v>
      </x:c>
    </x:row>
    <x:row r="1786" ht="23" customHeight="1">
      <x:c r="A1786" t="n">
        <x:v>298</x:v>
      </x:c>
      <x:c r="B1786" t="n">
        <x:v>149</x:v>
      </x:c>
      <x:c r="C1786" t="str">
        <x:v>晚餐</x:v>
      </x:c>
      <x:c r="D1786" t="str">
        <x:v>蔬菜</x:v>
      </x:c>
      <x:c r="E1786" t="str">
        <x:v>冬瓜</x:v>
      </x:c>
      <x:c r="F1786" t="n">
        <x:v>160</x:v>
      </x:c>
      <x:c r="G1786" t="n">
        <x:v>13</x:v>
      </x:c>
      <x:c r="H1786" t="n">
        <x:f>ROUND(F1786*G1786/100,2)</x:f>
        <x:v>20.8</x:v>
      </x:c>
      <x:c r="I1786" t="n">
        <x:v>0.4</x:v>
      </x:c>
      <x:c r="J1786" t="n">
        <x:f>ROUND(F1786*I1786/100,2)</x:f>
        <x:v>0.64</x:v>
      </x:c>
      <x:c r="K1786" t="n">
        <x:v>3</x:v>
      </x:c>
      <x:c r="L1786" t="n">
        <x:f>ROUND(F1786*K1786/100,2)</x:f>
        <x:v>4.8</x:v>
      </x:c>
      <x:c r="M1786" t="n">
        <x:v>0.2</x:v>
      </x:c>
      <x:c r="N1786" t="n">
        <x:f>ROUND(F1786*M1786/100,2)</x:f>
        <x:v>0.32</x:v>
      </x:c>
      <x:c r="O1786" t="str">
        <x:v>生重</x:v>
      </x:c>
    </x:row>
    <x:row r="1787" ht="23" customHeight="1">
      <x:c r="A1787" t="n">
        <x:v>298</x:v>
      </x:c>
      <x:c r="B1787" t="n">
        <x:v>149</x:v>
      </x:c>
      <x:c r="C1787" t="str">
        <x:v>晚餐</x:v>
      </x:c>
      <x:c r="D1787" t="str">
        <x:v>蔬菜</x:v>
      </x:c>
      <x:c r="E1787" t="str">
        <x:v>海带</x:v>
      </x:c>
      <x:c r="F1787" t="n">
        <x:v>110</x:v>
      </x:c>
      <x:c r="G1787" t="n">
        <x:v>25</x:v>
      </x:c>
      <x:c r="H1787" t="n">
        <x:f>ROUND(F1787*G1787/100,2)</x:f>
        <x:v>27.5</x:v>
      </x:c>
      <x:c r="I1787" t="n">
        <x:v>1</x:v>
      </x:c>
      <x:c r="J1787" t="n">
        <x:f>ROUND(F1787*I1787/100,2)</x:f>
        <x:v>1.1</x:v>
      </x:c>
      <x:c r="K1787" t="n">
        <x:v>5</x:v>
      </x:c>
      <x:c r="L1787" t="n">
        <x:f>ROUND(F1787*K1787/100,2)</x:f>
        <x:v>5.5</x:v>
      </x:c>
      <x:c r="M1787" t="n">
        <x:v>0.1</x:v>
      </x:c>
      <x:c r="N1787" t="n">
        <x:f>ROUND(F1787*M1787/100,2)</x:f>
        <x:v>0.11</x:v>
      </x:c>
      <x:c r="O1787" t="str">
        <x:v>泡发沥水重</x:v>
      </x:c>
    </x:row>
    <x:row r="1788" ht="23" customHeight="1">
      <x:c r="A1788" t="n">
        <x:v>298</x:v>
      </x:c>
      <x:c r="B1788" t="n">
        <x:v>149</x:v>
      </x:c>
      <x:c r="C1788" t="str">
        <x:v>晚餐</x:v>
      </x:c>
      <x:c r="D1788" t="str">
        <x:v>主食</x:v>
      </x:c>
      <x:c r="E1788" t="str">
        <x:v>杂粮饭</x:v>
      </x:c>
      <x:c r="F1788" t="n">
        <x:v>110</x:v>
      </x:c>
      <x:c r="G1788" t="n">
        <x:v>115</x:v>
      </x:c>
      <x:c r="H1788" t="n">
        <x:f>ROUND(F1788*G1788/100,2)</x:f>
        <x:v>126.5</x:v>
      </x:c>
      <x:c r="I1788" t="n">
        <x:v>3.1</x:v>
      </x:c>
      <x:c r="J1788" t="n">
        <x:f>ROUND(F1788*I1788/100,2)</x:f>
        <x:v>3.41</x:v>
      </x:c>
      <x:c r="K1788" t="n">
        <x:v>23.5</x:v>
      </x:c>
      <x:c r="L1788" t="n">
        <x:f>ROUND(F1788*K1788/100,2)</x:f>
        <x:v>25.85</x:v>
      </x:c>
      <x:c r="M1788" t="n">
        <x:v>1.1</x:v>
      </x:c>
      <x:c r="N1788" t="n">
        <x:f>ROUND(F1788*M1788/100,2)</x:f>
        <x:v>1.21</x:v>
      </x:c>
      <x:c r="O1788" t="str">
        <x:v>熟重</x:v>
      </x:c>
    </x:row>
    <x:row r="1789" ht="23" customHeight="1">
      <x:c r="A1789" t="n">
        <x:v>298</x:v>
      </x:c>
      <x:c r="B1789" t="n">
        <x:v>149</x:v>
      </x:c>
      <x:c r="C1789" t="str">
        <x:v>晚餐</x:v>
      </x:c>
      <x:c r="D1789" t="str">
        <x:v>油脂</x:v>
      </x:c>
      <x:c r="E1789" t="str">
        <x:v>烹调油</x:v>
      </x:c>
      <x:c r="F1789" t="n">
        <x:v>6</x:v>
      </x:c>
      <x:c r="G1789" t="n">
        <x:v>900</x:v>
      </x:c>
      <x:c r="H1789" t="n">
        <x:f>ROUND(F1789*G1789/100,2)</x:f>
        <x:v>54</x:v>
      </x:c>
      <x:c r="I1789" t="n">
        <x:v>0</x:v>
      </x:c>
      <x:c r="J1789" t="n">
        <x:f>ROUND(F1789*I1789/100,2)</x:f>
        <x:v>0</x:v>
      </x:c>
      <x:c r="K1789" t="n">
        <x:v>0</x:v>
      </x:c>
      <x:c r="L1789" t="n">
        <x:f>ROUND(F1789*K1789/100,2)</x:f>
        <x:v>0</x:v>
      </x:c>
      <x:c r="M1789" t="n">
        <x:v>100</x:v>
      </x:c>
      <x:c r="N1789" t="n">
        <x:f>ROUND(F1789*M1789/100,2)</x:f>
        <x:v>6</x:v>
      </x:c>
      <x:c r="O1789" t="str">
        <x:v>实际用油重</x:v>
      </x:c>
    </x:row>
    <x:row r="1790" ht="23" customHeight="1">
      <x:c r="A1790" t="n">
        <x:v>299</x:v>
      </x:c>
      <x:c r="B1790" t="n">
        <x:v>150</x:v>
      </x:c>
      <x:c r="C1790" t="str">
        <x:v>午餐</x:v>
      </x:c>
      <x:c r="D1790" t="str">
        <x:v>鱼类</x:v>
      </x:c>
      <x:c r="E1790" t="str">
        <x:v>巴沙鱼</x:v>
      </x:c>
      <x:c r="F1790" t="n">
        <x:v>175</x:v>
      </x:c>
      <x:c r="G1790" t="n">
        <x:v>90</x:v>
      </x:c>
      <x:c r="H1790" t="n">
        <x:f>ROUND(F1790*G1790/100,2)</x:f>
        <x:v>157.5</x:v>
      </x:c>
      <x:c r="I1790" t="n">
        <x:v>17</x:v>
      </x:c>
      <x:c r="J1790" t="n">
        <x:f>ROUND(F1790*I1790/100,2)</x:f>
        <x:v>29.75</x:v>
      </x:c>
      <x:c r="K1790" t="n">
        <x:v>0</x:v>
      </x:c>
      <x:c r="L1790" t="n">
        <x:f>ROUND(F1790*K1790/100,2)</x:f>
        <x:v>0</x:v>
      </x:c>
      <x:c r="M1790" t="n">
        <x:v>2.3</x:v>
      </x:c>
      <x:c r="N1790" t="n">
        <x:f>ROUND(F1790*M1790/100,2)</x:f>
        <x:v>4.02</x:v>
      </x:c>
      <x:c r="O1790" t="str">
        <x:v>净鱼肉生重</x:v>
      </x:c>
    </x:row>
    <x:row r="1791" ht="23" customHeight="1">
      <x:c r="A1791" t="n">
        <x:v>299</x:v>
      </x:c>
      <x:c r="B1791" t="n">
        <x:v>150</x:v>
      </x:c>
      <x:c r="C1791" t="str">
        <x:v>午餐</x:v>
      </x:c>
      <x:c r="D1791" t="str"/>
      <x:c r="E1791" t="str"/>
      <x:c r="F1791" t="n">
        <x:v>0</x:v>
      </x:c>
      <x:c r="G1791" t="n">
        <x:v>0</x:v>
      </x:c>
      <x:c r="H1791" t="n">
        <x:f>ROUND(F1791*G1791/100,2)</x:f>
        <x:v>0</x:v>
      </x:c>
      <x:c r="I1791" t="n">
        <x:v>0</x:v>
      </x:c>
      <x:c r="J1791" t="n">
        <x:f>ROUND(F1791*I1791/100,2)</x:f>
        <x:v>0</x:v>
      </x:c>
      <x:c r="K1791" t="n">
        <x:v>0</x:v>
      </x:c>
      <x:c r="L1791" t="n">
        <x:f>ROUND(F1791*K1791/100,2)</x:f>
        <x:v>0</x:v>
      </x:c>
      <x:c r="M1791" t="n">
        <x:v>0</x:v>
      </x:c>
      <x:c r="N1791" t="n">
        <x:f>ROUND(F1791*M1791/100,2)</x:f>
        <x:v>0</x:v>
      </x:c>
      <x:c r="O1791" t="str"/>
    </x:row>
    <x:row r="1792" ht="23" customHeight="1">
      <x:c r="A1792" t="n">
        <x:v>299</x:v>
      </x:c>
      <x:c r="B1792" t="n">
        <x:v>150</x:v>
      </x:c>
      <x:c r="C1792" t="str">
        <x:v>午餐</x:v>
      </x:c>
      <x:c r="D1792" t="str">
        <x:v>蔬菜</x:v>
      </x:c>
      <x:c r="E1792" t="str">
        <x:v>茼蒿</x:v>
      </x:c>
      <x:c r="F1792" t="n">
        <x:v>175</x:v>
      </x:c>
      <x:c r="G1792" t="n">
        <x:v>24</x:v>
      </x:c>
      <x:c r="H1792" t="n">
        <x:f>ROUND(F1792*G1792/100,2)</x:f>
        <x:v>42</x:v>
      </x:c>
      <x:c r="I1792" t="n">
        <x:v>1.9</x:v>
      </x:c>
      <x:c r="J1792" t="n">
        <x:f>ROUND(F1792*I1792/100,2)</x:f>
        <x:v>3.33</x:v>
      </x:c>
      <x:c r="K1792" t="n">
        <x:v>4.3</x:v>
      </x:c>
      <x:c r="L1792" t="n">
        <x:f>ROUND(F1792*K1792/100,2)</x:f>
        <x:v>7.53</x:v>
      </x:c>
      <x:c r="M1792" t="n">
        <x:v>0.3</x:v>
      </x:c>
      <x:c r="N1792" t="n">
        <x:f>ROUND(F1792*M1792/100,2)</x:f>
        <x:v>0.53</x:v>
      </x:c>
      <x:c r="O1792" t="str">
        <x:v>生重</x:v>
      </x:c>
    </x:row>
    <x:row r="1793" ht="23" customHeight="1">
      <x:c r="A1793" t="n">
        <x:v>299</x:v>
      </x:c>
      <x:c r="B1793" t="n">
        <x:v>150</x:v>
      </x:c>
      <x:c r="C1793" t="str">
        <x:v>午餐</x:v>
      </x:c>
      <x:c r="D1793" t="str">
        <x:v>蔬菜</x:v>
      </x:c>
      <x:c r="E1793" t="str">
        <x:v>荷兰豆</x:v>
      </x:c>
      <x:c r="F1793" t="n">
        <x:v>155</x:v>
      </x:c>
      <x:c r="G1793" t="n">
        <x:v>42</x:v>
      </x:c>
      <x:c r="H1793" t="n">
        <x:f>ROUND(F1793*G1793/100,2)</x:f>
        <x:v>65.1</x:v>
      </x:c>
      <x:c r="I1793" t="n">
        <x:v>2.8</x:v>
      </x:c>
      <x:c r="J1793" t="n">
        <x:f>ROUND(F1793*I1793/100,2)</x:f>
        <x:v>4.34</x:v>
      </x:c>
      <x:c r="K1793" t="n">
        <x:v>7.5</x:v>
      </x:c>
      <x:c r="L1793" t="n">
        <x:f>ROUND(F1793*K1793/100,2)</x:f>
        <x:v>11.63</x:v>
      </x:c>
      <x:c r="M1793" t="n">
        <x:v>0.3</x:v>
      </x:c>
      <x:c r="N1793" t="n">
        <x:f>ROUND(F1793*M1793/100,2)</x:f>
        <x:v>0.47</x:v>
      </x:c>
      <x:c r="O1793" t="str">
        <x:v>生重</x:v>
      </x:c>
    </x:row>
    <x:row r="1794" ht="23" customHeight="1">
      <x:c r="A1794" t="n">
        <x:v>299</x:v>
      </x:c>
      <x:c r="B1794" t="n">
        <x:v>150</x:v>
      </x:c>
      <x:c r="C1794" t="str">
        <x:v>午餐</x:v>
      </x:c>
      <x:c r="D1794" t="str">
        <x:v>主食</x:v>
      </x:c>
      <x:c r="E1794" t="str">
        <x:v>红薯</x:v>
      </x:c>
      <x:c r="F1794" t="n">
        <x:v>125</x:v>
      </x:c>
      <x:c r="G1794" t="n">
        <x:v>88</x:v>
      </x:c>
      <x:c r="H1794" t="n">
        <x:f>ROUND(F1794*G1794/100,2)</x:f>
        <x:v>110</x:v>
      </x:c>
      <x:c r="I1794" t="n">
        <x:v>1.6</x:v>
      </x:c>
      <x:c r="J1794" t="n">
        <x:f>ROUND(F1794*I1794/100,2)</x:f>
        <x:v>2</x:v>
      </x:c>
      <x:c r="K1794" t="n">
        <x:v>20.5</x:v>
      </x:c>
      <x:c r="L1794" t="n">
        <x:f>ROUND(F1794*K1794/100,2)</x:f>
        <x:v>25.63</x:v>
      </x:c>
      <x:c r="M1794" t="n">
        <x:v>0.1</x:v>
      </x:c>
      <x:c r="N1794" t="n">
        <x:f>ROUND(F1794*M1794/100,2)</x:f>
        <x:v>0.13</x:v>
      </x:c>
      <x:c r="O1794" t="str">
        <x:v>蒸熟净重</x:v>
      </x:c>
    </x:row>
    <x:row r="1795" ht="23" customHeight="1">
      <x:c r="A1795" t="n">
        <x:v>299</x:v>
      </x:c>
      <x:c r="B1795" t="n">
        <x:v>150</x:v>
      </x:c>
      <x:c r="C1795" t="str">
        <x:v>午餐</x:v>
      </x:c>
      <x:c r="D1795" t="str">
        <x:v>油脂</x:v>
      </x:c>
      <x:c r="E1795" t="str">
        <x:v>烹调油</x:v>
      </x:c>
      <x:c r="F1795" t="n">
        <x:v>6</x:v>
      </x:c>
      <x:c r="G1795" t="n">
        <x:v>900</x:v>
      </x:c>
      <x:c r="H1795" t="n">
        <x:f>ROUND(F1795*G1795/100,2)</x:f>
        <x:v>54</x:v>
      </x:c>
      <x:c r="I1795" t="n">
        <x:v>0</x:v>
      </x:c>
      <x:c r="J1795" t="n">
        <x:f>ROUND(F1795*I1795/100,2)</x:f>
        <x:v>0</x:v>
      </x:c>
      <x:c r="K1795" t="n">
        <x:v>0</x:v>
      </x:c>
      <x:c r="L1795" t="n">
        <x:f>ROUND(F1795*K1795/100,2)</x:f>
        <x:v>0</x:v>
      </x:c>
      <x:c r="M1795" t="n">
        <x:v>100</x:v>
      </x:c>
      <x:c r="N1795" t="n">
        <x:f>ROUND(F1795*M1795/100,2)</x:f>
        <x:v>6</x:v>
      </x:c>
      <x:c r="O1795" t="str">
        <x:v>实际用油重</x:v>
      </x:c>
    </x:row>
    <x:row r="1796" ht="23" customHeight="1">
      <x:c r="A1796" t="n">
        <x:v>300</x:v>
      </x:c>
      <x:c r="B1796" t="n">
        <x:v>150</x:v>
      </x:c>
      <x:c r="C1796" t="str">
        <x:v>晚餐</x:v>
      </x:c>
      <x:c r="D1796" t="str">
        <x:v>海鲜</x:v>
      </x:c>
      <x:c r="E1796" t="str">
        <x:v>花蛤肉</x:v>
      </x:c>
      <x:c r="F1796" t="n">
        <x:v>170</x:v>
      </x:c>
      <x:c r="G1796" t="n">
        <x:v>75</x:v>
      </x:c>
      <x:c r="H1796" t="n">
        <x:f>ROUND(F1796*G1796/100,2)</x:f>
        <x:v>127.5</x:v>
      </x:c>
      <x:c r="I1796" t="n">
        <x:v>13</x:v>
      </x:c>
      <x:c r="J1796" t="n">
        <x:f>ROUND(F1796*I1796/100,2)</x:f>
        <x:v>22.1</x:v>
      </x:c>
      <x:c r="K1796" t="n">
        <x:v>3.5</x:v>
      </x:c>
      <x:c r="L1796" t="n">
        <x:f>ROUND(F1796*K1796/100,2)</x:f>
        <x:v>5.95</x:v>
      </x:c>
      <x:c r="M1796" t="n">
        <x:v>1</x:v>
      </x:c>
      <x:c r="N1796" t="n">
        <x:f>ROUND(F1796*M1796/100,2)</x:f>
        <x:v>1.7</x:v>
      </x:c>
      <x:c r="O1796" t="str">
        <x:v>净肉生重</x:v>
      </x:c>
    </x:row>
    <x:row r="1797" ht="23" customHeight="1">
      <x:c r="A1797" t="n">
        <x:v>300</x:v>
      </x:c>
      <x:c r="B1797" t="n">
        <x:v>150</x:v>
      </x:c>
      <x:c r="C1797" t="str">
        <x:v>晚餐</x:v>
      </x:c>
      <x:c r="D1797" t="str">
        <x:v>豆蛋</x:v>
      </x:c>
      <x:c r="E1797" t="str">
        <x:v>嫩豆腐</x:v>
      </x:c>
      <x:c r="F1797" t="n">
        <x:v>135</x:v>
      </x:c>
      <x:c r="G1797" t="n">
        <x:v>55</x:v>
      </x:c>
      <x:c r="H1797" t="n">
        <x:f>ROUND(F1797*G1797/100,2)</x:f>
        <x:v>74.25</x:v>
      </x:c>
      <x:c r="I1797" t="n">
        <x:v>5</x:v>
      </x:c>
      <x:c r="J1797" t="n">
        <x:f>ROUND(F1797*I1797/100,2)</x:f>
        <x:v>6.75</x:v>
      </x:c>
      <x:c r="K1797" t="n">
        <x:v>2</x:v>
      </x:c>
      <x:c r="L1797" t="n">
        <x:f>ROUND(F1797*K1797/100,2)</x:f>
        <x:v>2.7</x:v>
      </x:c>
      <x:c r="M1797" t="n">
        <x:v>2.8</x:v>
      </x:c>
      <x:c r="N1797" t="n">
        <x:f>ROUND(F1797*M1797/100,2)</x:f>
        <x:v>3.78</x:v>
      </x:c>
      <x:c r="O1797" t="str">
        <x:v>净重</x:v>
      </x:c>
    </x:row>
    <x:row r="1798" ht="23" customHeight="1">
      <x:c r="A1798" t="n">
        <x:v>300</x:v>
      </x:c>
      <x:c r="B1798" t="n">
        <x:v>150</x:v>
      </x:c>
      <x:c r="C1798" t="str">
        <x:v>晚餐</x:v>
      </x:c>
      <x:c r="D1798" t="str">
        <x:v>蔬菜</x:v>
      </x:c>
      <x:c r="E1798" t="str">
        <x:v>芦笋</x:v>
      </x:c>
      <x:c r="F1798" t="n">
        <x:v>175</x:v>
      </x:c>
      <x:c r="G1798" t="n">
        <x:v>20</x:v>
      </x:c>
      <x:c r="H1798" t="n">
        <x:f>ROUND(F1798*G1798/100,2)</x:f>
        <x:v>35</x:v>
      </x:c>
      <x:c r="I1798" t="n">
        <x:v>2.2</x:v>
      </x:c>
      <x:c r="J1798" t="n">
        <x:f>ROUND(F1798*I1798/100,2)</x:f>
        <x:v>3.85</x:v>
      </x:c>
      <x:c r="K1798" t="n">
        <x:v>3.9</x:v>
      </x:c>
      <x:c r="L1798" t="n">
        <x:f>ROUND(F1798*K1798/100,2)</x:f>
        <x:v>6.83</x:v>
      </x:c>
      <x:c r="M1798" t="n">
        <x:v>0.1</x:v>
      </x:c>
      <x:c r="N1798" t="n">
        <x:f>ROUND(F1798*M1798/100,2)</x:f>
        <x:v>0.18</x:v>
      </x:c>
      <x:c r="O1798" t="str">
        <x:v>生重</x:v>
      </x:c>
    </x:row>
    <x:row r="1799" ht="23" customHeight="1">
      <x:c r="A1799" t="n">
        <x:v>300</x:v>
      </x:c>
      <x:c r="B1799" t="n">
        <x:v>150</x:v>
      </x:c>
      <x:c r="C1799" t="str">
        <x:v>晚餐</x:v>
      </x:c>
      <x:c r="D1799" t="str">
        <x:v>蔬菜</x:v>
      </x:c>
      <x:c r="E1799" t="str">
        <x:v>海带</x:v>
      </x:c>
      <x:c r="F1799" t="n">
        <x:v>140</x:v>
      </x:c>
      <x:c r="G1799" t="n">
        <x:v>25</x:v>
      </x:c>
      <x:c r="H1799" t="n">
        <x:f>ROUND(F1799*G1799/100,2)</x:f>
        <x:v>35</x:v>
      </x:c>
      <x:c r="I1799" t="n">
        <x:v>1</x:v>
      </x:c>
      <x:c r="J1799" t="n">
        <x:f>ROUND(F1799*I1799/100,2)</x:f>
        <x:v>1.4</x:v>
      </x:c>
      <x:c r="K1799" t="n">
        <x:v>5</x:v>
      </x:c>
      <x:c r="L1799" t="n">
        <x:f>ROUND(F1799*K1799/100,2)</x:f>
        <x:v>7</x:v>
      </x:c>
      <x:c r="M1799" t="n">
        <x:v>0.1</x:v>
      </x:c>
      <x:c r="N1799" t="n">
        <x:f>ROUND(F1799*M1799/100,2)</x:f>
        <x:v>0.14</x:v>
      </x:c>
      <x:c r="O1799" t="str">
        <x:v>泡发沥水重</x:v>
      </x:c>
    </x:row>
    <x:row r="1800" ht="23" customHeight="1">
      <x:c r="A1800" t="n">
        <x:v>300</x:v>
      </x:c>
      <x:c r="B1800" t="n">
        <x:v>150</x:v>
      </x:c>
      <x:c r="C1800" t="str">
        <x:v>晚餐</x:v>
      </x:c>
      <x:c r="D1800" t="str">
        <x:v>主食</x:v>
      </x:c>
      <x:c r="E1800" t="str">
        <x:v>玉米</x:v>
      </x:c>
      <x:c r="F1800" t="n">
        <x:v>135</x:v>
      </x:c>
      <x:c r="G1800" t="n">
        <x:v>105</x:v>
      </x:c>
      <x:c r="H1800" t="n">
        <x:f>ROUND(F1800*G1800/100,2)</x:f>
        <x:v>141.75</x:v>
      </x:c>
      <x:c r="I1800" t="n">
        <x:v>3.4</x:v>
      </x:c>
      <x:c r="J1800" t="n">
        <x:f>ROUND(F1800*I1800/100,2)</x:f>
        <x:v>4.59</x:v>
      </x:c>
      <x:c r="K1800" t="n">
        <x:v>22</x:v>
      </x:c>
      <x:c r="L1800" t="n">
        <x:f>ROUND(F1800*K1800/100,2)</x:f>
        <x:v>29.7</x:v>
      </x:c>
      <x:c r="M1800" t="n">
        <x:v>1.5</x:v>
      </x:c>
      <x:c r="N1800" t="n">
        <x:f>ROUND(F1800*M1800/100,2)</x:f>
        <x:v>2.03</x:v>
      </x:c>
      <x:c r="O1800" t="str">
        <x:v>蒸熟净重</x:v>
      </x:c>
    </x:row>
    <x:row r="1801" ht="23" customHeight="1">
      <x:c r="A1801" t="n">
        <x:v>300</x:v>
      </x:c>
      <x:c r="B1801" t="n">
        <x:v>150</x:v>
      </x:c>
      <x:c r="C1801" t="str">
        <x:v>晚餐</x:v>
      </x:c>
      <x:c r="D1801" t="str">
        <x:v>油脂</x:v>
      </x:c>
      <x:c r="E1801" t="str">
        <x:v>烹调油</x:v>
      </x:c>
      <x:c r="F1801" t="n">
        <x:v>4</x:v>
      </x:c>
      <x:c r="G1801" t="n">
        <x:v>900</x:v>
      </x:c>
      <x:c r="H1801" t="n">
        <x:f>ROUND(F1801*G1801/100,2)</x:f>
        <x:v>36</x:v>
      </x:c>
      <x:c r="I1801" t="n">
        <x:v>0</x:v>
      </x:c>
      <x:c r="J1801" t="n">
        <x:f>ROUND(F1801*I1801/100,2)</x:f>
        <x:v>0</x:v>
      </x:c>
      <x:c r="K1801" t="n">
        <x:v>0</x:v>
      </x:c>
      <x:c r="L1801" t="n">
        <x:f>ROUND(F1801*K1801/100,2)</x:f>
        <x:v>0</x:v>
      </x:c>
      <x:c r="M1801" t="n">
        <x:v>100</x:v>
      </x:c>
      <x:c r="N1801" t="n">
        <x:f>ROUND(F1801*M1801/100,2)</x:f>
        <x:v>4</x:v>
      </x:c>
      <x:c r="O1801" t="str">
        <x:v>实际用油重</x:v>
      </x:c>
    </x:row>
    <x:row r="1802" ht="23" customHeight="1">
      <x:c r="A1802" t="n">
        <x:v>301</x:v>
      </x:c>
      <x:c r="B1802" t="n">
        <x:v>151</x:v>
      </x:c>
      <x:c r="C1802" t="str">
        <x:v>午餐</x:v>
      </x:c>
      <x:c r="D1802" t="str">
        <x:v>豆蛋</x:v>
      </x:c>
      <x:c r="E1802" t="str">
        <x:v>北豆腐</x:v>
      </x:c>
      <x:c r="F1802" t="n">
        <x:v>240</x:v>
      </x:c>
      <x:c r="G1802" t="n">
        <x:v>90</x:v>
      </x:c>
      <x:c r="H1802" t="n">
        <x:f>ROUND(F1802*G1802/100,2)</x:f>
        <x:v>216</x:v>
      </x:c>
      <x:c r="I1802" t="n">
        <x:v>10</x:v>
      </x:c>
      <x:c r="J1802" t="n">
        <x:f>ROUND(F1802*I1802/100,2)</x:f>
        <x:v>24</x:v>
      </x:c>
      <x:c r="K1802" t="n">
        <x:v>2</x:v>
      </x:c>
      <x:c r="L1802" t="n">
        <x:f>ROUND(F1802*K1802/100,2)</x:f>
        <x:v>4.8</x:v>
      </x:c>
      <x:c r="M1802" t="n">
        <x:v>5</x:v>
      </x:c>
      <x:c r="N1802" t="n">
        <x:f>ROUND(F1802*M1802/100,2)</x:f>
        <x:v>12</x:v>
      </x:c>
      <x:c r="O1802" t="str">
        <x:v>净重</x:v>
      </x:c>
    </x:row>
    <x:row r="1803" ht="23" customHeight="1">
      <x:c r="A1803" t="n">
        <x:v>301</x:v>
      </x:c>
      <x:c r="B1803" t="n">
        <x:v>151</x:v>
      </x:c>
      <x:c r="C1803" t="str">
        <x:v>午餐</x:v>
      </x:c>
      <x:c r="D1803" t="str">
        <x:v>海鲜</x:v>
      </x:c>
      <x:c r="E1803" t="str">
        <x:v>虾仁</x:v>
      </x:c>
      <x:c r="F1803" t="n">
        <x:v>85</x:v>
      </x:c>
      <x:c r="G1803" t="n">
        <x:v>90</x:v>
      </x:c>
      <x:c r="H1803" t="n">
        <x:f>ROUND(F1803*G1803/100,2)</x:f>
        <x:v>76.5</x:v>
      </x:c>
      <x:c r="I1803" t="n">
        <x:v>19</x:v>
      </x:c>
      <x:c r="J1803" t="n">
        <x:f>ROUND(F1803*I1803/100,2)</x:f>
        <x:v>16.15</x:v>
      </x:c>
      <x:c r="K1803" t="n">
        <x:v>0.4</x:v>
      </x:c>
      <x:c r="L1803" t="n">
        <x:f>ROUND(F1803*K1803/100,2)</x:f>
        <x:v>0.34</x:v>
      </x:c>
      <x:c r="M1803" t="n">
        <x:v>1.1</x:v>
      </x:c>
      <x:c r="N1803" t="n">
        <x:f>ROUND(F1803*M1803/100,2)</x:f>
        <x:v>0.94</x:v>
      </x:c>
      <x:c r="O1803" t="str">
        <x:v>生重</x:v>
      </x:c>
    </x:row>
    <x:row r="1804" ht="23" customHeight="1">
      <x:c r="A1804" t="n">
        <x:v>301</x:v>
      </x:c>
      <x:c r="B1804" t="n">
        <x:v>151</x:v>
      </x:c>
      <x:c r="C1804" t="str">
        <x:v>午餐</x:v>
      </x:c>
      <x:c r="D1804" t="str">
        <x:v>蔬菜</x:v>
      </x:c>
      <x:c r="E1804" t="str">
        <x:v>苦瓜</x:v>
      </x:c>
      <x:c r="F1804" t="n">
        <x:v>160</x:v>
      </x:c>
      <x:c r="G1804" t="n">
        <x:v>19</x:v>
      </x:c>
      <x:c r="H1804" t="n">
        <x:f>ROUND(F1804*G1804/100,2)</x:f>
        <x:v>30.4</x:v>
      </x:c>
      <x:c r="I1804" t="n">
        <x:v>1</x:v>
      </x:c>
      <x:c r="J1804" t="n">
        <x:f>ROUND(F1804*I1804/100,2)</x:f>
        <x:v>1.6</x:v>
      </x:c>
      <x:c r="K1804" t="n">
        <x:v>4.1</x:v>
      </x:c>
      <x:c r="L1804" t="n">
        <x:f>ROUND(F1804*K1804/100,2)</x:f>
        <x:v>6.56</x:v>
      </x:c>
      <x:c r="M1804" t="n">
        <x:v>0.2</x:v>
      </x:c>
      <x:c r="N1804" t="n">
        <x:f>ROUND(F1804*M1804/100,2)</x:f>
        <x:v>0.32</x:v>
      </x:c>
      <x:c r="O1804" t="str">
        <x:v>生重</x:v>
      </x:c>
    </x:row>
    <x:row r="1805" ht="23" customHeight="1">
      <x:c r="A1805" t="n">
        <x:v>301</x:v>
      </x:c>
      <x:c r="B1805" t="n">
        <x:v>151</x:v>
      </x:c>
      <x:c r="C1805" t="str">
        <x:v>午餐</x:v>
      </x:c>
      <x:c r="D1805" t="str">
        <x:v>蔬菜</x:v>
      </x:c>
      <x:c r="E1805" t="str">
        <x:v>胡萝卜</x:v>
      </x:c>
      <x:c r="F1805" t="n">
        <x:v>140</x:v>
      </x:c>
      <x:c r="G1805" t="n">
        <x:v>41</x:v>
      </x:c>
      <x:c r="H1805" t="n">
        <x:f>ROUND(F1805*G1805/100,2)</x:f>
        <x:v>57.4</x:v>
      </x:c>
      <x:c r="I1805" t="n">
        <x:v>0.9</x:v>
      </x:c>
      <x:c r="J1805" t="n">
        <x:f>ROUND(F1805*I1805/100,2)</x:f>
        <x:v>1.26</x:v>
      </x:c>
      <x:c r="K1805" t="n">
        <x:v>10</x:v>
      </x:c>
      <x:c r="L1805" t="n">
        <x:f>ROUND(F1805*K1805/100,2)</x:f>
        <x:v>14</x:v>
      </x:c>
      <x:c r="M1805" t="n">
        <x:v>0.2</x:v>
      </x:c>
      <x:c r="N1805" t="n">
        <x:f>ROUND(F1805*M1805/100,2)</x:f>
        <x:v>0.28</x:v>
      </x:c>
      <x:c r="O1805" t="str">
        <x:v>生重</x:v>
      </x:c>
    </x:row>
    <x:row r="1806" ht="23" customHeight="1">
      <x:c r="A1806" t="n">
        <x:v>301</x:v>
      </x:c>
      <x:c r="B1806" t="n">
        <x:v>151</x:v>
      </x:c>
      <x:c r="C1806" t="str">
        <x:v>午餐</x:v>
      </x:c>
      <x:c r="D1806" t="str">
        <x:v>主食</x:v>
      </x:c>
      <x:c r="E1806" t="str">
        <x:v>白米饭</x:v>
      </x:c>
      <x:c r="F1806" t="n">
        <x:v>165</x:v>
      </x:c>
      <x:c r="G1806" t="n">
        <x:v>116</x:v>
      </x:c>
      <x:c r="H1806" t="n">
        <x:f>ROUND(F1806*G1806/100,2)</x:f>
        <x:v>191.4</x:v>
      </x:c>
      <x:c r="I1806" t="n">
        <x:v>2.6</x:v>
      </x:c>
      <x:c r="J1806" t="n">
        <x:f>ROUND(F1806*I1806/100,2)</x:f>
        <x:v>4.29</x:v>
      </x:c>
      <x:c r="K1806" t="n">
        <x:v>25.6</x:v>
      </x:c>
      <x:c r="L1806" t="n">
        <x:f>ROUND(F1806*K1806/100,2)</x:f>
        <x:v>42.24</x:v>
      </x:c>
      <x:c r="M1806" t="n">
        <x:v>0.3</x:v>
      </x:c>
      <x:c r="N1806" t="n">
        <x:f>ROUND(F1806*M1806/100,2)</x:f>
        <x:v>0.5</x:v>
      </x:c>
      <x:c r="O1806" t="str">
        <x:v>熟重</x:v>
      </x:c>
    </x:row>
    <x:row r="1807" ht="23" customHeight="1">
      <x:c r="A1807" t="n">
        <x:v>301</x:v>
      </x:c>
      <x:c r="B1807" t="n">
        <x:v>151</x:v>
      </x:c>
      <x:c r="C1807" t="str">
        <x:v>午餐</x:v>
      </x:c>
      <x:c r="D1807" t="str">
        <x:v>油脂</x:v>
      </x:c>
      <x:c r="E1807" t="str">
        <x:v>烹调油</x:v>
      </x:c>
      <x:c r="F1807" t="n">
        <x:v>4</x:v>
      </x:c>
      <x:c r="G1807" t="n">
        <x:v>900</x:v>
      </x:c>
      <x:c r="H1807" t="n">
        <x:f>ROUND(F1807*G1807/100,2)</x:f>
        <x:v>36</x:v>
      </x:c>
      <x:c r="I1807" t="n">
        <x:v>0</x:v>
      </x:c>
      <x:c r="J1807" t="n">
        <x:f>ROUND(F1807*I1807/100,2)</x:f>
        <x:v>0</x:v>
      </x:c>
      <x:c r="K1807" t="n">
        <x:v>0</x:v>
      </x:c>
      <x:c r="L1807" t="n">
        <x:f>ROUND(F1807*K1807/100,2)</x:f>
        <x:v>0</x:v>
      </x:c>
      <x:c r="M1807" t="n">
        <x:v>100</x:v>
      </x:c>
      <x:c r="N1807" t="n">
        <x:f>ROUND(F1807*M1807/100,2)</x:f>
        <x:v>4</x:v>
      </x:c>
      <x:c r="O1807" t="str">
        <x:v>实际用油重</x:v>
      </x:c>
    </x:row>
    <x:row r="1808" ht="23" customHeight="1">
      <x:c r="A1808" t="n">
        <x:v>302</x:v>
      </x:c>
      <x:c r="B1808" t="n">
        <x:v>151</x:v>
      </x:c>
      <x:c r="C1808" t="str">
        <x:v>晚餐</x:v>
      </x:c>
      <x:c r="D1808" t="str">
        <x:v>豆蛋</x:v>
      </x:c>
      <x:c r="E1808" t="str">
        <x:v>嫩豆腐</x:v>
      </x:c>
      <x:c r="F1808" t="n">
        <x:v>280</x:v>
      </x:c>
      <x:c r="G1808" t="n">
        <x:v>55</x:v>
      </x:c>
      <x:c r="H1808" t="n">
        <x:f>ROUND(F1808*G1808/100,2)</x:f>
        <x:v>154</x:v>
      </x:c>
      <x:c r="I1808" t="n">
        <x:v>5</x:v>
      </x:c>
      <x:c r="J1808" t="n">
        <x:f>ROUND(F1808*I1808/100,2)</x:f>
        <x:v>14</x:v>
      </x:c>
      <x:c r="K1808" t="n">
        <x:v>2</x:v>
      </x:c>
      <x:c r="L1808" t="n">
        <x:f>ROUND(F1808*K1808/100,2)</x:f>
        <x:v>5.6</x:v>
      </x:c>
      <x:c r="M1808" t="n">
        <x:v>2.8</x:v>
      </x:c>
      <x:c r="N1808" t="n">
        <x:f>ROUND(F1808*M1808/100,2)</x:f>
        <x:v>7.84</x:v>
      </x:c>
      <x:c r="O1808" t="str">
        <x:v>净重</x:v>
      </x:c>
    </x:row>
    <x:row r="1809" ht="23" customHeight="1">
      <x:c r="A1809" t="n">
        <x:v>302</x:v>
      </x:c>
      <x:c r="B1809" t="n">
        <x:v>151</x:v>
      </x:c>
      <x:c r="C1809" t="str">
        <x:v>晚餐</x:v>
      </x:c>
      <x:c r="D1809" t="str">
        <x:v>豆蛋</x:v>
      </x:c>
      <x:c r="E1809" t="str">
        <x:v>鸡蛋</x:v>
      </x:c>
      <x:c r="F1809" t="n">
        <x:v>60</x:v>
      </x:c>
      <x:c r="G1809" t="n">
        <x:v>144</x:v>
      </x:c>
      <x:c r="H1809" t="n">
        <x:f>ROUND(F1809*G1809/100,2)</x:f>
        <x:v>86.4</x:v>
      </x:c>
      <x:c r="I1809" t="n">
        <x:v>13</x:v>
      </x:c>
      <x:c r="J1809" t="n">
        <x:f>ROUND(F1809*I1809/100,2)</x:f>
        <x:v>7.8</x:v>
      </x:c>
      <x:c r="K1809" t="n">
        <x:v>1.1</x:v>
      </x:c>
      <x:c r="L1809" t="n">
        <x:f>ROUND(F1809*K1809/100,2)</x:f>
        <x:v>0.66</x:v>
      </x:c>
      <x:c r="M1809" t="n">
        <x:v>10</x:v>
      </x:c>
      <x:c r="N1809" t="n">
        <x:f>ROUND(F1809*M1809/100,2)</x:f>
        <x:v>6</x:v>
      </x:c>
      <x:c r="O1809" t="str">
        <x:v>去壳可食重</x:v>
      </x:c>
    </x:row>
    <x:row r="1810" ht="23" customHeight="1">
      <x:c r="A1810" t="n">
        <x:v>302</x:v>
      </x:c>
      <x:c r="B1810" t="n">
        <x:v>151</x:v>
      </x:c>
      <x:c r="C1810" t="str">
        <x:v>晚餐</x:v>
      </x:c>
      <x:c r="D1810" t="str">
        <x:v>蔬菜</x:v>
      </x:c>
      <x:c r="E1810" t="str">
        <x:v>菠菜</x:v>
      </x:c>
      <x:c r="F1810" t="n">
        <x:v>160</x:v>
      </x:c>
      <x:c r="G1810" t="n">
        <x:v>23</x:v>
      </x:c>
      <x:c r="H1810" t="n">
        <x:f>ROUND(F1810*G1810/100,2)</x:f>
        <x:v>36.8</x:v>
      </x:c>
      <x:c r="I1810" t="n">
        <x:v>2.9</x:v>
      </x:c>
      <x:c r="J1810" t="n">
        <x:f>ROUND(F1810*I1810/100,2)</x:f>
        <x:v>4.64</x:v>
      </x:c>
      <x:c r="K1810" t="n">
        <x:v>3.6</x:v>
      </x:c>
      <x:c r="L1810" t="n">
        <x:f>ROUND(F1810*K1810/100,2)</x:f>
        <x:v>5.76</x:v>
      </x:c>
      <x:c r="M1810" t="n">
        <x:v>0.4</x:v>
      </x:c>
      <x:c r="N1810" t="n">
        <x:f>ROUND(F1810*M1810/100,2)</x:f>
        <x:v>0.64</x:v>
      </x:c>
      <x:c r="O1810" t="str">
        <x:v>生重</x:v>
      </x:c>
    </x:row>
    <x:row r="1811" ht="23" customHeight="1">
      <x:c r="A1811" t="n">
        <x:v>302</x:v>
      </x:c>
      <x:c r="B1811" t="n">
        <x:v>151</x:v>
      </x:c>
      <x:c r="C1811" t="str">
        <x:v>晚餐</x:v>
      </x:c>
      <x:c r="D1811" t="str">
        <x:v>蔬菜</x:v>
      </x:c>
      <x:c r="E1811" t="str">
        <x:v>绿豆芽</x:v>
      </x:c>
      <x:c r="F1811" t="n">
        <x:v>125</x:v>
      </x:c>
      <x:c r="G1811" t="n">
        <x:v>31</x:v>
      </x:c>
      <x:c r="H1811" t="n">
        <x:f>ROUND(F1811*G1811/100,2)</x:f>
        <x:v>38.75</x:v>
      </x:c>
      <x:c r="I1811" t="n">
        <x:v>3</x:v>
      </x:c>
      <x:c r="J1811" t="n">
        <x:f>ROUND(F1811*I1811/100,2)</x:f>
        <x:v>3.75</x:v>
      </x:c>
      <x:c r="K1811" t="n">
        <x:v>6</x:v>
      </x:c>
      <x:c r="L1811" t="n">
        <x:f>ROUND(F1811*K1811/100,2)</x:f>
        <x:v>7.5</x:v>
      </x:c>
      <x:c r="M1811" t="n">
        <x:v>0.2</x:v>
      </x:c>
      <x:c r="N1811" t="n">
        <x:f>ROUND(F1811*M1811/100,2)</x:f>
        <x:v>0.25</x:v>
      </x:c>
      <x:c r="O1811" t="str">
        <x:v>生重</x:v>
      </x:c>
    </x:row>
    <x:row r="1812" ht="23" customHeight="1">
      <x:c r="A1812" t="n">
        <x:v>302</x:v>
      </x:c>
      <x:c r="B1812" t="n">
        <x:v>151</x:v>
      </x:c>
      <x:c r="C1812" t="str">
        <x:v>晚餐</x:v>
      </x:c>
      <x:c r="D1812" t="str">
        <x:v>主食</x:v>
      </x:c>
      <x:c r="E1812" t="str">
        <x:v>全麦面</x:v>
      </x:c>
      <x:c r="F1812" t="n">
        <x:v>95</x:v>
      </x:c>
      <x:c r="G1812" t="n">
        <x:v>124</x:v>
      </x:c>
      <x:c r="H1812" t="n">
        <x:f>ROUND(F1812*G1812/100,2)</x:f>
        <x:v>117.8</x:v>
      </x:c>
      <x:c r="I1812" t="n">
        <x:v>5</x:v>
      </x:c>
      <x:c r="J1812" t="n">
        <x:f>ROUND(F1812*I1812/100,2)</x:f>
        <x:v>4.75</x:v>
      </x:c>
      <x:c r="K1812" t="n">
        <x:v>25</x:v>
      </x:c>
      <x:c r="L1812" t="n">
        <x:f>ROUND(F1812*K1812/100,2)</x:f>
        <x:v>23.75</x:v>
      </x:c>
      <x:c r="M1812" t="n">
        <x:v>1.1</x:v>
      </x:c>
      <x:c r="N1812" t="n">
        <x:f>ROUND(F1812*M1812/100,2)</x:f>
        <x:v>1.05</x:v>
      </x:c>
      <x:c r="O1812" t="str">
        <x:v>煮熟沥水重</x:v>
      </x:c>
    </x:row>
    <x:row r="1813" ht="23" customHeight="1">
      <x:c r="A1813" t="n">
        <x:v>302</x:v>
      </x:c>
      <x:c r="B1813" t="n">
        <x:v>151</x:v>
      </x:c>
      <x:c r="C1813" t="str">
        <x:v>晚餐</x:v>
      </x:c>
      <x:c r="D1813" t="str">
        <x:v>油脂</x:v>
      </x:c>
      <x:c r="E1813" t="str">
        <x:v>烹调油</x:v>
      </x:c>
      <x:c r="F1813" t="n">
        <x:v>6</x:v>
      </x:c>
      <x:c r="G1813" t="n">
        <x:v>900</x:v>
      </x:c>
      <x:c r="H1813" t="n">
        <x:f>ROUND(F1813*G1813/100,2)</x:f>
        <x:v>54</x:v>
      </x:c>
      <x:c r="I1813" t="n">
        <x:v>0</x:v>
      </x:c>
      <x:c r="J1813" t="n">
        <x:f>ROUND(F1813*I1813/100,2)</x:f>
        <x:v>0</x:v>
      </x:c>
      <x:c r="K1813" t="n">
        <x:v>0</x:v>
      </x:c>
      <x:c r="L1813" t="n">
        <x:f>ROUND(F1813*K1813/100,2)</x:f>
        <x:v>0</x:v>
      </x:c>
      <x:c r="M1813" t="n">
        <x:v>100</x:v>
      </x:c>
      <x:c r="N1813" t="n">
        <x:f>ROUND(F1813*M1813/100,2)</x:f>
        <x:v>6</x:v>
      </x:c>
      <x:c r="O1813" t="str">
        <x:v>实际用油重</x:v>
      </x:c>
    </x:row>
    <x:row r="1814" ht="23" customHeight="1">
      <x:c r="A1814" t="n">
        <x:v>303</x:v>
      </x:c>
      <x:c r="B1814" t="n">
        <x:v>152</x:v>
      </x:c>
      <x:c r="C1814" t="str">
        <x:v>午餐</x:v>
      </x:c>
      <x:c r="D1814" t="str">
        <x:v>豆蛋</x:v>
      </x:c>
      <x:c r="E1814" t="str">
        <x:v>北豆腐</x:v>
      </x:c>
      <x:c r="F1814" t="n">
        <x:v>280</x:v>
      </x:c>
      <x:c r="G1814" t="n">
        <x:v>90</x:v>
      </x:c>
      <x:c r="H1814" t="n">
        <x:f>ROUND(F1814*G1814/100,2)</x:f>
        <x:v>252</x:v>
      </x:c>
      <x:c r="I1814" t="n">
        <x:v>10</x:v>
      </x:c>
      <x:c r="J1814" t="n">
        <x:f>ROUND(F1814*I1814/100,2)</x:f>
        <x:v>28</x:v>
      </x:c>
      <x:c r="K1814" t="n">
        <x:v>2</x:v>
      </x:c>
      <x:c r="L1814" t="n">
        <x:f>ROUND(F1814*K1814/100,2)</x:f>
        <x:v>5.6</x:v>
      </x:c>
      <x:c r="M1814" t="n">
        <x:v>5</x:v>
      </x:c>
      <x:c r="N1814" t="n">
        <x:f>ROUND(F1814*M1814/100,2)</x:f>
        <x:v>14</x:v>
      </x:c>
      <x:c r="O1814" t="str">
        <x:v>净重</x:v>
      </x:c>
    </x:row>
    <x:row r="1815" ht="23" customHeight="1">
      <x:c r="A1815" t="n">
        <x:v>303</x:v>
      </x:c>
      <x:c r="B1815" t="n">
        <x:v>152</x:v>
      </x:c>
      <x:c r="C1815" t="str">
        <x:v>午餐</x:v>
      </x:c>
      <x:c r="D1815" t="str"/>
      <x:c r="E1815" t="str"/>
      <x:c r="F1815" t="n">
        <x:v>0</x:v>
      </x:c>
      <x:c r="G1815" t="n">
        <x:v>0</x:v>
      </x:c>
      <x:c r="H1815" t="n">
        <x:f>ROUND(F1815*G1815/100,2)</x:f>
        <x:v>0</x:v>
      </x:c>
      <x:c r="I1815" t="n">
        <x:v>0</x:v>
      </x:c>
      <x:c r="J1815" t="n">
        <x:f>ROUND(F1815*I1815/100,2)</x:f>
        <x:v>0</x:v>
      </x:c>
      <x:c r="K1815" t="n">
        <x:v>0</x:v>
      </x:c>
      <x:c r="L1815" t="n">
        <x:f>ROUND(F1815*K1815/100,2)</x:f>
        <x:v>0</x:v>
      </x:c>
      <x:c r="M1815" t="n">
        <x:v>0</x:v>
      </x:c>
      <x:c r="N1815" t="n">
        <x:f>ROUND(F1815*M1815/100,2)</x:f>
        <x:v>0</x:v>
      </x:c>
      <x:c r="O1815" t="str"/>
    </x:row>
    <x:row r="1816" ht="23" customHeight="1">
      <x:c r="A1816" t="n">
        <x:v>303</x:v>
      </x:c>
      <x:c r="B1816" t="n">
        <x:v>152</x:v>
      </x:c>
      <x:c r="C1816" t="str">
        <x:v>午餐</x:v>
      </x:c>
      <x:c r="D1816" t="str">
        <x:v>蔬菜</x:v>
      </x:c>
      <x:c r="E1816" t="str">
        <x:v>娃娃菜</x:v>
      </x:c>
      <x:c r="F1816" t="n">
        <x:v>190</x:v>
      </x:c>
      <x:c r="G1816" t="n">
        <x:v>17</x:v>
      </x:c>
      <x:c r="H1816" t="n">
        <x:f>ROUND(F1816*G1816/100,2)</x:f>
        <x:v>32.3</x:v>
      </x:c>
      <x:c r="I1816" t="n">
        <x:v>1.3</x:v>
      </x:c>
      <x:c r="J1816" t="n">
        <x:f>ROUND(F1816*I1816/100,2)</x:f>
        <x:v>2.47</x:v>
      </x:c>
      <x:c r="K1816" t="n">
        <x:v>3</x:v>
      </x:c>
      <x:c r="L1816" t="n">
        <x:f>ROUND(F1816*K1816/100,2)</x:f>
        <x:v>5.7</x:v>
      </x:c>
      <x:c r="M1816" t="n">
        <x:v>0.2</x:v>
      </x:c>
      <x:c r="N1816" t="n">
        <x:f>ROUND(F1816*M1816/100,2)</x:f>
        <x:v>0.38</x:v>
      </x:c>
      <x:c r="O1816" t="str">
        <x:v>生重</x:v>
      </x:c>
    </x:row>
    <x:row r="1817" ht="23" customHeight="1">
      <x:c r="A1817" t="n">
        <x:v>303</x:v>
      </x:c>
      <x:c r="B1817" t="n">
        <x:v>152</x:v>
      </x:c>
      <x:c r="C1817" t="str">
        <x:v>午餐</x:v>
      </x:c>
      <x:c r="D1817" t="str">
        <x:v>蔬菜</x:v>
      </x:c>
      <x:c r="E1817" t="str">
        <x:v>芦笋</x:v>
      </x:c>
      <x:c r="F1817" t="n">
        <x:v>125</x:v>
      </x:c>
      <x:c r="G1817" t="n">
        <x:v>20</x:v>
      </x:c>
      <x:c r="H1817" t="n">
        <x:f>ROUND(F1817*G1817/100,2)</x:f>
        <x:v>25</x:v>
      </x:c>
      <x:c r="I1817" t="n">
        <x:v>2.2</x:v>
      </x:c>
      <x:c r="J1817" t="n">
        <x:f>ROUND(F1817*I1817/100,2)</x:f>
        <x:v>2.75</x:v>
      </x:c>
      <x:c r="K1817" t="n">
        <x:v>3.9</x:v>
      </x:c>
      <x:c r="L1817" t="n">
        <x:f>ROUND(F1817*K1817/100,2)</x:f>
        <x:v>4.88</x:v>
      </x:c>
      <x:c r="M1817" t="n">
        <x:v>0.1</x:v>
      </x:c>
      <x:c r="N1817" t="n">
        <x:f>ROUND(F1817*M1817/100,2)</x:f>
        <x:v>0.13</x:v>
      </x:c>
      <x:c r="O1817" t="str">
        <x:v>生重</x:v>
      </x:c>
    </x:row>
    <x:row r="1818" ht="23" customHeight="1">
      <x:c r="A1818" t="n">
        <x:v>303</x:v>
      </x:c>
      <x:c r="B1818" t="n">
        <x:v>152</x:v>
      </x:c>
      <x:c r="C1818" t="str">
        <x:v>午餐</x:v>
      </x:c>
      <x:c r="D1818" t="str">
        <x:v>低主食</x:v>
      </x:c>
      <x:c r="E1818" t="str">
        <x:v>魔芋丝</x:v>
      </x:c>
      <x:c r="F1818" t="n">
        <x:v>180</x:v>
      </x:c>
      <x:c r="G1818" t="n">
        <x:v>9</x:v>
      </x:c>
      <x:c r="H1818" t="n">
        <x:f>ROUND(F1818*G1818/100,2)</x:f>
        <x:v>16.2</x:v>
      </x:c>
      <x:c r="I1818" t="n">
        <x:v>0.3</x:v>
      </x:c>
      <x:c r="J1818" t="n">
        <x:f>ROUND(F1818*I1818/100,2)</x:f>
        <x:v>0.54</x:v>
      </x:c>
      <x:c r="K1818" t="n">
        <x:v>2</x:v>
      </x:c>
      <x:c r="L1818" t="n">
        <x:f>ROUND(F1818*K1818/100,2)</x:f>
        <x:v>3.6</x:v>
      </x:c>
      <x:c r="M1818" t="n">
        <x:v>0</x:v>
      </x:c>
      <x:c r="N1818" t="n">
        <x:f>ROUND(F1818*M1818/100,2)</x:f>
        <x:v>0</x:v>
      </x:c>
      <x:c r="O1818" t="str">
        <x:v>沥水重</x:v>
      </x:c>
    </x:row>
    <x:row r="1819" ht="23" customHeight="1">
      <x:c r="A1819" t="n">
        <x:v>303</x:v>
      </x:c>
      <x:c r="B1819" t="n">
        <x:v>152</x:v>
      </x:c>
      <x:c r="C1819" t="str">
        <x:v>午餐</x:v>
      </x:c>
      <x:c r="D1819" t="str">
        <x:v>油脂</x:v>
      </x:c>
      <x:c r="E1819" t="str">
        <x:v>烹调油</x:v>
      </x:c>
      <x:c r="F1819" t="n">
        <x:v>5</x:v>
      </x:c>
      <x:c r="G1819" t="n">
        <x:v>900</x:v>
      </x:c>
      <x:c r="H1819" t="n">
        <x:f>ROUND(F1819*G1819/100,2)</x:f>
        <x:v>45</x:v>
      </x:c>
      <x:c r="I1819" t="n">
        <x:v>0</x:v>
      </x:c>
      <x:c r="J1819" t="n">
        <x:f>ROUND(F1819*I1819/100,2)</x:f>
        <x:v>0</x:v>
      </x:c>
      <x:c r="K1819" t="n">
        <x:v>0</x:v>
      </x:c>
      <x:c r="L1819" t="n">
        <x:f>ROUND(F1819*K1819/100,2)</x:f>
        <x:v>0</x:v>
      </x:c>
      <x:c r="M1819" t="n">
        <x:v>100</x:v>
      </x:c>
      <x:c r="N1819" t="n">
        <x:f>ROUND(F1819*M1819/100,2)</x:f>
        <x:v>5</x:v>
      </x:c>
      <x:c r="O1819" t="str">
        <x:v>实际用油重</x:v>
      </x:c>
    </x:row>
    <x:row r="1820" ht="23" customHeight="1">
      <x:c r="A1820" t="n">
        <x:v>304</x:v>
      </x:c>
      <x:c r="B1820" t="n">
        <x:v>152</x:v>
      </x:c>
      <x:c r="C1820" t="str">
        <x:v>晚餐</x:v>
      </x:c>
      <x:c r="D1820" t="str">
        <x:v>禽肉</x:v>
      </x:c>
      <x:c r="E1820" t="str">
        <x:v>鸡里脊肉</x:v>
      </x:c>
      <x:c r="F1820" t="n">
        <x:v>145</x:v>
      </x:c>
      <x:c r="G1820" t="n">
        <x:v>110</x:v>
      </x:c>
      <x:c r="H1820" t="n">
        <x:f>ROUND(F1820*G1820/100,2)</x:f>
        <x:v>159.5</x:v>
      </x:c>
      <x:c r="I1820" t="n">
        <x:v>23</x:v>
      </x:c>
      <x:c r="J1820" t="n">
        <x:f>ROUND(F1820*I1820/100,2)</x:f>
        <x:v>33.35</x:v>
      </x:c>
      <x:c r="K1820" t="n">
        <x:v>0</x:v>
      </x:c>
      <x:c r="L1820" t="n">
        <x:f>ROUND(F1820*K1820/100,2)</x:f>
        <x:v>0</x:v>
      </x:c>
      <x:c r="M1820" t="n">
        <x:v>1.8</x:v>
      </x:c>
      <x:c r="N1820" t="n">
        <x:f>ROUND(F1820*M1820/100,2)</x:f>
        <x:v>2.61</x:v>
      </x:c>
      <x:c r="O1820" t="str">
        <x:v>生重</x:v>
      </x:c>
    </x:row>
    <x:row r="1821" ht="23" customHeight="1">
      <x:c r="A1821" t="n">
        <x:v>304</x:v>
      </x:c>
      <x:c r="B1821" t="n">
        <x:v>152</x:v>
      </x:c>
      <x:c r="C1821" t="str">
        <x:v>晚餐</x:v>
      </x:c>
      <x:c r="D1821" t="str"/>
      <x:c r="E1821" t="str"/>
      <x:c r="F1821" t="n">
        <x:v>0</x:v>
      </x:c>
      <x:c r="G1821" t="n">
        <x:v>0</x:v>
      </x:c>
      <x:c r="H1821" t="n">
        <x:f>ROUND(F1821*G1821/100,2)</x:f>
        <x:v>0</x:v>
      </x:c>
      <x:c r="I1821" t="n">
        <x:v>0</x:v>
      </x:c>
      <x:c r="J1821" t="n">
        <x:f>ROUND(F1821*I1821/100,2)</x:f>
        <x:v>0</x:v>
      </x:c>
      <x:c r="K1821" t="n">
        <x:v>0</x:v>
      </x:c>
      <x:c r="L1821" t="n">
        <x:f>ROUND(F1821*K1821/100,2)</x:f>
        <x:v>0</x:v>
      </x:c>
      <x:c r="M1821" t="n">
        <x:v>0</x:v>
      </x:c>
      <x:c r="N1821" t="n">
        <x:f>ROUND(F1821*M1821/100,2)</x:f>
        <x:v>0</x:v>
      </x:c>
      <x:c r="O1821" t="str"/>
    </x:row>
    <x:row r="1822" ht="23" customHeight="1">
      <x:c r="A1822" t="n">
        <x:v>304</x:v>
      </x:c>
      <x:c r="B1822" t="n">
        <x:v>152</x:v>
      </x:c>
      <x:c r="C1822" t="str">
        <x:v>晚餐</x:v>
      </x:c>
      <x:c r="D1822" t="str">
        <x:v>蔬菜</x:v>
      </x:c>
      <x:c r="E1822" t="str">
        <x:v>紫甘蓝</x:v>
      </x:c>
      <x:c r="F1822" t="n">
        <x:v>190</x:v>
      </x:c>
      <x:c r="G1822" t="n">
        <x:v>31</x:v>
      </x:c>
      <x:c r="H1822" t="n">
        <x:f>ROUND(F1822*G1822/100,2)</x:f>
        <x:v>58.9</x:v>
      </x:c>
      <x:c r="I1822" t="n">
        <x:v>1.4</x:v>
      </x:c>
      <x:c r="J1822" t="n">
        <x:f>ROUND(F1822*I1822/100,2)</x:f>
        <x:v>2.66</x:v>
      </x:c>
      <x:c r="K1822" t="n">
        <x:v>7.3</x:v>
      </x:c>
      <x:c r="L1822" t="n">
        <x:f>ROUND(F1822*K1822/100,2)</x:f>
        <x:v>13.87</x:v>
      </x:c>
      <x:c r="M1822" t="n">
        <x:v>0.1</x:v>
      </x:c>
      <x:c r="N1822" t="n">
        <x:f>ROUND(F1822*M1822/100,2)</x:f>
        <x:v>0.19</x:v>
      </x:c>
      <x:c r="O1822" t="str">
        <x:v>生重</x:v>
      </x:c>
    </x:row>
    <x:row r="1823" ht="23" customHeight="1">
      <x:c r="A1823" t="n">
        <x:v>304</x:v>
      </x:c>
      <x:c r="B1823" t="n">
        <x:v>152</x:v>
      </x:c>
      <x:c r="C1823" t="str">
        <x:v>晚餐</x:v>
      </x:c>
      <x:c r="D1823" t="str">
        <x:v>蔬菜</x:v>
      </x:c>
      <x:c r="E1823" t="str">
        <x:v>荷兰豆</x:v>
      </x:c>
      <x:c r="F1823" t="n">
        <x:v>155</x:v>
      </x:c>
      <x:c r="G1823" t="n">
        <x:v>42</x:v>
      </x:c>
      <x:c r="H1823" t="n">
        <x:f>ROUND(F1823*G1823/100,2)</x:f>
        <x:v>65.1</x:v>
      </x:c>
      <x:c r="I1823" t="n">
        <x:v>2.8</x:v>
      </x:c>
      <x:c r="J1823" t="n">
        <x:f>ROUND(F1823*I1823/100,2)</x:f>
        <x:v>4.34</x:v>
      </x:c>
      <x:c r="K1823" t="n">
        <x:v>7.5</x:v>
      </x:c>
      <x:c r="L1823" t="n">
        <x:f>ROUND(F1823*K1823/100,2)</x:f>
        <x:v>11.63</x:v>
      </x:c>
      <x:c r="M1823" t="n">
        <x:v>0.3</x:v>
      </x:c>
      <x:c r="N1823" t="n">
        <x:f>ROUND(F1823*M1823/100,2)</x:f>
        <x:v>0.47</x:v>
      </x:c>
      <x:c r="O1823" t="str">
        <x:v>生重</x:v>
      </x:c>
    </x:row>
    <x:row r="1824" ht="23" customHeight="1">
      <x:c r="A1824" t="n">
        <x:v>304</x:v>
      </x:c>
      <x:c r="B1824" t="n">
        <x:v>152</x:v>
      </x:c>
      <x:c r="C1824" t="str">
        <x:v>晚餐</x:v>
      </x:c>
      <x:c r="D1824" t="str">
        <x:v>主食</x:v>
      </x:c>
      <x:c r="E1824" t="str">
        <x:v>糙米饭</x:v>
      </x:c>
      <x:c r="F1824" t="n">
        <x:v>135</x:v>
      </x:c>
      <x:c r="G1824" t="n">
        <x:v>112</x:v>
      </x:c>
      <x:c r="H1824" t="n">
        <x:f>ROUND(F1824*G1824/100,2)</x:f>
        <x:v>151.2</x:v>
      </x:c>
      <x:c r="I1824" t="n">
        <x:v>2.6</x:v>
      </x:c>
      <x:c r="J1824" t="n">
        <x:f>ROUND(F1824*I1824/100,2)</x:f>
        <x:v>3.51</x:v>
      </x:c>
      <x:c r="K1824" t="n">
        <x:v>23.5</x:v>
      </x:c>
      <x:c r="L1824" t="n">
        <x:f>ROUND(F1824*K1824/100,2)</x:f>
        <x:v>31.73</x:v>
      </x:c>
      <x:c r="M1824" t="n">
        <x:v>0.9</x:v>
      </x:c>
      <x:c r="N1824" t="n">
        <x:f>ROUND(F1824*M1824/100,2)</x:f>
        <x:v>1.22</x:v>
      </x:c>
      <x:c r="O1824" t="str">
        <x:v>熟重</x:v>
      </x:c>
    </x:row>
    <x:row r="1825" ht="23" customHeight="1">
      <x:c r="A1825" t="n">
        <x:v>304</x:v>
      </x:c>
      <x:c r="B1825" t="n">
        <x:v>152</x:v>
      </x:c>
      <x:c r="C1825" t="str">
        <x:v>晚餐</x:v>
      </x:c>
      <x:c r="D1825" t="str">
        <x:v>油脂</x:v>
      </x:c>
      <x:c r="E1825" t="str">
        <x:v>烹调油</x:v>
      </x:c>
      <x:c r="F1825" t="n">
        <x:v>6</x:v>
      </x:c>
      <x:c r="G1825" t="n">
        <x:v>900</x:v>
      </x:c>
      <x:c r="H1825" t="n">
        <x:f>ROUND(F1825*G1825/100,2)</x:f>
        <x:v>54</x:v>
      </x:c>
      <x:c r="I1825" t="n">
        <x:v>0</x:v>
      </x:c>
      <x:c r="J1825" t="n">
        <x:f>ROUND(F1825*I1825/100,2)</x:f>
        <x:v>0</x:v>
      </x:c>
      <x:c r="K1825" t="n">
        <x:v>0</x:v>
      </x:c>
      <x:c r="L1825" t="n">
        <x:f>ROUND(F1825*K1825/100,2)</x:f>
        <x:v>0</x:v>
      </x:c>
      <x:c r="M1825" t="n">
        <x:v>100</x:v>
      </x:c>
      <x:c r="N1825" t="n">
        <x:f>ROUND(F1825*M1825/100,2)</x:f>
        <x:v>6</x:v>
      </x:c>
      <x:c r="O1825" t="str">
        <x:v>实际用油重</x:v>
      </x:c>
    </x:row>
    <x:row r="1826" ht="23" customHeight="1">
      <x:c r="A1826" t="n">
        <x:v>305</x:v>
      </x:c>
      <x:c r="B1826" t="n">
        <x:v>153</x:v>
      </x:c>
      <x:c r="C1826" t="str">
        <x:v>午餐</x:v>
      </x:c>
      <x:c r="D1826" t="str">
        <x:v>豆蛋</x:v>
      </x:c>
      <x:c r="E1826" t="str">
        <x:v>北豆腐</x:v>
      </x:c>
      <x:c r="F1826" t="n">
        <x:v>280</x:v>
      </x:c>
      <x:c r="G1826" t="n">
        <x:v>90</x:v>
      </x:c>
      <x:c r="H1826" t="n">
        <x:f>ROUND(F1826*G1826/100,2)</x:f>
        <x:v>252</x:v>
      </x:c>
      <x:c r="I1826" t="n">
        <x:v>10</x:v>
      </x:c>
      <x:c r="J1826" t="n">
        <x:f>ROUND(F1826*I1826/100,2)</x:f>
        <x:v>28</x:v>
      </x:c>
      <x:c r="K1826" t="n">
        <x:v>2</x:v>
      </x:c>
      <x:c r="L1826" t="n">
        <x:f>ROUND(F1826*K1826/100,2)</x:f>
        <x:v>5.6</x:v>
      </x:c>
      <x:c r="M1826" t="n">
        <x:v>5</x:v>
      </x:c>
      <x:c r="N1826" t="n">
        <x:f>ROUND(F1826*M1826/100,2)</x:f>
        <x:v>14</x:v>
      </x:c>
      <x:c r="O1826" t="str">
        <x:v>净重</x:v>
      </x:c>
    </x:row>
    <x:row r="1827" ht="23" customHeight="1">
      <x:c r="A1827" t="n">
        <x:v>305</x:v>
      </x:c>
      <x:c r="B1827" t="n">
        <x:v>153</x:v>
      </x:c>
      <x:c r="C1827" t="str">
        <x:v>午餐</x:v>
      </x:c>
      <x:c r="D1827" t="str">
        <x:v>豆蛋</x:v>
      </x:c>
      <x:c r="E1827" t="str">
        <x:v>鸡蛋</x:v>
      </x:c>
      <x:c r="F1827" t="n">
        <x:v>50</x:v>
      </x:c>
      <x:c r="G1827" t="n">
        <x:v>144</x:v>
      </x:c>
      <x:c r="H1827" t="n">
        <x:f>ROUND(F1827*G1827/100,2)</x:f>
        <x:v>72</x:v>
      </x:c>
      <x:c r="I1827" t="n">
        <x:v>13</x:v>
      </x:c>
      <x:c r="J1827" t="n">
        <x:f>ROUND(F1827*I1827/100,2)</x:f>
        <x:v>6.5</x:v>
      </x:c>
      <x:c r="K1827" t="n">
        <x:v>1.1</x:v>
      </x:c>
      <x:c r="L1827" t="n">
        <x:f>ROUND(F1827*K1827/100,2)</x:f>
        <x:v>0.55</x:v>
      </x:c>
      <x:c r="M1827" t="n">
        <x:v>10</x:v>
      </x:c>
      <x:c r="N1827" t="n">
        <x:f>ROUND(F1827*M1827/100,2)</x:f>
        <x:v>5</x:v>
      </x:c>
      <x:c r="O1827" t="str">
        <x:v>去壳可食重</x:v>
      </x:c>
    </x:row>
    <x:row r="1828" ht="23" customHeight="1">
      <x:c r="A1828" t="n">
        <x:v>305</x:v>
      </x:c>
      <x:c r="B1828" t="n">
        <x:v>153</x:v>
      </x:c>
      <x:c r="C1828" t="str">
        <x:v>午餐</x:v>
      </x:c>
      <x:c r="D1828" t="str">
        <x:v>蔬菜</x:v>
      </x:c>
      <x:c r="E1828" t="str">
        <x:v>秋葵</x:v>
      </x:c>
      <x:c r="F1828" t="n">
        <x:v>175</x:v>
      </x:c>
      <x:c r="G1828" t="n">
        <x:v>33</x:v>
      </x:c>
      <x:c r="H1828" t="n">
        <x:f>ROUND(F1828*G1828/100,2)</x:f>
        <x:v>57.75</x:v>
      </x:c>
      <x:c r="I1828" t="n">
        <x:v>1.9</x:v>
      </x:c>
      <x:c r="J1828" t="n">
        <x:f>ROUND(F1828*I1828/100,2)</x:f>
        <x:v>3.33</x:v>
      </x:c>
      <x:c r="K1828" t="n">
        <x:v>7.5</x:v>
      </x:c>
      <x:c r="L1828" t="n">
        <x:f>ROUND(F1828*K1828/100,2)</x:f>
        <x:v>13.13</x:v>
      </x:c>
      <x:c r="M1828" t="n">
        <x:v>0.2</x:v>
      </x:c>
      <x:c r="N1828" t="n">
        <x:f>ROUND(F1828*M1828/100,2)</x:f>
        <x:v>0.35</x:v>
      </x:c>
      <x:c r="O1828" t="str">
        <x:v>生重</x:v>
      </x:c>
    </x:row>
    <x:row r="1829" ht="23" customHeight="1">
      <x:c r="A1829" t="n">
        <x:v>305</x:v>
      </x:c>
      <x:c r="B1829" t="n">
        <x:v>153</x:v>
      </x:c>
      <x:c r="C1829" t="str">
        <x:v>午餐</x:v>
      </x:c>
      <x:c r="D1829" t="str">
        <x:v>蔬菜</x:v>
      </x:c>
      <x:c r="E1829" t="str">
        <x:v>菜心</x:v>
      </x:c>
      <x:c r="F1829" t="n">
        <x:v>125</x:v>
      </x:c>
      <x:c r="G1829" t="n">
        <x:v>20</x:v>
      </x:c>
      <x:c r="H1829" t="n">
        <x:f>ROUND(F1829*G1829/100,2)</x:f>
        <x:v>25</x:v>
      </x:c>
      <x:c r="I1829" t="n">
        <x:v>2</x:v>
      </x:c>
      <x:c r="J1829" t="n">
        <x:f>ROUND(F1829*I1829/100,2)</x:f>
        <x:v>2.5</x:v>
      </x:c>
      <x:c r="K1829" t="n">
        <x:v>3.5</x:v>
      </x:c>
      <x:c r="L1829" t="n">
        <x:f>ROUND(F1829*K1829/100,2)</x:f>
        <x:v>4.38</x:v>
      </x:c>
      <x:c r="M1829" t="n">
        <x:v>0.3</x:v>
      </x:c>
      <x:c r="N1829" t="n">
        <x:f>ROUND(F1829*M1829/100,2)</x:f>
        <x:v>0.38</x:v>
      </x:c>
      <x:c r="O1829" t="str">
        <x:v>生重</x:v>
      </x:c>
    </x:row>
    <x:row r="1830" ht="23" customHeight="1">
      <x:c r="A1830" t="n">
        <x:v>305</x:v>
      </x:c>
      <x:c r="B1830" t="n">
        <x:v>153</x:v>
      </x:c>
      <x:c r="C1830" t="str">
        <x:v>午餐</x:v>
      </x:c>
      <x:c r="D1830" t="str">
        <x:v>主食</x:v>
      </x:c>
      <x:c r="E1830" t="str">
        <x:v>紫薯</x:v>
      </x:c>
      <x:c r="F1830" t="n">
        <x:v>165</x:v>
      </x:c>
      <x:c r="G1830" t="n">
        <x:v>95</x:v>
      </x:c>
      <x:c r="H1830" t="n">
        <x:f>ROUND(F1830*G1830/100,2)</x:f>
        <x:v>156.75</x:v>
      </x:c>
      <x:c r="I1830" t="n">
        <x:v>1.6</x:v>
      </x:c>
      <x:c r="J1830" t="n">
        <x:f>ROUND(F1830*I1830/100,2)</x:f>
        <x:v>2.64</x:v>
      </x:c>
      <x:c r="K1830" t="n">
        <x:v>22</x:v>
      </x:c>
      <x:c r="L1830" t="n">
        <x:f>ROUND(F1830*K1830/100,2)</x:f>
        <x:v>36.3</x:v>
      </x:c>
      <x:c r="M1830" t="n">
        <x:v>0.1</x:v>
      </x:c>
      <x:c r="N1830" t="n">
        <x:f>ROUND(F1830*M1830/100,2)</x:f>
        <x:v>0.17</x:v>
      </x:c>
      <x:c r="O1830" t="str">
        <x:v>蒸熟净重</x:v>
      </x:c>
    </x:row>
    <x:row r="1831" ht="23" customHeight="1">
      <x:c r="A1831" t="n">
        <x:v>305</x:v>
      </x:c>
      <x:c r="B1831" t="n">
        <x:v>153</x:v>
      </x:c>
      <x:c r="C1831" t="str">
        <x:v>午餐</x:v>
      </x:c>
      <x:c r="D1831" t="str">
        <x:v>油脂</x:v>
      </x:c>
      <x:c r="E1831" t="str">
        <x:v>烹调油</x:v>
      </x:c>
      <x:c r="F1831" t="n">
        <x:v>5</x:v>
      </x:c>
      <x:c r="G1831" t="n">
        <x:v>900</x:v>
      </x:c>
      <x:c r="H1831" t="n">
        <x:f>ROUND(F1831*G1831/100,2)</x:f>
        <x:v>45</x:v>
      </x:c>
      <x:c r="I1831" t="n">
        <x:v>0</x:v>
      </x:c>
      <x:c r="J1831" t="n">
        <x:f>ROUND(F1831*I1831/100,2)</x:f>
        <x:v>0</x:v>
      </x:c>
      <x:c r="K1831" t="n">
        <x:v>0</x:v>
      </x:c>
      <x:c r="L1831" t="n">
        <x:f>ROUND(F1831*K1831/100,2)</x:f>
        <x:v>0</x:v>
      </x:c>
      <x:c r="M1831" t="n">
        <x:v>100</x:v>
      </x:c>
      <x:c r="N1831" t="n">
        <x:f>ROUND(F1831*M1831/100,2)</x:f>
        <x:v>5</x:v>
      </x:c>
      <x:c r="O1831" t="str">
        <x:v>实际用油重</x:v>
      </x:c>
    </x:row>
    <x:row r="1832" ht="23" customHeight="1">
      <x:c r="A1832" t="n">
        <x:v>306</x:v>
      </x:c>
      <x:c r="B1832" t="n">
        <x:v>153</x:v>
      </x:c>
      <x:c r="C1832" t="str">
        <x:v>晚餐</x:v>
      </x:c>
      <x:c r="D1832" t="str">
        <x:v>牛肉</x:v>
      </x:c>
      <x:c r="E1832" t="str">
        <x:v>瘦牛肉</x:v>
      </x:c>
      <x:c r="F1832" t="n">
        <x:v>160</x:v>
      </x:c>
      <x:c r="G1832" t="n">
        <x:v>125</x:v>
      </x:c>
      <x:c r="H1832" t="n">
        <x:f>ROUND(F1832*G1832/100,2)</x:f>
        <x:v>200</x:v>
      </x:c>
      <x:c r="I1832" t="n">
        <x:v>21</x:v>
      </x:c>
      <x:c r="J1832" t="n">
        <x:f>ROUND(F1832*I1832/100,2)</x:f>
        <x:v>33.6</x:v>
      </x:c>
      <x:c r="K1832" t="n">
        <x:v>0</x:v>
      </x:c>
      <x:c r="L1832" t="n">
        <x:f>ROUND(F1832*K1832/100,2)</x:f>
        <x:v>0</x:v>
      </x:c>
      <x:c r="M1832" t="n">
        <x:v>4</x:v>
      </x:c>
      <x:c r="N1832" t="n">
        <x:f>ROUND(F1832*M1832/100,2)</x:f>
        <x:v>6.4</x:v>
      </x:c>
      <x:c r="O1832" t="str">
        <x:v>生重</x:v>
      </x:c>
    </x:row>
    <x:row r="1833" ht="23" customHeight="1">
      <x:c r="A1833" t="n">
        <x:v>306</x:v>
      </x:c>
      <x:c r="B1833" t="n">
        <x:v>153</x:v>
      </x:c>
      <x:c r="C1833" t="str">
        <x:v>晚餐</x:v>
      </x:c>
      <x:c r="D1833" t="str"/>
      <x:c r="E1833" t="str"/>
      <x:c r="F1833" t="n">
        <x:v>0</x:v>
      </x:c>
      <x:c r="G1833" t="n">
        <x:v>0</x:v>
      </x:c>
      <x:c r="H1833" t="n">
        <x:f>ROUND(F1833*G1833/100,2)</x:f>
        <x:v>0</x:v>
      </x:c>
      <x:c r="I1833" t="n">
        <x:v>0</x:v>
      </x:c>
      <x:c r="J1833" t="n">
        <x:f>ROUND(F1833*I1833/100,2)</x:f>
        <x:v>0</x:v>
      </x:c>
      <x:c r="K1833" t="n">
        <x:v>0</x:v>
      </x:c>
      <x:c r="L1833" t="n">
        <x:f>ROUND(F1833*K1833/100,2)</x:f>
        <x:v>0</x:v>
      </x:c>
      <x:c r="M1833" t="n">
        <x:v>0</x:v>
      </x:c>
      <x:c r="N1833" t="n">
        <x:f>ROUND(F1833*M1833/100,2)</x:f>
        <x:v>0</x:v>
      </x:c>
      <x:c r="O1833" t="str"/>
    </x:row>
    <x:row r="1834" ht="23" customHeight="1">
      <x:c r="A1834" t="n">
        <x:v>306</x:v>
      </x:c>
      <x:c r="B1834" t="n">
        <x:v>153</x:v>
      </x:c>
      <x:c r="C1834" t="str">
        <x:v>晚餐</x:v>
      </x:c>
      <x:c r="D1834" t="str">
        <x:v>蔬菜</x:v>
      </x:c>
      <x:c r="E1834" t="str">
        <x:v>冬瓜</x:v>
      </x:c>
      <x:c r="F1834" t="n">
        <x:v>160</x:v>
      </x:c>
      <x:c r="G1834" t="n">
        <x:v>13</x:v>
      </x:c>
      <x:c r="H1834" t="n">
        <x:f>ROUND(F1834*G1834/100,2)</x:f>
        <x:v>20.8</x:v>
      </x:c>
      <x:c r="I1834" t="n">
        <x:v>0.4</x:v>
      </x:c>
      <x:c r="J1834" t="n">
        <x:f>ROUND(F1834*I1834/100,2)</x:f>
        <x:v>0.64</x:v>
      </x:c>
      <x:c r="K1834" t="n">
        <x:v>3</x:v>
      </x:c>
      <x:c r="L1834" t="n">
        <x:f>ROUND(F1834*K1834/100,2)</x:f>
        <x:v>4.8</x:v>
      </x:c>
      <x:c r="M1834" t="n">
        <x:v>0.2</x:v>
      </x:c>
      <x:c r="N1834" t="n">
        <x:f>ROUND(F1834*M1834/100,2)</x:f>
        <x:v>0.32</x:v>
      </x:c>
      <x:c r="O1834" t="str">
        <x:v>生重</x:v>
      </x:c>
    </x:row>
    <x:row r="1835" ht="23" customHeight="1">
      <x:c r="A1835" t="n">
        <x:v>306</x:v>
      </x:c>
      <x:c r="B1835" t="n">
        <x:v>153</x:v>
      </x:c>
      <x:c r="C1835" t="str">
        <x:v>晚餐</x:v>
      </x:c>
      <x:c r="D1835" t="str">
        <x:v>蔬菜</x:v>
      </x:c>
      <x:c r="E1835" t="str">
        <x:v>绿豆芽</x:v>
      </x:c>
      <x:c r="F1835" t="n">
        <x:v>140</x:v>
      </x:c>
      <x:c r="G1835" t="n">
        <x:v>31</x:v>
      </x:c>
      <x:c r="H1835" t="n">
        <x:f>ROUND(F1835*G1835/100,2)</x:f>
        <x:v>43.4</x:v>
      </x:c>
      <x:c r="I1835" t="n">
        <x:v>3</x:v>
      </x:c>
      <x:c r="J1835" t="n">
        <x:f>ROUND(F1835*I1835/100,2)</x:f>
        <x:v>4.2</x:v>
      </x:c>
      <x:c r="K1835" t="n">
        <x:v>6</x:v>
      </x:c>
      <x:c r="L1835" t="n">
        <x:f>ROUND(F1835*K1835/100,2)</x:f>
        <x:v>8.4</x:v>
      </x:c>
      <x:c r="M1835" t="n">
        <x:v>0.2</x:v>
      </x:c>
      <x:c r="N1835" t="n">
        <x:f>ROUND(F1835*M1835/100,2)</x:f>
        <x:v>0.28</x:v>
      </x:c>
      <x:c r="O1835" t="str">
        <x:v>生重</x:v>
      </x:c>
    </x:row>
    <x:row r="1836" ht="23" customHeight="1">
      <x:c r="A1836" t="n">
        <x:v>306</x:v>
      </x:c>
      <x:c r="B1836" t="n">
        <x:v>153</x:v>
      </x:c>
      <x:c r="C1836" t="str">
        <x:v>晚餐</x:v>
      </x:c>
      <x:c r="D1836" t="str">
        <x:v>主食</x:v>
      </x:c>
      <x:c r="E1836" t="str">
        <x:v>土豆</x:v>
      </x:c>
      <x:c r="F1836" t="n">
        <x:v>110</x:v>
      </x:c>
      <x:c r="G1836" t="n">
        <x:v>78</x:v>
      </x:c>
      <x:c r="H1836" t="n">
        <x:f>ROUND(F1836*G1836/100,2)</x:f>
        <x:v>85.8</x:v>
      </x:c>
      <x:c r="I1836" t="n">
        <x:v>2</x:v>
      </x:c>
      <x:c r="J1836" t="n">
        <x:f>ROUND(F1836*I1836/100,2)</x:f>
        <x:v>2.2</x:v>
      </x:c>
      <x:c r="K1836" t="n">
        <x:v>17.2</x:v>
      </x:c>
      <x:c r="L1836" t="n">
        <x:f>ROUND(F1836*K1836/100,2)</x:f>
        <x:v>18.92</x:v>
      </x:c>
      <x:c r="M1836" t="n">
        <x:v>0.1</x:v>
      </x:c>
      <x:c r="N1836" t="n">
        <x:f>ROUND(F1836*M1836/100,2)</x:f>
        <x:v>0.11</x:v>
      </x:c>
      <x:c r="O1836" t="str">
        <x:v>蒸熟净重</x:v>
      </x:c>
    </x:row>
    <x:row r="1837" ht="23" customHeight="1">
      <x:c r="A1837" t="n">
        <x:v>306</x:v>
      </x:c>
      <x:c r="B1837" t="n">
        <x:v>153</x:v>
      </x:c>
      <x:c r="C1837" t="str">
        <x:v>晚餐</x:v>
      </x:c>
      <x:c r="D1837" t="str">
        <x:v>油脂</x:v>
      </x:c>
      <x:c r="E1837" t="str">
        <x:v>烹调油</x:v>
      </x:c>
      <x:c r="F1837" t="n">
        <x:v>3</x:v>
      </x:c>
      <x:c r="G1837" t="n">
        <x:v>900</x:v>
      </x:c>
      <x:c r="H1837" t="n">
        <x:f>ROUND(F1837*G1837/100,2)</x:f>
        <x:v>27</x:v>
      </x:c>
      <x:c r="I1837" t="n">
        <x:v>0</x:v>
      </x:c>
      <x:c r="J1837" t="n">
        <x:f>ROUND(F1837*I1837/100,2)</x:f>
        <x:v>0</x:v>
      </x:c>
      <x:c r="K1837" t="n">
        <x:v>0</x:v>
      </x:c>
      <x:c r="L1837" t="n">
        <x:f>ROUND(F1837*K1837/100,2)</x:f>
        <x:v>0</x:v>
      </x:c>
      <x:c r="M1837" t="n">
        <x:v>100</x:v>
      </x:c>
      <x:c r="N1837" t="n">
        <x:f>ROUND(F1837*M1837/100,2)</x:f>
        <x:v>3</x:v>
      </x:c>
      <x:c r="O1837" t="str">
        <x:v>实际用油重</x:v>
      </x:c>
    </x:row>
    <x:row r="1838" ht="23" customHeight="1">
      <x:c r="A1838" t="n">
        <x:v>307</x:v>
      </x:c>
      <x:c r="B1838" t="n">
        <x:v>154</x:v>
      </x:c>
      <x:c r="C1838" t="str">
        <x:v>午餐</x:v>
      </x:c>
      <x:c r="D1838" t="str">
        <x:v>鱼类</x:v>
      </x:c>
      <x:c r="E1838" t="str">
        <x:v>鲈鱼</x:v>
      </x:c>
      <x:c r="F1838" t="n">
        <x:v>175</x:v>
      </x:c>
      <x:c r="G1838" t="n">
        <x:v>105</x:v>
      </x:c>
      <x:c r="H1838" t="n">
        <x:f>ROUND(F1838*G1838/100,2)</x:f>
        <x:v>183.75</x:v>
      </x:c>
      <x:c r="I1838" t="n">
        <x:v>19</x:v>
      </x:c>
      <x:c r="J1838" t="n">
        <x:f>ROUND(F1838*I1838/100,2)</x:f>
        <x:v>33.25</x:v>
      </x:c>
      <x:c r="K1838" t="n">
        <x:v>0</x:v>
      </x:c>
      <x:c r="L1838" t="n">
        <x:f>ROUND(F1838*K1838/100,2)</x:f>
        <x:v>0</x:v>
      </x:c>
      <x:c r="M1838" t="n">
        <x:v>3</x:v>
      </x:c>
      <x:c r="N1838" t="n">
        <x:f>ROUND(F1838*M1838/100,2)</x:f>
        <x:v>5.25</x:v>
      </x:c>
      <x:c r="O1838" t="str">
        <x:v>净鱼肉生重</x:v>
      </x:c>
    </x:row>
    <x:row r="1839" ht="23" customHeight="1">
      <x:c r="A1839" t="n">
        <x:v>307</x:v>
      </x:c>
      <x:c r="B1839" t="n">
        <x:v>154</x:v>
      </x:c>
      <x:c r="C1839" t="str">
        <x:v>午餐</x:v>
      </x:c>
      <x:c r="D1839" t="str"/>
      <x:c r="E1839" t="str"/>
      <x:c r="F1839" t="n">
        <x:v>0</x:v>
      </x:c>
      <x:c r="G1839" t="n">
        <x:v>0</x:v>
      </x:c>
      <x:c r="H1839" t="n">
        <x:f>ROUND(F1839*G1839/100,2)</x:f>
        <x:v>0</x:v>
      </x:c>
      <x:c r="I1839" t="n">
        <x:v>0</x:v>
      </x:c>
      <x:c r="J1839" t="n">
        <x:f>ROUND(F1839*I1839/100,2)</x:f>
        <x:v>0</x:v>
      </x:c>
      <x:c r="K1839" t="n">
        <x:v>0</x:v>
      </x:c>
      <x:c r="L1839" t="n">
        <x:f>ROUND(F1839*K1839/100,2)</x:f>
        <x:v>0</x:v>
      </x:c>
      <x:c r="M1839" t="n">
        <x:v>0</x:v>
      </x:c>
      <x:c r="N1839" t="n">
        <x:f>ROUND(F1839*M1839/100,2)</x:f>
        <x:v>0</x:v>
      </x:c>
      <x:c r="O1839" t="str"/>
    </x:row>
    <x:row r="1840" ht="23" customHeight="1">
      <x:c r="A1840" t="n">
        <x:v>307</x:v>
      </x:c>
      <x:c r="B1840" t="n">
        <x:v>154</x:v>
      </x:c>
      <x:c r="C1840" t="str">
        <x:v>午餐</x:v>
      </x:c>
      <x:c r="D1840" t="str">
        <x:v>蔬菜</x:v>
      </x:c>
      <x:c r="E1840" t="str">
        <x:v>丝瓜</x:v>
      </x:c>
      <x:c r="F1840" t="n">
        <x:v>190</x:v>
      </x:c>
      <x:c r="G1840" t="n">
        <x:v>20</x:v>
      </x:c>
      <x:c r="H1840" t="n">
        <x:f>ROUND(F1840*G1840/100,2)</x:f>
        <x:v>38</x:v>
      </x:c>
      <x:c r="I1840" t="n">
        <x:v>1</x:v>
      </x:c>
      <x:c r="J1840" t="n">
        <x:f>ROUND(F1840*I1840/100,2)</x:f>
        <x:v>1.9</x:v>
      </x:c>
      <x:c r="K1840" t="n">
        <x:v>4</x:v>
      </x:c>
      <x:c r="L1840" t="n">
        <x:f>ROUND(F1840*K1840/100,2)</x:f>
        <x:v>7.6</x:v>
      </x:c>
      <x:c r="M1840" t="n">
        <x:v>0.2</x:v>
      </x:c>
      <x:c r="N1840" t="n">
        <x:f>ROUND(F1840*M1840/100,2)</x:f>
        <x:v>0.38</x:v>
      </x:c>
      <x:c r="O1840" t="str">
        <x:v>生重</x:v>
      </x:c>
    </x:row>
    <x:row r="1841" ht="23" customHeight="1">
      <x:c r="A1841" t="n">
        <x:v>307</x:v>
      </x:c>
      <x:c r="B1841" t="n">
        <x:v>154</x:v>
      </x:c>
      <x:c r="C1841" t="str">
        <x:v>午餐</x:v>
      </x:c>
      <x:c r="D1841" t="str">
        <x:v>蔬菜</x:v>
      </x:c>
      <x:c r="E1841" t="str">
        <x:v>小白菜</x:v>
      </x:c>
      <x:c r="F1841" t="n">
        <x:v>125</x:v>
      </x:c>
      <x:c r="G1841" t="n">
        <x:v>17</x:v>
      </x:c>
      <x:c r="H1841" t="n">
        <x:f>ROUND(F1841*G1841/100,2)</x:f>
        <x:v>21.25</x:v>
      </x:c>
      <x:c r="I1841" t="n">
        <x:v>1.6</x:v>
      </x:c>
      <x:c r="J1841" t="n">
        <x:f>ROUND(F1841*I1841/100,2)</x:f>
        <x:v>2</x:v>
      </x:c>
      <x:c r="K1841" t="n">
        <x:v>2.8</x:v>
      </x:c>
      <x:c r="L1841" t="n">
        <x:f>ROUND(F1841*K1841/100,2)</x:f>
        <x:v>3.5</x:v>
      </x:c>
      <x:c r="M1841" t="n">
        <x:v>0.2</x:v>
      </x:c>
      <x:c r="N1841" t="n">
        <x:f>ROUND(F1841*M1841/100,2)</x:f>
        <x:v>0.25</x:v>
      </x:c>
      <x:c r="O1841" t="str">
        <x:v>生重</x:v>
      </x:c>
    </x:row>
    <x:row r="1842" ht="23" customHeight="1">
      <x:c r="A1842" t="n">
        <x:v>307</x:v>
      </x:c>
      <x:c r="B1842" t="n">
        <x:v>154</x:v>
      </x:c>
      <x:c r="C1842" t="str">
        <x:v>午餐</x:v>
      </x:c>
      <x:c r="D1842" t="str">
        <x:v>主食</x:v>
      </x:c>
      <x:c r="E1842" t="str">
        <x:v>紫薯</x:v>
      </x:c>
      <x:c r="F1842" t="n">
        <x:v>135</x:v>
      </x:c>
      <x:c r="G1842" t="n">
        <x:v>95</x:v>
      </x:c>
      <x:c r="H1842" t="n">
        <x:f>ROUND(F1842*G1842/100,2)</x:f>
        <x:v>128.25</x:v>
      </x:c>
      <x:c r="I1842" t="n">
        <x:v>1.6</x:v>
      </x:c>
      <x:c r="J1842" t="n">
        <x:f>ROUND(F1842*I1842/100,2)</x:f>
        <x:v>2.16</x:v>
      </x:c>
      <x:c r="K1842" t="n">
        <x:v>22</x:v>
      </x:c>
      <x:c r="L1842" t="n">
        <x:f>ROUND(F1842*K1842/100,2)</x:f>
        <x:v>29.7</x:v>
      </x:c>
      <x:c r="M1842" t="n">
        <x:v>0.1</x:v>
      </x:c>
      <x:c r="N1842" t="n">
        <x:f>ROUND(F1842*M1842/100,2)</x:f>
        <x:v>0.14</x:v>
      </x:c>
      <x:c r="O1842" t="str">
        <x:v>蒸熟净重</x:v>
      </x:c>
    </x:row>
    <x:row r="1843" ht="23" customHeight="1">
      <x:c r="A1843" t="n">
        <x:v>307</x:v>
      </x:c>
      <x:c r="B1843" t="n">
        <x:v>154</x:v>
      </x:c>
      <x:c r="C1843" t="str">
        <x:v>午餐</x:v>
      </x:c>
      <x:c r="D1843" t="str">
        <x:v>油脂</x:v>
      </x:c>
      <x:c r="E1843" t="str">
        <x:v>烹调油</x:v>
      </x:c>
      <x:c r="F1843" t="n">
        <x:v>3</x:v>
      </x:c>
      <x:c r="G1843" t="n">
        <x:v>900</x:v>
      </x:c>
      <x:c r="H1843" t="n">
        <x:f>ROUND(F1843*G1843/100,2)</x:f>
        <x:v>27</x:v>
      </x:c>
      <x:c r="I1843" t="n">
        <x:v>0</x:v>
      </x:c>
      <x:c r="J1843" t="n">
        <x:f>ROUND(F1843*I1843/100,2)</x:f>
        <x:v>0</x:v>
      </x:c>
      <x:c r="K1843" t="n">
        <x:v>0</x:v>
      </x:c>
      <x:c r="L1843" t="n">
        <x:f>ROUND(F1843*K1843/100,2)</x:f>
        <x:v>0</x:v>
      </x:c>
      <x:c r="M1843" t="n">
        <x:v>100</x:v>
      </x:c>
      <x:c r="N1843" t="n">
        <x:f>ROUND(F1843*M1843/100,2)</x:f>
        <x:v>3</x:v>
      </x:c>
      <x:c r="O1843" t="str">
        <x:v>实际用油重</x:v>
      </x:c>
    </x:row>
    <x:row r="1844" ht="23" customHeight="1">
      <x:c r="A1844" t="n">
        <x:v>308</x:v>
      </x:c>
      <x:c r="B1844" t="n">
        <x:v>154</x:v>
      </x:c>
      <x:c r="C1844" t="str">
        <x:v>晚餐</x:v>
      </x:c>
      <x:c r="D1844" t="str">
        <x:v>禽肉</x:v>
      </x:c>
      <x:c r="E1844" t="str">
        <x:v>去皮鸭胸肉</x:v>
      </x:c>
      <x:c r="F1844" t="n">
        <x:v>180</x:v>
      </x:c>
      <x:c r="G1844" t="n">
        <x:v>140</x:v>
      </x:c>
      <x:c r="H1844" t="n">
        <x:f>ROUND(F1844*G1844/100,2)</x:f>
        <x:v>252</x:v>
      </x:c>
      <x:c r="I1844" t="n">
        <x:v>19</x:v>
      </x:c>
      <x:c r="J1844" t="n">
        <x:f>ROUND(F1844*I1844/100,2)</x:f>
        <x:v>34.2</x:v>
      </x:c>
      <x:c r="K1844" t="n">
        <x:v>0</x:v>
      </x:c>
      <x:c r="L1844" t="n">
        <x:f>ROUND(F1844*K1844/100,2)</x:f>
        <x:v>0</x:v>
      </x:c>
      <x:c r="M1844" t="n">
        <x:v>7</x:v>
      </x:c>
      <x:c r="N1844" t="n">
        <x:f>ROUND(F1844*M1844/100,2)</x:f>
        <x:v>12.6</x:v>
      </x:c>
      <x:c r="O1844" t="str">
        <x:v>生重</x:v>
      </x:c>
    </x:row>
    <x:row r="1845" ht="23" customHeight="1">
      <x:c r="A1845" t="n">
        <x:v>308</x:v>
      </x:c>
      <x:c r="B1845" t="n">
        <x:v>154</x:v>
      </x:c>
      <x:c r="C1845" t="str">
        <x:v>晚餐</x:v>
      </x:c>
      <x:c r="D1845" t="str"/>
      <x:c r="E1845" t="str"/>
      <x:c r="F1845" t="n">
        <x:v>0</x:v>
      </x:c>
      <x:c r="G1845" t="n">
        <x:v>0</x:v>
      </x:c>
      <x:c r="H1845" t="n">
        <x:f>ROUND(F1845*G1845/100,2)</x:f>
        <x:v>0</x:v>
      </x:c>
      <x:c r="I1845" t="n">
        <x:v>0</x:v>
      </x:c>
      <x:c r="J1845" t="n">
        <x:f>ROUND(F1845*I1845/100,2)</x:f>
        <x:v>0</x:v>
      </x:c>
      <x:c r="K1845" t="n">
        <x:v>0</x:v>
      </x:c>
      <x:c r="L1845" t="n">
        <x:f>ROUND(F1845*K1845/100,2)</x:f>
        <x:v>0</x:v>
      </x:c>
      <x:c r="M1845" t="n">
        <x:v>0</x:v>
      </x:c>
      <x:c r="N1845" t="n">
        <x:f>ROUND(F1845*M1845/100,2)</x:f>
        <x:v>0</x:v>
      </x:c>
      <x:c r="O1845" t="str"/>
    </x:row>
    <x:row r="1846" ht="23" customHeight="1">
      <x:c r="A1846" t="n">
        <x:v>308</x:v>
      </x:c>
      <x:c r="B1846" t="n">
        <x:v>154</x:v>
      </x:c>
      <x:c r="C1846" t="str">
        <x:v>晚餐</x:v>
      </x:c>
      <x:c r="D1846" t="str">
        <x:v>蔬菜</x:v>
      </x:c>
      <x:c r="E1846" t="str">
        <x:v>冬瓜</x:v>
      </x:c>
      <x:c r="F1846" t="n">
        <x:v>190</x:v>
      </x:c>
      <x:c r="G1846" t="n">
        <x:v>13</x:v>
      </x:c>
      <x:c r="H1846" t="n">
        <x:f>ROUND(F1846*G1846/100,2)</x:f>
        <x:v>24.7</x:v>
      </x:c>
      <x:c r="I1846" t="n">
        <x:v>0.4</x:v>
      </x:c>
      <x:c r="J1846" t="n">
        <x:f>ROUND(F1846*I1846/100,2)</x:f>
        <x:v>0.76</x:v>
      </x:c>
      <x:c r="K1846" t="n">
        <x:v>3</x:v>
      </x:c>
      <x:c r="L1846" t="n">
        <x:f>ROUND(F1846*K1846/100,2)</x:f>
        <x:v>5.7</x:v>
      </x:c>
      <x:c r="M1846" t="n">
        <x:v>0.2</x:v>
      </x:c>
      <x:c r="N1846" t="n">
        <x:f>ROUND(F1846*M1846/100,2)</x:f>
        <x:v>0.38</x:v>
      </x:c>
      <x:c r="O1846" t="str">
        <x:v>生重</x:v>
      </x:c>
    </x:row>
    <x:row r="1847" ht="23" customHeight="1">
      <x:c r="A1847" t="n">
        <x:v>308</x:v>
      </x:c>
      <x:c r="B1847" t="n">
        <x:v>154</x:v>
      </x:c>
      <x:c r="C1847" t="str">
        <x:v>晚餐</x:v>
      </x:c>
      <x:c r="D1847" t="str">
        <x:v>蔬菜</x:v>
      </x:c>
      <x:c r="E1847" t="str">
        <x:v>莴笋</x:v>
      </x:c>
      <x:c r="F1847" t="n">
        <x:v>125</x:v>
      </x:c>
      <x:c r="G1847" t="n">
        <x:v>15</x:v>
      </x:c>
      <x:c r="H1847" t="n">
        <x:f>ROUND(F1847*G1847/100,2)</x:f>
        <x:v>18.75</x:v>
      </x:c>
      <x:c r="I1847" t="n">
        <x:v>1</x:v>
      </x:c>
      <x:c r="J1847" t="n">
        <x:f>ROUND(F1847*I1847/100,2)</x:f>
        <x:v>1.25</x:v>
      </x:c>
      <x:c r="K1847" t="n">
        <x:v>2.8</x:v>
      </x:c>
      <x:c r="L1847" t="n">
        <x:f>ROUND(F1847*K1847/100,2)</x:f>
        <x:v>3.5</x:v>
      </x:c>
      <x:c r="M1847" t="n">
        <x:v>0.1</x:v>
      </x:c>
      <x:c r="N1847" t="n">
        <x:f>ROUND(F1847*M1847/100,2)</x:f>
        <x:v>0.13</x:v>
      </x:c>
      <x:c r="O1847" t="str">
        <x:v>生重</x:v>
      </x:c>
    </x:row>
    <x:row r="1848" ht="23" customHeight="1">
      <x:c r="A1848" t="n">
        <x:v>308</x:v>
      </x:c>
      <x:c r="B1848" t="n">
        <x:v>154</x:v>
      </x:c>
      <x:c r="C1848" t="str">
        <x:v>晚餐</x:v>
      </x:c>
      <x:c r="D1848" t="str">
        <x:v>主食</x:v>
      </x:c>
      <x:c r="E1848" t="str">
        <x:v>杂粮饭</x:v>
      </x:c>
      <x:c r="F1848" t="n">
        <x:v>125</x:v>
      </x:c>
      <x:c r="G1848" t="n">
        <x:v>115</x:v>
      </x:c>
      <x:c r="H1848" t="n">
        <x:f>ROUND(F1848*G1848/100,2)</x:f>
        <x:v>143.75</x:v>
      </x:c>
      <x:c r="I1848" t="n">
        <x:v>3.1</x:v>
      </x:c>
      <x:c r="J1848" t="n">
        <x:f>ROUND(F1848*I1848/100,2)</x:f>
        <x:v>3.88</x:v>
      </x:c>
      <x:c r="K1848" t="n">
        <x:v>23.5</x:v>
      </x:c>
      <x:c r="L1848" t="n">
        <x:f>ROUND(F1848*K1848/100,2)</x:f>
        <x:v>29.38</x:v>
      </x:c>
      <x:c r="M1848" t="n">
        <x:v>1.1</x:v>
      </x:c>
      <x:c r="N1848" t="n">
        <x:f>ROUND(F1848*M1848/100,2)</x:f>
        <x:v>1.38</x:v>
      </x:c>
      <x:c r="O1848" t="str">
        <x:v>熟重</x:v>
      </x:c>
    </x:row>
    <x:row r="1849" ht="23" customHeight="1">
      <x:c r="A1849" t="n">
        <x:v>308</x:v>
      </x:c>
      <x:c r="B1849" t="n">
        <x:v>154</x:v>
      </x:c>
      <x:c r="C1849" t="str">
        <x:v>晚餐</x:v>
      </x:c>
      <x:c r="D1849" t="str">
        <x:v>油脂</x:v>
      </x:c>
      <x:c r="E1849" t="str">
        <x:v>烹调油</x:v>
      </x:c>
      <x:c r="F1849" t="n">
        <x:v>5</x:v>
      </x:c>
      <x:c r="G1849" t="n">
        <x:v>900</x:v>
      </x:c>
      <x:c r="H1849" t="n">
        <x:f>ROUND(F1849*G1849/100,2)</x:f>
        <x:v>45</x:v>
      </x:c>
      <x:c r="I1849" t="n">
        <x:v>0</x:v>
      </x:c>
      <x:c r="J1849" t="n">
        <x:f>ROUND(F1849*I1849/100,2)</x:f>
        <x:v>0</x:v>
      </x:c>
      <x:c r="K1849" t="n">
        <x:v>0</x:v>
      </x:c>
      <x:c r="L1849" t="n">
        <x:f>ROUND(F1849*K1849/100,2)</x:f>
        <x:v>0</x:v>
      </x:c>
      <x:c r="M1849" t="n">
        <x:v>100</x:v>
      </x:c>
      <x:c r="N1849" t="n">
        <x:f>ROUND(F1849*M1849/100,2)</x:f>
        <x:v>5</x:v>
      </x:c>
      <x:c r="O1849" t="str">
        <x:v>实际用油重</x:v>
      </x:c>
    </x:row>
    <x:row r="1850" ht="23" customHeight="1">
      <x:c r="A1850" t="n">
        <x:v>309</x:v>
      </x:c>
      <x:c r="B1850" t="n">
        <x:v>155</x:v>
      </x:c>
      <x:c r="C1850" t="str">
        <x:v>午餐</x:v>
      </x:c>
      <x:c r="D1850" t="str">
        <x:v>禽肉</x:v>
      </x:c>
      <x:c r="E1850" t="str">
        <x:v>去皮鸡腿肉</x:v>
      </x:c>
      <x:c r="F1850" t="n">
        <x:v>185</x:v>
      </x:c>
      <x:c r="G1850" t="n">
        <x:v>125</x:v>
      </x:c>
      <x:c r="H1850" t="n">
        <x:f>ROUND(F1850*G1850/100,2)</x:f>
        <x:v>231.25</x:v>
      </x:c>
      <x:c r="I1850" t="n">
        <x:v>20</x:v>
      </x:c>
      <x:c r="J1850" t="n">
        <x:f>ROUND(F1850*I1850/100,2)</x:f>
        <x:v>37</x:v>
      </x:c>
      <x:c r="K1850" t="n">
        <x:v>0</x:v>
      </x:c>
      <x:c r="L1850" t="n">
        <x:f>ROUND(F1850*K1850/100,2)</x:f>
        <x:v>0</x:v>
      </x:c>
      <x:c r="M1850" t="n">
        <x:v>5</x:v>
      </x:c>
      <x:c r="N1850" t="n">
        <x:f>ROUND(F1850*M1850/100,2)</x:f>
        <x:v>9.25</x:v>
      </x:c>
      <x:c r="O1850" t="str">
        <x:v>生重</x:v>
      </x:c>
    </x:row>
    <x:row r="1851" ht="23" customHeight="1">
      <x:c r="A1851" t="n">
        <x:v>309</x:v>
      </x:c>
      <x:c r="B1851" t="n">
        <x:v>155</x:v>
      </x:c>
      <x:c r="C1851" t="str">
        <x:v>午餐</x:v>
      </x:c>
      <x:c r="D1851" t="str"/>
      <x:c r="E1851" t="str"/>
      <x:c r="F1851" t="n">
        <x:v>0</x:v>
      </x:c>
      <x:c r="G1851" t="n">
        <x:v>0</x:v>
      </x:c>
      <x:c r="H1851" t="n">
        <x:f>ROUND(F1851*G1851/100,2)</x:f>
        <x:v>0</x:v>
      </x:c>
      <x:c r="I1851" t="n">
        <x:v>0</x:v>
      </x:c>
      <x:c r="J1851" t="n">
        <x:f>ROUND(F1851*I1851/100,2)</x:f>
        <x:v>0</x:v>
      </x:c>
      <x:c r="K1851" t="n">
        <x:v>0</x:v>
      </x:c>
      <x:c r="L1851" t="n">
        <x:f>ROUND(F1851*K1851/100,2)</x:f>
        <x:v>0</x:v>
      </x:c>
      <x:c r="M1851" t="n">
        <x:v>0</x:v>
      </x:c>
      <x:c r="N1851" t="n">
        <x:f>ROUND(F1851*M1851/100,2)</x:f>
        <x:v>0</x:v>
      </x:c>
      <x:c r="O1851" t="str"/>
    </x:row>
    <x:row r="1852" ht="23" customHeight="1">
      <x:c r="A1852" t="n">
        <x:v>309</x:v>
      </x:c>
      <x:c r="B1852" t="n">
        <x:v>155</x:v>
      </x:c>
      <x:c r="C1852" t="str">
        <x:v>午餐</x:v>
      </x:c>
      <x:c r="D1852" t="str">
        <x:v>蔬菜</x:v>
      </x:c>
      <x:c r="E1852" t="str">
        <x:v>大白菜</x:v>
      </x:c>
      <x:c r="F1852" t="n">
        <x:v>175</x:v>
      </x:c>
      <x:c r="G1852" t="n">
        <x:v>17</x:v>
      </x:c>
      <x:c r="H1852" t="n">
        <x:f>ROUND(F1852*G1852/100,2)</x:f>
        <x:v>29.75</x:v>
      </x:c>
      <x:c r="I1852" t="n">
        <x:v>1.5</x:v>
      </x:c>
      <x:c r="J1852" t="n">
        <x:f>ROUND(F1852*I1852/100,2)</x:f>
        <x:v>2.63</x:v>
      </x:c>
      <x:c r="K1852" t="n">
        <x:v>3.2</x:v>
      </x:c>
      <x:c r="L1852" t="n">
        <x:f>ROUND(F1852*K1852/100,2)</x:f>
        <x:v>5.6</x:v>
      </x:c>
      <x:c r="M1852" t="n">
        <x:v>0.1</x:v>
      </x:c>
      <x:c r="N1852" t="n">
        <x:f>ROUND(F1852*M1852/100,2)</x:f>
        <x:v>0.18</x:v>
      </x:c>
      <x:c r="O1852" t="str">
        <x:v>生重</x:v>
      </x:c>
    </x:row>
    <x:row r="1853" ht="23" customHeight="1">
      <x:c r="A1853" t="n">
        <x:v>309</x:v>
      </x:c>
      <x:c r="B1853" t="n">
        <x:v>155</x:v>
      </x:c>
      <x:c r="C1853" t="str">
        <x:v>午餐</x:v>
      </x:c>
      <x:c r="D1853" t="str">
        <x:v>蔬菜</x:v>
      </x:c>
      <x:c r="E1853" t="str">
        <x:v>彩椒</x:v>
      </x:c>
      <x:c r="F1853" t="n">
        <x:v>110</x:v>
      </x:c>
      <x:c r="G1853" t="n">
        <x:v>27</x:v>
      </x:c>
      <x:c r="H1853" t="n">
        <x:f>ROUND(F1853*G1853/100,2)</x:f>
        <x:v>29.7</x:v>
      </x:c>
      <x:c r="I1853" t="n">
        <x:v>1</x:v>
      </x:c>
      <x:c r="J1853" t="n">
        <x:f>ROUND(F1853*I1853/100,2)</x:f>
        <x:v>1.1</x:v>
      </x:c>
      <x:c r="K1853" t="n">
        <x:v>6.1</x:v>
      </x:c>
      <x:c r="L1853" t="n">
        <x:f>ROUND(F1853*K1853/100,2)</x:f>
        <x:v>6.71</x:v>
      </x:c>
      <x:c r="M1853" t="n">
        <x:v>0.2</x:v>
      </x:c>
      <x:c r="N1853" t="n">
        <x:f>ROUND(F1853*M1853/100,2)</x:f>
        <x:v>0.22</x:v>
      </x:c>
      <x:c r="O1853" t="str">
        <x:v>生重</x:v>
      </x:c>
    </x:row>
    <x:row r="1854" ht="23" customHeight="1">
      <x:c r="A1854" t="n">
        <x:v>309</x:v>
      </x:c>
      <x:c r="B1854" t="n">
        <x:v>155</x:v>
      </x:c>
      <x:c r="C1854" t="str">
        <x:v>午餐</x:v>
      </x:c>
      <x:c r="D1854" t="str">
        <x:v>主食</x:v>
      </x:c>
      <x:c r="E1854" t="str">
        <x:v>糙米饭</x:v>
      </x:c>
      <x:c r="F1854" t="n">
        <x:v>150</x:v>
      </x:c>
      <x:c r="G1854" t="n">
        <x:v>112</x:v>
      </x:c>
      <x:c r="H1854" t="n">
        <x:f>ROUND(F1854*G1854/100,2)</x:f>
        <x:v>168</x:v>
      </x:c>
      <x:c r="I1854" t="n">
        <x:v>2.6</x:v>
      </x:c>
      <x:c r="J1854" t="n">
        <x:f>ROUND(F1854*I1854/100,2)</x:f>
        <x:v>3.9</x:v>
      </x:c>
      <x:c r="K1854" t="n">
        <x:v>23.5</x:v>
      </x:c>
      <x:c r="L1854" t="n">
        <x:f>ROUND(F1854*K1854/100,2)</x:f>
        <x:v>35.25</x:v>
      </x:c>
      <x:c r="M1854" t="n">
        <x:v>0.9</x:v>
      </x:c>
      <x:c r="N1854" t="n">
        <x:f>ROUND(F1854*M1854/100,2)</x:f>
        <x:v>1.35</x:v>
      </x:c>
      <x:c r="O1854" t="str">
        <x:v>熟重</x:v>
      </x:c>
    </x:row>
    <x:row r="1855" ht="23" customHeight="1">
      <x:c r="A1855" t="n">
        <x:v>309</x:v>
      </x:c>
      <x:c r="B1855" t="n">
        <x:v>155</x:v>
      </x:c>
      <x:c r="C1855" t="str">
        <x:v>午餐</x:v>
      </x:c>
      <x:c r="D1855" t="str">
        <x:v>油脂</x:v>
      </x:c>
      <x:c r="E1855" t="str">
        <x:v>烹调油</x:v>
      </x:c>
      <x:c r="F1855" t="n">
        <x:v>6</x:v>
      </x:c>
      <x:c r="G1855" t="n">
        <x:v>900</x:v>
      </x:c>
      <x:c r="H1855" t="n">
        <x:f>ROUND(F1855*G1855/100,2)</x:f>
        <x:v>54</x:v>
      </x:c>
      <x:c r="I1855" t="n">
        <x:v>0</x:v>
      </x:c>
      <x:c r="J1855" t="n">
        <x:f>ROUND(F1855*I1855/100,2)</x:f>
        <x:v>0</x:v>
      </x:c>
      <x:c r="K1855" t="n">
        <x:v>0</x:v>
      </x:c>
      <x:c r="L1855" t="n">
        <x:f>ROUND(F1855*K1855/100,2)</x:f>
        <x:v>0</x:v>
      </x:c>
      <x:c r="M1855" t="n">
        <x:v>100</x:v>
      </x:c>
      <x:c r="N1855" t="n">
        <x:f>ROUND(F1855*M1855/100,2)</x:f>
        <x:v>6</x:v>
      </x:c>
      <x:c r="O1855" t="str">
        <x:v>实际用油重</x:v>
      </x:c>
    </x:row>
    <x:row r="1856" ht="23" customHeight="1">
      <x:c r="A1856" t="n">
        <x:v>310</x:v>
      </x:c>
      <x:c r="B1856" t="n">
        <x:v>155</x:v>
      </x:c>
      <x:c r="C1856" t="str">
        <x:v>晚餐</x:v>
      </x:c>
      <x:c r="D1856" t="str">
        <x:v>禽肉</x:v>
      </x:c>
      <x:c r="E1856" t="str">
        <x:v>鸡里脊肉</x:v>
      </x:c>
      <x:c r="F1856" t="n">
        <x:v>145</x:v>
      </x:c>
      <x:c r="G1856" t="n">
        <x:v>110</x:v>
      </x:c>
      <x:c r="H1856" t="n">
        <x:f>ROUND(F1856*G1856/100,2)</x:f>
        <x:v>159.5</x:v>
      </x:c>
      <x:c r="I1856" t="n">
        <x:v>23</x:v>
      </x:c>
      <x:c r="J1856" t="n">
        <x:f>ROUND(F1856*I1856/100,2)</x:f>
        <x:v>33.35</x:v>
      </x:c>
      <x:c r="K1856" t="n">
        <x:v>0</x:v>
      </x:c>
      <x:c r="L1856" t="n">
        <x:f>ROUND(F1856*K1856/100,2)</x:f>
        <x:v>0</x:v>
      </x:c>
      <x:c r="M1856" t="n">
        <x:v>1.8</x:v>
      </x:c>
      <x:c r="N1856" t="n">
        <x:f>ROUND(F1856*M1856/100,2)</x:f>
        <x:v>2.61</x:v>
      </x:c>
      <x:c r="O1856" t="str">
        <x:v>生重</x:v>
      </x:c>
    </x:row>
    <x:row r="1857" ht="23" customHeight="1">
      <x:c r="A1857" t="n">
        <x:v>310</x:v>
      </x:c>
      <x:c r="B1857" t="n">
        <x:v>155</x:v>
      </x:c>
      <x:c r="C1857" t="str">
        <x:v>晚餐</x:v>
      </x:c>
      <x:c r="D1857" t="str"/>
      <x:c r="E1857" t="str"/>
      <x:c r="F1857" t="n">
        <x:v>0</x:v>
      </x:c>
      <x:c r="G1857" t="n">
        <x:v>0</x:v>
      </x:c>
      <x:c r="H1857" t="n">
        <x:f>ROUND(F1857*G1857/100,2)</x:f>
        <x:v>0</x:v>
      </x:c>
      <x:c r="I1857" t="n">
        <x:v>0</x:v>
      </x:c>
      <x:c r="J1857" t="n">
        <x:f>ROUND(F1857*I1857/100,2)</x:f>
        <x:v>0</x:v>
      </x:c>
      <x:c r="K1857" t="n">
        <x:v>0</x:v>
      </x:c>
      <x:c r="L1857" t="n">
        <x:f>ROUND(F1857*K1857/100,2)</x:f>
        <x:v>0</x:v>
      </x:c>
      <x:c r="M1857" t="n">
        <x:v>0</x:v>
      </x:c>
      <x:c r="N1857" t="n">
        <x:f>ROUND(F1857*M1857/100,2)</x:f>
        <x:v>0</x:v>
      </x:c>
      <x:c r="O1857" t="str"/>
    </x:row>
    <x:row r="1858" ht="23" customHeight="1">
      <x:c r="A1858" t="n">
        <x:v>310</x:v>
      </x:c>
      <x:c r="B1858" t="n">
        <x:v>155</x:v>
      </x:c>
      <x:c r="C1858" t="str">
        <x:v>晚餐</x:v>
      </x:c>
      <x:c r="D1858" t="str">
        <x:v>蔬菜</x:v>
      </x:c>
      <x:c r="E1858" t="str">
        <x:v>菠菜</x:v>
      </x:c>
      <x:c r="F1858" t="n">
        <x:v>175</x:v>
      </x:c>
      <x:c r="G1858" t="n">
        <x:v>23</x:v>
      </x:c>
      <x:c r="H1858" t="n">
        <x:f>ROUND(F1858*G1858/100,2)</x:f>
        <x:v>40.25</x:v>
      </x:c>
      <x:c r="I1858" t="n">
        <x:v>2.9</x:v>
      </x:c>
      <x:c r="J1858" t="n">
        <x:f>ROUND(F1858*I1858/100,2)</x:f>
        <x:v>5.08</x:v>
      </x:c>
      <x:c r="K1858" t="n">
        <x:v>3.6</x:v>
      </x:c>
      <x:c r="L1858" t="n">
        <x:f>ROUND(F1858*K1858/100,2)</x:f>
        <x:v>6.3</x:v>
      </x:c>
      <x:c r="M1858" t="n">
        <x:v>0.4</x:v>
      </x:c>
      <x:c r="N1858" t="n">
        <x:f>ROUND(F1858*M1858/100,2)</x:f>
        <x:v>0.7</x:v>
      </x:c>
      <x:c r="O1858" t="str">
        <x:v>生重</x:v>
      </x:c>
    </x:row>
    <x:row r="1859" ht="23" customHeight="1">
      <x:c r="A1859" t="n">
        <x:v>310</x:v>
      </x:c>
      <x:c r="B1859" t="n">
        <x:v>155</x:v>
      </x:c>
      <x:c r="C1859" t="str">
        <x:v>晚餐</x:v>
      </x:c>
      <x:c r="D1859" t="str">
        <x:v>蔬菜</x:v>
      </x:c>
      <x:c r="E1859" t="str">
        <x:v>玉米笋</x:v>
      </x:c>
      <x:c r="F1859" t="n">
        <x:v>110</x:v>
      </x:c>
      <x:c r="G1859" t="n">
        <x:v>26</x:v>
      </x:c>
      <x:c r="H1859" t="n">
        <x:f>ROUND(F1859*G1859/100,2)</x:f>
        <x:v>28.6</x:v>
      </x:c>
      <x:c r="I1859" t="n">
        <x:v>2</x:v>
      </x:c>
      <x:c r="J1859" t="n">
        <x:f>ROUND(F1859*I1859/100,2)</x:f>
        <x:v>2.2</x:v>
      </x:c>
      <x:c r="K1859" t="n">
        <x:v>4.9</x:v>
      </x:c>
      <x:c r="L1859" t="n">
        <x:f>ROUND(F1859*K1859/100,2)</x:f>
        <x:v>5.39</x:v>
      </x:c>
      <x:c r="M1859" t="n">
        <x:v>0.1</x:v>
      </x:c>
      <x:c r="N1859" t="n">
        <x:f>ROUND(F1859*M1859/100,2)</x:f>
        <x:v>0.11</x:v>
      </x:c>
      <x:c r="O1859" t="str">
        <x:v>生重</x:v>
      </x:c>
    </x:row>
    <x:row r="1860" ht="23" customHeight="1">
      <x:c r="A1860" t="n">
        <x:v>310</x:v>
      </x:c>
      <x:c r="B1860" t="n">
        <x:v>155</x:v>
      </x:c>
      <x:c r="C1860" t="str">
        <x:v>晚餐</x:v>
      </x:c>
      <x:c r="D1860" t="str">
        <x:v>主食</x:v>
      </x:c>
      <x:c r="E1860" t="str">
        <x:v>藜麦饭</x:v>
      </x:c>
      <x:c r="F1860" t="n">
        <x:v>135</x:v>
      </x:c>
      <x:c r="G1860" t="n">
        <x:v>120</x:v>
      </x:c>
      <x:c r="H1860" t="n">
        <x:f>ROUND(F1860*G1860/100,2)</x:f>
        <x:v>162</x:v>
      </x:c>
      <x:c r="I1860" t="n">
        <x:v>4.4</x:v>
      </x:c>
      <x:c r="J1860" t="n">
        <x:f>ROUND(F1860*I1860/100,2)</x:f>
        <x:v>5.94</x:v>
      </x:c>
      <x:c r="K1860" t="n">
        <x:v>21.3</x:v>
      </x:c>
      <x:c r="L1860" t="n">
        <x:f>ROUND(F1860*K1860/100,2)</x:f>
        <x:v>28.76</x:v>
      </x:c>
      <x:c r="M1860" t="n">
        <x:v>1.9</x:v>
      </x:c>
      <x:c r="N1860" t="n">
        <x:f>ROUND(F1860*M1860/100,2)</x:f>
        <x:v>2.57</x:v>
      </x:c>
      <x:c r="O1860" t="str">
        <x:v>熟重</x:v>
      </x:c>
    </x:row>
    <x:row r="1861" ht="23" customHeight="1">
      <x:c r="A1861" t="n">
        <x:v>310</x:v>
      </x:c>
      <x:c r="B1861" t="n">
        <x:v>155</x:v>
      </x:c>
      <x:c r="C1861" t="str">
        <x:v>晚餐</x:v>
      </x:c>
      <x:c r="D1861" t="str">
        <x:v>油脂</x:v>
      </x:c>
      <x:c r="E1861" t="str">
        <x:v>烹调油</x:v>
      </x:c>
      <x:c r="F1861" t="n">
        <x:v>3</x:v>
      </x:c>
      <x:c r="G1861" t="n">
        <x:v>900</x:v>
      </x:c>
      <x:c r="H1861" t="n">
        <x:f>ROUND(F1861*G1861/100,2)</x:f>
        <x:v>27</x:v>
      </x:c>
      <x:c r="I1861" t="n">
        <x:v>0</x:v>
      </x:c>
      <x:c r="J1861" t="n">
        <x:f>ROUND(F1861*I1861/100,2)</x:f>
        <x:v>0</x:v>
      </x:c>
      <x:c r="K1861" t="n">
        <x:v>0</x:v>
      </x:c>
      <x:c r="L1861" t="n">
        <x:f>ROUND(F1861*K1861/100,2)</x:f>
        <x:v>0</x:v>
      </x:c>
      <x:c r="M1861" t="n">
        <x:v>100</x:v>
      </x:c>
      <x:c r="N1861" t="n">
        <x:f>ROUND(F1861*M1861/100,2)</x:f>
        <x:v>3</x:v>
      </x:c>
      <x:c r="O1861" t="str">
        <x:v>实际用油重</x:v>
      </x:c>
    </x:row>
    <x:row r="1862" ht="23" customHeight="1">
      <x:c r="A1862" t="n">
        <x:v>311</x:v>
      </x:c>
      <x:c r="B1862" t="n">
        <x:v>156</x:v>
      </x:c>
      <x:c r="C1862" t="str">
        <x:v>午餐</x:v>
      </x:c>
      <x:c r="D1862" t="str">
        <x:v>禽肉</x:v>
      </x:c>
      <x:c r="E1862" t="str">
        <x:v>鸡胸肉</x:v>
      </x:c>
      <x:c r="F1862" t="n">
        <x:v>165</x:v>
      </x:c>
      <x:c r="G1862" t="n">
        <x:v>110</x:v>
      </x:c>
      <x:c r="H1862" t="n">
        <x:f>ROUND(F1862*G1862/100,2)</x:f>
        <x:v>181.5</x:v>
      </x:c>
      <x:c r="I1862" t="n">
        <x:v>23</x:v>
      </x:c>
      <x:c r="J1862" t="n">
        <x:f>ROUND(F1862*I1862/100,2)</x:f>
        <x:v>37.95</x:v>
      </x:c>
      <x:c r="K1862" t="n">
        <x:v>0</x:v>
      </x:c>
      <x:c r="L1862" t="n">
        <x:f>ROUND(F1862*K1862/100,2)</x:f>
        <x:v>0</x:v>
      </x:c>
      <x:c r="M1862" t="n">
        <x:v>2</x:v>
      </x:c>
      <x:c r="N1862" t="n">
        <x:f>ROUND(F1862*M1862/100,2)</x:f>
        <x:v>3.3</x:v>
      </x:c>
      <x:c r="O1862" t="str">
        <x:v>生重</x:v>
      </x:c>
    </x:row>
    <x:row r="1863" ht="23" customHeight="1">
      <x:c r="A1863" t="n">
        <x:v>311</x:v>
      </x:c>
      <x:c r="B1863" t="n">
        <x:v>156</x:v>
      </x:c>
      <x:c r="C1863" t="str">
        <x:v>午餐</x:v>
      </x:c>
      <x:c r="D1863" t="str"/>
      <x:c r="E1863" t="str"/>
      <x:c r="F1863" t="n">
        <x:v>0</x:v>
      </x:c>
      <x:c r="G1863" t="n">
        <x:v>0</x:v>
      </x:c>
      <x:c r="H1863" t="n">
        <x:f>ROUND(F1863*G1863/100,2)</x:f>
        <x:v>0</x:v>
      </x:c>
      <x:c r="I1863" t="n">
        <x:v>0</x:v>
      </x:c>
      <x:c r="J1863" t="n">
        <x:f>ROUND(F1863*I1863/100,2)</x:f>
        <x:v>0</x:v>
      </x:c>
      <x:c r="K1863" t="n">
        <x:v>0</x:v>
      </x:c>
      <x:c r="L1863" t="n">
        <x:f>ROUND(F1863*K1863/100,2)</x:f>
        <x:v>0</x:v>
      </x:c>
      <x:c r="M1863" t="n">
        <x:v>0</x:v>
      </x:c>
      <x:c r="N1863" t="n">
        <x:f>ROUND(F1863*M1863/100,2)</x:f>
        <x:v>0</x:v>
      </x:c>
      <x:c r="O1863" t="str"/>
    </x:row>
    <x:row r="1864" ht="23" customHeight="1">
      <x:c r="A1864" t="n">
        <x:v>311</x:v>
      </x:c>
      <x:c r="B1864" t="n">
        <x:v>156</x:v>
      </x:c>
      <x:c r="C1864" t="str">
        <x:v>午餐</x:v>
      </x:c>
      <x:c r="D1864" t="str">
        <x:v>蔬菜</x:v>
      </x:c>
      <x:c r="E1864" t="str">
        <x:v>大白菜</x:v>
      </x:c>
      <x:c r="F1864" t="n">
        <x:v>140</x:v>
      </x:c>
      <x:c r="G1864" t="n">
        <x:v>17</x:v>
      </x:c>
      <x:c r="H1864" t="n">
        <x:f>ROUND(F1864*G1864/100,2)</x:f>
        <x:v>23.8</x:v>
      </x:c>
      <x:c r="I1864" t="n">
        <x:v>1.5</x:v>
      </x:c>
      <x:c r="J1864" t="n">
        <x:f>ROUND(F1864*I1864/100,2)</x:f>
        <x:v>2.1</x:v>
      </x:c>
      <x:c r="K1864" t="n">
        <x:v>3.2</x:v>
      </x:c>
      <x:c r="L1864" t="n">
        <x:f>ROUND(F1864*K1864/100,2)</x:f>
        <x:v>4.48</x:v>
      </x:c>
      <x:c r="M1864" t="n">
        <x:v>0.1</x:v>
      </x:c>
      <x:c r="N1864" t="n">
        <x:f>ROUND(F1864*M1864/100,2)</x:f>
        <x:v>0.14</x:v>
      </x:c>
      <x:c r="O1864" t="str">
        <x:v>生重</x:v>
      </x:c>
    </x:row>
    <x:row r="1865" ht="23" customHeight="1">
      <x:c r="A1865" t="n">
        <x:v>311</x:v>
      </x:c>
      <x:c r="B1865" t="n">
        <x:v>156</x:v>
      </x:c>
      <x:c r="C1865" t="str">
        <x:v>午餐</x:v>
      </x:c>
      <x:c r="D1865" t="str">
        <x:v>菌菇</x:v>
      </x:c>
      <x:c r="E1865" t="str">
        <x:v>口蘑</x:v>
      </x:c>
      <x:c r="F1865" t="n">
        <x:v>125</x:v>
      </x:c>
      <x:c r="G1865" t="n">
        <x:v>22</x:v>
      </x:c>
      <x:c r="H1865" t="n">
        <x:f>ROUND(F1865*G1865/100,2)</x:f>
        <x:v>27.5</x:v>
      </x:c>
      <x:c r="I1865" t="n">
        <x:v>3.1</x:v>
      </x:c>
      <x:c r="J1865" t="n">
        <x:f>ROUND(F1865*I1865/100,2)</x:f>
        <x:v>3.88</x:v>
      </x:c>
      <x:c r="K1865" t="n">
        <x:v>3.3</x:v>
      </x:c>
      <x:c r="L1865" t="n">
        <x:f>ROUND(F1865*K1865/100,2)</x:f>
        <x:v>4.13</x:v>
      </x:c>
      <x:c r="M1865" t="n">
        <x:v>0.3</x:v>
      </x:c>
      <x:c r="N1865" t="n">
        <x:f>ROUND(F1865*M1865/100,2)</x:f>
        <x:v>0.38</x:v>
      </x:c>
      <x:c r="O1865" t="str">
        <x:v>生重</x:v>
      </x:c>
    </x:row>
    <x:row r="1866" ht="23" customHeight="1">
      <x:c r="A1866" t="n">
        <x:v>311</x:v>
      </x:c>
      <x:c r="B1866" t="n">
        <x:v>156</x:v>
      </x:c>
      <x:c r="C1866" t="str">
        <x:v>午餐</x:v>
      </x:c>
      <x:c r="D1866" t="str">
        <x:v>主食</x:v>
      </x:c>
      <x:c r="E1866" t="str">
        <x:v>玉米</x:v>
      </x:c>
      <x:c r="F1866" t="n">
        <x:v>150</x:v>
      </x:c>
      <x:c r="G1866" t="n">
        <x:v>105</x:v>
      </x:c>
      <x:c r="H1866" t="n">
        <x:f>ROUND(F1866*G1866/100,2)</x:f>
        <x:v>157.5</x:v>
      </x:c>
      <x:c r="I1866" t="n">
        <x:v>3.4</x:v>
      </x:c>
      <x:c r="J1866" t="n">
        <x:f>ROUND(F1866*I1866/100,2)</x:f>
        <x:v>5.1</x:v>
      </x:c>
      <x:c r="K1866" t="n">
        <x:v>22</x:v>
      </x:c>
      <x:c r="L1866" t="n">
        <x:f>ROUND(F1866*K1866/100,2)</x:f>
        <x:v>33</x:v>
      </x:c>
      <x:c r="M1866" t="n">
        <x:v>1.5</x:v>
      </x:c>
      <x:c r="N1866" t="n">
        <x:f>ROUND(F1866*M1866/100,2)</x:f>
        <x:v>2.25</x:v>
      </x:c>
      <x:c r="O1866" t="str">
        <x:v>蒸熟净重</x:v>
      </x:c>
    </x:row>
    <x:row r="1867" ht="23" customHeight="1">
      <x:c r="A1867" t="n">
        <x:v>311</x:v>
      </x:c>
      <x:c r="B1867" t="n">
        <x:v>156</x:v>
      </x:c>
      <x:c r="C1867" t="str">
        <x:v>午餐</x:v>
      </x:c>
      <x:c r="D1867" t="str">
        <x:v>油脂</x:v>
      </x:c>
      <x:c r="E1867" t="str">
        <x:v>烹调油</x:v>
      </x:c>
      <x:c r="F1867" t="n">
        <x:v>5</x:v>
      </x:c>
      <x:c r="G1867" t="n">
        <x:v>900</x:v>
      </x:c>
      <x:c r="H1867" t="n">
        <x:f>ROUND(F1867*G1867/100,2)</x:f>
        <x:v>45</x:v>
      </x:c>
      <x:c r="I1867" t="n">
        <x:v>0</x:v>
      </x:c>
      <x:c r="J1867" t="n">
        <x:f>ROUND(F1867*I1867/100,2)</x:f>
        <x:v>0</x:v>
      </x:c>
      <x:c r="K1867" t="n">
        <x:v>0</x:v>
      </x:c>
      <x:c r="L1867" t="n">
        <x:f>ROUND(F1867*K1867/100,2)</x:f>
        <x:v>0</x:v>
      </x:c>
      <x:c r="M1867" t="n">
        <x:v>100</x:v>
      </x:c>
      <x:c r="N1867" t="n">
        <x:f>ROUND(F1867*M1867/100,2)</x:f>
        <x:v>5</x:v>
      </x:c>
      <x:c r="O1867" t="str">
        <x:v>实际用油重</x:v>
      </x:c>
    </x:row>
    <x:row r="1868" ht="23" customHeight="1">
      <x:c r="A1868" t="n">
        <x:v>312</x:v>
      </x:c>
      <x:c r="B1868" t="n">
        <x:v>156</x:v>
      </x:c>
      <x:c r="C1868" t="str">
        <x:v>晚餐</x:v>
      </x:c>
      <x:c r="D1868" t="str">
        <x:v>鱼类</x:v>
      </x:c>
      <x:c r="E1868" t="str">
        <x:v>鲈鱼</x:v>
      </x:c>
      <x:c r="F1868" t="n">
        <x:v>200</x:v>
      </x:c>
      <x:c r="G1868" t="n">
        <x:v>105</x:v>
      </x:c>
      <x:c r="H1868" t="n">
        <x:f>ROUND(F1868*G1868/100,2)</x:f>
        <x:v>210</x:v>
      </x:c>
      <x:c r="I1868" t="n">
        <x:v>19</x:v>
      </x:c>
      <x:c r="J1868" t="n">
        <x:f>ROUND(F1868*I1868/100,2)</x:f>
        <x:v>38</x:v>
      </x:c>
      <x:c r="K1868" t="n">
        <x:v>0</x:v>
      </x:c>
      <x:c r="L1868" t="n">
        <x:f>ROUND(F1868*K1868/100,2)</x:f>
        <x:v>0</x:v>
      </x:c>
      <x:c r="M1868" t="n">
        <x:v>3</x:v>
      </x:c>
      <x:c r="N1868" t="n">
        <x:f>ROUND(F1868*M1868/100,2)</x:f>
        <x:v>6</x:v>
      </x:c>
      <x:c r="O1868" t="str">
        <x:v>净鱼肉生重</x:v>
      </x:c>
    </x:row>
    <x:row r="1869" ht="23" customHeight="1">
      <x:c r="A1869" t="n">
        <x:v>312</x:v>
      </x:c>
      <x:c r="B1869" t="n">
        <x:v>156</x:v>
      </x:c>
      <x:c r="C1869" t="str">
        <x:v>晚餐</x:v>
      </x:c>
      <x:c r="D1869" t="str"/>
      <x:c r="E1869" t="str"/>
      <x:c r="F1869" t="n">
        <x:v>0</x:v>
      </x:c>
      <x:c r="G1869" t="n">
        <x:v>0</x:v>
      </x:c>
      <x:c r="H1869" t="n">
        <x:f>ROUND(F1869*G1869/100,2)</x:f>
        <x:v>0</x:v>
      </x:c>
      <x:c r="I1869" t="n">
        <x:v>0</x:v>
      </x:c>
      <x:c r="J1869" t="n">
        <x:f>ROUND(F1869*I1869/100,2)</x:f>
        <x:v>0</x:v>
      </x:c>
      <x:c r="K1869" t="n">
        <x:v>0</x:v>
      </x:c>
      <x:c r="L1869" t="n">
        <x:f>ROUND(F1869*K1869/100,2)</x:f>
        <x:v>0</x:v>
      </x:c>
      <x:c r="M1869" t="n">
        <x:v>0</x:v>
      </x:c>
      <x:c r="N1869" t="n">
        <x:f>ROUND(F1869*M1869/100,2)</x:f>
        <x:v>0</x:v>
      </x:c>
      <x:c r="O1869" t="str"/>
    </x:row>
    <x:row r="1870" ht="23" customHeight="1">
      <x:c r="A1870" t="n">
        <x:v>312</x:v>
      </x:c>
      <x:c r="B1870" t="n">
        <x:v>156</x:v>
      </x:c>
      <x:c r="C1870" t="str">
        <x:v>晚餐</x:v>
      </x:c>
      <x:c r="D1870" t="str">
        <x:v>蔬菜</x:v>
      </x:c>
      <x:c r="E1870" t="str">
        <x:v>番茄</x:v>
      </x:c>
      <x:c r="F1870" t="n">
        <x:v>190</x:v>
      </x:c>
      <x:c r="G1870" t="n">
        <x:v>20</x:v>
      </x:c>
      <x:c r="H1870" t="n">
        <x:f>ROUND(F1870*G1870/100,2)</x:f>
        <x:v>38</x:v>
      </x:c>
      <x:c r="I1870" t="n">
        <x:v>0.9</x:v>
      </x:c>
      <x:c r="J1870" t="n">
        <x:f>ROUND(F1870*I1870/100,2)</x:f>
        <x:v>1.71</x:v>
      </x:c>
      <x:c r="K1870" t="n">
        <x:v>4</x:v>
      </x:c>
      <x:c r="L1870" t="n">
        <x:f>ROUND(F1870*K1870/100,2)</x:f>
        <x:v>7.6</x:v>
      </x:c>
      <x:c r="M1870" t="n">
        <x:v>0.2</x:v>
      </x:c>
      <x:c r="N1870" t="n">
        <x:f>ROUND(F1870*M1870/100,2)</x:f>
        <x:v>0.38</x:v>
      </x:c>
      <x:c r="O1870" t="str">
        <x:v>生重</x:v>
      </x:c>
    </x:row>
    <x:row r="1871" ht="23" customHeight="1">
      <x:c r="A1871" t="n">
        <x:v>312</x:v>
      </x:c>
      <x:c r="B1871" t="n">
        <x:v>156</x:v>
      </x:c>
      <x:c r="C1871" t="str">
        <x:v>晚餐</x:v>
      </x:c>
      <x:c r="D1871" t="str">
        <x:v>蔬菜</x:v>
      </x:c>
      <x:c r="E1871" t="str">
        <x:v>菜心</x:v>
      </x:c>
      <x:c r="F1871" t="n">
        <x:v>110</x:v>
      </x:c>
      <x:c r="G1871" t="n">
        <x:v>20</x:v>
      </x:c>
      <x:c r="H1871" t="n">
        <x:f>ROUND(F1871*G1871/100,2)</x:f>
        <x:v>22</x:v>
      </x:c>
      <x:c r="I1871" t="n">
        <x:v>2</x:v>
      </x:c>
      <x:c r="J1871" t="n">
        <x:f>ROUND(F1871*I1871/100,2)</x:f>
        <x:v>2.2</x:v>
      </x:c>
      <x:c r="K1871" t="n">
        <x:v>3.5</x:v>
      </x:c>
      <x:c r="L1871" t="n">
        <x:f>ROUND(F1871*K1871/100,2)</x:f>
        <x:v>3.85</x:v>
      </x:c>
      <x:c r="M1871" t="n">
        <x:v>0.3</x:v>
      </x:c>
      <x:c r="N1871" t="n">
        <x:f>ROUND(F1871*M1871/100,2)</x:f>
        <x:v>0.33</x:v>
      </x:c>
      <x:c r="O1871" t="str">
        <x:v>生重</x:v>
      </x:c>
    </x:row>
    <x:row r="1872" ht="23" customHeight="1">
      <x:c r="A1872" t="n">
        <x:v>312</x:v>
      </x:c>
      <x:c r="B1872" t="n">
        <x:v>156</x:v>
      </x:c>
      <x:c r="C1872" t="str">
        <x:v>晚餐</x:v>
      </x:c>
      <x:c r="D1872" t="str">
        <x:v>主食</x:v>
      </x:c>
      <x:c r="E1872" t="str">
        <x:v>土豆</x:v>
      </x:c>
      <x:c r="F1872" t="n">
        <x:v>95</x:v>
      </x:c>
      <x:c r="G1872" t="n">
        <x:v>78</x:v>
      </x:c>
      <x:c r="H1872" t="n">
        <x:f>ROUND(F1872*G1872/100,2)</x:f>
        <x:v>74.1</x:v>
      </x:c>
      <x:c r="I1872" t="n">
        <x:v>2</x:v>
      </x:c>
      <x:c r="J1872" t="n">
        <x:f>ROUND(F1872*I1872/100,2)</x:f>
        <x:v>1.9</x:v>
      </x:c>
      <x:c r="K1872" t="n">
        <x:v>17.2</x:v>
      </x:c>
      <x:c r="L1872" t="n">
        <x:f>ROUND(F1872*K1872/100,2)</x:f>
        <x:v>16.34</x:v>
      </x:c>
      <x:c r="M1872" t="n">
        <x:v>0.1</x:v>
      </x:c>
      <x:c r="N1872" t="n">
        <x:f>ROUND(F1872*M1872/100,2)</x:f>
        <x:v>0.1</x:v>
      </x:c>
      <x:c r="O1872" t="str">
        <x:v>蒸熟净重</x:v>
      </x:c>
    </x:row>
    <x:row r="1873" ht="23" customHeight="1">
      <x:c r="A1873" t="n">
        <x:v>312</x:v>
      </x:c>
      <x:c r="B1873" t="n">
        <x:v>156</x:v>
      </x:c>
      <x:c r="C1873" t="str">
        <x:v>晚餐</x:v>
      </x:c>
      <x:c r="D1873" t="str">
        <x:v>油脂</x:v>
      </x:c>
      <x:c r="E1873" t="str">
        <x:v>烹调油</x:v>
      </x:c>
      <x:c r="F1873" t="n">
        <x:v>3</x:v>
      </x:c>
      <x:c r="G1873" t="n">
        <x:v>900</x:v>
      </x:c>
      <x:c r="H1873" t="n">
        <x:f>ROUND(F1873*G1873/100,2)</x:f>
        <x:v>27</x:v>
      </x:c>
      <x:c r="I1873" t="n">
        <x:v>0</x:v>
      </x:c>
      <x:c r="J1873" t="n">
        <x:f>ROUND(F1873*I1873/100,2)</x:f>
        <x:v>0</x:v>
      </x:c>
      <x:c r="K1873" t="n">
        <x:v>0</x:v>
      </x:c>
      <x:c r="L1873" t="n">
        <x:f>ROUND(F1873*K1873/100,2)</x:f>
        <x:v>0</x:v>
      </x:c>
      <x:c r="M1873" t="n">
        <x:v>100</x:v>
      </x:c>
      <x:c r="N1873" t="n">
        <x:f>ROUND(F1873*M1873/100,2)</x:f>
        <x:v>3</x:v>
      </x:c>
      <x:c r="O1873" t="str">
        <x:v>实际用油重</x:v>
      </x:c>
    </x:row>
    <x:row r="1874" ht="23" customHeight="1">
      <x:c r="A1874" t="n">
        <x:v>313</x:v>
      </x:c>
      <x:c r="B1874" t="n">
        <x:v>157</x:v>
      </x:c>
      <x:c r="C1874" t="str">
        <x:v>午餐</x:v>
      </x:c>
      <x:c r="D1874" t="str">
        <x:v>鱼类</x:v>
      </x:c>
      <x:c r="E1874" t="str">
        <x:v>巴沙鱼</x:v>
      </x:c>
      <x:c r="F1874" t="n">
        <x:v>185</x:v>
      </x:c>
      <x:c r="G1874" t="n">
        <x:v>90</x:v>
      </x:c>
      <x:c r="H1874" t="n">
        <x:f>ROUND(F1874*G1874/100,2)</x:f>
        <x:v>166.5</x:v>
      </x:c>
      <x:c r="I1874" t="n">
        <x:v>17</x:v>
      </x:c>
      <x:c r="J1874" t="n">
        <x:f>ROUND(F1874*I1874/100,2)</x:f>
        <x:v>31.45</x:v>
      </x:c>
      <x:c r="K1874" t="n">
        <x:v>0</x:v>
      </x:c>
      <x:c r="L1874" t="n">
        <x:f>ROUND(F1874*K1874/100,2)</x:f>
        <x:v>0</x:v>
      </x:c>
      <x:c r="M1874" t="n">
        <x:v>2.3</x:v>
      </x:c>
      <x:c r="N1874" t="n">
        <x:f>ROUND(F1874*M1874/100,2)</x:f>
        <x:v>4.25</x:v>
      </x:c>
      <x:c r="O1874" t="str">
        <x:v>净鱼肉生重</x:v>
      </x:c>
    </x:row>
    <x:row r="1875" ht="23" customHeight="1">
      <x:c r="A1875" t="n">
        <x:v>313</x:v>
      </x:c>
      <x:c r="B1875" t="n">
        <x:v>157</x:v>
      </x:c>
      <x:c r="C1875" t="str">
        <x:v>午餐</x:v>
      </x:c>
      <x:c r="D1875" t="str"/>
      <x:c r="E1875" t="str"/>
      <x:c r="F1875" t="n">
        <x:v>0</x:v>
      </x:c>
      <x:c r="G1875" t="n">
        <x:v>0</x:v>
      </x:c>
      <x:c r="H1875" t="n">
        <x:f>ROUND(F1875*G1875/100,2)</x:f>
        <x:v>0</x:v>
      </x:c>
      <x:c r="I1875" t="n">
        <x:v>0</x:v>
      </x:c>
      <x:c r="J1875" t="n">
        <x:f>ROUND(F1875*I1875/100,2)</x:f>
        <x:v>0</x:v>
      </x:c>
      <x:c r="K1875" t="n">
        <x:v>0</x:v>
      </x:c>
      <x:c r="L1875" t="n">
        <x:f>ROUND(F1875*K1875/100,2)</x:f>
        <x:v>0</x:v>
      </x:c>
      <x:c r="M1875" t="n">
        <x:v>0</x:v>
      </x:c>
      <x:c r="N1875" t="n">
        <x:f>ROUND(F1875*M1875/100,2)</x:f>
        <x:v>0</x:v>
      </x:c>
      <x:c r="O1875" t="str"/>
    </x:row>
    <x:row r="1876" ht="23" customHeight="1">
      <x:c r="A1876" t="n">
        <x:v>313</x:v>
      </x:c>
      <x:c r="B1876" t="n">
        <x:v>157</x:v>
      </x:c>
      <x:c r="C1876" t="str">
        <x:v>午餐</x:v>
      </x:c>
      <x:c r="D1876" t="str">
        <x:v>蔬菜</x:v>
      </x:c>
      <x:c r="E1876" t="str">
        <x:v>四季豆</x:v>
      </x:c>
      <x:c r="F1876" t="n">
        <x:v>175</x:v>
      </x:c>
      <x:c r="G1876" t="n">
        <x:v>31</x:v>
      </x:c>
      <x:c r="H1876" t="n">
        <x:f>ROUND(F1876*G1876/100,2)</x:f>
        <x:v>54.25</x:v>
      </x:c>
      <x:c r="I1876" t="n">
        <x:v>1.8</x:v>
      </x:c>
      <x:c r="J1876" t="n">
        <x:f>ROUND(F1876*I1876/100,2)</x:f>
        <x:v>3.15</x:v>
      </x:c>
      <x:c r="K1876" t="n">
        <x:v>7</x:v>
      </x:c>
      <x:c r="L1876" t="n">
        <x:f>ROUND(F1876*K1876/100,2)</x:f>
        <x:v>12.25</x:v>
      </x:c>
      <x:c r="M1876" t="n">
        <x:v>0.1</x:v>
      </x:c>
      <x:c r="N1876" t="n">
        <x:f>ROUND(F1876*M1876/100,2)</x:f>
        <x:v>0.18</x:v>
      </x:c>
      <x:c r="O1876" t="str">
        <x:v>生重</x:v>
      </x:c>
    </x:row>
    <x:row r="1877" ht="23" customHeight="1">
      <x:c r="A1877" t="n">
        <x:v>313</x:v>
      </x:c>
      <x:c r="B1877" t="n">
        <x:v>157</x:v>
      </x:c>
      <x:c r="C1877" t="str">
        <x:v>午餐</x:v>
      </x:c>
      <x:c r="D1877" t="str">
        <x:v>蔬菜</x:v>
      </x:c>
      <x:c r="E1877" t="str">
        <x:v>紫甘蓝</x:v>
      </x:c>
      <x:c r="F1877" t="n">
        <x:v>125</x:v>
      </x:c>
      <x:c r="G1877" t="n">
        <x:v>31</x:v>
      </x:c>
      <x:c r="H1877" t="n">
        <x:f>ROUND(F1877*G1877/100,2)</x:f>
        <x:v>38.75</x:v>
      </x:c>
      <x:c r="I1877" t="n">
        <x:v>1.4</x:v>
      </x:c>
      <x:c r="J1877" t="n">
        <x:f>ROUND(F1877*I1877/100,2)</x:f>
        <x:v>1.75</x:v>
      </x:c>
      <x:c r="K1877" t="n">
        <x:v>7.3</x:v>
      </x:c>
      <x:c r="L1877" t="n">
        <x:f>ROUND(F1877*K1877/100,2)</x:f>
        <x:v>9.13</x:v>
      </x:c>
      <x:c r="M1877" t="n">
        <x:v>0.1</x:v>
      </x:c>
      <x:c r="N1877" t="n">
        <x:f>ROUND(F1877*M1877/100,2)</x:f>
        <x:v>0.13</x:v>
      </x:c>
      <x:c r="O1877" t="str">
        <x:v>生重</x:v>
      </x:c>
    </x:row>
    <x:row r="1878" ht="23" customHeight="1">
      <x:c r="A1878" t="n">
        <x:v>313</x:v>
      </x:c>
      <x:c r="B1878" t="n">
        <x:v>157</x:v>
      </x:c>
      <x:c r="C1878" t="str">
        <x:v>午餐</x:v>
      </x:c>
      <x:c r="D1878" t="str">
        <x:v>主食</x:v>
      </x:c>
      <x:c r="E1878" t="str">
        <x:v>乌冬面</x:v>
      </x:c>
      <x:c r="F1878" t="n">
        <x:v>125</x:v>
      </x:c>
      <x:c r="G1878" t="n">
        <x:v>120</x:v>
      </x:c>
      <x:c r="H1878" t="n">
        <x:f>ROUND(F1878*G1878/100,2)</x:f>
        <x:v>150</x:v>
      </x:c>
      <x:c r="I1878" t="n">
        <x:v>2.5</x:v>
      </x:c>
      <x:c r="J1878" t="n">
        <x:f>ROUND(F1878*I1878/100,2)</x:f>
        <x:v>3.13</x:v>
      </x:c>
      <x:c r="K1878" t="n">
        <x:v>25</x:v>
      </x:c>
      <x:c r="L1878" t="n">
        <x:f>ROUND(F1878*K1878/100,2)</x:f>
        <x:v>31.25</x:v>
      </x:c>
      <x:c r="M1878" t="n">
        <x:v>0.6</x:v>
      </x:c>
      <x:c r="N1878" t="n">
        <x:f>ROUND(F1878*M1878/100,2)</x:f>
        <x:v>0.75</x:v>
      </x:c>
      <x:c r="O1878" t="str">
        <x:v>煮熟沥水重</x:v>
      </x:c>
    </x:row>
    <x:row r="1879" ht="23" customHeight="1">
      <x:c r="A1879" t="n">
        <x:v>313</x:v>
      </x:c>
      <x:c r="B1879" t="n">
        <x:v>157</x:v>
      </x:c>
      <x:c r="C1879" t="str">
        <x:v>午餐</x:v>
      </x:c>
      <x:c r="D1879" t="str">
        <x:v>油脂</x:v>
      </x:c>
      <x:c r="E1879" t="str">
        <x:v>烹调油</x:v>
      </x:c>
      <x:c r="F1879" t="n">
        <x:v>3</x:v>
      </x:c>
      <x:c r="G1879" t="n">
        <x:v>900</x:v>
      </x:c>
      <x:c r="H1879" t="n">
        <x:f>ROUND(F1879*G1879/100,2)</x:f>
        <x:v>27</x:v>
      </x:c>
      <x:c r="I1879" t="n">
        <x:v>0</x:v>
      </x:c>
      <x:c r="J1879" t="n">
        <x:f>ROUND(F1879*I1879/100,2)</x:f>
        <x:v>0</x:v>
      </x:c>
      <x:c r="K1879" t="n">
        <x:v>0</x:v>
      </x:c>
      <x:c r="L1879" t="n">
        <x:f>ROUND(F1879*K1879/100,2)</x:f>
        <x:v>0</x:v>
      </x:c>
      <x:c r="M1879" t="n">
        <x:v>100</x:v>
      </x:c>
      <x:c r="N1879" t="n">
        <x:f>ROUND(F1879*M1879/100,2)</x:f>
        <x:v>3</x:v>
      </x:c>
      <x:c r="O1879" t="str">
        <x:v>实际用油重</x:v>
      </x:c>
    </x:row>
    <x:row r="1880" ht="23" customHeight="1">
      <x:c r="A1880" t="n">
        <x:v>314</x:v>
      </x:c>
      <x:c r="B1880" t="n">
        <x:v>157</x:v>
      </x:c>
      <x:c r="C1880" t="str">
        <x:v>晚餐</x:v>
      </x:c>
      <x:c r="D1880" t="str">
        <x:v>海鲜</x:v>
      </x:c>
      <x:c r="E1880" t="str">
        <x:v>虾仁</x:v>
      </x:c>
      <x:c r="F1880" t="n">
        <x:v>190</x:v>
      </x:c>
      <x:c r="G1880" t="n">
        <x:v>90</x:v>
      </x:c>
      <x:c r="H1880" t="n">
        <x:f>ROUND(F1880*G1880/100,2)</x:f>
        <x:v>171</x:v>
      </x:c>
      <x:c r="I1880" t="n">
        <x:v>19</x:v>
      </x:c>
      <x:c r="J1880" t="n">
        <x:f>ROUND(F1880*I1880/100,2)</x:f>
        <x:v>36.1</x:v>
      </x:c>
      <x:c r="K1880" t="n">
        <x:v>0.4</x:v>
      </x:c>
      <x:c r="L1880" t="n">
        <x:f>ROUND(F1880*K1880/100,2)</x:f>
        <x:v>0.76</x:v>
      </x:c>
      <x:c r="M1880" t="n">
        <x:v>1.1</x:v>
      </x:c>
      <x:c r="N1880" t="n">
        <x:f>ROUND(F1880*M1880/100,2)</x:f>
        <x:v>2.09</x:v>
      </x:c>
      <x:c r="O1880" t="str">
        <x:v>生重</x:v>
      </x:c>
    </x:row>
    <x:row r="1881" ht="23" customHeight="1">
      <x:c r="A1881" t="n">
        <x:v>314</x:v>
      </x:c>
      <x:c r="B1881" t="n">
        <x:v>157</x:v>
      </x:c>
      <x:c r="C1881" t="str">
        <x:v>晚餐</x:v>
      </x:c>
      <x:c r="D1881" t="str">
        <x:v>豆蛋</x:v>
      </x:c>
      <x:c r="E1881" t="str">
        <x:v>熟毛豆仁</x:v>
      </x:c>
      <x:c r="F1881" t="n">
        <x:v>70</x:v>
      </x:c>
      <x:c r="G1881" t="n">
        <x:v>120</x:v>
      </x:c>
      <x:c r="H1881" t="n">
        <x:f>ROUND(F1881*G1881/100,2)</x:f>
        <x:v>84</x:v>
      </x:c>
      <x:c r="I1881" t="n">
        <x:v>12</x:v>
      </x:c>
      <x:c r="J1881" t="n">
        <x:f>ROUND(F1881*I1881/100,2)</x:f>
        <x:v>8.4</x:v>
      </x:c>
      <x:c r="K1881" t="n">
        <x:v>9</x:v>
      </x:c>
      <x:c r="L1881" t="n">
        <x:f>ROUND(F1881*K1881/100,2)</x:f>
        <x:v>6.3</x:v>
      </x:c>
      <x:c r="M1881" t="n">
        <x:v>5</x:v>
      </x:c>
      <x:c r="N1881" t="n">
        <x:f>ROUND(F1881*M1881/100,2)</x:f>
        <x:v>3.5</x:v>
      </x:c>
      <x:c r="O1881" t="str">
        <x:v>熟重</x:v>
      </x:c>
    </x:row>
    <x:row r="1882" ht="23" customHeight="1">
      <x:c r="A1882" t="n">
        <x:v>314</x:v>
      </x:c>
      <x:c r="B1882" t="n">
        <x:v>157</x:v>
      </x:c>
      <x:c r="C1882" t="str">
        <x:v>晚餐</x:v>
      </x:c>
      <x:c r="D1882" t="str">
        <x:v>蔬菜</x:v>
      </x:c>
      <x:c r="E1882" t="str">
        <x:v>紫甘蓝</x:v>
      </x:c>
      <x:c r="F1882" t="n">
        <x:v>140</x:v>
      </x:c>
      <x:c r="G1882" t="n">
        <x:v>31</x:v>
      </x:c>
      <x:c r="H1882" t="n">
        <x:f>ROUND(F1882*G1882/100,2)</x:f>
        <x:v>43.4</x:v>
      </x:c>
      <x:c r="I1882" t="n">
        <x:v>1.4</x:v>
      </x:c>
      <x:c r="J1882" t="n">
        <x:f>ROUND(F1882*I1882/100,2)</x:f>
        <x:v>1.96</x:v>
      </x:c>
      <x:c r="K1882" t="n">
        <x:v>7.3</x:v>
      </x:c>
      <x:c r="L1882" t="n">
        <x:f>ROUND(F1882*K1882/100,2)</x:f>
        <x:v>10.22</x:v>
      </x:c>
      <x:c r="M1882" t="n">
        <x:v>0.1</x:v>
      </x:c>
      <x:c r="N1882" t="n">
        <x:f>ROUND(F1882*M1882/100,2)</x:f>
        <x:v>0.14</x:v>
      </x:c>
      <x:c r="O1882" t="str">
        <x:v>生重</x:v>
      </x:c>
    </x:row>
    <x:row r="1883" ht="23" customHeight="1">
      <x:c r="A1883" t="n">
        <x:v>314</x:v>
      </x:c>
      <x:c r="B1883" t="n">
        <x:v>157</x:v>
      </x:c>
      <x:c r="C1883" t="str">
        <x:v>晚餐</x:v>
      </x:c>
      <x:c r="D1883" t="str">
        <x:v>蔬菜</x:v>
      </x:c>
      <x:c r="E1883" t="str">
        <x:v>小白菜</x:v>
      </x:c>
      <x:c r="F1883" t="n">
        <x:v>155</x:v>
      </x:c>
      <x:c r="G1883" t="n">
        <x:v>17</x:v>
      </x:c>
      <x:c r="H1883" t="n">
        <x:f>ROUND(F1883*G1883/100,2)</x:f>
        <x:v>26.35</x:v>
      </x:c>
      <x:c r="I1883" t="n">
        <x:v>1.6</x:v>
      </x:c>
      <x:c r="J1883" t="n">
        <x:f>ROUND(F1883*I1883/100,2)</x:f>
        <x:v>2.48</x:v>
      </x:c>
      <x:c r="K1883" t="n">
        <x:v>2.8</x:v>
      </x:c>
      <x:c r="L1883" t="n">
        <x:f>ROUND(F1883*K1883/100,2)</x:f>
        <x:v>4.34</x:v>
      </x:c>
      <x:c r="M1883" t="n">
        <x:v>0.2</x:v>
      </x:c>
      <x:c r="N1883" t="n">
        <x:f>ROUND(F1883*M1883/100,2)</x:f>
        <x:v>0.31</x:v>
      </x:c>
      <x:c r="O1883" t="str">
        <x:v>生重</x:v>
      </x:c>
    </x:row>
    <x:row r="1884" ht="23" customHeight="1">
      <x:c r="A1884" t="n">
        <x:v>314</x:v>
      </x:c>
      <x:c r="B1884" t="n">
        <x:v>157</x:v>
      </x:c>
      <x:c r="C1884" t="str">
        <x:v>晚餐</x:v>
      </x:c>
      <x:c r="D1884" t="str">
        <x:v>主食</x:v>
      </x:c>
      <x:c r="E1884" t="str">
        <x:v>杂粮饭</x:v>
      </x:c>
      <x:c r="F1884" t="n">
        <x:v>135</x:v>
      </x:c>
      <x:c r="G1884" t="n">
        <x:v>115</x:v>
      </x:c>
      <x:c r="H1884" t="n">
        <x:f>ROUND(F1884*G1884/100,2)</x:f>
        <x:v>155.25</x:v>
      </x:c>
      <x:c r="I1884" t="n">
        <x:v>3.1</x:v>
      </x:c>
      <x:c r="J1884" t="n">
        <x:f>ROUND(F1884*I1884/100,2)</x:f>
        <x:v>4.18</x:v>
      </x:c>
      <x:c r="K1884" t="n">
        <x:v>23.5</x:v>
      </x:c>
      <x:c r="L1884" t="n">
        <x:f>ROUND(F1884*K1884/100,2)</x:f>
        <x:v>31.73</x:v>
      </x:c>
      <x:c r="M1884" t="n">
        <x:v>1.1</x:v>
      </x:c>
      <x:c r="N1884" t="n">
        <x:f>ROUND(F1884*M1884/100,2)</x:f>
        <x:v>1.49</x:v>
      </x:c>
      <x:c r="O1884" t="str">
        <x:v>熟重</x:v>
      </x:c>
    </x:row>
    <x:row r="1885" ht="23" customHeight="1">
      <x:c r="A1885" t="n">
        <x:v>314</x:v>
      </x:c>
      <x:c r="B1885" t="n">
        <x:v>157</x:v>
      </x:c>
      <x:c r="C1885" t="str">
        <x:v>晚餐</x:v>
      </x:c>
      <x:c r="D1885" t="str">
        <x:v>油脂</x:v>
      </x:c>
      <x:c r="E1885" t="str">
        <x:v>烹调油</x:v>
      </x:c>
      <x:c r="F1885" t="n">
        <x:v>4</x:v>
      </x:c>
      <x:c r="G1885" t="n">
        <x:v>900</x:v>
      </x:c>
      <x:c r="H1885" t="n">
        <x:f>ROUND(F1885*G1885/100,2)</x:f>
        <x:v>36</x:v>
      </x:c>
      <x:c r="I1885" t="n">
        <x:v>0</x:v>
      </x:c>
      <x:c r="J1885" t="n">
        <x:f>ROUND(F1885*I1885/100,2)</x:f>
        <x:v>0</x:v>
      </x:c>
      <x:c r="K1885" t="n">
        <x:v>0</x:v>
      </x:c>
      <x:c r="L1885" t="n">
        <x:f>ROUND(F1885*K1885/100,2)</x:f>
        <x:v>0</x:v>
      </x:c>
      <x:c r="M1885" t="n">
        <x:v>100</x:v>
      </x:c>
      <x:c r="N1885" t="n">
        <x:f>ROUND(F1885*M1885/100,2)</x:f>
        <x:v>4</x:v>
      </x:c>
      <x:c r="O1885" t="str">
        <x:v>实际用油重</x:v>
      </x:c>
    </x:row>
    <x:row r="1886" ht="23" customHeight="1">
      <x:c r="A1886" t="n">
        <x:v>315</x:v>
      </x:c>
      <x:c r="B1886" t="n">
        <x:v>158</x:v>
      </x:c>
      <x:c r="C1886" t="str">
        <x:v>午餐</x:v>
      </x:c>
      <x:c r="D1886" t="str">
        <x:v>禽肉</x:v>
      </x:c>
      <x:c r="E1886" t="str">
        <x:v>鸡胸肉</x:v>
      </x:c>
      <x:c r="F1886" t="n">
        <x:v>185</x:v>
      </x:c>
      <x:c r="G1886" t="n">
        <x:v>110</x:v>
      </x:c>
      <x:c r="H1886" t="n">
        <x:f>ROUND(F1886*G1886/100,2)</x:f>
        <x:v>203.5</x:v>
      </x:c>
      <x:c r="I1886" t="n">
        <x:v>23</x:v>
      </x:c>
      <x:c r="J1886" t="n">
        <x:f>ROUND(F1886*I1886/100,2)</x:f>
        <x:v>42.55</x:v>
      </x:c>
      <x:c r="K1886" t="n">
        <x:v>0</x:v>
      </x:c>
      <x:c r="L1886" t="n">
        <x:f>ROUND(F1886*K1886/100,2)</x:f>
        <x:v>0</x:v>
      </x:c>
      <x:c r="M1886" t="n">
        <x:v>2</x:v>
      </x:c>
      <x:c r="N1886" t="n">
        <x:f>ROUND(F1886*M1886/100,2)</x:f>
        <x:v>3.7</x:v>
      </x:c>
      <x:c r="O1886" t="str">
        <x:v>生重</x:v>
      </x:c>
    </x:row>
    <x:row r="1887" ht="23" customHeight="1">
      <x:c r="A1887" t="n">
        <x:v>315</x:v>
      </x:c>
      <x:c r="B1887" t="n">
        <x:v>158</x:v>
      </x:c>
      <x:c r="C1887" t="str">
        <x:v>午餐</x:v>
      </x:c>
      <x:c r="D1887" t="str">
        <x:v>豆蛋</x:v>
      </x:c>
      <x:c r="E1887" t="str">
        <x:v>熟毛豆仁</x:v>
      </x:c>
      <x:c r="F1887" t="n">
        <x:v>70</x:v>
      </x:c>
      <x:c r="G1887" t="n">
        <x:v>120</x:v>
      </x:c>
      <x:c r="H1887" t="n">
        <x:f>ROUND(F1887*G1887/100,2)</x:f>
        <x:v>84</x:v>
      </x:c>
      <x:c r="I1887" t="n">
        <x:v>12</x:v>
      </x:c>
      <x:c r="J1887" t="n">
        <x:f>ROUND(F1887*I1887/100,2)</x:f>
        <x:v>8.4</x:v>
      </x:c>
      <x:c r="K1887" t="n">
        <x:v>9</x:v>
      </x:c>
      <x:c r="L1887" t="n">
        <x:f>ROUND(F1887*K1887/100,2)</x:f>
        <x:v>6.3</x:v>
      </x:c>
      <x:c r="M1887" t="n">
        <x:v>5</x:v>
      </x:c>
      <x:c r="N1887" t="n">
        <x:f>ROUND(F1887*M1887/100,2)</x:f>
        <x:v>3.5</x:v>
      </x:c>
      <x:c r="O1887" t="str">
        <x:v>熟重</x:v>
      </x:c>
    </x:row>
    <x:row r="1888" ht="23" customHeight="1">
      <x:c r="A1888" t="n">
        <x:v>315</x:v>
      </x:c>
      <x:c r="B1888" t="n">
        <x:v>158</x:v>
      </x:c>
      <x:c r="C1888" t="str">
        <x:v>午餐</x:v>
      </x:c>
      <x:c r="D1888" t="str">
        <x:v>蔬菜</x:v>
      </x:c>
      <x:c r="E1888" t="str">
        <x:v>西兰花</x:v>
      </x:c>
      <x:c r="F1888" t="n">
        <x:v>190</x:v>
      </x:c>
      <x:c r="G1888" t="n">
        <x:v>34</x:v>
      </x:c>
      <x:c r="H1888" t="n">
        <x:f>ROUND(F1888*G1888/100,2)</x:f>
        <x:v>64.6</x:v>
      </x:c>
      <x:c r="I1888" t="n">
        <x:v>2.8</x:v>
      </x:c>
      <x:c r="J1888" t="n">
        <x:f>ROUND(F1888*I1888/100,2)</x:f>
        <x:v>5.32</x:v>
      </x:c>
      <x:c r="K1888" t="n">
        <x:v>7</x:v>
      </x:c>
      <x:c r="L1888" t="n">
        <x:f>ROUND(F1888*K1888/100,2)</x:f>
        <x:v>13.3</x:v>
      </x:c>
      <x:c r="M1888" t="n">
        <x:v>0.4</x:v>
      </x:c>
      <x:c r="N1888" t="n">
        <x:f>ROUND(F1888*M1888/100,2)</x:f>
        <x:v>0.76</x:v>
      </x:c>
      <x:c r="O1888" t="str">
        <x:v>生重</x:v>
      </x:c>
    </x:row>
    <x:row r="1889" ht="23" customHeight="1">
      <x:c r="A1889" t="n">
        <x:v>315</x:v>
      </x:c>
      <x:c r="B1889" t="n">
        <x:v>158</x:v>
      </x:c>
      <x:c r="C1889" t="str">
        <x:v>午餐</x:v>
      </x:c>
      <x:c r="D1889" t="str">
        <x:v>蔬菜</x:v>
      </x:c>
      <x:c r="E1889" t="str">
        <x:v>冬瓜</x:v>
      </x:c>
      <x:c r="F1889" t="n">
        <x:v>110</x:v>
      </x:c>
      <x:c r="G1889" t="n">
        <x:v>13</x:v>
      </x:c>
      <x:c r="H1889" t="n">
        <x:f>ROUND(F1889*G1889/100,2)</x:f>
        <x:v>14.3</x:v>
      </x:c>
      <x:c r="I1889" t="n">
        <x:v>0.4</x:v>
      </x:c>
      <x:c r="J1889" t="n">
        <x:f>ROUND(F1889*I1889/100,2)</x:f>
        <x:v>0.44</x:v>
      </x:c>
      <x:c r="K1889" t="n">
        <x:v>3</x:v>
      </x:c>
      <x:c r="L1889" t="n">
        <x:f>ROUND(F1889*K1889/100,2)</x:f>
        <x:v>3.3</x:v>
      </x:c>
      <x:c r="M1889" t="n">
        <x:v>0.2</x:v>
      </x:c>
      <x:c r="N1889" t="n">
        <x:f>ROUND(F1889*M1889/100,2)</x:f>
        <x:v>0.22</x:v>
      </x:c>
      <x:c r="O1889" t="str">
        <x:v>生重</x:v>
      </x:c>
    </x:row>
    <x:row r="1890" ht="23" customHeight="1">
      <x:c r="A1890" t="n">
        <x:v>315</x:v>
      </x:c>
      <x:c r="B1890" t="n">
        <x:v>158</x:v>
      </x:c>
      <x:c r="C1890" t="str">
        <x:v>午餐</x:v>
      </x:c>
      <x:c r="D1890" t="str">
        <x:v>主食</x:v>
      </x:c>
      <x:c r="E1890" t="str">
        <x:v>杂粮饭</x:v>
      </x:c>
      <x:c r="F1890" t="n">
        <x:v>165</x:v>
      </x:c>
      <x:c r="G1890" t="n">
        <x:v>115</x:v>
      </x:c>
      <x:c r="H1890" t="n">
        <x:f>ROUND(F1890*G1890/100,2)</x:f>
        <x:v>189.75</x:v>
      </x:c>
      <x:c r="I1890" t="n">
        <x:v>3.1</x:v>
      </x:c>
      <x:c r="J1890" t="n">
        <x:f>ROUND(F1890*I1890/100,2)</x:f>
        <x:v>5.12</x:v>
      </x:c>
      <x:c r="K1890" t="n">
        <x:v>23.5</x:v>
      </x:c>
      <x:c r="L1890" t="n">
        <x:f>ROUND(F1890*K1890/100,2)</x:f>
        <x:v>38.78</x:v>
      </x:c>
      <x:c r="M1890" t="n">
        <x:v>1.1</x:v>
      </x:c>
      <x:c r="N1890" t="n">
        <x:f>ROUND(F1890*M1890/100,2)</x:f>
        <x:v>1.82</x:v>
      </x:c>
      <x:c r="O1890" t="str">
        <x:v>熟重</x:v>
      </x:c>
    </x:row>
    <x:row r="1891" ht="23" customHeight="1">
      <x:c r="A1891" t="n">
        <x:v>315</x:v>
      </x:c>
      <x:c r="B1891" t="n">
        <x:v>158</x:v>
      </x:c>
      <x:c r="C1891" t="str">
        <x:v>午餐</x:v>
      </x:c>
      <x:c r="D1891" t="str">
        <x:v>油脂</x:v>
      </x:c>
      <x:c r="E1891" t="str">
        <x:v>烹调油</x:v>
      </x:c>
      <x:c r="F1891" t="n">
        <x:v>5</x:v>
      </x:c>
      <x:c r="G1891" t="n">
        <x:v>900</x:v>
      </x:c>
      <x:c r="H1891" t="n">
        <x:f>ROUND(F1891*G1891/100,2)</x:f>
        <x:v>45</x:v>
      </x:c>
      <x:c r="I1891" t="n">
        <x:v>0</x:v>
      </x:c>
      <x:c r="J1891" t="n">
        <x:f>ROUND(F1891*I1891/100,2)</x:f>
        <x:v>0</x:v>
      </x:c>
      <x:c r="K1891" t="n">
        <x:v>0</x:v>
      </x:c>
      <x:c r="L1891" t="n">
        <x:f>ROUND(F1891*K1891/100,2)</x:f>
        <x:v>0</x:v>
      </x:c>
      <x:c r="M1891" t="n">
        <x:v>100</x:v>
      </x:c>
      <x:c r="N1891" t="n">
        <x:f>ROUND(F1891*M1891/100,2)</x:f>
        <x:v>5</x:v>
      </x:c>
      <x:c r="O1891" t="str">
        <x:v>实际用油重</x:v>
      </x:c>
    </x:row>
    <x:row r="1892" ht="23" customHeight="1">
      <x:c r="A1892" t="n">
        <x:v>316</x:v>
      </x:c>
      <x:c r="B1892" t="n">
        <x:v>158</x:v>
      </x:c>
      <x:c r="C1892" t="str">
        <x:v>晚餐</x:v>
      </x:c>
      <x:c r="D1892" t="str">
        <x:v>牛肉</x:v>
      </x:c>
      <x:c r="E1892" t="str">
        <x:v>牛里脊</x:v>
      </x:c>
      <x:c r="F1892" t="n">
        <x:v>170</x:v>
      </x:c>
      <x:c r="G1892" t="n">
        <x:v>130</x:v>
      </x:c>
      <x:c r="H1892" t="n">
        <x:f>ROUND(F1892*G1892/100,2)</x:f>
        <x:v>221</x:v>
      </x:c>
      <x:c r="I1892" t="n">
        <x:v>21</x:v>
      </x:c>
      <x:c r="J1892" t="n">
        <x:f>ROUND(F1892*I1892/100,2)</x:f>
        <x:v>35.7</x:v>
      </x:c>
      <x:c r="K1892" t="n">
        <x:v>0</x:v>
      </x:c>
      <x:c r="L1892" t="n">
        <x:f>ROUND(F1892*K1892/100,2)</x:f>
        <x:v>0</x:v>
      </x:c>
      <x:c r="M1892" t="n">
        <x:v>4.8</x:v>
      </x:c>
      <x:c r="N1892" t="n">
        <x:f>ROUND(F1892*M1892/100,2)</x:f>
        <x:v>8.16</x:v>
      </x:c>
      <x:c r="O1892" t="str">
        <x:v>生重</x:v>
      </x:c>
    </x:row>
    <x:row r="1893" ht="23" customHeight="1">
      <x:c r="A1893" t="n">
        <x:v>316</x:v>
      </x:c>
      <x:c r="B1893" t="n">
        <x:v>158</x:v>
      </x:c>
      <x:c r="C1893" t="str">
        <x:v>晚餐</x:v>
      </x:c>
      <x:c r="D1893" t="str"/>
      <x:c r="E1893" t="str"/>
      <x:c r="F1893" t="n">
        <x:v>0</x:v>
      </x:c>
      <x:c r="G1893" t="n">
        <x:v>0</x:v>
      </x:c>
      <x:c r="H1893" t="n">
        <x:f>ROUND(F1893*G1893/100,2)</x:f>
        <x:v>0</x:v>
      </x:c>
      <x:c r="I1893" t="n">
        <x:v>0</x:v>
      </x:c>
      <x:c r="J1893" t="n">
        <x:f>ROUND(F1893*I1893/100,2)</x:f>
        <x:v>0</x:v>
      </x:c>
      <x:c r="K1893" t="n">
        <x:v>0</x:v>
      </x:c>
      <x:c r="L1893" t="n">
        <x:f>ROUND(F1893*K1893/100,2)</x:f>
        <x:v>0</x:v>
      </x:c>
      <x:c r="M1893" t="n">
        <x:v>0</x:v>
      </x:c>
      <x:c r="N1893" t="n">
        <x:f>ROUND(F1893*M1893/100,2)</x:f>
        <x:v>0</x:v>
      </x:c>
      <x:c r="O1893" t="str"/>
    </x:row>
    <x:row r="1894" ht="23" customHeight="1">
      <x:c r="A1894" t="n">
        <x:v>316</x:v>
      </x:c>
      <x:c r="B1894" t="n">
        <x:v>158</x:v>
      </x:c>
      <x:c r="C1894" t="str">
        <x:v>晚餐</x:v>
      </x:c>
      <x:c r="D1894" t="str">
        <x:v>蔬菜</x:v>
      </x:c>
      <x:c r="E1894" t="str">
        <x:v>番茄</x:v>
      </x:c>
      <x:c r="F1894" t="n">
        <x:v>175</x:v>
      </x:c>
      <x:c r="G1894" t="n">
        <x:v>20</x:v>
      </x:c>
      <x:c r="H1894" t="n">
        <x:f>ROUND(F1894*G1894/100,2)</x:f>
        <x:v>35</x:v>
      </x:c>
      <x:c r="I1894" t="n">
        <x:v>0.9</x:v>
      </x:c>
      <x:c r="J1894" t="n">
        <x:f>ROUND(F1894*I1894/100,2)</x:f>
        <x:v>1.58</x:v>
      </x:c>
      <x:c r="K1894" t="n">
        <x:v>4</x:v>
      </x:c>
      <x:c r="L1894" t="n">
        <x:f>ROUND(F1894*K1894/100,2)</x:f>
        <x:v>7</x:v>
      </x:c>
      <x:c r="M1894" t="n">
        <x:v>0.2</x:v>
      </x:c>
      <x:c r="N1894" t="n">
        <x:f>ROUND(F1894*M1894/100,2)</x:f>
        <x:v>0.35</x:v>
      </x:c>
      <x:c r="O1894" t="str">
        <x:v>生重</x:v>
      </x:c>
    </x:row>
    <x:row r="1895" ht="23" customHeight="1">
      <x:c r="A1895" t="n">
        <x:v>316</x:v>
      </x:c>
      <x:c r="B1895" t="n">
        <x:v>158</x:v>
      </x:c>
      <x:c r="C1895" t="str">
        <x:v>晚餐</x:v>
      </x:c>
      <x:c r="D1895" t="str">
        <x:v>蔬菜</x:v>
      </x:c>
      <x:c r="E1895" t="str">
        <x:v>菜心</x:v>
      </x:c>
      <x:c r="F1895" t="n">
        <x:v>110</x:v>
      </x:c>
      <x:c r="G1895" t="n">
        <x:v>20</x:v>
      </x:c>
      <x:c r="H1895" t="n">
        <x:f>ROUND(F1895*G1895/100,2)</x:f>
        <x:v>22</x:v>
      </x:c>
      <x:c r="I1895" t="n">
        <x:v>2</x:v>
      </x:c>
      <x:c r="J1895" t="n">
        <x:f>ROUND(F1895*I1895/100,2)</x:f>
        <x:v>2.2</x:v>
      </x:c>
      <x:c r="K1895" t="n">
        <x:v>3.5</x:v>
      </x:c>
      <x:c r="L1895" t="n">
        <x:f>ROUND(F1895*K1895/100,2)</x:f>
        <x:v>3.85</x:v>
      </x:c>
      <x:c r="M1895" t="n">
        <x:v>0.3</x:v>
      </x:c>
      <x:c r="N1895" t="n">
        <x:f>ROUND(F1895*M1895/100,2)</x:f>
        <x:v>0.33</x:v>
      </x:c>
      <x:c r="O1895" t="str">
        <x:v>生重</x:v>
      </x:c>
    </x:row>
    <x:row r="1896" ht="23" customHeight="1">
      <x:c r="A1896" t="n">
        <x:v>316</x:v>
      </x:c>
      <x:c r="B1896" t="n">
        <x:v>158</x:v>
      </x:c>
      <x:c r="C1896" t="str">
        <x:v>晚餐</x:v>
      </x:c>
      <x:c r="D1896" t="str">
        <x:v>主食</x:v>
      </x:c>
      <x:c r="E1896" t="str">
        <x:v>杂粮饭</x:v>
      </x:c>
      <x:c r="F1896" t="n">
        <x:v>95</x:v>
      </x:c>
      <x:c r="G1896" t="n">
        <x:v>115</x:v>
      </x:c>
      <x:c r="H1896" t="n">
        <x:f>ROUND(F1896*G1896/100,2)</x:f>
        <x:v>109.25</x:v>
      </x:c>
      <x:c r="I1896" t="n">
        <x:v>3.1</x:v>
      </x:c>
      <x:c r="J1896" t="n">
        <x:f>ROUND(F1896*I1896/100,2)</x:f>
        <x:v>2.95</x:v>
      </x:c>
      <x:c r="K1896" t="n">
        <x:v>23.5</x:v>
      </x:c>
      <x:c r="L1896" t="n">
        <x:f>ROUND(F1896*K1896/100,2)</x:f>
        <x:v>22.33</x:v>
      </x:c>
      <x:c r="M1896" t="n">
        <x:v>1.1</x:v>
      </x:c>
      <x:c r="N1896" t="n">
        <x:f>ROUND(F1896*M1896/100,2)</x:f>
        <x:v>1.05</x:v>
      </x:c>
      <x:c r="O1896" t="str">
        <x:v>熟重</x:v>
      </x:c>
    </x:row>
    <x:row r="1897" ht="23" customHeight="1">
      <x:c r="A1897" t="n">
        <x:v>316</x:v>
      </x:c>
      <x:c r="B1897" t="n">
        <x:v>158</x:v>
      </x:c>
      <x:c r="C1897" t="str">
        <x:v>晚餐</x:v>
      </x:c>
      <x:c r="D1897" t="str">
        <x:v>油脂</x:v>
      </x:c>
      <x:c r="E1897" t="str">
        <x:v>烹调油</x:v>
      </x:c>
      <x:c r="F1897" t="n">
        <x:v>6</x:v>
      </x:c>
      <x:c r="G1897" t="n">
        <x:v>900</x:v>
      </x:c>
      <x:c r="H1897" t="n">
        <x:f>ROUND(F1897*G1897/100,2)</x:f>
        <x:v>54</x:v>
      </x:c>
      <x:c r="I1897" t="n">
        <x:v>0</x:v>
      </x:c>
      <x:c r="J1897" t="n">
        <x:f>ROUND(F1897*I1897/100,2)</x:f>
        <x:v>0</x:v>
      </x:c>
      <x:c r="K1897" t="n">
        <x:v>0</x:v>
      </x:c>
      <x:c r="L1897" t="n">
        <x:f>ROUND(F1897*K1897/100,2)</x:f>
        <x:v>0</x:v>
      </x:c>
      <x:c r="M1897" t="n">
        <x:v>100</x:v>
      </x:c>
      <x:c r="N1897" t="n">
        <x:f>ROUND(F1897*M1897/100,2)</x:f>
        <x:v>6</x:v>
      </x:c>
      <x:c r="O1897" t="str">
        <x:v>实际用油重</x:v>
      </x:c>
    </x:row>
    <x:row r="1898" ht="23" customHeight="1">
      <x:c r="A1898" t="n">
        <x:v>317</x:v>
      </x:c>
      <x:c r="B1898" t="n">
        <x:v>159</x:v>
      </x:c>
      <x:c r="C1898" t="str">
        <x:v>午餐</x:v>
      </x:c>
      <x:c r="D1898" t="str">
        <x:v>豆蛋</x:v>
      </x:c>
      <x:c r="E1898" t="str">
        <x:v>鸡蛋</x:v>
      </x:c>
      <x:c r="F1898" t="n">
        <x:v>110</x:v>
      </x:c>
      <x:c r="G1898" t="n">
        <x:v>144</x:v>
      </x:c>
      <x:c r="H1898" t="n">
        <x:f>ROUND(F1898*G1898/100,2)</x:f>
        <x:v>158.4</x:v>
      </x:c>
      <x:c r="I1898" t="n">
        <x:v>13</x:v>
      </x:c>
      <x:c r="J1898" t="n">
        <x:f>ROUND(F1898*I1898/100,2)</x:f>
        <x:v>14.3</x:v>
      </x:c>
      <x:c r="K1898" t="n">
        <x:v>1.1</x:v>
      </x:c>
      <x:c r="L1898" t="n">
        <x:f>ROUND(F1898*K1898/100,2)</x:f>
        <x:v>1.21</x:v>
      </x:c>
      <x:c r="M1898" t="n">
        <x:v>10</x:v>
      </x:c>
      <x:c r="N1898" t="n">
        <x:f>ROUND(F1898*M1898/100,2)</x:f>
        <x:v>11</x:v>
      </x:c>
      <x:c r="O1898" t="str">
        <x:v>去壳可食重</x:v>
      </x:c>
    </x:row>
    <x:row r="1899" ht="23" customHeight="1">
      <x:c r="A1899" t="n">
        <x:v>317</x:v>
      </x:c>
      <x:c r="B1899" t="n">
        <x:v>159</x:v>
      </x:c>
      <x:c r="C1899" t="str">
        <x:v>午餐</x:v>
      </x:c>
      <x:c r="D1899" t="str">
        <x:v>豆蛋</x:v>
      </x:c>
      <x:c r="E1899" t="str">
        <x:v>嫩豆腐</x:v>
      </x:c>
      <x:c r="F1899" t="n">
        <x:v>160</x:v>
      </x:c>
      <x:c r="G1899" t="n">
        <x:v>55</x:v>
      </x:c>
      <x:c r="H1899" t="n">
        <x:f>ROUND(F1899*G1899/100,2)</x:f>
        <x:v>88</x:v>
      </x:c>
      <x:c r="I1899" t="n">
        <x:v>5</x:v>
      </x:c>
      <x:c r="J1899" t="n">
        <x:f>ROUND(F1899*I1899/100,2)</x:f>
        <x:v>8</x:v>
      </x:c>
      <x:c r="K1899" t="n">
        <x:v>2</x:v>
      </x:c>
      <x:c r="L1899" t="n">
        <x:f>ROUND(F1899*K1899/100,2)</x:f>
        <x:v>3.2</x:v>
      </x:c>
      <x:c r="M1899" t="n">
        <x:v>2.8</x:v>
      </x:c>
      <x:c r="N1899" t="n">
        <x:f>ROUND(F1899*M1899/100,2)</x:f>
        <x:v>4.48</x:v>
      </x:c>
      <x:c r="O1899" t="str">
        <x:v>净重</x:v>
      </x:c>
    </x:row>
    <x:row r="1900" ht="23" customHeight="1">
      <x:c r="A1900" t="n">
        <x:v>317</x:v>
      </x:c>
      <x:c r="B1900" t="n">
        <x:v>159</x:v>
      </x:c>
      <x:c r="C1900" t="str">
        <x:v>午餐</x:v>
      </x:c>
      <x:c r="D1900" t="str">
        <x:v>蔬菜</x:v>
      </x:c>
      <x:c r="E1900" t="str">
        <x:v>小白菜</x:v>
      </x:c>
      <x:c r="F1900" t="n">
        <x:v>190</x:v>
      </x:c>
      <x:c r="G1900" t="n">
        <x:v>17</x:v>
      </x:c>
      <x:c r="H1900" t="n">
        <x:f>ROUND(F1900*G1900/100,2)</x:f>
        <x:v>32.3</x:v>
      </x:c>
      <x:c r="I1900" t="n">
        <x:v>1.6</x:v>
      </x:c>
      <x:c r="J1900" t="n">
        <x:f>ROUND(F1900*I1900/100,2)</x:f>
        <x:v>3.04</x:v>
      </x:c>
      <x:c r="K1900" t="n">
        <x:v>2.8</x:v>
      </x:c>
      <x:c r="L1900" t="n">
        <x:f>ROUND(F1900*K1900/100,2)</x:f>
        <x:v>5.32</x:v>
      </x:c>
      <x:c r="M1900" t="n">
        <x:v>0.2</x:v>
      </x:c>
      <x:c r="N1900" t="n">
        <x:f>ROUND(F1900*M1900/100,2)</x:f>
        <x:v>0.38</x:v>
      </x:c>
      <x:c r="O1900" t="str">
        <x:v>生重</x:v>
      </x:c>
    </x:row>
    <x:row r="1901" ht="23" customHeight="1">
      <x:c r="A1901" t="n">
        <x:v>317</x:v>
      </x:c>
      <x:c r="B1901" t="n">
        <x:v>159</x:v>
      </x:c>
      <x:c r="C1901" t="str">
        <x:v>午餐</x:v>
      </x:c>
      <x:c r="D1901" t="str">
        <x:v>菌菇</x:v>
      </x:c>
      <x:c r="E1901" t="str">
        <x:v>金针菇</x:v>
      </x:c>
      <x:c r="F1901" t="n">
        <x:v>125</x:v>
      </x:c>
      <x:c r="G1901" t="n">
        <x:v>32</x:v>
      </x:c>
      <x:c r="H1901" t="n">
        <x:f>ROUND(F1901*G1901/100,2)</x:f>
        <x:v>40</x:v>
      </x:c>
      <x:c r="I1901" t="n">
        <x:v>2.4</x:v>
      </x:c>
      <x:c r="J1901" t="n">
        <x:f>ROUND(F1901*I1901/100,2)</x:f>
        <x:v>3</x:v>
      </x:c>
      <x:c r="K1901" t="n">
        <x:v>6.4</x:v>
      </x:c>
      <x:c r="L1901" t="n">
        <x:f>ROUND(F1901*K1901/100,2)</x:f>
        <x:v>8</x:v>
      </x:c>
      <x:c r="M1901" t="n">
        <x:v>0.2</x:v>
      </x:c>
      <x:c r="N1901" t="n">
        <x:f>ROUND(F1901*M1901/100,2)</x:f>
        <x:v>0.25</x:v>
      </x:c>
      <x:c r="O1901" t="str">
        <x:v>生重</x:v>
      </x:c>
    </x:row>
    <x:row r="1902" ht="23" customHeight="1">
      <x:c r="A1902" t="n">
        <x:v>317</x:v>
      </x:c>
      <x:c r="B1902" t="n">
        <x:v>159</x:v>
      </x:c>
      <x:c r="C1902" t="str">
        <x:v>午餐</x:v>
      </x:c>
      <x:c r="D1902" t="str">
        <x:v>主食</x:v>
      </x:c>
      <x:c r="E1902" t="str">
        <x:v>土豆</x:v>
      </x:c>
      <x:c r="F1902" t="n">
        <x:v>110</x:v>
      </x:c>
      <x:c r="G1902" t="n">
        <x:v>78</x:v>
      </x:c>
      <x:c r="H1902" t="n">
        <x:f>ROUND(F1902*G1902/100,2)</x:f>
        <x:v>85.8</x:v>
      </x:c>
      <x:c r="I1902" t="n">
        <x:v>2</x:v>
      </x:c>
      <x:c r="J1902" t="n">
        <x:f>ROUND(F1902*I1902/100,2)</x:f>
        <x:v>2.2</x:v>
      </x:c>
      <x:c r="K1902" t="n">
        <x:v>17.2</x:v>
      </x:c>
      <x:c r="L1902" t="n">
        <x:f>ROUND(F1902*K1902/100,2)</x:f>
        <x:v>18.92</x:v>
      </x:c>
      <x:c r="M1902" t="n">
        <x:v>0.1</x:v>
      </x:c>
      <x:c r="N1902" t="n">
        <x:f>ROUND(F1902*M1902/100,2)</x:f>
        <x:v>0.11</x:v>
      </x:c>
      <x:c r="O1902" t="str">
        <x:v>蒸熟净重</x:v>
      </x:c>
    </x:row>
    <x:row r="1903" ht="23" customHeight="1">
      <x:c r="A1903" t="n">
        <x:v>317</x:v>
      </x:c>
      <x:c r="B1903" t="n">
        <x:v>159</x:v>
      </x:c>
      <x:c r="C1903" t="str">
        <x:v>午餐</x:v>
      </x:c>
      <x:c r="D1903" t="str">
        <x:v>油脂</x:v>
      </x:c>
      <x:c r="E1903" t="str">
        <x:v>烹调油</x:v>
      </x:c>
      <x:c r="F1903" t="n">
        <x:v>6</x:v>
      </x:c>
      <x:c r="G1903" t="n">
        <x:v>900</x:v>
      </x:c>
      <x:c r="H1903" t="n">
        <x:f>ROUND(F1903*G1903/100,2)</x:f>
        <x:v>54</x:v>
      </x:c>
      <x:c r="I1903" t="n">
        <x:v>0</x:v>
      </x:c>
      <x:c r="J1903" t="n">
        <x:f>ROUND(F1903*I1903/100,2)</x:f>
        <x:v>0</x:v>
      </x:c>
      <x:c r="K1903" t="n">
        <x:v>0</x:v>
      </x:c>
      <x:c r="L1903" t="n">
        <x:f>ROUND(F1903*K1903/100,2)</x:f>
        <x:v>0</x:v>
      </x:c>
      <x:c r="M1903" t="n">
        <x:v>100</x:v>
      </x:c>
      <x:c r="N1903" t="n">
        <x:f>ROUND(F1903*M1903/100,2)</x:f>
        <x:v>6</x:v>
      </x:c>
      <x:c r="O1903" t="str">
        <x:v>实际用油重</x:v>
      </x:c>
    </x:row>
    <x:row r="1904" ht="23" customHeight="1">
      <x:c r="A1904" t="n">
        <x:v>318</x:v>
      </x:c>
      <x:c r="B1904" t="n">
        <x:v>159</x:v>
      </x:c>
      <x:c r="C1904" t="str">
        <x:v>晚餐</x:v>
      </x:c>
      <x:c r="D1904" t="str">
        <x:v>豆蛋</x:v>
      </x:c>
      <x:c r="E1904" t="str">
        <x:v>嫩豆腐</x:v>
      </x:c>
      <x:c r="F1904" t="n">
        <x:v>300</x:v>
      </x:c>
      <x:c r="G1904" t="n">
        <x:v>55</x:v>
      </x:c>
      <x:c r="H1904" t="n">
        <x:f>ROUND(F1904*G1904/100,2)</x:f>
        <x:v>165</x:v>
      </x:c>
      <x:c r="I1904" t="n">
        <x:v>5</x:v>
      </x:c>
      <x:c r="J1904" t="n">
        <x:f>ROUND(F1904*I1904/100,2)</x:f>
        <x:v>15</x:v>
      </x:c>
      <x:c r="K1904" t="n">
        <x:v>2</x:v>
      </x:c>
      <x:c r="L1904" t="n">
        <x:f>ROUND(F1904*K1904/100,2)</x:f>
        <x:v>6</x:v>
      </x:c>
      <x:c r="M1904" t="n">
        <x:v>2.8</x:v>
      </x:c>
      <x:c r="N1904" t="n">
        <x:f>ROUND(F1904*M1904/100,2)</x:f>
        <x:v>8.4</x:v>
      </x:c>
      <x:c r="O1904" t="str">
        <x:v>净重</x:v>
      </x:c>
    </x:row>
    <x:row r="1905" ht="23" customHeight="1">
      <x:c r="A1905" t="n">
        <x:v>318</x:v>
      </x:c>
      <x:c r="B1905" t="n">
        <x:v>159</x:v>
      </x:c>
      <x:c r="C1905" t="str">
        <x:v>晚餐</x:v>
      </x:c>
      <x:c r="D1905" t="str"/>
      <x:c r="E1905" t="str"/>
      <x:c r="F1905" t="n">
        <x:v>0</x:v>
      </x:c>
      <x:c r="G1905" t="n">
        <x:v>0</x:v>
      </x:c>
      <x:c r="H1905" t="n">
        <x:f>ROUND(F1905*G1905/100,2)</x:f>
        <x:v>0</x:v>
      </x:c>
      <x:c r="I1905" t="n">
        <x:v>0</x:v>
      </x:c>
      <x:c r="J1905" t="n">
        <x:f>ROUND(F1905*I1905/100,2)</x:f>
        <x:v>0</x:v>
      </x:c>
      <x:c r="K1905" t="n">
        <x:v>0</x:v>
      </x:c>
      <x:c r="L1905" t="n">
        <x:f>ROUND(F1905*K1905/100,2)</x:f>
        <x:v>0</x:v>
      </x:c>
      <x:c r="M1905" t="n">
        <x:v>0</x:v>
      </x:c>
      <x:c r="N1905" t="n">
        <x:f>ROUND(F1905*M1905/100,2)</x:f>
        <x:v>0</x:v>
      </x:c>
      <x:c r="O1905" t="str"/>
    </x:row>
    <x:row r="1906" ht="23" customHeight="1">
      <x:c r="A1906" t="n">
        <x:v>318</x:v>
      </x:c>
      <x:c r="B1906" t="n">
        <x:v>159</x:v>
      </x:c>
      <x:c r="C1906" t="str">
        <x:v>晚餐</x:v>
      </x:c>
      <x:c r="D1906" t="str">
        <x:v>蔬菜</x:v>
      </x:c>
      <x:c r="E1906" t="str">
        <x:v>荷兰豆</x:v>
      </x:c>
      <x:c r="F1906" t="n">
        <x:v>160</x:v>
      </x:c>
      <x:c r="G1906" t="n">
        <x:v>42</x:v>
      </x:c>
      <x:c r="H1906" t="n">
        <x:f>ROUND(F1906*G1906/100,2)</x:f>
        <x:v>67.2</x:v>
      </x:c>
      <x:c r="I1906" t="n">
        <x:v>2.8</x:v>
      </x:c>
      <x:c r="J1906" t="n">
        <x:f>ROUND(F1906*I1906/100,2)</x:f>
        <x:v>4.48</x:v>
      </x:c>
      <x:c r="K1906" t="n">
        <x:v>7.5</x:v>
      </x:c>
      <x:c r="L1906" t="n">
        <x:f>ROUND(F1906*K1906/100,2)</x:f>
        <x:v>12</x:v>
      </x:c>
      <x:c r="M1906" t="n">
        <x:v>0.3</x:v>
      </x:c>
      <x:c r="N1906" t="n">
        <x:f>ROUND(F1906*M1906/100,2)</x:f>
        <x:v>0.48</x:v>
      </x:c>
      <x:c r="O1906" t="str">
        <x:v>生重</x:v>
      </x:c>
    </x:row>
    <x:row r="1907" ht="23" customHeight="1">
      <x:c r="A1907" t="n">
        <x:v>318</x:v>
      </x:c>
      <x:c r="B1907" t="n">
        <x:v>159</x:v>
      </x:c>
      <x:c r="C1907" t="str">
        <x:v>晚餐</x:v>
      </x:c>
      <x:c r="D1907" t="str">
        <x:v>蔬菜</x:v>
      </x:c>
      <x:c r="E1907" t="str">
        <x:v>紫甘蓝</x:v>
      </x:c>
      <x:c r="F1907" t="n">
        <x:v>125</x:v>
      </x:c>
      <x:c r="G1907" t="n">
        <x:v>31</x:v>
      </x:c>
      <x:c r="H1907" t="n">
        <x:f>ROUND(F1907*G1907/100,2)</x:f>
        <x:v>38.75</x:v>
      </x:c>
      <x:c r="I1907" t="n">
        <x:v>1.4</x:v>
      </x:c>
      <x:c r="J1907" t="n">
        <x:f>ROUND(F1907*I1907/100,2)</x:f>
        <x:v>1.75</x:v>
      </x:c>
      <x:c r="K1907" t="n">
        <x:v>7.3</x:v>
      </x:c>
      <x:c r="L1907" t="n">
        <x:f>ROUND(F1907*K1907/100,2)</x:f>
        <x:v>9.13</x:v>
      </x:c>
      <x:c r="M1907" t="n">
        <x:v>0.1</x:v>
      </x:c>
      <x:c r="N1907" t="n">
        <x:f>ROUND(F1907*M1907/100,2)</x:f>
        <x:v>0.13</x:v>
      </x:c>
      <x:c r="O1907" t="str">
        <x:v>生重</x:v>
      </x:c>
    </x:row>
    <x:row r="1908" ht="23" customHeight="1">
      <x:c r="A1908" t="n">
        <x:v>318</x:v>
      </x:c>
      <x:c r="B1908" t="n">
        <x:v>159</x:v>
      </x:c>
      <x:c r="C1908" t="str">
        <x:v>晚餐</x:v>
      </x:c>
      <x:c r="D1908" t="str">
        <x:v>主食</x:v>
      </x:c>
      <x:c r="E1908" t="str">
        <x:v>土豆</x:v>
      </x:c>
      <x:c r="F1908" t="n">
        <x:v>80</x:v>
      </x:c>
      <x:c r="G1908" t="n">
        <x:v>78</x:v>
      </x:c>
      <x:c r="H1908" t="n">
        <x:f>ROUND(F1908*G1908/100,2)</x:f>
        <x:v>62.4</x:v>
      </x:c>
      <x:c r="I1908" t="n">
        <x:v>2</x:v>
      </x:c>
      <x:c r="J1908" t="n">
        <x:f>ROUND(F1908*I1908/100,2)</x:f>
        <x:v>1.6</x:v>
      </x:c>
      <x:c r="K1908" t="n">
        <x:v>17.2</x:v>
      </x:c>
      <x:c r="L1908" t="n">
        <x:f>ROUND(F1908*K1908/100,2)</x:f>
        <x:v>13.76</x:v>
      </x:c>
      <x:c r="M1908" t="n">
        <x:v>0.1</x:v>
      </x:c>
      <x:c r="N1908" t="n">
        <x:f>ROUND(F1908*M1908/100,2)</x:f>
        <x:v>0.08</x:v>
      </x:c>
      <x:c r="O1908" t="str">
        <x:v>蒸熟净重</x:v>
      </x:c>
    </x:row>
    <x:row r="1909" ht="23" customHeight="1">
      <x:c r="A1909" t="n">
        <x:v>318</x:v>
      </x:c>
      <x:c r="B1909" t="n">
        <x:v>159</x:v>
      </x:c>
      <x:c r="C1909" t="str">
        <x:v>晚餐</x:v>
      </x:c>
      <x:c r="D1909" t="str">
        <x:v>油脂</x:v>
      </x:c>
      <x:c r="E1909" t="str">
        <x:v>烹调油</x:v>
      </x:c>
      <x:c r="F1909" t="n">
        <x:v>3</x:v>
      </x:c>
      <x:c r="G1909" t="n">
        <x:v>900</x:v>
      </x:c>
      <x:c r="H1909" t="n">
        <x:f>ROUND(F1909*G1909/100,2)</x:f>
        <x:v>27</x:v>
      </x:c>
      <x:c r="I1909" t="n">
        <x:v>0</x:v>
      </x:c>
      <x:c r="J1909" t="n">
        <x:f>ROUND(F1909*I1909/100,2)</x:f>
        <x:v>0</x:v>
      </x:c>
      <x:c r="K1909" t="n">
        <x:v>0</x:v>
      </x:c>
      <x:c r="L1909" t="n">
        <x:f>ROUND(F1909*K1909/100,2)</x:f>
        <x:v>0</x:v>
      </x:c>
      <x:c r="M1909" t="n">
        <x:v>100</x:v>
      </x:c>
      <x:c r="N1909" t="n">
        <x:f>ROUND(F1909*M1909/100,2)</x:f>
        <x:v>3</x:v>
      </x:c>
      <x:c r="O1909" t="str">
        <x:v>实际用油重</x:v>
      </x:c>
    </x:row>
    <x:row r="1910" ht="23" customHeight="1">
      <x:c r="A1910" t="n">
        <x:v>319</x:v>
      </x:c>
      <x:c r="B1910" t="n">
        <x:v>160</x:v>
      </x:c>
      <x:c r="C1910" t="str">
        <x:v>午餐</x:v>
      </x:c>
      <x:c r="D1910" t="str">
        <x:v>海鲜</x:v>
      </x:c>
      <x:c r="E1910" t="str">
        <x:v>花蛤肉</x:v>
      </x:c>
      <x:c r="F1910" t="n">
        <x:v>210</x:v>
      </x:c>
      <x:c r="G1910" t="n">
        <x:v>75</x:v>
      </x:c>
      <x:c r="H1910" t="n">
        <x:f>ROUND(F1910*G1910/100,2)</x:f>
        <x:v>157.5</x:v>
      </x:c>
      <x:c r="I1910" t="n">
        <x:v>13</x:v>
      </x:c>
      <x:c r="J1910" t="n">
        <x:f>ROUND(F1910*I1910/100,2)</x:f>
        <x:v>27.3</x:v>
      </x:c>
      <x:c r="K1910" t="n">
        <x:v>3.5</x:v>
      </x:c>
      <x:c r="L1910" t="n">
        <x:f>ROUND(F1910*K1910/100,2)</x:f>
        <x:v>7.35</x:v>
      </x:c>
      <x:c r="M1910" t="n">
        <x:v>1</x:v>
      </x:c>
      <x:c r="N1910" t="n">
        <x:f>ROUND(F1910*M1910/100,2)</x:f>
        <x:v>2.1</x:v>
      </x:c>
      <x:c r="O1910" t="str">
        <x:v>净肉生重</x:v>
      </x:c>
    </x:row>
    <x:row r="1911" ht="23" customHeight="1">
      <x:c r="A1911" t="n">
        <x:v>319</x:v>
      </x:c>
      <x:c r="B1911" t="n">
        <x:v>160</x:v>
      </x:c>
      <x:c r="C1911" t="str">
        <x:v>午餐</x:v>
      </x:c>
      <x:c r="D1911" t="str"/>
      <x:c r="E1911" t="str"/>
      <x:c r="F1911" t="n">
        <x:v>0</x:v>
      </x:c>
      <x:c r="G1911" t="n">
        <x:v>0</x:v>
      </x:c>
      <x:c r="H1911" t="n">
        <x:f>ROUND(F1911*G1911/100,2)</x:f>
        <x:v>0</x:v>
      </x:c>
      <x:c r="I1911" t="n">
        <x:v>0</x:v>
      </x:c>
      <x:c r="J1911" t="n">
        <x:f>ROUND(F1911*I1911/100,2)</x:f>
        <x:v>0</x:v>
      </x:c>
      <x:c r="K1911" t="n">
        <x:v>0</x:v>
      </x:c>
      <x:c r="L1911" t="n">
        <x:f>ROUND(F1911*K1911/100,2)</x:f>
        <x:v>0</x:v>
      </x:c>
      <x:c r="M1911" t="n">
        <x:v>0</x:v>
      </x:c>
      <x:c r="N1911" t="n">
        <x:f>ROUND(F1911*M1911/100,2)</x:f>
        <x:v>0</x:v>
      </x:c>
      <x:c r="O1911" t="str"/>
    </x:row>
    <x:row r="1912" ht="23" customHeight="1">
      <x:c r="A1912" t="n">
        <x:v>319</x:v>
      </x:c>
      <x:c r="B1912" t="n">
        <x:v>160</x:v>
      </x:c>
      <x:c r="C1912" t="str">
        <x:v>午餐</x:v>
      </x:c>
      <x:c r="D1912" t="str">
        <x:v>蔬菜</x:v>
      </x:c>
      <x:c r="E1912" t="str">
        <x:v>芦笋</x:v>
      </x:c>
      <x:c r="F1912" t="n">
        <x:v>140</x:v>
      </x:c>
      <x:c r="G1912" t="n">
        <x:v>20</x:v>
      </x:c>
      <x:c r="H1912" t="n">
        <x:f>ROUND(F1912*G1912/100,2)</x:f>
        <x:v>28</x:v>
      </x:c>
      <x:c r="I1912" t="n">
        <x:v>2.2</x:v>
      </x:c>
      <x:c r="J1912" t="n">
        <x:f>ROUND(F1912*I1912/100,2)</x:f>
        <x:v>3.08</x:v>
      </x:c>
      <x:c r="K1912" t="n">
        <x:v>3.9</x:v>
      </x:c>
      <x:c r="L1912" t="n">
        <x:f>ROUND(F1912*K1912/100,2)</x:f>
        <x:v>5.46</x:v>
      </x:c>
      <x:c r="M1912" t="n">
        <x:v>0.1</x:v>
      </x:c>
      <x:c r="N1912" t="n">
        <x:f>ROUND(F1912*M1912/100,2)</x:f>
        <x:v>0.14</x:v>
      </x:c>
      <x:c r="O1912" t="str">
        <x:v>生重</x:v>
      </x:c>
    </x:row>
    <x:row r="1913" ht="23" customHeight="1">
      <x:c r="A1913" t="n">
        <x:v>319</x:v>
      </x:c>
      <x:c r="B1913" t="n">
        <x:v>160</x:v>
      </x:c>
      <x:c r="C1913" t="str">
        <x:v>午餐</x:v>
      </x:c>
      <x:c r="D1913" t="str">
        <x:v>蔬菜</x:v>
      </x:c>
      <x:c r="E1913" t="str">
        <x:v>白萝卜</x:v>
      </x:c>
      <x:c r="F1913" t="n">
        <x:v>110</x:v>
      </x:c>
      <x:c r="G1913" t="n">
        <x:v>18</x:v>
      </x:c>
      <x:c r="H1913" t="n">
        <x:f>ROUND(F1913*G1913/100,2)</x:f>
        <x:v>19.8</x:v>
      </x:c>
      <x:c r="I1913" t="n">
        <x:v>0.6</x:v>
      </x:c>
      <x:c r="J1913" t="n">
        <x:f>ROUND(F1913*I1913/100,2)</x:f>
        <x:v>0.66</x:v>
      </x:c>
      <x:c r="K1913" t="n">
        <x:v>4</x:v>
      </x:c>
      <x:c r="L1913" t="n">
        <x:f>ROUND(F1913*K1913/100,2)</x:f>
        <x:v>4.4</x:v>
      </x:c>
      <x:c r="M1913" t="n">
        <x:v>0.1</x:v>
      </x:c>
      <x:c r="N1913" t="n">
        <x:f>ROUND(F1913*M1913/100,2)</x:f>
        <x:v>0.11</x:v>
      </x:c>
      <x:c r="O1913" t="str">
        <x:v>生重</x:v>
      </x:c>
    </x:row>
    <x:row r="1914" ht="23" customHeight="1">
      <x:c r="A1914" t="n">
        <x:v>319</x:v>
      </x:c>
      <x:c r="B1914" t="n">
        <x:v>160</x:v>
      </x:c>
      <x:c r="C1914" t="str">
        <x:v>午餐</x:v>
      </x:c>
      <x:c r="D1914" t="str">
        <x:v>主食</x:v>
      </x:c>
      <x:c r="E1914" t="str">
        <x:v>糙米饭</x:v>
      </x:c>
      <x:c r="F1914" t="n">
        <x:v>125</x:v>
      </x:c>
      <x:c r="G1914" t="n">
        <x:v>112</x:v>
      </x:c>
      <x:c r="H1914" t="n">
        <x:f>ROUND(F1914*G1914/100,2)</x:f>
        <x:v>140</x:v>
      </x:c>
      <x:c r="I1914" t="n">
        <x:v>2.6</x:v>
      </x:c>
      <x:c r="J1914" t="n">
        <x:f>ROUND(F1914*I1914/100,2)</x:f>
        <x:v>3.25</x:v>
      </x:c>
      <x:c r="K1914" t="n">
        <x:v>23.5</x:v>
      </x:c>
      <x:c r="L1914" t="n">
        <x:f>ROUND(F1914*K1914/100,2)</x:f>
        <x:v>29.38</x:v>
      </x:c>
      <x:c r="M1914" t="n">
        <x:v>0.9</x:v>
      </x:c>
      <x:c r="N1914" t="n">
        <x:f>ROUND(F1914*M1914/100,2)</x:f>
        <x:v>1.13</x:v>
      </x:c>
      <x:c r="O1914" t="str">
        <x:v>熟重</x:v>
      </x:c>
    </x:row>
    <x:row r="1915" ht="23" customHeight="1">
      <x:c r="A1915" t="n">
        <x:v>319</x:v>
      </x:c>
      <x:c r="B1915" t="n">
        <x:v>160</x:v>
      </x:c>
      <x:c r="C1915" t="str">
        <x:v>午餐</x:v>
      </x:c>
      <x:c r="D1915" t="str">
        <x:v>油脂</x:v>
      </x:c>
      <x:c r="E1915" t="str">
        <x:v>烹调油</x:v>
      </x:c>
      <x:c r="F1915" t="n">
        <x:v>5</x:v>
      </x:c>
      <x:c r="G1915" t="n">
        <x:v>900</x:v>
      </x:c>
      <x:c r="H1915" t="n">
        <x:f>ROUND(F1915*G1915/100,2)</x:f>
        <x:v>45</x:v>
      </x:c>
      <x:c r="I1915" t="n">
        <x:v>0</x:v>
      </x:c>
      <x:c r="J1915" t="n">
        <x:f>ROUND(F1915*I1915/100,2)</x:f>
        <x:v>0</x:v>
      </x:c>
      <x:c r="K1915" t="n">
        <x:v>0</x:v>
      </x:c>
      <x:c r="L1915" t="n">
        <x:f>ROUND(F1915*K1915/100,2)</x:f>
        <x:v>0</x:v>
      </x:c>
      <x:c r="M1915" t="n">
        <x:v>100</x:v>
      </x:c>
      <x:c r="N1915" t="n">
        <x:f>ROUND(F1915*M1915/100,2)</x:f>
        <x:v>5</x:v>
      </x:c>
      <x:c r="O1915" t="str">
        <x:v>实际用油重</x:v>
      </x:c>
    </x:row>
    <x:row r="1916" ht="23" customHeight="1">
      <x:c r="A1916" t="n">
        <x:v>320</x:v>
      </x:c>
      <x:c r="B1916" t="n">
        <x:v>160</x:v>
      </x:c>
      <x:c r="C1916" t="str">
        <x:v>晚餐</x:v>
      </x:c>
      <x:c r="D1916" t="str">
        <x:v>海鲜</x:v>
      </x:c>
      <x:c r="E1916" t="str">
        <x:v>虾仁</x:v>
      </x:c>
      <x:c r="F1916" t="n">
        <x:v>160</x:v>
      </x:c>
      <x:c r="G1916" t="n">
        <x:v>90</x:v>
      </x:c>
      <x:c r="H1916" t="n">
        <x:f>ROUND(F1916*G1916/100,2)</x:f>
        <x:v>144</x:v>
      </x:c>
      <x:c r="I1916" t="n">
        <x:v>19</x:v>
      </x:c>
      <x:c r="J1916" t="n">
        <x:f>ROUND(F1916*I1916/100,2)</x:f>
        <x:v>30.4</x:v>
      </x:c>
      <x:c r="K1916" t="n">
        <x:v>0.4</x:v>
      </x:c>
      <x:c r="L1916" t="n">
        <x:f>ROUND(F1916*K1916/100,2)</x:f>
        <x:v>0.64</x:v>
      </x:c>
      <x:c r="M1916" t="n">
        <x:v>1.1</x:v>
      </x:c>
      <x:c r="N1916" t="n">
        <x:f>ROUND(F1916*M1916/100,2)</x:f>
        <x:v>1.76</x:v>
      </x:c>
      <x:c r="O1916" t="str">
        <x:v>生重</x:v>
      </x:c>
    </x:row>
    <x:row r="1917" ht="23" customHeight="1">
      <x:c r="A1917" t="n">
        <x:v>320</x:v>
      </x:c>
      <x:c r="B1917" t="n">
        <x:v>160</x:v>
      </x:c>
      <x:c r="C1917" t="str">
        <x:v>晚餐</x:v>
      </x:c>
      <x:c r="D1917" t="str"/>
      <x:c r="E1917" t="str"/>
      <x:c r="F1917" t="n">
        <x:v>0</x:v>
      </x:c>
      <x:c r="G1917" t="n">
        <x:v>0</x:v>
      </x:c>
      <x:c r="H1917" t="n">
        <x:f>ROUND(F1917*G1917/100,2)</x:f>
        <x:v>0</x:v>
      </x:c>
      <x:c r="I1917" t="n">
        <x:v>0</x:v>
      </x:c>
      <x:c r="J1917" t="n">
        <x:f>ROUND(F1917*I1917/100,2)</x:f>
        <x:v>0</x:v>
      </x:c>
      <x:c r="K1917" t="n">
        <x:v>0</x:v>
      </x:c>
      <x:c r="L1917" t="n">
        <x:f>ROUND(F1917*K1917/100,2)</x:f>
        <x:v>0</x:v>
      </x:c>
      <x:c r="M1917" t="n">
        <x:v>0</x:v>
      </x:c>
      <x:c r="N1917" t="n">
        <x:f>ROUND(F1917*M1917/100,2)</x:f>
        <x:v>0</x:v>
      </x:c>
      <x:c r="O1917" t="str"/>
    </x:row>
    <x:row r="1918" ht="23" customHeight="1">
      <x:c r="A1918" t="n">
        <x:v>320</x:v>
      </x:c>
      <x:c r="B1918" t="n">
        <x:v>160</x:v>
      </x:c>
      <x:c r="C1918" t="str">
        <x:v>晚餐</x:v>
      </x:c>
      <x:c r="D1918" t="str">
        <x:v>蔬菜</x:v>
      </x:c>
      <x:c r="E1918" t="str">
        <x:v>小白菜</x:v>
      </x:c>
      <x:c r="F1918" t="n">
        <x:v>140</x:v>
      </x:c>
      <x:c r="G1918" t="n">
        <x:v>17</x:v>
      </x:c>
      <x:c r="H1918" t="n">
        <x:f>ROUND(F1918*G1918/100,2)</x:f>
        <x:v>23.8</x:v>
      </x:c>
      <x:c r="I1918" t="n">
        <x:v>1.6</x:v>
      </x:c>
      <x:c r="J1918" t="n">
        <x:f>ROUND(F1918*I1918/100,2)</x:f>
        <x:v>2.24</x:v>
      </x:c>
      <x:c r="K1918" t="n">
        <x:v>2.8</x:v>
      </x:c>
      <x:c r="L1918" t="n">
        <x:f>ROUND(F1918*K1918/100,2)</x:f>
        <x:v>3.92</x:v>
      </x:c>
      <x:c r="M1918" t="n">
        <x:v>0.2</x:v>
      </x:c>
      <x:c r="N1918" t="n">
        <x:f>ROUND(F1918*M1918/100,2)</x:f>
        <x:v>0.28</x:v>
      </x:c>
      <x:c r="O1918" t="str">
        <x:v>生重</x:v>
      </x:c>
    </x:row>
    <x:row r="1919" ht="23" customHeight="1">
      <x:c r="A1919" t="n">
        <x:v>320</x:v>
      </x:c>
      <x:c r="B1919" t="n">
        <x:v>160</x:v>
      </x:c>
      <x:c r="C1919" t="str">
        <x:v>晚餐</x:v>
      </x:c>
      <x:c r="D1919" t="str">
        <x:v>蔬菜</x:v>
      </x:c>
      <x:c r="E1919" t="str">
        <x:v>胡萝卜</x:v>
      </x:c>
      <x:c r="F1919" t="n">
        <x:v>140</x:v>
      </x:c>
      <x:c r="G1919" t="n">
        <x:v>41</x:v>
      </x:c>
      <x:c r="H1919" t="n">
        <x:f>ROUND(F1919*G1919/100,2)</x:f>
        <x:v>57.4</x:v>
      </x:c>
      <x:c r="I1919" t="n">
        <x:v>0.9</x:v>
      </x:c>
      <x:c r="J1919" t="n">
        <x:f>ROUND(F1919*I1919/100,2)</x:f>
        <x:v>1.26</x:v>
      </x:c>
      <x:c r="K1919" t="n">
        <x:v>10</x:v>
      </x:c>
      <x:c r="L1919" t="n">
        <x:f>ROUND(F1919*K1919/100,2)</x:f>
        <x:v>14</x:v>
      </x:c>
      <x:c r="M1919" t="n">
        <x:v>0.2</x:v>
      </x:c>
      <x:c r="N1919" t="n">
        <x:f>ROUND(F1919*M1919/100,2)</x:f>
        <x:v>0.28</x:v>
      </x:c>
      <x:c r="O1919" t="str">
        <x:v>生重</x:v>
      </x:c>
    </x:row>
    <x:row r="1920" ht="23" customHeight="1">
      <x:c r="A1920" t="n">
        <x:v>320</x:v>
      </x:c>
      <x:c r="B1920" t="n">
        <x:v>160</x:v>
      </x:c>
      <x:c r="C1920" t="str">
        <x:v>晚餐</x:v>
      </x:c>
      <x:c r="D1920" t="str">
        <x:v>主食</x:v>
      </x:c>
      <x:c r="E1920" t="str">
        <x:v>荞麦面</x:v>
      </x:c>
      <x:c r="F1920" t="n">
        <x:v>100</x:v>
      </x:c>
      <x:c r="G1920" t="n">
        <x:v>105</x:v>
      </x:c>
      <x:c r="H1920" t="n">
        <x:f>ROUND(F1920*G1920/100,2)</x:f>
        <x:v>105</x:v>
      </x:c>
      <x:c r="I1920" t="n">
        <x:v>4</x:v>
      </x:c>
      <x:c r="J1920" t="n">
        <x:f>ROUND(F1920*I1920/100,2)</x:f>
        <x:v>4</x:v>
      </x:c>
      <x:c r="K1920" t="n">
        <x:v>21</x:v>
      </x:c>
      <x:c r="L1920" t="n">
        <x:f>ROUND(F1920*K1920/100,2)</x:f>
        <x:v>21</x:v>
      </x:c>
      <x:c r="M1920" t="n">
        <x:v>0.7</x:v>
      </x:c>
      <x:c r="N1920" t="n">
        <x:f>ROUND(F1920*M1920/100,2)</x:f>
        <x:v>0.7</x:v>
      </x:c>
      <x:c r="O1920" t="str">
        <x:v>煮熟沥水重</x:v>
      </x:c>
    </x:row>
    <x:row r="1921" ht="23" customHeight="1">
      <x:c r="A1921" t="n">
        <x:v>320</x:v>
      </x:c>
      <x:c r="B1921" t="n">
        <x:v>160</x:v>
      </x:c>
      <x:c r="C1921" t="str">
        <x:v>晚餐</x:v>
      </x:c>
      <x:c r="D1921" t="str">
        <x:v>油脂</x:v>
      </x:c>
      <x:c r="E1921" t="str">
        <x:v>烹调油</x:v>
      </x:c>
      <x:c r="F1921" t="n">
        <x:v>4</x:v>
      </x:c>
      <x:c r="G1921" t="n">
        <x:v>900</x:v>
      </x:c>
      <x:c r="H1921" t="n">
        <x:f>ROUND(F1921*G1921/100,2)</x:f>
        <x:v>36</x:v>
      </x:c>
      <x:c r="I1921" t="n">
        <x:v>0</x:v>
      </x:c>
      <x:c r="J1921" t="n">
        <x:f>ROUND(F1921*I1921/100,2)</x:f>
        <x:v>0</x:v>
      </x:c>
      <x:c r="K1921" t="n">
        <x:v>0</x:v>
      </x:c>
      <x:c r="L1921" t="n">
        <x:f>ROUND(F1921*K1921/100,2)</x:f>
        <x:v>0</x:v>
      </x:c>
      <x:c r="M1921" t="n">
        <x:v>100</x:v>
      </x:c>
      <x:c r="N1921" t="n">
        <x:f>ROUND(F1921*M1921/100,2)</x:f>
        <x:v>4</x:v>
      </x:c>
      <x:c r="O1921" t="str">
        <x:v>实际用油重</x:v>
      </x:c>
    </x:row>
    <x:row r="1922" ht="23" customHeight="1">
      <x:c r="A1922" t="n">
        <x:v>321</x:v>
      </x:c>
      <x:c r="B1922" t="n">
        <x:v>161</x:v>
      </x:c>
      <x:c r="C1922" t="str">
        <x:v>午餐</x:v>
      </x:c>
      <x:c r="D1922" t="str">
        <x:v>鱼类</x:v>
      </x:c>
      <x:c r="E1922" t="str">
        <x:v>鳕鱼</x:v>
      </x:c>
      <x:c r="F1922" t="n">
        <x:v>200</x:v>
      </x:c>
      <x:c r="G1922" t="n">
        <x:v>85</x:v>
      </x:c>
      <x:c r="H1922" t="n">
        <x:f>ROUND(F1922*G1922/100,2)</x:f>
        <x:v>170</x:v>
      </x:c>
      <x:c r="I1922" t="n">
        <x:v>18</x:v>
      </x:c>
      <x:c r="J1922" t="n">
        <x:f>ROUND(F1922*I1922/100,2)</x:f>
        <x:v>36</x:v>
      </x:c>
      <x:c r="K1922" t="n">
        <x:v>0</x:v>
      </x:c>
      <x:c r="L1922" t="n">
        <x:f>ROUND(F1922*K1922/100,2)</x:f>
        <x:v>0</x:v>
      </x:c>
      <x:c r="M1922" t="n">
        <x:v>0.8</x:v>
      </x:c>
      <x:c r="N1922" t="n">
        <x:f>ROUND(F1922*M1922/100,2)</x:f>
        <x:v>1.6</x:v>
      </x:c>
      <x:c r="O1922" t="str">
        <x:v>净鱼肉生重</x:v>
      </x:c>
    </x:row>
    <x:row r="1923" ht="23" customHeight="1">
      <x:c r="A1923" t="n">
        <x:v>321</x:v>
      </x:c>
      <x:c r="B1923" t="n">
        <x:v>161</x:v>
      </x:c>
      <x:c r="C1923" t="str">
        <x:v>午餐</x:v>
      </x:c>
      <x:c r="D1923" t="str"/>
      <x:c r="E1923" t="str"/>
      <x:c r="F1923" t="n">
        <x:v>0</x:v>
      </x:c>
      <x:c r="G1923" t="n">
        <x:v>0</x:v>
      </x:c>
      <x:c r="H1923" t="n">
        <x:f>ROUND(F1923*G1923/100,2)</x:f>
        <x:v>0</x:v>
      </x:c>
      <x:c r="I1923" t="n">
        <x:v>0</x:v>
      </x:c>
      <x:c r="J1923" t="n">
        <x:f>ROUND(F1923*I1923/100,2)</x:f>
        <x:v>0</x:v>
      </x:c>
      <x:c r="K1923" t="n">
        <x:v>0</x:v>
      </x:c>
      <x:c r="L1923" t="n">
        <x:f>ROUND(F1923*K1923/100,2)</x:f>
        <x:v>0</x:v>
      </x:c>
      <x:c r="M1923" t="n">
        <x:v>0</x:v>
      </x:c>
      <x:c r="N1923" t="n">
        <x:f>ROUND(F1923*M1923/100,2)</x:f>
        <x:v>0</x:v>
      </x:c>
      <x:c r="O1923" t="str"/>
    </x:row>
    <x:row r="1924" ht="23" customHeight="1">
      <x:c r="A1924" t="n">
        <x:v>321</x:v>
      </x:c>
      <x:c r="B1924" t="n">
        <x:v>161</x:v>
      </x:c>
      <x:c r="C1924" t="str">
        <x:v>午餐</x:v>
      </x:c>
      <x:c r="D1924" t="str">
        <x:v>蔬菜</x:v>
      </x:c>
      <x:c r="E1924" t="str">
        <x:v>番茄</x:v>
      </x:c>
      <x:c r="F1924" t="n">
        <x:v>175</x:v>
      </x:c>
      <x:c r="G1924" t="n">
        <x:v>20</x:v>
      </x:c>
      <x:c r="H1924" t="n">
        <x:f>ROUND(F1924*G1924/100,2)</x:f>
        <x:v>35</x:v>
      </x:c>
      <x:c r="I1924" t="n">
        <x:v>0.9</x:v>
      </x:c>
      <x:c r="J1924" t="n">
        <x:f>ROUND(F1924*I1924/100,2)</x:f>
        <x:v>1.58</x:v>
      </x:c>
      <x:c r="K1924" t="n">
        <x:v>4</x:v>
      </x:c>
      <x:c r="L1924" t="n">
        <x:f>ROUND(F1924*K1924/100,2)</x:f>
        <x:v>7</x:v>
      </x:c>
      <x:c r="M1924" t="n">
        <x:v>0.2</x:v>
      </x:c>
      <x:c r="N1924" t="n">
        <x:f>ROUND(F1924*M1924/100,2)</x:f>
        <x:v>0.35</x:v>
      </x:c>
      <x:c r="O1924" t="str">
        <x:v>生重</x:v>
      </x:c>
    </x:row>
    <x:row r="1925" ht="23" customHeight="1">
      <x:c r="A1925" t="n">
        <x:v>321</x:v>
      </x:c>
      <x:c r="B1925" t="n">
        <x:v>161</x:v>
      </x:c>
      <x:c r="C1925" t="str">
        <x:v>午餐</x:v>
      </x:c>
      <x:c r="D1925" t="str">
        <x:v>蔬菜</x:v>
      </x:c>
      <x:c r="E1925" t="str">
        <x:v>海带</x:v>
      </x:c>
      <x:c r="F1925" t="n">
        <x:v>140</x:v>
      </x:c>
      <x:c r="G1925" t="n">
        <x:v>25</x:v>
      </x:c>
      <x:c r="H1925" t="n">
        <x:f>ROUND(F1925*G1925/100,2)</x:f>
        <x:v>35</x:v>
      </x:c>
      <x:c r="I1925" t="n">
        <x:v>1</x:v>
      </x:c>
      <x:c r="J1925" t="n">
        <x:f>ROUND(F1925*I1925/100,2)</x:f>
        <x:v>1.4</x:v>
      </x:c>
      <x:c r="K1925" t="n">
        <x:v>5</x:v>
      </x:c>
      <x:c r="L1925" t="n">
        <x:f>ROUND(F1925*K1925/100,2)</x:f>
        <x:v>7</x:v>
      </x:c>
      <x:c r="M1925" t="n">
        <x:v>0.1</x:v>
      </x:c>
      <x:c r="N1925" t="n">
        <x:f>ROUND(F1925*M1925/100,2)</x:f>
        <x:v>0.14</x:v>
      </x:c>
      <x:c r="O1925" t="str">
        <x:v>泡发沥水重</x:v>
      </x:c>
    </x:row>
    <x:row r="1926" ht="23" customHeight="1">
      <x:c r="A1926" t="n">
        <x:v>321</x:v>
      </x:c>
      <x:c r="B1926" t="n">
        <x:v>161</x:v>
      </x:c>
      <x:c r="C1926" t="str">
        <x:v>午餐</x:v>
      </x:c>
      <x:c r="D1926" t="str">
        <x:v>主食</x:v>
      </x:c>
      <x:c r="E1926" t="str">
        <x:v>白米饭</x:v>
      </x:c>
      <x:c r="F1926" t="n">
        <x:v>150</x:v>
      </x:c>
      <x:c r="G1926" t="n">
        <x:v>116</x:v>
      </x:c>
      <x:c r="H1926" t="n">
        <x:f>ROUND(F1926*G1926/100,2)</x:f>
        <x:v>174</x:v>
      </x:c>
      <x:c r="I1926" t="n">
        <x:v>2.6</x:v>
      </x:c>
      <x:c r="J1926" t="n">
        <x:f>ROUND(F1926*I1926/100,2)</x:f>
        <x:v>3.9</x:v>
      </x:c>
      <x:c r="K1926" t="n">
        <x:v>25.6</x:v>
      </x:c>
      <x:c r="L1926" t="n">
        <x:f>ROUND(F1926*K1926/100,2)</x:f>
        <x:v>38.4</x:v>
      </x:c>
      <x:c r="M1926" t="n">
        <x:v>0.3</x:v>
      </x:c>
      <x:c r="N1926" t="n">
        <x:f>ROUND(F1926*M1926/100,2)</x:f>
        <x:v>0.45</x:v>
      </x:c>
      <x:c r="O1926" t="str">
        <x:v>熟重</x:v>
      </x:c>
    </x:row>
    <x:row r="1927" ht="23" customHeight="1">
      <x:c r="A1927" t="n">
        <x:v>321</x:v>
      </x:c>
      <x:c r="B1927" t="n">
        <x:v>161</x:v>
      </x:c>
      <x:c r="C1927" t="str">
        <x:v>午餐</x:v>
      </x:c>
      <x:c r="D1927" t="str">
        <x:v>油脂</x:v>
      </x:c>
      <x:c r="E1927" t="str">
        <x:v>烹调油</x:v>
      </x:c>
      <x:c r="F1927" t="n">
        <x:v>3</x:v>
      </x:c>
      <x:c r="G1927" t="n">
        <x:v>900</x:v>
      </x:c>
      <x:c r="H1927" t="n">
        <x:f>ROUND(F1927*G1927/100,2)</x:f>
        <x:v>27</x:v>
      </x:c>
      <x:c r="I1927" t="n">
        <x:v>0</x:v>
      </x:c>
      <x:c r="J1927" t="n">
        <x:f>ROUND(F1927*I1927/100,2)</x:f>
        <x:v>0</x:v>
      </x:c>
      <x:c r="K1927" t="n">
        <x:v>0</x:v>
      </x:c>
      <x:c r="L1927" t="n">
        <x:f>ROUND(F1927*K1927/100,2)</x:f>
        <x:v>0</x:v>
      </x:c>
      <x:c r="M1927" t="n">
        <x:v>100</x:v>
      </x:c>
      <x:c r="N1927" t="n">
        <x:f>ROUND(F1927*M1927/100,2)</x:f>
        <x:v>3</x:v>
      </x:c>
      <x:c r="O1927" t="str">
        <x:v>实际用油重</x:v>
      </x:c>
    </x:row>
    <x:row r="1928" ht="23" customHeight="1">
      <x:c r="A1928" t="n">
        <x:v>322</x:v>
      </x:c>
      <x:c r="B1928" t="n">
        <x:v>161</x:v>
      </x:c>
      <x:c r="C1928" t="str">
        <x:v>晚餐</x:v>
      </x:c>
      <x:c r="D1928" t="str">
        <x:v>禽肉</x:v>
      </x:c>
      <x:c r="E1928" t="str">
        <x:v>去皮鸡腿肉</x:v>
      </x:c>
      <x:c r="F1928" t="n">
        <x:v>180</x:v>
      </x:c>
      <x:c r="G1928" t="n">
        <x:v>125</x:v>
      </x:c>
      <x:c r="H1928" t="n">
        <x:f>ROUND(F1928*G1928/100,2)</x:f>
        <x:v>225</x:v>
      </x:c>
      <x:c r="I1928" t="n">
        <x:v>20</x:v>
      </x:c>
      <x:c r="J1928" t="n">
        <x:f>ROUND(F1928*I1928/100,2)</x:f>
        <x:v>36</x:v>
      </x:c>
      <x:c r="K1928" t="n">
        <x:v>0</x:v>
      </x:c>
      <x:c r="L1928" t="n">
        <x:f>ROUND(F1928*K1928/100,2)</x:f>
        <x:v>0</x:v>
      </x:c>
      <x:c r="M1928" t="n">
        <x:v>5</x:v>
      </x:c>
      <x:c r="N1928" t="n">
        <x:f>ROUND(F1928*M1928/100,2)</x:f>
        <x:v>9</x:v>
      </x:c>
      <x:c r="O1928" t="str">
        <x:v>生重</x:v>
      </x:c>
    </x:row>
    <x:row r="1929" ht="23" customHeight="1">
      <x:c r="A1929" t="n">
        <x:v>322</x:v>
      </x:c>
      <x:c r="B1929" t="n">
        <x:v>161</x:v>
      </x:c>
      <x:c r="C1929" t="str">
        <x:v>晚餐</x:v>
      </x:c>
      <x:c r="D1929" t="str"/>
      <x:c r="E1929" t="str"/>
      <x:c r="F1929" t="n">
        <x:v>0</x:v>
      </x:c>
      <x:c r="G1929" t="n">
        <x:v>0</x:v>
      </x:c>
      <x:c r="H1929" t="n">
        <x:f>ROUND(F1929*G1929/100,2)</x:f>
        <x:v>0</x:v>
      </x:c>
      <x:c r="I1929" t="n">
        <x:v>0</x:v>
      </x:c>
      <x:c r="J1929" t="n">
        <x:f>ROUND(F1929*I1929/100,2)</x:f>
        <x:v>0</x:v>
      </x:c>
      <x:c r="K1929" t="n">
        <x:v>0</x:v>
      </x:c>
      <x:c r="L1929" t="n">
        <x:f>ROUND(F1929*K1929/100,2)</x:f>
        <x:v>0</x:v>
      </x:c>
      <x:c r="M1929" t="n">
        <x:v>0</x:v>
      </x:c>
      <x:c r="N1929" t="n">
        <x:f>ROUND(F1929*M1929/100,2)</x:f>
        <x:v>0</x:v>
      </x:c>
      <x:c r="O1929" t="str"/>
    </x:row>
    <x:row r="1930" ht="23" customHeight="1">
      <x:c r="A1930" t="n">
        <x:v>322</x:v>
      </x:c>
      <x:c r="B1930" t="n">
        <x:v>161</x:v>
      </x:c>
      <x:c r="C1930" t="str">
        <x:v>晚餐</x:v>
      </x:c>
      <x:c r="D1930" t="str">
        <x:v>蔬菜</x:v>
      </x:c>
      <x:c r="E1930" t="str">
        <x:v>菠菜</x:v>
      </x:c>
      <x:c r="F1930" t="n">
        <x:v>160</x:v>
      </x:c>
      <x:c r="G1930" t="n">
        <x:v>23</x:v>
      </x:c>
      <x:c r="H1930" t="n">
        <x:f>ROUND(F1930*G1930/100,2)</x:f>
        <x:v>36.8</x:v>
      </x:c>
      <x:c r="I1930" t="n">
        <x:v>2.9</x:v>
      </x:c>
      <x:c r="J1930" t="n">
        <x:f>ROUND(F1930*I1930/100,2)</x:f>
        <x:v>4.64</x:v>
      </x:c>
      <x:c r="K1930" t="n">
        <x:v>3.6</x:v>
      </x:c>
      <x:c r="L1930" t="n">
        <x:f>ROUND(F1930*K1930/100,2)</x:f>
        <x:v>5.76</x:v>
      </x:c>
      <x:c r="M1930" t="n">
        <x:v>0.4</x:v>
      </x:c>
      <x:c r="N1930" t="n">
        <x:f>ROUND(F1930*M1930/100,2)</x:f>
        <x:v>0.64</x:v>
      </x:c>
      <x:c r="O1930" t="str">
        <x:v>生重</x:v>
      </x:c>
    </x:row>
    <x:row r="1931" ht="23" customHeight="1">
      <x:c r="A1931" t="n">
        <x:v>322</x:v>
      </x:c>
      <x:c r="B1931" t="n">
        <x:v>161</x:v>
      </x:c>
      <x:c r="C1931" t="str">
        <x:v>晚餐</x:v>
      </x:c>
      <x:c r="D1931" t="str">
        <x:v>蔬菜</x:v>
      </x:c>
      <x:c r="E1931" t="str">
        <x:v>海带</x:v>
      </x:c>
      <x:c r="F1931" t="n">
        <x:v>110</x:v>
      </x:c>
      <x:c r="G1931" t="n">
        <x:v>25</x:v>
      </x:c>
      <x:c r="H1931" t="n">
        <x:f>ROUND(F1931*G1931/100,2)</x:f>
        <x:v>27.5</x:v>
      </x:c>
      <x:c r="I1931" t="n">
        <x:v>1</x:v>
      </x:c>
      <x:c r="J1931" t="n">
        <x:f>ROUND(F1931*I1931/100,2)</x:f>
        <x:v>1.1</x:v>
      </x:c>
      <x:c r="K1931" t="n">
        <x:v>5</x:v>
      </x:c>
      <x:c r="L1931" t="n">
        <x:f>ROUND(F1931*K1931/100,2)</x:f>
        <x:v>5.5</x:v>
      </x:c>
      <x:c r="M1931" t="n">
        <x:v>0.1</x:v>
      </x:c>
      <x:c r="N1931" t="n">
        <x:f>ROUND(F1931*M1931/100,2)</x:f>
        <x:v>0.11</x:v>
      </x:c>
      <x:c r="O1931" t="str">
        <x:v>泡发沥水重</x:v>
      </x:c>
    </x:row>
    <x:row r="1932" ht="23" customHeight="1">
      <x:c r="A1932" t="n">
        <x:v>322</x:v>
      </x:c>
      <x:c r="B1932" t="n">
        <x:v>161</x:v>
      </x:c>
      <x:c r="C1932" t="str">
        <x:v>晚餐</x:v>
      </x:c>
      <x:c r="D1932" t="str">
        <x:v>主食</x:v>
      </x:c>
      <x:c r="E1932" t="str">
        <x:v>荞麦饭</x:v>
      </x:c>
      <x:c r="F1932" t="n">
        <x:v>125</x:v>
      </x:c>
      <x:c r="G1932" t="n">
        <x:v>110</x:v>
      </x:c>
      <x:c r="H1932" t="n">
        <x:f>ROUND(F1932*G1932/100,2)</x:f>
        <x:v>137.5</x:v>
      </x:c>
      <x:c r="I1932" t="n">
        <x:v>3.4</x:v>
      </x:c>
      <x:c r="J1932" t="n">
        <x:f>ROUND(F1932*I1932/100,2)</x:f>
        <x:v>4.25</x:v>
      </x:c>
      <x:c r="K1932" t="n">
        <x:v>22</x:v>
      </x:c>
      <x:c r="L1932" t="n">
        <x:f>ROUND(F1932*K1932/100,2)</x:f>
        <x:v>27.5</x:v>
      </x:c>
      <x:c r="M1932" t="n">
        <x:v>1.1</x:v>
      </x:c>
      <x:c r="N1932" t="n">
        <x:f>ROUND(F1932*M1932/100,2)</x:f>
        <x:v>1.38</x:v>
      </x:c>
      <x:c r="O1932" t="str">
        <x:v>熟重</x:v>
      </x:c>
    </x:row>
    <x:row r="1933" ht="23" customHeight="1">
      <x:c r="A1933" t="n">
        <x:v>322</x:v>
      </x:c>
      <x:c r="B1933" t="n">
        <x:v>161</x:v>
      </x:c>
      <x:c r="C1933" t="str">
        <x:v>晚餐</x:v>
      </x:c>
      <x:c r="D1933" t="str">
        <x:v>油脂</x:v>
      </x:c>
      <x:c r="E1933" t="str">
        <x:v>烹调油</x:v>
      </x:c>
      <x:c r="F1933" t="n">
        <x:v>5</x:v>
      </x:c>
      <x:c r="G1933" t="n">
        <x:v>900</x:v>
      </x:c>
      <x:c r="H1933" t="n">
        <x:f>ROUND(F1933*G1933/100,2)</x:f>
        <x:v>45</x:v>
      </x:c>
      <x:c r="I1933" t="n">
        <x:v>0</x:v>
      </x:c>
      <x:c r="J1933" t="n">
        <x:f>ROUND(F1933*I1933/100,2)</x:f>
        <x:v>0</x:v>
      </x:c>
      <x:c r="K1933" t="n">
        <x:v>0</x:v>
      </x:c>
      <x:c r="L1933" t="n">
        <x:f>ROUND(F1933*K1933/100,2)</x:f>
        <x:v>0</x:v>
      </x:c>
      <x:c r="M1933" t="n">
        <x:v>100</x:v>
      </x:c>
      <x:c r="N1933" t="n">
        <x:f>ROUND(F1933*M1933/100,2)</x:f>
        <x:v>5</x:v>
      </x:c>
      <x:c r="O1933" t="str">
        <x:v>实际用油重</x:v>
      </x:c>
    </x:row>
    <x:row r="1934" ht="23" customHeight="1">
      <x:c r="A1934" t="n">
        <x:v>323</x:v>
      </x:c>
      <x:c r="B1934" t="n">
        <x:v>162</x:v>
      </x:c>
      <x:c r="C1934" t="str">
        <x:v>午餐</x:v>
      </x:c>
      <x:c r="D1934" t="str">
        <x:v>猪肉</x:v>
      </x:c>
      <x:c r="E1934" t="str">
        <x:v>猪里脊</x:v>
      </x:c>
      <x:c r="F1934" t="n">
        <x:v>185</x:v>
      </x:c>
      <x:c r="G1934" t="n">
        <x:v>120</x:v>
      </x:c>
      <x:c r="H1934" t="n">
        <x:f>ROUND(F1934*G1934/100,2)</x:f>
        <x:v>222</x:v>
      </x:c>
      <x:c r="I1934" t="n">
        <x:v>21</x:v>
      </x:c>
      <x:c r="J1934" t="n">
        <x:f>ROUND(F1934*I1934/100,2)</x:f>
        <x:v>38.85</x:v>
      </x:c>
      <x:c r="K1934" t="n">
        <x:v>0</x:v>
      </x:c>
      <x:c r="L1934" t="n">
        <x:f>ROUND(F1934*K1934/100,2)</x:f>
        <x:v>0</x:v>
      </x:c>
      <x:c r="M1934" t="n">
        <x:v>3.5</x:v>
      </x:c>
      <x:c r="N1934" t="n">
        <x:f>ROUND(F1934*M1934/100,2)</x:f>
        <x:v>6.48</x:v>
      </x:c>
      <x:c r="O1934" t="str">
        <x:v>生重</x:v>
      </x:c>
    </x:row>
    <x:row r="1935" ht="23" customHeight="1">
      <x:c r="A1935" t="n">
        <x:v>323</x:v>
      </x:c>
      <x:c r="B1935" t="n">
        <x:v>162</x:v>
      </x:c>
      <x:c r="C1935" t="str">
        <x:v>午餐</x:v>
      </x:c>
      <x:c r="D1935" t="str"/>
      <x:c r="E1935" t="str"/>
      <x:c r="F1935" t="n">
        <x:v>0</x:v>
      </x:c>
      <x:c r="G1935" t="n">
        <x:v>0</x:v>
      </x:c>
      <x:c r="H1935" t="n">
        <x:f>ROUND(F1935*G1935/100,2)</x:f>
        <x:v>0</x:v>
      </x:c>
      <x:c r="I1935" t="n">
        <x:v>0</x:v>
      </x:c>
      <x:c r="J1935" t="n">
        <x:f>ROUND(F1935*I1935/100,2)</x:f>
        <x:v>0</x:v>
      </x:c>
      <x:c r="K1935" t="n">
        <x:v>0</x:v>
      </x:c>
      <x:c r="L1935" t="n">
        <x:f>ROUND(F1935*K1935/100,2)</x:f>
        <x:v>0</x:v>
      </x:c>
      <x:c r="M1935" t="n">
        <x:v>0</x:v>
      </x:c>
      <x:c r="N1935" t="n">
        <x:f>ROUND(F1935*M1935/100,2)</x:f>
        <x:v>0</x:v>
      </x:c>
      <x:c r="O1935" t="str"/>
    </x:row>
    <x:row r="1936" ht="23" customHeight="1">
      <x:c r="A1936" t="n">
        <x:v>323</x:v>
      </x:c>
      <x:c r="B1936" t="n">
        <x:v>162</x:v>
      </x:c>
      <x:c r="C1936" t="str">
        <x:v>午餐</x:v>
      </x:c>
      <x:c r="D1936" t="str">
        <x:v>蔬菜</x:v>
      </x:c>
      <x:c r="E1936" t="str">
        <x:v>紫甘蓝</x:v>
      </x:c>
      <x:c r="F1936" t="n">
        <x:v>175</x:v>
      </x:c>
      <x:c r="G1936" t="n">
        <x:v>31</x:v>
      </x:c>
      <x:c r="H1936" t="n">
        <x:f>ROUND(F1936*G1936/100,2)</x:f>
        <x:v>54.25</x:v>
      </x:c>
      <x:c r="I1936" t="n">
        <x:v>1.4</x:v>
      </x:c>
      <x:c r="J1936" t="n">
        <x:f>ROUND(F1936*I1936/100,2)</x:f>
        <x:v>2.45</x:v>
      </x:c>
      <x:c r="K1936" t="n">
        <x:v>7.3</x:v>
      </x:c>
      <x:c r="L1936" t="n">
        <x:f>ROUND(F1936*K1936/100,2)</x:f>
        <x:v>12.78</x:v>
      </x:c>
      <x:c r="M1936" t="n">
        <x:v>0.1</x:v>
      </x:c>
      <x:c r="N1936" t="n">
        <x:f>ROUND(F1936*M1936/100,2)</x:f>
        <x:v>0.18</x:v>
      </x:c>
      <x:c r="O1936" t="str">
        <x:v>生重</x:v>
      </x:c>
    </x:row>
    <x:row r="1937" ht="23" customHeight="1">
      <x:c r="A1937" t="n">
        <x:v>323</x:v>
      </x:c>
      <x:c r="B1937" t="n">
        <x:v>162</x:v>
      </x:c>
      <x:c r="C1937" t="str">
        <x:v>午餐</x:v>
      </x:c>
      <x:c r="D1937" t="str">
        <x:v>蔬菜</x:v>
      </x:c>
      <x:c r="E1937" t="str">
        <x:v>花菜</x:v>
      </x:c>
      <x:c r="F1937" t="n">
        <x:v>155</x:v>
      </x:c>
      <x:c r="G1937" t="n">
        <x:v>25</x:v>
      </x:c>
      <x:c r="H1937" t="n">
        <x:f>ROUND(F1937*G1937/100,2)</x:f>
        <x:v>38.75</x:v>
      </x:c>
      <x:c r="I1937" t="n">
        <x:v>2</x:v>
      </x:c>
      <x:c r="J1937" t="n">
        <x:f>ROUND(F1937*I1937/100,2)</x:f>
        <x:v>3.1</x:v>
      </x:c>
      <x:c r="K1937" t="n">
        <x:v>5</x:v>
      </x:c>
      <x:c r="L1937" t="n">
        <x:f>ROUND(F1937*K1937/100,2)</x:f>
        <x:v>7.75</x:v>
      </x:c>
      <x:c r="M1937" t="n">
        <x:v>0.3</x:v>
      </x:c>
      <x:c r="N1937" t="n">
        <x:f>ROUND(F1937*M1937/100,2)</x:f>
        <x:v>0.47</x:v>
      </x:c>
      <x:c r="O1937" t="str">
        <x:v>生重</x:v>
      </x:c>
    </x:row>
    <x:row r="1938" ht="23" customHeight="1">
      <x:c r="A1938" t="n">
        <x:v>323</x:v>
      </x:c>
      <x:c r="B1938" t="n">
        <x:v>162</x:v>
      </x:c>
      <x:c r="C1938" t="str">
        <x:v>午餐</x:v>
      </x:c>
      <x:c r="D1938" t="str">
        <x:v>主食</x:v>
      </x:c>
      <x:c r="E1938" t="str">
        <x:v>糙米饭</x:v>
      </x:c>
      <x:c r="F1938" t="n">
        <x:v>165</x:v>
      </x:c>
      <x:c r="G1938" t="n">
        <x:v>112</x:v>
      </x:c>
      <x:c r="H1938" t="n">
        <x:f>ROUND(F1938*G1938/100,2)</x:f>
        <x:v>184.8</x:v>
      </x:c>
      <x:c r="I1938" t="n">
        <x:v>2.6</x:v>
      </x:c>
      <x:c r="J1938" t="n">
        <x:f>ROUND(F1938*I1938/100,2)</x:f>
        <x:v>4.29</x:v>
      </x:c>
      <x:c r="K1938" t="n">
        <x:v>23.5</x:v>
      </x:c>
      <x:c r="L1938" t="n">
        <x:f>ROUND(F1938*K1938/100,2)</x:f>
        <x:v>38.78</x:v>
      </x:c>
      <x:c r="M1938" t="n">
        <x:v>0.9</x:v>
      </x:c>
      <x:c r="N1938" t="n">
        <x:f>ROUND(F1938*M1938/100,2)</x:f>
        <x:v>1.49</x:v>
      </x:c>
      <x:c r="O1938" t="str">
        <x:v>熟重</x:v>
      </x:c>
    </x:row>
    <x:row r="1939" ht="23" customHeight="1">
      <x:c r="A1939" t="n">
        <x:v>323</x:v>
      </x:c>
      <x:c r="B1939" t="n">
        <x:v>162</x:v>
      </x:c>
      <x:c r="C1939" t="str">
        <x:v>午餐</x:v>
      </x:c>
      <x:c r="D1939" t="str">
        <x:v>油脂</x:v>
      </x:c>
      <x:c r="E1939" t="str">
        <x:v>烹调油</x:v>
      </x:c>
      <x:c r="F1939" t="n">
        <x:v>3</x:v>
      </x:c>
      <x:c r="G1939" t="n">
        <x:v>900</x:v>
      </x:c>
      <x:c r="H1939" t="n">
        <x:f>ROUND(F1939*G1939/100,2)</x:f>
        <x:v>27</x:v>
      </x:c>
      <x:c r="I1939" t="n">
        <x:v>0</x:v>
      </x:c>
      <x:c r="J1939" t="n">
        <x:f>ROUND(F1939*I1939/100,2)</x:f>
        <x:v>0</x:v>
      </x:c>
      <x:c r="K1939" t="n">
        <x:v>0</x:v>
      </x:c>
      <x:c r="L1939" t="n">
        <x:f>ROUND(F1939*K1939/100,2)</x:f>
        <x:v>0</x:v>
      </x:c>
      <x:c r="M1939" t="n">
        <x:v>100</x:v>
      </x:c>
      <x:c r="N1939" t="n">
        <x:f>ROUND(F1939*M1939/100,2)</x:f>
        <x:v>3</x:v>
      </x:c>
      <x:c r="O1939" t="str">
        <x:v>实际用油重</x:v>
      </x:c>
    </x:row>
    <x:row r="1940" ht="23" customHeight="1">
      <x:c r="A1940" t="n">
        <x:v>324</x:v>
      </x:c>
      <x:c r="B1940" t="n">
        <x:v>162</x:v>
      </x:c>
      <x:c r="C1940" t="str">
        <x:v>晚餐</x:v>
      </x:c>
      <x:c r="D1940" t="str">
        <x:v>豆蛋</x:v>
      </x:c>
      <x:c r="E1940" t="str">
        <x:v>北豆腐</x:v>
      </x:c>
      <x:c r="F1940" t="n">
        <x:v>260</x:v>
      </x:c>
      <x:c r="G1940" t="n">
        <x:v>90</x:v>
      </x:c>
      <x:c r="H1940" t="n">
        <x:f>ROUND(F1940*G1940/100,2)</x:f>
        <x:v>234</x:v>
      </x:c>
      <x:c r="I1940" t="n">
        <x:v>10</x:v>
      </x:c>
      <x:c r="J1940" t="n">
        <x:f>ROUND(F1940*I1940/100,2)</x:f>
        <x:v>26</x:v>
      </x:c>
      <x:c r="K1940" t="n">
        <x:v>2</x:v>
      </x:c>
      <x:c r="L1940" t="n">
        <x:f>ROUND(F1940*K1940/100,2)</x:f>
        <x:v>5.2</x:v>
      </x:c>
      <x:c r="M1940" t="n">
        <x:v>5</x:v>
      </x:c>
      <x:c r="N1940" t="n">
        <x:f>ROUND(F1940*M1940/100,2)</x:f>
        <x:v>13</x:v>
      </x:c>
      <x:c r="O1940" t="str">
        <x:v>净重</x:v>
      </x:c>
    </x:row>
    <x:row r="1941" ht="23" customHeight="1">
      <x:c r="A1941" t="n">
        <x:v>324</x:v>
      </x:c>
      <x:c r="B1941" t="n">
        <x:v>162</x:v>
      </x:c>
      <x:c r="C1941" t="str">
        <x:v>晚餐</x:v>
      </x:c>
      <x:c r="D1941" t="str">
        <x:v>豆蛋</x:v>
      </x:c>
      <x:c r="E1941" t="str">
        <x:v>熟毛豆仁</x:v>
      </x:c>
      <x:c r="F1941" t="n">
        <x:v>70</x:v>
      </x:c>
      <x:c r="G1941" t="n">
        <x:v>120</x:v>
      </x:c>
      <x:c r="H1941" t="n">
        <x:f>ROUND(F1941*G1941/100,2)</x:f>
        <x:v>84</x:v>
      </x:c>
      <x:c r="I1941" t="n">
        <x:v>12</x:v>
      </x:c>
      <x:c r="J1941" t="n">
        <x:f>ROUND(F1941*I1941/100,2)</x:f>
        <x:v>8.4</x:v>
      </x:c>
      <x:c r="K1941" t="n">
        <x:v>9</x:v>
      </x:c>
      <x:c r="L1941" t="n">
        <x:f>ROUND(F1941*K1941/100,2)</x:f>
        <x:v>6.3</x:v>
      </x:c>
      <x:c r="M1941" t="n">
        <x:v>5</x:v>
      </x:c>
      <x:c r="N1941" t="n">
        <x:f>ROUND(F1941*M1941/100,2)</x:f>
        <x:v>3.5</x:v>
      </x:c>
      <x:c r="O1941" t="str">
        <x:v>熟重</x:v>
      </x:c>
    </x:row>
    <x:row r="1942" ht="23" customHeight="1">
      <x:c r="A1942" t="n">
        <x:v>324</x:v>
      </x:c>
      <x:c r="B1942" t="n">
        <x:v>162</x:v>
      </x:c>
      <x:c r="C1942" t="str">
        <x:v>晚餐</x:v>
      </x:c>
      <x:c r="D1942" t="str">
        <x:v>蔬菜</x:v>
      </x:c>
      <x:c r="E1942" t="str">
        <x:v>番茄</x:v>
      </x:c>
      <x:c r="F1942" t="n">
        <x:v>175</x:v>
      </x:c>
      <x:c r="G1942" t="n">
        <x:v>20</x:v>
      </x:c>
      <x:c r="H1942" t="n">
        <x:f>ROUND(F1942*G1942/100,2)</x:f>
        <x:v>35</x:v>
      </x:c>
      <x:c r="I1942" t="n">
        <x:v>0.9</x:v>
      </x:c>
      <x:c r="J1942" t="n">
        <x:f>ROUND(F1942*I1942/100,2)</x:f>
        <x:v>1.58</x:v>
      </x:c>
      <x:c r="K1942" t="n">
        <x:v>4</x:v>
      </x:c>
      <x:c r="L1942" t="n">
        <x:f>ROUND(F1942*K1942/100,2)</x:f>
        <x:v>7</x:v>
      </x:c>
      <x:c r="M1942" t="n">
        <x:v>0.2</x:v>
      </x:c>
      <x:c r="N1942" t="n">
        <x:f>ROUND(F1942*M1942/100,2)</x:f>
        <x:v>0.35</x:v>
      </x:c>
      <x:c r="O1942" t="str">
        <x:v>生重</x:v>
      </x:c>
    </x:row>
    <x:row r="1943" ht="23" customHeight="1">
      <x:c r="A1943" t="n">
        <x:v>324</x:v>
      </x:c>
      <x:c r="B1943" t="n">
        <x:v>162</x:v>
      </x:c>
      <x:c r="C1943" t="str">
        <x:v>晚餐</x:v>
      </x:c>
      <x:c r="D1943" t="str">
        <x:v>蔬菜</x:v>
      </x:c>
      <x:c r="E1943" t="str">
        <x:v>胡萝卜</x:v>
      </x:c>
      <x:c r="F1943" t="n">
        <x:v>125</x:v>
      </x:c>
      <x:c r="G1943" t="n">
        <x:v>41</x:v>
      </x:c>
      <x:c r="H1943" t="n">
        <x:f>ROUND(F1943*G1943/100,2)</x:f>
        <x:v>51.25</x:v>
      </x:c>
      <x:c r="I1943" t="n">
        <x:v>0.9</x:v>
      </x:c>
      <x:c r="J1943" t="n">
        <x:f>ROUND(F1943*I1943/100,2)</x:f>
        <x:v>1.13</x:v>
      </x:c>
      <x:c r="K1943" t="n">
        <x:v>10</x:v>
      </x:c>
      <x:c r="L1943" t="n">
        <x:f>ROUND(F1943*K1943/100,2)</x:f>
        <x:v>12.5</x:v>
      </x:c>
      <x:c r="M1943" t="n">
        <x:v>0.2</x:v>
      </x:c>
      <x:c r="N1943" t="n">
        <x:f>ROUND(F1943*M1943/100,2)</x:f>
        <x:v>0.25</x:v>
      </x:c>
      <x:c r="O1943" t="str">
        <x:v>生重</x:v>
      </x:c>
    </x:row>
    <x:row r="1944" ht="23" customHeight="1">
      <x:c r="A1944" t="n">
        <x:v>324</x:v>
      </x:c>
      <x:c r="B1944" t="n">
        <x:v>162</x:v>
      </x:c>
      <x:c r="C1944" t="str">
        <x:v>晚餐</x:v>
      </x:c>
      <x:c r="D1944" t="str">
        <x:v>主食</x:v>
      </x:c>
      <x:c r="E1944" t="str">
        <x:v>荞麦饭</x:v>
      </x:c>
      <x:c r="F1944" t="n">
        <x:v>135</x:v>
      </x:c>
      <x:c r="G1944" t="n">
        <x:v>110</x:v>
      </x:c>
      <x:c r="H1944" t="n">
        <x:f>ROUND(F1944*G1944/100,2)</x:f>
        <x:v>148.5</x:v>
      </x:c>
      <x:c r="I1944" t="n">
        <x:v>3.4</x:v>
      </x:c>
      <x:c r="J1944" t="n">
        <x:f>ROUND(F1944*I1944/100,2)</x:f>
        <x:v>4.59</x:v>
      </x:c>
      <x:c r="K1944" t="n">
        <x:v>22</x:v>
      </x:c>
      <x:c r="L1944" t="n">
        <x:f>ROUND(F1944*K1944/100,2)</x:f>
        <x:v>29.7</x:v>
      </x:c>
      <x:c r="M1944" t="n">
        <x:v>1.1</x:v>
      </x:c>
      <x:c r="N1944" t="n">
        <x:f>ROUND(F1944*M1944/100,2)</x:f>
        <x:v>1.49</x:v>
      </x:c>
      <x:c r="O1944" t="str">
        <x:v>熟重</x:v>
      </x:c>
    </x:row>
    <x:row r="1945" ht="23" customHeight="1">
      <x:c r="A1945" t="n">
        <x:v>324</x:v>
      </x:c>
      <x:c r="B1945" t="n">
        <x:v>162</x:v>
      </x:c>
      <x:c r="C1945" t="str">
        <x:v>晚餐</x:v>
      </x:c>
      <x:c r="D1945" t="str">
        <x:v>油脂</x:v>
      </x:c>
      <x:c r="E1945" t="str">
        <x:v>烹调油</x:v>
      </x:c>
      <x:c r="F1945" t="n">
        <x:v>4</x:v>
      </x:c>
      <x:c r="G1945" t="n">
        <x:v>900</x:v>
      </x:c>
      <x:c r="H1945" t="n">
        <x:f>ROUND(F1945*G1945/100,2)</x:f>
        <x:v>36</x:v>
      </x:c>
      <x:c r="I1945" t="n">
        <x:v>0</x:v>
      </x:c>
      <x:c r="J1945" t="n">
        <x:f>ROUND(F1945*I1945/100,2)</x:f>
        <x:v>0</x:v>
      </x:c>
      <x:c r="K1945" t="n">
        <x:v>0</x:v>
      </x:c>
      <x:c r="L1945" t="n">
        <x:f>ROUND(F1945*K1945/100,2)</x:f>
        <x:v>0</x:v>
      </x:c>
      <x:c r="M1945" t="n">
        <x:v>100</x:v>
      </x:c>
      <x:c r="N1945" t="n">
        <x:f>ROUND(F1945*M1945/100,2)</x:f>
        <x:v>4</x:v>
      </x:c>
      <x:c r="O1945" t="str">
        <x:v>实际用油重</x:v>
      </x:c>
    </x:row>
    <x:row r="1946" ht="23" customHeight="1">
      <x:c r="A1946" t="n">
        <x:v>325</x:v>
      </x:c>
      <x:c r="B1946" t="n">
        <x:v>163</x:v>
      </x:c>
      <x:c r="C1946" t="str">
        <x:v>午餐</x:v>
      </x:c>
      <x:c r="D1946" t="str">
        <x:v>禽肉</x:v>
      </x:c>
      <x:c r="E1946" t="str">
        <x:v>鸡胸肉</x:v>
      </x:c>
      <x:c r="F1946" t="n">
        <x:v>175</x:v>
      </x:c>
      <x:c r="G1946" t="n">
        <x:v>110</x:v>
      </x:c>
      <x:c r="H1946" t="n">
        <x:f>ROUND(F1946*G1946/100,2)</x:f>
        <x:v>192.5</x:v>
      </x:c>
      <x:c r="I1946" t="n">
        <x:v>23</x:v>
      </x:c>
      <x:c r="J1946" t="n">
        <x:f>ROUND(F1946*I1946/100,2)</x:f>
        <x:v>40.25</x:v>
      </x:c>
      <x:c r="K1946" t="n">
        <x:v>0</x:v>
      </x:c>
      <x:c r="L1946" t="n">
        <x:f>ROUND(F1946*K1946/100,2)</x:f>
        <x:v>0</x:v>
      </x:c>
      <x:c r="M1946" t="n">
        <x:v>2</x:v>
      </x:c>
      <x:c r="N1946" t="n">
        <x:f>ROUND(F1946*M1946/100,2)</x:f>
        <x:v>3.5</x:v>
      </x:c>
      <x:c r="O1946" t="str">
        <x:v>生重</x:v>
      </x:c>
    </x:row>
    <x:row r="1947" ht="23" customHeight="1">
      <x:c r="A1947" t="n">
        <x:v>325</x:v>
      </x:c>
      <x:c r="B1947" t="n">
        <x:v>163</x:v>
      </x:c>
      <x:c r="C1947" t="str">
        <x:v>午餐</x:v>
      </x:c>
      <x:c r="D1947" t="str">
        <x:v>豆蛋</x:v>
      </x:c>
      <x:c r="E1947" t="str">
        <x:v>熟毛豆仁</x:v>
      </x:c>
      <x:c r="F1947" t="n">
        <x:v>70</x:v>
      </x:c>
      <x:c r="G1947" t="n">
        <x:v>120</x:v>
      </x:c>
      <x:c r="H1947" t="n">
        <x:f>ROUND(F1947*G1947/100,2)</x:f>
        <x:v>84</x:v>
      </x:c>
      <x:c r="I1947" t="n">
        <x:v>12</x:v>
      </x:c>
      <x:c r="J1947" t="n">
        <x:f>ROUND(F1947*I1947/100,2)</x:f>
        <x:v>8.4</x:v>
      </x:c>
      <x:c r="K1947" t="n">
        <x:v>9</x:v>
      </x:c>
      <x:c r="L1947" t="n">
        <x:f>ROUND(F1947*K1947/100,2)</x:f>
        <x:v>6.3</x:v>
      </x:c>
      <x:c r="M1947" t="n">
        <x:v>5</x:v>
      </x:c>
      <x:c r="N1947" t="n">
        <x:f>ROUND(F1947*M1947/100,2)</x:f>
        <x:v>3.5</x:v>
      </x:c>
      <x:c r="O1947" t="str">
        <x:v>熟重</x:v>
      </x:c>
    </x:row>
    <x:row r="1948" ht="23" customHeight="1">
      <x:c r="A1948" t="n">
        <x:v>325</x:v>
      </x:c>
      <x:c r="B1948" t="n">
        <x:v>163</x:v>
      </x:c>
      <x:c r="C1948" t="str">
        <x:v>午餐</x:v>
      </x:c>
      <x:c r="D1948" t="str">
        <x:v>蔬菜</x:v>
      </x:c>
      <x:c r="E1948" t="str">
        <x:v>娃娃菜</x:v>
      </x:c>
      <x:c r="F1948" t="n">
        <x:v>160</x:v>
      </x:c>
      <x:c r="G1948" t="n">
        <x:v>17</x:v>
      </x:c>
      <x:c r="H1948" t="n">
        <x:f>ROUND(F1948*G1948/100,2)</x:f>
        <x:v>27.2</x:v>
      </x:c>
      <x:c r="I1948" t="n">
        <x:v>1.3</x:v>
      </x:c>
      <x:c r="J1948" t="n">
        <x:f>ROUND(F1948*I1948/100,2)</x:f>
        <x:v>2.08</x:v>
      </x:c>
      <x:c r="K1948" t="n">
        <x:v>3</x:v>
      </x:c>
      <x:c r="L1948" t="n">
        <x:f>ROUND(F1948*K1948/100,2)</x:f>
        <x:v>4.8</x:v>
      </x:c>
      <x:c r="M1948" t="n">
        <x:v>0.2</x:v>
      </x:c>
      <x:c r="N1948" t="n">
        <x:f>ROUND(F1948*M1948/100,2)</x:f>
        <x:v>0.32</x:v>
      </x:c>
      <x:c r="O1948" t="str">
        <x:v>生重</x:v>
      </x:c>
    </x:row>
    <x:row r="1949" ht="23" customHeight="1">
      <x:c r="A1949" t="n">
        <x:v>325</x:v>
      </x:c>
      <x:c r="B1949" t="n">
        <x:v>163</x:v>
      </x:c>
      <x:c r="C1949" t="str">
        <x:v>午餐</x:v>
      </x:c>
      <x:c r="D1949" t="str">
        <x:v>蔬菜</x:v>
      </x:c>
      <x:c r="E1949" t="str">
        <x:v>白萝卜</x:v>
      </x:c>
      <x:c r="F1949" t="n">
        <x:v>155</x:v>
      </x:c>
      <x:c r="G1949" t="n">
        <x:v>18</x:v>
      </x:c>
      <x:c r="H1949" t="n">
        <x:f>ROUND(F1949*G1949/100,2)</x:f>
        <x:v>27.9</x:v>
      </x:c>
      <x:c r="I1949" t="n">
        <x:v>0.6</x:v>
      </x:c>
      <x:c r="J1949" t="n">
        <x:f>ROUND(F1949*I1949/100,2)</x:f>
        <x:v>0.93</x:v>
      </x:c>
      <x:c r="K1949" t="n">
        <x:v>4</x:v>
      </x:c>
      <x:c r="L1949" t="n">
        <x:f>ROUND(F1949*K1949/100,2)</x:f>
        <x:v>6.2</x:v>
      </x:c>
      <x:c r="M1949" t="n">
        <x:v>0.1</x:v>
      </x:c>
      <x:c r="N1949" t="n">
        <x:f>ROUND(F1949*M1949/100,2)</x:f>
        <x:v>0.16</x:v>
      </x:c>
      <x:c r="O1949" t="str">
        <x:v>生重</x:v>
      </x:c>
    </x:row>
    <x:row r="1950" ht="23" customHeight="1">
      <x:c r="A1950" t="n">
        <x:v>325</x:v>
      </x:c>
      <x:c r="B1950" t="n">
        <x:v>163</x:v>
      </x:c>
      <x:c r="C1950" t="str">
        <x:v>午餐</x:v>
      </x:c>
      <x:c r="D1950" t="str">
        <x:v>主食</x:v>
      </x:c>
      <x:c r="E1950" t="str">
        <x:v>糙米饭</x:v>
      </x:c>
      <x:c r="F1950" t="n">
        <x:v>165</x:v>
      </x:c>
      <x:c r="G1950" t="n">
        <x:v>112</x:v>
      </x:c>
      <x:c r="H1950" t="n">
        <x:f>ROUND(F1950*G1950/100,2)</x:f>
        <x:v>184.8</x:v>
      </x:c>
      <x:c r="I1950" t="n">
        <x:v>2.6</x:v>
      </x:c>
      <x:c r="J1950" t="n">
        <x:f>ROUND(F1950*I1950/100,2)</x:f>
        <x:v>4.29</x:v>
      </x:c>
      <x:c r="K1950" t="n">
        <x:v>23.5</x:v>
      </x:c>
      <x:c r="L1950" t="n">
        <x:f>ROUND(F1950*K1950/100,2)</x:f>
        <x:v>38.78</x:v>
      </x:c>
      <x:c r="M1950" t="n">
        <x:v>0.9</x:v>
      </x:c>
      <x:c r="N1950" t="n">
        <x:f>ROUND(F1950*M1950/100,2)</x:f>
        <x:v>1.49</x:v>
      </x:c>
      <x:c r="O1950" t="str">
        <x:v>熟重</x:v>
      </x:c>
    </x:row>
    <x:row r="1951" ht="23" customHeight="1">
      <x:c r="A1951" t="n">
        <x:v>325</x:v>
      </x:c>
      <x:c r="B1951" t="n">
        <x:v>163</x:v>
      </x:c>
      <x:c r="C1951" t="str">
        <x:v>午餐</x:v>
      </x:c>
      <x:c r="D1951" t="str">
        <x:v>油脂</x:v>
      </x:c>
      <x:c r="E1951" t="str">
        <x:v>烹调油</x:v>
      </x:c>
      <x:c r="F1951" t="n">
        <x:v>5</x:v>
      </x:c>
      <x:c r="G1951" t="n">
        <x:v>900</x:v>
      </x:c>
      <x:c r="H1951" t="n">
        <x:f>ROUND(F1951*G1951/100,2)</x:f>
        <x:v>45</x:v>
      </x:c>
      <x:c r="I1951" t="n">
        <x:v>0</x:v>
      </x:c>
      <x:c r="J1951" t="n">
        <x:f>ROUND(F1951*I1951/100,2)</x:f>
        <x:v>0</x:v>
      </x:c>
      <x:c r="K1951" t="n">
        <x:v>0</x:v>
      </x:c>
      <x:c r="L1951" t="n">
        <x:f>ROUND(F1951*K1951/100,2)</x:f>
        <x:v>0</x:v>
      </x:c>
      <x:c r="M1951" t="n">
        <x:v>100</x:v>
      </x:c>
      <x:c r="N1951" t="n">
        <x:f>ROUND(F1951*M1951/100,2)</x:f>
        <x:v>5</x:v>
      </x:c>
      <x:c r="O1951" t="str">
        <x:v>实际用油重</x:v>
      </x:c>
    </x:row>
    <x:row r="1952" ht="23" customHeight="1">
      <x:c r="A1952" t="n">
        <x:v>326</x:v>
      </x:c>
      <x:c r="B1952" t="n">
        <x:v>163</x:v>
      </x:c>
      <x:c r="C1952" t="str">
        <x:v>晚餐</x:v>
      </x:c>
      <x:c r="D1952" t="str">
        <x:v>海鲜</x:v>
      </x:c>
      <x:c r="E1952" t="str">
        <x:v>花蛤肉</x:v>
      </x:c>
      <x:c r="F1952" t="n">
        <x:v>210</x:v>
      </x:c>
      <x:c r="G1952" t="n">
        <x:v>75</x:v>
      </x:c>
      <x:c r="H1952" t="n">
        <x:f>ROUND(F1952*G1952/100,2)</x:f>
        <x:v>157.5</x:v>
      </x:c>
      <x:c r="I1952" t="n">
        <x:v>13</x:v>
      </x:c>
      <x:c r="J1952" t="n">
        <x:f>ROUND(F1952*I1952/100,2)</x:f>
        <x:v>27.3</x:v>
      </x:c>
      <x:c r="K1952" t="n">
        <x:v>3.5</x:v>
      </x:c>
      <x:c r="L1952" t="n">
        <x:f>ROUND(F1952*K1952/100,2)</x:f>
        <x:v>7.35</x:v>
      </x:c>
      <x:c r="M1952" t="n">
        <x:v>1</x:v>
      </x:c>
      <x:c r="N1952" t="n">
        <x:f>ROUND(F1952*M1952/100,2)</x:f>
        <x:v>2.1</x:v>
      </x:c>
      <x:c r="O1952" t="str">
        <x:v>净肉生重</x:v>
      </x:c>
    </x:row>
    <x:row r="1953" ht="23" customHeight="1">
      <x:c r="A1953" t="n">
        <x:v>326</x:v>
      </x:c>
      <x:c r="B1953" t="n">
        <x:v>163</x:v>
      </x:c>
      <x:c r="C1953" t="str">
        <x:v>晚餐</x:v>
      </x:c>
      <x:c r="D1953" t="str">
        <x:v>豆蛋</x:v>
      </x:c>
      <x:c r="E1953" t="str">
        <x:v>嫩豆腐</x:v>
      </x:c>
      <x:c r="F1953" t="n">
        <x:v>160</x:v>
      </x:c>
      <x:c r="G1953" t="n">
        <x:v>55</x:v>
      </x:c>
      <x:c r="H1953" t="n">
        <x:f>ROUND(F1953*G1953/100,2)</x:f>
        <x:v>88</x:v>
      </x:c>
      <x:c r="I1953" t="n">
        <x:v>5</x:v>
      </x:c>
      <x:c r="J1953" t="n">
        <x:f>ROUND(F1953*I1953/100,2)</x:f>
        <x:v>8</x:v>
      </x:c>
      <x:c r="K1953" t="n">
        <x:v>2</x:v>
      </x:c>
      <x:c r="L1953" t="n">
        <x:f>ROUND(F1953*K1953/100,2)</x:f>
        <x:v>3.2</x:v>
      </x:c>
      <x:c r="M1953" t="n">
        <x:v>2.8</x:v>
      </x:c>
      <x:c r="N1953" t="n">
        <x:f>ROUND(F1953*M1953/100,2)</x:f>
        <x:v>4.48</x:v>
      </x:c>
      <x:c r="O1953" t="str">
        <x:v>净重</x:v>
      </x:c>
    </x:row>
    <x:row r="1954" ht="23" customHeight="1">
      <x:c r="A1954" t="n">
        <x:v>326</x:v>
      </x:c>
      <x:c r="B1954" t="n">
        <x:v>163</x:v>
      </x:c>
      <x:c r="C1954" t="str">
        <x:v>晚餐</x:v>
      </x:c>
      <x:c r="D1954" t="str">
        <x:v>蔬菜</x:v>
      </x:c>
      <x:c r="E1954" t="str">
        <x:v>娃娃菜</x:v>
      </x:c>
      <x:c r="F1954" t="n">
        <x:v>190</x:v>
      </x:c>
      <x:c r="G1954" t="n">
        <x:v>17</x:v>
      </x:c>
      <x:c r="H1954" t="n">
        <x:f>ROUND(F1954*G1954/100,2)</x:f>
        <x:v>32.3</x:v>
      </x:c>
      <x:c r="I1954" t="n">
        <x:v>1.3</x:v>
      </x:c>
      <x:c r="J1954" t="n">
        <x:f>ROUND(F1954*I1954/100,2)</x:f>
        <x:v>2.47</x:v>
      </x:c>
      <x:c r="K1954" t="n">
        <x:v>3</x:v>
      </x:c>
      <x:c r="L1954" t="n">
        <x:f>ROUND(F1954*K1954/100,2)</x:f>
        <x:v>5.7</x:v>
      </x:c>
      <x:c r="M1954" t="n">
        <x:v>0.2</x:v>
      </x:c>
      <x:c r="N1954" t="n">
        <x:f>ROUND(F1954*M1954/100,2)</x:f>
        <x:v>0.38</x:v>
      </x:c>
      <x:c r="O1954" t="str">
        <x:v>生重</x:v>
      </x:c>
    </x:row>
    <x:row r="1955" ht="23" customHeight="1">
      <x:c r="A1955" t="n">
        <x:v>326</x:v>
      </x:c>
      <x:c r="B1955" t="n">
        <x:v>163</x:v>
      </x:c>
      <x:c r="C1955" t="str">
        <x:v>晚餐</x:v>
      </x:c>
      <x:c r="D1955" t="str">
        <x:v>菌菇</x:v>
      </x:c>
      <x:c r="E1955" t="str">
        <x:v>香菇</x:v>
      </x:c>
      <x:c r="F1955" t="n">
        <x:v>140</x:v>
      </x:c>
      <x:c r="G1955" t="n">
        <x:v>34</x:v>
      </x:c>
      <x:c r="H1955" t="n">
        <x:f>ROUND(F1955*G1955/100,2)</x:f>
        <x:v>47.6</x:v>
      </x:c>
      <x:c r="I1955" t="n">
        <x:v>2.2</x:v>
      </x:c>
      <x:c r="J1955" t="n">
        <x:f>ROUND(F1955*I1955/100,2)</x:f>
        <x:v>3.08</x:v>
      </x:c>
      <x:c r="K1955" t="n">
        <x:v>6.8</x:v>
      </x:c>
      <x:c r="L1955" t="n">
        <x:f>ROUND(F1955*K1955/100,2)</x:f>
        <x:v>9.52</x:v>
      </x:c>
      <x:c r="M1955" t="n">
        <x:v>0.5</x:v>
      </x:c>
      <x:c r="N1955" t="n">
        <x:f>ROUND(F1955*M1955/100,2)</x:f>
        <x:v>0.7</x:v>
      </x:c>
      <x:c r="O1955" t="str">
        <x:v>生重</x:v>
      </x:c>
    </x:row>
    <x:row r="1956" ht="23" customHeight="1">
      <x:c r="A1956" t="n">
        <x:v>326</x:v>
      </x:c>
      <x:c r="B1956" t="n">
        <x:v>163</x:v>
      </x:c>
      <x:c r="C1956" t="str">
        <x:v>晚餐</x:v>
      </x:c>
      <x:c r="D1956" t="str">
        <x:v>主食</x:v>
      </x:c>
      <x:c r="E1956" t="str">
        <x:v>紫薯</x:v>
      </x:c>
      <x:c r="F1956" t="n">
        <x:v>125</x:v>
      </x:c>
      <x:c r="G1956" t="n">
        <x:v>95</x:v>
      </x:c>
      <x:c r="H1956" t="n">
        <x:f>ROUND(F1956*G1956/100,2)</x:f>
        <x:v>118.75</x:v>
      </x:c>
      <x:c r="I1956" t="n">
        <x:v>1.6</x:v>
      </x:c>
      <x:c r="J1956" t="n">
        <x:f>ROUND(F1956*I1956/100,2)</x:f>
        <x:v>2</x:v>
      </x:c>
      <x:c r="K1956" t="n">
        <x:v>22</x:v>
      </x:c>
      <x:c r="L1956" t="n">
        <x:f>ROUND(F1956*K1956/100,2)</x:f>
        <x:v>27.5</x:v>
      </x:c>
      <x:c r="M1956" t="n">
        <x:v>0.1</x:v>
      </x:c>
      <x:c r="N1956" t="n">
        <x:f>ROUND(F1956*M1956/100,2)</x:f>
        <x:v>0.13</x:v>
      </x:c>
      <x:c r="O1956" t="str">
        <x:v>蒸熟净重</x:v>
      </x:c>
    </x:row>
    <x:row r="1957" ht="23" customHeight="1">
      <x:c r="A1957" t="n">
        <x:v>326</x:v>
      </x:c>
      <x:c r="B1957" t="n">
        <x:v>163</x:v>
      </x:c>
      <x:c r="C1957" t="str">
        <x:v>晚餐</x:v>
      </x:c>
      <x:c r="D1957" t="str">
        <x:v>油脂</x:v>
      </x:c>
      <x:c r="E1957" t="str">
        <x:v>烹调油</x:v>
      </x:c>
      <x:c r="F1957" t="n">
        <x:v>3</x:v>
      </x:c>
      <x:c r="G1957" t="n">
        <x:v>900</x:v>
      </x:c>
      <x:c r="H1957" t="n">
        <x:f>ROUND(F1957*G1957/100,2)</x:f>
        <x:v>27</x:v>
      </x:c>
      <x:c r="I1957" t="n">
        <x:v>0</x:v>
      </x:c>
      <x:c r="J1957" t="n">
        <x:f>ROUND(F1957*I1957/100,2)</x:f>
        <x:v>0</x:v>
      </x:c>
      <x:c r="K1957" t="n">
        <x:v>0</x:v>
      </x:c>
      <x:c r="L1957" t="n">
        <x:f>ROUND(F1957*K1957/100,2)</x:f>
        <x:v>0</x:v>
      </x:c>
      <x:c r="M1957" t="n">
        <x:v>100</x:v>
      </x:c>
      <x:c r="N1957" t="n">
        <x:f>ROUND(F1957*M1957/100,2)</x:f>
        <x:v>3</x:v>
      </x:c>
      <x:c r="O1957" t="str">
        <x:v>实际用油重</x:v>
      </x:c>
    </x:row>
    <x:row r="1958" ht="23" customHeight="1">
      <x:c r="A1958" t="n">
        <x:v>327</x:v>
      </x:c>
      <x:c r="B1958" t="n">
        <x:v>164</x:v>
      </x:c>
      <x:c r="C1958" t="str">
        <x:v>午餐</x:v>
      </x:c>
      <x:c r="D1958" t="str">
        <x:v>猪肉</x:v>
      </x:c>
      <x:c r="E1958" t="str">
        <x:v>猪瘦肉</x:v>
      </x:c>
      <x:c r="F1958" t="n">
        <x:v>165</x:v>
      </x:c>
      <x:c r="G1958" t="n">
        <x:v>130</x:v>
      </x:c>
      <x:c r="H1958" t="n">
        <x:f>ROUND(F1958*G1958/100,2)</x:f>
        <x:v>214.5</x:v>
      </x:c>
      <x:c r="I1958" t="n">
        <x:v>20</x:v>
      </x:c>
      <x:c r="J1958" t="n">
        <x:f>ROUND(F1958*I1958/100,2)</x:f>
        <x:v>33</x:v>
      </x:c>
      <x:c r="K1958" t="n">
        <x:v>0</x:v>
      </x:c>
      <x:c r="L1958" t="n">
        <x:f>ROUND(F1958*K1958/100,2)</x:f>
        <x:v>0</x:v>
      </x:c>
      <x:c r="M1958" t="n">
        <x:v>5.5</x:v>
      </x:c>
      <x:c r="N1958" t="n">
        <x:f>ROUND(F1958*M1958/100,2)</x:f>
        <x:v>9.07</x:v>
      </x:c>
      <x:c r="O1958" t="str">
        <x:v>生重</x:v>
      </x:c>
    </x:row>
    <x:row r="1959" ht="23" customHeight="1">
      <x:c r="A1959" t="n">
        <x:v>327</x:v>
      </x:c>
      <x:c r="B1959" t="n">
        <x:v>164</x:v>
      </x:c>
      <x:c r="C1959" t="str">
        <x:v>午餐</x:v>
      </x:c>
      <x:c r="D1959" t="str"/>
      <x:c r="E1959" t="str"/>
      <x:c r="F1959" t="n">
        <x:v>0</x:v>
      </x:c>
      <x:c r="G1959" t="n">
        <x:v>0</x:v>
      </x:c>
      <x:c r="H1959" t="n">
        <x:f>ROUND(F1959*G1959/100,2)</x:f>
        <x:v>0</x:v>
      </x:c>
      <x:c r="I1959" t="n">
        <x:v>0</x:v>
      </x:c>
      <x:c r="J1959" t="n">
        <x:f>ROUND(F1959*I1959/100,2)</x:f>
        <x:v>0</x:v>
      </x:c>
      <x:c r="K1959" t="n">
        <x:v>0</x:v>
      </x:c>
      <x:c r="L1959" t="n">
        <x:f>ROUND(F1959*K1959/100,2)</x:f>
        <x:v>0</x:v>
      </x:c>
      <x:c r="M1959" t="n">
        <x:v>0</x:v>
      </x:c>
      <x:c r="N1959" t="n">
        <x:f>ROUND(F1959*M1959/100,2)</x:f>
        <x:v>0</x:v>
      </x:c>
      <x:c r="O1959" t="str"/>
    </x:row>
    <x:row r="1960" ht="23" customHeight="1">
      <x:c r="A1960" t="n">
        <x:v>327</x:v>
      </x:c>
      <x:c r="B1960" t="n">
        <x:v>164</x:v>
      </x:c>
      <x:c r="C1960" t="str">
        <x:v>午餐</x:v>
      </x:c>
      <x:c r="D1960" t="str">
        <x:v>蔬菜</x:v>
      </x:c>
      <x:c r="E1960" t="str">
        <x:v>油麦菜</x:v>
      </x:c>
      <x:c r="F1960" t="n">
        <x:v>160</x:v>
      </x:c>
      <x:c r="G1960" t="n">
        <x:v>18</x:v>
      </x:c>
      <x:c r="H1960" t="n">
        <x:f>ROUND(F1960*G1960/100,2)</x:f>
        <x:v>28.8</x:v>
      </x:c>
      <x:c r="I1960" t="n">
        <x:v>1.4</x:v>
      </x:c>
      <x:c r="J1960" t="n">
        <x:f>ROUND(F1960*I1960/100,2)</x:f>
        <x:v>2.24</x:v>
      </x:c>
      <x:c r="K1960" t="n">
        <x:v>3.1</x:v>
      </x:c>
      <x:c r="L1960" t="n">
        <x:f>ROUND(F1960*K1960/100,2)</x:f>
        <x:v>4.96</x:v>
      </x:c>
      <x:c r="M1960" t="n">
        <x:v>0.2</x:v>
      </x:c>
      <x:c r="N1960" t="n">
        <x:f>ROUND(F1960*M1960/100,2)</x:f>
        <x:v>0.32</x:v>
      </x:c>
      <x:c r="O1960" t="str">
        <x:v>生重</x:v>
      </x:c>
    </x:row>
    <x:row r="1961" ht="23" customHeight="1">
      <x:c r="A1961" t="n">
        <x:v>327</x:v>
      </x:c>
      <x:c r="B1961" t="n">
        <x:v>164</x:v>
      </x:c>
      <x:c r="C1961" t="str">
        <x:v>午餐</x:v>
      </x:c>
      <x:c r="D1961" t="str">
        <x:v>菌菇</x:v>
      </x:c>
      <x:c r="E1961" t="str">
        <x:v>香菇</x:v>
      </x:c>
      <x:c r="F1961" t="n">
        <x:v>110</x:v>
      </x:c>
      <x:c r="G1961" t="n">
        <x:v>34</x:v>
      </x:c>
      <x:c r="H1961" t="n">
        <x:f>ROUND(F1961*G1961/100,2)</x:f>
        <x:v>37.4</x:v>
      </x:c>
      <x:c r="I1961" t="n">
        <x:v>2.2</x:v>
      </x:c>
      <x:c r="J1961" t="n">
        <x:f>ROUND(F1961*I1961/100,2)</x:f>
        <x:v>2.42</x:v>
      </x:c>
      <x:c r="K1961" t="n">
        <x:v>6.8</x:v>
      </x:c>
      <x:c r="L1961" t="n">
        <x:f>ROUND(F1961*K1961/100,2)</x:f>
        <x:v>7.48</x:v>
      </x:c>
      <x:c r="M1961" t="n">
        <x:v>0.5</x:v>
      </x:c>
      <x:c r="N1961" t="n">
        <x:f>ROUND(F1961*M1961/100,2)</x:f>
        <x:v>0.55</x:v>
      </x:c>
      <x:c r="O1961" t="str">
        <x:v>生重</x:v>
      </x:c>
    </x:row>
    <x:row r="1962" ht="23" customHeight="1">
      <x:c r="A1962" t="n">
        <x:v>327</x:v>
      </x:c>
      <x:c r="B1962" t="n">
        <x:v>164</x:v>
      </x:c>
      <x:c r="C1962" t="str">
        <x:v>午餐</x:v>
      </x:c>
      <x:c r="D1962" t="str">
        <x:v>主食</x:v>
      </x:c>
      <x:c r="E1962" t="str">
        <x:v>糙米饭</x:v>
      </x:c>
      <x:c r="F1962" t="n">
        <x:v>110</x:v>
      </x:c>
      <x:c r="G1962" t="n">
        <x:v>112</x:v>
      </x:c>
      <x:c r="H1962" t="n">
        <x:f>ROUND(F1962*G1962/100,2)</x:f>
        <x:v>123.2</x:v>
      </x:c>
      <x:c r="I1962" t="n">
        <x:v>2.6</x:v>
      </x:c>
      <x:c r="J1962" t="n">
        <x:f>ROUND(F1962*I1962/100,2)</x:f>
        <x:v>2.86</x:v>
      </x:c>
      <x:c r="K1962" t="n">
        <x:v>23.5</x:v>
      </x:c>
      <x:c r="L1962" t="n">
        <x:f>ROUND(F1962*K1962/100,2)</x:f>
        <x:v>25.85</x:v>
      </x:c>
      <x:c r="M1962" t="n">
        <x:v>0.9</x:v>
      </x:c>
      <x:c r="N1962" t="n">
        <x:f>ROUND(F1962*M1962/100,2)</x:f>
        <x:v>0.99</x:v>
      </x:c>
      <x:c r="O1962" t="str">
        <x:v>熟重</x:v>
      </x:c>
    </x:row>
    <x:row r="1963" ht="23" customHeight="1">
      <x:c r="A1963" t="n">
        <x:v>327</x:v>
      </x:c>
      <x:c r="B1963" t="n">
        <x:v>164</x:v>
      </x:c>
      <x:c r="C1963" t="str">
        <x:v>午餐</x:v>
      </x:c>
      <x:c r="D1963" t="str">
        <x:v>油脂</x:v>
      </x:c>
      <x:c r="E1963" t="str">
        <x:v>烹调油</x:v>
      </x:c>
      <x:c r="F1963" t="n">
        <x:v>6</x:v>
      </x:c>
      <x:c r="G1963" t="n">
        <x:v>900</x:v>
      </x:c>
      <x:c r="H1963" t="n">
        <x:f>ROUND(F1963*G1963/100,2)</x:f>
        <x:v>54</x:v>
      </x:c>
      <x:c r="I1963" t="n">
        <x:v>0</x:v>
      </x:c>
      <x:c r="J1963" t="n">
        <x:f>ROUND(F1963*I1963/100,2)</x:f>
        <x:v>0</x:v>
      </x:c>
      <x:c r="K1963" t="n">
        <x:v>0</x:v>
      </x:c>
      <x:c r="L1963" t="n">
        <x:f>ROUND(F1963*K1963/100,2)</x:f>
        <x:v>0</x:v>
      </x:c>
      <x:c r="M1963" t="n">
        <x:v>100</x:v>
      </x:c>
      <x:c r="N1963" t="n">
        <x:f>ROUND(F1963*M1963/100,2)</x:f>
        <x:v>6</x:v>
      </x:c>
      <x:c r="O1963" t="str">
        <x:v>实际用油重</x:v>
      </x:c>
    </x:row>
    <x:row r="1964" ht="23" customHeight="1">
      <x:c r="A1964" t="n">
        <x:v>328</x:v>
      </x:c>
      <x:c r="B1964" t="n">
        <x:v>164</x:v>
      </x:c>
      <x:c r="C1964" t="str">
        <x:v>晚餐</x:v>
      </x:c>
      <x:c r="D1964" t="str">
        <x:v>禽肉</x:v>
      </x:c>
      <x:c r="E1964" t="str">
        <x:v>去皮鸭胸肉</x:v>
      </x:c>
      <x:c r="F1964" t="n">
        <x:v>170</x:v>
      </x:c>
      <x:c r="G1964" t="n">
        <x:v>140</x:v>
      </x:c>
      <x:c r="H1964" t="n">
        <x:f>ROUND(F1964*G1964/100,2)</x:f>
        <x:v>238</x:v>
      </x:c>
      <x:c r="I1964" t="n">
        <x:v>19</x:v>
      </x:c>
      <x:c r="J1964" t="n">
        <x:f>ROUND(F1964*I1964/100,2)</x:f>
        <x:v>32.3</x:v>
      </x:c>
      <x:c r="K1964" t="n">
        <x:v>0</x:v>
      </x:c>
      <x:c r="L1964" t="n">
        <x:f>ROUND(F1964*K1964/100,2)</x:f>
        <x:v>0</x:v>
      </x:c>
      <x:c r="M1964" t="n">
        <x:v>7</x:v>
      </x:c>
      <x:c r="N1964" t="n">
        <x:f>ROUND(F1964*M1964/100,2)</x:f>
        <x:v>11.9</x:v>
      </x:c>
      <x:c r="O1964" t="str">
        <x:v>生重</x:v>
      </x:c>
    </x:row>
    <x:row r="1965" ht="23" customHeight="1">
      <x:c r="A1965" t="n">
        <x:v>328</x:v>
      </x:c>
      <x:c r="B1965" t="n">
        <x:v>164</x:v>
      </x:c>
      <x:c r="C1965" t="str">
        <x:v>晚餐</x:v>
      </x:c>
      <x:c r="D1965" t="str"/>
      <x:c r="E1965" t="str"/>
      <x:c r="F1965" t="n">
        <x:v>0</x:v>
      </x:c>
      <x:c r="G1965" t="n">
        <x:v>0</x:v>
      </x:c>
      <x:c r="H1965" t="n">
        <x:f>ROUND(F1965*G1965/100,2)</x:f>
        <x:v>0</x:v>
      </x:c>
      <x:c r="I1965" t="n">
        <x:v>0</x:v>
      </x:c>
      <x:c r="J1965" t="n">
        <x:f>ROUND(F1965*I1965/100,2)</x:f>
        <x:v>0</x:v>
      </x:c>
      <x:c r="K1965" t="n">
        <x:v>0</x:v>
      </x:c>
      <x:c r="L1965" t="n">
        <x:f>ROUND(F1965*K1965/100,2)</x:f>
        <x:v>0</x:v>
      </x:c>
      <x:c r="M1965" t="n">
        <x:v>0</x:v>
      </x:c>
      <x:c r="N1965" t="n">
        <x:f>ROUND(F1965*M1965/100,2)</x:f>
        <x:v>0</x:v>
      </x:c>
      <x:c r="O1965" t="str"/>
    </x:row>
    <x:row r="1966" ht="23" customHeight="1">
      <x:c r="A1966" t="n">
        <x:v>328</x:v>
      </x:c>
      <x:c r="B1966" t="n">
        <x:v>164</x:v>
      </x:c>
      <x:c r="C1966" t="str">
        <x:v>晚餐</x:v>
      </x:c>
      <x:c r="D1966" t="str">
        <x:v>蔬菜</x:v>
      </x:c>
      <x:c r="E1966" t="str">
        <x:v>番茄</x:v>
      </x:c>
      <x:c r="F1966" t="n">
        <x:v>160</x:v>
      </x:c>
      <x:c r="G1966" t="n">
        <x:v>20</x:v>
      </x:c>
      <x:c r="H1966" t="n">
        <x:f>ROUND(F1966*G1966/100,2)</x:f>
        <x:v>32</x:v>
      </x:c>
      <x:c r="I1966" t="n">
        <x:v>0.9</x:v>
      </x:c>
      <x:c r="J1966" t="n">
        <x:f>ROUND(F1966*I1966/100,2)</x:f>
        <x:v>1.44</x:v>
      </x:c>
      <x:c r="K1966" t="n">
        <x:v>4</x:v>
      </x:c>
      <x:c r="L1966" t="n">
        <x:f>ROUND(F1966*K1966/100,2)</x:f>
        <x:v>6.4</x:v>
      </x:c>
      <x:c r="M1966" t="n">
        <x:v>0.2</x:v>
      </x:c>
      <x:c r="N1966" t="n">
        <x:f>ROUND(F1966*M1966/100,2)</x:f>
        <x:v>0.32</x:v>
      </x:c>
      <x:c r="O1966" t="str">
        <x:v>生重</x:v>
      </x:c>
    </x:row>
    <x:row r="1967" ht="23" customHeight="1">
      <x:c r="A1967" t="n">
        <x:v>328</x:v>
      </x:c>
      <x:c r="B1967" t="n">
        <x:v>164</x:v>
      </x:c>
      <x:c r="C1967" t="str">
        <x:v>晚餐</x:v>
      </x:c>
      <x:c r="D1967" t="str">
        <x:v>蔬菜</x:v>
      </x:c>
      <x:c r="E1967" t="str">
        <x:v>彩椒</x:v>
      </x:c>
      <x:c r="F1967" t="n">
        <x:v>110</x:v>
      </x:c>
      <x:c r="G1967" t="n">
        <x:v>27</x:v>
      </x:c>
      <x:c r="H1967" t="n">
        <x:f>ROUND(F1967*G1967/100,2)</x:f>
        <x:v>29.7</x:v>
      </x:c>
      <x:c r="I1967" t="n">
        <x:v>1</x:v>
      </x:c>
      <x:c r="J1967" t="n">
        <x:f>ROUND(F1967*I1967/100,2)</x:f>
        <x:v>1.1</x:v>
      </x:c>
      <x:c r="K1967" t="n">
        <x:v>6.1</x:v>
      </x:c>
      <x:c r="L1967" t="n">
        <x:f>ROUND(F1967*K1967/100,2)</x:f>
        <x:v>6.71</x:v>
      </x:c>
      <x:c r="M1967" t="n">
        <x:v>0.2</x:v>
      </x:c>
      <x:c r="N1967" t="n">
        <x:f>ROUND(F1967*M1967/100,2)</x:f>
        <x:v>0.22</x:v>
      </x:c>
      <x:c r="O1967" t="str">
        <x:v>生重</x:v>
      </x:c>
    </x:row>
    <x:row r="1968" ht="23" customHeight="1">
      <x:c r="A1968" t="n">
        <x:v>328</x:v>
      </x:c>
      <x:c r="B1968" t="n">
        <x:v>164</x:v>
      </x:c>
      <x:c r="C1968" t="str">
        <x:v>晚餐</x:v>
      </x:c>
      <x:c r="D1968" t="str">
        <x:v>主食</x:v>
      </x:c>
      <x:c r="E1968" t="str">
        <x:v>糙米饭</x:v>
      </x:c>
      <x:c r="F1968" t="n">
        <x:v>135</x:v>
      </x:c>
      <x:c r="G1968" t="n">
        <x:v>112</x:v>
      </x:c>
      <x:c r="H1968" t="n">
        <x:f>ROUND(F1968*G1968/100,2)</x:f>
        <x:v>151.2</x:v>
      </x:c>
      <x:c r="I1968" t="n">
        <x:v>2.6</x:v>
      </x:c>
      <x:c r="J1968" t="n">
        <x:f>ROUND(F1968*I1968/100,2)</x:f>
        <x:v>3.51</x:v>
      </x:c>
      <x:c r="K1968" t="n">
        <x:v>23.5</x:v>
      </x:c>
      <x:c r="L1968" t="n">
        <x:f>ROUND(F1968*K1968/100,2)</x:f>
        <x:v>31.73</x:v>
      </x:c>
      <x:c r="M1968" t="n">
        <x:v>0.9</x:v>
      </x:c>
      <x:c r="N1968" t="n">
        <x:f>ROUND(F1968*M1968/100,2)</x:f>
        <x:v>1.22</x:v>
      </x:c>
      <x:c r="O1968" t="str">
        <x:v>熟重</x:v>
      </x:c>
    </x:row>
    <x:row r="1969" ht="23" customHeight="1">
      <x:c r="A1969" t="n">
        <x:v>328</x:v>
      </x:c>
      <x:c r="B1969" t="n">
        <x:v>164</x:v>
      </x:c>
      <x:c r="C1969" t="str">
        <x:v>晚餐</x:v>
      </x:c>
      <x:c r="D1969" t="str">
        <x:v>油脂</x:v>
      </x:c>
      <x:c r="E1969" t="str">
        <x:v>烹调油</x:v>
      </x:c>
      <x:c r="F1969" t="n">
        <x:v>5</x:v>
      </x:c>
      <x:c r="G1969" t="n">
        <x:v>900</x:v>
      </x:c>
      <x:c r="H1969" t="n">
        <x:f>ROUND(F1969*G1969/100,2)</x:f>
        <x:v>45</x:v>
      </x:c>
      <x:c r="I1969" t="n">
        <x:v>0</x:v>
      </x:c>
      <x:c r="J1969" t="n">
        <x:f>ROUND(F1969*I1969/100,2)</x:f>
        <x:v>0</x:v>
      </x:c>
      <x:c r="K1969" t="n">
        <x:v>0</x:v>
      </x:c>
      <x:c r="L1969" t="n">
        <x:f>ROUND(F1969*K1969/100,2)</x:f>
        <x:v>0</x:v>
      </x:c>
      <x:c r="M1969" t="n">
        <x:v>100</x:v>
      </x:c>
      <x:c r="N1969" t="n">
        <x:f>ROUND(F1969*M1969/100,2)</x:f>
        <x:v>5</x:v>
      </x:c>
      <x:c r="O1969" t="str">
        <x:v>实际用油重</x:v>
      </x:c>
    </x:row>
    <x:row r="1970" ht="23" customHeight="1">
      <x:c r="A1970" t="n">
        <x:v>329</x:v>
      </x:c>
      <x:c r="B1970" t="n">
        <x:v>165</x:v>
      </x:c>
      <x:c r="C1970" t="str">
        <x:v>午餐</x:v>
      </x:c>
      <x:c r="D1970" t="str">
        <x:v>牛肉</x:v>
      </x:c>
      <x:c r="E1970" t="str">
        <x:v>瘦牛肉</x:v>
      </x:c>
      <x:c r="F1970" t="n">
        <x:v>175</x:v>
      </x:c>
      <x:c r="G1970" t="n">
        <x:v>125</x:v>
      </x:c>
      <x:c r="H1970" t="n">
        <x:f>ROUND(F1970*G1970/100,2)</x:f>
        <x:v>218.75</x:v>
      </x:c>
      <x:c r="I1970" t="n">
        <x:v>21</x:v>
      </x:c>
      <x:c r="J1970" t="n">
        <x:f>ROUND(F1970*I1970/100,2)</x:f>
        <x:v>36.75</x:v>
      </x:c>
      <x:c r="K1970" t="n">
        <x:v>0</x:v>
      </x:c>
      <x:c r="L1970" t="n">
        <x:f>ROUND(F1970*K1970/100,2)</x:f>
        <x:v>0</x:v>
      </x:c>
      <x:c r="M1970" t="n">
        <x:v>4</x:v>
      </x:c>
      <x:c r="N1970" t="n">
        <x:f>ROUND(F1970*M1970/100,2)</x:f>
        <x:v>7</x:v>
      </x:c>
      <x:c r="O1970" t="str">
        <x:v>生重</x:v>
      </x:c>
    </x:row>
    <x:row r="1971" ht="23" customHeight="1">
      <x:c r="A1971" t="n">
        <x:v>329</x:v>
      </x:c>
      <x:c r="B1971" t="n">
        <x:v>165</x:v>
      </x:c>
      <x:c r="C1971" t="str">
        <x:v>午餐</x:v>
      </x:c>
      <x:c r="D1971" t="str"/>
      <x:c r="E1971" t="str"/>
      <x:c r="F1971" t="n">
        <x:v>0</x:v>
      </x:c>
      <x:c r="G1971" t="n">
        <x:v>0</x:v>
      </x:c>
      <x:c r="H1971" t="n">
        <x:f>ROUND(F1971*G1971/100,2)</x:f>
        <x:v>0</x:v>
      </x:c>
      <x:c r="I1971" t="n">
        <x:v>0</x:v>
      </x:c>
      <x:c r="J1971" t="n">
        <x:f>ROUND(F1971*I1971/100,2)</x:f>
        <x:v>0</x:v>
      </x:c>
      <x:c r="K1971" t="n">
        <x:v>0</x:v>
      </x:c>
      <x:c r="L1971" t="n">
        <x:f>ROUND(F1971*K1971/100,2)</x:f>
        <x:v>0</x:v>
      </x:c>
      <x:c r="M1971" t="n">
        <x:v>0</x:v>
      </x:c>
      <x:c r="N1971" t="n">
        <x:f>ROUND(F1971*M1971/100,2)</x:f>
        <x:v>0</x:v>
      </x:c>
      <x:c r="O1971" t="str"/>
    </x:row>
    <x:row r="1972" ht="23" customHeight="1">
      <x:c r="A1972" t="n">
        <x:v>329</x:v>
      </x:c>
      <x:c r="B1972" t="n">
        <x:v>165</x:v>
      </x:c>
      <x:c r="C1972" t="str">
        <x:v>午餐</x:v>
      </x:c>
      <x:c r="D1972" t="str">
        <x:v>蔬菜</x:v>
      </x:c>
      <x:c r="E1972" t="str">
        <x:v>苦瓜</x:v>
      </x:c>
      <x:c r="F1972" t="n">
        <x:v>175</x:v>
      </x:c>
      <x:c r="G1972" t="n">
        <x:v>19</x:v>
      </x:c>
      <x:c r="H1972" t="n">
        <x:f>ROUND(F1972*G1972/100,2)</x:f>
        <x:v>33.25</x:v>
      </x:c>
      <x:c r="I1972" t="n">
        <x:v>1</x:v>
      </x:c>
      <x:c r="J1972" t="n">
        <x:f>ROUND(F1972*I1972/100,2)</x:f>
        <x:v>1.75</x:v>
      </x:c>
      <x:c r="K1972" t="n">
        <x:v>4.1</x:v>
      </x:c>
      <x:c r="L1972" t="n">
        <x:f>ROUND(F1972*K1972/100,2)</x:f>
        <x:v>7.17</x:v>
      </x:c>
      <x:c r="M1972" t="n">
        <x:v>0.2</x:v>
      </x:c>
      <x:c r="N1972" t="n">
        <x:f>ROUND(F1972*M1972/100,2)</x:f>
        <x:v>0.35</x:v>
      </x:c>
      <x:c r="O1972" t="str">
        <x:v>生重</x:v>
      </x:c>
    </x:row>
    <x:row r="1973" ht="23" customHeight="1">
      <x:c r="A1973" t="n">
        <x:v>329</x:v>
      </x:c>
      <x:c r="B1973" t="n">
        <x:v>165</x:v>
      </x:c>
      <x:c r="C1973" t="str">
        <x:v>午餐</x:v>
      </x:c>
      <x:c r="D1973" t="str">
        <x:v>蔬菜</x:v>
      </x:c>
      <x:c r="E1973" t="str">
        <x:v>白萝卜</x:v>
      </x:c>
      <x:c r="F1973" t="n">
        <x:v>155</x:v>
      </x:c>
      <x:c r="G1973" t="n">
        <x:v>18</x:v>
      </x:c>
      <x:c r="H1973" t="n">
        <x:f>ROUND(F1973*G1973/100,2)</x:f>
        <x:v>27.9</x:v>
      </x:c>
      <x:c r="I1973" t="n">
        <x:v>0.6</x:v>
      </x:c>
      <x:c r="J1973" t="n">
        <x:f>ROUND(F1973*I1973/100,2)</x:f>
        <x:v>0.93</x:v>
      </x:c>
      <x:c r="K1973" t="n">
        <x:v>4</x:v>
      </x:c>
      <x:c r="L1973" t="n">
        <x:f>ROUND(F1973*K1973/100,2)</x:f>
        <x:v>6.2</x:v>
      </x:c>
      <x:c r="M1973" t="n">
        <x:v>0.1</x:v>
      </x:c>
      <x:c r="N1973" t="n">
        <x:f>ROUND(F1973*M1973/100,2)</x:f>
        <x:v>0.16</x:v>
      </x:c>
      <x:c r="O1973" t="str">
        <x:v>生重</x:v>
      </x:c>
    </x:row>
    <x:row r="1974" ht="23" customHeight="1">
      <x:c r="A1974" t="n">
        <x:v>329</x:v>
      </x:c>
      <x:c r="B1974" t="n">
        <x:v>165</x:v>
      </x:c>
      <x:c r="C1974" t="str">
        <x:v>午餐</x:v>
      </x:c>
      <x:c r="D1974" t="str">
        <x:v>主食</x:v>
      </x:c>
      <x:c r="E1974" t="str">
        <x:v>荞麦面</x:v>
      </x:c>
      <x:c r="F1974" t="n">
        <x:v>110</x:v>
      </x:c>
      <x:c r="G1974" t="n">
        <x:v>105</x:v>
      </x:c>
      <x:c r="H1974" t="n">
        <x:f>ROUND(F1974*G1974/100,2)</x:f>
        <x:v>115.5</x:v>
      </x:c>
      <x:c r="I1974" t="n">
        <x:v>4</x:v>
      </x:c>
      <x:c r="J1974" t="n">
        <x:f>ROUND(F1974*I1974/100,2)</x:f>
        <x:v>4.4</x:v>
      </x:c>
      <x:c r="K1974" t="n">
        <x:v>21</x:v>
      </x:c>
      <x:c r="L1974" t="n">
        <x:f>ROUND(F1974*K1974/100,2)</x:f>
        <x:v>23.1</x:v>
      </x:c>
      <x:c r="M1974" t="n">
        <x:v>0.7</x:v>
      </x:c>
      <x:c r="N1974" t="n">
        <x:f>ROUND(F1974*M1974/100,2)</x:f>
        <x:v>0.77</x:v>
      </x:c>
      <x:c r="O1974" t="str">
        <x:v>煮熟沥水重</x:v>
      </x:c>
    </x:row>
    <x:row r="1975" ht="23" customHeight="1">
      <x:c r="A1975" t="n">
        <x:v>329</x:v>
      </x:c>
      <x:c r="B1975" t="n">
        <x:v>165</x:v>
      </x:c>
      <x:c r="C1975" t="str">
        <x:v>午餐</x:v>
      </x:c>
      <x:c r="D1975" t="str">
        <x:v>油脂</x:v>
      </x:c>
      <x:c r="E1975" t="str">
        <x:v>烹调油</x:v>
      </x:c>
      <x:c r="F1975" t="n">
        <x:v>4</x:v>
      </x:c>
      <x:c r="G1975" t="n">
        <x:v>900</x:v>
      </x:c>
      <x:c r="H1975" t="n">
        <x:f>ROUND(F1975*G1975/100,2)</x:f>
        <x:v>36</x:v>
      </x:c>
      <x:c r="I1975" t="n">
        <x:v>0</x:v>
      </x:c>
      <x:c r="J1975" t="n">
        <x:f>ROUND(F1975*I1975/100,2)</x:f>
        <x:v>0</x:v>
      </x:c>
      <x:c r="K1975" t="n">
        <x:v>0</x:v>
      </x:c>
      <x:c r="L1975" t="n">
        <x:f>ROUND(F1975*K1975/100,2)</x:f>
        <x:v>0</x:v>
      </x:c>
      <x:c r="M1975" t="n">
        <x:v>100</x:v>
      </x:c>
      <x:c r="N1975" t="n">
        <x:f>ROUND(F1975*M1975/100,2)</x:f>
        <x:v>4</x:v>
      </x:c>
      <x:c r="O1975" t="str">
        <x:v>实际用油重</x:v>
      </x:c>
    </x:row>
    <x:row r="1976" ht="23" customHeight="1">
      <x:c r="A1976" t="n">
        <x:v>330</x:v>
      </x:c>
      <x:c r="B1976" t="n">
        <x:v>165</x:v>
      </x:c>
      <x:c r="C1976" t="str">
        <x:v>晚餐</x:v>
      </x:c>
      <x:c r="D1976" t="str">
        <x:v>禽肉</x:v>
      </x:c>
      <x:c r="E1976" t="str">
        <x:v>去皮鸡腿肉</x:v>
      </x:c>
      <x:c r="F1976" t="n">
        <x:v>145</x:v>
      </x:c>
      <x:c r="G1976" t="n">
        <x:v>125</x:v>
      </x:c>
      <x:c r="H1976" t="n">
        <x:f>ROUND(F1976*G1976/100,2)</x:f>
        <x:v>181.25</x:v>
      </x:c>
      <x:c r="I1976" t="n">
        <x:v>20</x:v>
      </x:c>
      <x:c r="J1976" t="n">
        <x:f>ROUND(F1976*I1976/100,2)</x:f>
        <x:v>29</x:v>
      </x:c>
      <x:c r="K1976" t="n">
        <x:v>0</x:v>
      </x:c>
      <x:c r="L1976" t="n">
        <x:f>ROUND(F1976*K1976/100,2)</x:f>
        <x:v>0</x:v>
      </x:c>
      <x:c r="M1976" t="n">
        <x:v>5</x:v>
      </x:c>
      <x:c r="N1976" t="n">
        <x:f>ROUND(F1976*M1976/100,2)</x:f>
        <x:v>7.25</x:v>
      </x:c>
      <x:c r="O1976" t="str">
        <x:v>生重</x:v>
      </x:c>
    </x:row>
    <x:row r="1977" ht="23" customHeight="1">
      <x:c r="A1977" t="n">
        <x:v>330</x:v>
      </x:c>
      <x:c r="B1977" t="n">
        <x:v>165</x:v>
      </x:c>
      <x:c r="C1977" t="str">
        <x:v>晚餐</x:v>
      </x:c>
      <x:c r="D1977" t="str"/>
      <x:c r="E1977" t="str"/>
      <x:c r="F1977" t="n">
        <x:v>0</x:v>
      </x:c>
      <x:c r="G1977" t="n">
        <x:v>0</x:v>
      </x:c>
      <x:c r="H1977" t="n">
        <x:f>ROUND(F1977*G1977/100,2)</x:f>
        <x:v>0</x:v>
      </x:c>
      <x:c r="I1977" t="n">
        <x:v>0</x:v>
      </x:c>
      <x:c r="J1977" t="n">
        <x:f>ROUND(F1977*I1977/100,2)</x:f>
        <x:v>0</x:v>
      </x:c>
      <x:c r="K1977" t="n">
        <x:v>0</x:v>
      </x:c>
      <x:c r="L1977" t="n">
        <x:f>ROUND(F1977*K1977/100,2)</x:f>
        <x:v>0</x:v>
      </x:c>
      <x:c r="M1977" t="n">
        <x:v>0</x:v>
      </x:c>
      <x:c r="N1977" t="n">
        <x:f>ROUND(F1977*M1977/100,2)</x:f>
        <x:v>0</x:v>
      </x:c>
      <x:c r="O1977" t="str"/>
    </x:row>
    <x:row r="1978" ht="23" customHeight="1">
      <x:c r="A1978" t="n">
        <x:v>330</x:v>
      </x:c>
      <x:c r="B1978" t="n">
        <x:v>165</x:v>
      </x:c>
      <x:c r="C1978" t="str">
        <x:v>晚餐</x:v>
      </x:c>
      <x:c r="D1978" t="str">
        <x:v>蔬菜</x:v>
      </x:c>
      <x:c r="E1978" t="str">
        <x:v>四季豆</x:v>
      </x:c>
      <x:c r="F1978" t="n">
        <x:v>160</x:v>
      </x:c>
      <x:c r="G1978" t="n">
        <x:v>31</x:v>
      </x:c>
      <x:c r="H1978" t="n">
        <x:f>ROUND(F1978*G1978/100,2)</x:f>
        <x:v>49.6</x:v>
      </x:c>
      <x:c r="I1978" t="n">
        <x:v>1.8</x:v>
      </x:c>
      <x:c r="J1978" t="n">
        <x:f>ROUND(F1978*I1978/100,2)</x:f>
        <x:v>2.88</x:v>
      </x:c>
      <x:c r="K1978" t="n">
        <x:v>7</x:v>
      </x:c>
      <x:c r="L1978" t="n">
        <x:f>ROUND(F1978*K1978/100,2)</x:f>
        <x:v>11.2</x:v>
      </x:c>
      <x:c r="M1978" t="n">
        <x:v>0.1</x:v>
      </x:c>
      <x:c r="N1978" t="n">
        <x:f>ROUND(F1978*M1978/100,2)</x:f>
        <x:v>0.16</x:v>
      </x:c>
      <x:c r="O1978" t="str">
        <x:v>生重</x:v>
      </x:c>
    </x:row>
    <x:row r="1979" ht="23" customHeight="1">
      <x:c r="A1979" t="n">
        <x:v>330</x:v>
      </x:c>
      <x:c r="B1979" t="n">
        <x:v>165</x:v>
      </x:c>
      <x:c r="C1979" t="str">
        <x:v>晚餐</x:v>
      </x:c>
      <x:c r="D1979" t="str">
        <x:v>蔬菜</x:v>
      </x:c>
      <x:c r="E1979" t="str">
        <x:v>西兰花</x:v>
      </x:c>
      <x:c r="F1979" t="n">
        <x:v>110</x:v>
      </x:c>
      <x:c r="G1979" t="n">
        <x:v>34</x:v>
      </x:c>
      <x:c r="H1979" t="n">
        <x:f>ROUND(F1979*G1979/100,2)</x:f>
        <x:v>37.4</x:v>
      </x:c>
      <x:c r="I1979" t="n">
        <x:v>2.8</x:v>
      </x:c>
      <x:c r="J1979" t="n">
        <x:f>ROUND(F1979*I1979/100,2)</x:f>
        <x:v>3.08</x:v>
      </x:c>
      <x:c r="K1979" t="n">
        <x:v>7</x:v>
      </x:c>
      <x:c r="L1979" t="n">
        <x:f>ROUND(F1979*K1979/100,2)</x:f>
        <x:v>7.7</x:v>
      </x:c>
      <x:c r="M1979" t="n">
        <x:v>0.4</x:v>
      </x:c>
      <x:c r="N1979" t="n">
        <x:f>ROUND(F1979*M1979/100,2)</x:f>
        <x:v>0.44</x:v>
      </x:c>
      <x:c r="O1979" t="str">
        <x:v>生重</x:v>
      </x:c>
    </x:row>
    <x:row r="1980" ht="23" customHeight="1">
      <x:c r="A1980" t="n">
        <x:v>330</x:v>
      </x:c>
      <x:c r="B1980" t="n">
        <x:v>165</x:v>
      </x:c>
      <x:c r="C1980" t="str">
        <x:v>晚餐</x:v>
      </x:c>
      <x:c r="D1980" t="str">
        <x:v>主食</x:v>
      </x:c>
      <x:c r="E1980" t="str">
        <x:v>燕麦饭</x:v>
      </x:c>
      <x:c r="F1980" t="n">
        <x:v>135</x:v>
      </x:c>
      <x:c r="G1980" t="n">
        <x:v>110</x:v>
      </x:c>
      <x:c r="H1980" t="n">
        <x:f>ROUND(F1980*G1980/100,2)</x:f>
        <x:v>148.5</x:v>
      </x:c>
      <x:c r="I1980" t="n">
        <x:v>3.2</x:v>
      </x:c>
      <x:c r="J1980" t="n">
        <x:f>ROUND(F1980*I1980/100,2)</x:f>
        <x:v>4.32</x:v>
      </x:c>
      <x:c r="K1980" t="n">
        <x:v>21</x:v>
      </x:c>
      <x:c r="L1980" t="n">
        <x:f>ROUND(F1980*K1980/100,2)</x:f>
        <x:v>28.35</x:v>
      </x:c>
      <x:c r="M1980" t="n">
        <x:v>1.8</x:v>
      </x:c>
      <x:c r="N1980" t="n">
        <x:f>ROUND(F1980*M1980/100,2)</x:f>
        <x:v>2.43</x:v>
      </x:c>
      <x:c r="O1980" t="str">
        <x:v>熟重</x:v>
      </x:c>
    </x:row>
    <x:row r="1981" ht="23" customHeight="1">
      <x:c r="A1981" t="n">
        <x:v>330</x:v>
      </x:c>
      <x:c r="B1981" t="n">
        <x:v>165</x:v>
      </x:c>
      <x:c r="C1981" t="str">
        <x:v>晚餐</x:v>
      </x:c>
      <x:c r="D1981" t="str">
        <x:v>油脂</x:v>
      </x:c>
      <x:c r="E1981" t="str">
        <x:v>烹调油</x:v>
      </x:c>
      <x:c r="F1981" t="n">
        <x:v>6</x:v>
      </x:c>
      <x:c r="G1981" t="n">
        <x:v>900</x:v>
      </x:c>
      <x:c r="H1981" t="n">
        <x:f>ROUND(F1981*G1981/100,2)</x:f>
        <x:v>54</x:v>
      </x:c>
      <x:c r="I1981" t="n">
        <x:v>0</x:v>
      </x:c>
      <x:c r="J1981" t="n">
        <x:f>ROUND(F1981*I1981/100,2)</x:f>
        <x:v>0</x:v>
      </x:c>
      <x:c r="K1981" t="n">
        <x:v>0</x:v>
      </x:c>
      <x:c r="L1981" t="n">
        <x:f>ROUND(F1981*K1981/100,2)</x:f>
        <x:v>0</x:v>
      </x:c>
      <x:c r="M1981" t="n">
        <x:v>100</x:v>
      </x:c>
      <x:c r="N1981" t="n">
        <x:f>ROUND(F1981*M1981/100,2)</x:f>
        <x:v>6</x:v>
      </x:c>
      <x:c r="O1981" t="str">
        <x:v>实际用油重</x:v>
      </x:c>
    </x:row>
    <x:row r="1982" ht="23" customHeight="1">
      <x:c r="A1982" t="n">
        <x:v>331</x:v>
      </x:c>
      <x:c r="B1982" t="n">
        <x:v>166</x:v>
      </x:c>
      <x:c r="C1982" t="str">
        <x:v>午餐</x:v>
      </x:c>
      <x:c r="D1982" t="str">
        <x:v>牛肉</x:v>
      </x:c>
      <x:c r="E1982" t="str">
        <x:v>牛腱子</x:v>
      </x:c>
      <x:c r="F1982" t="n">
        <x:v>165</x:v>
      </x:c>
      <x:c r="G1982" t="n">
        <x:v>140</x:v>
      </x:c>
      <x:c r="H1982" t="n">
        <x:f>ROUND(F1982*G1982/100,2)</x:f>
        <x:v>231</x:v>
      </x:c>
      <x:c r="I1982" t="n">
        <x:v>21</x:v>
      </x:c>
      <x:c r="J1982" t="n">
        <x:f>ROUND(F1982*I1982/100,2)</x:f>
        <x:v>34.65</x:v>
      </x:c>
      <x:c r="K1982" t="n">
        <x:v>0</x:v>
      </x:c>
      <x:c r="L1982" t="n">
        <x:f>ROUND(F1982*K1982/100,2)</x:f>
        <x:v>0</x:v>
      </x:c>
      <x:c r="M1982" t="n">
        <x:v>6</x:v>
      </x:c>
      <x:c r="N1982" t="n">
        <x:f>ROUND(F1982*M1982/100,2)</x:f>
        <x:v>9.9</x:v>
      </x:c>
      <x:c r="O1982" t="str">
        <x:v>生重</x:v>
      </x:c>
    </x:row>
    <x:row r="1983" ht="23" customHeight="1">
      <x:c r="A1983" t="n">
        <x:v>331</x:v>
      </x:c>
      <x:c r="B1983" t="n">
        <x:v>166</x:v>
      </x:c>
      <x:c r="C1983" t="str">
        <x:v>午餐</x:v>
      </x:c>
      <x:c r="D1983" t="str"/>
      <x:c r="E1983" t="str"/>
      <x:c r="F1983" t="n">
        <x:v>0</x:v>
      </x:c>
      <x:c r="G1983" t="n">
        <x:v>0</x:v>
      </x:c>
      <x:c r="H1983" t="n">
        <x:f>ROUND(F1983*G1983/100,2)</x:f>
        <x:v>0</x:v>
      </x:c>
      <x:c r="I1983" t="n">
        <x:v>0</x:v>
      </x:c>
      <x:c r="J1983" t="n">
        <x:f>ROUND(F1983*I1983/100,2)</x:f>
        <x:v>0</x:v>
      </x:c>
      <x:c r="K1983" t="n">
        <x:v>0</x:v>
      </x:c>
      <x:c r="L1983" t="n">
        <x:f>ROUND(F1983*K1983/100,2)</x:f>
        <x:v>0</x:v>
      </x:c>
      <x:c r="M1983" t="n">
        <x:v>0</x:v>
      </x:c>
      <x:c r="N1983" t="n">
        <x:f>ROUND(F1983*M1983/100,2)</x:f>
        <x:v>0</x:v>
      </x:c>
      <x:c r="O1983" t="str"/>
    </x:row>
    <x:row r="1984" ht="23" customHeight="1">
      <x:c r="A1984" t="n">
        <x:v>331</x:v>
      </x:c>
      <x:c r="B1984" t="n">
        <x:v>166</x:v>
      </x:c>
      <x:c r="C1984" t="str">
        <x:v>午餐</x:v>
      </x:c>
      <x:c r="D1984" t="str">
        <x:v>蔬菜</x:v>
      </x:c>
      <x:c r="E1984" t="str">
        <x:v>四季豆</x:v>
      </x:c>
      <x:c r="F1984" t="n">
        <x:v>175</x:v>
      </x:c>
      <x:c r="G1984" t="n">
        <x:v>31</x:v>
      </x:c>
      <x:c r="H1984" t="n">
        <x:f>ROUND(F1984*G1984/100,2)</x:f>
        <x:v>54.25</x:v>
      </x:c>
      <x:c r="I1984" t="n">
        <x:v>1.8</x:v>
      </x:c>
      <x:c r="J1984" t="n">
        <x:f>ROUND(F1984*I1984/100,2)</x:f>
        <x:v>3.15</x:v>
      </x:c>
      <x:c r="K1984" t="n">
        <x:v>7</x:v>
      </x:c>
      <x:c r="L1984" t="n">
        <x:f>ROUND(F1984*K1984/100,2)</x:f>
        <x:v>12.25</x:v>
      </x:c>
      <x:c r="M1984" t="n">
        <x:v>0.1</x:v>
      </x:c>
      <x:c r="N1984" t="n">
        <x:f>ROUND(F1984*M1984/100,2)</x:f>
        <x:v>0.18</x:v>
      </x:c>
      <x:c r="O1984" t="str">
        <x:v>生重</x:v>
      </x:c>
    </x:row>
    <x:row r="1985" ht="23" customHeight="1">
      <x:c r="A1985" t="n">
        <x:v>331</x:v>
      </x:c>
      <x:c r="B1985" t="n">
        <x:v>166</x:v>
      </x:c>
      <x:c r="C1985" t="str">
        <x:v>午餐</x:v>
      </x:c>
      <x:c r="D1985" t="str">
        <x:v>菌菇</x:v>
      </x:c>
      <x:c r="E1985" t="str">
        <x:v>杏鲍菇</x:v>
      </x:c>
      <x:c r="F1985" t="n">
        <x:v>125</x:v>
      </x:c>
      <x:c r="G1985" t="n">
        <x:v>35</x:v>
      </x:c>
      <x:c r="H1985" t="n">
        <x:f>ROUND(F1985*G1985/100,2)</x:f>
        <x:v>43.75</x:v>
      </x:c>
      <x:c r="I1985" t="n">
        <x:v>2</x:v>
      </x:c>
      <x:c r="J1985" t="n">
        <x:f>ROUND(F1985*I1985/100,2)</x:f>
        <x:v>2.5</x:v>
      </x:c>
      <x:c r="K1985" t="n">
        <x:v>7.4</x:v>
      </x:c>
      <x:c r="L1985" t="n">
        <x:f>ROUND(F1985*K1985/100,2)</x:f>
        <x:v>9.25</x:v>
      </x:c>
      <x:c r="M1985" t="n">
        <x:v>0.3</x:v>
      </x:c>
      <x:c r="N1985" t="n">
        <x:f>ROUND(F1985*M1985/100,2)</x:f>
        <x:v>0.38</x:v>
      </x:c>
      <x:c r="O1985" t="str">
        <x:v>生重</x:v>
      </x:c>
    </x:row>
    <x:row r="1986" ht="23" customHeight="1">
      <x:c r="A1986" t="n">
        <x:v>331</x:v>
      </x:c>
      <x:c r="B1986" t="n">
        <x:v>166</x:v>
      </x:c>
      <x:c r="C1986" t="str">
        <x:v>午餐</x:v>
      </x:c>
      <x:c r="D1986" t="str">
        <x:v>主食</x:v>
      </x:c>
      <x:c r="E1986" t="str">
        <x:v>荞麦面</x:v>
      </x:c>
      <x:c r="F1986" t="n">
        <x:v>110</x:v>
      </x:c>
      <x:c r="G1986" t="n">
        <x:v>105</x:v>
      </x:c>
      <x:c r="H1986" t="n">
        <x:f>ROUND(F1986*G1986/100,2)</x:f>
        <x:v>115.5</x:v>
      </x:c>
      <x:c r="I1986" t="n">
        <x:v>4</x:v>
      </x:c>
      <x:c r="J1986" t="n">
        <x:f>ROUND(F1986*I1986/100,2)</x:f>
        <x:v>4.4</x:v>
      </x:c>
      <x:c r="K1986" t="n">
        <x:v>21</x:v>
      </x:c>
      <x:c r="L1986" t="n">
        <x:f>ROUND(F1986*K1986/100,2)</x:f>
        <x:v>23.1</x:v>
      </x:c>
      <x:c r="M1986" t="n">
        <x:v>0.7</x:v>
      </x:c>
      <x:c r="N1986" t="n">
        <x:f>ROUND(F1986*M1986/100,2)</x:f>
        <x:v>0.77</x:v>
      </x:c>
      <x:c r="O1986" t="str">
        <x:v>煮熟沥水重</x:v>
      </x:c>
    </x:row>
    <x:row r="1987" ht="23" customHeight="1">
      <x:c r="A1987" t="n">
        <x:v>331</x:v>
      </x:c>
      <x:c r="B1987" t="n">
        <x:v>166</x:v>
      </x:c>
      <x:c r="C1987" t="str">
        <x:v>午餐</x:v>
      </x:c>
      <x:c r="D1987" t="str">
        <x:v>油脂</x:v>
      </x:c>
      <x:c r="E1987" t="str">
        <x:v>烹调油</x:v>
      </x:c>
      <x:c r="F1987" t="n">
        <x:v>5</x:v>
      </x:c>
      <x:c r="G1987" t="n">
        <x:v>900</x:v>
      </x:c>
      <x:c r="H1987" t="n">
        <x:f>ROUND(F1987*G1987/100,2)</x:f>
        <x:v>45</x:v>
      </x:c>
      <x:c r="I1987" t="n">
        <x:v>0</x:v>
      </x:c>
      <x:c r="J1987" t="n">
        <x:f>ROUND(F1987*I1987/100,2)</x:f>
        <x:v>0</x:v>
      </x:c>
      <x:c r="K1987" t="n">
        <x:v>0</x:v>
      </x:c>
      <x:c r="L1987" t="n">
        <x:f>ROUND(F1987*K1987/100,2)</x:f>
        <x:v>0</x:v>
      </x:c>
      <x:c r="M1987" t="n">
        <x:v>100</x:v>
      </x:c>
      <x:c r="N1987" t="n">
        <x:f>ROUND(F1987*M1987/100,2)</x:f>
        <x:v>5</x:v>
      </x:c>
      <x:c r="O1987" t="str">
        <x:v>实际用油重</x:v>
      </x:c>
    </x:row>
    <x:row r="1988" ht="23" customHeight="1">
      <x:c r="A1988" t="n">
        <x:v>332</x:v>
      </x:c>
      <x:c r="B1988" t="n">
        <x:v>166</x:v>
      </x:c>
      <x:c r="C1988" t="str">
        <x:v>晚餐</x:v>
      </x:c>
      <x:c r="D1988" t="str">
        <x:v>海鲜</x:v>
      </x:c>
      <x:c r="E1988" t="str">
        <x:v>虾仁</x:v>
      </x:c>
      <x:c r="F1988" t="n">
        <x:v>160</x:v>
      </x:c>
      <x:c r="G1988" t="n">
        <x:v>90</x:v>
      </x:c>
      <x:c r="H1988" t="n">
        <x:f>ROUND(F1988*G1988/100,2)</x:f>
        <x:v>144</x:v>
      </x:c>
      <x:c r="I1988" t="n">
        <x:v>19</x:v>
      </x:c>
      <x:c r="J1988" t="n">
        <x:f>ROUND(F1988*I1988/100,2)</x:f>
        <x:v>30.4</x:v>
      </x:c>
      <x:c r="K1988" t="n">
        <x:v>0.4</x:v>
      </x:c>
      <x:c r="L1988" t="n">
        <x:f>ROUND(F1988*K1988/100,2)</x:f>
        <x:v>0.64</x:v>
      </x:c>
      <x:c r="M1988" t="n">
        <x:v>1.1</x:v>
      </x:c>
      <x:c r="N1988" t="n">
        <x:f>ROUND(F1988*M1988/100,2)</x:f>
        <x:v>1.76</x:v>
      </x:c>
      <x:c r="O1988" t="str">
        <x:v>生重</x:v>
      </x:c>
    </x:row>
    <x:row r="1989" ht="23" customHeight="1">
      <x:c r="A1989" t="n">
        <x:v>332</x:v>
      </x:c>
      <x:c r="B1989" t="n">
        <x:v>166</x:v>
      </x:c>
      <x:c r="C1989" t="str">
        <x:v>晚餐</x:v>
      </x:c>
      <x:c r="D1989" t="str"/>
      <x:c r="E1989" t="str"/>
      <x:c r="F1989" t="n">
        <x:v>0</x:v>
      </x:c>
      <x:c r="G1989" t="n">
        <x:v>0</x:v>
      </x:c>
      <x:c r="H1989" t="n">
        <x:f>ROUND(F1989*G1989/100,2)</x:f>
        <x:v>0</x:v>
      </x:c>
      <x:c r="I1989" t="n">
        <x:v>0</x:v>
      </x:c>
      <x:c r="J1989" t="n">
        <x:f>ROUND(F1989*I1989/100,2)</x:f>
        <x:v>0</x:v>
      </x:c>
      <x:c r="K1989" t="n">
        <x:v>0</x:v>
      </x:c>
      <x:c r="L1989" t="n">
        <x:f>ROUND(F1989*K1989/100,2)</x:f>
        <x:v>0</x:v>
      </x:c>
      <x:c r="M1989" t="n">
        <x:v>0</x:v>
      </x:c>
      <x:c r="N1989" t="n">
        <x:f>ROUND(F1989*M1989/100,2)</x:f>
        <x:v>0</x:v>
      </x:c>
      <x:c r="O1989" t="str"/>
    </x:row>
    <x:row r="1990" ht="23" customHeight="1">
      <x:c r="A1990" t="n">
        <x:v>332</x:v>
      </x:c>
      <x:c r="B1990" t="n">
        <x:v>166</x:v>
      </x:c>
      <x:c r="C1990" t="str">
        <x:v>晚餐</x:v>
      </x:c>
      <x:c r="D1990" t="str">
        <x:v>蔬菜</x:v>
      </x:c>
      <x:c r="E1990" t="str">
        <x:v>油麦菜</x:v>
      </x:c>
      <x:c r="F1990" t="n">
        <x:v>175</x:v>
      </x:c>
      <x:c r="G1990" t="n">
        <x:v>18</x:v>
      </x:c>
      <x:c r="H1990" t="n">
        <x:f>ROUND(F1990*G1990/100,2)</x:f>
        <x:v>31.5</x:v>
      </x:c>
      <x:c r="I1990" t="n">
        <x:v>1.4</x:v>
      </x:c>
      <x:c r="J1990" t="n">
        <x:f>ROUND(F1990*I1990/100,2)</x:f>
        <x:v>2.45</x:v>
      </x:c>
      <x:c r="K1990" t="n">
        <x:v>3.1</x:v>
      </x:c>
      <x:c r="L1990" t="n">
        <x:f>ROUND(F1990*K1990/100,2)</x:f>
        <x:v>5.43</x:v>
      </x:c>
      <x:c r="M1990" t="n">
        <x:v>0.2</x:v>
      </x:c>
      <x:c r="N1990" t="n">
        <x:f>ROUND(F1990*M1990/100,2)</x:f>
        <x:v>0.35</x:v>
      </x:c>
      <x:c r="O1990" t="str">
        <x:v>生重</x:v>
      </x:c>
    </x:row>
    <x:row r="1991" ht="23" customHeight="1">
      <x:c r="A1991" t="n">
        <x:v>332</x:v>
      </x:c>
      <x:c r="B1991" t="n">
        <x:v>166</x:v>
      </x:c>
      <x:c r="C1991" t="str">
        <x:v>晚餐</x:v>
      </x:c>
      <x:c r="D1991" t="str">
        <x:v>菌菇</x:v>
      </x:c>
      <x:c r="E1991" t="str">
        <x:v>杏鲍菇</x:v>
      </x:c>
      <x:c r="F1991" t="n">
        <x:v>110</x:v>
      </x:c>
      <x:c r="G1991" t="n">
        <x:v>35</x:v>
      </x:c>
      <x:c r="H1991" t="n">
        <x:f>ROUND(F1991*G1991/100,2)</x:f>
        <x:v>38.5</x:v>
      </x:c>
      <x:c r="I1991" t="n">
        <x:v>2</x:v>
      </x:c>
      <x:c r="J1991" t="n">
        <x:f>ROUND(F1991*I1991/100,2)</x:f>
        <x:v>2.2</x:v>
      </x:c>
      <x:c r="K1991" t="n">
        <x:v>7.4</x:v>
      </x:c>
      <x:c r="L1991" t="n">
        <x:f>ROUND(F1991*K1991/100,2)</x:f>
        <x:v>8.14</x:v>
      </x:c>
      <x:c r="M1991" t="n">
        <x:v>0.3</x:v>
      </x:c>
      <x:c r="N1991" t="n">
        <x:f>ROUND(F1991*M1991/100,2)</x:f>
        <x:v>0.33</x:v>
      </x:c>
      <x:c r="O1991" t="str">
        <x:v>生重</x:v>
      </x:c>
    </x:row>
    <x:row r="1992" ht="23" customHeight="1">
      <x:c r="A1992" t="n">
        <x:v>332</x:v>
      </x:c>
      <x:c r="B1992" t="n">
        <x:v>166</x:v>
      </x:c>
      <x:c r="C1992" t="str">
        <x:v>晚餐</x:v>
      </x:c>
      <x:c r="D1992" t="str">
        <x:v>主食</x:v>
      </x:c>
      <x:c r="E1992" t="str">
        <x:v>燕麦饭</x:v>
      </x:c>
      <x:c r="F1992" t="n">
        <x:v>120</x:v>
      </x:c>
      <x:c r="G1992" t="n">
        <x:v>110</x:v>
      </x:c>
      <x:c r="H1992" t="n">
        <x:f>ROUND(F1992*G1992/100,2)</x:f>
        <x:v>132</x:v>
      </x:c>
      <x:c r="I1992" t="n">
        <x:v>3.2</x:v>
      </x:c>
      <x:c r="J1992" t="n">
        <x:f>ROUND(F1992*I1992/100,2)</x:f>
        <x:v>3.84</x:v>
      </x:c>
      <x:c r="K1992" t="n">
        <x:v>21</x:v>
      </x:c>
      <x:c r="L1992" t="n">
        <x:f>ROUND(F1992*K1992/100,2)</x:f>
        <x:v>25.2</x:v>
      </x:c>
      <x:c r="M1992" t="n">
        <x:v>1.8</x:v>
      </x:c>
      <x:c r="N1992" t="n">
        <x:f>ROUND(F1992*M1992/100,2)</x:f>
        <x:v>2.16</x:v>
      </x:c>
      <x:c r="O1992" t="str">
        <x:v>熟重</x:v>
      </x:c>
    </x:row>
    <x:row r="1993" ht="23" customHeight="1">
      <x:c r="A1993" t="n">
        <x:v>332</x:v>
      </x:c>
      <x:c r="B1993" t="n">
        <x:v>166</x:v>
      </x:c>
      <x:c r="C1993" t="str">
        <x:v>晚餐</x:v>
      </x:c>
      <x:c r="D1993" t="str">
        <x:v>油脂</x:v>
      </x:c>
      <x:c r="E1993" t="str">
        <x:v>烹调油</x:v>
      </x:c>
      <x:c r="F1993" t="n">
        <x:v>3</x:v>
      </x:c>
      <x:c r="G1993" t="n">
        <x:v>900</x:v>
      </x:c>
      <x:c r="H1993" t="n">
        <x:f>ROUND(F1993*G1993/100,2)</x:f>
        <x:v>27</x:v>
      </x:c>
      <x:c r="I1993" t="n">
        <x:v>0</x:v>
      </x:c>
      <x:c r="J1993" t="n">
        <x:f>ROUND(F1993*I1993/100,2)</x:f>
        <x:v>0</x:v>
      </x:c>
      <x:c r="K1993" t="n">
        <x:v>0</x:v>
      </x:c>
      <x:c r="L1993" t="n">
        <x:f>ROUND(F1993*K1993/100,2)</x:f>
        <x:v>0</x:v>
      </x:c>
      <x:c r="M1993" t="n">
        <x:v>100</x:v>
      </x:c>
      <x:c r="N1993" t="n">
        <x:f>ROUND(F1993*M1993/100,2)</x:f>
        <x:v>3</x:v>
      </x:c>
      <x:c r="O1993" t="str">
        <x:v>实际用油重</x:v>
      </x:c>
    </x:row>
    <x:row r="1994" ht="23" customHeight="1">
      <x:c r="A1994" t="n">
        <x:v>333</x:v>
      </x:c>
      <x:c r="B1994" t="n">
        <x:v>167</x:v>
      </x:c>
      <x:c r="C1994" t="str">
        <x:v>午餐</x:v>
      </x:c>
      <x:c r="D1994" t="str">
        <x:v>鱼类</x:v>
      </x:c>
      <x:c r="E1994" t="str">
        <x:v>巴沙鱼</x:v>
      </x:c>
      <x:c r="F1994" t="n">
        <x:v>185</x:v>
      </x:c>
      <x:c r="G1994" t="n">
        <x:v>90</x:v>
      </x:c>
      <x:c r="H1994" t="n">
        <x:f>ROUND(F1994*G1994/100,2)</x:f>
        <x:v>166.5</x:v>
      </x:c>
      <x:c r="I1994" t="n">
        <x:v>17</x:v>
      </x:c>
      <x:c r="J1994" t="n">
        <x:f>ROUND(F1994*I1994/100,2)</x:f>
        <x:v>31.45</x:v>
      </x:c>
      <x:c r="K1994" t="n">
        <x:v>0</x:v>
      </x:c>
      <x:c r="L1994" t="n">
        <x:f>ROUND(F1994*K1994/100,2)</x:f>
        <x:v>0</x:v>
      </x:c>
      <x:c r="M1994" t="n">
        <x:v>2.3</x:v>
      </x:c>
      <x:c r="N1994" t="n">
        <x:f>ROUND(F1994*M1994/100,2)</x:f>
        <x:v>4.25</x:v>
      </x:c>
      <x:c r="O1994" t="str">
        <x:v>净鱼肉生重</x:v>
      </x:c>
    </x:row>
    <x:row r="1995" ht="23" customHeight="1">
      <x:c r="A1995" t="n">
        <x:v>333</x:v>
      </x:c>
      <x:c r="B1995" t="n">
        <x:v>167</x:v>
      </x:c>
      <x:c r="C1995" t="str">
        <x:v>午餐</x:v>
      </x:c>
      <x:c r="D1995" t="str"/>
      <x:c r="E1995" t="str"/>
      <x:c r="F1995" t="n">
        <x:v>0</x:v>
      </x:c>
      <x:c r="G1995" t="n">
        <x:v>0</x:v>
      </x:c>
      <x:c r="H1995" t="n">
        <x:f>ROUND(F1995*G1995/100,2)</x:f>
        <x:v>0</x:v>
      </x:c>
      <x:c r="I1995" t="n">
        <x:v>0</x:v>
      </x:c>
      <x:c r="J1995" t="n">
        <x:f>ROUND(F1995*I1995/100,2)</x:f>
        <x:v>0</x:v>
      </x:c>
      <x:c r="K1995" t="n">
        <x:v>0</x:v>
      </x:c>
      <x:c r="L1995" t="n">
        <x:f>ROUND(F1995*K1995/100,2)</x:f>
        <x:v>0</x:v>
      </x:c>
      <x:c r="M1995" t="n">
        <x:v>0</x:v>
      </x:c>
      <x:c r="N1995" t="n">
        <x:f>ROUND(F1995*M1995/100,2)</x:f>
        <x:v>0</x:v>
      </x:c>
      <x:c r="O1995" t="str"/>
    </x:row>
    <x:row r="1996" ht="23" customHeight="1">
      <x:c r="A1996" t="n">
        <x:v>333</x:v>
      </x:c>
      <x:c r="B1996" t="n">
        <x:v>167</x:v>
      </x:c>
      <x:c r="C1996" t="str">
        <x:v>午餐</x:v>
      </x:c>
      <x:c r="D1996" t="str">
        <x:v>蔬菜</x:v>
      </x:c>
      <x:c r="E1996" t="str">
        <x:v>菠菜</x:v>
      </x:c>
      <x:c r="F1996" t="n">
        <x:v>160</x:v>
      </x:c>
      <x:c r="G1996" t="n">
        <x:v>23</x:v>
      </x:c>
      <x:c r="H1996" t="n">
        <x:f>ROUND(F1996*G1996/100,2)</x:f>
        <x:v>36.8</x:v>
      </x:c>
      <x:c r="I1996" t="n">
        <x:v>2.9</x:v>
      </x:c>
      <x:c r="J1996" t="n">
        <x:f>ROUND(F1996*I1996/100,2)</x:f>
        <x:v>4.64</x:v>
      </x:c>
      <x:c r="K1996" t="n">
        <x:v>3.6</x:v>
      </x:c>
      <x:c r="L1996" t="n">
        <x:f>ROUND(F1996*K1996/100,2)</x:f>
        <x:v>5.76</x:v>
      </x:c>
      <x:c r="M1996" t="n">
        <x:v>0.4</x:v>
      </x:c>
      <x:c r="N1996" t="n">
        <x:f>ROUND(F1996*M1996/100,2)</x:f>
        <x:v>0.64</x:v>
      </x:c>
      <x:c r="O1996" t="str">
        <x:v>生重</x:v>
      </x:c>
    </x:row>
    <x:row r="1997" ht="23" customHeight="1">
      <x:c r="A1997" t="n">
        <x:v>333</x:v>
      </x:c>
      <x:c r="B1997" t="n">
        <x:v>167</x:v>
      </x:c>
      <x:c r="C1997" t="str">
        <x:v>午餐</x:v>
      </x:c>
      <x:c r="D1997" t="str">
        <x:v>菌菇</x:v>
      </x:c>
      <x:c r="E1997" t="str">
        <x:v>口蘑</x:v>
      </x:c>
      <x:c r="F1997" t="n">
        <x:v>125</x:v>
      </x:c>
      <x:c r="G1997" t="n">
        <x:v>22</x:v>
      </x:c>
      <x:c r="H1997" t="n">
        <x:f>ROUND(F1997*G1997/100,2)</x:f>
        <x:v>27.5</x:v>
      </x:c>
      <x:c r="I1997" t="n">
        <x:v>3.1</x:v>
      </x:c>
      <x:c r="J1997" t="n">
        <x:f>ROUND(F1997*I1997/100,2)</x:f>
        <x:v>3.88</x:v>
      </x:c>
      <x:c r="K1997" t="n">
        <x:v>3.3</x:v>
      </x:c>
      <x:c r="L1997" t="n">
        <x:f>ROUND(F1997*K1997/100,2)</x:f>
        <x:v>4.13</x:v>
      </x:c>
      <x:c r="M1997" t="n">
        <x:v>0.3</x:v>
      </x:c>
      <x:c r="N1997" t="n">
        <x:f>ROUND(F1997*M1997/100,2)</x:f>
        <x:v>0.38</x:v>
      </x:c>
      <x:c r="O1997" t="str">
        <x:v>生重</x:v>
      </x:c>
    </x:row>
    <x:row r="1998" ht="23" customHeight="1">
      <x:c r="A1998" t="n">
        <x:v>333</x:v>
      </x:c>
      <x:c r="B1998" t="n">
        <x:v>167</x:v>
      </x:c>
      <x:c r="C1998" t="str">
        <x:v>午餐</x:v>
      </x:c>
      <x:c r="D1998" t="str">
        <x:v>主食</x:v>
      </x:c>
      <x:c r="E1998" t="str">
        <x:v>乌冬面</x:v>
      </x:c>
      <x:c r="F1998" t="n">
        <x:v>150</x:v>
      </x:c>
      <x:c r="G1998" t="n">
        <x:v>120</x:v>
      </x:c>
      <x:c r="H1998" t="n">
        <x:f>ROUND(F1998*G1998/100,2)</x:f>
        <x:v>180</x:v>
      </x:c>
      <x:c r="I1998" t="n">
        <x:v>2.5</x:v>
      </x:c>
      <x:c r="J1998" t="n">
        <x:f>ROUND(F1998*I1998/100,2)</x:f>
        <x:v>3.75</x:v>
      </x:c>
      <x:c r="K1998" t="n">
        <x:v>25</x:v>
      </x:c>
      <x:c r="L1998" t="n">
        <x:f>ROUND(F1998*K1998/100,2)</x:f>
        <x:v>37.5</x:v>
      </x:c>
      <x:c r="M1998" t="n">
        <x:v>0.6</x:v>
      </x:c>
      <x:c r="N1998" t="n">
        <x:f>ROUND(F1998*M1998/100,2)</x:f>
        <x:v>0.9</x:v>
      </x:c>
      <x:c r="O1998" t="str">
        <x:v>煮熟沥水重</x:v>
      </x:c>
    </x:row>
    <x:row r="1999" ht="23" customHeight="1">
      <x:c r="A1999" t="n">
        <x:v>333</x:v>
      </x:c>
      <x:c r="B1999" t="n">
        <x:v>167</x:v>
      </x:c>
      <x:c r="C1999" t="str">
        <x:v>午餐</x:v>
      </x:c>
      <x:c r="D1999" t="str">
        <x:v>油脂</x:v>
      </x:c>
      <x:c r="E1999" t="str">
        <x:v>烹调油</x:v>
      </x:c>
      <x:c r="F1999" t="n">
        <x:v>5</x:v>
      </x:c>
      <x:c r="G1999" t="n">
        <x:v>900</x:v>
      </x:c>
      <x:c r="H1999" t="n">
        <x:f>ROUND(F1999*G1999/100,2)</x:f>
        <x:v>45</x:v>
      </x:c>
      <x:c r="I1999" t="n">
        <x:v>0</x:v>
      </x:c>
      <x:c r="J1999" t="n">
        <x:f>ROUND(F1999*I1999/100,2)</x:f>
        <x:v>0</x:v>
      </x:c>
      <x:c r="K1999" t="n">
        <x:v>0</x:v>
      </x:c>
      <x:c r="L1999" t="n">
        <x:f>ROUND(F1999*K1999/100,2)</x:f>
        <x:v>0</x:v>
      </x:c>
      <x:c r="M1999" t="n">
        <x:v>100</x:v>
      </x:c>
      <x:c r="N1999" t="n">
        <x:f>ROUND(F1999*M1999/100,2)</x:f>
        <x:v>5</x:v>
      </x:c>
      <x:c r="O1999" t="str">
        <x:v>实际用油重</x:v>
      </x:c>
    </x:row>
    <x:row r="2000" ht="23" customHeight="1">
      <x:c r="A2000" t="n">
        <x:v>334</x:v>
      </x:c>
      <x:c r="B2000" t="n">
        <x:v>167</x:v>
      </x:c>
      <x:c r="C2000" t="str">
        <x:v>晚餐</x:v>
      </x:c>
      <x:c r="D2000" t="str">
        <x:v>海鲜</x:v>
      </x:c>
      <x:c r="E2000" t="str">
        <x:v>扇贝肉</x:v>
      </x:c>
      <x:c r="F2000" t="n">
        <x:v>190</x:v>
      </x:c>
      <x:c r="G2000" t="n">
        <x:v>90</x:v>
      </x:c>
      <x:c r="H2000" t="n">
        <x:f>ROUND(F2000*G2000/100,2)</x:f>
        <x:v>171</x:v>
      </x:c>
      <x:c r="I2000" t="n">
        <x:v>17</x:v>
      </x:c>
      <x:c r="J2000" t="n">
        <x:f>ROUND(F2000*I2000/100,2)</x:f>
        <x:v>32.3</x:v>
      </x:c>
      <x:c r="K2000" t="n">
        <x:v>3</x:v>
      </x:c>
      <x:c r="L2000" t="n">
        <x:f>ROUND(F2000*K2000/100,2)</x:f>
        <x:v>5.7</x:v>
      </x:c>
      <x:c r="M2000" t="n">
        <x:v>0.8</x:v>
      </x:c>
      <x:c r="N2000" t="n">
        <x:f>ROUND(F2000*M2000/100,2)</x:f>
        <x:v>1.52</x:v>
      </x:c>
      <x:c r="O2000" t="str">
        <x:v>生重</x:v>
      </x:c>
    </x:row>
    <x:row r="2001" ht="23" customHeight="1">
      <x:c r="A2001" t="n">
        <x:v>334</x:v>
      </x:c>
      <x:c r="B2001" t="n">
        <x:v>167</x:v>
      </x:c>
      <x:c r="C2001" t="str">
        <x:v>晚餐</x:v>
      </x:c>
      <x:c r="D2001" t="str"/>
      <x:c r="E2001" t="str"/>
      <x:c r="F2001" t="n">
        <x:v>0</x:v>
      </x:c>
      <x:c r="G2001" t="n">
        <x:v>0</x:v>
      </x:c>
      <x:c r="H2001" t="n">
        <x:f>ROUND(F2001*G2001/100,2)</x:f>
        <x:v>0</x:v>
      </x:c>
      <x:c r="I2001" t="n">
        <x:v>0</x:v>
      </x:c>
      <x:c r="J2001" t="n">
        <x:f>ROUND(F2001*I2001/100,2)</x:f>
        <x:v>0</x:v>
      </x:c>
      <x:c r="K2001" t="n">
        <x:v>0</x:v>
      </x:c>
      <x:c r="L2001" t="n">
        <x:f>ROUND(F2001*K2001/100,2)</x:f>
        <x:v>0</x:v>
      </x:c>
      <x:c r="M2001" t="n">
        <x:v>0</x:v>
      </x:c>
      <x:c r="N2001" t="n">
        <x:f>ROUND(F2001*M2001/100,2)</x:f>
        <x:v>0</x:v>
      </x:c>
      <x:c r="O2001" t="str"/>
    </x:row>
    <x:row r="2002" ht="23" customHeight="1">
      <x:c r="A2002" t="n">
        <x:v>334</x:v>
      </x:c>
      <x:c r="B2002" t="n">
        <x:v>167</x:v>
      </x:c>
      <x:c r="C2002" t="str">
        <x:v>晚餐</x:v>
      </x:c>
      <x:c r="D2002" t="str">
        <x:v>蔬菜</x:v>
      </x:c>
      <x:c r="E2002" t="str">
        <x:v>芦笋</x:v>
      </x:c>
      <x:c r="F2002" t="n">
        <x:v>140</x:v>
      </x:c>
      <x:c r="G2002" t="n">
        <x:v>20</x:v>
      </x:c>
      <x:c r="H2002" t="n">
        <x:f>ROUND(F2002*G2002/100,2)</x:f>
        <x:v>28</x:v>
      </x:c>
      <x:c r="I2002" t="n">
        <x:v>2.2</x:v>
      </x:c>
      <x:c r="J2002" t="n">
        <x:f>ROUND(F2002*I2002/100,2)</x:f>
        <x:v>3.08</x:v>
      </x:c>
      <x:c r="K2002" t="n">
        <x:v>3.9</x:v>
      </x:c>
      <x:c r="L2002" t="n">
        <x:f>ROUND(F2002*K2002/100,2)</x:f>
        <x:v>5.46</x:v>
      </x:c>
      <x:c r="M2002" t="n">
        <x:v>0.1</x:v>
      </x:c>
      <x:c r="N2002" t="n">
        <x:f>ROUND(F2002*M2002/100,2)</x:f>
        <x:v>0.14</x:v>
      </x:c>
      <x:c r="O2002" t="str">
        <x:v>生重</x:v>
      </x:c>
    </x:row>
    <x:row r="2003" ht="23" customHeight="1">
      <x:c r="A2003" t="n">
        <x:v>334</x:v>
      </x:c>
      <x:c r="B2003" t="n">
        <x:v>167</x:v>
      </x:c>
      <x:c r="C2003" t="str">
        <x:v>晚餐</x:v>
      </x:c>
      <x:c r="D2003" t="str">
        <x:v>蔬菜</x:v>
      </x:c>
      <x:c r="E2003" t="str">
        <x:v>海带</x:v>
      </x:c>
      <x:c r="F2003" t="n">
        <x:v>110</x:v>
      </x:c>
      <x:c r="G2003" t="n">
        <x:v>25</x:v>
      </x:c>
      <x:c r="H2003" t="n">
        <x:f>ROUND(F2003*G2003/100,2)</x:f>
        <x:v>27.5</x:v>
      </x:c>
      <x:c r="I2003" t="n">
        <x:v>1</x:v>
      </x:c>
      <x:c r="J2003" t="n">
        <x:f>ROUND(F2003*I2003/100,2)</x:f>
        <x:v>1.1</x:v>
      </x:c>
      <x:c r="K2003" t="n">
        <x:v>5</x:v>
      </x:c>
      <x:c r="L2003" t="n">
        <x:f>ROUND(F2003*K2003/100,2)</x:f>
        <x:v>5.5</x:v>
      </x:c>
      <x:c r="M2003" t="n">
        <x:v>0.1</x:v>
      </x:c>
      <x:c r="N2003" t="n">
        <x:f>ROUND(F2003*M2003/100,2)</x:f>
        <x:v>0.11</x:v>
      </x:c>
      <x:c r="O2003" t="str">
        <x:v>泡发沥水重</x:v>
      </x:c>
    </x:row>
    <x:row r="2004" ht="23" customHeight="1">
      <x:c r="A2004" t="n">
        <x:v>334</x:v>
      </x:c>
      <x:c r="B2004" t="n">
        <x:v>167</x:v>
      </x:c>
      <x:c r="C2004" t="str">
        <x:v>晚餐</x:v>
      </x:c>
      <x:c r="D2004" t="str">
        <x:v>主食</x:v>
      </x:c>
      <x:c r="E2004" t="str">
        <x:v>杂粮饭</x:v>
      </x:c>
      <x:c r="F2004" t="n">
        <x:v>125</x:v>
      </x:c>
      <x:c r="G2004" t="n">
        <x:v>115</x:v>
      </x:c>
      <x:c r="H2004" t="n">
        <x:f>ROUND(F2004*G2004/100,2)</x:f>
        <x:v>143.75</x:v>
      </x:c>
      <x:c r="I2004" t="n">
        <x:v>3.1</x:v>
      </x:c>
      <x:c r="J2004" t="n">
        <x:f>ROUND(F2004*I2004/100,2)</x:f>
        <x:v>3.88</x:v>
      </x:c>
      <x:c r="K2004" t="n">
        <x:v>23.5</x:v>
      </x:c>
      <x:c r="L2004" t="n">
        <x:f>ROUND(F2004*K2004/100,2)</x:f>
        <x:v>29.38</x:v>
      </x:c>
      <x:c r="M2004" t="n">
        <x:v>1.1</x:v>
      </x:c>
      <x:c r="N2004" t="n">
        <x:f>ROUND(F2004*M2004/100,2)</x:f>
        <x:v>1.38</x:v>
      </x:c>
      <x:c r="O2004" t="str">
        <x:v>熟重</x:v>
      </x:c>
    </x:row>
    <x:row r="2005" ht="23" customHeight="1">
      <x:c r="A2005" t="n">
        <x:v>334</x:v>
      </x:c>
      <x:c r="B2005" t="n">
        <x:v>167</x:v>
      </x:c>
      <x:c r="C2005" t="str">
        <x:v>晚餐</x:v>
      </x:c>
      <x:c r="D2005" t="str">
        <x:v>油脂</x:v>
      </x:c>
      <x:c r="E2005" t="str">
        <x:v>烹调油</x:v>
      </x:c>
      <x:c r="F2005" t="n">
        <x:v>3</x:v>
      </x:c>
      <x:c r="G2005" t="n">
        <x:v>900</x:v>
      </x:c>
      <x:c r="H2005" t="n">
        <x:f>ROUND(F2005*G2005/100,2)</x:f>
        <x:v>27</x:v>
      </x:c>
      <x:c r="I2005" t="n">
        <x:v>0</x:v>
      </x:c>
      <x:c r="J2005" t="n">
        <x:f>ROUND(F2005*I2005/100,2)</x:f>
        <x:v>0</x:v>
      </x:c>
      <x:c r="K2005" t="n">
        <x:v>0</x:v>
      </x:c>
      <x:c r="L2005" t="n">
        <x:f>ROUND(F2005*K2005/100,2)</x:f>
        <x:v>0</x:v>
      </x:c>
      <x:c r="M2005" t="n">
        <x:v>100</x:v>
      </x:c>
      <x:c r="N2005" t="n">
        <x:f>ROUND(F2005*M2005/100,2)</x:f>
        <x:v>3</x:v>
      </x:c>
      <x:c r="O2005" t="str">
        <x:v>实际用油重</x:v>
      </x:c>
    </x:row>
    <x:row r="2006" ht="23" customHeight="1">
      <x:c r="A2006" t="n">
        <x:v>335</x:v>
      </x:c>
      <x:c r="B2006" t="n">
        <x:v>168</x:v>
      </x:c>
      <x:c r="C2006" t="str">
        <x:v>午餐</x:v>
      </x:c>
      <x:c r="D2006" t="str">
        <x:v>牛肉</x:v>
      </x:c>
      <x:c r="E2006" t="str">
        <x:v>瘦牛肉</x:v>
      </x:c>
      <x:c r="F2006" t="n">
        <x:v>175</x:v>
      </x:c>
      <x:c r="G2006" t="n">
        <x:v>125</x:v>
      </x:c>
      <x:c r="H2006" t="n">
        <x:f>ROUND(F2006*G2006/100,2)</x:f>
        <x:v>218.75</x:v>
      </x:c>
      <x:c r="I2006" t="n">
        <x:v>21</x:v>
      </x:c>
      <x:c r="J2006" t="n">
        <x:f>ROUND(F2006*I2006/100,2)</x:f>
        <x:v>36.75</x:v>
      </x:c>
      <x:c r="K2006" t="n">
        <x:v>0</x:v>
      </x:c>
      <x:c r="L2006" t="n">
        <x:f>ROUND(F2006*K2006/100,2)</x:f>
        <x:v>0</x:v>
      </x:c>
      <x:c r="M2006" t="n">
        <x:v>4</x:v>
      </x:c>
      <x:c r="N2006" t="n">
        <x:f>ROUND(F2006*M2006/100,2)</x:f>
        <x:v>7</x:v>
      </x:c>
      <x:c r="O2006" t="str">
        <x:v>生重</x:v>
      </x:c>
    </x:row>
    <x:row r="2007" ht="23" customHeight="1">
      <x:c r="A2007" t="n">
        <x:v>335</x:v>
      </x:c>
      <x:c r="B2007" t="n">
        <x:v>168</x:v>
      </x:c>
      <x:c r="C2007" t="str">
        <x:v>午餐</x:v>
      </x:c>
      <x:c r="D2007" t="str"/>
      <x:c r="E2007" t="str"/>
      <x:c r="F2007" t="n">
        <x:v>0</x:v>
      </x:c>
      <x:c r="G2007" t="n">
        <x:v>0</x:v>
      </x:c>
      <x:c r="H2007" t="n">
        <x:f>ROUND(F2007*G2007/100,2)</x:f>
        <x:v>0</x:v>
      </x:c>
      <x:c r="I2007" t="n">
        <x:v>0</x:v>
      </x:c>
      <x:c r="J2007" t="n">
        <x:f>ROUND(F2007*I2007/100,2)</x:f>
        <x:v>0</x:v>
      </x:c>
      <x:c r="K2007" t="n">
        <x:v>0</x:v>
      </x:c>
      <x:c r="L2007" t="n">
        <x:f>ROUND(F2007*K2007/100,2)</x:f>
        <x:v>0</x:v>
      </x:c>
      <x:c r="M2007" t="n">
        <x:v>0</x:v>
      </x:c>
      <x:c r="N2007" t="n">
        <x:f>ROUND(F2007*M2007/100,2)</x:f>
        <x:v>0</x:v>
      </x:c>
      <x:c r="O2007" t="str"/>
    </x:row>
    <x:row r="2008" ht="23" customHeight="1">
      <x:c r="A2008" t="n">
        <x:v>335</x:v>
      </x:c>
      <x:c r="B2008" t="n">
        <x:v>168</x:v>
      </x:c>
      <x:c r="C2008" t="str">
        <x:v>午餐</x:v>
      </x:c>
      <x:c r="D2008" t="str">
        <x:v>蔬菜</x:v>
      </x:c>
      <x:c r="E2008" t="str">
        <x:v>彩椒</x:v>
      </x:c>
      <x:c r="F2008" t="n">
        <x:v>140</x:v>
      </x:c>
      <x:c r="G2008" t="n">
        <x:v>27</x:v>
      </x:c>
      <x:c r="H2008" t="n">
        <x:f>ROUND(F2008*G2008/100,2)</x:f>
        <x:v>37.8</x:v>
      </x:c>
      <x:c r="I2008" t="n">
        <x:v>1</x:v>
      </x:c>
      <x:c r="J2008" t="n">
        <x:f>ROUND(F2008*I2008/100,2)</x:f>
        <x:v>1.4</x:v>
      </x:c>
      <x:c r="K2008" t="n">
        <x:v>6.1</x:v>
      </x:c>
      <x:c r="L2008" t="n">
        <x:f>ROUND(F2008*K2008/100,2)</x:f>
        <x:v>8.54</x:v>
      </x:c>
      <x:c r="M2008" t="n">
        <x:v>0.2</x:v>
      </x:c>
      <x:c r="N2008" t="n">
        <x:f>ROUND(F2008*M2008/100,2)</x:f>
        <x:v>0.28</x:v>
      </x:c>
      <x:c r="O2008" t="str">
        <x:v>生重</x:v>
      </x:c>
    </x:row>
    <x:row r="2009" ht="23" customHeight="1">
      <x:c r="A2009" t="n">
        <x:v>335</x:v>
      </x:c>
      <x:c r="B2009" t="n">
        <x:v>168</x:v>
      </x:c>
      <x:c r="C2009" t="str">
        <x:v>午餐</x:v>
      </x:c>
      <x:c r="D2009" t="str">
        <x:v>蔬菜</x:v>
      </x:c>
      <x:c r="E2009" t="str">
        <x:v>黄瓜</x:v>
      </x:c>
      <x:c r="F2009" t="n">
        <x:v>125</x:v>
      </x:c>
      <x:c r="G2009" t="n">
        <x:v>16</x:v>
      </x:c>
      <x:c r="H2009" t="n">
        <x:f>ROUND(F2009*G2009/100,2)</x:f>
        <x:v>20</x:v>
      </x:c>
      <x:c r="I2009" t="n">
        <x:v>0.7</x:v>
      </x:c>
      <x:c r="J2009" t="n">
        <x:f>ROUND(F2009*I2009/100,2)</x:f>
        <x:v>0.88</x:v>
      </x:c>
      <x:c r="K2009" t="n">
        <x:v>3.6</x:v>
      </x:c>
      <x:c r="L2009" t="n">
        <x:f>ROUND(F2009*K2009/100,2)</x:f>
        <x:v>4.5</x:v>
      </x:c>
      <x:c r="M2009" t="n">
        <x:v>0.1</x:v>
      </x:c>
      <x:c r="N2009" t="n">
        <x:f>ROUND(F2009*M2009/100,2)</x:f>
        <x:v>0.13</x:v>
      </x:c>
      <x:c r="O2009" t="str">
        <x:v>生重</x:v>
      </x:c>
    </x:row>
    <x:row r="2010" ht="23" customHeight="1">
      <x:c r="A2010" t="n">
        <x:v>335</x:v>
      </x:c>
      <x:c r="B2010" t="n">
        <x:v>168</x:v>
      </x:c>
      <x:c r="C2010" t="str">
        <x:v>午餐</x:v>
      </x:c>
      <x:c r="D2010" t="str">
        <x:v>主食</x:v>
      </x:c>
      <x:c r="E2010" t="str">
        <x:v>杂粮饭</x:v>
      </x:c>
      <x:c r="F2010" t="n">
        <x:v>165</x:v>
      </x:c>
      <x:c r="G2010" t="n">
        <x:v>115</x:v>
      </x:c>
      <x:c r="H2010" t="n">
        <x:f>ROUND(F2010*G2010/100,2)</x:f>
        <x:v>189.75</x:v>
      </x:c>
      <x:c r="I2010" t="n">
        <x:v>3.1</x:v>
      </x:c>
      <x:c r="J2010" t="n">
        <x:f>ROUND(F2010*I2010/100,2)</x:f>
        <x:v>5.12</x:v>
      </x:c>
      <x:c r="K2010" t="n">
        <x:v>23.5</x:v>
      </x:c>
      <x:c r="L2010" t="n">
        <x:f>ROUND(F2010*K2010/100,2)</x:f>
        <x:v>38.78</x:v>
      </x:c>
      <x:c r="M2010" t="n">
        <x:v>1.1</x:v>
      </x:c>
      <x:c r="N2010" t="n">
        <x:f>ROUND(F2010*M2010/100,2)</x:f>
        <x:v>1.82</x:v>
      </x:c>
      <x:c r="O2010" t="str">
        <x:v>熟重</x:v>
      </x:c>
    </x:row>
    <x:row r="2011" ht="23" customHeight="1">
      <x:c r="A2011" t="n">
        <x:v>335</x:v>
      </x:c>
      <x:c r="B2011" t="n">
        <x:v>168</x:v>
      </x:c>
      <x:c r="C2011" t="str">
        <x:v>午餐</x:v>
      </x:c>
      <x:c r="D2011" t="str">
        <x:v>油脂</x:v>
      </x:c>
      <x:c r="E2011" t="str">
        <x:v>烹调油</x:v>
      </x:c>
      <x:c r="F2011" t="n">
        <x:v>5</x:v>
      </x:c>
      <x:c r="G2011" t="n">
        <x:v>900</x:v>
      </x:c>
      <x:c r="H2011" t="n">
        <x:f>ROUND(F2011*G2011/100,2)</x:f>
        <x:v>45</x:v>
      </x:c>
      <x:c r="I2011" t="n">
        <x:v>0</x:v>
      </x:c>
      <x:c r="J2011" t="n">
        <x:f>ROUND(F2011*I2011/100,2)</x:f>
        <x:v>0</x:v>
      </x:c>
      <x:c r="K2011" t="n">
        <x:v>0</x:v>
      </x:c>
      <x:c r="L2011" t="n">
        <x:f>ROUND(F2011*K2011/100,2)</x:f>
        <x:v>0</x:v>
      </x:c>
      <x:c r="M2011" t="n">
        <x:v>100</x:v>
      </x:c>
      <x:c r="N2011" t="n">
        <x:f>ROUND(F2011*M2011/100,2)</x:f>
        <x:v>5</x:v>
      </x:c>
      <x:c r="O2011" t="str">
        <x:v>实际用油重</x:v>
      </x:c>
    </x:row>
    <x:row r="2012" ht="23" customHeight="1">
      <x:c r="A2012" t="n">
        <x:v>336</x:v>
      </x:c>
      <x:c r="B2012" t="n">
        <x:v>168</x:v>
      </x:c>
      <x:c r="C2012" t="str">
        <x:v>晚餐</x:v>
      </x:c>
      <x:c r="D2012" t="str">
        <x:v>豆蛋</x:v>
      </x:c>
      <x:c r="E2012" t="str">
        <x:v>北豆腐</x:v>
      </x:c>
      <x:c r="F2012" t="n">
        <x:v>300</x:v>
      </x:c>
      <x:c r="G2012" t="n">
        <x:v>90</x:v>
      </x:c>
      <x:c r="H2012" t="n">
        <x:f>ROUND(F2012*G2012/100,2)</x:f>
        <x:v>270</x:v>
      </x:c>
      <x:c r="I2012" t="n">
        <x:v>10</x:v>
      </x:c>
      <x:c r="J2012" t="n">
        <x:f>ROUND(F2012*I2012/100,2)</x:f>
        <x:v>30</x:v>
      </x:c>
      <x:c r="K2012" t="n">
        <x:v>2</x:v>
      </x:c>
      <x:c r="L2012" t="n">
        <x:f>ROUND(F2012*K2012/100,2)</x:f>
        <x:v>6</x:v>
      </x:c>
      <x:c r="M2012" t="n">
        <x:v>5</x:v>
      </x:c>
      <x:c r="N2012" t="n">
        <x:f>ROUND(F2012*M2012/100,2)</x:f>
        <x:v>15</x:v>
      </x:c>
      <x:c r="O2012" t="str">
        <x:v>净重</x:v>
      </x:c>
    </x:row>
    <x:row r="2013" ht="23" customHeight="1">
      <x:c r="A2013" t="n">
        <x:v>336</x:v>
      </x:c>
      <x:c r="B2013" t="n">
        <x:v>168</x:v>
      </x:c>
      <x:c r="C2013" t="str">
        <x:v>晚餐</x:v>
      </x:c>
      <x:c r="D2013" t="str">
        <x:v>豆蛋</x:v>
      </x:c>
      <x:c r="E2013" t="str">
        <x:v>鸡蛋</x:v>
      </x:c>
      <x:c r="F2013" t="n">
        <x:v>85</x:v>
      </x:c>
      <x:c r="G2013" t="n">
        <x:v>144</x:v>
      </x:c>
      <x:c r="H2013" t="n">
        <x:f>ROUND(F2013*G2013/100,2)</x:f>
        <x:v>122.4</x:v>
      </x:c>
      <x:c r="I2013" t="n">
        <x:v>13</x:v>
      </x:c>
      <x:c r="J2013" t="n">
        <x:f>ROUND(F2013*I2013/100,2)</x:f>
        <x:v>11.05</x:v>
      </x:c>
      <x:c r="K2013" t="n">
        <x:v>1.1</x:v>
      </x:c>
      <x:c r="L2013" t="n">
        <x:f>ROUND(F2013*K2013/100,2)</x:f>
        <x:v>0.94</x:v>
      </x:c>
      <x:c r="M2013" t="n">
        <x:v>10</x:v>
      </x:c>
      <x:c r="N2013" t="n">
        <x:f>ROUND(F2013*M2013/100,2)</x:f>
        <x:v>8.5</x:v>
      </x:c>
      <x:c r="O2013" t="str">
        <x:v>去壳可食重</x:v>
      </x:c>
    </x:row>
    <x:row r="2014" ht="23" customHeight="1">
      <x:c r="A2014" t="n">
        <x:v>336</x:v>
      </x:c>
      <x:c r="B2014" t="n">
        <x:v>168</x:v>
      </x:c>
      <x:c r="C2014" t="str">
        <x:v>晚餐</x:v>
      </x:c>
      <x:c r="D2014" t="str">
        <x:v>蔬菜</x:v>
      </x:c>
      <x:c r="E2014" t="str">
        <x:v>紫甘蓝</x:v>
      </x:c>
      <x:c r="F2014" t="n">
        <x:v>190</x:v>
      </x:c>
      <x:c r="G2014" t="n">
        <x:v>31</x:v>
      </x:c>
      <x:c r="H2014" t="n">
        <x:f>ROUND(F2014*G2014/100,2)</x:f>
        <x:v>58.9</x:v>
      </x:c>
      <x:c r="I2014" t="n">
        <x:v>1.4</x:v>
      </x:c>
      <x:c r="J2014" t="n">
        <x:f>ROUND(F2014*I2014/100,2)</x:f>
        <x:v>2.66</x:v>
      </x:c>
      <x:c r="K2014" t="n">
        <x:v>7.3</x:v>
      </x:c>
      <x:c r="L2014" t="n">
        <x:f>ROUND(F2014*K2014/100,2)</x:f>
        <x:v>13.87</x:v>
      </x:c>
      <x:c r="M2014" t="n">
        <x:v>0.1</x:v>
      </x:c>
      <x:c r="N2014" t="n">
        <x:f>ROUND(F2014*M2014/100,2)</x:f>
        <x:v>0.19</x:v>
      </x:c>
      <x:c r="O2014" t="str">
        <x:v>生重</x:v>
      </x:c>
    </x:row>
    <x:row r="2015" ht="23" customHeight="1">
      <x:c r="A2015" t="n">
        <x:v>336</x:v>
      </x:c>
      <x:c r="B2015" t="n">
        <x:v>168</x:v>
      </x:c>
      <x:c r="C2015" t="str">
        <x:v>晚餐</x:v>
      </x:c>
      <x:c r="D2015" t="str">
        <x:v>蔬菜</x:v>
      </x:c>
      <x:c r="E2015" t="str">
        <x:v>冬瓜</x:v>
      </x:c>
      <x:c r="F2015" t="n">
        <x:v>140</x:v>
      </x:c>
      <x:c r="G2015" t="n">
        <x:v>13</x:v>
      </x:c>
      <x:c r="H2015" t="n">
        <x:f>ROUND(F2015*G2015/100,2)</x:f>
        <x:v>18.2</x:v>
      </x:c>
      <x:c r="I2015" t="n">
        <x:v>0.4</x:v>
      </x:c>
      <x:c r="J2015" t="n">
        <x:f>ROUND(F2015*I2015/100,2)</x:f>
        <x:v>0.56</x:v>
      </x:c>
      <x:c r="K2015" t="n">
        <x:v>3</x:v>
      </x:c>
      <x:c r="L2015" t="n">
        <x:f>ROUND(F2015*K2015/100,2)</x:f>
        <x:v>4.2</x:v>
      </x:c>
      <x:c r="M2015" t="n">
        <x:v>0.2</x:v>
      </x:c>
      <x:c r="N2015" t="n">
        <x:f>ROUND(F2015*M2015/100,2)</x:f>
        <x:v>0.28</x:v>
      </x:c>
      <x:c r="O2015" t="str">
        <x:v>生重</x:v>
      </x:c>
    </x:row>
    <x:row r="2016" ht="23" customHeight="1">
      <x:c r="A2016" t="n">
        <x:v>336</x:v>
      </x:c>
      <x:c r="B2016" t="n">
        <x:v>168</x:v>
      </x:c>
      <x:c r="C2016" t="str">
        <x:v>晚餐</x:v>
      </x:c>
      <x:c r="D2016" t="str">
        <x:v>主食</x:v>
      </x:c>
      <x:c r="E2016" t="str">
        <x:v>荞麦饭</x:v>
      </x:c>
      <x:c r="F2016" t="n">
        <x:v>125</x:v>
      </x:c>
      <x:c r="G2016" t="n">
        <x:v>110</x:v>
      </x:c>
      <x:c r="H2016" t="n">
        <x:f>ROUND(F2016*G2016/100,2)</x:f>
        <x:v>137.5</x:v>
      </x:c>
      <x:c r="I2016" t="n">
        <x:v>3.4</x:v>
      </x:c>
      <x:c r="J2016" t="n">
        <x:f>ROUND(F2016*I2016/100,2)</x:f>
        <x:v>4.25</x:v>
      </x:c>
      <x:c r="K2016" t="n">
        <x:v>22</x:v>
      </x:c>
      <x:c r="L2016" t="n">
        <x:f>ROUND(F2016*K2016/100,2)</x:f>
        <x:v>27.5</x:v>
      </x:c>
      <x:c r="M2016" t="n">
        <x:v>1.1</x:v>
      </x:c>
      <x:c r="N2016" t="n">
        <x:f>ROUND(F2016*M2016/100,2)</x:f>
        <x:v>1.38</x:v>
      </x:c>
      <x:c r="O2016" t="str">
        <x:v>熟重</x:v>
      </x:c>
    </x:row>
    <x:row r="2017" ht="23" customHeight="1">
      <x:c r="A2017" t="n">
        <x:v>336</x:v>
      </x:c>
      <x:c r="B2017" t="n">
        <x:v>168</x:v>
      </x:c>
      <x:c r="C2017" t="str">
        <x:v>晚餐</x:v>
      </x:c>
      <x:c r="D2017" t="str">
        <x:v>油脂</x:v>
      </x:c>
      <x:c r="E2017" t="str">
        <x:v>烹调油</x:v>
      </x:c>
      <x:c r="F2017" t="n">
        <x:v>3</x:v>
      </x:c>
      <x:c r="G2017" t="n">
        <x:v>900</x:v>
      </x:c>
      <x:c r="H2017" t="n">
        <x:f>ROUND(F2017*G2017/100,2)</x:f>
        <x:v>27</x:v>
      </x:c>
      <x:c r="I2017" t="n">
        <x:v>0</x:v>
      </x:c>
      <x:c r="J2017" t="n">
        <x:f>ROUND(F2017*I2017/100,2)</x:f>
        <x:v>0</x:v>
      </x:c>
      <x:c r="K2017" t="n">
        <x:v>0</x:v>
      </x:c>
      <x:c r="L2017" t="n">
        <x:f>ROUND(F2017*K2017/100,2)</x:f>
        <x:v>0</x:v>
      </x:c>
      <x:c r="M2017" t="n">
        <x:v>100</x:v>
      </x:c>
      <x:c r="N2017" t="n">
        <x:f>ROUND(F2017*M2017/100,2)</x:f>
        <x:v>3</x:v>
      </x:c>
      <x:c r="O2017" t="str">
        <x:v>实际用油重</x:v>
      </x:c>
    </x:row>
    <x:row r="2018" ht="23" customHeight="1">
      <x:c r="A2018" t="n">
        <x:v>337</x:v>
      </x:c>
      <x:c r="B2018" t="n">
        <x:v>169</x:v>
      </x:c>
      <x:c r="C2018" t="str">
        <x:v>午餐</x:v>
      </x:c>
      <x:c r="D2018" t="str">
        <x:v>鱼类</x:v>
      </x:c>
      <x:c r="E2018" t="str">
        <x:v>鳕鱼</x:v>
      </x:c>
      <x:c r="F2018" t="n">
        <x:v>215</x:v>
      </x:c>
      <x:c r="G2018" t="n">
        <x:v>85</x:v>
      </x:c>
      <x:c r="H2018" t="n">
        <x:f>ROUND(F2018*G2018/100,2)</x:f>
        <x:v>182.75</x:v>
      </x:c>
      <x:c r="I2018" t="n">
        <x:v>18</x:v>
      </x:c>
      <x:c r="J2018" t="n">
        <x:f>ROUND(F2018*I2018/100,2)</x:f>
        <x:v>38.7</x:v>
      </x:c>
      <x:c r="K2018" t="n">
        <x:v>0</x:v>
      </x:c>
      <x:c r="L2018" t="n">
        <x:f>ROUND(F2018*K2018/100,2)</x:f>
        <x:v>0</x:v>
      </x:c>
      <x:c r="M2018" t="n">
        <x:v>0.8</x:v>
      </x:c>
      <x:c r="N2018" t="n">
        <x:f>ROUND(F2018*M2018/100,2)</x:f>
        <x:v>1.72</x:v>
      </x:c>
      <x:c r="O2018" t="str">
        <x:v>净鱼肉生重</x:v>
      </x:c>
    </x:row>
    <x:row r="2019" ht="23" customHeight="1">
      <x:c r="A2019" t="n">
        <x:v>337</x:v>
      </x:c>
      <x:c r="B2019" t="n">
        <x:v>169</x:v>
      </x:c>
      <x:c r="C2019" t="str">
        <x:v>午餐</x:v>
      </x:c>
      <x:c r="D2019" t="str"/>
      <x:c r="E2019" t="str"/>
      <x:c r="F2019" t="n">
        <x:v>0</x:v>
      </x:c>
      <x:c r="G2019" t="n">
        <x:v>0</x:v>
      </x:c>
      <x:c r="H2019" t="n">
        <x:f>ROUND(F2019*G2019/100,2)</x:f>
        <x:v>0</x:v>
      </x:c>
      <x:c r="I2019" t="n">
        <x:v>0</x:v>
      </x:c>
      <x:c r="J2019" t="n">
        <x:f>ROUND(F2019*I2019/100,2)</x:f>
        <x:v>0</x:v>
      </x:c>
      <x:c r="K2019" t="n">
        <x:v>0</x:v>
      </x:c>
      <x:c r="L2019" t="n">
        <x:f>ROUND(F2019*K2019/100,2)</x:f>
        <x:v>0</x:v>
      </x:c>
      <x:c r="M2019" t="n">
        <x:v>0</x:v>
      </x:c>
      <x:c r="N2019" t="n">
        <x:f>ROUND(F2019*M2019/100,2)</x:f>
        <x:v>0</x:v>
      </x:c>
      <x:c r="O2019" t="str"/>
    </x:row>
    <x:row r="2020" ht="23" customHeight="1">
      <x:c r="A2020" t="n">
        <x:v>337</x:v>
      </x:c>
      <x:c r="B2020" t="n">
        <x:v>169</x:v>
      </x:c>
      <x:c r="C2020" t="str">
        <x:v>午餐</x:v>
      </x:c>
      <x:c r="D2020" t="str">
        <x:v>蔬菜</x:v>
      </x:c>
      <x:c r="E2020" t="str">
        <x:v>芹菜</x:v>
      </x:c>
      <x:c r="F2020" t="n">
        <x:v>140</x:v>
      </x:c>
      <x:c r="G2020" t="n">
        <x:v>17</x:v>
      </x:c>
      <x:c r="H2020" t="n">
        <x:f>ROUND(F2020*G2020/100,2)</x:f>
        <x:v>23.8</x:v>
      </x:c>
      <x:c r="I2020" t="n">
        <x:v>1</x:v>
      </x:c>
      <x:c r="J2020" t="n">
        <x:f>ROUND(F2020*I2020/100,2)</x:f>
        <x:v>1.4</x:v>
      </x:c>
      <x:c r="K2020" t="n">
        <x:v>3.5</x:v>
      </x:c>
      <x:c r="L2020" t="n">
        <x:f>ROUND(F2020*K2020/100,2)</x:f>
        <x:v>4.9</x:v>
      </x:c>
      <x:c r="M2020" t="n">
        <x:v>0.1</x:v>
      </x:c>
      <x:c r="N2020" t="n">
        <x:f>ROUND(F2020*M2020/100,2)</x:f>
        <x:v>0.14</x:v>
      </x:c>
      <x:c r="O2020" t="str">
        <x:v>生重</x:v>
      </x:c>
    </x:row>
    <x:row r="2021" ht="23" customHeight="1">
      <x:c r="A2021" t="n">
        <x:v>337</x:v>
      </x:c>
      <x:c r="B2021" t="n">
        <x:v>169</x:v>
      </x:c>
      <x:c r="C2021" t="str">
        <x:v>午餐</x:v>
      </x:c>
      <x:c r="D2021" t="str">
        <x:v>蔬菜</x:v>
      </x:c>
      <x:c r="E2021" t="str">
        <x:v>紫甘蓝</x:v>
      </x:c>
      <x:c r="F2021" t="n">
        <x:v>155</x:v>
      </x:c>
      <x:c r="G2021" t="n">
        <x:v>31</x:v>
      </x:c>
      <x:c r="H2021" t="n">
        <x:f>ROUND(F2021*G2021/100,2)</x:f>
        <x:v>48.05</x:v>
      </x:c>
      <x:c r="I2021" t="n">
        <x:v>1.4</x:v>
      </x:c>
      <x:c r="J2021" t="n">
        <x:f>ROUND(F2021*I2021/100,2)</x:f>
        <x:v>2.17</x:v>
      </x:c>
      <x:c r="K2021" t="n">
        <x:v>7.3</x:v>
      </x:c>
      <x:c r="L2021" t="n">
        <x:f>ROUND(F2021*K2021/100,2)</x:f>
        <x:v>11.32</x:v>
      </x:c>
      <x:c r="M2021" t="n">
        <x:v>0.1</x:v>
      </x:c>
      <x:c r="N2021" t="n">
        <x:f>ROUND(F2021*M2021/100,2)</x:f>
        <x:v>0.16</x:v>
      </x:c>
      <x:c r="O2021" t="str">
        <x:v>生重</x:v>
      </x:c>
    </x:row>
    <x:row r="2022" ht="23" customHeight="1">
      <x:c r="A2022" t="n">
        <x:v>337</x:v>
      </x:c>
      <x:c r="B2022" t="n">
        <x:v>169</x:v>
      </x:c>
      <x:c r="C2022" t="str">
        <x:v>午餐</x:v>
      </x:c>
      <x:c r="D2022" t="str">
        <x:v>主食</x:v>
      </x:c>
      <x:c r="E2022" t="str">
        <x:v>山药</x:v>
      </x:c>
      <x:c r="F2022" t="n">
        <x:v>140</x:v>
      </x:c>
      <x:c r="G2022" t="n">
        <x:v>62</x:v>
      </x:c>
      <x:c r="H2022" t="n">
        <x:f>ROUND(F2022*G2022/100,2)</x:f>
        <x:v>86.8</x:v>
      </x:c>
      <x:c r="I2022" t="n">
        <x:v>1.5</x:v>
      </x:c>
      <x:c r="J2022" t="n">
        <x:f>ROUND(F2022*I2022/100,2)</x:f>
        <x:v>2.1</x:v>
      </x:c>
      <x:c r="K2022" t="n">
        <x:v>14.1</x:v>
      </x:c>
      <x:c r="L2022" t="n">
        <x:f>ROUND(F2022*K2022/100,2)</x:f>
        <x:v>19.74</x:v>
      </x:c>
      <x:c r="M2022" t="n">
        <x:v>0.1</x:v>
      </x:c>
      <x:c r="N2022" t="n">
        <x:f>ROUND(F2022*M2022/100,2)</x:f>
        <x:v>0.14</x:v>
      </x:c>
      <x:c r="O2022" t="str">
        <x:v>蒸熟净重</x:v>
      </x:c>
    </x:row>
    <x:row r="2023" ht="23" customHeight="1">
      <x:c r="A2023" t="n">
        <x:v>337</x:v>
      </x:c>
      <x:c r="B2023" t="n">
        <x:v>169</x:v>
      </x:c>
      <x:c r="C2023" t="str">
        <x:v>午餐</x:v>
      </x:c>
      <x:c r="D2023" t="str">
        <x:v>油脂</x:v>
      </x:c>
      <x:c r="E2023" t="str">
        <x:v>烹调油</x:v>
      </x:c>
      <x:c r="F2023" t="n">
        <x:v>3</x:v>
      </x:c>
      <x:c r="G2023" t="n">
        <x:v>900</x:v>
      </x:c>
      <x:c r="H2023" t="n">
        <x:f>ROUND(F2023*G2023/100,2)</x:f>
        <x:v>27</x:v>
      </x:c>
      <x:c r="I2023" t="n">
        <x:v>0</x:v>
      </x:c>
      <x:c r="J2023" t="n">
        <x:f>ROUND(F2023*I2023/100,2)</x:f>
        <x:v>0</x:v>
      </x:c>
      <x:c r="K2023" t="n">
        <x:v>0</x:v>
      </x:c>
      <x:c r="L2023" t="n">
        <x:f>ROUND(F2023*K2023/100,2)</x:f>
        <x:v>0</x:v>
      </x:c>
      <x:c r="M2023" t="n">
        <x:v>100</x:v>
      </x:c>
      <x:c r="N2023" t="n">
        <x:f>ROUND(F2023*M2023/100,2)</x:f>
        <x:v>3</x:v>
      </x:c>
      <x:c r="O2023" t="str">
        <x:v>实际用油重</x:v>
      </x:c>
    </x:row>
    <x:row r="2024" ht="23" customHeight="1">
      <x:c r="A2024" t="n">
        <x:v>338</x:v>
      </x:c>
      <x:c r="B2024" t="n">
        <x:v>169</x:v>
      </x:c>
      <x:c r="C2024" t="str">
        <x:v>晚餐</x:v>
      </x:c>
      <x:c r="D2024" t="str">
        <x:v>禽肉</x:v>
      </x:c>
      <x:c r="E2024" t="str">
        <x:v>鸡胸肉</x:v>
      </x:c>
      <x:c r="F2024" t="n">
        <x:v>170</x:v>
      </x:c>
      <x:c r="G2024" t="n">
        <x:v>110</x:v>
      </x:c>
      <x:c r="H2024" t="n">
        <x:f>ROUND(F2024*G2024/100,2)</x:f>
        <x:v>187</x:v>
      </x:c>
      <x:c r="I2024" t="n">
        <x:v>23</x:v>
      </x:c>
      <x:c r="J2024" t="n">
        <x:f>ROUND(F2024*I2024/100,2)</x:f>
        <x:v>39.1</x:v>
      </x:c>
      <x:c r="K2024" t="n">
        <x:v>0</x:v>
      </x:c>
      <x:c r="L2024" t="n">
        <x:f>ROUND(F2024*K2024/100,2)</x:f>
        <x:v>0</x:v>
      </x:c>
      <x:c r="M2024" t="n">
        <x:v>2</x:v>
      </x:c>
      <x:c r="N2024" t="n">
        <x:f>ROUND(F2024*M2024/100,2)</x:f>
        <x:v>3.4</x:v>
      </x:c>
      <x:c r="O2024" t="str">
        <x:v>生重</x:v>
      </x:c>
    </x:row>
    <x:row r="2025" ht="23" customHeight="1">
      <x:c r="A2025" t="n">
        <x:v>338</x:v>
      </x:c>
      <x:c r="B2025" t="n">
        <x:v>169</x:v>
      </x:c>
      <x:c r="C2025" t="str">
        <x:v>晚餐</x:v>
      </x:c>
      <x:c r="D2025" t="str"/>
      <x:c r="E2025" t="str"/>
      <x:c r="F2025" t="n">
        <x:v>0</x:v>
      </x:c>
      <x:c r="G2025" t="n">
        <x:v>0</x:v>
      </x:c>
      <x:c r="H2025" t="n">
        <x:f>ROUND(F2025*G2025/100,2)</x:f>
        <x:v>0</x:v>
      </x:c>
      <x:c r="I2025" t="n">
        <x:v>0</x:v>
      </x:c>
      <x:c r="J2025" t="n">
        <x:f>ROUND(F2025*I2025/100,2)</x:f>
        <x:v>0</x:v>
      </x:c>
      <x:c r="K2025" t="n">
        <x:v>0</x:v>
      </x:c>
      <x:c r="L2025" t="n">
        <x:f>ROUND(F2025*K2025/100,2)</x:f>
        <x:v>0</x:v>
      </x:c>
      <x:c r="M2025" t="n">
        <x:v>0</x:v>
      </x:c>
      <x:c r="N2025" t="n">
        <x:f>ROUND(F2025*M2025/100,2)</x:f>
        <x:v>0</x:v>
      </x:c>
      <x:c r="O2025" t="str"/>
    </x:row>
    <x:row r="2026" ht="23" customHeight="1">
      <x:c r="A2026" t="n">
        <x:v>338</x:v>
      </x:c>
      <x:c r="B2026" t="n">
        <x:v>169</x:v>
      </x:c>
      <x:c r="C2026" t="str">
        <x:v>晚餐</x:v>
      </x:c>
      <x:c r="D2026" t="str">
        <x:v>蔬菜</x:v>
      </x:c>
      <x:c r="E2026" t="str">
        <x:v>丝瓜</x:v>
      </x:c>
      <x:c r="F2026" t="n">
        <x:v>175</x:v>
      </x:c>
      <x:c r="G2026" t="n">
        <x:v>20</x:v>
      </x:c>
      <x:c r="H2026" t="n">
        <x:f>ROUND(F2026*G2026/100,2)</x:f>
        <x:v>35</x:v>
      </x:c>
      <x:c r="I2026" t="n">
        <x:v>1</x:v>
      </x:c>
      <x:c r="J2026" t="n">
        <x:f>ROUND(F2026*I2026/100,2)</x:f>
        <x:v>1.75</x:v>
      </x:c>
      <x:c r="K2026" t="n">
        <x:v>4</x:v>
      </x:c>
      <x:c r="L2026" t="n">
        <x:f>ROUND(F2026*K2026/100,2)</x:f>
        <x:v>7</x:v>
      </x:c>
      <x:c r="M2026" t="n">
        <x:v>0.2</x:v>
      </x:c>
      <x:c r="N2026" t="n">
        <x:f>ROUND(F2026*M2026/100,2)</x:f>
        <x:v>0.35</x:v>
      </x:c>
      <x:c r="O2026" t="str">
        <x:v>生重</x:v>
      </x:c>
    </x:row>
    <x:row r="2027" ht="23" customHeight="1">
      <x:c r="A2027" t="n">
        <x:v>338</x:v>
      </x:c>
      <x:c r="B2027" t="n">
        <x:v>169</x:v>
      </x:c>
      <x:c r="C2027" t="str">
        <x:v>晚餐</x:v>
      </x:c>
      <x:c r="D2027" t="str">
        <x:v>蔬菜</x:v>
      </x:c>
      <x:c r="E2027" t="str">
        <x:v>白萝卜</x:v>
      </x:c>
      <x:c r="F2027" t="n">
        <x:v>155</x:v>
      </x:c>
      <x:c r="G2027" t="n">
        <x:v>18</x:v>
      </x:c>
      <x:c r="H2027" t="n">
        <x:f>ROUND(F2027*G2027/100,2)</x:f>
        <x:v>27.9</x:v>
      </x:c>
      <x:c r="I2027" t="n">
        <x:v>0.6</x:v>
      </x:c>
      <x:c r="J2027" t="n">
        <x:f>ROUND(F2027*I2027/100,2)</x:f>
        <x:v>0.93</x:v>
      </x:c>
      <x:c r="K2027" t="n">
        <x:v>4</x:v>
      </x:c>
      <x:c r="L2027" t="n">
        <x:f>ROUND(F2027*K2027/100,2)</x:f>
        <x:v>6.2</x:v>
      </x:c>
      <x:c r="M2027" t="n">
        <x:v>0.1</x:v>
      </x:c>
      <x:c r="N2027" t="n">
        <x:f>ROUND(F2027*M2027/100,2)</x:f>
        <x:v>0.16</x:v>
      </x:c>
      <x:c r="O2027" t="str">
        <x:v>生重</x:v>
      </x:c>
    </x:row>
    <x:row r="2028" ht="23" customHeight="1">
      <x:c r="A2028" t="n">
        <x:v>338</x:v>
      </x:c>
      <x:c r="B2028" t="n">
        <x:v>169</x:v>
      </x:c>
      <x:c r="C2028" t="str">
        <x:v>晚餐</x:v>
      </x:c>
      <x:c r="D2028" t="str">
        <x:v>主食</x:v>
      </x:c>
      <x:c r="E2028" t="str">
        <x:v>藜麦饭</x:v>
      </x:c>
      <x:c r="F2028" t="n">
        <x:v>110</x:v>
      </x:c>
      <x:c r="G2028" t="n">
        <x:v>120</x:v>
      </x:c>
      <x:c r="H2028" t="n">
        <x:f>ROUND(F2028*G2028/100,2)</x:f>
        <x:v>132</x:v>
      </x:c>
      <x:c r="I2028" t="n">
        <x:v>4.4</x:v>
      </x:c>
      <x:c r="J2028" t="n">
        <x:f>ROUND(F2028*I2028/100,2)</x:f>
        <x:v>4.84</x:v>
      </x:c>
      <x:c r="K2028" t="n">
        <x:v>21.3</x:v>
      </x:c>
      <x:c r="L2028" t="n">
        <x:f>ROUND(F2028*K2028/100,2)</x:f>
        <x:v>23.43</x:v>
      </x:c>
      <x:c r="M2028" t="n">
        <x:v>1.9</x:v>
      </x:c>
      <x:c r="N2028" t="n">
        <x:f>ROUND(F2028*M2028/100,2)</x:f>
        <x:v>2.09</x:v>
      </x:c>
      <x:c r="O2028" t="str">
        <x:v>熟重</x:v>
      </x:c>
    </x:row>
    <x:row r="2029" ht="23" customHeight="1">
      <x:c r="A2029" t="n">
        <x:v>338</x:v>
      </x:c>
      <x:c r="B2029" t="n">
        <x:v>169</x:v>
      </x:c>
      <x:c r="C2029" t="str">
        <x:v>晚餐</x:v>
      </x:c>
      <x:c r="D2029" t="str">
        <x:v>油脂</x:v>
      </x:c>
      <x:c r="E2029" t="str">
        <x:v>烹调油</x:v>
      </x:c>
      <x:c r="F2029" t="n">
        <x:v>3</x:v>
      </x:c>
      <x:c r="G2029" t="n">
        <x:v>900</x:v>
      </x:c>
      <x:c r="H2029" t="n">
        <x:f>ROUND(F2029*G2029/100,2)</x:f>
        <x:v>27</x:v>
      </x:c>
      <x:c r="I2029" t="n">
        <x:v>0</x:v>
      </x:c>
      <x:c r="J2029" t="n">
        <x:f>ROUND(F2029*I2029/100,2)</x:f>
        <x:v>0</x:v>
      </x:c>
      <x:c r="K2029" t="n">
        <x:v>0</x:v>
      </x:c>
      <x:c r="L2029" t="n">
        <x:f>ROUND(F2029*K2029/100,2)</x:f>
        <x:v>0</x:v>
      </x:c>
      <x:c r="M2029" t="n">
        <x:v>100</x:v>
      </x:c>
      <x:c r="N2029" t="n">
        <x:f>ROUND(F2029*M2029/100,2)</x:f>
        <x:v>3</x:v>
      </x:c>
      <x:c r="O2029" t="str">
        <x:v>实际用油重</x:v>
      </x:c>
    </x:row>
    <x:row r="2030" ht="23" customHeight="1">
      <x:c r="A2030" t="n">
        <x:v>339</x:v>
      </x:c>
      <x:c r="B2030" t="n">
        <x:v>170</x:v>
      </x:c>
      <x:c r="C2030" t="str">
        <x:v>午餐</x:v>
      </x:c>
      <x:c r="D2030" t="str">
        <x:v>海鲜</x:v>
      </x:c>
      <x:c r="E2030" t="str">
        <x:v>虾仁</x:v>
      </x:c>
      <x:c r="F2030" t="n">
        <x:v>160</x:v>
      </x:c>
      <x:c r="G2030" t="n">
        <x:v>90</x:v>
      </x:c>
      <x:c r="H2030" t="n">
        <x:f>ROUND(F2030*G2030/100,2)</x:f>
        <x:v>144</x:v>
      </x:c>
      <x:c r="I2030" t="n">
        <x:v>19</x:v>
      </x:c>
      <x:c r="J2030" t="n">
        <x:f>ROUND(F2030*I2030/100,2)</x:f>
        <x:v>30.4</x:v>
      </x:c>
      <x:c r="K2030" t="n">
        <x:v>0.4</x:v>
      </x:c>
      <x:c r="L2030" t="n">
        <x:f>ROUND(F2030*K2030/100,2)</x:f>
        <x:v>0.64</x:v>
      </x:c>
      <x:c r="M2030" t="n">
        <x:v>1.1</x:v>
      </x:c>
      <x:c r="N2030" t="n">
        <x:f>ROUND(F2030*M2030/100,2)</x:f>
        <x:v>1.76</x:v>
      </x:c>
      <x:c r="O2030" t="str">
        <x:v>生重</x:v>
      </x:c>
    </x:row>
    <x:row r="2031" ht="23" customHeight="1">
      <x:c r="A2031" t="n">
        <x:v>339</x:v>
      </x:c>
      <x:c r="B2031" t="n">
        <x:v>170</x:v>
      </x:c>
      <x:c r="C2031" t="str">
        <x:v>午餐</x:v>
      </x:c>
      <x:c r="D2031" t="str"/>
      <x:c r="E2031" t="str"/>
      <x:c r="F2031" t="n">
        <x:v>0</x:v>
      </x:c>
      <x:c r="G2031" t="n">
        <x:v>0</x:v>
      </x:c>
      <x:c r="H2031" t="n">
        <x:f>ROUND(F2031*G2031/100,2)</x:f>
        <x:v>0</x:v>
      </x:c>
      <x:c r="I2031" t="n">
        <x:v>0</x:v>
      </x:c>
      <x:c r="J2031" t="n">
        <x:f>ROUND(F2031*I2031/100,2)</x:f>
        <x:v>0</x:v>
      </x:c>
      <x:c r="K2031" t="n">
        <x:v>0</x:v>
      </x:c>
      <x:c r="L2031" t="n">
        <x:f>ROUND(F2031*K2031/100,2)</x:f>
        <x:v>0</x:v>
      </x:c>
      <x:c r="M2031" t="n">
        <x:v>0</x:v>
      </x:c>
      <x:c r="N2031" t="n">
        <x:f>ROUND(F2031*M2031/100,2)</x:f>
        <x:v>0</x:v>
      </x:c>
      <x:c r="O2031" t="str"/>
    </x:row>
    <x:row r="2032" ht="23" customHeight="1">
      <x:c r="A2032" t="n">
        <x:v>339</x:v>
      </x:c>
      <x:c r="B2032" t="n">
        <x:v>170</x:v>
      </x:c>
      <x:c r="C2032" t="str">
        <x:v>午餐</x:v>
      </x:c>
      <x:c r="D2032" t="str">
        <x:v>蔬菜</x:v>
      </x:c>
      <x:c r="E2032" t="str">
        <x:v>紫甘蓝</x:v>
      </x:c>
      <x:c r="F2032" t="n">
        <x:v>190</x:v>
      </x:c>
      <x:c r="G2032" t="n">
        <x:v>31</x:v>
      </x:c>
      <x:c r="H2032" t="n">
        <x:f>ROUND(F2032*G2032/100,2)</x:f>
        <x:v>58.9</x:v>
      </x:c>
      <x:c r="I2032" t="n">
        <x:v>1.4</x:v>
      </x:c>
      <x:c r="J2032" t="n">
        <x:f>ROUND(F2032*I2032/100,2)</x:f>
        <x:v>2.66</x:v>
      </x:c>
      <x:c r="K2032" t="n">
        <x:v>7.3</x:v>
      </x:c>
      <x:c r="L2032" t="n">
        <x:f>ROUND(F2032*K2032/100,2)</x:f>
        <x:v>13.87</x:v>
      </x:c>
      <x:c r="M2032" t="n">
        <x:v>0.1</x:v>
      </x:c>
      <x:c r="N2032" t="n">
        <x:f>ROUND(F2032*M2032/100,2)</x:f>
        <x:v>0.19</x:v>
      </x:c>
      <x:c r="O2032" t="str">
        <x:v>生重</x:v>
      </x:c>
    </x:row>
    <x:row r="2033" ht="23" customHeight="1">
      <x:c r="A2033" t="n">
        <x:v>339</x:v>
      </x:c>
      <x:c r="B2033" t="n">
        <x:v>170</x:v>
      </x:c>
      <x:c r="C2033" t="str">
        <x:v>午餐</x:v>
      </x:c>
      <x:c r="D2033" t="str">
        <x:v>菌菇</x:v>
      </x:c>
      <x:c r="E2033" t="str">
        <x:v>香菇</x:v>
      </x:c>
      <x:c r="F2033" t="n">
        <x:v>155</x:v>
      </x:c>
      <x:c r="G2033" t="n">
        <x:v>34</x:v>
      </x:c>
      <x:c r="H2033" t="n">
        <x:f>ROUND(F2033*G2033/100,2)</x:f>
        <x:v>52.7</x:v>
      </x:c>
      <x:c r="I2033" t="n">
        <x:v>2.2</x:v>
      </x:c>
      <x:c r="J2033" t="n">
        <x:f>ROUND(F2033*I2033/100,2)</x:f>
        <x:v>3.41</x:v>
      </x:c>
      <x:c r="K2033" t="n">
        <x:v>6.8</x:v>
      </x:c>
      <x:c r="L2033" t="n">
        <x:f>ROUND(F2033*K2033/100,2)</x:f>
        <x:v>10.54</x:v>
      </x:c>
      <x:c r="M2033" t="n">
        <x:v>0.5</x:v>
      </x:c>
      <x:c r="N2033" t="n">
        <x:f>ROUND(F2033*M2033/100,2)</x:f>
        <x:v>0.78</x:v>
      </x:c>
      <x:c r="O2033" t="str">
        <x:v>生重</x:v>
      </x:c>
    </x:row>
    <x:row r="2034" ht="23" customHeight="1">
      <x:c r="A2034" t="n">
        <x:v>339</x:v>
      </x:c>
      <x:c r="B2034" t="n">
        <x:v>170</x:v>
      </x:c>
      <x:c r="C2034" t="str">
        <x:v>午餐</x:v>
      </x:c>
      <x:c r="D2034" t="str">
        <x:v>主食</x:v>
      </x:c>
      <x:c r="E2034" t="str">
        <x:v>杂粮饭</x:v>
      </x:c>
      <x:c r="F2034" t="n">
        <x:v>165</x:v>
      </x:c>
      <x:c r="G2034" t="n">
        <x:v>115</x:v>
      </x:c>
      <x:c r="H2034" t="n">
        <x:f>ROUND(F2034*G2034/100,2)</x:f>
        <x:v>189.75</x:v>
      </x:c>
      <x:c r="I2034" t="n">
        <x:v>3.1</x:v>
      </x:c>
      <x:c r="J2034" t="n">
        <x:f>ROUND(F2034*I2034/100,2)</x:f>
        <x:v>5.12</x:v>
      </x:c>
      <x:c r="K2034" t="n">
        <x:v>23.5</x:v>
      </x:c>
      <x:c r="L2034" t="n">
        <x:f>ROUND(F2034*K2034/100,2)</x:f>
        <x:v>38.78</x:v>
      </x:c>
      <x:c r="M2034" t="n">
        <x:v>1.1</x:v>
      </x:c>
      <x:c r="N2034" t="n">
        <x:f>ROUND(F2034*M2034/100,2)</x:f>
        <x:v>1.82</x:v>
      </x:c>
      <x:c r="O2034" t="str">
        <x:v>熟重</x:v>
      </x:c>
    </x:row>
    <x:row r="2035" ht="23" customHeight="1">
      <x:c r="A2035" t="n">
        <x:v>339</x:v>
      </x:c>
      <x:c r="B2035" t="n">
        <x:v>170</x:v>
      </x:c>
      <x:c r="C2035" t="str">
        <x:v>午餐</x:v>
      </x:c>
      <x:c r="D2035" t="str">
        <x:v>油脂</x:v>
      </x:c>
      <x:c r="E2035" t="str">
        <x:v>烹调油</x:v>
      </x:c>
      <x:c r="F2035" t="n">
        <x:v>5</x:v>
      </x:c>
      <x:c r="G2035" t="n">
        <x:v>900</x:v>
      </x:c>
      <x:c r="H2035" t="n">
        <x:f>ROUND(F2035*G2035/100,2)</x:f>
        <x:v>45</x:v>
      </x:c>
      <x:c r="I2035" t="n">
        <x:v>0</x:v>
      </x:c>
      <x:c r="J2035" t="n">
        <x:f>ROUND(F2035*I2035/100,2)</x:f>
        <x:v>0</x:v>
      </x:c>
      <x:c r="K2035" t="n">
        <x:v>0</x:v>
      </x:c>
      <x:c r="L2035" t="n">
        <x:f>ROUND(F2035*K2035/100,2)</x:f>
        <x:v>0</x:v>
      </x:c>
      <x:c r="M2035" t="n">
        <x:v>100</x:v>
      </x:c>
      <x:c r="N2035" t="n">
        <x:f>ROUND(F2035*M2035/100,2)</x:f>
        <x:v>5</x:v>
      </x:c>
      <x:c r="O2035" t="str">
        <x:v>实际用油重</x:v>
      </x:c>
    </x:row>
    <x:row r="2036" ht="23" customHeight="1">
      <x:c r="A2036" t="n">
        <x:v>340</x:v>
      </x:c>
      <x:c r="B2036" t="n">
        <x:v>170</x:v>
      </x:c>
      <x:c r="C2036" t="str">
        <x:v>晚餐</x:v>
      </x:c>
      <x:c r="D2036" t="str">
        <x:v>鱼类</x:v>
      </x:c>
      <x:c r="E2036" t="str">
        <x:v>巴沙鱼</x:v>
      </x:c>
      <x:c r="F2036" t="n">
        <x:v>185</x:v>
      </x:c>
      <x:c r="G2036" t="n">
        <x:v>90</x:v>
      </x:c>
      <x:c r="H2036" t="n">
        <x:f>ROUND(F2036*G2036/100,2)</x:f>
        <x:v>166.5</x:v>
      </x:c>
      <x:c r="I2036" t="n">
        <x:v>17</x:v>
      </x:c>
      <x:c r="J2036" t="n">
        <x:f>ROUND(F2036*I2036/100,2)</x:f>
        <x:v>31.45</x:v>
      </x:c>
      <x:c r="K2036" t="n">
        <x:v>0</x:v>
      </x:c>
      <x:c r="L2036" t="n">
        <x:f>ROUND(F2036*K2036/100,2)</x:f>
        <x:v>0</x:v>
      </x:c>
      <x:c r="M2036" t="n">
        <x:v>2.3</x:v>
      </x:c>
      <x:c r="N2036" t="n">
        <x:f>ROUND(F2036*M2036/100,2)</x:f>
        <x:v>4.25</x:v>
      </x:c>
      <x:c r="O2036" t="str">
        <x:v>净鱼肉生重</x:v>
      </x:c>
    </x:row>
    <x:row r="2037" ht="23" customHeight="1">
      <x:c r="A2037" t="n">
        <x:v>340</x:v>
      </x:c>
      <x:c r="B2037" t="n">
        <x:v>170</x:v>
      </x:c>
      <x:c r="C2037" t="str">
        <x:v>晚餐</x:v>
      </x:c>
      <x:c r="D2037" t="str"/>
      <x:c r="E2037" t="str"/>
      <x:c r="F2037" t="n">
        <x:v>0</x:v>
      </x:c>
      <x:c r="G2037" t="n">
        <x:v>0</x:v>
      </x:c>
      <x:c r="H2037" t="n">
        <x:f>ROUND(F2037*G2037/100,2)</x:f>
        <x:v>0</x:v>
      </x:c>
      <x:c r="I2037" t="n">
        <x:v>0</x:v>
      </x:c>
      <x:c r="J2037" t="n">
        <x:f>ROUND(F2037*I2037/100,2)</x:f>
        <x:v>0</x:v>
      </x:c>
      <x:c r="K2037" t="n">
        <x:v>0</x:v>
      </x:c>
      <x:c r="L2037" t="n">
        <x:f>ROUND(F2037*K2037/100,2)</x:f>
        <x:v>0</x:v>
      </x:c>
      <x:c r="M2037" t="n">
        <x:v>0</x:v>
      </x:c>
      <x:c r="N2037" t="n">
        <x:f>ROUND(F2037*M2037/100,2)</x:f>
        <x:v>0</x:v>
      </x:c>
      <x:c r="O2037" t="str"/>
    </x:row>
    <x:row r="2038" ht="23" customHeight="1">
      <x:c r="A2038" t="n">
        <x:v>340</x:v>
      </x:c>
      <x:c r="B2038" t="n">
        <x:v>170</x:v>
      </x:c>
      <x:c r="C2038" t="str">
        <x:v>晚餐</x:v>
      </x:c>
      <x:c r="D2038" t="str">
        <x:v>蔬菜</x:v>
      </x:c>
      <x:c r="E2038" t="str">
        <x:v>番茄</x:v>
      </x:c>
      <x:c r="F2038" t="n">
        <x:v>190</x:v>
      </x:c>
      <x:c r="G2038" t="n">
        <x:v>20</x:v>
      </x:c>
      <x:c r="H2038" t="n">
        <x:f>ROUND(F2038*G2038/100,2)</x:f>
        <x:v>38</x:v>
      </x:c>
      <x:c r="I2038" t="n">
        <x:v>0.9</x:v>
      </x:c>
      <x:c r="J2038" t="n">
        <x:f>ROUND(F2038*I2038/100,2)</x:f>
        <x:v>1.71</x:v>
      </x:c>
      <x:c r="K2038" t="n">
        <x:v>4</x:v>
      </x:c>
      <x:c r="L2038" t="n">
        <x:f>ROUND(F2038*K2038/100,2)</x:f>
        <x:v>7.6</x:v>
      </x:c>
      <x:c r="M2038" t="n">
        <x:v>0.2</x:v>
      </x:c>
      <x:c r="N2038" t="n">
        <x:f>ROUND(F2038*M2038/100,2)</x:f>
        <x:v>0.38</x:v>
      </x:c>
      <x:c r="O2038" t="str">
        <x:v>生重</x:v>
      </x:c>
    </x:row>
    <x:row r="2039" ht="23" customHeight="1">
      <x:c r="A2039" t="n">
        <x:v>340</x:v>
      </x:c>
      <x:c r="B2039" t="n">
        <x:v>170</x:v>
      </x:c>
      <x:c r="C2039" t="str">
        <x:v>晚餐</x:v>
      </x:c>
      <x:c r="D2039" t="str">
        <x:v>蔬菜</x:v>
      </x:c>
      <x:c r="E2039" t="str">
        <x:v>白萝卜</x:v>
      </x:c>
      <x:c r="F2039" t="n">
        <x:v>110</x:v>
      </x:c>
      <x:c r="G2039" t="n">
        <x:v>18</x:v>
      </x:c>
      <x:c r="H2039" t="n">
        <x:f>ROUND(F2039*G2039/100,2)</x:f>
        <x:v>19.8</x:v>
      </x:c>
      <x:c r="I2039" t="n">
        <x:v>0.6</x:v>
      </x:c>
      <x:c r="J2039" t="n">
        <x:f>ROUND(F2039*I2039/100,2)</x:f>
        <x:v>0.66</x:v>
      </x:c>
      <x:c r="K2039" t="n">
        <x:v>4</x:v>
      </x:c>
      <x:c r="L2039" t="n">
        <x:f>ROUND(F2039*K2039/100,2)</x:f>
        <x:v>4.4</x:v>
      </x:c>
      <x:c r="M2039" t="n">
        <x:v>0.1</x:v>
      </x:c>
      <x:c r="N2039" t="n">
        <x:f>ROUND(F2039*M2039/100,2)</x:f>
        <x:v>0.11</x:v>
      </x:c>
      <x:c r="O2039" t="str">
        <x:v>生重</x:v>
      </x:c>
    </x:row>
    <x:row r="2040" ht="23" customHeight="1">
      <x:c r="A2040" t="n">
        <x:v>340</x:v>
      </x:c>
      <x:c r="B2040" t="n">
        <x:v>170</x:v>
      </x:c>
      <x:c r="C2040" t="str">
        <x:v>晚餐</x:v>
      </x:c>
      <x:c r="D2040" t="str">
        <x:v>主食</x:v>
      </x:c>
      <x:c r="E2040" t="str">
        <x:v>白米饭</x:v>
      </x:c>
      <x:c r="F2040" t="n">
        <x:v>80</x:v>
      </x:c>
      <x:c r="G2040" t="n">
        <x:v>116</x:v>
      </x:c>
      <x:c r="H2040" t="n">
        <x:f>ROUND(F2040*G2040/100,2)</x:f>
        <x:v>92.8</x:v>
      </x:c>
      <x:c r="I2040" t="n">
        <x:v>2.6</x:v>
      </x:c>
      <x:c r="J2040" t="n">
        <x:f>ROUND(F2040*I2040/100,2)</x:f>
        <x:v>2.08</x:v>
      </x:c>
      <x:c r="K2040" t="n">
        <x:v>25.6</x:v>
      </x:c>
      <x:c r="L2040" t="n">
        <x:f>ROUND(F2040*K2040/100,2)</x:f>
        <x:v>20.48</x:v>
      </x:c>
      <x:c r="M2040" t="n">
        <x:v>0.3</x:v>
      </x:c>
      <x:c r="N2040" t="n">
        <x:f>ROUND(F2040*M2040/100,2)</x:f>
        <x:v>0.24</x:v>
      </x:c>
      <x:c r="O2040" t="str">
        <x:v>熟重</x:v>
      </x:c>
    </x:row>
    <x:row r="2041" ht="23" customHeight="1">
      <x:c r="A2041" t="n">
        <x:v>340</x:v>
      </x:c>
      <x:c r="B2041" t="n">
        <x:v>170</x:v>
      </x:c>
      <x:c r="C2041" t="str">
        <x:v>晚餐</x:v>
      </x:c>
      <x:c r="D2041" t="str">
        <x:v>油脂</x:v>
      </x:c>
      <x:c r="E2041" t="str">
        <x:v>烹调油</x:v>
      </x:c>
      <x:c r="F2041" t="n">
        <x:v>6</x:v>
      </x:c>
      <x:c r="G2041" t="n">
        <x:v>900</x:v>
      </x:c>
      <x:c r="H2041" t="n">
        <x:f>ROUND(F2041*G2041/100,2)</x:f>
        <x:v>54</x:v>
      </x:c>
      <x:c r="I2041" t="n">
        <x:v>0</x:v>
      </x:c>
      <x:c r="J2041" t="n">
        <x:f>ROUND(F2041*I2041/100,2)</x:f>
        <x:v>0</x:v>
      </x:c>
      <x:c r="K2041" t="n">
        <x:v>0</x:v>
      </x:c>
      <x:c r="L2041" t="n">
        <x:f>ROUND(F2041*K2041/100,2)</x:f>
        <x:v>0</x:v>
      </x:c>
      <x:c r="M2041" t="n">
        <x:v>100</x:v>
      </x:c>
      <x:c r="N2041" t="n">
        <x:f>ROUND(F2041*M2041/100,2)</x:f>
        <x:v>6</x:v>
      </x:c>
      <x:c r="O2041" t="str">
        <x:v>实际用油重</x:v>
      </x:c>
    </x:row>
    <x:row r="2042" ht="23" customHeight="1">
      <x:c r="A2042" t="n">
        <x:v>341</x:v>
      </x:c>
      <x:c r="B2042" t="n">
        <x:v>171</x:v>
      </x:c>
      <x:c r="C2042" t="str">
        <x:v>午餐</x:v>
      </x:c>
      <x:c r="D2042" t="str">
        <x:v>鱼类</x:v>
      </x:c>
      <x:c r="E2042" t="str">
        <x:v>巴沙鱼</x:v>
      </x:c>
      <x:c r="F2042" t="n">
        <x:v>185</x:v>
      </x:c>
      <x:c r="G2042" t="n">
        <x:v>90</x:v>
      </x:c>
      <x:c r="H2042" t="n">
        <x:f>ROUND(F2042*G2042/100,2)</x:f>
        <x:v>166.5</x:v>
      </x:c>
      <x:c r="I2042" t="n">
        <x:v>17</x:v>
      </x:c>
      <x:c r="J2042" t="n">
        <x:f>ROUND(F2042*I2042/100,2)</x:f>
        <x:v>31.45</x:v>
      </x:c>
      <x:c r="K2042" t="n">
        <x:v>0</x:v>
      </x:c>
      <x:c r="L2042" t="n">
        <x:f>ROUND(F2042*K2042/100,2)</x:f>
        <x:v>0</x:v>
      </x:c>
      <x:c r="M2042" t="n">
        <x:v>2.3</x:v>
      </x:c>
      <x:c r="N2042" t="n">
        <x:f>ROUND(F2042*M2042/100,2)</x:f>
        <x:v>4.25</x:v>
      </x:c>
      <x:c r="O2042" t="str">
        <x:v>净鱼肉生重</x:v>
      </x:c>
    </x:row>
    <x:row r="2043" ht="23" customHeight="1">
      <x:c r="A2043" t="n">
        <x:v>341</x:v>
      </x:c>
      <x:c r="B2043" t="n">
        <x:v>171</x:v>
      </x:c>
      <x:c r="C2043" t="str">
        <x:v>午餐</x:v>
      </x:c>
      <x:c r="D2043" t="str"/>
      <x:c r="E2043" t="str"/>
      <x:c r="F2043" t="n">
        <x:v>0</x:v>
      </x:c>
      <x:c r="G2043" t="n">
        <x:v>0</x:v>
      </x:c>
      <x:c r="H2043" t="n">
        <x:f>ROUND(F2043*G2043/100,2)</x:f>
        <x:v>0</x:v>
      </x:c>
      <x:c r="I2043" t="n">
        <x:v>0</x:v>
      </x:c>
      <x:c r="J2043" t="n">
        <x:f>ROUND(F2043*I2043/100,2)</x:f>
        <x:v>0</x:v>
      </x:c>
      <x:c r="K2043" t="n">
        <x:v>0</x:v>
      </x:c>
      <x:c r="L2043" t="n">
        <x:f>ROUND(F2043*K2043/100,2)</x:f>
        <x:v>0</x:v>
      </x:c>
      <x:c r="M2043" t="n">
        <x:v>0</x:v>
      </x:c>
      <x:c r="N2043" t="n">
        <x:f>ROUND(F2043*M2043/100,2)</x:f>
        <x:v>0</x:v>
      </x:c>
      <x:c r="O2043" t="str"/>
    </x:row>
    <x:row r="2044" ht="23" customHeight="1">
      <x:c r="A2044" t="n">
        <x:v>341</x:v>
      </x:c>
      <x:c r="B2044" t="n">
        <x:v>171</x:v>
      </x:c>
      <x:c r="C2044" t="str">
        <x:v>午餐</x:v>
      </x:c>
      <x:c r="D2044" t="str">
        <x:v>蔬菜</x:v>
      </x:c>
      <x:c r="E2044" t="str">
        <x:v>冬瓜</x:v>
      </x:c>
      <x:c r="F2044" t="n">
        <x:v>140</x:v>
      </x:c>
      <x:c r="G2044" t="n">
        <x:v>13</x:v>
      </x:c>
      <x:c r="H2044" t="n">
        <x:f>ROUND(F2044*G2044/100,2)</x:f>
        <x:v>18.2</x:v>
      </x:c>
      <x:c r="I2044" t="n">
        <x:v>0.4</x:v>
      </x:c>
      <x:c r="J2044" t="n">
        <x:f>ROUND(F2044*I2044/100,2)</x:f>
        <x:v>0.56</x:v>
      </x:c>
      <x:c r="K2044" t="n">
        <x:v>3</x:v>
      </x:c>
      <x:c r="L2044" t="n">
        <x:f>ROUND(F2044*K2044/100,2)</x:f>
        <x:v>4.2</x:v>
      </x:c>
      <x:c r="M2044" t="n">
        <x:v>0.2</x:v>
      </x:c>
      <x:c r="N2044" t="n">
        <x:f>ROUND(F2044*M2044/100,2)</x:f>
        <x:v>0.28</x:v>
      </x:c>
      <x:c r="O2044" t="str">
        <x:v>生重</x:v>
      </x:c>
    </x:row>
    <x:row r="2045" ht="23" customHeight="1">
      <x:c r="A2045" t="n">
        <x:v>341</x:v>
      </x:c>
      <x:c r="B2045" t="n">
        <x:v>171</x:v>
      </x:c>
      <x:c r="C2045" t="str">
        <x:v>午餐</x:v>
      </x:c>
      <x:c r="D2045" t="str">
        <x:v>菌菇</x:v>
      </x:c>
      <x:c r="E2045" t="str">
        <x:v>香菇</x:v>
      </x:c>
      <x:c r="F2045" t="n">
        <x:v>125</x:v>
      </x:c>
      <x:c r="G2045" t="n">
        <x:v>34</x:v>
      </x:c>
      <x:c r="H2045" t="n">
        <x:f>ROUND(F2045*G2045/100,2)</x:f>
        <x:v>42.5</x:v>
      </x:c>
      <x:c r="I2045" t="n">
        <x:v>2.2</x:v>
      </x:c>
      <x:c r="J2045" t="n">
        <x:f>ROUND(F2045*I2045/100,2)</x:f>
        <x:v>2.75</x:v>
      </x:c>
      <x:c r="K2045" t="n">
        <x:v>6.8</x:v>
      </x:c>
      <x:c r="L2045" t="n">
        <x:f>ROUND(F2045*K2045/100,2)</x:f>
        <x:v>8.5</x:v>
      </x:c>
      <x:c r="M2045" t="n">
        <x:v>0.5</x:v>
      </x:c>
      <x:c r="N2045" t="n">
        <x:f>ROUND(F2045*M2045/100,2)</x:f>
        <x:v>0.63</x:v>
      </x:c>
      <x:c r="O2045" t="str">
        <x:v>生重</x:v>
      </x:c>
    </x:row>
    <x:row r="2046" ht="23" customHeight="1">
      <x:c r="A2046" t="n">
        <x:v>341</x:v>
      </x:c>
      <x:c r="B2046" t="n">
        <x:v>171</x:v>
      </x:c>
      <x:c r="C2046" t="str">
        <x:v>午餐</x:v>
      </x:c>
      <x:c r="D2046" t="str">
        <x:v>主食</x:v>
      </x:c>
      <x:c r="E2046" t="str">
        <x:v>红薯</x:v>
      </x:c>
      <x:c r="F2046" t="n">
        <x:v>135</x:v>
      </x:c>
      <x:c r="G2046" t="n">
        <x:v>88</x:v>
      </x:c>
      <x:c r="H2046" t="n">
        <x:f>ROUND(F2046*G2046/100,2)</x:f>
        <x:v>118.8</x:v>
      </x:c>
      <x:c r="I2046" t="n">
        <x:v>1.6</x:v>
      </x:c>
      <x:c r="J2046" t="n">
        <x:f>ROUND(F2046*I2046/100,2)</x:f>
        <x:v>2.16</x:v>
      </x:c>
      <x:c r="K2046" t="n">
        <x:v>20.5</x:v>
      </x:c>
      <x:c r="L2046" t="n">
        <x:f>ROUND(F2046*K2046/100,2)</x:f>
        <x:v>27.68</x:v>
      </x:c>
      <x:c r="M2046" t="n">
        <x:v>0.1</x:v>
      </x:c>
      <x:c r="N2046" t="n">
        <x:f>ROUND(F2046*M2046/100,2)</x:f>
        <x:v>0.14</x:v>
      </x:c>
      <x:c r="O2046" t="str">
        <x:v>蒸熟净重</x:v>
      </x:c>
    </x:row>
    <x:row r="2047" ht="23" customHeight="1">
      <x:c r="A2047" t="n">
        <x:v>341</x:v>
      </x:c>
      <x:c r="B2047" t="n">
        <x:v>171</x:v>
      </x:c>
      <x:c r="C2047" t="str">
        <x:v>午餐</x:v>
      </x:c>
      <x:c r="D2047" t="str">
        <x:v>油脂</x:v>
      </x:c>
      <x:c r="E2047" t="str">
        <x:v>烹调油</x:v>
      </x:c>
      <x:c r="F2047" t="n">
        <x:v>4</x:v>
      </x:c>
      <x:c r="G2047" t="n">
        <x:v>900</x:v>
      </x:c>
      <x:c r="H2047" t="n">
        <x:f>ROUND(F2047*G2047/100,2)</x:f>
        <x:v>36</x:v>
      </x:c>
      <x:c r="I2047" t="n">
        <x:v>0</x:v>
      </x:c>
      <x:c r="J2047" t="n">
        <x:f>ROUND(F2047*I2047/100,2)</x:f>
        <x:v>0</x:v>
      </x:c>
      <x:c r="K2047" t="n">
        <x:v>0</x:v>
      </x:c>
      <x:c r="L2047" t="n">
        <x:f>ROUND(F2047*K2047/100,2)</x:f>
        <x:v>0</x:v>
      </x:c>
      <x:c r="M2047" t="n">
        <x:v>100</x:v>
      </x:c>
      <x:c r="N2047" t="n">
        <x:f>ROUND(F2047*M2047/100,2)</x:f>
        <x:v>4</x:v>
      </x:c>
      <x:c r="O2047" t="str">
        <x:v>实际用油重</x:v>
      </x:c>
    </x:row>
    <x:row r="2048" ht="23" customHeight="1">
      <x:c r="A2048" t="n">
        <x:v>342</x:v>
      </x:c>
      <x:c r="B2048" t="n">
        <x:v>171</x:v>
      </x:c>
      <x:c r="C2048" t="str">
        <x:v>晚餐</x:v>
      </x:c>
      <x:c r="D2048" t="str">
        <x:v>禽肉</x:v>
      </x:c>
      <x:c r="E2048" t="str">
        <x:v>鸡里脊肉</x:v>
      </x:c>
      <x:c r="F2048" t="n">
        <x:v>145</x:v>
      </x:c>
      <x:c r="G2048" t="n">
        <x:v>110</x:v>
      </x:c>
      <x:c r="H2048" t="n">
        <x:f>ROUND(F2048*G2048/100,2)</x:f>
        <x:v>159.5</x:v>
      </x:c>
      <x:c r="I2048" t="n">
        <x:v>23</x:v>
      </x:c>
      <x:c r="J2048" t="n">
        <x:f>ROUND(F2048*I2048/100,2)</x:f>
        <x:v>33.35</x:v>
      </x:c>
      <x:c r="K2048" t="n">
        <x:v>0</x:v>
      </x:c>
      <x:c r="L2048" t="n">
        <x:f>ROUND(F2048*K2048/100,2)</x:f>
        <x:v>0</x:v>
      </x:c>
      <x:c r="M2048" t="n">
        <x:v>1.8</x:v>
      </x:c>
      <x:c r="N2048" t="n">
        <x:f>ROUND(F2048*M2048/100,2)</x:f>
        <x:v>2.61</x:v>
      </x:c>
      <x:c r="O2048" t="str">
        <x:v>生重</x:v>
      </x:c>
    </x:row>
    <x:row r="2049" ht="23" customHeight="1">
      <x:c r="A2049" t="n">
        <x:v>342</x:v>
      </x:c>
      <x:c r="B2049" t="n">
        <x:v>171</x:v>
      </x:c>
      <x:c r="C2049" t="str">
        <x:v>晚餐</x:v>
      </x:c>
      <x:c r="D2049" t="str"/>
      <x:c r="E2049" t="str"/>
      <x:c r="F2049" t="n">
        <x:v>0</x:v>
      </x:c>
      <x:c r="G2049" t="n">
        <x:v>0</x:v>
      </x:c>
      <x:c r="H2049" t="n">
        <x:f>ROUND(F2049*G2049/100,2)</x:f>
        <x:v>0</x:v>
      </x:c>
      <x:c r="I2049" t="n">
        <x:v>0</x:v>
      </x:c>
      <x:c r="J2049" t="n">
        <x:f>ROUND(F2049*I2049/100,2)</x:f>
        <x:v>0</x:v>
      </x:c>
      <x:c r="K2049" t="n">
        <x:v>0</x:v>
      </x:c>
      <x:c r="L2049" t="n">
        <x:f>ROUND(F2049*K2049/100,2)</x:f>
        <x:v>0</x:v>
      </x:c>
      <x:c r="M2049" t="n">
        <x:v>0</x:v>
      </x:c>
      <x:c r="N2049" t="n">
        <x:f>ROUND(F2049*M2049/100,2)</x:f>
        <x:v>0</x:v>
      </x:c>
      <x:c r="O2049" t="str"/>
    </x:row>
    <x:row r="2050" ht="23" customHeight="1">
      <x:c r="A2050" t="n">
        <x:v>342</x:v>
      </x:c>
      <x:c r="B2050" t="n">
        <x:v>171</x:v>
      </x:c>
      <x:c r="C2050" t="str">
        <x:v>晚餐</x:v>
      </x:c>
      <x:c r="D2050" t="str">
        <x:v>蔬菜</x:v>
      </x:c>
      <x:c r="E2050" t="str">
        <x:v>紫甘蓝</x:v>
      </x:c>
      <x:c r="F2050" t="n">
        <x:v>140</x:v>
      </x:c>
      <x:c r="G2050" t="n">
        <x:v>31</x:v>
      </x:c>
      <x:c r="H2050" t="n">
        <x:f>ROUND(F2050*G2050/100,2)</x:f>
        <x:v>43.4</x:v>
      </x:c>
      <x:c r="I2050" t="n">
        <x:v>1.4</x:v>
      </x:c>
      <x:c r="J2050" t="n">
        <x:f>ROUND(F2050*I2050/100,2)</x:f>
        <x:v>1.96</x:v>
      </x:c>
      <x:c r="K2050" t="n">
        <x:v>7.3</x:v>
      </x:c>
      <x:c r="L2050" t="n">
        <x:f>ROUND(F2050*K2050/100,2)</x:f>
        <x:v>10.22</x:v>
      </x:c>
      <x:c r="M2050" t="n">
        <x:v>0.1</x:v>
      </x:c>
      <x:c r="N2050" t="n">
        <x:f>ROUND(F2050*M2050/100,2)</x:f>
        <x:v>0.14</x:v>
      </x:c>
      <x:c r="O2050" t="str">
        <x:v>生重</x:v>
      </x:c>
    </x:row>
    <x:row r="2051" ht="23" customHeight="1">
      <x:c r="A2051" t="n">
        <x:v>342</x:v>
      </x:c>
      <x:c r="B2051" t="n">
        <x:v>171</x:v>
      </x:c>
      <x:c r="C2051" t="str">
        <x:v>晚餐</x:v>
      </x:c>
      <x:c r="D2051" t="str">
        <x:v>蔬菜</x:v>
      </x:c>
      <x:c r="E2051" t="str">
        <x:v>洋葱</x:v>
      </x:c>
      <x:c r="F2051" t="n">
        <x:v>110</x:v>
      </x:c>
      <x:c r="G2051" t="n">
        <x:v>40</x:v>
      </x:c>
      <x:c r="H2051" t="n">
        <x:f>ROUND(F2051*G2051/100,2)</x:f>
        <x:v>44</x:v>
      </x:c>
      <x:c r="I2051" t="n">
        <x:v>1.1</x:v>
      </x:c>
      <x:c r="J2051" t="n">
        <x:f>ROUND(F2051*I2051/100,2)</x:f>
        <x:v>1.21</x:v>
      </x:c>
      <x:c r="K2051" t="n">
        <x:v>9.3</x:v>
      </x:c>
      <x:c r="L2051" t="n">
        <x:f>ROUND(F2051*K2051/100,2)</x:f>
        <x:v>10.23</x:v>
      </x:c>
      <x:c r="M2051" t="n">
        <x:v>0.1</x:v>
      </x:c>
      <x:c r="N2051" t="n">
        <x:f>ROUND(F2051*M2051/100,2)</x:f>
        <x:v>0.11</x:v>
      </x:c>
      <x:c r="O2051" t="str">
        <x:v>生重</x:v>
      </x:c>
    </x:row>
    <x:row r="2052" ht="23" customHeight="1">
      <x:c r="A2052" t="n">
        <x:v>342</x:v>
      </x:c>
      <x:c r="B2052" t="n">
        <x:v>171</x:v>
      </x:c>
      <x:c r="C2052" t="str">
        <x:v>晚餐</x:v>
      </x:c>
      <x:c r="D2052" t="str">
        <x:v>主食</x:v>
      </x:c>
      <x:c r="E2052" t="str">
        <x:v>杂粮饭</x:v>
      </x:c>
      <x:c r="F2052" t="n">
        <x:v>110</x:v>
      </x:c>
      <x:c r="G2052" t="n">
        <x:v>115</x:v>
      </x:c>
      <x:c r="H2052" t="n">
        <x:f>ROUND(F2052*G2052/100,2)</x:f>
        <x:v>126.5</x:v>
      </x:c>
      <x:c r="I2052" t="n">
        <x:v>3.1</x:v>
      </x:c>
      <x:c r="J2052" t="n">
        <x:f>ROUND(F2052*I2052/100,2)</x:f>
        <x:v>3.41</x:v>
      </x:c>
      <x:c r="K2052" t="n">
        <x:v>23.5</x:v>
      </x:c>
      <x:c r="L2052" t="n">
        <x:f>ROUND(F2052*K2052/100,2)</x:f>
        <x:v>25.85</x:v>
      </x:c>
      <x:c r="M2052" t="n">
        <x:v>1.1</x:v>
      </x:c>
      <x:c r="N2052" t="n">
        <x:f>ROUND(F2052*M2052/100,2)</x:f>
        <x:v>1.21</x:v>
      </x:c>
      <x:c r="O2052" t="str">
        <x:v>熟重</x:v>
      </x:c>
    </x:row>
    <x:row r="2053" ht="23" customHeight="1">
      <x:c r="A2053" t="n">
        <x:v>342</x:v>
      </x:c>
      <x:c r="B2053" t="n">
        <x:v>171</x:v>
      </x:c>
      <x:c r="C2053" t="str">
        <x:v>晚餐</x:v>
      </x:c>
      <x:c r="D2053" t="str">
        <x:v>油脂</x:v>
      </x:c>
      <x:c r="E2053" t="str">
        <x:v>烹调油</x:v>
      </x:c>
      <x:c r="F2053" t="n">
        <x:v>5</x:v>
      </x:c>
      <x:c r="G2053" t="n">
        <x:v>900</x:v>
      </x:c>
      <x:c r="H2053" t="n">
        <x:f>ROUND(F2053*G2053/100,2)</x:f>
        <x:v>45</x:v>
      </x:c>
      <x:c r="I2053" t="n">
        <x:v>0</x:v>
      </x:c>
      <x:c r="J2053" t="n">
        <x:f>ROUND(F2053*I2053/100,2)</x:f>
        <x:v>0</x:v>
      </x:c>
      <x:c r="K2053" t="n">
        <x:v>0</x:v>
      </x:c>
      <x:c r="L2053" t="n">
        <x:f>ROUND(F2053*K2053/100,2)</x:f>
        <x:v>0</x:v>
      </x:c>
      <x:c r="M2053" t="n">
        <x:v>100</x:v>
      </x:c>
      <x:c r="N2053" t="n">
        <x:f>ROUND(F2053*M2053/100,2)</x:f>
        <x:v>5</x:v>
      </x:c>
      <x:c r="O2053" t="str">
        <x:v>实际用油重</x:v>
      </x:c>
    </x:row>
    <x:row r="2054" ht="23" customHeight="1">
      <x:c r="A2054" t="n">
        <x:v>343</x:v>
      </x:c>
      <x:c r="B2054" t="n">
        <x:v>172</x:v>
      </x:c>
      <x:c r="C2054" t="str">
        <x:v>午餐</x:v>
      </x:c>
      <x:c r="D2054" t="str">
        <x:v>豆蛋</x:v>
      </x:c>
      <x:c r="E2054" t="str">
        <x:v>鸡蛋</x:v>
      </x:c>
      <x:c r="F2054" t="n">
        <x:v>100</x:v>
      </x:c>
      <x:c r="G2054" t="n">
        <x:v>144</x:v>
      </x:c>
      <x:c r="H2054" t="n">
        <x:f>ROUND(F2054*G2054/100,2)</x:f>
        <x:v>144</x:v>
      </x:c>
      <x:c r="I2054" t="n">
        <x:v>13</x:v>
      </x:c>
      <x:c r="J2054" t="n">
        <x:f>ROUND(F2054*I2054/100,2)</x:f>
        <x:v>13</x:v>
      </x:c>
      <x:c r="K2054" t="n">
        <x:v>1.1</x:v>
      </x:c>
      <x:c r="L2054" t="n">
        <x:f>ROUND(F2054*K2054/100,2)</x:f>
        <x:v>1.1</x:v>
      </x:c>
      <x:c r="M2054" t="n">
        <x:v>10</x:v>
      </x:c>
      <x:c r="N2054" t="n">
        <x:f>ROUND(F2054*M2054/100,2)</x:f>
        <x:v>10</x:v>
      </x:c>
      <x:c r="O2054" t="str">
        <x:v>去壳可食重</x:v>
      </x:c>
    </x:row>
    <x:row r="2055" ht="23" customHeight="1">
      <x:c r="A2055" t="n">
        <x:v>343</x:v>
      </x:c>
      <x:c r="B2055" t="n">
        <x:v>172</x:v>
      </x:c>
      <x:c r="C2055" t="str">
        <x:v>午餐</x:v>
      </x:c>
      <x:c r="D2055" t="str">
        <x:v>豆蛋</x:v>
      </x:c>
      <x:c r="E2055" t="str">
        <x:v>北豆腐</x:v>
      </x:c>
      <x:c r="F2055" t="n">
        <x:v>110</x:v>
      </x:c>
      <x:c r="G2055" t="n">
        <x:v>90</x:v>
      </x:c>
      <x:c r="H2055" t="n">
        <x:f>ROUND(F2055*G2055/100,2)</x:f>
        <x:v>99</x:v>
      </x:c>
      <x:c r="I2055" t="n">
        <x:v>10</x:v>
      </x:c>
      <x:c r="J2055" t="n">
        <x:f>ROUND(F2055*I2055/100,2)</x:f>
        <x:v>11</x:v>
      </x:c>
      <x:c r="K2055" t="n">
        <x:v>2</x:v>
      </x:c>
      <x:c r="L2055" t="n">
        <x:f>ROUND(F2055*K2055/100,2)</x:f>
        <x:v>2.2</x:v>
      </x:c>
      <x:c r="M2055" t="n">
        <x:v>5</x:v>
      </x:c>
      <x:c r="N2055" t="n">
        <x:f>ROUND(F2055*M2055/100,2)</x:f>
        <x:v>5.5</x:v>
      </x:c>
      <x:c r="O2055" t="str">
        <x:v>净重</x:v>
      </x:c>
    </x:row>
    <x:row r="2056" ht="23" customHeight="1">
      <x:c r="A2056" t="n">
        <x:v>343</x:v>
      </x:c>
      <x:c r="B2056" t="n">
        <x:v>172</x:v>
      </x:c>
      <x:c r="C2056" t="str">
        <x:v>午餐</x:v>
      </x:c>
      <x:c r="D2056" t="str">
        <x:v>蔬菜</x:v>
      </x:c>
      <x:c r="E2056" t="str">
        <x:v>西葫芦</x:v>
      </x:c>
      <x:c r="F2056" t="n">
        <x:v>190</x:v>
      </x:c>
      <x:c r="G2056" t="n">
        <x:v>17</x:v>
      </x:c>
      <x:c r="H2056" t="n">
        <x:f>ROUND(F2056*G2056/100,2)</x:f>
        <x:v>32.3</x:v>
      </x:c>
      <x:c r="I2056" t="n">
        <x:v>1.2</x:v>
      </x:c>
      <x:c r="J2056" t="n">
        <x:f>ROUND(F2056*I2056/100,2)</x:f>
        <x:v>2.28</x:v>
      </x:c>
      <x:c r="K2056" t="n">
        <x:v>3.1</x:v>
      </x:c>
      <x:c r="L2056" t="n">
        <x:f>ROUND(F2056*K2056/100,2)</x:f>
        <x:v>5.89</x:v>
      </x:c>
      <x:c r="M2056" t="n">
        <x:v>0.3</x:v>
      </x:c>
      <x:c r="N2056" t="n">
        <x:f>ROUND(F2056*M2056/100,2)</x:f>
        <x:v>0.57</x:v>
      </x:c>
      <x:c r="O2056" t="str">
        <x:v>生重</x:v>
      </x:c>
    </x:row>
    <x:row r="2057" ht="23" customHeight="1">
      <x:c r="A2057" t="n">
        <x:v>343</x:v>
      </x:c>
      <x:c r="B2057" t="n">
        <x:v>172</x:v>
      </x:c>
      <x:c r="C2057" t="str">
        <x:v>午餐</x:v>
      </x:c>
      <x:c r="D2057" t="str">
        <x:v>菌菇</x:v>
      </x:c>
      <x:c r="E2057" t="str">
        <x:v>香菇</x:v>
      </x:c>
      <x:c r="F2057" t="n">
        <x:v>155</x:v>
      </x:c>
      <x:c r="G2057" t="n">
        <x:v>34</x:v>
      </x:c>
      <x:c r="H2057" t="n">
        <x:f>ROUND(F2057*G2057/100,2)</x:f>
        <x:v>52.7</x:v>
      </x:c>
      <x:c r="I2057" t="n">
        <x:v>2.2</x:v>
      </x:c>
      <x:c r="J2057" t="n">
        <x:f>ROUND(F2057*I2057/100,2)</x:f>
        <x:v>3.41</x:v>
      </x:c>
      <x:c r="K2057" t="n">
        <x:v>6.8</x:v>
      </x:c>
      <x:c r="L2057" t="n">
        <x:f>ROUND(F2057*K2057/100,2)</x:f>
        <x:v>10.54</x:v>
      </x:c>
      <x:c r="M2057" t="n">
        <x:v>0.5</x:v>
      </x:c>
      <x:c r="N2057" t="n">
        <x:f>ROUND(F2057*M2057/100,2)</x:f>
        <x:v>0.78</x:v>
      </x:c>
      <x:c r="O2057" t="str">
        <x:v>生重</x:v>
      </x:c>
    </x:row>
    <x:row r="2058" ht="23" customHeight="1">
      <x:c r="A2058" t="n">
        <x:v>343</x:v>
      </x:c>
      <x:c r="B2058" t="n">
        <x:v>172</x:v>
      </x:c>
      <x:c r="C2058" t="str">
        <x:v>午餐</x:v>
      </x:c>
      <x:c r="D2058" t="str">
        <x:v>主食</x:v>
      </x:c>
      <x:c r="E2058" t="str">
        <x:v>杂粮饭</x:v>
      </x:c>
      <x:c r="F2058" t="n">
        <x:v>110</x:v>
      </x:c>
      <x:c r="G2058" t="n">
        <x:v>115</x:v>
      </x:c>
      <x:c r="H2058" t="n">
        <x:f>ROUND(F2058*G2058/100,2)</x:f>
        <x:v>126.5</x:v>
      </x:c>
      <x:c r="I2058" t="n">
        <x:v>3.1</x:v>
      </x:c>
      <x:c r="J2058" t="n">
        <x:f>ROUND(F2058*I2058/100,2)</x:f>
        <x:v>3.41</x:v>
      </x:c>
      <x:c r="K2058" t="n">
        <x:v>23.5</x:v>
      </x:c>
      <x:c r="L2058" t="n">
        <x:f>ROUND(F2058*K2058/100,2)</x:f>
        <x:v>25.85</x:v>
      </x:c>
      <x:c r="M2058" t="n">
        <x:v>1.1</x:v>
      </x:c>
      <x:c r="N2058" t="n">
        <x:f>ROUND(F2058*M2058/100,2)</x:f>
        <x:v>1.21</x:v>
      </x:c>
      <x:c r="O2058" t="str">
        <x:v>熟重</x:v>
      </x:c>
    </x:row>
    <x:row r="2059" ht="23" customHeight="1">
      <x:c r="A2059" t="n">
        <x:v>343</x:v>
      </x:c>
      <x:c r="B2059" t="n">
        <x:v>172</x:v>
      </x:c>
      <x:c r="C2059" t="str">
        <x:v>午餐</x:v>
      </x:c>
      <x:c r="D2059" t="str">
        <x:v>油脂</x:v>
      </x:c>
      <x:c r="E2059" t="str">
        <x:v>烹调油</x:v>
      </x:c>
      <x:c r="F2059" t="n">
        <x:v>3</x:v>
      </x:c>
      <x:c r="G2059" t="n">
        <x:v>900</x:v>
      </x:c>
      <x:c r="H2059" t="n">
        <x:f>ROUND(F2059*G2059/100,2)</x:f>
        <x:v>27</x:v>
      </x:c>
      <x:c r="I2059" t="n">
        <x:v>0</x:v>
      </x:c>
      <x:c r="J2059" t="n">
        <x:f>ROUND(F2059*I2059/100,2)</x:f>
        <x:v>0</x:v>
      </x:c>
      <x:c r="K2059" t="n">
        <x:v>0</x:v>
      </x:c>
      <x:c r="L2059" t="n">
        <x:f>ROUND(F2059*K2059/100,2)</x:f>
        <x:v>0</x:v>
      </x:c>
      <x:c r="M2059" t="n">
        <x:v>100</x:v>
      </x:c>
      <x:c r="N2059" t="n">
        <x:f>ROUND(F2059*M2059/100,2)</x:f>
        <x:v>3</x:v>
      </x:c>
      <x:c r="O2059" t="str">
        <x:v>实际用油重</x:v>
      </x:c>
    </x:row>
    <x:row r="2060" ht="23" customHeight="1">
      <x:c r="A2060" t="n">
        <x:v>344</x:v>
      </x:c>
      <x:c r="B2060" t="n">
        <x:v>172</x:v>
      </x:c>
      <x:c r="C2060" t="str">
        <x:v>晚餐</x:v>
      </x:c>
      <x:c r="D2060" t="str">
        <x:v>牛肉</x:v>
      </x:c>
      <x:c r="E2060" t="str">
        <x:v>瘦牛肉</x:v>
      </x:c>
      <x:c r="F2060" t="n">
        <x:v>160</x:v>
      </x:c>
      <x:c r="G2060" t="n">
        <x:v>125</x:v>
      </x:c>
      <x:c r="H2060" t="n">
        <x:f>ROUND(F2060*G2060/100,2)</x:f>
        <x:v>200</x:v>
      </x:c>
      <x:c r="I2060" t="n">
        <x:v>21</x:v>
      </x:c>
      <x:c r="J2060" t="n">
        <x:f>ROUND(F2060*I2060/100,2)</x:f>
        <x:v>33.6</x:v>
      </x:c>
      <x:c r="K2060" t="n">
        <x:v>0</x:v>
      </x:c>
      <x:c r="L2060" t="n">
        <x:f>ROUND(F2060*K2060/100,2)</x:f>
        <x:v>0</x:v>
      </x:c>
      <x:c r="M2060" t="n">
        <x:v>4</x:v>
      </x:c>
      <x:c r="N2060" t="n">
        <x:f>ROUND(F2060*M2060/100,2)</x:f>
        <x:v>6.4</x:v>
      </x:c>
      <x:c r="O2060" t="str">
        <x:v>生重</x:v>
      </x:c>
    </x:row>
    <x:row r="2061" ht="23" customHeight="1">
      <x:c r="A2061" t="n">
        <x:v>344</x:v>
      </x:c>
      <x:c r="B2061" t="n">
        <x:v>172</x:v>
      </x:c>
      <x:c r="C2061" t="str">
        <x:v>晚餐</x:v>
      </x:c>
      <x:c r="D2061" t="str"/>
      <x:c r="E2061" t="str"/>
      <x:c r="F2061" t="n">
        <x:v>0</x:v>
      </x:c>
      <x:c r="G2061" t="n">
        <x:v>0</x:v>
      </x:c>
      <x:c r="H2061" t="n">
        <x:f>ROUND(F2061*G2061/100,2)</x:f>
        <x:v>0</x:v>
      </x:c>
      <x:c r="I2061" t="n">
        <x:v>0</x:v>
      </x:c>
      <x:c r="J2061" t="n">
        <x:f>ROUND(F2061*I2061/100,2)</x:f>
        <x:v>0</x:v>
      </x:c>
      <x:c r="K2061" t="n">
        <x:v>0</x:v>
      </x:c>
      <x:c r="L2061" t="n">
        <x:f>ROUND(F2061*K2061/100,2)</x:f>
        <x:v>0</x:v>
      </x:c>
      <x:c r="M2061" t="n">
        <x:v>0</x:v>
      </x:c>
      <x:c r="N2061" t="n">
        <x:f>ROUND(F2061*M2061/100,2)</x:f>
        <x:v>0</x:v>
      </x:c>
      <x:c r="O2061" t="str"/>
    </x:row>
    <x:row r="2062" ht="23" customHeight="1">
      <x:c r="A2062" t="n">
        <x:v>344</x:v>
      </x:c>
      <x:c r="B2062" t="n">
        <x:v>172</x:v>
      </x:c>
      <x:c r="C2062" t="str">
        <x:v>晚餐</x:v>
      </x:c>
      <x:c r="D2062" t="str">
        <x:v>蔬菜</x:v>
      </x:c>
      <x:c r="E2062" t="str">
        <x:v>紫甘蓝</x:v>
      </x:c>
      <x:c r="F2062" t="n">
        <x:v>175</x:v>
      </x:c>
      <x:c r="G2062" t="n">
        <x:v>31</x:v>
      </x:c>
      <x:c r="H2062" t="n">
        <x:f>ROUND(F2062*G2062/100,2)</x:f>
        <x:v>54.25</x:v>
      </x:c>
      <x:c r="I2062" t="n">
        <x:v>1.4</x:v>
      </x:c>
      <x:c r="J2062" t="n">
        <x:f>ROUND(F2062*I2062/100,2)</x:f>
        <x:v>2.45</x:v>
      </x:c>
      <x:c r="K2062" t="n">
        <x:v>7.3</x:v>
      </x:c>
      <x:c r="L2062" t="n">
        <x:f>ROUND(F2062*K2062/100,2)</x:f>
        <x:v>12.78</x:v>
      </x:c>
      <x:c r="M2062" t="n">
        <x:v>0.1</x:v>
      </x:c>
      <x:c r="N2062" t="n">
        <x:f>ROUND(F2062*M2062/100,2)</x:f>
        <x:v>0.18</x:v>
      </x:c>
      <x:c r="O2062" t="str">
        <x:v>生重</x:v>
      </x:c>
    </x:row>
    <x:row r="2063" ht="23" customHeight="1">
      <x:c r="A2063" t="n">
        <x:v>344</x:v>
      </x:c>
      <x:c r="B2063" t="n">
        <x:v>172</x:v>
      </x:c>
      <x:c r="C2063" t="str">
        <x:v>晚餐</x:v>
      </x:c>
      <x:c r="D2063" t="str">
        <x:v>蔬菜</x:v>
      </x:c>
      <x:c r="E2063" t="str">
        <x:v>彩椒</x:v>
      </x:c>
      <x:c r="F2063" t="n">
        <x:v>140</x:v>
      </x:c>
      <x:c r="G2063" t="n">
        <x:v>27</x:v>
      </x:c>
      <x:c r="H2063" t="n">
        <x:f>ROUND(F2063*G2063/100,2)</x:f>
        <x:v>37.8</x:v>
      </x:c>
      <x:c r="I2063" t="n">
        <x:v>1</x:v>
      </x:c>
      <x:c r="J2063" t="n">
        <x:f>ROUND(F2063*I2063/100,2)</x:f>
        <x:v>1.4</x:v>
      </x:c>
      <x:c r="K2063" t="n">
        <x:v>6.1</x:v>
      </x:c>
      <x:c r="L2063" t="n">
        <x:f>ROUND(F2063*K2063/100,2)</x:f>
        <x:v>8.54</x:v>
      </x:c>
      <x:c r="M2063" t="n">
        <x:v>0.2</x:v>
      </x:c>
      <x:c r="N2063" t="n">
        <x:f>ROUND(F2063*M2063/100,2)</x:f>
        <x:v>0.28</x:v>
      </x:c>
      <x:c r="O2063" t="str">
        <x:v>生重</x:v>
      </x:c>
    </x:row>
    <x:row r="2064" ht="23" customHeight="1">
      <x:c r="A2064" t="n">
        <x:v>344</x:v>
      </x:c>
      <x:c r="B2064" t="n">
        <x:v>172</x:v>
      </x:c>
      <x:c r="C2064" t="str">
        <x:v>晚餐</x:v>
      </x:c>
      <x:c r="D2064" t="str">
        <x:v>主食</x:v>
      </x:c>
      <x:c r="E2064" t="str">
        <x:v>荞麦饭</x:v>
      </x:c>
      <x:c r="F2064" t="n">
        <x:v>110</x:v>
      </x:c>
      <x:c r="G2064" t="n">
        <x:v>110</x:v>
      </x:c>
      <x:c r="H2064" t="n">
        <x:f>ROUND(F2064*G2064/100,2)</x:f>
        <x:v>121</x:v>
      </x:c>
      <x:c r="I2064" t="n">
        <x:v>3.4</x:v>
      </x:c>
      <x:c r="J2064" t="n">
        <x:f>ROUND(F2064*I2064/100,2)</x:f>
        <x:v>3.74</x:v>
      </x:c>
      <x:c r="K2064" t="n">
        <x:v>22</x:v>
      </x:c>
      <x:c r="L2064" t="n">
        <x:f>ROUND(F2064*K2064/100,2)</x:f>
        <x:v>24.2</x:v>
      </x:c>
      <x:c r="M2064" t="n">
        <x:v>1.1</x:v>
      </x:c>
      <x:c r="N2064" t="n">
        <x:f>ROUND(F2064*M2064/100,2)</x:f>
        <x:v>1.21</x:v>
      </x:c>
      <x:c r="O2064" t="str">
        <x:v>熟重</x:v>
      </x:c>
    </x:row>
    <x:row r="2065" ht="23" customHeight="1">
      <x:c r="A2065" t="n">
        <x:v>344</x:v>
      </x:c>
      <x:c r="B2065" t="n">
        <x:v>172</x:v>
      </x:c>
      <x:c r="C2065" t="str">
        <x:v>晚餐</x:v>
      </x:c>
      <x:c r="D2065" t="str">
        <x:v>油脂</x:v>
      </x:c>
      <x:c r="E2065" t="str">
        <x:v>烹调油</x:v>
      </x:c>
      <x:c r="F2065" t="n">
        <x:v>4</x:v>
      </x:c>
      <x:c r="G2065" t="n">
        <x:v>900</x:v>
      </x:c>
      <x:c r="H2065" t="n">
        <x:f>ROUND(F2065*G2065/100,2)</x:f>
        <x:v>36</x:v>
      </x:c>
      <x:c r="I2065" t="n">
        <x:v>0</x:v>
      </x:c>
      <x:c r="J2065" t="n">
        <x:f>ROUND(F2065*I2065/100,2)</x:f>
        <x:v>0</x:v>
      </x:c>
      <x:c r="K2065" t="n">
        <x:v>0</x:v>
      </x:c>
      <x:c r="L2065" t="n">
        <x:f>ROUND(F2065*K2065/100,2)</x:f>
        <x:v>0</x:v>
      </x:c>
      <x:c r="M2065" t="n">
        <x:v>100</x:v>
      </x:c>
      <x:c r="N2065" t="n">
        <x:f>ROUND(F2065*M2065/100,2)</x:f>
        <x:v>4</x:v>
      </x:c>
      <x:c r="O2065" t="str">
        <x:v>实际用油重</x:v>
      </x:c>
    </x:row>
    <x:row r="2066" ht="23" customHeight="1">
      <x:c r="A2066" t="n">
        <x:v>345</x:v>
      </x:c>
      <x:c r="B2066" t="n">
        <x:v>173</x:v>
      </x:c>
      <x:c r="C2066" t="str">
        <x:v>午餐</x:v>
      </x:c>
      <x:c r="D2066" t="str">
        <x:v>海鲜</x:v>
      </x:c>
      <x:c r="E2066" t="str">
        <x:v>虾仁</x:v>
      </x:c>
      <x:c r="F2066" t="n">
        <x:v>190</x:v>
      </x:c>
      <x:c r="G2066" t="n">
        <x:v>90</x:v>
      </x:c>
      <x:c r="H2066" t="n">
        <x:f>ROUND(F2066*G2066/100,2)</x:f>
        <x:v>171</x:v>
      </x:c>
      <x:c r="I2066" t="n">
        <x:v>19</x:v>
      </x:c>
      <x:c r="J2066" t="n">
        <x:f>ROUND(F2066*I2066/100,2)</x:f>
        <x:v>36.1</x:v>
      </x:c>
      <x:c r="K2066" t="n">
        <x:v>0.4</x:v>
      </x:c>
      <x:c r="L2066" t="n">
        <x:f>ROUND(F2066*K2066/100,2)</x:f>
        <x:v>0.76</x:v>
      </x:c>
      <x:c r="M2066" t="n">
        <x:v>1.1</x:v>
      </x:c>
      <x:c r="N2066" t="n">
        <x:f>ROUND(F2066*M2066/100,2)</x:f>
        <x:v>2.09</x:v>
      </x:c>
      <x:c r="O2066" t="str">
        <x:v>生重</x:v>
      </x:c>
    </x:row>
    <x:row r="2067" ht="23" customHeight="1">
      <x:c r="A2067" t="n">
        <x:v>345</x:v>
      </x:c>
      <x:c r="B2067" t="n">
        <x:v>173</x:v>
      </x:c>
      <x:c r="C2067" t="str">
        <x:v>午餐</x:v>
      </x:c>
      <x:c r="D2067" t="str">
        <x:v>豆蛋</x:v>
      </x:c>
      <x:c r="E2067" t="str">
        <x:v>北豆腐</x:v>
      </x:c>
      <x:c r="F2067" t="n">
        <x:v>110</x:v>
      </x:c>
      <x:c r="G2067" t="n">
        <x:v>90</x:v>
      </x:c>
      <x:c r="H2067" t="n">
        <x:f>ROUND(F2067*G2067/100,2)</x:f>
        <x:v>99</x:v>
      </x:c>
      <x:c r="I2067" t="n">
        <x:v>10</x:v>
      </x:c>
      <x:c r="J2067" t="n">
        <x:f>ROUND(F2067*I2067/100,2)</x:f>
        <x:v>11</x:v>
      </x:c>
      <x:c r="K2067" t="n">
        <x:v>2</x:v>
      </x:c>
      <x:c r="L2067" t="n">
        <x:f>ROUND(F2067*K2067/100,2)</x:f>
        <x:v>2.2</x:v>
      </x:c>
      <x:c r="M2067" t="n">
        <x:v>5</x:v>
      </x:c>
      <x:c r="N2067" t="n">
        <x:f>ROUND(F2067*M2067/100,2)</x:f>
        <x:v>5.5</x:v>
      </x:c>
      <x:c r="O2067" t="str">
        <x:v>净重</x:v>
      </x:c>
    </x:row>
    <x:row r="2068" ht="23" customHeight="1">
      <x:c r="A2068" t="n">
        <x:v>345</x:v>
      </x:c>
      <x:c r="B2068" t="n">
        <x:v>173</x:v>
      </x:c>
      <x:c r="C2068" t="str">
        <x:v>午餐</x:v>
      </x:c>
      <x:c r="D2068" t="str">
        <x:v>蔬菜</x:v>
      </x:c>
      <x:c r="E2068" t="str">
        <x:v>竹笋</x:v>
      </x:c>
      <x:c r="F2068" t="n">
        <x:v>160</x:v>
      </x:c>
      <x:c r="G2068" t="n">
        <x:v>27</x:v>
      </x:c>
      <x:c r="H2068" t="n">
        <x:f>ROUND(F2068*G2068/100,2)</x:f>
        <x:v>43.2</x:v>
      </x:c>
      <x:c r="I2068" t="n">
        <x:v>2.6</x:v>
      </x:c>
      <x:c r="J2068" t="n">
        <x:f>ROUND(F2068*I2068/100,2)</x:f>
        <x:v>4.16</x:v>
      </x:c>
      <x:c r="K2068" t="n">
        <x:v>5.2</x:v>
      </x:c>
      <x:c r="L2068" t="n">
        <x:f>ROUND(F2068*K2068/100,2)</x:f>
        <x:v>8.32</x:v>
      </x:c>
      <x:c r="M2068" t="n">
        <x:v>0.3</x:v>
      </x:c>
      <x:c r="N2068" t="n">
        <x:f>ROUND(F2068*M2068/100,2)</x:f>
        <x:v>0.48</x:v>
      </x:c>
      <x:c r="O2068" t="str">
        <x:v>生重</x:v>
      </x:c>
    </x:row>
    <x:row r="2069" ht="23" customHeight="1">
      <x:c r="A2069" t="n">
        <x:v>345</x:v>
      </x:c>
      <x:c r="B2069" t="n">
        <x:v>173</x:v>
      </x:c>
      <x:c r="C2069" t="str">
        <x:v>午餐</x:v>
      </x:c>
      <x:c r="D2069" t="str">
        <x:v>菌菇</x:v>
      </x:c>
      <x:c r="E2069" t="str">
        <x:v>香菇</x:v>
      </x:c>
      <x:c r="F2069" t="n">
        <x:v>155</x:v>
      </x:c>
      <x:c r="G2069" t="n">
        <x:v>34</x:v>
      </x:c>
      <x:c r="H2069" t="n">
        <x:f>ROUND(F2069*G2069/100,2)</x:f>
        <x:v>52.7</x:v>
      </x:c>
      <x:c r="I2069" t="n">
        <x:v>2.2</x:v>
      </x:c>
      <x:c r="J2069" t="n">
        <x:f>ROUND(F2069*I2069/100,2)</x:f>
        <x:v>3.41</x:v>
      </x:c>
      <x:c r="K2069" t="n">
        <x:v>6.8</x:v>
      </x:c>
      <x:c r="L2069" t="n">
        <x:f>ROUND(F2069*K2069/100,2)</x:f>
        <x:v>10.54</x:v>
      </x:c>
      <x:c r="M2069" t="n">
        <x:v>0.5</x:v>
      </x:c>
      <x:c r="N2069" t="n">
        <x:f>ROUND(F2069*M2069/100,2)</x:f>
        <x:v>0.78</x:v>
      </x:c>
      <x:c r="O2069" t="str">
        <x:v>生重</x:v>
      </x:c>
    </x:row>
    <x:row r="2070" ht="23" customHeight="1">
      <x:c r="A2070" t="n">
        <x:v>345</x:v>
      </x:c>
      <x:c r="B2070" t="n">
        <x:v>173</x:v>
      </x:c>
      <x:c r="C2070" t="str">
        <x:v>午餐</x:v>
      </x:c>
      <x:c r="D2070" t="str">
        <x:v>主食</x:v>
      </x:c>
      <x:c r="E2070" t="str">
        <x:v>紫薯</x:v>
      </x:c>
      <x:c r="F2070" t="n">
        <x:v>110</x:v>
      </x:c>
      <x:c r="G2070" t="n">
        <x:v>95</x:v>
      </x:c>
      <x:c r="H2070" t="n">
        <x:f>ROUND(F2070*G2070/100,2)</x:f>
        <x:v>104.5</x:v>
      </x:c>
      <x:c r="I2070" t="n">
        <x:v>1.6</x:v>
      </x:c>
      <x:c r="J2070" t="n">
        <x:f>ROUND(F2070*I2070/100,2)</x:f>
        <x:v>1.76</x:v>
      </x:c>
      <x:c r="K2070" t="n">
        <x:v>22</x:v>
      </x:c>
      <x:c r="L2070" t="n">
        <x:f>ROUND(F2070*K2070/100,2)</x:f>
        <x:v>24.2</x:v>
      </x:c>
      <x:c r="M2070" t="n">
        <x:v>0.1</x:v>
      </x:c>
      <x:c r="N2070" t="n">
        <x:f>ROUND(F2070*M2070/100,2)</x:f>
        <x:v>0.11</x:v>
      </x:c>
      <x:c r="O2070" t="str">
        <x:v>蒸熟净重</x:v>
      </x:c>
    </x:row>
    <x:row r="2071" ht="23" customHeight="1">
      <x:c r="A2071" t="n">
        <x:v>345</x:v>
      </x:c>
      <x:c r="B2071" t="n">
        <x:v>173</x:v>
      </x:c>
      <x:c r="C2071" t="str">
        <x:v>午餐</x:v>
      </x:c>
      <x:c r="D2071" t="str">
        <x:v>油脂</x:v>
      </x:c>
      <x:c r="E2071" t="str">
        <x:v>烹调油</x:v>
      </x:c>
      <x:c r="F2071" t="n">
        <x:v>6</x:v>
      </x:c>
      <x:c r="G2071" t="n">
        <x:v>900</x:v>
      </x:c>
      <x:c r="H2071" t="n">
        <x:f>ROUND(F2071*G2071/100,2)</x:f>
        <x:v>54</x:v>
      </x:c>
      <x:c r="I2071" t="n">
        <x:v>0</x:v>
      </x:c>
      <x:c r="J2071" t="n">
        <x:f>ROUND(F2071*I2071/100,2)</x:f>
        <x:v>0</x:v>
      </x:c>
      <x:c r="K2071" t="n">
        <x:v>0</x:v>
      </x:c>
      <x:c r="L2071" t="n">
        <x:f>ROUND(F2071*K2071/100,2)</x:f>
        <x:v>0</x:v>
      </x:c>
      <x:c r="M2071" t="n">
        <x:v>100</x:v>
      </x:c>
      <x:c r="N2071" t="n">
        <x:f>ROUND(F2071*M2071/100,2)</x:f>
        <x:v>6</x:v>
      </x:c>
      <x:c r="O2071" t="str">
        <x:v>实际用油重</x:v>
      </x:c>
    </x:row>
    <x:row r="2072" ht="23" customHeight="1">
      <x:c r="A2072" t="n">
        <x:v>346</x:v>
      </x:c>
      <x:c r="B2072" t="n">
        <x:v>173</x:v>
      </x:c>
      <x:c r="C2072" t="str">
        <x:v>晚餐</x:v>
      </x:c>
      <x:c r="D2072" t="str">
        <x:v>鱼类</x:v>
      </x:c>
      <x:c r="E2072" t="str">
        <x:v>巴沙鱼</x:v>
      </x:c>
      <x:c r="F2072" t="n">
        <x:v>200</x:v>
      </x:c>
      <x:c r="G2072" t="n">
        <x:v>90</x:v>
      </x:c>
      <x:c r="H2072" t="n">
        <x:f>ROUND(F2072*G2072/100,2)</x:f>
        <x:v>180</x:v>
      </x:c>
      <x:c r="I2072" t="n">
        <x:v>17</x:v>
      </x:c>
      <x:c r="J2072" t="n">
        <x:f>ROUND(F2072*I2072/100,2)</x:f>
        <x:v>34</x:v>
      </x:c>
      <x:c r="K2072" t="n">
        <x:v>0</x:v>
      </x:c>
      <x:c r="L2072" t="n">
        <x:f>ROUND(F2072*K2072/100,2)</x:f>
        <x:v>0</x:v>
      </x:c>
      <x:c r="M2072" t="n">
        <x:v>2.3</x:v>
      </x:c>
      <x:c r="N2072" t="n">
        <x:f>ROUND(F2072*M2072/100,2)</x:f>
        <x:v>4.6</x:v>
      </x:c>
      <x:c r="O2072" t="str">
        <x:v>净鱼肉生重</x:v>
      </x:c>
    </x:row>
    <x:row r="2073" ht="23" customHeight="1">
      <x:c r="A2073" t="n">
        <x:v>346</x:v>
      </x:c>
      <x:c r="B2073" t="n">
        <x:v>173</x:v>
      </x:c>
      <x:c r="C2073" t="str">
        <x:v>晚餐</x:v>
      </x:c>
      <x:c r="D2073" t="str"/>
      <x:c r="E2073" t="str"/>
      <x:c r="F2073" t="n">
        <x:v>0</x:v>
      </x:c>
      <x:c r="G2073" t="n">
        <x:v>0</x:v>
      </x:c>
      <x:c r="H2073" t="n">
        <x:f>ROUND(F2073*G2073/100,2)</x:f>
        <x:v>0</x:v>
      </x:c>
      <x:c r="I2073" t="n">
        <x:v>0</x:v>
      </x:c>
      <x:c r="J2073" t="n">
        <x:f>ROUND(F2073*I2073/100,2)</x:f>
        <x:v>0</x:v>
      </x:c>
      <x:c r="K2073" t="n">
        <x:v>0</x:v>
      </x:c>
      <x:c r="L2073" t="n">
        <x:f>ROUND(F2073*K2073/100,2)</x:f>
        <x:v>0</x:v>
      </x:c>
      <x:c r="M2073" t="n">
        <x:v>0</x:v>
      </x:c>
      <x:c r="N2073" t="n">
        <x:f>ROUND(F2073*M2073/100,2)</x:f>
        <x:v>0</x:v>
      </x:c>
      <x:c r="O2073" t="str"/>
    </x:row>
    <x:row r="2074" ht="23" customHeight="1">
      <x:c r="A2074" t="n">
        <x:v>346</x:v>
      </x:c>
      <x:c r="B2074" t="n">
        <x:v>173</x:v>
      </x:c>
      <x:c r="C2074" t="str">
        <x:v>晚餐</x:v>
      </x:c>
      <x:c r="D2074" t="str">
        <x:v>蔬菜</x:v>
      </x:c>
      <x:c r="E2074" t="str">
        <x:v>油麦菜</x:v>
      </x:c>
      <x:c r="F2074" t="n">
        <x:v>140</x:v>
      </x:c>
      <x:c r="G2074" t="n">
        <x:v>18</x:v>
      </x:c>
      <x:c r="H2074" t="n">
        <x:f>ROUND(F2074*G2074/100,2)</x:f>
        <x:v>25.2</x:v>
      </x:c>
      <x:c r="I2074" t="n">
        <x:v>1.4</x:v>
      </x:c>
      <x:c r="J2074" t="n">
        <x:f>ROUND(F2074*I2074/100,2)</x:f>
        <x:v>1.96</x:v>
      </x:c>
      <x:c r="K2074" t="n">
        <x:v>3.1</x:v>
      </x:c>
      <x:c r="L2074" t="n">
        <x:f>ROUND(F2074*K2074/100,2)</x:f>
        <x:v>4.34</x:v>
      </x:c>
      <x:c r="M2074" t="n">
        <x:v>0.2</x:v>
      </x:c>
      <x:c r="N2074" t="n">
        <x:f>ROUND(F2074*M2074/100,2)</x:f>
        <x:v>0.28</x:v>
      </x:c>
      <x:c r="O2074" t="str">
        <x:v>生重</x:v>
      </x:c>
    </x:row>
    <x:row r="2075" ht="23" customHeight="1">
      <x:c r="A2075" t="n">
        <x:v>346</x:v>
      </x:c>
      <x:c r="B2075" t="n">
        <x:v>173</x:v>
      </x:c>
      <x:c r="C2075" t="str">
        <x:v>晚餐</x:v>
      </x:c>
      <x:c r="D2075" t="str">
        <x:v>蔬菜</x:v>
      </x:c>
      <x:c r="E2075" t="str">
        <x:v>丝瓜</x:v>
      </x:c>
      <x:c r="F2075" t="n">
        <x:v>125</x:v>
      </x:c>
      <x:c r="G2075" t="n">
        <x:v>20</x:v>
      </x:c>
      <x:c r="H2075" t="n">
        <x:f>ROUND(F2075*G2075/100,2)</x:f>
        <x:v>25</x:v>
      </x:c>
      <x:c r="I2075" t="n">
        <x:v>1</x:v>
      </x:c>
      <x:c r="J2075" t="n">
        <x:f>ROUND(F2075*I2075/100,2)</x:f>
        <x:v>1.25</x:v>
      </x:c>
      <x:c r="K2075" t="n">
        <x:v>4</x:v>
      </x:c>
      <x:c r="L2075" t="n">
        <x:f>ROUND(F2075*K2075/100,2)</x:f>
        <x:v>5</x:v>
      </x:c>
      <x:c r="M2075" t="n">
        <x:v>0.2</x:v>
      </x:c>
      <x:c r="N2075" t="n">
        <x:f>ROUND(F2075*M2075/100,2)</x:f>
        <x:v>0.25</x:v>
      </x:c>
      <x:c r="O2075" t="str">
        <x:v>生重</x:v>
      </x:c>
    </x:row>
    <x:row r="2076" ht="23" customHeight="1">
      <x:c r="A2076" t="n">
        <x:v>346</x:v>
      </x:c>
      <x:c r="B2076" t="n">
        <x:v>173</x:v>
      </x:c>
      <x:c r="C2076" t="str">
        <x:v>晚餐</x:v>
      </x:c>
      <x:c r="D2076" t="str">
        <x:v>主食</x:v>
      </x:c>
      <x:c r="E2076" t="str">
        <x:v>山药</x:v>
      </x:c>
      <x:c r="F2076" t="n">
        <x:v>125</x:v>
      </x:c>
      <x:c r="G2076" t="n">
        <x:v>62</x:v>
      </x:c>
      <x:c r="H2076" t="n">
        <x:f>ROUND(F2076*G2076/100,2)</x:f>
        <x:v>77.5</x:v>
      </x:c>
      <x:c r="I2076" t="n">
        <x:v>1.5</x:v>
      </x:c>
      <x:c r="J2076" t="n">
        <x:f>ROUND(F2076*I2076/100,2)</x:f>
        <x:v>1.88</x:v>
      </x:c>
      <x:c r="K2076" t="n">
        <x:v>14.1</x:v>
      </x:c>
      <x:c r="L2076" t="n">
        <x:f>ROUND(F2076*K2076/100,2)</x:f>
        <x:v>17.63</x:v>
      </x:c>
      <x:c r="M2076" t="n">
        <x:v>0.1</x:v>
      </x:c>
      <x:c r="N2076" t="n">
        <x:f>ROUND(F2076*M2076/100,2)</x:f>
        <x:v>0.13</x:v>
      </x:c>
      <x:c r="O2076" t="str">
        <x:v>蒸熟净重</x:v>
      </x:c>
    </x:row>
    <x:row r="2077" ht="23" customHeight="1">
      <x:c r="A2077" t="n">
        <x:v>346</x:v>
      </x:c>
      <x:c r="B2077" t="n">
        <x:v>173</x:v>
      </x:c>
      <x:c r="C2077" t="str">
        <x:v>晚餐</x:v>
      </x:c>
      <x:c r="D2077" t="str">
        <x:v>油脂</x:v>
      </x:c>
      <x:c r="E2077" t="str">
        <x:v>烹调油</x:v>
      </x:c>
      <x:c r="F2077" t="n">
        <x:v>6</x:v>
      </x:c>
      <x:c r="G2077" t="n">
        <x:v>900</x:v>
      </x:c>
      <x:c r="H2077" t="n">
        <x:f>ROUND(F2077*G2077/100,2)</x:f>
        <x:v>54</x:v>
      </x:c>
      <x:c r="I2077" t="n">
        <x:v>0</x:v>
      </x:c>
      <x:c r="J2077" t="n">
        <x:f>ROUND(F2077*I2077/100,2)</x:f>
        <x:v>0</x:v>
      </x:c>
      <x:c r="K2077" t="n">
        <x:v>0</x:v>
      </x:c>
      <x:c r="L2077" t="n">
        <x:f>ROUND(F2077*K2077/100,2)</x:f>
        <x:v>0</x:v>
      </x:c>
      <x:c r="M2077" t="n">
        <x:v>100</x:v>
      </x:c>
      <x:c r="N2077" t="n">
        <x:f>ROUND(F2077*M2077/100,2)</x:f>
        <x:v>6</x:v>
      </x:c>
      <x:c r="O2077" t="str">
        <x:v>实际用油重</x:v>
      </x:c>
    </x:row>
    <x:row r="2078" ht="23" customHeight="1">
      <x:c r="A2078" t="n">
        <x:v>347</x:v>
      </x:c>
      <x:c r="B2078" t="n">
        <x:v>174</x:v>
      </x:c>
      <x:c r="C2078" t="str">
        <x:v>午餐</x:v>
      </x:c>
      <x:c r="D2078" t="str">
        <x:v>海鲜</x:v>
      </x:c>
      <x:c r="E2078" t="str">
        <x:v>鱿鱼</x:v>
      </x:c>
      <x:c r="F2078" t="n">
        <x:v>175</x:v>
      </x:c>
      <x:c r="G2078" t="n">
        <x:v>95</x:v>
      </x:c>
      <x:c r="H2078" t="n">
        <x:f>ROUND(F2078*G2078/100,2)</x:f>
        <x:v>166.25</x:v>
      </x:c>
      <x:c r="I2078" t="n">
        <x:v>17</x:v>
      </x:c>
      <x:c r="J2078" t="n">
        <x:f>ROUND(F2078*I2078/100,2)</x:f>
        <x:v>29.75</x:v>
      </x:c>
      <x:c r="K2078" t="n">
        <x:v>2</x:v>
      </x:c>
      <x:c r="L2078" t="n">
        <x:f>ROUND(F2078*K2078/100,2)</x:f>
        <x:v>3.5</x:v>
      </x:c>
      <x:c r="M2078" t="n">
        <x:v>1.4</x:v>
      </x:c>
      <x:c r="N2078" t="n">
        <x:f>ROUND(F2078*M2078/100,2)</x:f>
        <x:v>2.45</x:v>
      </x:c>
      <x:c r="O2078" t="str">
        <x:v>生重</x:v>
      </x:c>
    </x:row>
    <x:row r="2079" ht="23" customHeight="1">
      <x:c r="A2079" t="n">
        <x:v>347</x:v>
      </x:c>
      <x:c r="B2079" t="n">
        <x:v>174</x:v>
      </x:c>
      <x:c r="C2079" t="str">
        <x:v>午餐</x:v>
      </x:c>
      <x:c r="D2079" t="str"/>
      <x:c r="E2079" t="str"/>
      <x:c r="F2079" t="n">
        <x:v>0</x:v>
      </x:c>
      <x:c r="G2079" t="n">
        <x:v>0</x:v>
      </x:c>
      <x:c r="H2079" t="n">
        <x:f>ROUND(F2079*G2079/100,2)</x:f>
        <x:v>0</x:v>
      </x:c>
      <x:c r="I2079" t="n">
        <x:v>0</x:v>
      </x:c>
      <x:c r="J2079" t="n">
        <x:f>ROUND(F2079*I2079/100,2)</x:f>
        <x:v>0</x:v>
      </x:c>
      <x:c r="K2079" t="n">
        <x:v>0</x:v>
      </x:c>
      <x:c r="L2079" t="n">
        <x:f>ROUND(F2079*K2079/100,2)</x:f>
        <x:v>0</x:v>
      </x:c>
      <x:c r="M2079" t="n">
        <x:v>0</x:v>
      </x:c>
      <x:c r="N2079" t="n">
        <x:f>ROUND(F2079*M2079/100,2)</x:f>
        <x:v>0</x:v>
      </x:c>
      <x:c r="O2079" t="str"/>
    </x:row>
    <x:row r="2080" ht="23" customHeight="1">
      <x:c r="A2080" t="n">
        <x:v>347</x:v>
      </x:c>
      <x:c r="B2080" t="n">
        <x:v>174</x:v>
      </x:c>
      <x:c r="C2080" t="str">
        <x:v>午餐</x:v>
      </x:c>
      <x:c r="D2080" t="str">
        <x:v>蔬菜</x:v>
      </x:c>
      <x:c r="E2080" t="str">
        <x:v>娃娃菜</x:v>
      </x:c>
      <x:c r="F2080" t="n">
        <x:v>140</x:v>
      </x:c>
      <x:c r="G2080" t="n">
        <x:v>17</x:v>
      </x:c>
      <x:c r="H2080" t="n">
        <x:f>ROUND(F2080*G2080/100,2)</x:f>
        <x:v>23.8</x:v>
      </x:c>
      <x:c r="I2080" t="n">
        <x:v>1.3</x:v>
      </x:c>
      <x:c r="J2080" t="n">
        <x:f>ROUND(F2080*I2080/100,2)</x:f>
        <x:v>1.82</x:v>
      </x:c>
      <x:c r="K2080" t="n">
        <x:v>3</x:v>
      </x:c>
      <x:c r="L2080" t="n">
        <x:f>ROUND(F2080*K2080/100,2)</x:f>
        <x:v>4.2</x:v>
      </x:c>
      <x:c r="M2080" t="n">
        <x:v>0.2</x:v>
      </x:c>
      <x:c r="N2080" t="n">
        <x:f>ROUND(F2080*M2080/100,2)</x:f>
        <x:v>0.28</x:v>
      </x:c>
      <x:c r="O2080" t="str">
        <x:v>生重</x:v>
      </x:c>
    </x:row>
    <x:row r="2081" ht="23" customHeight="1">
      <x:c r="A2081" t="n">
        <x:v>347</x:v>
      </x:c>
      <x:c r="B2081" t="n">
        <x:v>174</x:v>
      </x:c>
      <x:c r="C2081" t="str">
        <x:v>午餐</x:v>
      </x:c>
      <x:c r="D2081" t="str">
        <x:v>蔬菜</x:v>
      </x:c>
      <x:c r="E2081" t="str">
        <x:v>番茄</x:v>
      </x:c>
      <x:c r="F2081" t="n">
        <x:v>125</x:v>
      </x:c>
      <x:c r="G2081" t="n">
        <x:v>20</x:v>
      </x:c>
      <x:c r="H2081" t="n">
        <x:f>ROUND(F2081*G2081/100,2)</x:f>
        <x:v>25</x:v>
      </x:c>
      <x:c r="I2081" t="n">
        <x:v>0.9</x:v>
      </x:c>
      <x:c r="J2081" t="n">
        <x:f>ROUND(F2081*I2081/100,2)</x:f>
        <x:v>1.13</x:v>
      </x:c>
      <x:c r="K2081" t="n">
        <x:v>4</x:v>
      </x:c>
      <x:c r="L2081" t="n">
        <x:f>ROUND(F2081*K2081/100,2)</x:f>
        <x:v>5</x:v>
      </x:c>
      <x:c r="M2081" t="n">
        <x:v>0.2</x:v>
      </x:c>
      <x:c r="N2081" t="n">
        <x:f>ROUND(F2081*M2081/100,2)</x:f>
        <x:v>0.25</x:v>
      </x:c>
      <x:c r="O2081" t="str">
        <x:v>生重</x:v>
      </x:c>
    </x:row>
    <x:row r="2082" ht="23" customHeight="1">
      <x:c r="A2082" t="n">
        <x:v>347</x:v>
      </x:c>
      <x:c r="B2082" t="n">
        <x:v>174</x:v>
      </x:c>
      <x:c r="C2082" t="str">
        <x:v>午餐</x:v>
      </x:c>
      <x:c r="D2082" t="str">
        <x:v>主食</x:v>
      </x:c>
      <x:c r="E2082" t="str">
        <x:v>米粉</x:v>
      </x:c>
      <x:c r="F2082" t="n">
        <x:v>125</x:v>
      </x:c>
      <x:c r="G2082" t="n">
        <x:v>110</x:v>
      </x:c>
      <x:c r="H2082" t="n">
        <x:f>ROUND(F2082*G2082/100,2)</x:f>
        <x:v>137.5</x:v>
      </x:c>
      <x:c r="I2082" t="n">
        <x:v>2</x:v>
      </x:c>
      <x:c r="J2082" t="n">
        <x:f>ROUND(F2082*I2082/100,2)</x:f>
        <x:v>2.5</x:v>
      </x:c>
      <x:c r="K2082" t="n">
        <x:v>24</x:v>
      </x:c>
      <x:c r="L2082" t="n">
        <x:f>ROUND(F2082*K2082/100,2)</x:f>
        <x:v>30</x:v>
      </x:c>
      <x:c r="M2082" t="n">
        <x:v>0.4</x:v>
      </x:c>
      <x:c r="N2082" t="n">
        <x:f>ROUND(F2082*M2082/100,2)</x:f>
        <x:v>0.5</x:v>
      </x:c>
      <x:c r="O2082" t="str">
        <x:v>煮熟沥水重</x:v>
      </x:c>
    </x:row>
    <x:row r="2083" ht="23" customHeight="1">
      <x:c r="A2083" t="n">
        <x:v>347</x:v>
      </x:c>
      <x:c r="B2083" t="n">
        <x:v>174</x:v>
      </x:c>
      <x:c r="C2083" t="str">
        <x:v>午餐</x:v>
      </x:c>
      <x:c r="D2083" t="str">
        <x:v>油脂</x:v>
      </x:c>
      <x:c r="E2083" t="str">
        <x:v>烹调油</x:v>
      </x:c>
      <x:c r="F2083" t="n">
        <x:v>4</x:v>
      </x:c>
      <x:c r="G2083" t="n">
        <x:v>900</x:v>
      </x:c>
      <x:c r="H2083" t="n">
        <x:f>ROUND(F2083*G2083/100,2)</x:f>
        <x:v>36</x:v>
      </x:c>
      <x:c r="I2083" t="n">
        <x:v>0</x:v>
      </x:c>
      <x:c r="J2083" t="n">
        <x:f>ROUND(F2083*I2083/100,2)</x:f>
        <x:v>0</x:v>
      </x:c>
      <x:c r="K2083" t="n">
        <x:v>0</x:v>
      </x:c>
      <x:c r="L2083" t="n">
        <x:f>ROUND(F2083*K2083/100,2)</x:f>
        <x:v>0</x:v>
      </x:c>
      <x:c r="M2083" t="n">
        <x:v>100</x:v>
      </x:c>
      <x:c r="N2083" t="n">
        <x:f>ROUND(F2083*M2083/100,2)</x:f>
        <x:v>4</x:v>
      </x:c>
      <x:c r="O2083" t="str">
        <x:v>实际用油重</x:v>
      </x:c>
    </x:row>
    <x:row r="2084" ht="23" customHeight="1">
      <x:c r="A2084" t="n">
        <x:v>348</x:v>
      </x:c>
      <x:c r="B2084" t="n">
        <x:v>174</x:v>
      </x:c>
      <x:c r="C2084" t="str">
        <x:v>晚餐</x:v>
      </x:c>
      <x:c r="D2084" t="str">
        <x:v>豆蛋</x:v>
      </x:c>
      <x:c r="E2084" t="str">
        <x:v>嫩豆腐</x:v>
      </x:c>
      <x:c r="F2084" t="n">
        <x:v>300</x:v>
      </x:c>
      <x:c r="G2084" t="n">
        <x:v>55</x:v>
      </x:c>
      <x:c r="H2084" t="n">
        <x:f>ROUND(F2084*G2084/100,2)</x:f>
        <x:v>165</x:v>
      </x:c>
      <x:c r="I2084" t="n">
        <x:v>5</x:v>
      </x:c>
      <x:c r="J2084" t="n">
        <x:f>ROUND(F2084*I2084/100,2)</x:f>
        <x:v>15</x:v>
      </x:c>
      <x:c r="K2084" t="n">
        <x:v>2</x:v>
      </x:c>
      <x:c r="L2084" t="n">
        <x:f>ROUND(F2084*K2084/100,2)</x:f>
        <x:v>6</x:v>
      </x:c>
      <x:c r="M2084" t="n">
        <x:v>2.8</x:v>
      </x:c>
      <x:c r="N2084" t="n">
        <x:f>ROUND(F2084*M2084/100,2)</x:f>
        <x:v>8.4</x:v>
      </x:c>
      <x:c r="O2084" t="str">
        <x:v>净重</x:v>
      </x:c>
    </x:row>
    <x:row r="2085" ht="23" customHeight="1">
      <x:c r="A2085" t="n">
        <x:v>348</x:v>
      </x:c>
      <x:c r="B2085" t="n">
        <x:v>174</x:v>
      </x:c>
      <x:c r="C2085" t="str">
        <x:v>晚餐</x:v>
      </x:c>
      <x:c r="D2085" t="str">
        <x:v>豆蛋</x:v>
      </x:c>
      <x:c r="E2085" t="str">
        <x:v>鸡蛋</x:v>
      </x:c>
      <x:c r="F2085" t="n">
        <x:v>85</x:v>
      </x:c>
      <x:c r="G2085" t="n">
        <x:v>144</x:v>
      </x:c>
      <x:c r="H2085" t="n">
        <x:f>ROUND(F2085*G2085/100,2)</x:f>
        <x:v>122.4</x:v>
      </x:c>
      <x:c r="I2085" t="n">
        <x:v>13</x:v>
      </x:c>
      <x:c r="J2085" t="n">
        <x:f>ROUND(F2085*I2085/100,2)</x:f>
        <x:v>11.05</x:v>
      </x:c>
      <x:c r="K2085" t="n">
        <x:v>1.1</x:v>
      </x:c>
      <x:c r="L2085" t="n">
        <x:f>ROUND(F2085*K2085/100,2)</x:f>
        <x:v>0.94</x:v>
      </x:c>
      <x:c r="M2085" t="n">
        <x:v>10</x:v>
      </x:c>
      <x:c r="N2085" t="n">
        <x:f>ROUND(F2085*M2085/100,2)</x:f>
        <x:v>8.5</x:v>
      </x:c>
      <x:c r="O2085" t="str">
        <x:v>去壳可食重</x:v>
      </x:c>
    </x:row>
    <x:row r="2086" ht="23" customHeight="1">
      <x:c r="A2086" t="n">
        <x:v>348</x:v>
      </x:c>
      <x:c r="B2086" t="n">
        <x:v>174</x:v>
      </x:c>
      <x:c r="C2086" t="str">
        <x:v>晚餐</x:v>
      </x:c>
      <x:c r="D2086" t="str">
        <x:v>蔬菜</x:v>
      </x:c>
      <x:c r="E2086" t="str">
        <x:v>番茄</x:v>
      </x:c>
      <x:c r="F2086" t="n">
        <x:v>175</x:v>
      </x:c>
      <x:c r="G2086" t="n">
        <x:v>20</x:v>
      </x:c>
      <x:c r="H2086" t="n">
        <x:f>ROUND(F2086*G2086/100,2)</x:f>
        <x:v>35</x:v>
      </x:c>
      <x:c r="I2086" t="n">
        <x:v>0.9</x:v>
      </x:c>
      <x:c r="J2086" t="n">
        <x:f>ROUND(F2086*I2086/100,2)</x:f>
        <x:v>1.58</x:v>
      </x:c>
      <x:c r="K2086" t="n">
        <x:v>4</x:v>
      </x:c>
      <x:c r="L2086" t="n">
        <x:f>ROUND(F2086*K2086/100,2)</x:f>
        <x:v>7</x:v>
      </x:c>
      <x:c r="M2086" t="n">
        <x:v>0.2</x:v>
      </x:c>
      <x:c r="N2086" t="n">
        <x:f>ROUND(F2086*M2086/100,2)</x:f>
        <x:v>0.35</x:v>
      </x:c>
      <x:c r="O2086" t="str">
        <x:v>生重</x:v>
      </x:c>
    </x:row>
    <x:row r="2087" ht="23" customHeight="1">
      <x:c r="A2087" t="n">
        <x:v>348</x:v>
      </x:c>
      <x:c r="B2087" t="n">
        <x:v>174</x:v>
      </x:c>
      <x:c r="C2087" t="str">
        <x:v>晚餐</x:v>
      </x:c>
      <x:c r="D2087" t="str">
        <x:v>蔬菜</x:v>
      </x:c>
      <x:c r="E2087" t="str">
        <x:v>彩椒</x:v>
      </x:c>
      <x:c r="F2087" t="n">
        <x:v>110</x:v>
      </x:c>
      <x:c r="G2087" t="n">
        <x:v>27</x:v>
      </x:c>
      <x:c r="H2087" t="n">
        <x:f>ROUND(F2087*G2087/100,2)</x:f>
        <x:v>29.7</x:v>
      </x:c>
      <x:c r="I2087" t="n">
        <x:v>1</x:v>
      </x:c>
      <x:c r="J2087" t="n">
        <x:f>ROUND(F2087*I2087/100,2)</x:f>
        <x:v>1.1</x:v>
      </x:c>
      <x:c r="K2087" t="n">
        <x:v>6.1</x:v>
      </x:c>
      <x:c r="L2087" t="n">
        <x:f>ROUND(F2087*K2087/100,2)</x:f>
        <x:v>6.71</x:v>
      </x:c>
      <x:c r="M2087" t="n">
        <x:v>0.2</x:v>
      </x:c>
      <x:c r="N2087" t="n">
        <x:f>ROUND(F2087*M2087/100,2)</x:f>
        <x:v>0.22</x:v>
      </x:c>
      <x:c r="O2087" t="str">
        <x:v>生重</x:v>
      </x:c>
    </x:row>
    <x:row r="2088" ht="23" customHeight="1">
      <x:c r="A2088" t="n">
        <x:v>348</x:v>
      </x:c>
      <x:c r="B2088" t="n">
        <x:v>174</x:v>
      </x:c>
      <x:c r="C2088" t="str">
        <x:v>晚餐</x:v>
      </x:c>
      <x:c r="D2088" t="str">
        <x:v>主食</x:v>
      </x:c>
      <x:c r="E2088" t="str">
        <x:v>白米饭</x:v>
      </x:c>
      <x:c r="F2088" t="n">
        <x:v>125</x:v>
      </x:c>
      <x:c r="G2088" t="n">
        <x:v>116</x:v>
      </x:c>
      <x:c r="H2088" t="n">
        <x:f>ROUND(F2088*G2088/100,2)</x:f>
        <x:v>145</x:v>
      </x:c>
      <x:c r="I2088" t="n">
        <x:v>2.6</x:v>
      </x:c>
      <x:c r="J2088" t="n">
        <x:f>ROUND(F2088*I2088/100,2)</x:f>
        <x:v>3.25</x:v>
      </x:c>
      <x:c r="K2088" t="n">
        <x:v>25.6</x:v>
      </x:c>
      <x:c r="L2088" t="n">
        <x:f>ROUND(F2088*K2088/100,2)</x:f>
        <x:v>32</x:v>
      </x:c>
      <x:c r="M2088" t="n">
        <x:v>0.3</x:v>
      </x:c>
      <x:c r="N2088" t="n">
        <x:f>ROUND(F2088*M2088/100,2)</x:f>
        <x:v>0.38</x:v>
      </x:c>
      <x:c r="O2088" t="str">
        <x:v>熟重</x:v>
      </x:c>
    </x:row>
    <x:row r="2089" ht="23" customHeight="1">
      <x:c r="A2089" t="n">
        <x:v>348</x:v>
      </x:c>
      <x:c r="B2089" t="n">
        <x:v>174</x:v>
      </x:c>
      <x:c r="C2089" t="str">
        <x:v>晚餐</x:v>
      </x:c>
      <x:c r="D2089" t="str">
        <x:v>油脂</x:v>
      </x:c>
      <x:c r="E2089" t="str">
        <x:v>烹调油</x:v>
      </x:c>
      <x:c r="F2089" t="n">
        <x:v>4</x:v>
      </x:c>
      <x:c r="G2089" t="n">
        <x:v>900</x:v>
      </x:c>
      <x:c r="H2089" t="n">
        <x:f>ROUND(F2089*G2089/100,2)</x:f>
        <x:v>36</x:v>
      </x:c>
      <x:c r="I2089" t="n">
        <x:v>0</x:v>
      </x:c>
      <x:c r="J2089" t="n">
        <x:f>ROUND(F2089*I2089/100,2)</x:f>
        <x:v>0</x:v>
      </x:c>
      <x:c r="K2089" t="n">
        <x:v>0</x:v>
      </x:c>
      <x:c r="L2089" t="n">
        <x:f>ROUND(F2089*K2089/100,2)</x:f>
        <x:v>0</x:v>
      </x:c>
      <x:c r="M2089" t="n">
        <x:v>100</x:v>
      </x:c>
      <x:c r="N2089" t="n">
        <x:f>ROUND(F2089*M2089/100,2)</x:f>
        <x:v>4</x:v>
      </x:c>
      <x:c r="O2089" t="str">
        <x:v>实际用油重</x:v>
      </x:c>
    </x:row>
    <x:row r="2090" ht="23" customHeight="1">
      <x:c r="A2090" t="n">
        <x:v>349</x:v>
      </x:c>
      <x:c r="B2090" t="n">
        <x:v>175</x:v>
      </x:c>
      <x:c r="C2090" t="str">
        <x:v>午餐</x:v>
      </x:c>
      <x:c r="D2090" t="str">
        <x:v>牛肉</x:v>
      </x:c>
      <x:c r="E2090" t="str">
        <x:v>肥牛卷</x:v>
      </x:c>
      <x:c r="F2090" t="n">
        <x:v>95</x:v>
      </x:c>
      <x:c r="G2090" t="n">
        <x:v>250</x:v>
      </x:c>
      <x:c r="H2090" t="n">
        <x:f>ROUND(F2090*G2090/100,2)</x:f>
        <x:v>237.5</x:v>
      </x:c>
      <x:c r="I2090" t="n">
        <x:v>16</x:v>
      </x:c>
      <x:c r="J2090" t="n">
        <x:f>ROUND(F2090*I2090/100,2)</x:f>
        <x:v>15.2</x:v>
      </x:c>
      <x:c r="K2090" t="n">
        <x:v>1</x:v>
      </x:c>
      <x:c r="L2090" t="n">
        <x:f>ROUND(F2090*K2090/100,2)</x:f>
        <x:v>0.95</x:v>
      </x:c>
      <x:c r="M2090" t="n">
        <x:v>20</x:v>
      </x:c>
      <x:c r="N2090" t="n">
        <x:f>ROUND(F2090*M2090/100,2)</x:f>
        <x:v>19</x:v>
      </x:c>
      <x:c r="O2090" t="str">
        <x:v>生重；以包装为准</x:v>
      </x:c>
    </x:row>
    <x:row r="2091" ht="23" customHeight="1">
      <x:c r="A2091" t="n">
        <x:v>349</x:v>
      </x:c>
      <x:c r="B2091" t="n">
        <x:v>175</x:v>
      </x:c>
      <x:c r="C2091" t="str">
        <x:v>午餐</x:v>
      </x:c>
      <x:c r="D2091" t="str">
        <x:v>豆蛋</x:v>
      </x:c>
      <x:c r="E2091" t="str">
        <x:v>北豆腐</x:v>
      </x:c>
      <x:c r="F2091" t="n">
        <x:v>130</x:v>
      </x:c>
      <x:c r="G2091" t="n">
        <x:v>90</x:v>
      </x:c>
      <x:c r="H2091" t="n">
        <x:f>ROUND(F2091*G2091/100,2)</x:f>
        <x:v>117</x:v>
      </x:c>
      <x:c r="I2091" t="n">
        <x:v>10</x:v>
      </x:c>
      <x:c r="J2091" t="n">
        <x:f>ROUND(F2091*I2091/100,2)</x:f>
        <x:v>13</x:v>
      </x:c>
      <x:c r="K2091" t="n">
        <x:v>2</x:v>
      </x:c>
      <x:c r="L2091" t="n">
        <x:f>ROUND(F2091*K2091/100,2)</x:f>
        <x:v>2.6</x:v>
      </x:c>
      <x:c r="M2091" t="n">
        <x:v>5</x:v>
      </x:c>
      <x:c r="N2091" t="n">
        <x:f>ROUND(F2091*M2091/100,2)</x:f>
        <x:v>6.5</x:v>
      </x:c>
      <x:c r="O2091" t="str">
        <x:v>净重</x:v>
      </x:c>
    </x:row>
    <x:row r="2092" ht="23" customHeight="1">
      <x:c r="A2092" t="n">
        <x:v>349</x:v>
      </x:c>
      <x:c r="B2092" t="n">
        <x:v>175</x:v>
      </x:c>
      <x:c r="C2092" t="str">
        <x:v>午餐</x:v>
      </x:c>
      <x:c r="D2092" t="str">
        <x:v>蔬菜</x:v>
      </x:c>
      <x:c r="E2092" t="str">
        <x:v>苦瓜</x:v>
      </x:c>
      <x:c r="F2092" t="n">
        <x:v>140</x:v>
      </x:c>
      <x:c r="G2092" t="n">
        <x:v>19</x:v>
      </x:c>
      <x:c r="H2092" t="n">
        <x:f>ROUND(F2092*G2092/100,2)</x:f>
        <x:v>26.6</x:v>
      </x:c>
      <x:c r="I2092" t="n">
        <x:v>1</x:v>
      </x:c>
      <x:c r="J2092" t="n">
        <x:f>ROUND(F2092*I2092/100,2)</x:f>
        <x:v>1.4</x:v>
      </x:c>
      <x:c r="K2092" t="n">
        <x:v>4.1</x:v>
      </x:c>
      <x:c r="L2092" t="n">
        <x:f>ROUND(F2092*K2092/100,2)</x:f>
        <x:v>5.74</x:v>
      </x:c>
      <x:c r="M2092" t="n">
        <x:v>0.2</x:v>
      </x:c>
      <x:c r="N2092" t="n">
        <x:f>ROUND(F2092*M2092/100,2)</x:f>
        <x:v>0.28</x:v>
      </x:c>
      <x:c r="O2092" t="str">
        <x:v>生重</x:v>
      </x:c>
    </x:row>
    <x:row r="2093" ht="23" customHeight="1">
      <x:c r="A2093" t="n">
        <x:v>349</x:v>
      </x:c>
      <x:c r="B2093" t="n">
        <x:v>175</x:v>
      </x:c>
      <x:c r="C2093" t="str">
        <x:v>午餐</x:v>
      </x:c>
      <x:c r="D2093" t="str">
        <x:v>菌菇</x:v>
      </x:c>
      <x:c r="E2093" t="str">
        <x:v>香菇</x:v>
      </x:c>
      <x:c r="F2093" t="n">
        <x:v>110</x:v>
      </x:c>
      <x:c r="G2093" t="n">
        <x:v>34</x:v>
      </x:c>
      <x:c r="H2093" t="n">
        <x:f>ROUND(F2093*G2093/100,2)</x:f>
        <x:v>37.4</x:v>
      </x:c>
      <x:c r="I2093" t="n">
        <x:v>2.2</x:v>
      </x:c>
      <x:c r="J2093" t="n">
        <x:f>ROUND(F2093*I2093/100,2)</x:f>
        <x:v>2.42</x:v>
      </x:c>
      <x:c r="K2093" t="n">
        <x:v>6.8</x:v>
      </x:c>
      <x:c r="L2093" t="n">
        <x:f>ROUND(F2093*K2093/100,2)</x:f>
        <x:v>7.48</x:v>
      </x:c>
      <x:c r="M2093" t="n">
        <x:v>0.5</x:v>
      </x:c>
      <x:c r="N2093" t="n">
        <x:f>ROUND(F2093*M2093/100,2)</x:f>
        <x:v>0.55</x:v>
      </x:c>
      <x:c r="O2093" t="str">
        <x:v>生重</x:v>
      </x:c>
    </x:row>
    <x:row r="2094" ht="23" customHeight="1">
      <x:c r="A2094" t="n">
        <x:v>349</x:v>
      </x:c>
      <x:c r="B2094" t="n">
        <x:v>175</x:v>
      </x:c>
      <x:c r="C2094" t="str">
        <x:v>午餐</x:v>
      </x:c>
      <x:c r="D2094" t="str">
        <x:v>主食</x:v>
      </x:c>
      <x:c r="E2094" t="str">
        <x:v>荞麦饭</x:v>
      </x:c>
      <x:c r="F2094" t="n">
        <x:v>165</x:v>
      </x:c>
      <x:c r="G2094" t="n">
        <x:v>110</x:v>
      </x:c>
      <x:c r="H2094" t="n">
        <x:f>ROUND(F2094*G2094/100,2)</x:f>
        <x:v>181.5</x:v>
      </x:c>
      <x:c r="I2094" t="n">
        <x:v>3.4</x:v>
      </x:c>
      <x:c r="J2094" t="n">
        <x:f>ROUND(F2094*I2094/100,2)</x:f>
        <x:v>5.61</x:v>
      </x:c>
      <x:c r="K2094" t="n">
        <x:v>22</x:v>
      </x:c>
      <x:c r="L2094" t="n">
        <x:f>ROUND(F2094*K2094/100,2)</x:f>
        <x:v>36.3</x:v>
      </x:c>
      <x:c r="M2094" t="n">
        <x:v>1.1</x:v>
      </x:c>
      <x:c r="N2094" t="n">
        <x:f>ROUND(F2094*M2094/100,2)</x:f>
        <x:v>1.82</x:v>
      </x:c>
      <x:c r="O2094" t="str">
        <x:v>熟重</x:v>
      </x:c>
    </x:row>
    <x:row r="2095" ht="23" customHeight="1">
      <x:c r="A2095" t="n">
        <x:v>349</x:v>
      </x:c>
      <x:c r="B2095" t="n">
        <x:v>175</x:v>
      </x:c>
      <x:c r="C2095" t="str">
        <x:v>午餐</x:v>
      </x:c>
      <x:c r="D2095" t="str">
        <x:v>油脂</x:v>
      </x:c>
      <x:c r="E2095" t="str">
        <x:v>烹调油</x:v>
      </x:c>
      <x:c r="F2095" t="n">
        <x:v>5</x:v>
      </x:c>
      <x:c r="G2095" t="n">
        <x:v>900</x:v>
      </x:c>
      <x:c r="H2095" t="n">
        <x:f>ROUND(F2095*G2095/100,2)</x:f>
        <x:v>45</x:v>
      </x:c>
      <x:c r="I2095" t="n">
        <x:v>0</x:v>
      </x:c>
      <x:c r="J2095" t="n">
        <x:f>ROUND(F2095*I2095/100,2)</x:f>
        <x:v>0</x:v>
      </x:c>
      <x:c r="K2095" t="n">
        <x:v>0</x:v>
      </x:c>
      <x:c r="L2095" t="n">
        <x:f>ROUND(F2095*K2095/100,2)</x:f>
        <x:v>0</x:v>
      </x:c>
      <x:c r="M2095" t="n">
        <x:v>100</x:v>
      </x:c>
      <x:c r="N2095" t="n">
        <x:f>ROUND(F2095*M2095/100,2)</x:f>
        <x:v>5</x:v>
      </x:c>
      <x:c r="O2095" t="str">
        <x:v>实际用油重</x:v>
      </x:c>
    </x:row>
    <x:row r="2096" ht="23" customHeight="1">
      <x:c r="A2096" t="n">
        <x:v>350</x:v>
      </x:c>
      <x:c r="B2096" t="n">
        <x:v>175</x:v>
      </x:c>
      <x:c r="C2096" t="str">
        <x:v>晚餐</x:v>
      </x:c>
      <x:c r="D2096" t="str">
        <x:v>禽肉</x:v>
      </x:c>
      <x:c r="E2096" t="str">
        <x:v>鸡胸肉</x:v>
      </x:c>
      <x:c r="F2096" t="n">
        <x:v>170</x:v>
      </x:c>
      <x:c r="G2096" t="n">
        <x:v>110</x:v>
      </x:c>
      <x:c r="H2096" t="n">
        <x:f>ROUND(F2096*G2096/100,2)</x:f>
        <x:v>187</x:v>
      </x:c>
      <x:c r="I2096" t="n">
        <x:v>23</x:v>
      </x:c>
      <x:c r="J2096" t="n">
        <x:f>ROUND(F2096*I2096/100,2)</x:f>
        <x:v>39.1</x:v>
      </x:c>
      <x:c r="K2096" t="n">
        <x:v>0</x:v>
      </x:c>
      <x:c r="L2096" t="n">
        <x:f>ROUND(F2096*K2096/100,2)</x:f>
        <x:v>0</x:v>
      </x:c>
      <x:c r="M2096" t="n">
        <x:v>2</x:v>
      </x:c>
      <x:c r="N2096" t="n">
        <x:f>ROUND(F2096*M2096/100,2)</x:f>
        <x:v>3.4</x:v>
      </x:c>
      <x:c r="O2096" t="str">
        <x:v>生重</x:v>
      </x:c>
    </x:row>
    <x:row r="2097" ht="23" customHeight="1">
      <x:c r="A2097" t="n">
        <x:v>350</x:v>
      </x:c>
      <x:c r="B2097" t="n">
        <x:v>175</x:v>
      </x:c>
      <x:c r="C2097" t="str">
        <x:v>晚餐</x:v>
      </x:c>
      <x:c r="D2097" t="str">
        <x:v>豆蛋</x:v>
      </x:c>
      <x:c r="E2097" t="str">
        <x:v>嫩豆腐</x:v>
      </x:c>
      <x:c r="F2097" t="n">
        <x:v>160</x:v>
      </x:c>
      <x:c r="G2097" t="n">
        <x:v>55</x:v>
      </x:c>
      <x:c r="H2097" t="n">
        <x:f>ROUND(F2097*G2097/100,2)</x:f>
        <x:v>88</x:v>
      </x:c>
      <x:c r="I2097" t="n">
        <x:v>5</x:v>
      </x:c>
      <x:c r="J2097" t="n">
        <x:f>ROUND(F2097*I2097/100,2)</x:f>
        <x:v>8</x:v>
      </x:c>
      <x:c r="K2097" t="n">
        <x:v>2</x:v>
      </x:c>
      <x:c r="L2097" t="n">
        <x:f>ROUND(F2097*K2097/100,2)</x:f>
        <x:v>3.2</x:v>
      </x:c>
      <x:c r="M2097" t="n">
        <x:v>2.8</x:v>
      </x:c>
      <x:c r="N2097" t="n">
        <x:f>ROUND(F2097*M2097/100,2)</x:f>
        <x:v>4.48</x:v>
      </x:c>
      <x:c r="O2097" t="str">
        <x:v>净重</x:v>
      </x:c>
    </x:row>
    <x:row r="2098" ht="23" customHeight="1">
      <x:c r="A2098" t="n">
        <x:v>350</x:v>
      </x:c>
      <x:c r="B2098" t="n">
        <x:v>175</x:v>
      </x:c>
      <x:c r="C2098" t="str">
        <x:v>晚餐</x:v>
      </x:c>
      <x:c r="D2098" t="str">
        <x:v>蔬菜</x:v>
      </x:c>
      <x:c r="E2098" t="str">
        <x:v>菜心</x:v>
      </x:c>
      <x:c r="F2098" t="n">
        <x:v>160</x:v>
      </x:c>
      <x:c r="G2098" t="n">
        <x:v>20</x:v>
      </x:c>
      <x:c r="H2098" t="n">
        <x:f>ROUND(F2098*G2098/100,2)</x:f>
        <x:v>32</x:v>
      </x:c>
      <x:c r="I2098" t="n">
        <x:v>2</x:v>
      </x:c>
      <x:c r="J2098" t="n">
        <x:f>ROUND(F2098*I2098/100,2)</x:f>
        <x:v>3.2</x:v>
      </x:c>
      <x:c r="K2098" t="n">
        <x:v>3.5</x:v>
      </x:c>
      <x:c r="L2098" t="n">
        <x:f>ROUND(F2098*K2098/100,2)</x:f>
        <x:v>5.6</x:v>
      </x:c>
      <x:c r="M2098" t="n">
        <x:v>0.3</x:v>
      </x:c>
      <x:c r="N2098" t="n">
        <x:f>ROUND(F2098*M2098/100,2)</x:f>
        <x:v>0.48</x:v>
      </x:c>
      <x:c r="O2098" t="str">
        <x:v>生重</x:v>
      </x:c>
    </x:row>
    <x:row r="2099" ht="23" customHeight="1">
      <x:c r="A2099" t="n">
        <x:v>350</x:v>
      </x:c>
      <x:c r="B2099" t="n">
        <x:v>175</x:v>
      </x:c>
      <x:c r="C2099" t="str">
        <x:v>晚餐</x:v>
      </x:c>
      <x:c r="D2099" t="str">
        <x:v>菌菇</x:v>
      </x:c>
      <x:c r="E2099" t="str">
        <x:v>口蘑</x:v>
      </x:c>
      <x:c r="F2099" t="n">
        <x:v>155</x:v>
      </x:c>
      <x:c r="G2099" t="n">
        <x:v>22</x:v>
      </x:c>
      <x:c r="H2099" t="n">
        <x:f>ROUND(F2099*G2099/100,2)</x:f>
        <x:v>34.1</x:v>
      </x:c>
      <x:c r="I2099" t="n">
        <x:v>3.1</x:v>
      </x:c>
      <x:c r="J2099" t="n">
        <x:f>ROUND(F2099*I2099/100,2)</x:f>
        <x:v>4.81</x:v>
      </x:c>
      <x:c r="K2099" t="n">
        <x:v>3.3</x:v>
      </x:c>
      <x:c r="L2099" t="n">
        <x:f>ROUND(F2099*K2099/100,2)</x:f>
        <x:v>5.12</x:v>
      </x:c>
      <x:c r="M2099" t="n">
        <x:v>0.3</x:v>
      </x:c>
      <x:c r="N2099" t="n">
        <x:f>ROUND(F2099*M2099/100,2)</x:f>
        <x:v>0.47</x:v>
      </x:c>
      <x:c r="O2099" t="str">
        <x:v>生重</x:v>
      </x:c>
    </x:row>
    <x:row r="2100" ht="23" customHeight="1">
      <x:c r="A2100" t="n">
        <x:v>350</x:v>
      </x:c>
      <x:c r="B2100" t="n">
        <x:v>175</x:v>
      </x:c>
      <x:c r="C2100" t="str">
        <x:v>晚餐</x:v>
      </x:c>
      <x:c r="D2100" t="str">
        <x:v>主食</x:v>
      </x:c>
      <x:c r="E2100" t="str">
        <x:v>杂粮饭</x:v>
      </x:c>
      <x:c r="F2100" t="n">
        <x:v>110</x:v>
      </x:c>
      <x:c r="G2100" t="n">
        <x:v>115</x:v>
      </x:c>
      <x:c r="H2100" t="n">
        <x:f>ROUND(F2100*G2100/100,2)</x:f>
        <x:v>126.5</x:v>
      </x:c>
      <x:c r="I2100" t="n">
        <x:v>3.1</x:v>
      </x:c>
      <x:c r="J2100" t="n">
        <x:f>ROUND(F2100*I2100/100,2)</x:f>
        <x:v>3.41</x:v>
      </x:c>
      <x:c r="K2100" t="n">
        <x:v>23.5</x:v>
      </x:c>
      <x:c r="L2100" t="n">
        <x:f>ROUND(F2100*K2100/100,2)</x:f>
        <x:v>25.85</x:v>
      </x:c>
      <x:c r="M2100" t="n">
        <x:v>1.1</x:v>
      </x:c>
      <x:c r="N2100" t="n">
        <x:f>ROUND(F2100*M2100/100,2)</x:f>
        <x:v>1.21</x:v>
      </x:c>
      <x:c r="O2100" t="str">
        <x:v>熟重</x:v>
      </x:c>
    </x:row>
    <x:row r="2101" ht="23" customHeight="1">
      <x:c r="A2101" t="n">
        <x:v>350</x:v>
      </x:c>
      <x:c r="B2101" t="n">
        <x:v>175</x:v>
      </x:c>
      <x:c r="C2101" t="str">
        <x:v>晚餐</x:v>
      </x:c>
      <x:c r="D2101" t="str">
        <x:v>油脂</x:v>
      </x:c>
      <x:c r="E2101" t="str">
        <x:v>烹调油</x:v>
      </x:c>
      <x:c r="F2101" t="n">
        <x:v>5</x:v>
      </x:c>
      <x:c r="G2101" t="n">
        <x:v>900</x:v>
      </x:c>
      <x:c r="H2101" t="n">
        <x:f>ROUND(F2101*G2101/100,2)</x:f>
        <x:v>45</x:v>
      </x:c>
      <x:c r="I2101" t="n">
        <x:v>0</x:v>
      </x:c>
      <x:c r="J2101" t="n">
        <x:f>ROUND(F2101*I2101/100,2)</x:f>
        <x:v>0</x:v>
      </x:c>
      <x:c r="K2101" t="n">
        <x:v>0</x:v>
      </x:c>
      <x:c r="L2101" t="n">
        <x:f>ROUND(F2101*K2101/100,2)</x:f>
        <x:v>0</x:v>
      </x:c>
      <x:c r="M2101" t="n">
        <x:v>100</x:v>
      </x:c>
      <x:c r="N2101" t="n">
        <x:f>ROUND(F2101*M2101/100,2)</x:f>
        <x:v>5</x:v>
      </x:c>
      <x:c r="O2101" t="str">
        <x:v>实际用油重</x:v>
      </x:c>
    </x:row>
    <x:row r="2102" ht="23" customHeight="1">
      <x:c r="A2102" t="n">
        <x:v>351</x:v>
      </x:c>
      <x:c r="B2102" t="n">
        <x:v>176</x:v>
      </x:c>
      <x:c r="C2102" t="str">
        <x:v>午餐</x:v>
      </x:c>
      <x:c r="D2102" t="str">
        <x:v>海鲜</x:v>
      </x:c>
      <x:c r="E2102" t="str">
        <x:v>鱿鱼</x:v>
      </x:c>
      <x:c r="F2102" t="n">
        <x:v>175</x:v>
      </x:c>
      <x:c r="G2102" t="n">
        <x:v>95</x:v>
      </x:c>
      <x:c r="H2102" t="n">
        <x:f>ROUND(F2102*G2102/100,2)</x:f>
        <x:v>166.25</x:v>
      </x:c>
      <x:c r="I2102" t="n">
        <x:v>17</x:v>
      </x:c>
      <x:c r="J2102" t="n">
        <x:f>ROUND(F2102*I2102/100,2)</x:f>
        <x:v>29.75</x:v>
      </x:c>
      <x:c r="K2102" t="n">
        <x:v>2</x:v>
      </x:c>
      <x:c r="L2102" t="n">
        <x:f>ROUND(F2102*K2102/100,2)</x:f>
        <x:v>3.5</x:v>
      </x:c>
      <x:c r="M2102" t="n">
        <x:v>1.4</x:v>
      </x:c>
      <x:c r="N2102" t="n">
        <x:f>ROUND(F2102*M2102/100,2)</x:f>
        <x:v>2.45</x:v>
      </x:c>
      <x:c r="O2102" t="str">
        <x:v>生重</x:v>
      </x:c>
    </x:row>
    <x:row r="2103" ht="23" customHeight="1">
      <x:c r="A2103" t="n">
        <x:v>351</x:v>
      </x:c>
      <x:c r="B2103" t="n">
        <x:v>176</x:v>
      </x:c>
      <x:c r="C2103" t="str">
        <x:v>午餐</x:v>
      </x:c>
      <x:c r="D2103" t="str"/>
      <x:c r="E2103" t="str"/>
      <x:c r="F2103" t="n">
        <x:v>0</x:v>
      </x:c>
      <x:c r="G2103" t="n">
        <x:v>0</x:v>
      </x:c>
      <x:c r="H2103" t="n">
        <x:f>ROUND(F2103*G2103/100,2)</x:f>
        <x:v>0</x:v>
      </x:c>
      <x:c r="I2103" t="n">
        <x:v>0</x:v>
      </x:c>
      <x:c r="J2103" t="n">
        <x:f>ROUND(F2103*I2103/100,2)</x:f>
        <x:v>0</x:v>
      </x:c>
      <x:c r="K2103" t="n">
        <x:v>0</x:v>
      </x:c>
      <x:c r="L2103" t="n">
        <x:f>ROUND(F2103*K2103/100,2)</x:f>
        <x:v>0</x:v>
      </x:c>
      <x:c r="M2103" t="n">
        <x:v>0</x:v>
      </x:c>
      <x:c r="N2103" t="n">
        <x:f>ROUND(F2103*M2103/100,2)</x:f>
        <x:v>0</x:v>
      </x:c>
      <x:c r="O2103" t="str"/>
    </x:row>
    <x:row r="2104" ht="23" customHeight="1">
      <x:c r="A2104" t="n">
        <x:v>351</x:v>
      </x:c>
      <x:c r="B2104" t="n">
        <x:v>176</x:v>
      </x:c>
      <x:c r="C2104" t="str">
        <x:v>午餐</x:v>
      </x:c>
      <x:c r="D2104" t="str">
        <x:v>蔬菜</x:v>
      </x:c>
      <x:c r="E2104" t="str">
        <x:v>西兰花</x:v>
      </x:c>
      <x:c r="F2104" t="n">
        <x:v>160</x:v>
      </x:c>
      <x:c r="G2104" t="n">
        <x:v>34</x:v>
      </x:c>
      <x:c r="H2104" t="n">
        <x:f>ROUND(F2104*G2104/100,2)</x:f>
        <x:v>54.4</x:v>
      </x:c>
      <x:c r="I2104" t="n">
        <x:v>2.8</x:v>
      </x:c>
      <x:c r="J2104" t="n">
        <x:f>ROUND(F2104*I2104/100,2)</x:f>
        <x:v>4.48</x:v>
      </x:c>
      <x:c r="K2104" t="n">
        <x:v>7</x:v>
      </x:c>
      <x:c r="L2104" t="n">
        <x:f>ROUND(F2104*K2104/100,2)</x:f>
        <x:v>11.2</x:v>
      </x:c>
      <x:c r="M2104" t="n">
        <x:v>0.4</x:v>
      </x:c>
      <x:c r="N2104" t="n">
        <x:f>ROUND(F2104*M2104/100,2)</x:f>
        <x:v>0.64</x:v>
      </x:c>
      <x:c r="O2104" t="str">
        <x:v>生重</x:v>
      </x:c>
    </x:row>
    <x:row r="2105" ht="23" customHeight="1">
      <x:c r="A2105" t="n">
        <x:v>351</x:v>
      </x:c>
      <x:c r="B2105" t="n">
        <x:v>176</x:v>
      </x:c>
      <x:c r="C2105" t="str">
        <x:v>午餐</x:v>
      </x:c>
      <x:c r="D2105" t="str">
        <x:v>蔬菜</x:v>
      </x:c>
      <x:c r="E2105" t="str">
        <x:v>绿豆芽</x:v>
      </x:c>
      <x:c r="F2105" t="n">
        <x:v>155</x:v>
      </x:c>
      <x:c r="G2105" t="n">
        <x:v>31</x:v>
      </x:c>
      <x:c r="H2105" t="n">
        <x:f>ROUND(F2105*G2105/100,2)</x:f>
        <x:v>48.05</x:v>
      </x:c>
      <x:c r="I2105" t="n">
        <x:v>3</x:v>
      </x:c>
      <x:c r="J2105" t="n">
        <x:f>ROUND(F2105*I2105/100,2)</x:f>
        <x:v>4.65</x:v>
      </x:c>
      <x:c r="K2105" t="n">
        <x:v>6</x:v>
      </x:c>
      <x:c r="L2105" t="n">
        <x:f>ROUND(F2105*K2105/100,2)</x:f>
        <x:v>9.3</x:v>
      </x:c>
      <x:c r="M2105" t="n">
        <x:v>0.2</x:v>
      </x:c>
      <x:c r="N2105" t="n">
        <x:f>ROUND(F2105*M2105/100,2)</x:f>
        <x:v>0.31</x:v>
      </x:c>
      <x:c r="O2105" t="str">
        <x:v>生重</x:v>
      </x:c>
    </x:row>
    <x:row r="2106" ht="23" customHeight="1">
      <x:c r="A2106" t="n">
        <x:v>351</x:v>
      </x:c>
      <x:c r="B2106" t="n">
        <x:v>176</x:v>
      </x:c>
      <x:c r="C2106" t="str">
        <x:v>午餐</x:v>
      </x:c>
      <x:c r="D2106" t="str">
        <x:v>主食</x:v>
      </x:c>
      <x:c r="E2106" t="str">
        <x:v>乌冬面</x:v>
      </x:c>
      <x:c r="F2106" t="n">
        <x:v>150</x:v>
      </x:c>
      <x:c r="G2106" t="n">
        <x:v>120</x:v>
      </x:c>
      <x:c r="H2106" t="n">
        <x:f>ROUND(F2106*G2106/100,2)</x:f>
        <x:v>180</x:v>
      </x:c>
      <x:c r="I2106" t="n">
        <x:v>2.5</x:v>
      </x:c>
      <x:c r="J2106" t="n">
        <x:f>ROUND(F2106*I2106/100,2)</x:f>
        <x:v>3.75</x:v>
      </x:c>
      <x:c r="K2106" t="n">
        <x:v>25</x:v>
      </x:c>
      <x:c r="L2106" t="n">
        <x:f>ROUND(F2106*K2106/100,2)</x:f>
        <x:v>37.5</x:v>
      </x:c>
      <x:c r="M2106" t="n">
        <x:v>0.6</x:v>
      </x:c>
      <x:c r="N2106" t="n">
        <x:f>ROUND(F2106*M2106/100,2)</x:f>
        <x:v>0.9</x:v>
      </x:c>
      <x:c r="O2106" t="str">
        <x:v>煮熟沥水重</x:v>
      </x:c>
    </x:row>
    <x:row r="2107" ht="23" customHeight="1">
      <x:c r="A2107" t="n">
        <x:v>351</x:v>
      </x:c>
      <x:c r="B2107" t="n">
        <x:v>176</x:v>
      </x:c>
      <x:c r="C2107" t="str">
        <x:v>午餐</x:v>
      </x:c>
      <x:c r="D2107" t="str">
        <x:v>油脂</x:v>
      </x:c>
      <x:c r="E2107" t="str">
        <x:v>烹调油</x:v>
      </x:c>
      <x:c r="F2107" t="n">
        <x:v>5</x:v>
      </x:c>
      <x:c r="G2107" t="n">
        <x:v>900</x:v>
      </x:c>
      <x:c r="H2107" t="n">
        <x:f>ROUND(F2107*G2107/100,2)</x:f>
        <x:v>45</x:v>
      </x:c>
      <x:c r="I2107" t="n">
        <x:v>0</x:v>
      </x:c>
      <x:c r="J2107" t="n">
        <x:f>ROUND(F2107*I2107/100,2)</x:f>
        <x:v>0</x:v>
      </x:c>
      <x:c r="K2107" t="n">
        <x:v>0</x:v>
      </x:c>
      <x:c r="L2107" t="n">
        <x:f>ROUND(F2107*K2107/100,2)</x:f>
        <x:v>0</x:v>
      </x:c>
      <x:c r="M2107" t="n">
        <x:v>100</x:v>
      </x:c>
      <x:c r="N2107" t="n">
        <x:f>ROUND(F2107*M2107/100,2)</x:f>
        <x:v>5</x:v>
      </x:c>
      <x:c r="O2107" t="str">
        <x:v>实际用油重</x:v>
      </x:c>
    </x:row>
    <x:row r="2108" ht="23" customHeight="1">
      <x:c r="A2108" t="n">
        <x:v>352</x:v>
      </x:c>
      <x:c r="B2108" t="n">
        <x:v>176</x:v>
      </x:c>
      <x:c r="C2108" t="str">
        <x:v>晚餐</x:v>
      </x:c>
      <x:c r="D2108" t="str">
        <x:v>猪肉</x:v>
      </x:c>
      <x:c r="E2108" t="str">
        <x:v>猪瘦肉</x:v>
      </x:c>
      <x:c r="F2108" t="n">
        <x:v>160</x:v>
      </x:c>
      <x:c r="G2108" t="n">
        <x:v>130</x:v>
      </x:c>
      <x:c r="H2108" t="n">
        <x:f>ROUND(F2108*G2108/100,2)</x:f>
        <x:v>208</x:v>
      </x:c>
      <x:c r="I2108" t="n">
        <x:v>20</x:v>
      </x:c>
      <x:c r="J2108" t="n">
        <x:f>ROUND(F2108*I2108/100,2)</x:f>
        <x:v>32</x:v>
      </x:c>
      <x:c r="K2108" t="n">
        <x:v>0</x:v>
      </x:c>
      <x:c r="L2108" t="n">
        <x:f>ROUND(F2108*K2108/100,2)</x:f>
        <x:v>0</x:v>
      </x:c>
      <x:c r="M2108" t="n">
        <x:v>5.5</x:v>
      </x:c>
      <x:c r="N2108" t="n">
        <x:f>ROUND(F2108*M2108/100,2)</x:f>
        <x:v>8.8</x:v>
      </x:c>
      <x:c r="O2108" t="str">
        <x:v>生重</x:v>
      </x:c>
    </x:row>
    <x:row r="2109" ht="23" customHeight="1">
      <x:c r="A2109" t="n">
        <x:v>352</x:v>
      </x:c>
      <x:c r="B2109" t="n">
        <x:v>176</x:v>
      </x:c>
      <x:c r="C2109" t="str">
        <x:v>晚餐</x:v>
      </x:c>
      <x:c r="D2109" t="str"/>
      <x:c r="E2109" t="str"/>
      <x:c r="F2109" t="n">
        <x:v>0</x:v>
      </x:c>
      <x:c r="G2109" t="n">
        <x:v>0</x:v>
      </x:c>
      <x:c r="H2109" t="n">
        <x:f>ROUND(F2109*G2109/100,2)</x:f>
        <x:v>0</x:v>
      </x:c>
      <x:c r="I2109" t="n">
        <x:v>0</x:v>
      </x:c>
      <x:c r="J2109" t="n">
        <x:f>ROUND(F2109*I2109/100,2)</x:f>
        <x:v>0</x:v>
      </x:c>
      <x:c r="K2109" t="n">
        <x:v>0</x:v>
      </x:c>
      <x:c r="L2109" t="n">
        <x:f>ROUND(F2109*K2109/100,2)</x:f>
        <x:v>0</x:v>
      </x:c>
      <x:c r="M2109" t="n">
        <x:v>0</x:v>
      </x:c>
      <x:c r="N2109" t="n">
        <x:f>ROUND(F2109*M2109/100,2)</x:f>
        <x:v>0</x:v>
      </x:c>
      <x:c r="O2109" t="str"/>
    </x:row>
    <x:row r="2110" ht="23" customHeight="1">
      <x:c r="A2110" t="n">
        <x:v>352</x:v>
      </x:c>
      <x:c r="B2110" t="n">
        <x:v>176</x:v>
      </x:c>
      <x:c r="C2110" t="str">
        <x:v>晚餐</x:v>
      </x:c>
      <x:c r="D2110" t="str">
        <x:v>蔬菜</x:v>
      </x:c>
      <x:c r="E2110" t="str">
        <x:v>紫甘蓝</x:v>
      </x:c>
      <x:c r="F2110" t="n">
        <x:v>160</x:v>
      </x:c>
      <x:c r="G2110" t="n">
        <x:v>31</x:v>
      </x:c>
      <x:c r="H2110" t="n">
        <x:f>ROUND(F2110*G2110/100,2)</x:f>
        <x:v>49.6</x:v>
      </x:c>
      <x:c r="I2110" t="n">
        <x:v>1.4</x:v>
      </x:c>
      <x:c r="J2110" t="n">
        <x:f>ROUND(F2110*I2110/100,2)</x:f>
        <x:v>2.24</x:v>
      </x:c>
      <x:c r="K2110" t="n">
        <x:v>7.3</x:v>
      </x:c>
      <x:c r="L2110" t="n">
        <x:f>ROUND(F2110*K2110/100,2)</x:f>
        <x:v>11.68</x:v>
      </x:c>
      <x:c r="M2110" t="n">
        <x:v>0.1</x:v>
      </x:c>
      <x:c r="N2110" t="n">
        <x:f>ROUND(F2110*M2110/100,2)</x:f>
        <x:v>0.16</x:v>
      </x:c>
      <x:c r="O2110" t="str">
        <x:v>生重</x:v>
      </x:c>
    </x:row>
    <x:row r="2111" ht="23" customHeight="1">
      <x:c r="A2111" t="n">
        <x:v>352</x:v>
      </x:c>
      <x:c r="B2111" t="n">
        <x:v>176</x:v>
      </x:c>
      <x:c r="C2111" t="str">
        <x:v>晚餐</x:v>
      </x:c>
      <x:c r="D2111" t="str">
        <x:v>蔬菜</x:v>
      </x:c>
      <x:c r="E2111" t="str">
        <x:v>莴笋</x:v>
      </x:c>
      <x:c r="F2111" t="n">
        <x:v>140</x:v>
      </x:c>
      <x:c r="G2111" t="n">
        <x:v>15</x:v>
      </x:c>
      <x:c r="H2111" t="n">
        <x:f>ROUND(F2111*G2111/100,2)</x:f>
        <x:v>21</x:v>
      </x:c>
      <x:c r="I2111" t="n">
        <x:v>1</x:v>
      </x:c>
      <x:c r="J2111" t="n">
        <x:f>ROUND(F2111*I2111/100,2)</x:f>
        <x:v>1.4</x:v>
      </x:c>
      <x:c r="K2111" t="n">
        <x:v>2.8</x:v>
      </x:c>
      <x:c r="L2111" t="n">
        <x:f>ROUND(F2111*K2111/100,2)</x:f>
        <x:v>3.92</x:v>
      </x:c>
      <x:c r="M2111" t="n">
        <x:v>0.1</x:v>
      </x:c>
      <x:c r="N2111" t="n">
        <x:f>ROUND(F2111*M2111/100,2)</x:f>
        <x:v>0.14</x:v>
      </x:c>
      <x:c r="O2111" t="str">
        <x:v>生重</x:v>
      </x:c>
    </x:row>
    <x:row r="2112" ht="23" customHeight="1">
      <x:c r="A2112" t="n">
        <x:v>352</x:v>
      </x:c>
      <x:c r="B2112" t="n">
        <x:v>176</x:v>
      </x:c>
      <x:c r="C2112" t="str">
        <x:v>晚餐</x:v>
      </x:c>
      <x:c r="D2112" t="str">
        <x:v>主食</x:v>
      </x:c>
      <x:c r="E2112" t="str">
        <x:v>白米饭</x:v>
      </x:c>
      <x:c r="F2112" t="n">
        <x:v>80</x:v>
      </x:c>
      <x:c r="G2112" t="n">
        <x:v>116</x:v>
      </x:c>
      <x:c r="H2112" t="n">
        <x:f>ROUND(F2112*G2112/100,2)</x:f>
        <x:v>92.8</x:v>
      </x:c>
      <x:c r="I2112" t="n">
        <x:v>2.6</x:v>
      </x:c>
      <x:c r="J2112" t="n">
        <x:f>ROUND(F2112*I2112/100,2)</x:f>
        <x:v>2.08</x:v>
      </x:c>
      <x:c r="K2112" t="n">
        <x:v>25.6</x:v>
      </x:c>
      <x:c r="L2112" t="n">
        <x:f>ROUND(F2112*K2112/100,2)</x:f>
        <x:v>20.48</x:v>
      </x:c>
      <x:c r="M2112" t="n">
        <x:v>0.3</x:v>
      </x:c>
      <x:c r="N2112" t="n">
        <x:f>ROUND(F2112*M2112/100,2)</x:f>
        <x:v>0.24</x:v>
      </x:c>
      <x:c r="O2112" t="str">
        <x:v>熟重</x:v>
      </x:c>
    </x:row>
    <x:row r="2113" ht="23" customHeight="1">
      <x:c r="A2113" t="n">
        <x:v>352</x:v>
      </x:c>
      <x:c r="B2113" t="n">
        <x:v>176</x:v>
      </x:c>
      <x:c r="C2113" t="str">
        <x:v>晚餐</x:v>
      </x:c>
      <x:c r="D2113" t="str">
        <x:v>油脂</x:v>
      </x:c>
      <x:c r="E2113" t="str">
        <x:v>烹调油</x:v>
      </x:c>
      <x:c r="F2113" t="n">
        <x:v>3</x:v>
      </x:c>
      <x:c r="G2113" t="n">
        <x:v>900</x:v>
      </x:c>
      <x:c r="H2113" t="n">
        <x:f>ROUND(F2113*G2113/100,2)</x:f>
        <x:v>27</x:v>
      </x:c>
      <x:c r="I2113" t="n">
        <x:v>0</x:v>
      </x:c>
      <x:c r="J2113" t="n">
        <x:f>ROUND(F2113*I2113/100,2)</x:f>
        <x:v>0</x:v>
      </x:c>
      <x:c r="K2113" t="n">
        <x:v>0</x:v>
      </x:c>
      <x:c r="L2113" t="n">
        <x:f>ROUND(F2113*K2113/100,2)</x:f>
        <x:v>0</x:v>
      </x:c>
      <x:c r="M2113" t="n">
        <x:v>100</x:v>
      </x:c>
      <x:c r="N2113" t="n">
        <x:f>ROUND(F2113*M2113/100,2)</x:f>
        <x:v>3</x:v>
      </x:c>
      <x:c r="O2113" t="str">
        <x:v>实际用油重</x:v>
      </x:c>
    </x:row>
    <x:row r="2114" ht="23" customHeight="1">
      <x:c r="A2114" t="n">
        <x:v>353</x:v>
      </x:c>
      <x:c r="B2114" t="n">
        <x:v>177</x:v>
      </x:c>
      <x:c r="C2114" t="str">
        <x:v>午餐</x:v>
      </x:c>
      <x:c r="D2114" t="str">
        <x:v>海鲜</x:v>
      </x:c>
      <x:c r="E2114" t="str">
        <x:v>花蛤肉</x:v>
      </x:c>
      <x:c r="F2114" t="n">
        <x:v>170</x:v>
      </x:c>
      <x:c r="G2114" t="n">
        <x:v>75</x:v>
      </x:c>
      <x:c r="H2114" t="n">
        <x:f>ROUND(F2114*G2114/100,2)</x:f>
        <x:v>127.5</x:v>
      </x:c>
      <x:c r="I2114" t="n">
        <x:v>13</x:v>
      </x:c>
      <x:c r="J2114" t="n">
        <x:f>ROUND(F2114*I2114/100,2)</x:f>
        <x:v>22.1</x:v>
      </x:c>
      <x:c r="K2114" t="n">
        <x:v>3.5</x:v>
      </x:c>
      <x:c r="L2114" t="n">
        <x:f>ROUND(F2114*K2114/100,2)</x:f>
        <x:v>5.95</x:v>
      </x:c>
      <x:c r="M2114" t="n">
        <x:v>1</x:v>
      </x:c>
      <x:c r="N2114" t="n">
        <x:f>ROUND(F2114*M2114/100,2)</x:f>
        <x:v>1.7</x:v>
      </x:c>
      <x:c r="O2114" t="str">
        <x:v>净肉生重</x:v>
      </x:c>
    </x:row>
    <x:row r="2115" ht="23" customHeight="1">
      <x:c r="A2115" t="n">
        <x:v>353</x:v>
      </x:c>
      <x:c r="B2115" t="n">
        <x:v>177</x:v>
      </x:c>
      <x:c r="C2115" t="str">
        <x:v>午餐</x:v>
      </x:c>
      <x:c r="D2115" t="str"/>
      <x:c r="E2115" t="str"/>
      <x:c r="F2115" t="n">
        <x:v>0</x:v>
      </x:c>
      <x:c r="G2115" t="n">
        <x:v>0</x:v>
      </x:c>
      <x:c r="H2115" t="n">
        <x:f>ROUND(F2115*G2115/100,2)</x:f>
        <x:v>0</x:v>
      </x:c>
      <x:c r="I2115" t="n">
        <x:v>0</x:v>
      </x:c>
      <x:c r="J2115" t="n">
        <x:f>ROUND(F2115*I2115/100,2)</x:f>
        <x:v>0</x:v>
      </x:c>
      <x:c r="K2115" t="n">
        <x:v>0</x:v>
      </x:c>
      <x:c r="L2115" t="n">
        <x:f>ROUND(F2115*K2115/100,2)</x:f>
        <x:v>0</x:v>
      </x:c>
      <x:c r="M2115" t="n">
        <x:v>0</x:v>
      </x:c>
      <x:c r="N2115" t="n">
        <x:f>ROUND(F2115*M2115/100,2)</x:f>
        <x:v>0</x:v>
      </x:c>
      <x:c r="O2115" t="str"/>
    </x:row>
    <x:row r="2116" ht="23" customHeight="1">
      <x:c r="A2116" t="n">
        <x:v>353</x:v>
      </x:c>
      <x:c r="B2116" t="n">
        <x:v>177</x:v>
      </x:c>
      <x:c r="C2116" t="str">
        <x:v>午餐</x:v>
      </x:c>
      <x:c r="D2116" t="str">
        <x:v>蔬菜</x:v>
      </x:c>
      <x:c r="E2116" t="str">
        <x:v>番茄</x:v>
      </x:c>
      <x:c r="F2116" t="n">
        <x:v>175</x:v>
      </x:c>
      <x:c r="G2116" t="n">
        <x:v>20</x:v>
      </x:c>
      <x:c r="H2116" t="n">
        <x:f>ROUND(F2116*G2116/100,2)</x:f>
        <x:v>35</x:v>
      </x:c>
      <x:c r="I2116" t="n">
        <x:v>0.9</x:v>
      </x:c>
      <x:c r="J2116" t="n">
        <x:f>ROUND(F2116*I2116/100,2)</x:f>
        <x:v>1.58</x:v>
      </x:c>
      <x:c r="K2116" t="n">
        <x:v>4</x:v>
      </x:c>
      <x:c r="L2116" t="n">
        <x:f>ROUND(F2116*K2116/100,2)</x:f>
        <x:v>7</x:v>
      </x:c>
      <x:c r="M2116" t="n">
        <x:v>0.2</x:v>
      </x:c>
      <x:c r="N2116" t="n">
        <x:f>ROUND(F2116*M2116/100,2)</x:f>
        <x:v>0.35</x:v>
      </x:c>
      <x:c r="O2116" t="str">
        <x:v>生重</x:v>
      </x:c>
    </x:row>
    <x:row r="2117" ht="23" customHeight="1">
      <x:c r="A2117" t="n">
        <x:v>353</x:v>
      </x:c>
      <x:c r="B2117" t="n">
        <x:v>177</x:v>
      </x:c>
      <x:c r="C2117" t="str">
        <x:v>午餐</x:v>
      </x:c>
      <x:c r="D2117" t="str">
        <x:v>蔬菜</x:v>
      </x:c>
      <x:c r="E2117" t="str">
        <x:v>彩椒</x:v>
      </x:c>
      <x:c r="F2117" t="n">
        <x:v>125</x:v>
      </x:c>
      <x:c r="G2117" t="n">
        <x:v>27</x:v>
      </x:c>
      <x:c r="H2117" t="n">
        <x:f>ROUND(F2117*G2117/100,2)</x:f>
        <x:v>33.75</x:v>
      </x:c>
      <x:c r="I2117" t="n">
        <x:v>1</x:v>
      </x:c>
      <x:c r="J2117" t="n">
        <x:f>ROUND(F2117*I2117/100,2)</x:f>
        <x:v>1.25</x:v>
      </x:c>
      <x:c r="K2117" t="n">
        <x:v>6.1</x:v>
      </x:c>
      <x:c r="L2117" t="n">
        <x:f>ROUND(F2117*K2117/100,2)</x:f>
        <x:v>7.63</x:v>
      </x:c>
      <x:c r="M2117" t="n">
        <x:v>0.2</x:v>
      </x:c>
      <x:c r="N2117" t="n">
        <x:f>ROUND(F2117*M2117/100,2)</x:f>
        <x:v>0.25</x:v>
      </x:c>
      <x:c r="O2117" t="str">
        <x:v>生重</x:v>
      </x:c>
    </x:row>
    <x:row r="2118" ht="23" customHeight="1">
      <x:c r="A2118" t="n">
        <x:v>353</x:v>
      </x:c>
      <x:c r="B2118" t="n">
        <x:v>177</x:v>
      </x:c>
      <x:c r="C2118" t="str">
        <x:v>午餐</x:v>
      </x:c>
      <x:c r="D2118" t="str">
        <x:v>主食</x:v>
      </x:c>
      <x:c r="E2118" t="str">
        <x:v>白米饭</x:v>
      </x:c>
      <x:c r="F2118" t="n">
        <x:v>135</x:v>
      </x:c>
      <x:c r="G2118" t="n">
        <x:v>116</x:v>
      </x:c>
      <x:c r="H2118" t="n">
        <x:f>ROUND(F2118*G2118/100,2)</x:f>
        <x:v>156.6</x:v>
      </x:c>
      <x:c r="I2118" t="n">
        <x:v>2.6</x:v>
      </x:c>
      <x:c r="J2118" t="n">
        <x:f>ROUND(F2118*I2118/100,2)</x:f>
        <x:v>3.51</x:v>
      </x:c>
      <x:c r="K2118" t="n">
        <x:v>25.6</x:v>
      </x:c>
      <x:c r="L2118" t="n">
        <x:f>ROUND(F2118*K2118/100,2)</x:f>
        <x:v>34.56</x:v>
      </x:c>
      <x:c r="M2118" t="n">
        <x:v>0.3</x:v>
      </x:c>
      <x:c r="N2118" t="n">
        <x:f>ROUND(F2118*M2118/100,2)</x:f>
        <x:v>0.41</x:v>
      </x:c>
      <x:c r="O2118" t="str">
        <x:v>熟重</x:v>
      </x:c>
    </x:row>
    <x:row r="2119" ht="23" customHeight="1">
      <x:c r="A2119" t="n">
        <x:v>353</x:v>
      </x:c>
      <x:c r="B2119" t="n">
        <x:v>177</x:v>
      </x:c>
      <x:c r="C2119" t="str">
        <x:v>午餐</x:v>
      </x:c>
      <x:c r="D2119" t="str">
        <x:v>油脂</x:v>
      </x:c>
      <x:c r="E2119" t="str">
        <x:v>烹调油</x:v>
      </x:c>
      <x:c r="F2119" t="n">
        <x:v>6</x:v>
      </x:c>
      <x:c r="G2119" t="n">
        <x:v>900</x:v>
      </x:c>
      <x:c r="H2119" t="n">
        <x:f>ROUND(F2119*G2119/100,2)</x:f>
        <x:v>54</x:v>
      </x:c>
      <x:c r="I2119" t="n">
        <x:v>0</x:v>
      </x:c>
      <x:c r="J2119" t="n">
        <x:f>ROUND(F2119*I2119/100,2)</x:f>
        <x:v>0</x:v>
      </x:c>
      <x:c r="K2119" t="n">
        <x:v>0</x:v>
      </x:c>
      <x:c r="L2119" t="n">
        <x:f>ROUND(F2119*K2119/100,2)</x:f>
        <x:v>0</x:v>
      </x:c>
      <x:c r="M2119" t="n">
        <x:v>100</x:v>
      </x:c>
      <x:c r="N2119" t="n">
        <x:f>ROUND(F2119*M2119/100,2)</x:f>
        <x:v>6</x:v>
      </x:c>
      <x:c r="O2119" t="str">
        <x:v>实际用油重</x:v>
      </x:c>
    </x:row>
    <x:row r="2120" ht="23" customHeight="1">
      <x:c r="A2120" t="n">
        <x:v>354</x:v>
      </x:c>
      <x:c r="B2120" t="n">
        <x:v>177</x:v>
      </x:c>
      <x:c r="C2120" t="str">
        <x:v>晚餐</x:v>
      </x:c>
      <x:c r="D2120" t="str">
        <x:v>禽肉</x:v>
      </x:c>
      <x:c r="E2120" t="str">
        <x:v>去皮鸡腿肉</x:v>
      </x:c>
      <x:c r="F2120" t="n">
        <x:v>145</x:v>
      </x:c>
      <x:c r="G2120" t="n">
        <x:v>125</x:v>
      </x:c>
      <x:c r="H2120" t="n">
        <x:f>ROUND(F2120*G2120/100,2)</x:f>
        <x:v>181.25</x:v>
      </x:c>
      <x:c r="I2120" t="n">
        <x:v>20</x:v>
      </x:c>
      <x:c r="J2120" t="n">
        <x:f>ROUND(F2120*I2120/100,2)</x:f>
        <x:v>29</x:v>
      </x:c>
      <x:c r="K2120" t="n">
        <x:v>0</x:v>
      </x:c>
      <x:c r="L2120" t="n">
        <x:f>ROUND(F2120*K2120/100,2)</x:f>
        <x:v>0</x:v>
      </x:c>
      <x:c r="M2120" t="n">
        <x:v>5</x:v>
      </x:c>
      <x:c r="N2120" t="n">
        <x:f>ROUND(F2120*M2120/100,2)</x:f>
        <x:v>7.25</x:v>
      </x:c>
      <x:c r="O2120" t="str">
        <x:v>生重</x:v>
      </x:c>
    </x:row>
    <x:row r="2121" ht="23" customHeight="1">
      <x:c r="A2121" t="n">
        <x:v>354</x:v>
      </x:c>
      <x:c r="B2121" t="n">
        <x:v>177</x:v>
      </x:c>
      <x:c r="C2121" t="str">
        <x:v>晚餐</x:v>
      </x:c>
      <x:c r="D2121" t="str"/>
      <x:c r="E2121" t="str"/>
      <x:c r="F2121" t="n">
        <x:v>0</x:v>
      </x:c>
      <x:c r="G2121" t="n">
        <x:v>0</x:v>
      </x:c>
      <x:c r="H2121" t="n">
        <x:f>ROUND(F2121*G2121/100,2)</x:f>
        <x:v>0</x:v>
      </x:c>
      <x:c r="I2121" t="n">
        <x:v>0</x:v>
      </x:c>
      <x:c r="J2121" t="n">
        <x:f>ROUND(F2121*I2121/100,2)</x:f>
        <x:v>0</x:v>
      </x:c>
      <x:c r="K2121" t="n">
        <x:v>0</x:v>
      </x:c>
      <x:c r="L2121" t="n">
        <x:f>ROUND(F2121*K2121/100,2)</x:f>
        <x:v>0</x:v>
      </x:c>
      <x:c r="M2121" t="n">
        <x:v>0</x:v>
      </x:c>
      <x:c r="N2121" t="n">
        <x:f>ROUND(F2121*M2121/100,2)</x:f>
        <x:v>0</x:v>
      </x:c>
      <x:c r="O2121" t="str"/>
    </x:row>
    <x:row r="2122" ht="23" customHeight="1">
      <x:c r="A2122" t="n">
        <x:v>354</x:v>
      </x:c>
      <x:c r="B2122" t="n">
        <x:v>177</x:v>
      </x:c>
      <x:c r="C2122" t="str">
        <x:v>晚餐</x:v>
      </x:c>
      <x:c r="D2122" t="str">
        <x:v>蔬菜</x:v>
      </x:c>
      <x:c r="E2122" t="str">
        <x:v>芦笋</x:v>
      </x:c>
      <x:c r="F2122" t="n">
        <x:v>140</x:v>
      </x:c>
      <x:c r="G2122" t="n">
        <x:v>20</x:v>
      </x:c>
      <x:c r="H2122" t="n">
        <x:f>ROUND(F2122*G2122/100,2)</x:f>
        <x:v>28</x:v>
      </x:c>
      <x:c r="I2122" t="n">
        <x:v>2.2</x:v>
      </x:c>
      <x:c r="J2122" t="n">
        <x:f>ROUND(F2122*I2122/100,2)</x:f>
        <x:v>3.08</x:v>
      </x:c>
      <x:c r="K2122" t="n">
        <x:v>3.9</x:v>
      </x:c>
      <x:c r="L2122" t="n">
        <x:f>ROUND(F2122*K2122/100,2)</x:f>
        <x:v>5.46</x:v>
      </x:c>
      <x:c r="M2122" t="n">
        <x:v>0.1</x:v>
      </x:c>
      <x:c r="N2122" t="n">
        <x:f>ROUND(F2122*M2122/100,2)</x:f>
        <x:v>0.14</x:v>
      </x:c>
      <x:c r="O2122" t="str">
        <x:v>生重</x:v>
      </x:c>
    </x:row>
    <x:row r="2123" ht="23" customHeight="1">
      <x:c r="A2123" t="n">
        <x:v>354</x:v>
      </x:c>
      <x:c r="B2123" t="n">
        <x:v>177</x:v>
      </x:c>
      <x:c r="C2123" t="str">
        <x:v>晚餐</x:v>
      </x:c>
      <x:c r="D2123" t="str">
        <x:v>蔬菜</x:v>
      </x:c>
      <x:c r="E2123" t="str">
        <x:v>玉米笋</x:v>
      </x:c>
      <x:c r="F2123" t="n">
        <x:v>155</x:v>
      </x:c>
      <x:c r="G2123" t="n">
        <x:v>26</x:v>
      </x:c>
      <x:c r="H2123" t="n">
        <x:f>ROUND(F2123*G2123/100,2)</x:f>
        <x:v>40.3</x:v>
      </x:c>
      <x:c r="I2123" t="n">
        <x:v>2</x:v>
      </x:c>
      <x:c r="J2123" t="n">
        <x:f>ROUND(F2123*I2123/100,2)</x:f>
        <x:v>3.1</x:v>
      </x:c>
      <x:c r="K2123" t="n">
        <x:v>4.9</x:v>
      </x:c>
      <x:c r="L2123" t="n">
        <x:f>ROUND(F2123*K2123/100,2)</x:f>
        <x:v>7.6</x:v>
      </x:c>
      <x:c r="M2123" t="n">
        <x:v>0.1</x:v>
      </x:c>
      <x:c r="N2123" t="n">
        <x:f>ROUND(F2123*M2123/100,2)</x:f>
        <x:v>0.16</x:v>
      </x:c>
      <x:c r="O2123" t="str">
        <x:v>生重</x:v>
      </x:c>
    </x:row>
    <x:row r="2124" ht="23" customHeight="1">
      <x:c r="A2124" t="n">
        <x:v>354</x:v>
      </x:c>
      <x:c r="B2124" t="n">
        <x:v>177</x:v>
      </x:c>
      <x:c r="C2124" t="str">
        <x:v>晚餐</x:v>
      </x:c>
      <x:c r="D2124" t="str">
        <x:v>主食</x:v>
      </x:c>
      <x:c r="E2124" t="str">
        <x:v>全麦面</x:v>
      </x:c>
      <x:c r="F2124" t="n">
        <x:v>135</x:v>
      </x:c>
      <x:c r="G2124" t="n">
        <x:v>124</x:v>
      </x:c>
      <x:c r="H2124" t="n">
        <x:f>ROUND(F2124*G2124/100,2)</x:f>
        <x:v>167.4</x:v>
      </x:c>
      <x:c r="I2124" t="n">
        <x:v>5</x:v>
      </x:c>
      <x:c r="J2124" t="n">
        <x:f>ROUND(F2124*I2124/100,2)</x:f>
        <x:v>6.75</x:v>
      </x:c>
      <x:c r="K2124" t="n">
        <x:v>25</x:v>
      </x:c>
      <x:c r="L2124" t="n">
        <x:f>ROUND(F2124*K2124/100,2)</x:f>
        <x:v>33.75</x:v>
      </x:c>
      <x:c r="M2124" t="n">
        <x:v>1.1</x:v>
      </x:c>
      <x:c r="N2124" t="n">
        <x:f>ROUND(F2124*M2124/100,2)</x:f>
        <x:v>1.49</x:v>
      </x:c>
      <x:c r="O2124" t="str">
        <x:v>煮熟沥水重</x:v>
      </x:c>
    </x:row>
    <x:row r="2125" ht="23" customHeight="1">
      <x:c r="A2125" t="n">
        <x:v>354</x:v>
      </x:c>
      <x:c r="B2125" t="n">
        <x:v>177</x:v>
      </x:c>
      <x:c r="C2125" t="str">
        <x:v>晚餐</x:v>
      </x:c>
      <x:c r="D2125" t="str">
        <x:v>油脂</x:v>
      </x:c>
      <x:c r="E2125" t="str">
        <x:v>烹调油</x:v>
      </x:c>
      <x:c r="F2125" t="n">
        <x:v>5</x:v>
      </x:c>
      <x:c r="G2125" t="n">
        <x:v>900</x:v>
      </x:c>
      <x:c r="H2125" t="n">
        <x:f>ROUND(F2125*G2125/100,2)</x:f>
        <x:v>45</x:v>
      </x:c>
      <x:c r="I2125" t="n">
        <x:v>0</x:v>
      </x:c>
      <x:c r="J2125" t="n">
        <x:f>ROUND(F2125*I2125/100,2)</x:f>
        <x:v>0</x:v>
      </x:c>
      <x:c r="K2125" t="n">
        <x:v>0</x:v>
      </x:c>
      <x:c r="L2125" t="n">
        <x:f>ROUND(F2125*K2125/100,2)</x:f>
        <x:v>0</x:v>
      </x:c>
      <x:c r="M2125" t="n">
        <x:v>100</x:v>
      </x:c>
      <x:c r="N2125" t="n">
        <x:f>ROUND(F2125*M2125/100,2)</x:f>
        <x:v>5</x:v>
      </x:c>
      <x:c r="O2125" t="str">
        <x:v>实际用油重</x:v>
      </x:c>
    </x:row>
    <x:row r="2126" ht="23" customHeight="1">
      <x:c r="A2126" t="n">
        <x:v>355</x:v>
      </x:c>
      <x:c r="B2126" t="n">
        <x:v>178</x:v>
      </x:c>
      <x:c r="C2126" t="str">
        <x:v>午餐</x:v>
      </x:c>
      <x:c r="D2126" t="str">
        <x:v>猪肉</x:v>
      </x:c>
      <x:c r="E2126" t="str">
        <x:v>猪里脊</x:v>
      </x:c>
      <x:c r="F2126" t="n">
        <x:v>165</x:v>
      </x:c>
      <x:c r="G2126" t="n">
        <x:v>120</x:v>
      </x:c>
      <x:c r="H2126" t="n">
        <x:f>ROUND(F2126*G2126/100,2)</x:f>
        <x:v>198</x:v>
      </x:c>
      <x:c r="I2126" t="n">
        <x:v>21</x:v>
      </x:c>
      <x:c r="J2126" t="n">
        <x:f>ROUND(F2126*I2126/100,2)</x:f>
        <x:v>34.65</x:v>
      </x:c>
      <x:c r="K2126" t="n">
        <x:v>0</x:v>
      </x:c>
      <x:c r="L2126" t="n">
        <x:f>ROUND(F2126*K2126/100,2)</x:f>
        <x:v>0</x:v>
      </x:c>
      <x:c r="M2126" t="n">
        <x:v>3.5</x:v>
      </x:c>
      <x:c r="N2126" t="n">
        <x:f>ROUND(F2126*M2126/100,2)</x:f>
        <x:v>5.78</x:v>
      </x:c>
      <x:c r="O2126" t="str">
        <x:v>生重</x:v>
      </x:c>
    </x:row>
    <x:row r="2127" ht="23" customHeight="1">
      <x:c r="A2127" t="n">
        <x:v>355</x:v>
      </x:c>
      <x:c r="B2127" t="n">
        <x:v>178</x:v>
      </x:c>
      <x:c r="C2127" t="str">
        <x:v>午餐</x:v>
      </x:c>
      <x:c r="D2127" t="str"/>
      <x:c r="E2127" t="str"/>
      <x:c r="F2127" t="n">
        <x:v>0</x:v>
      </x:c>
      <x:c r="G2127" t="n">
        <x:v>0</x:v>
      </x:c>
      <x:c r="H2127" t="n">
        <x:f>ROUND(F2127*G2127/100,2)</x:f>
        <x:v>0</x:v>
      </x:c>
      <x:c r="I2127" t="n">
        <x:v>0</x:v>
      </x:c>
      <x:c r="J2127" t="n">
        <x:f>ROUND(F2127*I2127/100,2)</x:f>
        <x:v>0</x:v>
      </x:c>
      <x:c r="K2127" t="n">
        <x:v>0</x:v>
      </x:c>
      <x:c r="L2127" t="n">
        <x:f>ROUND(F2127*K2127/100,2)</x:f>
        <x:v>0</x:v>
      </x:c>
      <x:c r="M2127" t="n">
        <x:v>0</x:v>
      </x:c>
      <x:c r="N2127" t="n">
        <x:f>ROUND(F2127*M2127/100,2)</x:f>
        <x:v>0</x:v>
      </x:c>
      <x:c r="O2127" t="str"/>
    </x:row>
    <x:row r="2128" ht="23" customHeight="1">
      <x:c r="A2128" t="n">
        <x:v>355</x:v>
      </x:c>
      <x:c r="B2128" t="n">
        <x:v>178</x:v>
      </x:c>
      <x:c r="C2128" t="str">
        <x:v>午餐</x:v>
      </x:c>
      <x:c r="D2128" t="str">
        <x:v>蔬菜</x:v>
      </x:c>
      <x:c r="E2128" t="str">
        <x:v>芹菜</x:v>
      </x:c>
      <x:c r="F2128" t="n">
        <x:v>140</x:v>
      </x:c>
      <x:c r="G2128" t="n">
        <x:v>17</x:v>
      </x:c>
      <x:c r="H2128" t="n">
        <x:f>ROUND(F2128*G2128/100,2)</x:f>
        <x:v>23.8</x:v>
      </x:c>
      <x:c r="I2128" t="n">
        <x:v>1</x:v>
      </x:c>
      <x:c r="J2128" t="n">
        <x:f>ROUND(F2128*I2128/100,2)</x:f>
        <x:v>1.4</x:v>
      </x:c>
      <x:c r="K2128" t="n">
        <x:v>3.5</x:v>
      </x:c>
      <x:c r="L2128" t="n">
        <x:f>ROUND(F2128*K2128/100,2)</x:f>
        <x:v>4.9</x:v>
      </x:c>
      <x:c r="M2128" t="n">
        <x:v>0.1</x:v>
      </x:c>
      <x:c r="N2128" t="n">
        <x:f>ROUND(F2128*M2128/100,2)</x:f>
        <x:v>0.14</x:v>
      </x:c>
      <x:c r="O2128" t="str">
        <x:v>生重</x:v>
      </x:c>
    </x:row>
    <x:row r="2129" ht="23" customHeight="1">
      <x:c r="A2129" t="n">
        <x:v>355</x:v>
      </x:c>
      <x:c r="B2129" t="n">
        <x:v>178</x:v>
      </x:c>
      <x:c r="C2129" t="str">
        <x:v>午餐</x:v>
      </x:c>
      <x:c r="D2129" t="str">
        <x:v>蔬菜</x:v>
      </x:c>
      <x:c r="E2129" t="str">
        <x:v>莴笋</x:v>
      </x:c>
      <x:c r="F2129" t="n">
        <x:v>125</x:v>
      </x:c>
      <x:c r="G2129" t="n">
        <x:v>15</x:v>
      </x:c>
      <x:c r="H2129" t="n">
        <x:f>ROUND(F2129*G2129/100,2)</x:f>
        <x:v>18.75</x:v>
      </x:c>
      <x:c r="I2129" t="n">
        <x:v>1</x:v>
      </x:c>
      <x:c r="J2129" t="n">
        <x:f>ROUND(F2129*I2129/100,2)</x:f>
        <x:v>1.25</x:v>
      </x:c>
      <x:c r="K2129" t="n">
        <x:v>2.8</x:v>
      </x:c>
      <x:c r="L2129" t="n">
        <x:f>ROUND(F2129*K2129/100,2)</x:f>
        <x:v>3.5</x:v>
      </x:c>
      <x:c r="M2129" t="n">
        <x:v>0.1</x:v>
      </x:c>
      <x:c r="N2129" t="n">
        <x:f>ROUND(F2129*M2129/100,2)</x:f>
        <x:v>0.13</x:v>
      </x:c>
      <x:c r="O2129" t="str">
        <x:v>生重</x:v>
      </x:c>
    </x:row>
    <x:row r="2130" ht="23" customHeight="1">
      <x:c r="A2130" t="n">
        <x:v>355</x:v>
      </x:c>
      <x:c r="B2130" t="n">
        <x:v>178</x:v>
      </x:c>
      <x:c r="C2130" t="str">
        <x:v>午餐</x:v>
      </x:c>
      <x:c r="D2130" t="str">
        <x:v>主食</x:v>
      </x:c>
      <x:c r="E2130" t="str">
        <x:v>杂粮饭</x:v>
      </x:c>
      <x:c r="F2130" t="n">
        <x:v>150</x:v>
      </x:c>
      <x:c r="G2130" t="n">
        <x:v>115</x:v>
      </x:c>
      <x:c r="H2130" t="n">
        <x:f>ROUND(F2130*G2130/100,2)</x:f>
        <x:v>172.5</x:v>
      </x:c>
      <x:c r="I2130" t="n">
        <x:v>3.1</x:v>
      </x:c>
      <x:c r="J2130" t="n">
        <x:f>ROUND(F2130*I2130/100,2)</x:f>
        <x:v>4.65</x:v>
      </x:c>
      <x:c r="K2130" t="n">
        <x:v>23.5</x:v>
      </x:c>
      <x:c r="L2130" t="n">
        <x:f>ROUND(F2130*K2130/100,2)</x:f>
        <x:v>35.25</x:v>
      </x:c>
      <x:c r="M2130" t="n">
        <x:v>1.1</x:v>
      </x:c>
      <x:c r="N2130" t="n">
        <x:f>ROUND(F2130*M2130/100,2)</x:f>
        <x:v>1.65</x:v>
      </x:c>
      <x:c r="O2130" t="str">
        <x:v>熟重</x:v>
      </x:c>
    </x:row>
    <x:row r="2131" ht="23" customHeight="1">
      <x:c r="A2131" t="n">
        <x:v>355</x:v>
      </x:c>
      <x:c r="B2131" t="n">
        <x:v>178</x:v>
      </x:c>
      <x:c r="C2131" t="str">
        <x:v>午餐</x:v>
      </x:c>
      <x:c r="D2131" t="str">
        <x:v>油脂</x:v>
      </x:c>
      <x:c r="E2131" t="str">
        <x:v>烹调油</x:v>
      </x:c>
      <x:c r="F2131" t="n">
        <x:v>6</x:v>
      </x:c>
      <x:c r="G2131" t="n">
        <x:v>900</x:v>
      </x:c>
      <x:c r="H2131" t="n">
        <x:f>ROUND(F2131*G2131/100,2)</x:f>
        <x:v>54</x:v>
      </x:c>
      <x:c r="I2131" t="n">
        <x:v>0</x:v>
      </x:c>
      <x:c r="J2131" t="n">
        <x:f>ROUND(F2131*I2131/100,2)</x:f>
        <x:v>0</x:v>
      </x:c>
      <x:c r="K2131" t="n">
        <x:v>0</x:v>
      </x:c>
      <x:c r="L2131" t="n">
        <x:f>ROUND(F2131*K2131/100,2)</x:f>
        <x:v>0</x:v>
      </x:c>
      <x:c r="M2131" t="n">
        <x:v>100</x:v>
      </x:c>
      <x:c r="N2131" t="n">
        <x:f>ROUND(F2131*M2131/100,2)</x:f>
        <x:v>6</x:v>
      </x:c>
      <x:c r="O2131" t="str">
        <x:v>实际用油重</x:v>
      </x:c>
    </x:row>
    <x:row r="2132" ht="23" customHeight="1">
      <x:c r="A2132" t="n">
        <x:v>356</x:v>
      </x:c>
      <x:c r="B2132" t="n">
        <x:v>178</x:v>
      </x:c>
      <x:c r="C2132" t="str">
        <x:v>晚餐</x:v>
      </x:c>
      <x:c r="D2132" t="str">
        <x:v>牛肉</x:v>
      </x:c>
      <x:c r="E2132" t="str">
        <x:v>牛腱子</x:v>
      </x:c>
      <x:c r="F2132" t="n">
        <x:v>170</x:v>
      </x:c>
      <x:c r="G2132" t="n">
        <x:v>140</x:v>
      </x:c>
      <x:c r="H2132" t="n">
        <x:f>ROUND(F2132*G2132/100,2)</x:f>
        <x:v>238</x:v>
      </x:c>
      <x:c r="I2132" t="n">
        <x:v>21</x:v>
      </x:c>
      <x:c r="J2132" t="n">
        <x:f>ROUND(F2132*I2132/100,2)</x:f>
        <x:v>35.7</x:v>
      </x:c>
      <x:c r="K2132" t="n">
        <x:v>0</x:v>
      </x:c>
      <x:c r="L2132" t="n">
        <x:f>ROUND(F2132*K2132/100,2)</x:f>
        <x:v>0</x:v>
      </x:c>
      <x:c r="M2132" t="n">
        <x:v>6</x:v>
      </x:c>
      <x:c r="N2132" t="n">
        <x:f>ROUND(F2132*M2132/100,2)</x:f>
        <x:v>10.2</x:v>
      </x:c>
      <x:c r="O2132" t="str">
        <x:v>生重</x:v>
      </x:c>
    </x:row>
    <x:row r="2133" ht="23" customHeight="1">
      <x:c r="A2133" t="n">
        <x:v>356</x:v>
      </x:c>
      <x:c r="B2133" t="n">
        <x:v>178</x:v>
      </x:c>
      <x:c r="C2133" t="str">
        <x:v>晚餐</x:v>
      </x:c>
      <x:c r="D2133" t="str"/>
      <x:c r="E2133" t="str"/>
      <x:c r="F2133" t="n">
        <x:v>0</x:v>
      </x:c>
      <x:c r="G2133" t="n">
        <x:v>0</x:v>
      </x:c>
      <x:c r="H2133" t="n">
        <x:f>ROUND(F2133*G2133/100,2)</x:f>
        <x:v>0</x:v>
      </x:c>
      <x:c r="I2133" t="n">
        <x:v>0</x:v>
      </x:c>
      <x:c r="J2133" t="n">
        <x:f>ROUND(F2133*I2133/100,2)</x:f>
        <x:v>0</x:v>
      </x:c>
      <x:c r="K2133" t="n">
        <x:v>0</x:v>
      </x:c>
      <x:c r="L2133" t="n">
        <x:f>ROUND(F2133*K2133/100,2)</x:f>
        <x:v>0</x:v>
      </x:c>
      <x:c r="M2133" t="n">
        <x:v>0</x:v>
      </x:c>
      <x:c r="N2133" t="n">
        <x:f>ROUND(F2133*M2133/100,2)</x:f>
        <x:v>0</x:v>
      </x:c>
      <x:c r="O2133" t="str"/>
    </x:row>
    <x:row r="2134" ht="23" customHeight="1">
      <x:c r="A2134" t="n">
        <x:v>356</x:v>
      </x:c>
      <x:c r="B2134" t="n">
        <x:v>178</x:v>
      </x:c>
      <x:c r="C2134" t="str">
        <x:v>晚餐</x:v>
      </x:c>
      <x:c r="D2134" t="str">
        <x:v>蔬菜</x:v>
      </x:c>
      <x:c r="E2134" t="str">
        <x:v>西葫芦</x:v>
      </x:c>
      <x:c r="F2134" t="n">
        <x:v>175</x:v>
      </x:c>
      <x:c r="G2134" t="n">
        <x:v>17</x:v>
      </x:c>
      <x:c r="H2134" t="n">
        <x:f>ROUND(F2134*G2134/100,2)</x:f>
        <x:v>29.75</x:v>
      </x:c>
      <x:c r="I2134" t="n">
        <x:v>1.2</x:v>
      </x:c>
      <x:c r="J2134" t="n">
        <x:f>ROUND(F2134*I2134/100,2)</x:f>
        <x:v>2.1</x:v>
      </x:c>
      <x:c r="K2134" t="n">
        <x:v>3.1</x:v>
      </x:c>
      <x:c r="L2134" t="n">
        <x:f>ROUND(F2134*K2134/100,2)</x:f>
        <x:v>5.43</x:v>
      </x:c>
      <x:c r="M2134" t="n">
        <x:v>0.3</x:v>
      </x:c>
      <x:c r="N2134" t="n">
        <x:f>ROUND(F2134*M2134/100,2)</x:f>
        <x:v>0.53</x:v>
      </x:c>
      <x:c r="O2134" t="str">
        <x:v>生重</x:v>
      </x:c>
    </x:row>
    <x:row r="2135" ht="23" customHeight="1">
      <x:c r="A2135" t="n">
        <x:v>356</x:v>
      </x:c>
      <x:c r="B2135" t="n">
        <x:v>178</x:v>
      </x:c>
      <x:c r="C2135" t="str">
        <x:v>晚餐</x:v>
      </x:c>
      <x:c r="D2135" t="str">
        <x:v>蔬菜</x:v>
      </x:c>
      <x:c r="E2135" t="str">
        <x:v>菜心</x:v>
      </x:c>
      <x:c r="F2135" t="n">
        <x:v>155</x:v>
      </x:c>
      <x:c r="G2135" t="n">
        <x:v>20</x:v>
      </x:c>
      <x:c r="H2135" t="n">
        <x:f>ROUND(F2135*G2135/100,2)</x:f>
        <x:v>31</x:v>
      </x:c>
      <x:c r="I2135" t="n">
        <x:v>2</x:v>
      </x:c>
      <x:c r="J2135" t="n">
        <x:f>ROUND(F2135*I2135/100,2)</x:f>
        <x:v>3.1</x:v>
      </x:c>
      <x:c r="K2135" t="n">
        <x:v>3.5</x:v>
      </x:c>
      <x:c r="L2135" t="n">
        <x:f>ROUND(F2135*K2135/100,2)</x:f>
        <x:v>5.43</x:v>
      </x:c>
      <x:c r="M2135" t="n">
        <x:v>0.3</x:v>
      </x:c>
      <x:c r="N2135" t="n">
        <x:f>ROUND(F2135*M2135/100,2)</x:f>
        <x:v>0.47</x:v>
      </x:c>
      <x:c r="O2135" t="str">
        <x:v>生重</x:v>
      </x:c>
    </x:row>
    <x:row r="2136" ht="23" customHeight="1">
      <x:c r="A2136" t="n">
        <x:v>356</x:v>
      </x:c>
      <x:c r="B2136" t="n">
        <x:v>178</x:v>
      </x:c>
      <x:c r="C2136" t="str">
        <x:v>晚餐</x:v>
      </x:c>
      <x:c r="D2136" t="str">
        <x:v>主食</x:v>
      </x:c>
      <x:c r="E2136" t="str">
        <x:v>紫薯</x:v>
      </x:c>
      <x:c r="F2136" t="n">
        <x:v>95</x:v>
      </x:c>
      <x:c r="G2136" t="n">
        <x:v>95</x:v>
      </x:c>
      <x:c r="H2136" t="n">
        <x:f>ROUND(F2136*G2136/100,2)</x:f>
        <x:v>90.25</x:v>
      </x:c>
      <x:c r="I2136" t="n">
        <x:v>1.6</x:v>
      </x:c>
      <x:c r="J2136" t="n">
        <x:f>ROUND(F2136*I2136/100,2)</x:f>
        <x:v>1.52</x:v>
      </x:c>
      <x:c r="K2136" t="n">
        <x:v>22</x:v>
      </x:c>
      <x:c r="L2136" t="n">
        <x:f>ROUND(F2136*K2136/100,2)</x:f>
        <x:v>20.9</x:v>
      </x:c>
      <x:c r="M2136" t="n">
        <x:v>0.1</x:v>
      </x:c>
      <x:c r="N2136" t="n">
        <x:f>ROUND(F2136*M2136/100,2)</x:f>
        <x:v>0.1</x:v>
      </x:c>
      <x:c r="O2136" t="str">
        <x:v>蒸熟净重</x:v>
      </x:c>
    </x:row>
    <x:row r="2137" ht="23" customHeight="1">
      <x:c r="A2137" t="n">
        <x:v>356</x:v>
      </x:c>
      <x:c r="B2137" t="n">
        <x:v>178</x:v>
      </x:c>
      <x:c r="C2137" t="str">
        <x:v>晚餐</x:v>
      </x:c>
      <x:c r="D2137" t="str">
        <x:v>油脂</x:v>
      </x:c>
      <x:c r="E2137" t="str">
        <x:v>烹调油</x:v>
      </x:c>
      <x:c r="F2137" t="n">
        <x:v>3</x:v>
      </x:c>
      <x:c r="G2137" t="n">
        <x:v>900</x:v>
      </x:c>
      <x:c r="H2137" t="n">
        <x:f>ROUND(F2137*G2137/100,2)</x:f>
        <x:v>27</x:v>
      </x:c>
      <x:c r="I2137" t="n">
        <x:v>0</x:v>
      </x:c>
      <x:c r="J2137" t="n">
        <x:f>ROUND(F2137*I2137/100,2)</x:f>
        <x:v>0</x:v>
      </x:c>
      <x:c r="K2137" t="n">
        <x:v>0</x:v>
      </x:c>
      <x:c r="L2137" t="n">
        <x:f>ROUND(F2137*K2137/100,2)</x:f>
        <x:v>0</x:v>
      </x:c>
      <x:c r="M2137" t="n">
        <x:v>100</x:v>
      </x:c>
      <x:c r="N2137" t="n">
        <x:f>ROUND(F2137*M2137/100,2)</x:f>
        <x:v>3</x:v>
      </x:c>
      <x:c r="O2137" t="str">
        <x:v>实际用油重</x:v>
      </x:c>
    </x:row>
    <x:row r="2138" ht="23" customHeight="1">
      <x:c r="A2138" t="n">
        <x:v>357</x:v>
      </x:c>
      <x:c r="B2138" t="n">
        <x:v>179</x:v>
      </x:c>
      <x:c r="C2138" t="str">
        <x:v>午餐</x:v>
      </x:c>
      <x:c r="D2138" t="str">
        <x:v>鱼类</x:v>
      </x:c>
      <x:c r="E2138" t="str">
        <x:v>鲈鱼</x:v>
      </x:c>
      <x:c r="F2138" t="n">
        <x:v>215</x:v>
      </x:c>
      <x:c r="G2138" t="n">
        <x:v>105</x:v>
      </x:c>
      <x:c r="H2138" t="n">
        <x:f>ROUND(F2138*G2138/100,2)</x:f>
        <x:v>225.75</x:v>
      </x:c>
      <x:c r="I2138" t="n">
        <x:v>19</x:v>
      </x:c>
      <x:c r="J2138" t="n">
        <x:f>ROUND(F2138*I2138/100,2)</x:f>
        <x:v>40.85</x:v>
      </x:c>
      <x:c r="K2138" t="n">
        <x:v>0</x:v>
      </x:c>
      <x:c r="L2138" t="n">
        <x:f>ROUND(F2138*K2138/100,2)</x:f>
        <x:v>0</x:v>
      </x:c>
      <x:c r="M2138" t="n">
        <x:v>3</x:v>
      </x:c>
      <x:c r="N2138" t="n">
        <x:f>ROUND(F2138*M2138/100,2)</x:f>
        <x:v>6.45</x:v>
      </x:c>
      <x:c r="O2138" t="str">
        <x:v>净鱼肉生重</x:v>
      </x:c>
    </x:row>
    <x:row r="2139" ht="23" customHeight="1">
      <x:c r="A2139" t="n">
        <x:v>357</x:v>
      </x:c>
      <x:c r="B2139" t="n">
        <x:v>179</x:v>
      </x:c>
      <x:c r="C2139" t="str">
        <x:v>午餐</x:v>
      </x:c>
      <x:c r="D2139" t="str"/>
      <x:c r="E2139" t="str"/>
      <x:c r="F2139" t="n">
        <x:v>0</x:v>
      </x:c>
      <x:c r="G2139" t="n">
        <x:v>0</x:v>
      </x:c>
      <x:c r="H2139" t="n">
        <x:f>ROUND(F2139*G2139/100,2)</x:f>
        <x:v>0</x:v>
      </x:c>
      <x:c r="I2139" t="n">
        <x:v>0</x:v>
      </x:c>
      <x:c r="J2139" t="n">
        <x:f>ROUND(F2139*I2139/100,2)</x:f>
        <x:v>0</x:v>
      </x:c>
      <x:c r="K2139" t="n">
        <x:v>0</x:v>
      </x:c>
      <x:c r="L2139" t="n">
        <x:f>ROUND(F2139*K2139/100,2)</x:f>
        <x:v>0</x:v>
      </x:c>
      <x:c r="M2139" t="n">
        <x:v>0</x:v>
      </x:c>
      <x:c r="N2139" t="n">
        <x:f>ROUND(F2139*M2139/100,2)</x:f>
        <x:v>0</x:v>
      </x:c>
      <x:c r="O2139" t="str"/>
    </x:row>
    <x:row r="2140" ht="23" customHeight="1">
      <x:c r="A2140" t="n">
        <x:v>357</x:v>
      </x:c>
      <x:c r="B2140" t="n">
        <x:v>179</x:v>
      </x:c>
      <x:c r="C2140" t="str">
        <x:v>午餐</x:v>
      </x:c>
      <x:c r="D2140" t="str">
        <x:v>蔬菜</x:v>
      </x:c>
      <x:c r="E2140" t="str">
        <x:v>生菜</x:v>
      </x:c>
      <x:c r="F2140" t="n">
        <x:v>160</x:v>
      </x:c>
      <x:c r="G2140" t="n">
        <x:v>16</x:v>
      </x:c>
      <x:c r="H2140" t="n">
        <x:f>ROUND(F2140*G2140/100,2)</x:f>
        <x:v>25.6</x:v>
      </x:c>
      <x:c r="I2140" t="n">
        <x:v>1.4</x:v>
      </x:c>
      <x:c r="J2140" t="n">
        <x:f>ROUND(F2140*I2140/100,2)</x:f>
        <x:v>2.24</x:v>
      </x:c>
      <x:c r="K2140" t="n">
        <x:v>2.9</x:v>
      </x:c>
      <x:c r="L2140" t="n">
        <x:f>ROUND(F2140*K2140/100,2)</x:f>
        <x:v>4.64</x:v>
      </x:c>
      <x:c r="M2140" t="n">
        <x:v>0.1</x:v>
      </x:c>
      <x:c r="N2140" t="n">
        <x:f>ROUND(F2140*M2140/100,2)</x:f>
        <x:v>0.16</x:v>
      </x:c>
      <x:c r="O2140" t="str">
        <x:v>生重</x:v>
      </x:c>
    </x:row>
    <x:row r="2141" ht="23" customHeight="1">
      <x:c r="A2141" t="n">
        <x:v>357</x:v>
      </x:c>
      <x:c r="B2141" t="n">
        <x:v>179</x:v>
      </x:c>
      <x:c r="C2141" t="str">
        <x:v>午餐</x:v>
      </x:c>
      <x:c r="D2141" t="str">
        <x:v>蔬菜</x:v>
      </x:c>
      <x:c r="E2141" t="str">
        <x:v>荷兰豆</x:v>
      </x:c>
      <x:c r="F2141" t="n">
        <x:v>140</x:v>
      </x:c>
      <x:c r="G2141" t="n">
        <x:v>42</x:v>
      </x:c>
      <x:c r="H2141" t="n">
        <x:f>ROUND(F2141*G2141/100,2)</x:f>
        <x:v>58.8</x:v>
      </x:c>
      <x:c r="I2141" t="n">
        <x:v>2.8</x:v>
      </x:c>
      <x:c r="J2141" t="n">
        <x:f>ROUND(F2141*I2141/100,2)</x:f>
        <x:v>3.92</x:v>
      </x:c>
      <x:c r="K2141" t="n">
        <x:v>7.5</x:v>
      </x:c>
      <x:c r="L2141" t="n">
        <x:f>ROUND(F2141*K2141/100,2)</x:f>
        <x:v>10.5</x:v>
      </x:c>
      <x:c r="M2141" t="n">
        <x:v>0.3</x:v>
      </x:c>
      <x:c r="N2141" t="n">
        <x:f>ROUND(F2141*M2141/100,2)</x:f>
        <x:v>0.42</x:v>
      </x:c>
      <x:c r="O2141" t="str">
        <x:v>生重</x:v>
      </x:c>
    </x:row>
    <x:row r="2142" ht="23" customHeight="1">
      <x:c r="A2142" t="n">
        <x:v>357</x:v>
      </x:c>
      <x:c r="B2142" t="n">
        <x:v>179</x:v>
      </x:c>
      <x:c r="C2142" t="str">
        <x:v>午餐</x:v>
      </x:c>
      <x:c r="D2142" t="str">
        <x:v>主食</x:v>
      </x:c>
      <x:c r="E2142" t="str">
        <x:v>紫薯</x:v>
      </x:c>
      <x:c r="F2142" t="n">
        <x:v>165</x:v>
      </x:c>
      <x:c r="G2142" t="n">
        <x:v>95</x:v>
      </x:c>
      <x:c r="H2142" t="n">
        <x:f>ROUND(F2142*G2142/100,2)</x:f>
        <x:v>156.75</x:v>
      </x:c>
      <x:c r="I2142" t="n">
        <x:v>1.6</x:v>
      </x:c>
      <x:c r="J2142" t="n">
        <x:f>ROUND(F2142*I2142/100,2)</x:f>
        <x:v>2.64</x:v>
      </x:c>
      <x:c r="K2142" t="n">
        <x:v>22</x:v>
      </x:c>
      <x:c r="L2142" t="n">
        <x:f>ROUND(F2142*K2142/100,2)</x:f>
        <x:v>36.3</x:v>
      </x:c>
      <x:c r="M2142" t="n">
        <x:v>0.1</x:v>
      </x:c>
      <x:c r="N2142" t="n">
        <x:f>ROUND(F2142*M2142/100,2)</x:f>
        <x:v>0.17</x:v>
      </x:c>
      <x:c r="O2142" t="str">
        <x:v>蒸熟净重</x:v>
      </x:c>
    </x:row>
    <x:row r="2143" ht="23" customHeight="1">
      <x:c r="A2143" t="n">
        <x:v>357</x:v>
      </x:c>
      <x:c r="B2143" t="n">
        <x:v>179</x:v>
      </x:c>
      <x:c r="C2143" t="str">
        <x:v>午餐</x:v>
      </x:c>
      <x:c r="D2143" t="str">
        <x:v>油脂</x:v>
      </x:c>
      <x:c r="E2143" t="str">
        <x:v>烹调油</x:v>
      </x:c>
      <x:c r="F2143" t="n">
        <x:v>6</x:v>
      </x:c>
      <x:c r="G2143" t="n">
        <x:v>900</x:v>
      </x:c>
      <x:c r="H2143" t="n">
        <x:f>ROUND(F2143*G2143/100,2)</x:f>
        <x:v>54</x:v>
      </x:c>
      <x:c r="I2143" t="n">
        <x:v>0</x:v>
      </x:c>
      <x:c r="J2143" t="n">
        <x:f>ROUND(F2143*I2143/100,2)</x:f>
        <x:v>0</x:v>
      </x:c>
      <x:c r="K2143" t="n">
        <x:v>0</x:v>
      </x:c>
      <x:c r="L2143" t="n">
        <x:f>ROUND(F2143*K2143/100,2)</x:f>
        <x:v>0</x:v>
      </x:c>
      <x:c r="M2143" t="n">
        <x:v>100</x:v>
      </x:c>
      <x:c r="N2143" t="n">
        <x:f>ROUND(F2143*M2143/100,2)</x:f>
        <x:v>6</x:v>
      </x:c>
      <x:c r="O2143" t="str">
        <x:v>实际用油重</x:v>
      </x:c>
    </x:row>
    <x:row r="2144" ht="23" customHeight="1">
      <x:c r="A2144" t="n">
        <x:v>358</x:v>
      </x:c>
      <x:c r="B2144" t="n">
        <x:v>179</x:v>
      </x:c>
      <x:c r="C2144" t="str">
        <x:v>晚餐</x:v>
      </x:c>
      <x:c r="D2144" t="str">
        <x:v>禽肉</x:v>
      </x:c>
      <x:c r="E2144" t="str">
        <x:v>去皮鸡腿肉</x:v>
      </x:c>
      <x:c r="F2144" t="n">
        <x:v>180</x:v>
      </x:c>
      <x:c r="G2144" t="n">
        <x:v>125</x:v>
      </x:c>
      <x:c r="H2144" t="n">
        <x:f>ROUND(F2144*G2144/100,2)</x:f>
        <x:v>225</x:v>
      </x:c>
      <x:c r="I2144" t="n">
        <x:v>20</x:v>
      </x:c>
      <x:c r="J2144" t="n">
        <x:f>ROUND(F2144*I2144/100,2)</x:f>
        <x:v>36</x:v>
      </x:c>
      <x:c r="K2144" t="n">
        <x:v>0</x:v>
      </x:c>
      <x:c r="L2144" t="n">
        <x:f>ROUND(F2144*K2144/100,2)</x:f>
        <x:v>0</x:v>
      </x:c>
      <x:c r="M2144" t="n">
        <x:v>5</x:v>
      </x:c>
      <x:c r="N2144" t="n">
        <x:f>ROUND(F2144*M2144/100,2)</x:f>
        <x:v>9</x:v>
      </x:c>
      <x:c r="O2144" t="str">
        <x:v>生重</x:v>
      </x:c>
    </x:row>
    <x:row r="2145" ht="23" customHeight="1">
      <x:c r="A2145" t="n">
        <x:v>358</x:v>
      </x:c>
      <x:c r="B2145" t="n">
        <x:v>179</x:v>
      </x:c>
      <x:c r="C2145" t="str">
        <x:v>晚餐</x:v>
      </x:c>
      <x:c r="D2145" t="str"/>
      <x:c r="E2145" t="str"/>
      <x:c r="F2145" t="n">
        <x:v>0</x:v>
      </x:c>
      <x:c r="G2145" t="n">
        <x:v>0</x:v>
      </x:c>
      <x:c r="H2145" t="n">
        <x:f>ROUND(F2145*G2145/100,2)</x:f>
        <x:v>0</x:v>
      </x:c>
      <x:c r="I2145" t="n">
        <x:v>0</x:v>
      </x:c>
      <x:c r="J2145" t="n">
        <x:f>ROUND(F2145*I2145/100,2)</x:f>
        <x:v>0</x:v>
      </x:c>
      <x:c r="K2145" t="n">
        <x:v>0</x:v>
      </x:c>
      <x:c r="L2145" t="n">
        <x:f>ROUND(F2145*K2145/100,2)</x:f>
        <x:v>0</x:v>
      </x:c>
      <x:c r="M2145" t="n">
        <x:v>0</x:v>
      </x:c>
      <x:c r="N2145" t="n">
        <x:f>ROUND(F2145*M2145/100,2)</x:f>
        <x:v>0</x:v>
      </x:c>
      <x:c r="O2145" t="str"/>
    </x:row>
    <x:row r="2146" ht="23" customHeight="1">
      <x:c r="A2146" t="n">
        <x:v>358</x:v>
      </x:c>
      <x:c r="B2146" t="n">
        <x:v>179</x:v>
      </x:c>
      <x:c r="C2146" t="str">
        <x:v>晚餐</x:v>
      </x:c>
      <x:c r="D2146" t="str">
        <x:v>蔬菜</x:v>
      </x:c>
      <x:c r="E2146" t="str">
        <x:v>西葫芦</x:v>
      </x:c>
      <x:c r="F2146" t="n">
        <x:v>160</x:v>
      </x:c>
      <x:c r="G2146" t="n">
        <x:v>17</x:v>
      </x:c>
      <x:c r="H2146" t="n">
        <x:f>ROUND(F2146*G2146/100,2)</x:f>
        <x:v>27.2</x:v>
      </x:c>
      <x:c r="I2146" t="n">
        <x:v>1.2</x:v>
      </x:c>
      <x:c r="J2146" t="n">
        <x:f>ROUND(F2146*I2146/100,2)</x:f>
        <x:v>1.92</x:v>
      </x:c>
      <x:c r="K2146" t="n">
        <x:v>3.1</x:v>
      </x:c>
      <x:c r="L2146" t="n">
        <x:f>ROUND(F2146*K2146/100,2)</x:f>
        <x:v>4.96</x:v>
      </x:c>
      <x:c r="M2146" t="n">
        <x:v>0.3</x:v>
      </x:c>
      <x:c r="N2146" t="n">
        <x:f>ROUND(F2146*M2146/100,2)</x:f>
        <x:v>0.48</x:v>
      </x:c>
      <x:c r="O2146" t="str">
        <x:v>生重</x:v>
      </x:c>
    </x:row>
    <x:row r="2147" ht="23" customHeight="1">
      <x:c r="A2147" t="n">
        <x:v>358</x:v>
      </x:c>
      <x:c r="B2147" t="n">
        <x:v>179</x:v>
      </x:c>
      <x:c r="C2147" t="str">
        <x:v>晚餐</x:v>
      </x:c>
      <x:c r="D2147" t="str">
        <x:v>蔬菜</x:v>
      </x:c>
      <x:c r="E2147" t="str">
        <x:v>洋葱</x:v>
      </x:c>
      <x:c r="F2147" t="n">
        <x:v>125</x:v>
      </x:c>
      <x:c r="G2147" t="n">
        <x:v>40</x:v>
      </x:c>
      <x:c r="H2147" t="n">
        <x:f>ROUND(F2147*G2147/100,2)</x:f>
        <x:v>50</x:v>
      </x:c>
      <x:c r="I2147" t="n">
        <x:v>1.1</x:v>
      </x:c>
      <x:c r="J2147" t="n">
        <x:f>ROUND(F2147*I2147/100,2)</x:f>
        <x:v>1.38</x:v>
      </x:c>
      <x:c r="K2147" t="n">
        <x:v>9.3</x:v>
      </x:c>
      <x:c r="L2147" t="n">
        <x:f>ROUND(F2147*K2147/100,2)</x:f>
        <x:v>11.63</x:v>
      </x:c>
      <x:c r="M2147" t="n">
        <x:v>0.1</x:v>
      </x:c>
      <x:c r="N2147" t="n">
        <x:f>ROUND(F2147*M2147/100,2)</x:f>
        <x:v>0.13</x:v>
      </x:c>
      <x:c r="O2147" t="str">
        <x:v>生重</x:v>
      </x:c>
    </x:row>
    <x:row r="2148" ht="23" customHeight="1">
      <x:c r="A2148" t="n">
        <x:v>358</x:v>
      </x:c>
      <x:c r="B2148" t="n">
        <x:v>179</x:v>
      </x:c>
      <x:c r="C2148" t="str">
        <x:v>晚餐</x:v>
      </x:c>
      <x:c r="D2148" t="str">
        <x:v>主食</x:v>
      </x:c>
      <x:c r="E2148" t="str">
        <x:v>荞麦面</x:v>
      </x:c>
      <x:c r="F2148" t="n">
        <x:v>135</x:v>
      </x:c>
      <x:c r="G2148" t="n">
        <x:v>105</x:v>
      </x:c>
      <x:c r="H2148" t="n">
        <x:f>ROUND(F2148*G2148/100,2)</x:f>
        <x:v>141.75</x:v>
      </x:c>
      <x:c r="I2148" t="n">
        <x:v>4</x:v>
      </x:c>
      <x:c r="J2148" t="n">
        <x:f>ROUND(F2148*I2148/100,2)</x:f>
        <x:v>5.4</x:v>
      </x:c>
      <x:c r="K2148" t="n">
        <x:v>21</x:v>
      </x:c>
      <x:c r="L2148" t="n">
        <x:f>ROUND(F2148*K2148/100,2)</x:f>
        <x:v>28.35</x:v>
      </x:c>
      <x:c r="M2148" t="n">
        <x:v>0.7</x:v>
      </x:c>
      <x:c r="N2148" t="n">
        <x:f>ROUND(F2148*M2148/100,2)</x:f>
        <x:v>0.95</x:v>
      </x:c>
      <x:c r="O2148" t="str">
        <x:v>煮熟沥水重</x:v>
      </x:c>
    </x:row>
    <x:row r="2149" ht="23" customHeight="1">
      <x:c r="A2149" t="n">
        <x:v>358</x:v>
      </x:c>
      <x:c r="B2149" t="n">
        <x:v>179</x:v>
      </x:c>
      <x:c r="C2149" t="str">
        <x:v>晚餐</x:v>
      </x:c>
      <x:c r="D2149" t="str">
        <x:v>油脂</x:v>
      </x:c>
      <x:c r="E2149" t="str">
        <x:v>烹调油</x:v>
      </x:c>
      <x:c r="F2149" t="n">
        <x:v>4</x:v>
      </x:c>
      <x:c r="G2149" t="n">
        <x:v>900</x:v>
      </x:c>
      <x:c r="H2149" t="n">
        <x:f>ROUND(F2149*G2149/100,2)</x:f>
        <x:v>36</x:v>
      </x:c>
      <x:c r="I2149" t="n">
        <x:v>0</x:v>
      </x:c>
      <x:c r="J2149" t="n">
        <x:f>ROUND(F2149*I2149/100,2)</x:f>
        <x:v>0</x:v>
      </x:c>
      <x:c r="K2149" t="n">
        <x:v>0</x:v>
      </x:c>
      <x:c r="L2149" t="n">
        <x:f>ROUND(F2149*K2149/100,2)</x:f>
        <x:v>0</x:v>
      </x:c>
      <x:c r="M2149" t="n">
        <x:v>100</x:v>
      </x:c>
      <x:c r="N2149" t="n">
        <x:f>ROUND(F2149*M2149/100,2)</x:f>
        <x:v>4</x:v>
      </x:c>
      <x:c r="O2149" t="str">
        <x:v>实际用油重</x:v>
      </x:c>
    </x:row>
    <x:row r="2150" ht="23" customHeight="1">
      <x:c r="A2150" t="n">
        <x:v>359</x:v>
      </x:c>
      <x:c r="B2150" t="n">
        <x:v>180</x:v>
      </x:c>
      <x:c r="C2150" t="str">
        <x:v>午餐</x:v>
      </x:c>
      <x:c r="D2150" t="str">
        <x:v>禽肉</x:v>
      </x:c>
      <x:c r="E2150" t="str">
        <x:v>去皮鸡腿肉</x:v>
      </x:c>
      <x:c r="F2150" t="n">
        <x:v>185</x:v>
      </x:c>
      <x:c r="G2150" t="n">
        <x:v>125</x:v>
      </x:c>
      <x:c r="H2150" t="n">
        <x:f>ROUND(F2150*G2150/100,2)</x:f>
        <x:v>231.25</x:v>
      </x:c>
      <x:c r="I2150" t="n">
        <x:v>20</x:v>
      </x:c>
      <x:c r="J2150" t="n">
        <x:f>ROUND(F2150*I2150/100,2)</x:f>
        <x:v>37</x:v>
      </x:c>
      <x:c r="K2150" t="n">
        <x:v>0</x:v>
      </x:c>
      <x:c r="L2150" t="n">
        <x:f>ROUND(F2150*K2150/100,2)</x:f>
        <x:v>0</x:v>
      </x:c>
      <x:c r="M2150" t="n">
        <x:v>5</x:v>
      </x:c>
      <x:c r="N2150" t="n">
        <x:f>ROUND(F2150*M2150/100,2)</x:f>
        <x:v>9.25</x:v>
      </x:c>
      <x:c r="O2150" t="str">
        <x:v>生重</x:v>
      </x:c>
    </x:row>
    <x:row r="2151" ht="23" customHeight="1">
      <x:c r="A2151" t="n">
        <x:v>359</x:v>
      </x:c>
      <x:c r="B2151" t="n">
        <x:v>180</x:v>
      </x:c>
      <x:c r="C2151" t="str">
        <x:v>午餐</x:v>
      </x:c>
      <x:c r="D2151" t="str"/>
      <x:c r="E2151" t="str"/>
      <x:c r="F2151" t="n">
        <x:v>0</x:v>
      </x:c>
      <x:c r="G2151" t="n">
        <x:v>0</x:v>
      </x:c>
      <x:c r="H2151" t="n">
        <x:f>ROUND(F2151*G2151/100,2)</x:f>
        <x:v>0</x:v>
      </x:c>
      <x:c r="I2151" t="n">
        <x:v>0</x:v>
      </x:c>
      <x:c r="J2151" t="n">
        <x:f>ROUND(F2151*I2151/100,2)</x:f>
        <x:v>0</x:v>
      </x:c>
      <x:c r="K2151" t="n">
        <x:v>0</x:v>
      </x:c>
      <x:c r="L2151" t="n">
        <x:f>ROUND(F2151*K2151/100,2)</x:f>
        <x:v>0</x:v>
      </x:c>
      <x:c r="M2151" t="n">
        <x:v>0</x:v>
      </x:c>
      <x:c r="N2151" t="n">
        <x:f>ROUND(F2151*M2151/100,2)</x:f>
        <x:v>0</x:v>
      </x:c>
      <x:c r="O2151" t="str"/>
    </x:row>
    <x:row r="2152" ht="23" customHeight="1">
      <x:c r="A2152" t="n">
        <x:v>359</x:v>
      </x:c>
      <x:c r="B2152" t="n">
        <x:v>180</x:v>
      </x:c>
      <x:c r="C2152" t="str">
        <x:v>午餐</x:v>
      </x:c>
      <x:c r="D2152" t="str">
        <x:v>蔬菜</x:v>
      </x:c>
      <x:c r="E2152" t="str">
        <x:v>四季豆</x:v>
      </x:c>
      <x:c r="F2152" t="n">
        <x:v>175</x:v>
      </x:c>
      <x:c r="G2152" t="n">
        <x:v>31</x:v>
      </x:c>
      <x:c r="H2152" t="n">
        <x:f>ROUND(F2152*G2152/100,2)</x:f>
        <x:v>54.25</x:v>
      </x:c>
      <x:c r="I2152" t="n">
        <x:v>1.8</x:v>
      </x:c>
      <x:c r="J2152" t="n">
        <x:f>ROUND(F2152*I2152/100,2)</x:f>
        <x:v>3.15</x:v>
      </x:c>
      <x:c r="K2152" t="n">
        <x:v>7</x:v>
      </x:c>
      <x:c r="L2152" t="n">
        <x:f>ROUND(F2152*K2152/100,2)</x:f>
        <x:v>12.25</x:v>
      </x:c>
      <x:c r="M2152" t="n">
        <x:v>0.1</x:v>
      </x:c>
      <x:c r="N2152" t="n">
        <x:f>ROUND(F2152*M2152/100,2)</x:f>
        <x:v>0.18</x:v>
      </x:c>
      <x:c r="O2152" t="str">
        <x:v>生重</x:v>
      </x:c>
    </x:row>
    <x:row r="2153" ht="23" customHeight="1">
      <x:c r="A2153" t="n">
        <x:v>359</x:v>
      </x:c>
      <x:c r="B2153" t="n">
        <x:v>180</x:v>
      </x:c>
      <x:c r="C2153" t="str">
        <x:v>午餐</x:v>
      </x:c>
      <x:c r="D2153" t="str">
        <x:v>菌菇</x:v>
      </x:c>
      <x:c r="E2153" t="str">
        <x:v>杏鲍菇</x:v>
      </x:c>
      <x:c r="F2153" t="n">
        <x:v>110</x:v>
      </x:c>
      <x:c r="G2153" t="n">
        <x:v>35</x:v>
      </x:c>
      <x:c r="H2153" t="n">
        <x:f>ROUND(F2153*G2153/100,2)</x:f>
        <x:v>38.5</x:v>
      </x:c>
      <x:c r="I2153" t="n">
        <x:v>2</x:v>
      </x:c>
      <x:c r="J2153" t="n">
        <x:f>ROUND(F2153*I2153/100,2)</x:f>
        <x:v>2.2</x:v>
      </x:c>
      <x:c r="K2153" t="n">
        <x:v>7.4</x:v>
      </x:c>
      <x:c r="L2153" t="n">
        <x:f>ROUND(F2153*K2153/100,2)</x:f>
        <x:v>8.14</x:v>
      </x:c>
      <x:c r="M2153" t="n">
        <x:v>0.3</x:v>
      </x:c>
      <x:c r="N2153" t="n">
        <x:f>ROUND(F2153*M2153/100,2)</x:f>
        <x:v>0.33</x:v>
      </x:c>
      <x:c r="O2153" t="str">
        <x:v>生重</x:v>
      </x:c>
    </x:row>
    <x:row r="2154" ht="23" customHeight="1">
      <x:c r="A2154" t="n">
        <x:v>359</x:v>
      </x:c>
      <x:c r="B2154" t="n">
        <x:v>180</x:v>
      </x:c>
      <x:c r="C2154" t="str">
        <x:v>午餐</x:v>
      </x:c>
      <x:c r="D2154" t="str">
        <x:v>主食</x:v>
      </x:c>
      <x:c r="E2154" t="str">
        <x:v>藜麦饭</x:v>
      </x:c>
      <x:c r="F2154" t="n">
        <x:v>150</x:v>
      </x:c>
      <x:c r="G2154" t="n">
        <x:v>120</x:v>
      </x:c>
      <x:c r="H2154" t="n">
        <x:f>ROUND(F2154*G2154/100,2)</x:f>
        <x:v>180</x:v>
      </x:c>
      <x:c r="I2154" t="n">
        <x:v>4.4</x:v>
      </x:c>
      <x:c r="J2154" t="n">
        <x:f>ROUND(F2154*I2154/100,2)</x:f>
        <x:v>6.6</x:v>
      </x:c>
      <x:c r="K2154" t="n">
        <x:v>21.3</x:v>
      </x:c>
      <x:c r="L2154" t="n">
        <x:f>ROUND(F2154*K2154/100,2)</x:f>
        <x:v>31.95</x:v>
      </x:c>
      <x:c r="M2154" t="n">
        <x:v>1.9</x:v>
      </x:c>
      <x:c r="N2154" t="n">
        <x:f>ROUND(F2154*M2154/100,2)</x:f>
        <x:v>2.85</x:v>
      </x:c>
      <x:c r="O2154" t="str">
        <x:v>熟重</x:v>
      </x:c>
    </x:row>
    <x:row r="2155" ht="23" customHeight="1">
      <x:c r="A2155" t="n">
        <x:v>359</x:v>
      </x:c>
      <x:c r="B2155" t="n">
        <x:v>180</x:v>
      </x:c>
      <x:c r="C2155" t="str">
        <x:v>午餐</x:v>
      </x:c>
      <x:c r="D2155" t="str">
        <x:v>油脂</x:v>
      </x:c>
      <x:c r="E2155" t="str">
        <x:v>烹调油</x:v>
      </x:c>
      <x:c r="F2155" t="n">
        <x:v>5</x:v>
      </x:c>
      <x:c r="G2155" t="n">
        <x:v>900</x:v>
      </x:c>
      <x:c r="H2155" t="n">
        <x:f>ROUND(F2155*G2155/100,2)</x:f>
        <x:v>45</x:v>
      </x:c>
      <x:c r="I2155" t="n">
        <x:v>0</x:v>
      </x:c>
      <x:c r="J2155" t="n">
        <x:f>ROUND(F2155*I2155/100,2)</x:f>
        <x:v>0</x:v>
      </x:c>
      <x:c r="K2155" t="n">
        <x:v>0</x:v>
      </x:c>
      <x:c r="L2155" t="n">
        <x:f>ROUND(F2155*K2155/100,2)</x:f>
        <x:v>0</x:v>
      </x:c>
      <x:c r="M2155" t="n">
        <x:v>100</x:v>
      </x:c>
      <x:c r="N2155" t="n">
        <x:f>ROUND(F2155*M2155/100,2)</x:f>
        <x:v>5</x:v>
      </x:c>
      <x:c r="O2155" t="str">
        <x:v>实际用油重</x:v>
      </x:c>
    </x:row>
    <x:row r="2156" ht="23" customHeight="1">
      <x:c r="A2156" t="n">
        <x:v>360</x:v>
      </x:c>
      <x:c r="B2156" t="n">
        <x:v>180</x:v>
      </x:c>
      <x:c r="C2156" t="str">
        <x:v>晚餐</x:v>
      </x:c>
      <x:c r="D2156" t="str">
        <x:v>牛肉</x:v>
      </x:c>
      <x:c r="E2156" t="str">
        <x:v>肥牛卷</x:v>
      </x:c>
      <x:c r="F2156" t="n">
        <x:v>85</x:v>
      </x:c>
      <x:c r="G2156" t="n">
        <x:v>250</x:v>
      </x:c>
      <x:c r="H2156" t="n">
        <x:f>ROUND(F2156*G2156/100,2)</x:f>
        <x:v>212.5</x:v>
      </x:c>
      <x:c r="I2156" t="n">
        <x:v>16</x:v>
      </x:c>
      <x:c r="J2156" t="n">
        <x:f>ROUND(F2156*I2156/100,2)</x:f>
        <x:v>13.6</x:v>
      </x:c>
      <x:c r="K2156" t="n">
        <x:v>1</x:v>
      </x:c>
      <x:c r="L2156" t="n">
        <x:f>ROUND(F2156*K2156/100,2)</x:f>
        <x:v>0.85</x:v>
      </x:c>
      <x:c r="M2156" t="n">
        <x:v>20</x:v>
      </x:c>
      <x:c r="N2156" t="n">
        <x:f>ROUND(F2156*M2156/100,2)</x:f>
        <x:v>17</x:v>
      </x:c>
      <x:c r="O2156" t="str">
        <x:v>生重；以包装为准</x:v>
      </x:c>
    </x:row>
    <x:row r="2157" ht="23" customHeight="1">
      <x:c r="A2157" t="n">
        <x:v>360</x:v>
      </x:c>
      <x:c r="B2157" t="n">
        <x:v>180</x:v>
      </x:c>
      <x:c r="C2157" t="str">
        <x:v>晚餐</x:v>
      </x:c>
      <x:c r="D2157" t="str">
        <x:v>豆蛋</x:v>
      </x:c>
      <x:c r="E2157" t="str">
        <x:v>北豆腐</x:v>
      </x:c>
      <x:c r="F2157" t="n">
        <x:v>90</x:v>
      </x:c>
      <x:c r="G2157" t="n">
        <x:v>90</x:v>
      </x:c>
      <x:c r="H2157" t="n">
        <x:f>ROUND(F2157*G2157/100,2)</x:f>
        <x:v>81</x:v>
      </x:c>
      <x:c r="I2157" t="n">
        <x:v>10</x:v>
      </x:c>
      <x:c r="J2157" t="n">
        <x:f>ROUND(F2157*I2157/100,2)</x:f>
        <x:v>9</x:v>
      </x:c>
      <x:c r="K2157" t="n">
        <x:v>2</x:v>
      </x:c>
      <x:c r="L2157" t="n">
        <x:f>ROUND(F2157*K2157/100,2)</x:f>
        <x:v>1.8</x:v>
      </x:c>
      <x:c r="M2157" t="n">
        <x:v>5</x:v>
      </x:c>
      <x:c r="N2157" t="n">
        <x:f>ROUND(F2157*M2157/100,2)</x:f>
        <x:v>4.5</x:v>
      </x:c>
      <x:c r="O2157" t="str">
        <x:v>净重</x:v>
      </x:c>
    </x:row>
    <x:row r="2158" ht="23" customHeight="1">
      <x:c r="A2158" t="n">
        <x:v>360</x:v>
      </x:c>
      <x:c r="B2158" t="n">
        <x:v>180</x:v>
      </x:c>
      <x:c r="C2158" t="str">
        <x:v>晚餐</x:v>
      </x:c>
      <x:c r="D2158" t="str">
        <x:v>蔬菜</x:v>
      </x:c>
      <x:c r="E2158" t="str">
        <x:v>荷兰豆</x:v>
      </x:c>
      <x:c r="F2158" t="n">
        <x:v>190</x:v>
      </x:c>
      <x:c r="G2158" t="n">
        <x:v>42</x:v>
      </x:c>
      <x:c r="H2158" t="n">
        <x:f>ROUND(F2158*G2158/100,2)</x:f>
        <x:v>79.8</x:v>
      </x:c>
      <x:c r="I2158" t="n">
        <x:v>2.8</x:v>
      </x:c>
      <x:c r="J2158" t="n">
        <x:f>ROUND(F2158*I2158/100,2)</x:f>
        <x:v>5.32</x:v>
      </x:c>
      <x:c r="K2158" t="n">
        <x:v>7.5</x:v>
      </x:c>
      <x:c r="L2158" t="n">
        <x:f>ROUND(F2158*K2158/100,2)</x:f>
        <x:v>14.25</x:v>
      </x:c>
      <x:c r="M2158" t="n">
        <x:v>0.3</x:v>
      </x:c>
      <x:c r="N2158" t="n">
        <x:f>ROUND(F2158*M2158/100,2)</x:f>
        <x:v>0.57</x:v>
      </x:c>
      <x:c r="O2158" t="str">
        <x:v>生重</x:v>
      </x:c>
    </x:row>
    <x:row r="2159" ht="23" customHeight="1">
      <x:c r="A2159" t="n">
        <x:v>360</x:v>
      </x:c>
      <x:c r="B2159" t="n">
        <x:v>180</x:v>
      </x:c>
      <x:c r="C2159" t="str">
        <x:v>晚餐</x:v>
      </x:c>
      <x:c r="D2159" t="str">
        <x:v>蔬菜</x:v>
      </x:c>
      <x:c r="E2159" t="str">
        <x:v>小白菜</x:v>
      </x:c>
      <x:c r="F2159" t="n">
        <x:v>155</x:v>
      </x:c>
      <x:c r="G2159" t="n">
        <x:v>17</x:v>
      </x:c>
      <x:c r="H2159" t="n">
        <x:f>ROUND(F2159*G2159/100,2)</x:f>
        <x:v>26.35</x:v>
      </x:c>
      <x:c r="I2159" t="n">
        <x:v>1.6</x:v>
      </x:c>
      <x:c r="J2159" t="n">
        <x:f>ROUND(F2159*I2159/100,2)</x:f>
        <x:v>2.48</x:v>
      </x:c>
      <x:c r="K2159" t="n">
        <x:v>2.8</x:v>
      </x:c>
      <x:c r="L2159" t="n">
        <x:f>ROUND(F2159*K2159/100,2)</x:f>
        <x:v>4.34</x:v>
      </x:c>
      <x:c r="M2159" t="n">
        <x:v>0.2</x:v>
      </x:c>
      <x:c r="N2159" t="n">
        <x:f>ROUND(F2159*M2159/100,2)</x:f>
        <x:v>0.31</x:v>
      </x:c>
      <x:c r="O2159" t="str">
        <x:v>生重</x:v>
      </x:c>
    </x:row>
    <x:row r="2160" ht="23" customHeight="1">
      <x:c r="A2160" t="n">
        <x:v>360</x:v>
      </x:c>
      <x:c r="B2160" t="n">
        <x:v>180</x:v>
      </x:c>
      <x:c r="C2160" t="str">
        <x:v>晚餐</x:v>
      </x:c>
      <x:c r="D2160" t="str">
        <x:v>主食</x:v>
      </x:c>
      <x:c r="E2160" t="str">
        <x:v>藜麦饭</x:v>
      </x:c>
      <x:c r="F2160" t="n">
        <x:v>110</x:v>
      </x:c>
      <x:c r="G2160" t="n">
        <x:v>120</x:v>
      </x:c>
      <x:c r="H2160" t="n">
        <x:f>ROUND(F2160*G2160/100,2)</x:f>
        <x:v>132</x:v>
      </x:c>
      <x:c r="I2160" t="n">
        <x:v>4.4</x:v>
      </x:c>
      <x:c r="J2160" t="n">
        <x:f>ROUND(F2160*I2160/100,2)</x:f>
        <x:v>4.84</x:v>
      </x:c>
      <x:c r="K2160" t="n">
        <x:v>21.3</x:v>
      </x:c>
      <x:c r="L2160" t="n">
        <x:f>ROUND(F2160*K2160/100,2)</x:f>
        <x:v>23.43</x:v>
      </x:c>
      <x:c r="M2160" t="n">
        <x:v>1.9</x:v>
      </x:c>
      <x:c r="N2160" t="n">
        <x:f>ROUND(F2160*M2160/100,2)</x:f>
        <x:v>2.09</x:v>
      </x:c>
      <x:c r="O2160" t="str">
        <x:v>熟重</x:v>
      </x:c>
    </x:row>
    <x:row r="2161" ht="23" customHeight="1">
      <x:c r="A2161" t="n">
        <x:v>360</x:v>
      </x:c>
      <x:c r="B2161" t="n">
        <x:v>180</x:v>
      </x:c>
      <x:c r="C2161" t="str">
        <x:v>晚餐</x:v>
      </x:c>
      <x:c r="D2161" t="str">
        <x:v>油脂</x:v>
      </x:c>
      <x:c r="E2161" t="str">
        <x:v>烹调油</x:v>
      </x:c>
      <x:c r="F2161" t="n">
        <x:v>3</x:v>
      </x:c>
      <x:c r="G2161" t="n">
        <x:v>900</x:v>
      </x:c>
      <x:c r="H2161" t="n">
        <x:f>ROUND(F2161*G2161/100,2)</x:f>
        <x:v>27</x:v>
      </x:c>
      <x:c r="I2161" t="n">
        <x:v>0</x:v>
      </x:c>
      <x:c r="J2161" t="n">
        <x:f>ROUND(F2161*I2161/100,2)</x:f>
        <x:v>0</x:v>
      </x:c>
      <x:c r="K2161" t="n">
        <x:v>0</x:v>
      </x:c>
      <x:c r="L2161" t="n">
        <x:f>ROUND(F2161*K2161/100,2)</x:f>
        <x:v>0</x:v>
      </x:c>
      <x:c r="M2161" t="n">
        <x:v>100</x:v>
      </x:c>
      <x:c r="N2161" t="n">
        <x:f>ROUND(F2161*M2161/100,2)</x:f>
        <x:v>3</x:v>
      </x:c>
      <x:c r="O2161" t="str">
        <x:v>实际用油重</x:v>
      </x:c>
    </x:row>
    <x:row r="2162" ht="23" customHeight="1">
      <x:c r="A2162" t="n">
        <x:v>361</x:v>
      </x:c>
      <x:c r="B2162" t="n">
        <x:v>181</x:v>
      </x:c>
      <x:c r="C2162" t="str">
        <x:v>午餐</x:v>
      </x:c>
      <x:c r="D2162" t="str">
        <x:v>鱼类</x:v>
      </x:c>
      <x:c r="E2162" t="str">
        <x:v>鲈鱼</x:v>
      </x:c>
      <x:c r="F2162" t="n">
        <x:v>215</x:v>
      </x:c>
      <x:c r="G2162" t="n">
        <x:v>105</x:v>
      </x:c>
      <x:c r="H2162" t="n">
        <x:f>ROUND(F2162*G2162/100,2)</x:f>
        <x:v>225.75</x:v>
      </x:c>
      <x:c r="I2162" t="n">
        <x:v>19</x:v>
      </x:c>
      <x:c r="J2162" t="n">
        <x:f>ROUND(F2162*I2162/100,2)</x:f>
        <x:v>40.85</x:v>
      </x:c>
      <x:c r="K2162" t="n">
        <x:v>0</x:v>
      </x:c>
      <x:c r="L2162" t="n">
        <x:f>ROUND(F2162*K2162/100,2)</x:f>
        <x:v>0</x:v>
      </x:c>
      <x:c r="M2162" t="n">
        <x:v>3</x:v>
      </x:c>
      <x:c r="N2162" t="n">
        <x:f>ROUND(F2162*M2162/100,2)</x:f>
        <x:v>6.45</x:v>
      </x:c>
      <x:c r="O2162" t="str">
        <x:v>净鱼肉生重</x:v>
      </x:c>
    </x:row>
    <x:row r="2163" ht="23" customHeight="1">
      <x:c r="A2163" t="n">
        <x:v>361</x:v>
      </x:c>
      <x:c r="B2163" t="n">
        <x:v>181</x:v>
      </x:c>
      <x:c r="C2163" t="str">
        <x:v>午餐</x:v>
      </x:c>
      <x:c r="D2163" t="str">
        <x:v>豆蛋</x:v>
      </x:c>
      <x:c r="E2163" t="str">
        <x:v>熟毛豆仁</x:v>
      </x:c>
      <x:c r="F2163" t="n">
        <x:v>50</x:v>
      </x:c>
      <x:c r="G2163" t="n">
        <x:v>120</x:v>
      </x:c>
      <x:c r="H2163" t="n">
        <x:f>ROUND(F2163*G2163/100,2)</x:f>
        <x:v>60</x:v>
      </x:c>
      <x:c r="I2163" t="n">
        <x:v>12</x:v>
      </x:c>
      <x:c r="J2163" t="n">
        <x:f>ROUND(F2163*I2163/100,2)</x:f>
        <x:v>6</x:v>
      </x:c>
      <x:c r="K2163" t="n">
        <x:v>9</x:v>
      </x:c>
      <x:c r="L2163" t="n">
        <x:f>ROUND(F2163*K2163/100,2)</x:f>
        <x:v>4.5</x:v>
      </x:c>
      <x:c r="M2163" t="n">
        <x:v>5</x:v>
      </x:c>
      <x:c r="N2163" t="n">
        <x:f>ROUND(F2163*M2163/100,2)</x:f>
        <x:v>2.5</x:v>
      </x:c>
      <x:c r="O2163" t="str">
        <x:v>熟重</x:v>
      </x:c>
    </x:row>
    <x:row r="2164" ht="23" customHeight="1">
      <x:c r="A2164" t="n">
        <x:v>361</x:v>
      </x:c>
      <x:c r="B2164" t="n">
        <x:v>181</x:v>
      </x:c>
      <x:c r="C2164" t="str">
        <x:v>午餐</x:v>
      </x:c>
      <x:c r="D2164" t="str">
        <x:v>蔬菜</x:v>
      </x:c>
      <x:c r="E2164" t="str">
        <x:v>花菜</x:v>
      </x:c>
      <x:c r="F2164" t="n">
        <x:v>175</x:v>
      </x:c>
      <x:c r="G2164" t="n">
        <x:v>25</x:v>
      </x:c>
      <x:c r="H2164" t="n">
        <x:f>ROUND(F2164*G2164/100,2)</x:f>
        <x:v>43.75</x:v>
      </x:c>
      <x:c r="I2164" t="n">
        <x:v>2</x:v>
      </x:c>
      <x:c r="J2164" t="n">
        <x:f>ROUND(F2164*I2164/100,2)</x:f>
        <x:v>3.5</x:v>
      </x:c>
      <x:c r="K2164" t="n">
        <x:v>5</x:v>
      </x:c>
      <x:c r="L2164" t="n">
        <x:f>ROUND(F2164*K2164/100,2)</x:f>
        <x:v>8.75</x:v>
      </x:c>
      <x:c r="M2164" t="n">
        <x:v>0.3</x:v>
      </x:c>
      <x:c r="N2164" t="n">
        <x:f>ROUND(F2164*M2164/100,2)</x:f>
        <x:v>0.53</x:v>
      </x:c>
      <x:c r="O2164" t="str">
        <x:v>生重</x:v>
      </x:c>
    </x:row>
    <x:row r="2165" ht="23" customHeight="1">
      <x:c r="A2165" t="n">
        <x:v>361</x:v>
      </x:c>
      <x:c r="B2165" t="n">
        <x:v>181</x:v>
      </x:c>
      <x:c r="C2165" t="str">
        <x:v>午餐</x:v>
      </x:c>
      <x:c r="D2165" t="str">
        <x:v>蔬菜</x:v>
      </x:c>
      <x:c r="E2165" t="str">
        <x:v>海带</x:v>
      </x:c>
      <x:c r="F2165" t="n">
        <x:v>155</x:v>
      </x:c>
      <x:c r="G2165" t="n">
        <x:v>25</x:v>
      </x:c>
      <x:c r="H2165" t="n">
        <x:f>ROUND(F2165*G2165/100,2)</x:f>
        <x:v>38.75</x:v>
      </x:c>
      <x:c r="I2165" t="n">
        <x:v>1</x:v>
      </x:c>
      <x:c r="J2165" t="n">
        <x:f>ROUND(F2165*I2165/100,2)</x:f>
        <x:v>1.55</x:v>
      </x:c>
      <x:c r="K2165" t="n">
        <x:v>5</x:v>
      </x:c>
      <x:c r="L2165" t="n">
        <x:f>ROUND(F2165*K2165/100,2)</x:f>
        <x:v>7.75</x:v>
      </x:c>
      <x:c r="M2165" t="n">
        <x:v>0.1</x:v>
      </x:c>
      <x:c r="N2165" t="n">
        <x:f>ROUND(F2165*M2165/100,2)</x:f>
        <x:v>0.16</x:v>
      </x:c>
      <x:c r="O2165" t="str">
        <x:v>泡发沥水重</x:v>
      </x:c>
    </x:row>
    <x:row r="2166" ht="23" customHeight="1">
      <x:c r="A2166" t="n">
        <x:v>361</x:v>
      </x:c>
      <x:c r="B2166" t="n">
        <x:v>181</x:v>
      </x:c>
      <x:c r="C2166" t="str">
        <x:v>午餐</x:v>
      </x:c>
      <x:c r="D2166" t="str">
        <x:v>主食</x:v>
      </x:c>
      <x:c r="E2166" t="str">
        <x:v>荞麦面</x:v>
      </x:c>
      <x:c r="F2166" t="n">
        <x:v>165</x:v>
      </x:c>
      <x:c r="G2166" t="n">
        <x:v>105</x:v>
      </x:c>
      <x:c r="H2166" t="n">
        <x:f>ROUND(F2166*G2166/100,2)</x:f>
        <x:v>173.25</x:v>
      </x:c>
      <x:c r="I2166" t="n">
        <x:v>4</x:v>
      </x:c>
      <x:c r="J2166" t="n">
        <x:f>ROUND(F2166*I2166/100,2)</x:f>
        <x:v>6.6</x:v>
      </x:c>
      <x:c r="K2166" t="n">
        <x:v>21</x:v>
      </x:c>
      <x:c r="L2166" t="n">
        <x:f>ROUND(F2166*K2166/100,2)</x:f>
        <x:v>34.65</x:v>
      </x:c>
      <x:c r="M2166" t="n">
        <x:v>0.7</x:v>
      </x:c>
      <x:c r="N2166" t="n">
        <x:f>ROUND(F2166*M2166/100,2)</x:f>
        <x:v>1.15</x:v>
      </x:c>
      <x:c r="O2166" t="str">
        <x:v>煮熟沥水重</x:v>
      </x:c>
    </x:row>
    <x:row r="2167" ht="23" customHeight="1">
      <x:c r="A2167" t="n">
        <x:v>361</x:v>
      </x:c>
      <x:c r="B2167" t="n">
        <x:v>181</x:v>
      </x:c>
      <x:c r="C2167" t="str">
        <x:v>午餐</x:v>
      </x:c>
      <x:c r="D2167" t="str">
        <x:v>油脂</x:v>
      </x:c>
      <x:c r="E2167" t="str">
        <x:v>烹调油</x:v>
      </x:c>
      <x:c r="F2167" t="n">
        <x:v>6</x:v>
      </x:c>
      <x:c r="G2167" t="n">
        <x:v>900</x:v>
      </x:c>
      <x:c r="H2167" t="n">
        <x:f>ROUND(F2167*G2167/100,2)</x:f>
        <x:v>54</x:v>
      </x:c>
      <x:c r="I2167" t="n">
        <x:v>0</x:v>
      </x:c>
      <x:c r="J2167" t="n">
        <x:f>ROUND(F2167*I2167/100,2)</x:f>
        <x:v>0</x:v>
      </x:c>
      <x:c r="K2167" t="n">
        <x:v>0</x:v>
      </x:c>
      <x:c r="L2167" t="n">
        <x:f>ROUND(F2167*K2167/100,2)</x:f>
        <x:v>0</x:v>
      </x:c>
      <x:c r="M2167" t="n">
        <x:v>100</x:v>
      </x:c>
      <x:c r="N2167" t="n">
        <x:f>ROUND(F2167*M2167/100,2)</x:f>
        <x:v>6</x:v>
      </x:c>
      <x:c r="O2167" t="str">
        <x:v>实际用油重</x:v>
      </x:c>
    </x:row>
    <x:row r="2168" ht="23" customHeight="1">
      <x:c r="A2168" t="n">
        <x:v>362</x:v>
      </x:c>
      <x:c r="B2168" t="n">
        <x:v>181</x:v>
      </x:c>
      <x:c r="C2168" t="str">
        <x:v>晚餐</x:v>
      </x:c>
      <x:c r="D2168" t="str">
        <x:v>海鲜</x:v>
      </x:c>
      <x:c r="E2168" t="str">
        <x:v>扇贝肉</x:v>
      </x:c>
      <x:c r="F2168" t="n">
        <x:v>170</x:v>
      </x:c>
      <x:c r="G2168" t="n">
        <x:v>90</x:v>
      </x:c>
      <x:c r="H2168" t="n">
        <x:f>ROUND(F2168*G2168/100,2)</x:f>
        <x:v>153</x:v>
      </x:c>
      <x:c r="I2168" t="n">
        <x:v>17</x:v>
      </x:c>
      <x:c r="J2168" t="n">
        <x:f>ROUND(F2168*I2168/100,2)</x:f>
        <x:v>28.9</x:v>
      </x:c>
      <x:c r="K2168" t="n">
        <x:v>3</x:v>
      </x:c>
      <x:c r="L2168" t="n">
        <x:f>ROUND(F2168*K2168/100,2)</x:f>
        <x:v>5.1</x:v>
      </x:c>
      <x:c r="M2168" t="n">
        <x:v>0.8</x:v>
      </x:c>
      <x:c r="N2168" t="n">
        <x:f>ROUND(F2168*M2168/100,2)</x:f>
        <x:v>1.36</x:v>
      </x:c>
      <x:c r="O2168" t="str">
        <x:v>生重</x:v>
      </x:c>
    </x:row>
    <x:row r="2169" ht="23" customHeight="1">
      <x:c r="A2169" t="n">
        <x:v>362</x:v>
      </x:c>
      <x:c r="B2169" t="n">
        <x:v>181</x:v>
      </x:c>
      <x:c r="C2169" t="str">
        <x:v>晚餐</x:v>
      </x:c>
      <x:c r="D2169" t="str"/>
      <x:c r="E2169" t="str"/>
      <x:c r="F2169" t="n">
        <x:v>0</x:v>
      </x:c>
      <x:c r="G2169" t="n">
        <x:v>0</x:v>
      </x:c>
      <x:c r="H2169" t="n">
        <x:f>ROUND(F2169*G2169/100,2)</x:f>
        <x:v>0</x:v>
      </x:c>
      <x:c r="I2169" t="n">
        <x:v>0</x:v>
      </x:c>
      <x:c r="J2169" t="n">
        <x:f>ROUND(F2169*I2169/100,2)</x:f>
        <x:v>0</x:v>
      </x:c>
      <x:c r="K2169" t="n">
        <x:v>0</x:v>
      </x:c>
      <x:c r="L2169" t="n">
        <x:f>ROUND(F2169*K2169/100,2)</x:f>
        <x:v>0</x:v>
      </x:c>
      <x:c r="M2169" t="n">
        <x:v>0</x:v>
      </x:c>
      <x:c r="N2169" t="n">
        <x:f>ROUND(F2169*M2169/100,2)</x:f>
        <x:v>0</x:v>
      </x:c>
      <x:c r="O2169" t="str"/>
    </x:row>
    <x:row r="2170" ht="23" customHeight="1">
      <x:c r="A2170" t="n">
        <x:v>362</x:v>
      </x:c>
      <x:c r="B2170" t="n">
        <x:v>181</x:v>
      </x:c>
      <x:c r="C2170" t="str">
        <x:v>晚餐</x:v>
      </x:c>
      <x:c r="D2170" t="str">
        <x:v>蔬菜</x:v>
      </x:c>
      <x:c r="E2170" t="str">
        <x:v>芦笋</x:v>
      </x:c>
      <x:c r="F2170" t="n">
        <x:v>175</x:v>
      </x:c>
      <x:c r="G2170" t="n">
        <x:v>20</x:v>
      </x:c>
      <x:c r="H2170" t="n">
        <x:f>ROUND(F2170*G2170/100,2)</x:f>
        <x:v>35</x:v>
      </x:c>
      <x:c r="I2170" t="n">
        <x:v>2.2</x:v>
      </x:c>
      <x:c r="J2170" t="n">
        <x:f>ROUND(F2170*I2170/100,2)</x:f>
        <x:v>3.85</x:v>
      </x:c>
      <x:c r="K2170" t="n">
        <x:v>3.9</x:v>
      </x:c>
      <x:c r="L2170" t="n">
        <x:f>ROUND(F2170*K2170/100,2)</x:f>
        <x:v>6.83</x:v>
      </x:c>
      <x:c r="M2170" t="n">
        <x:v>0.1</x:v>
      </x:c>
      <x:c r="N2170" t="n">
        <x:f>ROUND(F2170*M2170/100,2)</x:f>
        <x:v>0.18</x:v>
      </x:c>
      <x:c r="O2170" t="str">
        <x:v>生重</x:v>
      </x:c>
    </x:row>
    <x:row r="2171" ht="23" customHeight="1">
      <x:c r="A2171" t="n">
        <x:v>362</x:v>
      </x:c>
      <x:c r="B2171" t="n">
        <x:v>181</x:v>
      </x:c>
      <x:c r="C2171" t="str">
        <x:v>晚餐</x:v>
      </x:c>
      <x:c r="D2171" t="str">
        <x:v>蔬菜</x:v>
      </x:c>
      <x:c r="E2171" t="str">
        <x:v>白萝卜</x:v>
      </x:c>
      <x:c r="F2171" t="n">
        <x:v>140</x:v>
      </x:c>
      <x:c r="G2171" t="n">
        <x:v>18</x:v>
      </x:c>
      <x:c r="H2171" t="n">
        <x:f>ROUND(F2171*G2171/100,2)</x:f>
        <x:v>25.2</x:v>
      </x:c>
      <x:c r="I2171" t="n">
        <x:v>0.6</x:v>
      </x:c>
      <x:c r="J2171" t="n">
        <x:f>ROUND(F2171*I2171/100,2)</x:f>
        <x:v>0.84</x:v>
      </x:c>
      <x:c r="K2171" t="n">
        <x:v>4</x:v>
      </x:c>
      <x:c r="L2171" t="n">
        <x:f>ROUND(F2171*K2171/100,2)</x:f>
        <x:v>5.6</x:v>
      </x:c>
      <x:c r="M2171" t="n">
        <x:v>0.1</x:v>
      </x:c>
      <x:c r="N2171" t="n">
        <x:f>ROUND(F2171*M2171/100,2)</x:f>
        <x:v>0.14</x:v>
      </x:c>
      <x:c r="O2171" t="str">
        <x:v>生重</x:v>
      </x:c>
    </x:row>
    <x:row r="2172" ht="23" customHeight="1">
      <x:c r="A2172" t="n">
        <x:v>362</x:v>
      </x:c>
      <x:c r="B2172" t="n">
        <x:v>181</x:v>
      </x:c>
      <x:c r="C2172" t="str">
        <x:v>晚餐</x:v>
      </x:c>
      <x:c r="D2172" t="str">
        <x:v>主食</x:v>
      </x:c>
      <x:c r="E2172" t="str">
        <x:v>糙米饭</x:v>
      </x:c>
      <x:c r="F2172" t="n">
        <x:v>135</x:v>
      </x:c>
      <x:c r="G2172" t="n">
        <x:v>112</x:v>
      </x:c>
      <x:c r="H2172" t="n">
        <x:f>ROUND(F2172*G2172/100,2)</x:f>
        <x:v>151.2</x:v>
      </x:c>
      <x:c r="I2172" t="n">
        <x:v>2.6</x:v>
      </x:c>
      <x:c r="J2172" t="n">
        <x:f>ROUND(F2172*I2172/100,2)</x:f>
        <x:v>3.51</x:v>
      </x:c>
      <x:c r="K2172" t="n">
        <x:v>23.5</x:v>
      </x:c>
      <x:c r="L2172" t="n">
        <x:f>ROUND(F2172*K2172/100,2)</x:f>
        <x:v>31.73</x:v>
      </x:c>
      <x:c r="M2172" t="n">
        <x:v>0.9</x:v>
      </x:c>
      <x:c r="N2172" t="n">
        <x:f>ROUND(F2172*M2172/100,2)</x:f>
        <x:v>1.22</x:v>
      </x:c>
      <x:c r="O2172" t="str">
        <x:v>熟重</x:v>
      </x:c>
    </x:row>
    <x:row r="2173" ht="23" customHeight="1">
      <x:c r="A2173" t="n">
        <x:v>362</x:v>
      </x:c>
      <x:c r="B2173" t="n">
        <x:v>181</x:v>
      </x:c>
      <x:c r="C2173" t="str">
        <x:v>晚餐</x:v>
      </x:c>
      <x:c r="D2173" t="str">
        <x:v>油脂</x:v>
      </x:c>
      <x:c r="E2173" t="str">
        <x:v>烹调油</x:v>
      </x:c>
      <x:c r="F2173" t="n">
        <x:v>5</x:v>
      </x:c>
      <x:c r="G2173" t="n">
        <x:v>900</x:v>
      </x:c>
      <x:c r="H2173" t="n">
        <x:f>ROUND(F2173*G2173/100,2)</x:f>
        <x:v>45</x:v>
      </x:c>
      <x:c r="I2173" t="n">
        <x:v>0</x:v>
      </x:c>
      <x:c r="J2173" t="n">
        <x:f>ROUND(F2173*I2173/100,2)</x:f>
        <x:v>0</x:v>
      </x:c>
      <x:c r="K2173" t="n">
        <x:v>0</x:v>
      </x:c>
      <x:c r="L2173" t="n">
        <x:f>ROUND(F2173*K2173/100,2)</x:f>
        <x:v>0</x:v>
      </x:c>
      <x:c r="M2173" t="n">
        <x:v>100</x:v>
      </x:c>
      <x:c r="N2173" t="n">
        <x:f>ROUND(F2173*M2173/100,2)</x:f>
        <x:v>5</x:v>
      </x:c>
      <x:c r="O2173" t="str">
        <x:v>实际用油重</x:v>
      </x:c>
    </x:row>
    <x:row r="2174" ht="23" customHeight="1">
      <x:c r="A2174" t="n">
        <x:v>363</x:v>
      </x:c>
      <x:c r="B2174" t="n">
        <x:v>182</x:v>
      </x:c>
      <x:c r="C2174" t="str">
        <x:v>午餐</x:v>
      </x:c>
      <x:c r="D2174" t="str">
        <x:v>鱼类</x:v>
      </x:c>
      <x:c r="E2174" t="str">
        <x:v>三文鱼</x:v>
      </x:c>
      <x:c r="F2174" t="n">
        <x:v>120</x:v>
      </x:c>
      <x:c r="G2174" t="n">
        <x:v>205</x:v>
      </x:c>
      <x:c r="H2174" t="n">
        <x:f>ROUND(F2174*G2174/100,2)</x:f>
        <x:v>246</x:v>
      </x:c>
      <x:c r="I2174" t="n">
        <x:v>20</x:v>
      </x:c>
      <x:c r="J2174" t="n">
        <x:f>ROUND(F2174*I2174/100,2)</x:f>
        <x:v>24</x:v>
      </x:c>
      <x:c r="K2174" t="n">
        <x:v>0</x:v>
      </x:c>
      <x:c r="L2174" t="n">
        <x:f>ROUND(F2174*K2174/100,2)</x:f>
        <x:v>0</x:v>
      </x:c>
      <x:c r="M2174" t="n">
        <x:v>13</x:v>
      </x:c>
      <x:c r="N2174" t="n">
        <x:f>ROUND(F2174*M2174/100,2)</x:f>
        <x:v>15.6</x:v>
      </x:c>
      <x:c r="O2174" t="str">
        <x:v>净鱼肉生重</x:v>
      </x:c>
    </x:row>
    <x:row r="2175" ht="23" customHeight="1">
      <x:c r="A2175" t="n">
        <x:v>363</x:v>
      </x:c>
      <x:c r="B2175" t="n">
        <x:v>182</x:v>
      </x:c>
      <x:c r="C2175" t="str">
        <x:v>午餐</x:v>
      </x:c>
      <x:c r="D2175" t="str"/>
      <x:c r="E2175" t="str"/>
      <x:c r="F2175" t="n">
        <x:v>0</x:v>
      </x:c>
      <x:c r="G2175" t="n">
        <x:v>0</x:v>
      </x:c>
      <x:c r="H2175" t="n">
        <x:f>ROUND(F2175*G2175/100,2)</x:f>
        <x:v>0</x:v>
      </x:c>
      <x:c r="I2175" t="n">
        <x:v>0</x:v>
      </x:c>
      <x:c r="J2175" t="n">
        <x:f>ROUND(F2175*I2175/100,2)</x:f>
        <x:v>0</x:v>
      </x:c>
      <x:c r="K2175" t="n">
        <x:v>0</x:v>
      </x:c>
      <x:c r="L2175" t="n">
        <x:f>ROUND(F2175*K2175/100,2)</x:f>
        <x:v>0</x:v>
      </x:c>
      <x:c r="M2175" t="n">
        <x:v>0</x:v>
      </x:c>
      <x:c r="N2175" t="n">
        <x:f>ROUND(F2175*M2175/100,2)</x:f>
        <x:v>0</x:v>
      </x:c>
      <x:c r="O2175" t="str"/>
    </x:row>
    <x:row r="2176" ht="23" customHeight="1">
      <x:c r="A2176" t="n">
        <x:v>363</x:v>
      </x:c>
      <x:c r="B2176" t="n">
        <x:v>182</x:v>
      </x:c>
      <x:c r="C2176" t="str">
        <x:v>午餐</x:v>
      </x:c>
      <x:c r="D2176" t="str">
        <x:v>蔬菜</x:v>
      </x:c>
      <x:c r="E2176" t="str">
        <x:v>西葫芦</x:v>
      </x:c>
      <x:c r="F2176" t="n">
        <x:v>140</x:v>
      </x:c>
      <x:c r="G2176" t="n">
        <x:v>17</x:v>
      </x:c>
      <x:c r="H2176" t="n">
        <x:f>ROUND(F2176*G2176/100,2)</x:f>
        <x:v>23.8</x:v>
      </x:c>
      <x:c r="I2176" t="n">
        <x:v>1.2</x:v>
      </x:c>
      <x:c r="J2176" t="n">
        <x:f>ROUND(F2176*I2176/100,2)</x:f>
        <x:v>1.68</x:v>
      </x:c>
      <x:c r="K2176" t="n">
        <x:v>3.1</x:v>
      </x:c>
      <x:c r="L2176" t="n">
        <x:f>ROUND(F2176*K2176/100,2)</x:f>
        <x:v>4.34</x:v>
      </x:c>
      <x:c r="M2176" t="n">
        <x:v>0.3</x:v>
      </x:c>
      <x:c r="N2176" t="n">
        <x:f>ROUND(F2176*M2176/100,2)</x:f>
        <x:v>0.42</x:v>
      </x:c>
      <x:c r="O2176" t="str">
        <x:v>生重</x:v>
      </x:c>
    </x:row>
    <x:row r="2177" ht="23" customHeight="1">
      <x:c r="A2177" t="n">
        <x:v>363</x:v>
      </x:c>
      <x:c r="B2177" t="n">
        <x:v>182</x:v>
      </x:c>
      <x:c r="C2177" t="str">
        <x:v>午餐</x:v>
      </x:c>
      <x:c r="D2177" t="str">
        <x:v>蔬菜</x:v>
      </x:c>
      <x:c r="E2177" t="str">
        <x:v>菜心</x:v>
      </x:c>
      <x:c r="F2177" t="n">
        <x:v>140</x:v>
      </x:c>
      <x:c r="G2177" t="n">
        <x:v>20</x:v>
      </x:c>
      <x:c r="H2177" t="n">
        <x:f>ROUND(F2177*G2177/100,2)</x:f>
        <x:v>28</x:v>
      </x:c>
      <x:c r="I2177" t="n">
        <x:v>2</x:v>
      </x:c>
      <x:c r="J2177" t="n">
        <x:f>ROUND(F2177*I2177/100,2)</x:f>
        <x:v>2.8</x:v>
      </x:c>
      <x:c r="K2177" t="n">
        <x:v>3.5</x:v>
      </x:c>
      <x:c r="L2177" t="n">
        <x:f>ROUND(F2177*K2177/100,2)</x:f>
        <x:v>4.9</x:v>
      </x:c>
      <x:c r="M2177" t="n">
        <x:v>0.3</x:v>
      </x:c>
      <x:c r="N2177" t="n">
        <x:f>ROUND(F2177*M2177/100,2)</x:f>
        <x:v>0.42</x:v>
      </x:c>
      <x:c r="O2177" t="str">
        <x:v>生重</x:v>
      </x:c>
    </x:row>
    <x:row r="2178" ht="23" customHeight="1">
      <x:c r="A2178" t="n">
        <x:v>363</x:v>
      </x:c>
      <x:c r="B2178" t="n">
        <x:v>182</x:v>
      </x:c>
      <x:c r="C2178" t="str">
        <x:v>午餐</x:v>
      </x:c>
      <x:c r="D2178" t="str">
        <x:v>主食</x:v>
      </x:c>
      <x:c r="E2178" t="str">
        <x:v>白米饭</x:v>
      </x:c>
      <x:c r="F2178" t="n">
        <x:v>135</x:v>
      </x:c>
      <x:c r="G2178" t="n">
        <x:v>116</x:v>
      </x:c>
      <x:c r="H2178" t="n">
        <x:f>ROUND(F2178*G2178/100,2)</x:f>
        <x:v>156.6</x:v>
      </x:c>
      <x:c r="I2178" t="n">
        <x:v>2.6</x:v>
      </x:c>
      <x:c r="J2178" t="n">
        <x:f>ROUND(F2178*I2178/100,2)</x:f>
        <x:v>3.51</x:v>
      </x:c>
      <x:c r="K2178" t="n">
        <x:v>25.6</x:v>
      </x:c>
      <x:c r="L2178" t="n">
        <x:f>ROUND(F2178*K2178/100,2)</x:f>
        <x:v>34.56</x:v>
      </x:c>
      <x:c r="M2178" t="n">
        <x:v>0.3</x:v>
      </x:c>
      <x:c r="N2178" t="n">
        <x:f>ROUND(F2178*M2178/100,2)</x:f>
        <x:v>0.41</x:v>
      </x:c>
      <x:c r="O2178" t="str">
        <x:v>熟重</x:v>
      </x:c>
    </x:row>
    <x:row r="2179" ht="23" customHeight="1">
      <x:c r="A2179" t="n">
        <x:v>363</x:v>
      </x:c>
      <x:c r="B2179" t="n">
        <x:v>182</x:v>
      </x:c>
      <x:c r="C2179" t="str">
        <x:v>午餐</x:v>
      </x:c>
      <x:c r="D2179" t="str">
        <x:v>油脂</x:v>
      </x:c>
      <x:c r="E2179" t="str">
        <x:v>烹调油</x:v>
      </x:c>
      <x:c r="F2179" t="n">
        <x:v>4</x:v>
      </x:c>
      <x:c r="G2179" t="n">
        <x:v>900</x:v>
      </x:c>
      <x:c r="H2179" t="n">
        <x:f>ROUND(F2179*G2179/100,2)</x:f>
        <x:v>36</x:v>
      </x:c>
      <x:c r="I2179" t="n">
        <x:v>0</x:v>
      </x:c>
      <x:c r="J2179" t="n">
        <x:f>ROUND(F2179*I2179/100,2)</x:f>
        <x:v>0</x:v>
      </x:c>
      <x:c r="K2179" t="n">
        <x:v>0</x:v>
      </x:c>
      <x:c r="L2179" t="n">
        <x:f>ROUND(F2179*K2179/100,2)</x:f>
        <x:v>0</x:v>
      </x:c>
      <x:c r="M2179" t="n">
        <x:v>100</x:v>
      </x:c>
      <x:c r="N2179" t="n">
        <x:f>ROUND(F2179*M2179/100,2)</x:f>
        <x:v>4</x:v>
      </x:c>
      <x:c r="O2179" t="str">
        <x:v>实际用油重</x:v>
      </x:c>
    </x:row>
    <x:row r="2180" ht="23" customHeight="1">
      <x:c r="A2180" t="n">
        <x:v>364</x:v>
      </x:c>
      <x:c r="B2180" t="n">
        <x:v>182</x:v>
      </x:c>
      <x:c r="C2180" t="str">
        <x:v>晚餐</x:v>
      </x:c>
      <x:c r="D2180" t="str">
        <x:v>禽肉</x:v>
      </x:c>
      <x:c r="E2180" t="str">
        <x:v>去皮鸭胸肉</x:v>
      </x:c>
      <x:c r="F2180" t="n">
        <x:v>145</x:v>
      </x:c>
      <x:c r="G2180" t="n">
        <x:v>140</x:v>
      </x:c>
      <x:c r="H2180" t="n">
        <x:f>ROUND(F2180*G2180/100,2)</x:f>
        <x:v>203</x:v>
      </x:c>
      <x:c r="I2180" t="n">
        <x:v>19</x:v>
      </x:c>
      <x:c r="J2180" t="n">
        <x:f>ROUND(F2180*I2180/100,2)</x:f>
        <x:v>27.55</x:v>
      </x:c>
      <x:c r="K2180" t="n">
        <x:v>0</x:v>
      </x:c>
      <x:c r="L2180" t="n">
        <x:f>ROUND(F2180*K2180/100,2)</x:f>
        <x:v>0</x:v>
      </x:c>
      <x:c r="M2180" t="n">
        <x:v>7</x:v>
      </x:c>
      <x:c r="N2180" t="n">
        <x:f>ROUND(F2180*M2180/100,2)</x:f>
        <x:v>10.15</x:v>
      </x:c>
      <x:c r="O2180" t="str">
        <x:v>生重</x:v>
      </x:c>
    </x:row>
    <x:row r="2181" ht="23" customHeight="1">
      <x:c r="A2181" t="n">
        <x:v>364</x:v>
      </x:c>
      <x:c r="B2181" t="n">
        <x:v>182</x:v>
      </x:c>
      <x:c r="C2181" t="str">
        <x:v>晚餐</x:v>
      </x:c>
      <x:c r="D2181" t="str"/>
      <x:c r="E2181" t="str"/>
      <x:c r="F2181" t="n">
        <x:v>0</x:v>
      </x:c>
      <x:c r="G2181" t="n">
        <x:v>0</x:v>
      </x:c>
      <x:c r="H2181" t="n">
        <x:f>ROUND(F2181*G2181/100,2)</x:f>
        <x:v>0</x:v>
      </x:c>
      <x:c r="I2181" t="n">
        <x:v>0</x:v>
      </x:c>
      <x:c r="J2181" t="n">
        <x:f>ROUND(F2181*I2181/100,2)</x:f>
        <x:v>0</x:v>
      </x:c>
      <x:c r="K2181" t="n">
        <x:v>0</x:v>
      </x:c>
      <x:c r="L2181" t="n">
        <x:f>ROUND(F2181*K2181/100,2)</x:f>
        <x:v>0</x:v>
      </x:c>
      <x:c r="M2181" t="n">
        <x:v>0</x:v>
      </x:c>
      <x:c r="N2181" t="n">
        <x:f>ROUND(F2181*M2181/100,2)</x:f>
        <x:v>0</x:v>
      </x:c>
      <x:c r="O2181" t="str"/>
    </x:row>
    <x:row r="2182" ht="23" customHeight="1">
      <x:c r="A2182" t="n">
        <x:v>364</x:v>
      </x:c>
      <x:c r="B2182" t="n">
        <x:v>182</x:v>
      </x:c>
      <x:c r="C2182" t="str">
        <x:v>晚餐</x:v>
      </x:c>
      <x:c r="D2182" t="str">
        <x:v>蔬菜</x:v>
      </x:c>
      <x:c r="E2182" t="str">
        <x:v>菜心</x:v>
      </x:c>
      <x:c r="F2182" t="n">
        <x:v>140</x:v>
      </x:c>
      <x:c r="G2182" t="n">
        <x:v>20</x:v>
      </x:c>
      <x:c r="H2182" t="n">
        <x:f>ROUND(F2182*G2182/100,2)</x:f>
        <x:v>28</x:v>
      </x:c>
      <x:c r="I2182" t="n">
        <x:v>2</x:v>
      </x:c>
      <x:c r="J2182" t="n">
        <x:f>ROUND(F2182*I2182/100,2)</x:f>
        <x:v>2.8</x:v>
      </x:c>
      <x:c r="K2182" t="n">
        <x:v>3.5</x:v>
      </x:c>
      <x:c r="L2182" t="n">
        <x:f>ROUND(F2182*K2182/100,2)</x:f>
        <x:v>4.9</x:v>
      </x:c>
      <x:c r="M2182" t="n">
        <x:v>0.3</x:v>
      </x:c>
      <x:c r="N2182" t="n">
        <x:f>ROUND(F2182*M2182/100,2)</x:f>
        <x:v>0.42</x:v>
      </x:c>
      <x:c r="O2182" t="str">
        <x:v>生重</x:v>
      </x:c>
    </x:row>
    <x:row r="2183" ht="23" customHeight="1">
      <x:c r="A2183" t="n">
        <x:v>364</x:v>
      </x:c>
      <x:c r="B2183" t="n">
        <x:v>182</x:v>
      </x:c>
      <x:c r="C2183" t="str">
        <x:v>晚餐</x:v>
      </x:c>
      <x:c r="D2183" t="str">
        <x:v>蔬菜</x:v>
      </x:c>
      <x:c r="E2183" t="str">
        <x:v>黄瓜</x:v>
      </x:c>
      <x:c r="F2183" t="n">
        <x:v>125</x:v>
      </x:c>
      <x:c r="G2183" t="n">
        <x:v>16</x:v>
      </x:c>
      <x:c r="H2183" t="n">
        <x:f>ROUND(F2183*G2183/100,2)</x:f>
        <x:v>20</x:v>
      </x:c>
      <x:c r="I2183" t="n">
        <x:v>0.7</x:v>
      </x:c>
      <x:c r="J2183" t="n">
        <x:f>ROUND(F2183*I2183/100,2)</x:f>
        <x:v>0.88</x:v>
      </x:c>
      <x:c r="K2183" t="n">
        <x:v>3.6</x:v>
      </x:c>
      <x:c r="L2183" t="n">
        <x:f>ROUND(F2183*K2183/100,2)</x:f>
        <x:v>4.5</x:v>
      </x:c>
      <x:c r="M2183" t="n">
        <x:v>0.1</x:v>
      </x:c>
      <x:c r="N2183" t="n">
        <x:f>ROUND(F2183*M2183/100,2)</x:f>
        <x:v>0.13</x:v>
      </x:c>
      <x:c r="O2183" t="str">
        <x:v>生重</x:v>
      </x:c>
    </x:row>
    <x:row r="2184" ht="23" customHeight="1">
      <x:c r="A2184" t="n">
        <x:v>364</x:v>
      </x:c>
      <x:c r="B2184" t="n">
        <x:v>182</x:v>
      </x:c>
      <x:c r="C2184" t="str">
        <x:v>晚餐</x:v>
      </x:c>
      <x:c r="D2184" t="str">
        <x:v>主食</x:v>
      </x:c>
      <x:c r="E2184" t="str">
        <x:v>杂粮饭</x:v>
      </x:c>
      <x:c r="F2184" t="n">
        <x:v>125</x:v>
      </x:c>
      <x:c r="G2184" t="n">
        <x:v>115</x:v>
      </x:c>
      <x:c r="H2184" t="n">
        <x:f>ROUND(F2184*G2184/100,2)</x:f>
        <x:v>143.75</x:v>
      </x:c>
      <x:c r="I2184" t="n">
        <x:v>3.1</x:v>
      </x:c>
      <x:c r="J2184" t="n">
        <x:f>ROUND(F2184*I2184/100,2)</x:f>
        <x:v>3.88</x:v>
      </x:c>
      <x:c r="K2184" t="n">
        <x:v>23.5</x:v>
      </x:c>
      <x:c r="L2184" t="n">
        <x:f>ROUND(F2184*K2184/100,2)</x:f>
        <x:v>29.38</x:v>
      </x:c>
      <x:c r="M2184" t="n">
        <x:v>1.1</x:v>
      </x:c>
      <x:c r="N2184" t="n">
        <x:f>ROUND(F2184*M2184/100,2)</x:f>
        <x:v>1.38</x:v>
      </x:c>
      <x:c r="O2184" t="str">
        <x:v>熟重</x:v>
      </x:c>
    </x:row>
    <x:row r="2185" ht="23" customHeight="1">
      <x:c r="A2185" t="n">
        <x:v>364</x:v>
      </x:c>
      <x:c r="B2185" t="n">
        <x:v>182</x:v>
      </x:c>
      <x:c r="C2185" t="str">
        <x:v>晚餐</x:v>
      </x:c>
      <x:c r="D2185" t="str">
        <x:v>油脂</x:v>
      </x:c>
      <x:c r="E2185" t="str">
        <x:v>烹调油</x:v>
      </x:c>
      <x:c r="F2185" t="n">
        <x:v>3</x:v>
      </x:c>
      <x:c r="G2185" t="n">
        <x:v>900</x:v>
      </x:c>
      <x:c r="H2185" t="n">
        <x:f>ROUND(F2185*G2185/100,2)</x:f>
        <x:v>27</x:v>
      </x:c>
      <x:c r="I2185" t="n">
        <x:v>0</x:v>
      </x:c>
      <x:c r="J2185" t="n">
        <x:f>ROUND(F2185*I2185/100,2)</x:f>
        <x:v>0</x:v>
      </x:c>
      <x:c r="K2185" t="n">
        <x:v>0</x:v>
      </x:c>
      <x:c r="L2185" t="n">
        <x:f>ROUND(F2185*K2185/100,2)</x:f>
        <x:v>0</x:v>
      </x:c>
      <x:c r="M2185" t="n">
        <x:v>100</x:v>
      </x:c>
      <x:c r="N2185" t="n">
        <x:f>ROUND(F2185*M2185/100,2)</x:f>
        <x:v>3</x:v>
      </x:c>
      <x:c r="O2185" t="str">
        <x:v>实际用油重</x:v>
      </x:c>
    </x:row>
    <x:row r="2186" ht="23" customHeight="1">
      <x:c r="A2186" t="n">
        <x:v>365</x:v>
      </x:c>
      <x:c r="B2186" t="n">
        <x:v>183</x:v>
      </x:c>
      <x:c r="C2186" t="str">
        <x:v>午餐</x:v>
      </x:c>
      <x:c r="D2186" t="str">
        <x:v>海鲜</x:v>
      </x:c>
      <x:c r="E2186" t="str">
        <x:v>花蛤肉</x:v>
      </x:c>
      <x:c r="F2186" t="n">
        <x:v>190</x:v>
      </x:c>
      <x:c r="G2186" t="n">
        <x:v>75</x:v>
      </x:c>
      <x:c r="H2186" t="n">
        <x:f>ROUND(F2186*G2186/100,2)</x:f>
        <x:v>142.5</x:v>
      </x:c>
      <x:c r="I2186" t="n">
        <x:v>13</x:v>
      </x:c>
      <x:c r="J2186" t="n">
        <x:f>ROUND(F2186*I2186/100,2)</x:f>
        <x:v>24.7</x:v>
      </x:c>
      <x:c r="K2186" t="n">
        <x:v>3.5</x:v>
      </x:c>
      <x:c r="L2186" t="n">
        <x:f>ROUND(F2186*K2186/100,2)</x:f>
        <x:v>6.65</x:v>
      </x:c>
      <x:c r="M2186" t="n">
        <x:v>1</x:v>
      </x:c>
      <x:c r="N2186" t="n">
        <x:f>ROUND(F2186*M2186/100,2)</x:f>
        <x:v>1.9</x:v>
      </x:c>
      <x:c r="O2186" t="str">
        <x:v>净肉生重</x:v>
      </x:c>
    </x:row>
    <x:row r="2187" ht="23" customHeight="1">
      <x:c r="A2187" t="n">
        <x:v>365</x:v>
      </x:c>
      <x:c r="B2187" t="n">
        <x:v>183</x:v>
      </x:c>
      <x:c r="C2187" t="str">
        <x:v>午餐</x:v>
      </x:c>
      <x:c r="D2187" t="str">
        <x:v>豆蛋</x:v>
      </x:c>
      <x:c r="E2187" t="str">
        <x:v>嫩豆腐</x:v>
      </x:c>
      <x:c r="F2187" t="n">
        <x:v>135</x:v>
      </x:c>
      <x:c r="G2187" t="n">
        <x:v>55</x:v>
      </x:c>
      <x:c r="H2187" t="n">
        <x:f>ROUND(F2187*G2187/100,2)</x:f>
        <x:v>74.25</x:v>
      </x:c>
      <x:c r="I2187" t="n">
        <x:v>5</x:v>
      </x:c>
      <x:c r="J2187" t="n">
        <x:f>ROUND(F2187*I2187/100,2)</x:f>
        <x:v>6.75</x:v>
      </x:c>
      <x:c r="K2187" t="n">
        <x:v>2</x:v>
      </x:c>
      <x:c r="L2187" t="n">
        <x:f>ROUND(F2187*K2187/100,2)</x:f>
        <x:v>2.7</x:v>
      </x:c>
      <x:c r="M2187" t="n">
        <x:v>2.8</x:v>
      </x:c>
      <x:c r="N2187" t="n">
        <x:f>ROUND(F2187*M2187/100,2)</x:f>
        <x:v>3.78</x:v>
      </x:c>
      <x:c r="O2187" t="str">
        <x:v>净重</x:v>
      </x:c>
    </x:row>
    <x:row r="2188" ht="23" customHeight="1">
      <x:c r="A2188" t="n">
        <x:v>365</x:v>
      </x:c>
      <x:c r="B2188" t="n">
        <x:v>183</x:v>
      </x:c>
      <x:c r="C2188" t="str">
        <x:v>午餐</x:v>
      </x:c>
      <x:c r="D2188" t="str">
        <x:v>蔬菜</x:v>
      </x:c>
      <x:c r="E2188" t="str">
        <x:v>茼蒿</x:v>
      </x:c>
      <x:c r="F2188" t="n">
        <x:v>160</x:v>
      </x:c>
      <x:c r="G2188" t="n">
        <x:v>24</x:v>
      </x:c>
      <x:c r="H2188" t="n">
        <x:f>ROUND(F2188*G2188/100,2)</x:f>
        <x:v>38.4</x:v>
      </x:c>
      <x:c r="I2188" t="n">
        <x:v>1.9</x:v>
      </x:c>
      <x:c r="J2188" t="n">
        <x:f>ROUND(F2188*I2188/100,2)</x:f>
        <x:v>3.04</x:v>
      </x:c>
      <x:c r="K2188" t="n">
        <x:v>4.3</x:v>
      </x:c>
      <x:c r="L2188" t="n">
        <x:f>ROUND(F2188*K2188/100,2)</x:f>
        <x:v>6.88</x:v>
      </x:c>
      <x:c r="M2188" t="n">
        <x:v>0.3</x:v>
      </x:c>
      <x:c r="N2188" t="n">
        <x:f>ROUND(F2188*M2188/100,2)</x:f>
        <x:v>0.48</x:v>
      </x:c>
      <x:c r="O2188" t="str">
        <x:v>生重</x:v>
      </x:c>
    </x:row>
    <x:row r="2189" ht="23" customHeight="1">
      <x:c r="A2189" t="n">
        <x:v>365</x:v>
      </x:c>
      <x:c r="B2189" t="n">
        <x:v>183</x:v>
      </x:c>
      <x:c r="C2189" t="str">
        <x:v>午餐</x:v>
      </x:c>
      <x:c r="D2189" t="str">
        <x:v>菌菇</x:v>
      </x:c>
      <x:c r="E2189" t="str">
        <x:v>口蘑</x:v>
      </x:c>
      <x:c r="F2189" t="n">
        <x:v>140</x:v>
      </x:c>
      <x:c r="G2189" t="n">
        <x:v>22</x:v>
      </x:c>
      <x:c r="H2189" t="n">
        <x:f>ROUND(F2189*G2189/100,2)</x:f>
        <x:v>30.8</x:v>
      </x:c>
      <x:c r="I2189" t="n">
        <x:v>3.1</x:v>
      </x:c>
      <x:c r="J2189" t="n">
        <x:f>ROUND(F2189*I2189/100,2)</x:f>
        <x:v>4.34</x:v>
      </x:c>
      <x:c r="K2189" t="n">
        <x:v>3.3</x:v>
      </x:c>
      <x:c r="L2189" t="n">
        <x:f>ROUND(F2189*K2189/100,2)</x:f>
        <x:v>4.62</x:v>
      </x:c>
      <x:c r="M2189" t="n">
        <x:v>0.3</x:v>
      </x:c>
      <x:c r="N2189" t="n">
        <x:f>ROUND(F2189*M2189/100,2)</x:f>
        <x:v>0.42</x:v>
      </x:c>
      <x:c r="O2189" t="str">
        <x:v>生重</x:v>
      </x:c>
    </x:row>
    <x:row r="2190" ht="23" customHeight="1">
      <x:c r="A2190" t="n">
        <x:v>365</x:v>
      </x:c>
      <x:c r="B2190" t="n">
        <x:v>183</x:v>
      </x:c>
      <x:c r="C2190" t="str">
        <x:v>午餐</x:v>
      </x:c>
      <x:c r="D2190" t="str">
        <x:v>主食</x:v>
      </x:c>
      <x:c r="E2190" t="str">
        <x:v>山药</x:v>
      </x:c>
      <x:c r="F2190" t="n">
        <x:v>125</x:v>
      </x:c>
      <x:c r="G2190" t="n">
        <x:v>62</x:v>
      </x:c>
      <x:c r="H2190" t="n">
        <x:f>ROUND(F2190*G2190/100,2)</x:f>
        <x:v>77.5</x:v>
      </x:c>
      <x:c r="I2190" t="n">
        <x:v>1.5</x:v>
      </x:c>
      <x:c r="J2190" t="n">
        <x:f>ROUND(F2190*I2190/100,2)</x:f>
        <x:v>1.88</x:v>
      </x:c>
      <x:c r="K2190" t="n">
        <x:v>14.1</x:v>
      </x:c>
      <x:c r="L2190" t="n">
        <x:f>ROUND(F2190*K2190/100,2)</x:f>
        <x:v>17.63</x:v>
      </x:c>
      <x:c r="M2190" t="n">
        <x:v>0.1</x:v>
      </x:c>
      <x:c r="N2190" t="n">
        <x:f>ROUND(F2190*M2190/100,2)</x:f>
        <x:v>0.13</x:v>
      </x:c>
      <x:c r="O2190" t="str">
        <x:v>蒸熟净重</x:v>
      </x:c>
    </x:row>
    <x:row r="2191" ht="23" customHeight="1">
      <x:c r="A2191" t="n">
        <x:v>365</x:v>
      </x:c>
      <x:c r="B2191" t="n">
        <x:v>183</x:v>
      </x:c>
      <x:c r="C2191" t="str">
        <x:v>午餐</x:v>
      </x:c>
      <x:c r="D2191" t="str">
        <x:v>油脂</x:v>
      </x:c>
      <x:c r="E2191" t="str">
        <x:v>烹调油</x:v>
      </x:c>
      <x:c r="F2191" t="n">
        <x:v>3</x:v>
      </x:c>
      <x:c r="G2191" t="n">
        <x:v>900</x:v>
      </x:c>
      <x:c r="H2191" t="n">
        <x:f>ROUND(F2191*G2191/100,2)</x:f>
        <x:v>27</x:v>
      </x:c>
      <x:c r="I2191" t="n">
        <x:v>0</x:v>
      </x:c>
      <x:c r="J2191" t="n">
        <x:f>ROUND(F2191*I2191/100,2)</x:f>
        <x:v>0</x:v>
      </x:c>
      <x:c r="K2191" t="n">
        <x:v>0</x:v>
      </x:c>
      <x:c r="L2191" t="n">
        <x:f>ROUND(F2191*K2191/100,2)</x:f>
        <x:v>0</x:v>
      </x:c>
      <x:c r="M2191" t="n">
        <x:v>100</x:v>
      </x:c>
      <x:c r="N2191" t="n">
        <x:f>ROUND(F2191*M2191/100,2)</x:f>
        <x:v>3</x:v>
      </x:c>
      <x:c r="O2191" t="str">
        <x:v>实际用油重</x:v>
      </x:c>
    </x:row>
    <x:row r="2192" ht="23" customHeight="1">
      <x:c r="A2192" t="n">
        <x:v>366</x:v>
      </x:c>
      <x:c r="B2192" t="n">
        <x:v>183</x:v>
      </x:c>
      <x:c r="C2192" t="str">
        <x:v>晚餐</x:v>
      </x:c>
      <x:c r="D2192" t="str">
        <x:v>禽肉</x:v>
      </x:c>
      <x:c r="E2192" t="str">
        <x:v>鸡胸肉</x:v>
      </x:c>
      <x:c r="F2192" t="n">
        <x:v>170</x:v>
      </x:c>
      <x:c r="G2192" t="n">
        <x:v>110</x:v>
      </x:c>
      <x:c r="H2192" t="n">
        <x:f>ROUND(F2192*G2192/100,2)</x:f>
        <x:v>187</x:v>
      </x:c>
      <x:c r="I2192" t="n">
        <x:v>23</x:v>
      </x:c>
      <x:c r="J2192" t="n">
        <x:f>ROUND(F2192*I2192/100,2)</x:f>
        <x:v>39.1</x:v>
      </x:c>
      <x:c r="K2192" t="n">
        <x:v>0</x:v>
      </x:c>
      <x:c r="L2192" t="n">
        <x:f>ROUND(F2192*K2192/100,2)</x:f>
        <x:v>0</x:v>
      </x:c>
      <x:c r="M2192" t="n">
        <x:v>2</x:v>
      </x:c>
      <x:c r="N2192" t="n">
        <x:f>ROUND(F2192*M2192/100,2)</x:f>
        <x:v>3.4</x:v>
      </x:c>
      <x:c r="O2192" t="str">
        <x:v>生重</x:v>
      </x:c>
    </x:row>
    <x:row r="2193" ht="23" customHeight="1">
      <x:c r="A2193" t="n">
        <x:v>366</x:v>
      </x:c>
      <x:c r="B2193" t="n">
        <x:v>183</x:v>
      </x:c>
      <x:c r="C2193" t="str">
        <x:v>晚餐</x:v>
      </x:c>
      <x:c r="D2193" t="str">
        <x:v>豆蛋</x:v>
      </x:c>
      <x:c r="E2193" t="str">
        <x:v>北豆腐</x:v>
      </x:c>
      <x:c r="F2193" t="n">
        <x:v>130</x:v>
      </x:c>
      <x:c r="G2193" t="n">
        <x:v>90</x:v>
      </x:c>
      <x:c r="H2193" t="n">
        <x:f>ROUND(F2193*G2193/100,2)</x:f>
        <x:v>117</x:v>
      </x:c>
      <x:c r="I2193" t="n">
        <x:v>10</x:v>
      </x:c>
      <x:c r="J2193" t="n">
        <x:f>ROUND(F2193*I2193/100,2)</x:f>
        <x:v>13</x:v>
      </x:c>
      <x:c r="K2193" t="n">
        <x:v>2</x:v>
      </x:c>
      <x:c r="L2193" t="n">
        <x:f>ROUND(F2193*K2193/100,2)</x:f>
        <x:v>2.6</x:v>
      </x:c>
      <x:c r="M2193" t="n">
        <x:v>5</x:v>
      </x:c>
      <x:c r="N2193" t="n">
        <x:f>ROUND(F2193*M2193/100,2)</x:f>
        <x:v>6.5</x:v>
      </x:c>
      <x:c r="O2193" t="str">
        <x:v>净重</x:v>
      </x:c>
    </x:row>
    <x:row r="2194" ht="23" customHeight="1">
      <x:c r="A2194" t="n">
        <x:v>366</x:v>
      </x:c>
      <x:c r="B2194" t="n">
        <x:v>183</x:v>
      </x:c>
      <x:c r="C2194" t="str">
        <x:v>晚餐</x:v>
      </x:c>
      <x:c r="D2194" t="str">
        <x:v>蔬菜</x:v>
      </x:c>
      <x:c r="E2194" t="str">
        <x:v>彩椒</x:v>
      </x:c>
      <x:c r="F2194" t="n">
        <x:v>140</x:v>
      </x:c>
      <x:c r="G2194" t="n">
        <x:v>27</x:v>
      </x:c>
      <x:c r="H2194" t="n">
        <x:f>ROUND(F2194*G2194/100,2)</x:f>
        <x:v>37.8</x:v>
      </x:c>
      <x:c r="I2194" t="n">
        <x:v>1</x:v>
      </x:c>
      <x:c r="J2194" t="n">
        <x:f>ROUND(F2194*I2194/100,2)</x:f>
        <x:v>1.4</x:v>
      </x:c>
      <x:c r="K2194" t="n">
        <x:v>6.1</x:v>
      </x:c>
      <x:c r="L2194" t="n">
        <x:f>ROUND(F2194*K2194/100,2)</x:f>
        <x:v>8.54</x:v>
      </x:c>
      <x:c r="M2194" t="n">
        <x:v>0.2</x:v>
      </x:c>
      <x:c r="N2194" t="n">
        <x:f>ROUND(F2194*M2194/100,2)</x:f>
        <x:v>0.28</x:v>
      </x:c>
      <x:c r="O2194" t="str">
        <x:v>生重</x:v>
      </x:c>
    </x:row>
    <x:row r="2195" ht="23" customHeight="1">
      <x:c r="A2195" t="n">
        <x:v>366</x:v>
      </x:c>
      <x:c r="B2195" t="n">
        <x:v>183</x:v>
      </x:c>
      <x:c r="C2195" t="str">
        <x:v>晚餐</x:v>
      </x:c>
      <x:c r="D2195" t="str">
        <x:v>菌菇</x:v>
      </x:c>
      <x:c r="E2195" t="str">
        <x:v>口蘑</x:v>
      </x:c>
      <x:c r="F2195" t="n">
        <x:v>110</x:v>
      </x:c>
      <x:c r="G2195" t="n">
        <x:v>22</x:v>
      </x:c>
      <x:c r="H2195" t="n">
        <x:f>ROUND(F2195*G2195/100,2)</x:f>
        <x:v>24.2</x:v>
      </x:c>
      <x:c r="I2195" t="n">
        <x:v>3.1</x:v>
      </x:c>
      <x:c r="J2195" t="n">
        <x:f>ROUND(F2195*I2195/100,2)</x:f>
        <x:v>3.41</x:v>
      </x:c>
      <x:c r="K2195" t="n">
        <x:v>3.3</x:v>
      </x:c>
      <x:c r="L2195" t="n">
        <x:f>ROUND(F2195*K2195/100,2)</x:f>
        <x:v>3.63</x:v>
      </x:c>
      <x:c r="M2195" t="n">
        <x:v>0.3</x:v>
      </x:c>
      <x:c r="N2195" t="n">
        <x:f>ROUND(F2195*M2195/100,2)</x:f>
        <x:v>0.33</x:v>
      </x:c>
      <x:c r="O2195" t="str">
        <x:v>生重</x:v>
      </x:c>
    </x:row>
    <x:row r="2196" ht="23" customHeight="1">
      <x:c r="A2196" t="n">
        <x:v>366</x:v>
      </x:c>
      <x:c r="B2196" t="n">
        <x:v>183</x:v>
      </x:c>
      <x:c r="C2196" t="str">
        <x:v>晚餐</x:v>
      </x:c>
      <x:c r="D2196" t="str">
        <x:v>主食</x:v>
      </x:c>
      <x:c r="E2196" t="str">
        <x:v>玉米</x:v>
      </x:c>
      <x:c r="F2196" t="n">
        <x:v>135</x:v>
      </x:c>
      <x:c r="G2196" t="n">
        <x:v>105</x:v>
      </x:c>
      <x:c r="H2196" t="n">
        <x:f>ROUND(F2196*G2196/100,2)</x:f>
        <x:v>141.75</x:v>
      </x:c>
      <x:c r="I2196" t="n">
        <x:v>3.4</x:v>
      </x:c>
      <x:c r="J2196" t="n">
        <x:f>ROUND(F2196*I2196/100,2)</x:f>
        <x:v>4.59</x:v>
      </x:c>
      <x:c r="K2196" t="n">
        <x:v>22</x:v>
      </x:c>
      <x:c r="L2196" t="n">
        <x:f>ROUND(F2196*K2196/100,2)</x:f>
        <x:v>29.7</x:v>
      </x:c>
      <x:c r="M2196" t="n">
        <x:v>1.5</x:v>
      </x:c>
      <x:c r="N2196" t="n">
        <x:f>ROUND(F2196*M2196/100,2)</x:f>
        <x:v>2.03</x:v>
      </x:c>
      <x:c r="O2196" t="str">
        <x:v>蒸熟净重</x:v>
      </x:c>
    </x:row>
    <x:row r="2197" ht="23" customHeight="1">
      <x:c r="A2197" t="n">
        <x:v>366</x:v>
      </x:c>
      <x:c r="B2197" t="n">
        <x:v>183</x:v>
      </x:c>
      <x:c r="C2197" t="str">
        <x:v>晚餐</x:v>
      </x:c>
      <x:c r="D2197" t="str">
        <x:v>油脂</x:v>
      </x:c>
      <x:c r="E2197" t="str">
        <x:v>烹调油</x:v>
      </x:c>
      <x:c r="F2197" t="n">
        <x:v>3</x:v>
      </x:c>
      <x:c r="G2197" t="n">
        <x:v>900</x:v>
      </x:c>
      <x:c r="H2197" t="n">
        <x:f>ROUND(F2197*G2197/100,2)</x:f>
        <x:v>27</x:v>
      </x:c>
      <x:c r="I2197" t="n">
        <x:v>0</x:v>
      </x:c>
      <x:c r="J2197" t="n">
        <x:f>ROUND(F2197*I2197/100,2)</x:f>
        <x:v>0</x:v>
      </x:c>
      <x:c r="K2197" t="n">
        <x:v>0</x:v>
      </x:c>
      <x:c r="L2197" t="n">
        <x:f>ROUND(F2197*K2197/100,2)</x:f>
        <x:v>0</x:v>
      </x:c>
      <x:c r="M2197" t="n">
        <x:v>100</x:v>
      </x:c>
      <x:c r="N2197" t="n">
        <x:f>ROUND(F2197*M2197/100,2)</x:f>
        <x:v>3</x:v>
      </x:c>
      <x:c r="O2197" t="str">
        <x:v>实际用油重</x:v>
      </x:c>
    </x:row>
    <x:row r="2198" ht="23" customHeight="1">
      <x:c r="A2198" t="n">
        <x:v>367</x:v>
      </x:c>
      <x:c r="B2198" t="n">
        <x:v>184</x:v>
      </x:c>
      <x:c r="C2198" t="str">
        <x:v>午餐</x:v>
      </x:c>
      <x:c r="D2198" t="str">
        <x:v>海鲜</x:v>
      </x:c>
      <x:c r="E2198" t="str">
        <x:v>虾仁</x:v>
      </x:c>
      <x:c r="F2198" t="n">
        <x:v>250</x:v>
      </x:c>
      <x:c r="G2198" t="n">
        <x:v>90</x:v>
      </x:c>
      <x:c r="H2198" t="n">
        <x:f>ROUND(F2198*G2198/100,2)</x:f>
        <x:v>225</x:v>
      </x:c>
      <x:c r="I2198" t="n">
        <x:v>19</x:v>
      </x:c>
      <x:c r="J2198" t="n">
        <x:f>ROUND(F2198*I2198/100,2)</x:f>
        <x:v>47.5</x:v>
      </x:c>
      <x:c r="K2198" t="n">
        <x:v>0.4</x:v>
      </x:c>
      <x:c r="L2198" t="n">
        <x:f>ROUND(F2198*K2198/100,2)</x:f>
        <x:v>1</x:v>
      </x:c>
      <x:c r="M2198" t="n">
        <x:v>1.1</x:v>
      </x:c>
      <x:c r="N2198" t="n">
        <x:f>ROUND(F2198*M2198/100,2)</x:f>
        <x:v>2.75</x:v>
      </x:c>
      <x:c r="O2198" t="str">
        <x:v>生重</x:v>
      </x:c>
    </x:row>
    <x:row r="2199" ht="23" customHeight="1">
      <x:c r="A2199" t="n">
        <x:v>367</x:v>
      </x:c>
      <x:c r="B2199" t="n">
        <x:v>184</x:v>
      </x:c>
      <x:c r="C2199" t="str">
        <x:v>午餐</x:v>
      </x:c>
      <x:c r="D2199" t="str"/>
      <x:c r="E2199" t="str"/>
      <x:c r="F2199" t="n">
        <x:v>0</x:v>
      </x:c>
      <x:c r="G2199" t="n">
        <x:v>0</x:v>
      </x:c>
      <x:c r="H2199" t="n">
        <x:f>ROUND(F2199*G2199/100,2)</x:f>
        <x:v>0</x:v>
      </x:c>
      <x:c r="I2199" t="n">
        <x:v>0</x:v>
      </x:c>
      <x:c r="J2199" t="n">
        <x:f>ROUND(F2199*I2199/100,2)</x:f>
        <x:v>0</x:v>
      </x:c>
      <x:c r="K2199" t="n">
        <x:v>0</x:v>
      </x:c>
      <x:c r="L2199" t="n">
        <x:f>ROUND(F2199*K2199/100,2)</x:f>
        <x:v>0</x:v>
      </x:c>
      <x:c r="M2199" t="n">
        <x:v>0</x:v>
      </x:c>
      <x:c r="N2199" t="n">
        <x:f>ROUND(F2199*M2199/100,2)</x:f>
        <x:v>0</x:v>
      </x:c>
      <x:c r="O2199" t="str"/>
    </x:row>
    <x:row r="2200" ht="23" customHeight="1">
      <x:c r="A2200" t="n">
        <x:v>367</x:v>
      </x:c>
      <x:c r="B2200" t="n">
        <x:v>184</x:v>
      </x:c>
      <x:c r="C2200" t="str">
        <x:v>午餐</x:v>
      </x:c>
      <x:c r="D2200" t="str">
        <x:v>蔬菜</x:v>
      </x:c>
      <x:c r="E2200" t="str">
        <x:v>生菜</x:v>
      </x:c>
      <x:c r="F2200" t="n">
        <x:v>190</x:v>
      </x:c>
      <x:c r="G2200" t="n">
        <x:v>16</x:v>
      </x:c>
      <x:c r="H2200" t="n">
        <x:f>ROUND(F2200*G2200/100,2)</x:f>
        <x:v>30.4</x:v>
      </x:c>
      <x:c r="I2200" t="n">
        <x:v>1.4</x:v>
      </x:c>
      <x:c r="J2200" t="n">
        <x:f>ROUND(F2200*I2200/100,2)</x:f>
        <x:v>2.66</x:v>
      </x:c>
      <x:c r="K2200" t="n">
        <x:v>2.9</x:v>
      </x:c>
      <x:c r="L2200" t="n">
        <x:f>ROUND(F2200*K2200/100,2)</x:f>
        <x:v>5.51</x:v>
      </x:c>
      <x:c r="M2200" t="n">
        <x:v>0.1</x:v>
      </x:c>
      <x:c r="N2200" t="n">
        <x:f>ROUND(F2200*M2200/100,2)</x:f>
        <x:v>0.19</x:v>
      </x:c>
      <x:c r="O2200" t="str">
        <x:v>生重</x:v>
      </x:c>
    </x:row>
    <x:row r="2201" ht="23" customHeight="1">
      <x:c r="A2201" t="n">
        <x:v>367</x:v>
      </x:c>
      <x:c r="B2201" t="n">
        <x:v>184</x:v>
      </x:c>
      <x:c r="C2201" t="str">
        <x:v>午餐</x:v>
      </x:c>
      <x:c r="D2201" t="str">
        <x:v>蔬菜</x:v>
      </x:c>
      <x:c r="E2201" t="str">
        <x:v>紫甘蓝</x:v>
      </x:c>
      <x:c r="F2201" t="n">
        <x:v>140</x:v>
      </x:c>
      <x:c r="G2201" t="n">
        <x:v>31</x:v>
      </x:c>
      <x:c r="H2201" t="n">
        <x:f>ROUND(F2201*G2201/100,2)</x:f>
        <x:v>43.4</x:v>
      </x:c>
      <x:c r="I2201" t="n">
        <x:v>1.4</x:v>
      </x:c>
      <x:c r="J2201" t="n">
        <x:f>ROUND(F2201*I2201/100,2)</x:f>
        <x:v>1.96</x:v>
      </x:c>
      <x:c r="K2201" t="n">
        <x:v>7.3</x:v>
      </x:c>
      <x:c r="L2201" t="n">
        <x:f>ROUND(F2201*K2201/100,2)</x:f>
        <x:v>10.22</x:v>
      </x:c>
      <x:c r="M2201" t="n">
        <x:v>0.1</x:v>
      </x:c>
      <x:c r="N2201" t="n">
        <x:f>ROUND(F2201*M2201/100,2)</x:f>
        <x:v>0.14</x:v>
      </x:c>
      <x:c r="O2201" t="str">
        <x:v>生重</x:v>
      </x:c>
    </x:row>
    <x:row r="2202" ht="23" customHeight="1">
      <x:c r="A2202" t="n">
        <x:v>367</x:v>
      </x:c>
      <x:c r="B2202" t="n">
        <x:v>184</x:v>
      </x:c>
      <x:c r="C2202" t="str">
        <x:v>午餐</x:v>
      </x:c>
      <x:c r="D2202" t="str">
        <x:v>低主食</x:v>
      </x:c>
      <x:c r="E2202" t="str">
        <x:v>魔芋丝</x:v>
      </x:c>
      <x:c r="F2202" t="n">
        <x:v>200</x:v>
      </x:c>
      <x:c r="G2202" t="n">
        <x:v>9</x:v>
      </x:c>
      <x:c r="H2202" t="n">
        <x:f>ROUND(F2202*G2202/100,2)</x:f>
        <x:v>18</x:v>
      </x:c>
      <x:c r="I2202" t="n">
        <x:v>0.3</x:v>
      </x:c>
      <x:c r="J2202" t="n">
        <x:f>ROUND(F2202*I2202/100,2)</x:f>
        <x:v>0.6</x:v>
      </x:c>
      <x:c r="K2202" t="n">
        <x:v>2</x:v>
      </x:c>
      <x:c r="L2202" t="n">
        <x:f>ROUND(F2202*K2202/100,2)</x:f>
        <x:v>4</x:v>
      </x:c>
      <x:c r="M2202" t="n">
        <x:v>0</x:v>
      </x:c>
      <x:c r="N2202" t="n">
        <x:f>ROUND(F2202*M2202/100,2)</x:f>
        <x:v>0</x:v>
      </x:c>
      <x:c r="O2202" t="str">
        <x:v>沥水重</x:v>
      </x:c>
    </x:row>
    <x:row r="2203" ht="23" customHeight="1">
      <x:c r="A2203" t="n">
        <x:v>367</x:v>
      </x:c>
      <x:c r="B2203" t="n">
        <x:v>184</x:v>
      </x:c>
      <x:c r="C2203" t="str">
        <x:v>午餐</x:v>
      </x:c>
      <x:c r="D2203" t="str">
        <x:v>油脂</x:v>
      </x:c>
      <x:c r="E2203" t="str">
        <x:v>烹调油</x:v>
      </x:c>
      <x:c r="F2203" t="n">
        <x:v>6</x:v>
      </x:c>
      <x:c r="G2203" t="n">
        <x:v>900</x:v>
      </x:c>
      <x:c r="H2203" t="n">
        <x:f>ROUND(F2203*G2203/100,2)</x:f>
        <x:v>54</x:v>
      </x:c>
      <x:c r="I2203" t="n">
        <x:v>0</x:v>
      </x:c>
      <x:c r="J2203" t="n">
        <x:f>ROUND(F2203*I2203/100,2)</x:f>
        <x:v>0</x:v>
      </x:c>
      <x:c r="K2203" t="n">
        <x:v>0</x:v>
      </x:c>
      <x:c r="L2203" t="n">
        <x:f>ROUND(F2203*K2203/100,2)</x:f>
        <x:v>0</x:v>
      </x:c>
      <x:c r="M2203" t="n">
        <x:v>100</x:v>
      </x:c>
      <x:c r="N2203" t="n">
        <x:f>ROUND(F2203*M2203/100,2)</x:f>
        <x:v>6</x:v>
      </x:c>
      <x:c r="O2203" t="str">
        <x:v>实际用油重</x:v>
      </x:c>
    </x:row>
    <x:row r="2204" ht="23" customHeight="1">
      <x:c r="A2204" t="n">
        <x:v>368</x:v>
      </x:c>
      <x:c r="B2204" t="n">
        <x:v>184</x:v>
      </x:c>
      <x:c r="C2204" t="str">
        <x:v>晚餐</x:v>
      </x:c>
      <x:c r="D2204" t="str">
        <x:v>豆蛋</x:v>
      </x:c>
      <x:c r="E2204" t="str">
        <x:v>嫩豆腐</x:v>
      </x:c>
      <x:c r="F2204" t="n">
        <x:v>300</x:v>
      </x:c>
      <x:c r="G2204" t="n">
        <x:v>55</x:v>
      </x:c>
      <x:c r="H2204" t="n">
        <x:f>ROUND(F2204*G2204/100,2)</x:f>
        <x:v>165</x:v>
      </x:c>
      <x:c r="I2204" t="n">
        <x:v>5</x:v>
      </x:c>
      <x:c r="J2204" t="n">
        <x:f>ROUND(F2204*I2204/100,2)</x:f>
        <x:v>15</x:v>
      </x:c>
      <x:c r="K2204" t="n">
        <x:v>2</x:v>
      </x:c>
      <x:c r="L2204" t="n">
        <x:f>ROUND(F2204*K2204/100,2)</x:f>
        <x:v>6</x:v>
      </x:c>
      <x:c r="M2204" t="n">
        <x:v>2.8</x:v>
      </x:c>
      <x:c r="N2204" t="n">
        <x:f>ROUND(F2204*M2204/100,2)</x:f>
        <x:v>8.4</x:v>
      </x:c>
      <x:c r="O2204" t="str">
        <x:v>净重</x:v>
      </x:c>
    </x:row>
    <x:row r="2205" ht="23" customHeight="1">
      <x:c r="A2205" t="n">
        <x:v>368</x:v>
      </x:c>
      <x:c r="B2205" t="n">
        <x:v>184</x:v>
      </x:c>
      <x:c r="C2205" t="str">
        <x:v>晚餐</x:v>
      </x:c>
      <x:c r="D2205" t="str">
        <x:v>海鲜</x:v>
      </x:c>
      <x:c r="E2205" t="str">
        <x:v>虾仁</x:v>
      </x:c>
      <x:c r="F2205" t="n">
        <x:v>65</x:v>
      </x:c>
      <x:c r="G2205" t="n">
        <x:v>90</x:v>
      </x:c>
      <x:c r="H2205" t="n">
        <x:f>ROUND(F2205*G2205/100,2)</x:f>
        <x:v>58.5</x:v>
      </x:c>
      <x:c r="I2205" t="n">
        <x:v>19</x:v>
      </x:c>
      <x:c r="J2205" t="n">
        <x:f>ROUND(F2205*I2205/100,2)</x:f>
        <x:v>12.35</x:v>
      </x:c>
      <x:c r="K2205" t="n">
        <x:v>0.4</x:v>
      </x:c>
      <x:c r="L2205" t="n">
        <x:f>ROUND(F2205*K2205/100,2)</x:f>
        <x:v>0.26</x:v>
      </x:c>
      <x:c r="M2205" t="n">
        <x:v>1.1</x:v>
      </x:c>
      <x:c r="N2205" t="n">
        <x:f>ROUND(F2205*M2205/100,2)</x:f>
        <x:v>0.72</x:v>
      </x:c>
      <x:c r="O2205" t="str">
        <x:v>生重</x:v>
      </x:c>
    </x:row>
    <x:row r="2206" ht="23" customHeight="1">
      <x:c r="A2206" t="n">
        <x:v>368</x:v>
      </x:c>
      <x:c r="B2206" t="n">
        <x:v>184</x:v>
      </x:c>
      <x:c r="C2206" t="str">
        <x:v>晚餐</x:v>
      </x:c>
      <x:c r="D2206" t="str">
        <x:v>蔬菜</x:v>
      </x:c>
      <x:c r="E2206" t="str">
        <x:v>茼蒿</x:v>
      </x:c>
      <x:c r="F2206" t="n">
        <x:v>140</x:v>
      </x:c>
      <x:c r="G2206" t="n">
        <x:v>24</x:v>
      </x:c>
      <x:c r="H2206" t="n">
        <x:f>ROUND(F2206*G2206/100,2)</x:f>
        <x:v>33.6</x:v>
      </x:c>
      <x:c r="I2206" t="n">
        <x:v>1.9</x:v>
      </x:c>
      <x:c r="J2206" t="n">
        <x:f>ROUND(F2206*I2206/100,2)</x:f>
        <x:v>2.66</x:v>
      </x:c>
      <x:c r="K2206" t="n">
        <x:v>4.3</x:v>
      </x:c>
      <x:c r="L2206" t="n">
        <x:f>ROUND(F2206*K2206/100,2)</x:f>
        <x:v>6.02</x:v>
      </x:c>
      <x:c r="M2206" t="n">
        <x:v>0.3</x:v>
      </x:c>
      <x:c r="N2206" t="n">
        <x:f>ROUND(F2206*M2206/100,2)</x:f>
        <x:v>0.42</x:v>
      </x:c>
      <x:c r="O2206" t="str">
        <x:v>生重</x:v>
      </x:c>
    </x:row>
    <x:row r="2207" ht="23" customHeight="1">
      <x:c r="A2207" t="n">
        <x:v>368</x:v>
      </x:c>
      <x:c r="B2207" t="n">
        <x:v>184</x:v>
      </x:c>
      <x:c r="C2207" t="str">
        <x:v>晚餐</x:v>
      </x:c>
      <x:c r="D2207" t="str">
        <x:v>蔬菜</x:v>
      </x:c>
      <x:c r="E2207" t="str">
        <x:v>玉米笋</x:v>
      </x:c>
      <x:c r="F2207" t="n">
        <x:v>140</x:v>
      </x:c>
      <x:c r="G2207" t="n">
        <x:v>26</x:v>
      </x:c>
      <x:c r="H2207" t="n">
        <x:f>ROUND(F2207*G2207/100,2)</x:f>
        <x:v>36.4</x:v>
      </x:c>
      <x:c r="I2207" t="n">
        <x:v>2</x:v>
      </x:c>
      <x:c r="J2207" t="n">
        <x:f>ROUND(F2207*I2207/100,2)</x:f>
        <x:v>2.8</x:v>
      </x:c>
      <x:c r="K2207" t="n">
        <x:v>4.9</x:v>
      </x:c>
      <x:c r="L2207" t="n">
        <x:f>ROUND(F2207*K2207/100,2)</x:f>
        <x:v>6.86</x:v>
      </x:c>
      <x:c r="M2207" t="n">
        <x:v>0.1</x:v>
      </x:c>
      <x:c r="N2207" t="n">
        <x:f>ROUND(F2207*M2207/100,2)</x:f>
        <x:v>0.14</x:v>
      </x:c>
      <x:c r="O2207" t="str">
        <x:v>生重</x:v>
      </x:c>
    </x:row>
    <x:row r="2208" ht="23" customHeight="1">
      <x:c r="A2208" t="n">
        <x:v>368</x:v>
      </x:c>
      <x:c r="B2208" t="n">
        <x:v>184</x:v>
      </x:c>
      <x:c r="C2208" t="str">
        <x:v>晚餐</x:v>
      </x:c>
      <x:c r="D2208" t="str">
        <x:v>主食</x:v>
      </x:c>
      <x:c r="E2208" t="str">
        <x:v>白米饭</x:v>
      </x:c>
      <x:c r="F2208" t="n">
        <x:v>80</x:v>
      </x:c>
      <x:c r="G2208" t="n">
        <x:v>116</x:v>
      </x:c>
      <x:c r="H2208" t="n">
        <x:f>ROUND(F2208*G2208/100,2)</x:f>
        <x:v>92.8</x:v>
      </x:c>
      <x:c r="I2208" t="n">
        <x:v>2.6</x:v>
      </x:c>
      <x:c r="J2208" t="n">
        <x:f>ROUND(F2208*I2208/100,2)</x:f>
        <x:v>2.08</x:v>
      </x:c>
      <x:c r="K2208" t="n">
        <x:v>25.6</x:v>
      </x:c>
      <x:c r="L2208" t="n">
        <x:f>ROUND(F2208*K2208/100,2)</x:f>
        <x:v>20.48</x:v>
      </x:c>
      <x:c r="M2208" t="n">
        <x:v>0.3</x:v>
      </x:c>
      <x:c r="N2208" t="n">
        <x:f>ROUND(F2208*M2208/100,2)</x:f>
        <x:v>0.24</x:v>
      </x:c>
      <x:c r="O2208" t="str">
        <x:v>熟重</x:v>
      </x:c>
    </x:row>
    <x:row r="2209" ht="23" customHeight="1">
      <x:c r="A2209" t="n">
        <x:v>368</x:v>
      </x:c>
      <x:c r="B2209" t="n">
        <x:v>184</x:v>
      </x:c>
      <x:c r="C2209" t="str">
        <x:v>晚餐</x:v>
      </x:c>
      <x:c r="D2209" t="str">
        <x:v>油脂</x:v>
      </x:c>
      <x:c r="E2209" t="str">
        <x:v>烹调油</x:v>
      </x:c>
      <x:c r="F2209" t="n">
        <x:v>6</x:v>
      </x:c>
      <x:c r="G2209" t="n">
        <x:v>900</x:v>
      </x:c>
      <x:c r="H2209" t="n">
        <x:f>ROUND(F2209*G2209/100,2)</x:f>
        <x:v>54</x:v>
      </x:c>
      <x:c r="I2209" t="n">
        <x:v>0</x:v>
      </x:c>
      <x:c r="J2209" t="n">
        <x:f>ROUND(F2209*I2209/100,2)</x:f>
        <x:v>0</x:v>
      </x:c>
      <x:c r="K2209" t="n">
        <x:v>0</x:v>
      </x:c>
      <x:c r="L2209" t="n">
        <x:f>ROUND(F2209*K2209/100,2)</x:f>
        <x:v>0</x:v>
      </x:c>
      <x:c r="M2209" t="n">
        <x:v>100</x:v>
      </x:c>
      <x:c r="N2209" t="n">
        <x:f>ROUND(F2209*M2209/100,2)</x:f>
        <x:v>6</x:v>
      </x:c>
      <x:c r="O2209" t="str">
        <x:v>实际用油重</x:v>
      </x:c>
    </x:row>
    <x:row r="2210" ht="23" customHeight="1">
      <x:c r="A2210" t="n">
        <x:v>369</x:v>
      </x:c>
      <x:c r="B2210" t="n">
        <x:v>185</x:v>
      </x:c>
      <x:c r="C2210" t="str">
        <x:v>午餐</x:v>
      </x:c>
      <x:c r="D2210" t="str">
        <x:v>禽肉</x:v>
      </x:c>
      <x:c r="E2210" t="str">
        <x:v>鸡胸肉</x:v>
      </x:c>
      <x:c r="F2210" t="n">
        <x:v>165</x:v>
      </x:c>
      <x:c r="G2210" t="n">
        <x:v>110</x:v>
      </x:c>
      <x:c r="H2210" t="n">
        <x:f>ROUND(F2210*G2210/100,2)</x:f>
        <x:v>181.5</x:v>
      </x:c>
      <x:c r="I2210" t="n">
        <x:v>23</x:v>
      </x:c>
      <x:c r="J2210" t="n">
        <x:f>ROUND(F2210*I2210/100,2)</x:f>
        <x:v>37.95</x:v>
      </x:c>
      <x:c r="K2210" t="n">
        <x:v>0</x:v>
      </x:c>
      <x:c r="L2210" t="n">
        <x:f>ROUND(F2210*K2210/100,2)</x:f>
        <x:v>0</x:v>
      </x:c>
      <x:c r="M2210" t="n">
        <x:v>2</x:v>
      </x:c>
      <x:c r="N2210" t="n">
        <x:f>ROUND(F2210*M2210/100,2)</x:f>
        <x:v>3.3</x:v>
      </x:c>
      <x:c r="O2210" t="str">
        <x:v>生重</x:v>
      </x:c>
    </x:row>
    <x:row r="2211" ht="23" customHeight="1">
      <x:c r="A2211" t="n">
        <x:v>369</x:v>
      </x:c>
      <x:c r="B2211" t="n">
        <x:v>185</x:v>
      </x:c>
      <x:c r="C2211" t="str">
        <x:v>午餐</x:v>
      </x:c>
      <x:c r="D2211" t="str"/>
      <x:c r="E2211" t="str"/>
      <x:c r="F2211" t="n">
        <x:v>0</x:v>
      </x:c>
      <x:c r="G2211" t="n">
        <x:v>0</x:v>
      </x:c>
      <x:c r="H2211" t="n">
        <x:f>ROUND(F2211*G2211/100,2)</x:f>
        <x:v>0</x:v>
      </x:c>
      <x:c r="I2211" t="n">
        <x:v>0</x:v>
      </x:c>
      <x:c r="J2211" t="n">
        <x:f>ROUND(F2211*I2211/100,2)</x:f>
        <x:v>0</x:v>
      </x:c>
      <x:c r="K2211" t="n">
        <x:v>0</x:v>
      </x:c>
      <x:c r="L2211" t="n">
        <x:f>ROUND(F2211*K2211/100,2)</x:f>
        <x:v>0</x:v>
      </x:c>
      <x:c r="M2211" t="n">
        <x:v>0</x:v>
      </x:c>
      <x:c r="N2211" t="n">
        <x:f>ROUND(F2211*M2211/100,2)</x:f>
        <x:v>0</x:v>
      </x:c>
      <x:c r="O2211" t="str"/>
    </x:row>
    <x:row r="2212" ht="23" customHeight="1">
      <x:c r="A2212" t="n">
        <x:v>369</x:v>
      </x:c>
      <x:c r="B2212" t="n">
        <x:v>185</x:v>
      </x:c>
      <x:c r="C2212" t="str">
        <x:v>午餐</x:v>
      </x:c>
      <x:c r="D2212" t="str">
        <x:v>蔬菜</x:v>
      </x:c>
      <x:c r="E2212" t="str">
        <x:v>花菜</x:v>
      </x:c>
      <x:c r="F2212" t="n">
        <x:v>140</x:v>
      </x:c>
      <x:c r="G2212" t="n">
        <x:v>25</x:v>
      </x:c>
      <x:c r="H2212" t="n">
        <x:f>ROUND(F2212*G2212/100,2)</x:f>
        <x:v>35</x:v>
      </x:c>
      <x:c r="I2212" t="n">
        <x:v>2</x:v>
      </x:c>
      <x:c r="J2212" t="n">
        <x:f>ROUND(F2212*I2212/100,2)</x:f>
        <x:v>2.8</x:v>
      </x:c>
      <x:c r="K2212" t="n">
        <x:v>5</x:v>
      </x:c>
      <x:c r="L2212" t="n">
        <x:f>ROUND(F2212*K2212/100,2)</x:f>
        <x:v>7</x:v>
      </x:c>
      <x:c r="M2212" t="n">
        <x:v>0.3</x:v>
      </x:c>
      <x:c r="N2212" t="n">
        <x:f>ROUND(F2212*M2212/100,2)</x:f>
        <x:v>0.42</x:v>
      </x:c>
      <x:c r="O2212" t="str">
        <x:v>生重</x:v>
      </x:c>
    </x:row>
    <x:row r="2213" ht="23" customHeight="1">
      <x:c r="A2213" t="n">
        <x:v>369</x:v>
      </x:c>
      <x:c r="B2213" t="n">
        <x:v>185</x:v>
      </x:c>
      <x:c r="C2213" t="str">
        <x:v>午餐</x:v>
      </x:c>
      <x:c r="D2213" t="str">
        <x:v>菌菇</x:v>
      </x:c>
      <x:c r="E2213" t="str">
        <x:v>口蘑</x:v>
      </x:c>
      <x:c r="F2213" t="n">
        <x:v>125</x:v>
      </x:c>
      <x:c r="G2213" t="n">
        <x:v>22</x:v>
      </x:c>
      <x:c r="H2213" t="n">
        <x:f>ROUND(F2213*G2213/100,2)</x:f>
        <x:v>27.5</x:v>
      </x:c>
      <x:c r="I2213" t="n">
        <x:v>3.1</x:v>
      </x:c>
      <x:c r="J2213" t="n">
        <x:f>ROUND(F2213*I2213/100,2)</x:f>
        <x:v>3.88</x:v>
      </x:c>
      <x:c r="K2213" t="n">
        <x:v>3.3</x:v>
      </x:c>
      <x:c r="L2213" t="n">
        <x:f>ROUND(F2213*K2213/100,2)</x:f>
        <x:v>4.13</x:v>
      </x:c>
      <x:c r="M2213" t="n">
        <x:v>0.3</x:v>
      </x:c>
      <x:c r="N2213" t="n">
        <x:f>ROUND(F2213*M2213/100,2)</x:f>
        <x:v>0.38</x:v>
      </x:c>
      <x:c r="O2213" t="str">
        <x:v>生重</x:v>
      </x:c>
    </x:row>
    <x:row r="2214" ht="23" customHeight="1">
      <x:c r="A2214" t="n">
        <x:v>369</x:v>
      </x:c>
      <x:c r="B2214" t="n">
        <x:v>185</x:v>
      </x:c>
      <x:c r="C2214" t="str">
        <x:v>午餐</x:v>
      </x:c>
      <x:c r="D2214" t="str">
        <x:v>主食</x:v>
      </x:c>
      <x:c r="E2214" t="str">
        <x:v>燕麦饭</x:v>
      </x:c>
      <x:c r="F2214" t="n">
        <x:v>150</x:v>
      </x:c>
      <x:c r="G2214" t="n">
        <x:v>110</x:v>
      </x:c>
      <x:c r="H2214" t="n">
        <x:f>ROUND(F2214*G2214/100,2)</x:f>
        <x:v>165</x:v>
      </x:c>
      <x:c r="I2214" t="n">
        <x:v>3.2</x:v>
      </x:c>
      <x:c r="J2214" t="n">
        <x:f>ROUND(F2214*I2214/100,2)</x:f>
        <x:v>4.8</x:v>
      </x:c>
      <x:c r="K2214" t="n">
        <x:v>21</x:v>
      </x:c>
      <x:c r="L2214" t="n">
        <x:f>ROUND(F2214*K2214/100,2)</x:f>
        <x:v>31.5</x:v>
      </x:c>
      <x:c r="M2214" t="n">
        <x:v>1.8</x:v>
      </x:c>
      <x:c r="N2214" t="n">
        <x:f>ROUND(F2214*M2214/100,2)</x:f>
        <x:v>2.7</x:v>
      </x:c>
      <x:c r="O2214" t="str">
        <x:v>熟重</x:v>
      </x:c>
    </x:row>
    <x:row r="2215" ht="23" customHeight="1">
      <x:c r="A2215" t="n">
        <x:v>369</x:v>
      </x:c>
      <x:c r="B2215" t="n">
        <x:v>185</x:v>
      </x:c>
      <x:c r="C2215" t="str">
        <x:v>午餐</x:v>
      </x:c>
      <x:c r="D2215" t="str">
        <x:v>油脂</x:v>
      </x:c>
      <x:c r="E2215" t="str">
        <x:v>烹调油</x:v>
      </x:c>
      <x:c r="F2215" t="n">
        <x:v>4</x:v>
      </x:c>
      <x:c r="G2215" t="n">
        <x:v>900</x:v>
      </x:c>
      <x:c r="H2215" t="n">
        <x:f>ROUND(F2215*G2215/100,2)</x:f>
        <x:v>36</x:v>
      </x:c>
      <x:c r="I2215" t="n">
        <x:v>0</x:v>
      </x:c>
      <x:c r="J2215" t="n">
        <x:f>ROUND(F2215*I2215/100,2)</x:f>
        <x:v>0</x:v>
      </x:c>
      <x:c r="K2215" t="n">
        <x:v>0</x:v>
      </x:c>
      <x:c r="L2215" t="n">
        <x:f>ROUND(F2215*K2215/100,2)</x:f>
        <x:v>0</x:v>
      </x:c>
      <x:c r="M2215" t="n">
        <x:v>100</x:v>
      </x:c>
      <x:c r="N2215" t="n">
        <x:f>ROUND(F2215*M2215/100,2)</x:f>
        <x:v>4</x:v>
      </x:c>
      <x:c r="O2215" t="str">
        <x:v>实际用油重</x:v>
      </x:c>
    </x:row>
    <x:row r="2216" ht="23" customHeight="1">
      <x:c r="A2216" t="n">
        <x:v>370</x:v>
      </x:c>
      <x:c r="B2216" t="n">
        <x:v>185</x:v>
      </x:c>
      <x:c r="C2216" t="str">
        <x:v>晚餐</x:v>
      </x:c>
      <x:c r="D2216" t="str">
        <x:v>牛肉</x:v>
      </x:c>
      <x:c r="E2216" t="str">
        <x:v>瘦牛肉</x:v>
      </x:c>
      <x:c r="F2216" t="n">
        <x:v>170</x:v>
      </x:c>
      <x:c r="G2216" t="n">
        <x:v>125</x:v>
      </x:c>
      <x:c r="H2216" t="n">
        <x:f>ROUND(F2216*G2216/100,2)</x:f>
        <x:v>212.5</x:v>
      </x:c>
      <x:c r="I2216" t="n">
        <x:v>21</x:v>
      </x:c>
      <x:c r="J2216" t="n">
        <x:f>ROUND(F2216*I2216/100,2)</x:f>
        <x:v>35.7</x:v>
      </x:c>
      <x:c r="K2216" t="n">
        <x:v>0</x:v>
      </x:c>
      <x:c r="L2216" t="n">
        <x:f>ROUND(F2216*K2216/100,2)</x:f>
        <x:v>0</x:v>
      </x:c>
      <x:c r="M2216" t="n">
        <x:v>4</x:v>
      </x:c>
      <x:c r="N2216" t="n">
        <x:f>ROUND(F2216*M2216/100,2)</x:f>
        <x:v>6.8</x:v>
      </x:c>
      <x:c r="O2216" t="str">
        <x:v>生重</x:v>
      </x:c>
    </x:row>
    <x:row r="2217" ht="23" customHeight="1">
      <x:c r="A2217" t="n">
        <x:v>370</x:v>
      </x:c>
      <x:c r="B2217" t="n">
        <x:v>185</x:v>
      </x:c>
      <x:c r="C2217" t="str">
        <x:v>晚餐</x:v>
      </x:c>
      <x:c r="D2217" t="str"/>
      <x:c r="E2217" t="str"/>
      <x:c r="F2217" t="n">
        <x:v>0</x:v>
      </x:c>
      <x:c r="G2217" t="n">
        <x:v>0</x:v>
      </x:c>
      <x:c r="H2217" t="n">
        <x:f>ROUND(F2217*G2217/100,2)</x:f>
        <x:v>0</x:v>
      </x:c>
      <x:c r="I2217" t="n">
        <x:v>0</x:v>
      </x:c>
      <x:c r="J2217" t="n">
        <x:f>ROUND(F2217*I2217/100,2)</x:f>
        <x:v>0</x:v>
      </x:c>
      <x:c r="K2217" t="n">
        <x:v>0</x:v>
      </x:c>
      <x:c r="L2217" t="n">
        <x:f>ROUND(F2217*K2217/100,2)</x:f>
        <x:v>0</x:v>
      </x:c>
      <x:c r="M2217" t="n">
        <x:v>0</x:v>
      </x:c>
      <x:c r="N2217" t="n">
        <x:f>ROUND(F2217*M2217/100,2)</x:f>
        <x:v>0</x:v>
      </x:c>
      <x:c r="O2217" t="str"/>
    </x:row>
    <x:row r="2218" ht="23" customHeight="1">
      <x:c r="A2218" t="n">
        <x:v>370</x:v>
      </x:c>
      <x:c r="B2218" t="n">
        <x:v>185</x:v>
      </x:c>
      <x:c r="C2218" t="str">
        <x:v>晚餐</x:v>
      </x:c>
      <x:c r="D2218" t="str">
        <x:v>蔬菜</x:v>
      </x:c>
      <x:c r="E2218" t="str">
        <x:v>黄瓜</x:v>
      </x:c>
      <x:c r="F2218" t="n">
        <x:v>190</x:v>
      </x:c>
      <x:c r="G2218" t="n">
        <x:v>16</x:v>
      </x:c>
      <x:c r="H2218" t="n">
        <x:f>ROUND(F2218*G2218/100,2)</x:f>
        <x:v>30.4</x:v>
      </x:c>
      <x:c r="I2218" t="n">
        <x:v>0.7</x:v>
      </x:c>
      <x:c r="J2218" t="n">
        <x:f>ROUND(F2218*I2218/100,2)</x:f>
        <x:v>1.33</x:v>
      </x:c>
      <x:c r="K2218" t="n">
        <x:v>3.6</x:v>
      </x:c>
      <x:c r="L2218" t="n">
        <x:f>ROUND(F2218*K2218/100,2)</x:f>
        <x:v>6.84</x:v>
      </x:c>
      <x:c r="M2218" t="n">
        <x:v>0.1</x:v>
      </x:c>
      <x:c r="N2218" t="n">
        <x:f>ROUND(F2218*M2218/100,2)</x:f>
        <x:v>0.19</x:v>
      </x:c>
      <x:c r="O2218" t="str">
        <x:v>生重</x:v>
      </x:c>
    </x:row>
    <x:row r="2219" ht="23" customHeight="1">
      <x:c r="A2219" t="n">
        <x:v>370</x:v>
      </x:c>
      <x:c r="B2219" t="n">
        <x:v>185</x:v>
      </x:c>
      <x:c r="C2219" t="str">
        <x:v>晚餐</x:v>
      </x:c>
      <x:c r="D2219" t="str">
        <x:v>菌菇</x:v>
      </x:c>
      <x:c r="E2219" t="str">
        <x:v>杏鲍菇</x:v>
      </x:c>
      <x:c r="F2219" t="n">
        <x:v>140</x:v>
      </x:c>
      <x:c r="G2219" t="n">
        <x:v>35</x:v>
      </x:c>
      <x:c r="H2219" t="n">
        <x:f>ROUND(F2219*G2219/100,2)</x:f>
        <x:v>49</x:v>
      </x:c>
      <x:c r="I2219" t="n">
        <x:v>2</x:v>
      </x:c>
      <x:c r="J2219" t="n">
        <x:f>ROUND(F2219*I2219/100,2)</x:f>
        <x:v>2.8</x:v>
      </x:c>
      <x:c r="K2219" t="n">
        <x:v>7.4</x:v>
      </x:c>
      <x:c r="L2219" t="n">
        <x:f>ROUND(F2219*K2219/100,2)</x:f>
        <x:v>10.36</x:v>
      </x:c>
      <x:c r="M2219" t="n">
        <x:v>0.3</x:v>
      </x:c>
      <x:c r="N2219" t="n">
        <x:f>ROUND(F2219*M2219/100,2)</x:f>
        <x:v>0.42</x:v>
      </x:c>
      <x:c r="O2219" t="str">
        <x:v>生重</x:v>
      </x:c>
    </x:row>
    <x:row r="2220" ht="23" customHeight="1">
      <x:c r="A2220" t="n">
        <x:v>370</x:v>
      </x:c>
      <x:c r="B2220" t="n">
        <x:v>185</x:v>
      </x:c>
      <x:c r="C2220" t="str">
        <x:v>晚餐</x:v>
      </x:c>
      <x:c r="D2220" t="str">
        <x:v>主食</x:v>
      </x:c>
      <x:c r="E2220" t="str">
        <x:v>紫薯</x:v>
      </x:c>
      <x:c r="F2220" t="n">
        <x:v>110</x:v>
      </x:c>
      <x:c r="G2220" t="n">
        <x:v>95</x:v>
      </x:c>
      <x:c r="H2220" t="n">
        <x:f>ROUND(F2220*G2220/100,2)</x:f>
        <x:v>104.5</x:v>
      </x:c>
      <x:c r="I2220" t="n">
        <x:v>1.6</x:v>
      </x:c>
      <x:c r="J2220" t="n">
        <x:f>ROUND(F2220*I2220/100,2)</x:f>
        <x:v>1.76</x:v>
      </x:c>
      <x:c r="K2220" t="n">
        <x:v>22</x:v>
      </x:c>
      <x:c r="L2220" t="n">
        <x:f>ROUND(F2220*K2220/100,2)</x:f>
        <x:v>24.2</x:v>
      </x:c>
      <x:c r="M2220" t="n">
        <x:v>0.1</x:v>
      </x:c>
      <x:c r="N2220" t="n">
        <x:f>ROUND(F2220*M2220/100,2)</x:f>
        <x:v>0.11</x:v>
      </x:c>
      <x:c r="O2220" t="str">
        <x:v>蒸熟净重</x:v>
      </x:c>
    </x:row>
    <x:row r="2221" ht="23" customHeight="1">
      <x:c r="A2221" t="n">
        <x:v>370</x:v>
      </x:c>
      <x:c r="B2221" t="n">
        <x:v>185</x:v>
      </x:c>
      <x:c r="C2221" t="str">
        <x:v>晚餐</x:v>
      </x:c>
      <x:c r="D2221" t="str">
        <x:v>油脂</x:v>
      </x:c>
      <x:c r="E2221" t="str">
        <x:v>烹调油</x:v>
      </x:c>
      <x:c r="F2221" t="n">
        <x:v>3</x:v>
      </x:c>
      <x:c r="G2221" t="n">
        <x:v>900</x:v>
      </x:c>
      <x:c r="H2221" t="n">
        <x:f>ROUND(F2221*G2221/100,2)</x:f>
        <x:v>27</x:v>
      </x:c>
      <x:c r="I2221" t="n">
        <x:v>0</x:v>
      </x:c>
      <x:c r="J2221" t="n">
        <x:f>ROUND(F2221*I2221/100,2)</x:f>
        <x:v>0</x:v>
      </x:c>
      <x:c r="K2221" t="n">
        <x:v>0</x:v>
      </x:c>
      <x:c r="L2221" t="n">
        <x:f>ROUND(F2221*K2221/100,2)</x:f>
        <x:v>0</x:v>
      </x:c>
      <x:c r="M2221" t="n">
        <x:v>100</x:v>
      </x:c>
      <x:c r="N2221" t="n">
        <x:f>ROUND(F2221*M2221/100,2)</x:f>
        <x:v>3</x:v>
      </x:c>
      <x:c r="O2221" t="str">
        <x:v>实际用油重</x:v>
      </x:c>
    </x:row>
    <x:row r="2222" ht="23" customHeight="1">
      <x:c r="A2222" t="n">
        <x:v>371</x:v>
      </x:c>
      <x:c r="B2222" t="n">
        <x:v>186</x:v>
      </x:c>
      <x:c r="C2222" t="str">
        <x:v>午餐</x:v>
      </x:c>
      <x:c r="D2222" t="str">
        <x:v>禽肉</x:v>
      </x:c>
      <x:c r="E2222" t="str">
        <x:v>鸡胸肉</x:v>
      </x:c>
      <x:c r="F2222" t="n">
        <x:v>215</x:v>
      </x:c>
      <x:c r="G2222" t="n">
        <x:v>110</x:v>
      </x:c>
      <x:c r="H2222" t="n">
        <x:f>ROUND(F2222*G2222/100,2)</x:f>
        <x:v>236.5</x:v>
      </x:c>
      <x:c r="I2222" t="n">
        <x:v>23</x:v>
      </x:c>
      <x:c r="J2222" t="n">
        <x:f>ROUND(F2222*I2222/100,2)</x:f>
        <x:v>49.45</x:v>
      </x:c>
      <x:c r="K2222" t="n">
        <x:v>0</x:v>
      </x:c>
      <x:c r="L2222" t="n">
        <x:f>ROUND(F2222*K2222/100,2)</x:f>
        <x:v>0</x:v>
      </x:c>
      <x:c r="M2222" t="n">
        <x:v>2</x:v>
      </x:c>
      <x:c r="N2222" t="n">
        <x:f>ROUND(F2222*M2222/100,2)</x:f>
        <x:v>4.3</x:v>
      </x:c>
      <x:c r="O2222" t="str">
        <x:v>生重</x:v>
      </x:c>
    </x:row>
    <x:row r="2223" ht="23" customHeight="1">
      <x:c r="A2223" t="n">
        <x:v>371</x:v>
      </x:c>
      <x:c r="B2223" t="n">
        <x:v>186</x:v>
      </x:c>
      <x:c r="C2223" t="str">
        <x:v>午餐</x:v>
      </x:c>
      <x:c r="D2223" t="str"/>
      <x:c r="E2223" t="str"/>
      <x:c r="F2223" t="n">
        <x:v>0</x:v>
      </x:c>
      <x:c r="G2223" t="n">
        <x:v>0</x:v>
      </x:c>
      <x:c r="H2223" t="n">
        <x:f>ROUND(F2223*G2223/100,2)</x:f>
        <x:v>0</x:v>
      </x:c>
      <x:c r="I2223" t="n">
        <x:v>0</x:v>
      </x:c>
      <x:c r="J2223" t="n">
        <x:f>ROUND(F2223*I2223/100,2)</x:f>
        <x:v>0</x:v>
      </x:c>
      <x:c r="K2223" t="n">
        <x:v>0</x:v>
      </x:c>
      <x:c r="L2223" t="n">
        <x:f>ROUND(F2223*K2223/100,2)</x:f>
        <x:v>0</x:v>
      </x:c>
      <x:c r="M2223" t="n">
        <x:v>0</x:v>
      </x:c>
      <x:c r="N2223" t="n">
        <x:f>ROUND(F2223*M2223/100,2)</x:f>
        <x:v>0</x:v>
      </x:c>
      <x:c r="O2223" t="str"/>
    </x:row>
    <x:row r="2224" ht="23" customHeight="1">
      <x:c r="A2224" t="n">
        <x:v>371</x:v>
      </x:c>
      <x:c r="B2224" t="n">
        <x:v>186</x:v>
      </x:c>
      <x:c r="C2224" t="str">
        <x:v>午餐</x:v>
      </x:c>
      <x:c r="D2224" t="str">
        <x:v>蔬菜</x:v>
      </x:c>
      <x:c r="E2224" t="str">
        <x:v>西葫芦</x:v>
      </x:c>
      <x:c r="F2224" t="n">
        <x:v>175</x:v>
      </x:c>
      <x:c r="G2224" t="n">
        <x:v>17</x:v>
      </x:c>
      <x:c r="H2224" t="n">
        <x:f>ROUND(F2224*G2224/100,2)</x:f>
        <x:v>29.75</x:v>
      </x:c>
      <x:c r="I2224" t="n">
        <x:v>1.2</x:v>
      </x:c>
      <x:c r="J2224" t="n">
        <x:f>ROUND(F2224*I2224/100,2)</x:f>
        <x:v>2.1</x:v>
      </x:c>
      <x:c r="K2224" t="n">
        <x:v>3.1</x:v>
      </x:c>
      <x:c r="L2224" t="n">
        <x:f>ROUND(F2224*K2224/100,2)</x:f>
        <x:v>5.43</x:v>
      </x:c>
      <x:c r="M2224" t="n">
        <x:v>0.3</x:v>
      </x:c>
      <x:c r="N2224" t="n">
        <x:f>ROUND(F2224*M2224/100,2)</x:f>
        <x:v>0.53</x:v>
      </x:c>
      <x:c r="O2224" t="str">
        <x:v>生重</x:v>
      </x:c>
    </x:row>
    <x:row r="2225" ht="23" customHeight="1">
      <x:c r="A2225" t="n">
        <x:v>371</x:v>
      </x:c>
      <x:c r="B2225" t="n">
        <x:v>186</x:v>
      </x:c>
      <x:c r="C2225" t="str">
        <x:v>午餐</x:v>
      </x:c>
      <x:c r="D2225" t="str">
        <x:v>蔬菜</x:v>
      </x:c>
      <x:c r="E2225" t="str">
        <x:v>胡萝卜</x:v>
      </x:c>
      <x:c r="F2225" t="n">
        <x:v>110</x:v>
      </x:c>
      <x:c r="G2225" t="n">
        <x:v>41</x:v>
      </x:c>
      <x:c r="H2225" t="n">
        <x:f>ROUND(F2225*G2225/100,2)</x:f>
        <x:v>45.1</x:v>
      </x:c>
      <x:c r="I2225" t="n">
        <x:v>0.9</x:v>
      </x:c>
      <x:c r="J2225" t="n">
        <x:f>ROUND(F2225*I2225/100,2)</x:f>
        <x:v>0.99</x:v>
      </x:c>
      <x:c r="K2225" t="n">
        <x:v>10</x:v>
      </x:c>
      <x:c r="L2225" t="n">
        <x:f>ROUND(F2225*K2225/100,2)</x:f>
        <x:v>11</x:v>
      </x:c>
      <x:c r="M2225" t="n">
        <x:v>0.2</x:v>
      </x:c>
      <x:c r="N2225" t="n">
        <x:f>ROUND(F2225*M2225/100,2)</x:f>
        <x:v>0.22</x:v>
      </x:c>
      <x:c r="O2225" t="str">
        <x:v>生重</x:v>
      </x:c>
    </x:row>
    <x:row r="2226" ht="23" customHeight="1">
      <x:c r="A2226" t="n">
        <x:v>371</x:v>
      </x:c>
      <x:c r="B2226" t="n">
        <x:v>186</x:v>
      </x:c>
      <x:c r="C2226" t="str">
        <x:v>午餐</x:v>
      </x:c>
      <x:c r="D2226" t="str">
        <x:v>低主食</x:v>
      </x:c>
      <x:c r="E2226" t="str">
        <x:v>魔芋丝</x:v>
      </x:c>
      <x:c r="F2226" t="n">
        <x:v>130</x:v>
      </x:c>
      <x:c r="G2226" t="n">
        <x:v>9</x:v>
      </x:c>
      <x:c r="H2226" t="n">
        <x:f>ROUND(F2226*G2226/100,2)</x:f>
        <x:v>11.7</x:v>
      </x:c>
      <x:c r="I2226" t="n">
        <x:v>0.3</x:v>
      </x:c>
      <x:c r="J2226" t="n">
        <x:f>ROUND(F2226*I2226/100,2)</x:f>
        <x:v>0.39</x:v>
      </x:c>
      <x:c r="K2226" t="n">
        <x:v>2</x:v>
      </x:c>
      <x:c r="L2226" t="n">
        <x:f>ROUND(F2226*K2226/100,2)</x:f>
        <x:v>2.6</x:v>
      </x:c>
      <x:c r="M2226" t="n">
        <x:v>0</x:v>
      </x:c>
      <x:c r="N2226" t="n">
        <x:f>ROUND(F2226*M2226/100,2)</x:f>
        <x:v>0</x:v>
      </x:c>
      <x:c r="O2226" t="str">
        <x:v>沥水重</x:v>
      </x:c>
    </x:row>
    <x:row r="2227" ht="23" customHeight="1">
      <x:c r="A2227" t="n">
        <x:v>371</x:v>
      </x:c>
      <x:c r="B2227" t="n">
        <x:v>186</x:v>
      </x:c>
      <x:c r="C2227" t="str">
        <x:v>午餐</x:v>
      </x:c>
      <x:c r="D2227" t="str">
        <x:v>油脂</x:v>
      </x:c>
      <x:c r="E2227" t="str">
        <x:v>烹调油</x:v>
      </x:c>
      <x:c r="F2227" t="n">
        <x:v>5</x:v>
      </x:c>
      <x:c r="G2227" t="n">
        <x:v>900</x:v>
      </x:c>
      <x:c r="H2227" t="n">
        <x:f>ROUND(F2227*G2227/100,2)</x:f>
        <x:v>45</x:v>
      </x:c>
      <x:c r="I2227" t="n">
        <x:v>0</x:v>
      </x:c>
      <x:c r="J2227" t="n">
        <x:f>ROUND(F2227*I2227/100,2)</x:f>
        <x:v>0</x:v>
      </x:c>
      <x:c r="K2227" t="n">
        <x:v>0</x:v>
      </x:c>
      <x:c r="L2227" t="n">
        <x:f>ROUND(F2227*K2227/100,2)</x:f>
        <x:v>0</x:v>
      </x:c>
      <x:c r="M2227" t="n">
        <x:v>100</x:v>
      </x:c>
      <x:c r="N2227" t="n">
        <x:f>ROUND(F2227*M2227/100,2)</x:f>
        <x:v>5</x:v>
      </x:c>
      <x:c r="O2227" t="str">
        <x:v>实际用油重</x:v>
      </x:c>
    </x:row>
    <x:row r="2228" ht="23" customHeight="1">
      <x:c r="A2228" t="n">
        <x:v>372</x:v>
      </x:c>
      <x:c r="B2228" t="n">
        <x:v>186</x:v>
      </x:c>
      <x:c r="C2228" t="str">
        <x:v>晚餐</x:v>
      </x:c>
      <x:c r="D2228" t="str">
        <x:v>豆蛋</x:v>
      </x:c>
      <x:c r="E2228" t="str">
        <x:v>鸡蛋</x:v>
      </x:c>
      <x:c r="F2228" t="n">
        <x:v>100</x:v>
      </x:c>
      <x:c r="G2228" t="n">
        <x:v>144</x:v>
      </x:c>
      <x:c r="H2228" t="n">
        <x:f>ROUND(F2228*G2228/100,2)</x:f>
        <x:v>144</x:v>
      </x:c>
      <x:c r="I2228" t="n">
        <x:v>13</x:v>
      </x:c>
      <x:c r="J2228" t="n">
        <x:f>ROUND(F2228*I2228/100,2)</x:f>
        <x:v>13</x:v>
      </x:c>
      <x:c r="K2228" t="n">
        <x:v>1.1</x:v>
      </x:c>
      <x:c r="L2228" t="n">
        <x:f>ROUND(F2228*K2228/100,2)</x:f>
        <x:v>1.1</x:v>
      </x:c>
      <x:c r="M2228" t="n">
        <x:v>10</x:v>
      </x:c>
      <x:c r="N2228" t="n">
        <x:f>ROUND(F2228*M2228/100,2)</x:f>
        <x:v>10</x:v>
      </x:c>
      <x:c r="O2228" t="str">
        <x:v>去壳可食重</x:v>
      </x:c>
    </x:row>
    <x:row r="2229" ht="23" customHeight="1">
      <x:c r="A2229" t="n">
        <x:v>372</x:v>
      </x:c>
      <x:c r="B2229" t="n">
        <x:v>186</x:v>
      </x:c>
      <x:c r="C2229" t="str">
        <x:v>晚餐</x:v>
      </x:c>
      <x:c r="D2229" t="str">
        <x:v>豆蛋</x:v>
      </x:c>
      <x:c r="E2229" t="str">
        <x:v>嫩豆腐</x:v>
      </x:c>
      <x:c r="F2229" t="n">
        <x:v>160</x:v>
      </x:c>
      <x:c r="G2229" t="n">
        <x:v>55</x:v>
      </x:c>
      <x:c r="H2229" t="n">
        <x:f>ROUND(F2229*G2229/100,2)</x:f>
        <x:v>88</x:v>
      </x:c>
      <x:c r="I2229" t="n">
        <x:v>5</x:v>
      </x:c>
      <x:c r="J2229" t="n">
        <x:f>ROUND(F2229*I2229/100,2)</x:f>
        <x:v>8</x:v>
      </x:c>
      <x:c r="K2229" t="n">
        <x:v>2</x:v>
      </x:c>
      <x:c r="L2229" t="n">
        <x:f>ROUND(F2229*K2229/100,2)</x:f>
        <x:v>3.2</x:v>
      </x:c>
      <x:c r="M2229" t="n">
        <x:v>2.8</x:v>
      </x:c>
      <x:c r="N2229" t="n">
        <x:f>ROUND(F2229*M2229/100,2)</x:f>
        <x:v>4.48</x:v>
      </x:c>
      <x:c r="O2229" t="str">
        <x:v>净重</x:v>
      </x:c>
    </x:row>
    <x:row r="2230" ht="23" customHeight="1">
      <x:c r="A2230" t="n">
        <x:v>372</x:v>
      </x:c>
      <x:c r="B2230" t="n">
        <x:v>186</x:v>
      </x:c>
      <x:c r="C2230" t="str">
        <x:v>晚餐</x:v>
      </x:c>
      <x:c r="D2230" t="str">
        <x:v>蔬菜</x:v>
      </x:c>
      <x:c r="E2230" t="str">
        <x:v>丝瓜</x:v>
      </x:c>
      <x:c r="F2230" t="n">
        <x:v>160</x:v>
      </x:c>
      <x:c r="G2230" t="n">
        <x:v>20</x:v>
      </x:c>
      <x:c r="H2230" t="n">
        <x:f>ROUND(F2230*G2230/100,2)</x:f>
        <x:v>32</x:v>
      </x:c>
      <x:c r="I2230" t="n">
        <x:v>1</x:v>
      </x:c>
      <x:c r="J2230" t="n">
        <x:f>ROUND(F2230*I2230/100,2)</x:f>
        <x:v>1.6</x:v>
      </x:c>
      <x:c r="K2230" t="n">
        <x:v>4</x:v>
      </x:c>
      <x:c r="L2230" t="n">
        <x:f>ROUND(F2230*K2230/100,2)</x:f>
        <x:v>6.4</x:v>
      </x:c>
      <x:c r="M2230" t="n">
        <x:v>0.2</x:v>
      </x:c>
      <x:c r="N2230" t="n">
        <x:f>ROUND(F2230*M2230/100,2)</x:f>
        <x:v>0.32</x:v>
      </x:c>
      <x:c r="O2230" t="str">
        <x:v>生重</x:v>
      </x:c>
    </x:row>
    <x:row r="2231" ht="23" customHeight="1">
      <x:c r="A2231" t="n">
        <x:v>372</x:v>
      </x:c>
      <x:c r="B2231" t="n">
        <x:v>186</x:v>
      </x:c>
      <x:c r="C2231" t="str">
        <x:v>晚餐</x:v>
      </x:c>
      <x:c r="D2231" t="str">
        <x:v>蔬菜</x:v>
      </x:c>
      <x:c r="E2231" t="str">
        <x:v>娃娃菜</x:v>
      </x:c>
      <x:c r="F2231" t="n">
        <x:v>125</x:v>
      </x:c>
      <x:c r="G2231" t="n">
        <x:v>17</x:v>
      </x:c>
      <x:c r="H2231" t="n">
        <x:f>ROUND(F2231*G2231/100,2)</x:f>
        <x:v>21.25</x:v>
      </x:c>
      <x:c r="I2231" t="n">
        <x:v>1.3</x:v>
      </x:c>
      <x:c r="J2231" t="n">
        <x:f>ROUND(F2231*I2231/100,2)</x:f>
        <x:v>1.63</x:v>
      </x:c>
      <x:c r="K2231" t="n">
        <x:v>3</x:v>
      </x:c>
      <x:c r="L2231" t="n">
        <x:f>ROUND(F2231*K2231/100,2)</x:f>
        <x:v>3.75</x:v>
      </x:c>
      <x:c r="M2231" t="n">
        <x:v>0.2</x:v>
      </x:c>
      <x:c r="N2231" t="n">
        <x:f>ROUND(F2231*M2231/100,2)</x:f>
        <x:v>0.25</x:v>
      </x:c>
      <x:c r="O2231" t="str">
        <x:v>生重</x:v>
      </x:c>
    </x:row>
    <x:row r="2232" ht="23" customHeight="1">
      <x:c r="A2232" t="n">
        <x:v>372</x:v>
      </x:c>
      <x:c r="B2232" t="n">
        <x:v>186</x:v>
      </x:c>
      <x:c r="C2232" t="str">
        <x:v>晚餐</x:v>
      </x:c>
      <x:c r="D2232" t="str">
        <x:v>主食</x:v>
      </x:c>
      <x:c r="E2232" t="str">
        <x:v>紫薯</x:v>
      </x:c>
      <x:c r="F2232" t="n">
        <x:v>125</x:v>
      </x:c>
      <x:c r="G2232" t="n">
        <x:v>95</x:v>
      </x:c>
      <x:c r="H2232" t="n">
        <x:f>ROUND(F2232*G2232/100,2)</x:f>
        <x:v>118.75</x:v>
      </x:c>
      <x:c r="I2232" t="n">
        <x:v>1.6</x:v>
      </x:c>
      <x:c r="J2232" t="n">
        <x:f>ROUND(F2232*I2232/100,2)</x:f>
        <x:v>2</x:v>
      </x:c>
      <x:c r="K2232" t="n">
        <x:v>22</x:v>
      </x:c>
      <x:c r="L2232" t="n">
        <x:f>ROUND(F2232*K2232/100,2)</x:f>
        <x:v>27.5</x:v>
      </x:c>
      <x:c r="M2232" t="n">
        <x:v>0.1</x:v>
      </x:c>
      <x:c r="N2232" t="n">
        <x:f>ROUND(F2232*M2232/100,2)</x:f>
        <x:v>0.13</x:v>
      </x:c>
      <x:c r="O2232" t="str">
        <x:v>蒸熟净重</x:v>
      </x:c>
    </x:row>
    <x:row r="2233" ht="23" customHeight="1">
      <x:c r="A2233" t="n">
        <x:v>372</x:v>
      </x:c>
      <x:c r="B2233" t="n">
        <x:v>186</x:v>
      </x:c>
      <x:c r="C2233" t="str">
        <x:v>晚餐</x:v>
      </x:c>
      <x:c r="D2233" t="str">
        <x:v>油脂</x:v>
      </x:c>
      <x:c r="E2233" t="str">
        <x:v>烹调油</x:v>
      </x:c>
      <x:c r="F2233" t="n">
        <x:v>3</x:v>
      </x:c>
      <x:c r="G2233" t="n">
        <x:v>900</x:v>
      </x:c>
      <x:c r="H2233" t="n">
        <x:f>ROUND(F2233*G2233/100,2)</x:f>
        <x:v>27</x:v>
      </x:c>
      <x:c r="I2233" t="n">
        <x:v>0</x:v>
      </x:c>
      <x:c r="J2233" t="n">
        <x:f>ROUND(F2233*I2233/100,2)</x:f>
        <x:v>0</x:v>
      </x:c>
      <x:c r="K2233" t="n">
        <x:v>0</x:v>
      </x:c>
      <x:c r="L2233" t="n">
        <x:f>ROUND(F2233*K2233/100,2)</x:f>
        <x:v>0</x:v>
      </x:c>
      <x:c r="M2233" t="n">
        <x:v>100</x:v>
      </x:c>
      <x:c r="N2233" t="n">
        <x:f>ROUND(F2233*M2233/100,2)</x:f>
        <x:v>3</x:v>
      </x:c>
      <x:c r="O2233" t="str">
        <x:v>实际用油重</x:v>
      </x:c>
    </x:row>
    <x:row r="2234" ht="23" customHeight="1">
      <x:c r="A2234" t="n">
        <x:v>373</x:v>
      </x:c>
      <x:c r="B2234" t="n">
        <x:v>187</x:v>
      </x:c>
      <x:c r="C2234" t="str">
        <x:v>午餐</x:v>
      </x:c>
      <x:c r="D2234" t="str">
        <x:v>鱼类</x:v>
      </x:c>
      <x:c r="E2234" t="str">
        <x:v>鲈鱼</x:v>
      </x:c>
      <x:c r="F2234" t="n">
        <x:v>200</x:v>
      </x:c>
      <x:c r="G2234" t="n">
        <x:v>105</x:v>
      </x:c>
      <x:c r="H2234" t="n">
        <x:f>ROUND(F2234*G2234/100,2)</x:f>
        <x:v>210</x:v>
      </x:c>
      <x:c r="I2234" t="n">
        <x:v>19</x:v>
      </x:c>
      <x:c r="J2234" t="n">
        <x:f>ROUND(F2234*I2234/100,2)</x:f>
        <x:v>38</x:v>
      </x:c>
      <x:c r="K2234" t="n">
        <x:v>0</x:v>
      </x:c>
      <x:c r="L2234" t="n">
        <x:f>ROUND(F2234*K2234/100,2)</x:f>
        <x:v>0</x:v>
      </x:c>
      <x:c r="M2234" t="n">
        <x:v>3</x:v>
      </x:c>
      <x:c r="N2234" t="n">
        <x:f>ROUND(F2234*M2234/100,2)</x:f>
        <x:v>6</x:v>
      </x:c>
      <x:c r="O2234" t="str">
        <x:v>净鱼肉生重</x:v>
      </x:c>
    </x:row>
    <x:row r="2235" ht="23" customHeight="1">
      <x:c r="A2235" t="n">
        <x:v>373</x:v>
      </x:c>
      <x:c r="B2235" t="n">
        <x:v>187</x:v>
      </x:c>
      <x:c r="C2235" t="str">
        <x:v>午餐</x:v>
      </x:c>
      <x:c r="D2235" t="str"/>
      <x:c r="E2235" t="str"/>
      <x:c r="F2235" t="n">
        <x:v>0</x:v>
      </x:c>
      <x:c r="G2235" t="n">
        <x:v>0</x:v>
      </x:c>
      <x:c r="H2235" t="n">
        <x:f>ROUND(F2235*G2235/100,2)</x:f>
        <x:v>0</x:v>
      </x:c>
      <x:c r="I2235" t="n">
        <x:v>0</x:v>
      </x:c>
      <x:c r="J2235" t="n">
        <x:f>ROUND(F2235*I2235/100,2)</x:f>
        <x:v>0</x:v>
      </x:c>
      <x:c r="K2235" t="n">
        <x:v>0</x:v>
      </x:c>
      <x:c r="L2235" t="n">
        <x:f>ROUND(F2235*K2235/100,2)</x:f>
        <x:v>0</x:v>
      </x:c>
      <x:c r="M2235" t="n">
        <x:v>0</x:v>
      </x:c>
      <x:c r="N2235" t="n">
        <x:f>ROUND(F2235*M2235/100,2)</x:f>
        <x:v>0</x:v>
      </x:c>
      <x:c r="O2235" t="str"/>
    </x:row>
    <x:row r="2236" ht="23" customHeight="1">
      <x:c r="A2236" t="n">
        <x:v>373</x:v>
      </x:c>
      <x:c r="B2236" t="n">
        <x:v>187</x:v>
      </x:c>
      <x:c r="C2236" t="str">
        <x:v>午餐</x:v>
      </x:c>
      <x:c r="D2236" t="str">
        <x:v>蔬菜</x:v>
      </x:c>
      <x:c r="E2236" t="str">
        <x:v>番茄</x:v>
      </x:c>
      <x:c r="F2236" t="n">
        <x:v>160</x:v>
      </x:c>
      <x:c r="G2236" t="n">
        <x:v>20</x:v>
      </x:c>
      <x:c r="H2236" t="n">
        <x:f>ROUND(F2236*G2236/100,2)</x:f>
        <x:v>32</x:v>
      </x:c>
      <x:c r="I2236" t="n">
        <x:v>0.9</x:v>
      </x:c>
      <x:c r="J2236" t="n">
        <x:f>ROUND(F2236*I2236/100,2)</x:f>
        <x:v>1.44</x:v>
      </x:c>
      <x:c r="K2236" t="n">
        <x:v>4</x:v>
      </x:c>
      <x:c r="L2236" t="n">
        <x:f>ROUND(F2236*K2236/100,2)</x:f>
        <x:v>6.4</x:v>
      </x:c>
      <x:c r="M2236" t="n">
        <x:v>0.2</x:v>
      </x:c>
      <x:c r="N2236" t="n">
        <x:f>ROUND(F2236*M2236/100,2)</x:f>
        <x:v>0.32</x:v>
      </x:c>
      <x:c r="O2236" t="str">
        <x:v>生重</x:v>
      </x:c>
    </x:row>
    <x:row r="2237" ht="23" customHeight="1">
      <x:c r="A2237" t="n">
        <x:v>373</x:v>
      </x:c>
      <x:c r="B2237" t="n">
        <x:v>187</x:v>
      </x:c>
      <x:c r="C2237" t="str">
        <x:v>午餐</x:v>
      </x:c>
      <x:c r="D2237" t="str">
        <x:v>蔬菜</x:v>
      </x:c>
      <x:c r="E2237" t="str">
        <x:v>莴笋</x:v>
      </x:c>
      <x:c r="F2237" t="n">
        <x:v>155</x:v>
      </x:c>
      <x:c r="G2237" t="n">
        <x:v>15</x:v>
      </x:c>
      <x:c r="H2237" t="n">
        <x:f>ROUND(F2237*G2237/100,2)</x:f>
        <x:v>23.25</x:v>
      </x:c>
      <x:c r="I2237" t="n">
        <x:v>1</x:v>
      </x:c>
      <x:c r="J2237" t="n">
        <x:f>ROUND(F2237*I2237/100,2)</x:f>
        <x:v>1.55</x:v>
      </x:c>
      <x:c r="K2237" t="n">
        <x:v>2.8</x:v>
      </x:c>
      <x:c r="L2237" t="n">
        <x:f>ROUND(F2237*K2237/100,2)</x:f>
        <x:v>4.34</x:v>
      </x:c>
      <x:c r="M2237" t="n">
        <x:v>0.1</x:v>
      </x:c>
      <x:c r="N2237" t="n">
        <x:f>ROUND(F2237*M2237/100,2)</x:f>
        <x:v>0.16</x:v>
      </x:c>
      <x:c r="O2237" t="str">
        <x:v>生重</x:v>
      </x:c>
    </x:row>
    <x:row r="2238" ht="23" customHeight="1">
      <x:c r="A2238" t="n">
        <x:v>373</x:v>
      </x:c>
      <x:c r="B2238" t="n">
        <x:v>187</x:v>
      </x:c>
      <x:c r="C2238" t="str">
        <x:v>午餐</x:v>
      </x:c>
      <x:c r="D2238" t="str">
        <x:v>主食</x:v>
      </x:c>
      <x:c r="E2238" t="str">
        <x:v>白米饭</x:v>
      </x:c>
      <x:c r="F2238" t="n">
        <x:v>125</x:v>
      </x:c>
      <x:c r="G2238" t="n">
        <x:v>116</x:v>
      </x:c>
      <x:c r="H2238" t="n">
        <x:f>ROUND(F2238*G2238/100,2)</x:f>
        <x:v>145</x:v>
      </x:c>
      <x:c r="I2238" t="n">
        <x:v>2.6</x:v>
      </x:c>
      <x:c r="J2238" t="n">
        <x:f>ROUND(F2238*I2238/100,2)</x:f>
        <x:v>3.25</x:v>
      </x:c>
      <x:c r="K2238" t="n">
        <x:v>25.6</x:v>
      </x:c>
      <x:c r="L2238" t="n">
        <x:f>ROUND(F2238*K2238/100,2)</x:f>
        <x:v>32</x:v>
      </x:c>
      <x:c r="M2238" t="n">
        <x:v>0.3</x:v>
      </x:c>
      <x:c r="N2238" t="n">
        <x:f>ROUND(F2238*M2238/100,2)</x:f>
        <x:v>0.38</x:v>
      </x:c>
      <x:c r="O2238" t="str">
        <x:v>熟重</x:v>
      </x:c>
    </x:row>
    <x:row r="2239" ht="23" customHeight="1">
      <x:c r="A2239" t="n">
        <x:v>373</x:v>
      </x:c>
      <x:c r="B2239" t="n">
        <x:v>187</x:v>
      </x:c>
      <x:c r="C2239" t="str">
        <x:v>午餐</x:v>
      </x:c>
      <x:c r="D2239" t="str">
        <x:v>油脂</x:v>
      </x:c>
      <x:c r="E2239" t="str">
        <x:v>烹调油</x:v>
      </x:c>
      <x:c r="F2239" t="n">
        <x:v>3</x:v>
      </x:c>
      <x:c r="G2239" t="n">
        <x:v>900</x:v>
      </x:c>
      <x:c r="H2239" t="n">
        <x:f>ROUND(F2239*G2239/100,2)</x:f>
        <x:v>27</x:v>
      </x:c>
      <x:c r="I2239" t="n">
        <x:v>0</x:v>
      </x:c>
      <x:c r="J2239" t="n">
        <x:f>ROUND(F2239*I2239/100,2)</x:f>
        <x:v>0</x:v>
      </x:c>
      <x:c r="K2239" t="n">
        <x:v>0</x:v>
      </x:c>
      <x:c r="L2239" t="n">
        <x:f>ROUND(F2239*K2239/100,2)</x:f>
        <x:v>0</x:v>
      </x:c>
      <x:c r="M2239" t="n">
        <x:v>100</x:v>
      </x:c>
      <x:c r="N2239" t="n">
        <x:f>ROUND(F2239*M2239/100,2)</x:f>
        <x:v>3</x:v>
      </x:c>
      <x:c r="O2239" t="str">
        <x:v>实际用油重</x:v>
      </x:c>
    </x:row>
    <x:row r="2240" ht="23" customHeight="1">
      <x:c r="A2240" t="n">
        <x:v>374</x:v>
      </x:c>
      <x:c r="B2240" t="n">
        <x:v>187</x:v>
      </x:c>
      <x:c r="C2240" t="str">
        <x:v>晚餐</x:v>
      </x:c>
      <x:c r="D2240" t="str">
        <x:v>豆蛋</x:v>
      </x:c>
      <x:c r="E2240" t="str">
        <x:v>鸡蛋</x:v>
      </x:c>
      <x:c r="F2240" t="n">
        <x:v>120</x:v>
      </x:c>
      <x:c r="G2240" t="n">
        <x:v>144</x:v>
      </x:c>
      <x:c r="H2240" t="n">
        <x:f>ROUND(F2240*G2240/100,2)</x:f>
        <x:v>172.8</x:v>
      </x:c>
      <x:c r="I2240" t="n">
        <x:v>13</x:v>
      </x:c>
      <x:c r="J2240" t="n">
        <x:f>ROUND(F2240*I2240/100,2)</x:f>
        <x:v>15.6</x:v>
      </x:c>
      <x:c r="K2240" t="n">
        <x:v>1.1</x:v>
      </x:c>
      <x:c r="L2240" t="n">
        <x:f>ROUND(F2240*K2240/100,2)</x:f>
        <x:v>1.32</x:v>
      </x:c>
      <x:c r="M2240" t="n">
        <x:v>10</x:v>
      </x:c>
      <x:c r="N2240" t="n">
        <x:f>ROUND(F2240*M2240/100,2)</x:f>
        <x:v>12</x:v>
      </x:c>
      <x:c r="O2240" t="str">
        <x:v>去壳可食重</x:v>
      </x:c>
    </x:row>
    <x:row r="2241" ht="23" customHeight="1">
      <x:c r="A2241" t="n">
        <x:v>374</x:v>
      </x:c>
      <x:c r="B2241" t="n">
        <x:v>187</x:v>
      </x:c>
      <x:c r="C2241" t="str">
        <x:v>晚餐</x:v>
      </x:c>
      <x:c r="D2241" t="str">
        <x:v>海鲜</x:v>
      </x:c>
      <x:c r="E2241" t="str">
        <x:v>虾仁</x:v>
      </x:c>
      <x:c r="F2241" t="n">
        <x:v>85</x:v>
      </x:c>
      <x:c r="G2241" t="n">
        <x:v>90</x:v>
      </x:c>
      <x:c r="H2241" t="n">
        <x:f>ROUND(F2241*G2241/100,2)</x:f>
        <x:v>76.5</x:v>
      </x:c>
      <x:c r="I2241" t="n">
        <x:v>19</x:v>
      </x:c>
      <x:c r="J2241" t="n">
        <x:f>ROUND(F2241*I2241/100,2)</x:f>
        <x:v>16.15</x:v>
      </x:c>
      <x:c r="K2241" t="n">
        <x:v>0.4</x:v>
      </x:c>
      <x:c r="L2241" t="n">
        <x:f>ROUND(F2241*K2241/100,2)</x:f>
        <x:v>0.34</x:v>
      </x:c>
      <x:c r="M2241" t="n">
        <x:v>1.1</x:v>
      </x:c>
      <x:c r="N2241" t="n">
        <x:f>ROUND(F2241*M2241/100,2)</x:f>
        <x:v>0.94</x:v>
      </x:c>
      <x:c r="O2241" t="str">
        <x:v>生重</x:v>
      </x:c>
    </x:row>
    <x:row r="2242" ht="23" customHeight="1">
      <x:c r="A2242" t="n">
        <x:v>374</x:v>
      </x:c>
      <x:c r="B2242" t="n">
        <x:v>187</x:v>
      </x:c>
      <x:c r="C2242" t="str">
        <x:v>晚餐</x:v>
      </x:c>
      <x:c r="D2242" t="str">
        <x:v>蔬菜</x:v>
      </x:c>
      <x:c r="E2242" t="str">
        <x:v>芦笋</x:v>
      </x:c>
      <x:c r="F2242" t="n">
        <x:v>175</x:v>
      </x:c>
      <x:c r="G2242" t="n">
        <x:v>20</x:v>
      </x:c>
      <x:c r="H2242" t="n">
        <x:f>ROUND(F2242*G2242/100,2)</x:f>
        <x:v>35</x:v>
      </x:c>
      <x:c r="I2242" t="n">
        <x:v>2.2</x:v>
      </x:c>
      <x:c r="J2242" t="n">
        <x:f>ROUND(F2242*I2242/100,2)</x:f>
        <x:v>3.85</x:v>
      </x:c>
      <x:c r="K2242" t="n">
        <x:v>3.9</x:v>
      </x:c>
      <x:c r="L2242" t="n">
        <x:f>ROUND(F2242*K2242/100,2)</x:f>
        <x:v>6.83</x:v>
      </x:c>
      <x:c r="M2242" t="n">
        <x:v>0.1</x:v>
      </x:c>
      <x:c r="N2242" t="n">
        <x:f>ROUND(F2242*M2242/100,2)</x:f>
        <x:v>0.18</x:v>
      </x:c>
      <x:c r="O2242" t="str">
        <x:v>生重</x:v>
      </x:c>
    </x:row>
    <x:row r="2243" ht="23" customHeight="1">
      <x:c r="A2243" t="n">
        <x:v>374</x:v>
      </x:c>
      <x:c r="B2243" t="n">
        <x:v>187</x:v>
      </x:c>
      <x:c r="C2243" t="str">
        <x:v>晚餐</x:v>
      </x:c>
      <x:c r="D2243" t="str">
        <x:v>蔬菜</x:v>
      </x:c>
      <x:c r="E2243" t="str">
        <x:v>彩椒</x:v>
      </x:c>
      <x:c r="F2243" t="n">
        <x:v>125</x:v>
      </x:c>
      <x:c r="G2243" t="n">
        <x:v>27</x:v>
      </x:c>
      <x:c r="H2243" t="n">
        <x:f>ROUND(F2243*G2243/100,2)</x:f>
        <x:v>33.75</x:v>
      </x:c>
      <x:c r="I2243" t="n">
        <x:v>1</x:v>
      </x:c>
      <x:c r="J2243" t="n">
        <x:f>ROUND(F2243*I2243/100,2)</x:f>
        <x:v>1.25</x:v>
      </x:c>
      <x:c r="K2243" t="n">
        <x:v>6.1</x:v>
      </x:c>
      <x:c r="L2243" t="n">
        <x:f>ROUND(F2243*K2243/100,2)</x:f>
        <x:v>7.63</x:v>
      </x:c>
      <x:c r="M2243" t="n">
        <x:v>0.2</x:v>
      </x:c>
      <x:c r="N2243" t="n">
        <x:f>ROUND(F2243*M2243/100,2)</x:f>
        <x:v>0.25</x:v>
      </x:c>
      <x:c r="O2243" t="str">
        <x:v>生重</x:v>
      </x:c>
    </x:row>
    <x:row r="2244" ht="23" customHeight="1">
      <x:c r="A2244" t="n">
        <x:v>374</x:v>
      </x:c>
      <x:c r="B2244" t="n">
        <x:v>187</x:v>
      </x:c>
      <x:c r="C2244" t="str">
        <x:v>晚餐</x:v>
      </x:c>
      <x:c r="D2244" t="str">
        <x:v>主食</x:v>
      </x:c>
      <x:c r="E2244" t="str">
        <x:v>红薯</x:v>
      </x:c>
      <x:c r="F2244" t="n">
        <x:v>95</x:v>
      </x:c>
      <x:c r="G2244" t="n">
        <x:v>88</x:v>
      </x:c>
      <x:c r="H2244" t="n">
        <x:f>ROUND(F2244*G2244/100,2)</x:f>
        <x:v>83.6</x:v>
      </x:c>
      <x:c r="I2244" t="n">
        <x:v>1.6</x:v>
      </x:c>
      <x:c r="J2244" t="n">
        <x:f>ROUND(F2244*I2244/100,2)</x:f>
        <x:v>1.52</x:v>
      </x:c>
      <x:c r="K2244" t="n">
        <x:v>20.5</x:v>
      </x:c>
      <x:c r="L2244" t="n">
        <x:f>ROUND(F2244*K2244/100,2)</x:f>
        <x:v>19.48</x:v>
      </x:c>
      <x:c r="M2244" t="n">
        <x:v>0.1</x:v>
      </x:c>
      <x:c r="N2244" t="n">
        <x:f>ROUND(F2244*M2244/100,2)</x:f>
        <x:v>0.1</x:v>
      </x:c>
      <x:c r="O2244" t="str">
        <x:v>蒸熟净重</x:v>
      </x:c>
    </x:row>
    <x:row r="2245" ht="23" customHeight="1">
      <x:c r="A2245" t="n">
        <x:v>374</x:v>
      </x:c>
      <x:c r="B2245" t="n">
        <x:v>187</x:v>
      </x:c>
      <x:c r="C2245" t="str">
        <x:v>晚餐</x:v>
      </x:c>
      <x:c r="D2245" t="str">
        <x:v>油脂</x:v>
      </x:c>
      <x:c r="E2245" t="str">
        <x:v>烹调油</x:v>
      </x:c>
      <x:c r="F2245" t="n">
        <x:v>5</x:v>
      </x:c>
      <x:c r="G2245" t="n">
        <x:v>900</x:v>
      </x:c>
      <x:c r="H2245" t="n">
        <x:f>ROUND(F2245*G2245/100,2)</x:f>
        <x:v>45</x:v>
      </x:c>
      <x:c r="I2245" t="n">
        <x:v>0</x:v>
      </x:c>
      <x:c r="J2245" t="n">
        <x:f>ROUND(F2245*I2245/100,2)</x:f>
        <x:v>0</x:v>
      </x:c>
      <x:c r="K2245" t="n">
        <x:v>0</x:v>
      </x:c>
      <x:c r="L2245" t="n">
        <x:f>ROUND(F2245*K2245/100,2)</x:f>
        <x:v>0</x:v>
      </x:c>
      <x:c r="M2245" t="n">
        <x:v>100</x:v>
      </x:c>
      <x:c r="N2245" t="n">
        <x:f>ROUND(F2245*M2245/100,2)</x:f>
        <x:v>5</x:v>
      </x:c>
      <x:c r="O2245" t="str">
        <x:v>实际用油重</x:v>
      </x:c>
    </x:row>
    <x:row r="2246" ht="23" customHeight="1">
      <x:c r="A2246" t="n">
        <x:v>375</x:v>
      </x:c>
      <x:c r="B2246" t="n">
        <x:v>188</x:v>
      </x:c>
      <x:c r="C2246" t="str">
        <x:v>午餐</x:v>
      </x:c>
      <x:c r="D2246" t="str">
        <x:v>鱼类</x:v>
      </x:c>
      <x:c r="E2246" t="str">
        <x:v>鳕鱼</x:v>
      </x:c>
      <x:c r="F2246" t="n">
        <x:v>185</x:v>
      </x:c>
      <x:c r="G2246" t="n">
        <x:v>85</x:v>
      </x:c>
      <x:c r="H2246" t="n">
        <x:f>ROUND(F2246*G2246/100,2)</x:f>
        <x:v>157.25</x:v>
      </x:c>
      <x:c r="I2246" t="n">
        <x:v>18</x:v>
      </x:c>
      <x:c r="J2246" t="n">
        <x:f>ROUND(F2246*I2246/100,2)</x:f>
        <x:v>33.3</x:v>
      </x:c>
      <x:c r="K2246" t="n">
        <x:v>0</x:v>
      </x:c>
      <x:c r="L2246" t="n">
        <x:f>ROUND(F2246*K2246/100,2)</x:f>
        <x:v>0</x:v>
      </x:c>
      <x:c r="M2246" t="n">
        <x:v>0.8</x:v>
      </x:c>
      <x:c r="N2246" t="n">
        <x:f>ROUND(F2246*M2246/100,2)</x:f>
        <x:v>1.48</x:v>
      </x:c>
      <x:c r="O2246" t="str">
        <x:v>净鱼肉生重</x:v>
      </x:c>
    </x:row>
    <x:row r="2247" ht="23" customHeight="1">
      <x:c r="A2247" t="n">
        <x:v>375</x:v>
      </x:c>
      <x:c r="B2247" t="n">
        <x:v>188</x:v>
      </x:c>
      <x:c r="C2247" t="str">
        <x:v>午餐</x:v>
      </x:c>
      <x:c r="D2247" t="str"/>
      <x:c r="E2247" t="str"/>
      <x:c r="F2247" t="n">
        <x:v>0</x:v>
      </x:c>
      <x:c r="G2247" t="n">
        <x:v>0</x:v>
      </x:c>
      <x:c r="H2247" t="n">
        <x:f>ROUND(F2247*G2247/100,2)</x:f>
        <x:v>0</x:v>
      </x:c>
      <x:c r="I2247" t="n">
        <x:v>0</x:v>
      </x:c>
      <x:c r="J2247" t="n">
        <x:f>ROUND(F2247*I2247/100,2)</x:f>
        <x:v>0</x:v>
      </x:c>
      <x:c r="K2247" t="n">
        <x:v>0</x:v>
      </x:c>
      <x:c r="L2247" t="n">
        <x:f>ROUND(F2247*K2247/100,2)</x:f>
        <x:v>0</x:v>
      </x:c>
      <x:c r="M2247" t="n">
        <x:v>0</x:v>
      </x:c>
      <x:c r="N2247" t="n">
        <x:f>ROUND(F2247*M2247/100,2)</x:f>
        <x:v>0</x:v>
      </x:c>
      <x:c r="O2247" t="str"/>
    </x:row>
    <x:row r="2248" ht="23" customHeight="1">
      <x:c r="A2248" t="n">
        <x:v>375</x:v>
      </x:c>
      <x:c r="B2248" t="n">
        <x:v>188</x:v>
      </x:c>
      <x:c r="C2248" t="str">
        <x:v>午餐</x:v>
      </x:c>
      <x:c r="D2248" t="str">
        <x:v>蔬菜</x:v>
      </x:c>
      <x:c r="E2248" t="str">
        <x:v>芦笋</x:v>
      </x:c>
      <x:c r="F2248" t="n">
        <x:v>160</x:v>
      </x:c>
      <x:c r="G2248" t="n">
        <x:v>20</x:v>
      </x:c>
      <x:c r="H2248" t="n">
        <x:f>ROUND(F2248*G2248/100,2)</x:f>
        <x:v>32</x:v>
      </x:c>
      <x:c r="I2248" t="n">
        <x:v>2.2</x:v>
      </x:c>
      <x:c r="J2248" t="n">
        <x:f>ROUND(F2248*I2248/100,2)</x:f>
        <x:v>3.52</x:v>
      </x:c>
      <x:c r="K2248" t="n">
        <x:v>3.9</x:v>
      </x:c>
      <x:c r="L2248" t="n">
        <x:f>ROUND(F2248*K2248/100,2)</x:f>
        <x:v>6.24</x:v>
      </x:c>
      <x:c r="M2248" t="n">
        <x:v>0.1</x:v>
      </x:c>
      <x:c r="N2248" t="n">
        <x:f>ROUND(F2248*M2248/100,2)</x:f>
        <x:v>0.16</x:v>
      </x:c>
      <x:c r="O2248" t="str">
        <x:v>生重</x:v>
      </x:c>
    </x:row>
    <x:row r="2249" ht="23" customHeight="1">
      <x:c r="A2249" t="n">
        <x:v>375</x:v>
      </x:c>
      <x:c r="B2249" t="n">
        <x:v>188</x:v>
      </x:c>
      <x:c r="C2249" t="str">
        <x:v>午餐</x:v>
      </x:c>
      <x:c r="D2249" t="str">
        <x:v>蔬菜</x:v>
      </x:c>
      <x:c r="E2249" t="str">
        <x:v>小白菜</x:v>
      </x:c>
      <x:c r="F2249" t="n">
        <x:v>110</x:v>
      </x:c>
      <x:c r="G2249" t="n">
        <x:v>17</x:v>
      </x:c>
      <x:c r="H2249" t="n">
        <x:f>ROUND(F2249*G2249/100,2)</x:f>
        <x:v>18.7</x:v>
      </x:c>
      <x:c r="I2249" t="n">
        <x:v>1.6</x:v>
      </x:c>
      <x:c r="J2249" t="n">
        <x:f>ROUND(F2249*I2249/100,2)</x:f>
        <x:v>1.76</x:v>
      </x:c>
      <x:c r="K2249" t="n">
        <x:v>2.8</x:v>
      </x:c>
      <x:c r="L2249" t="n">
        <x:f>ROUND(F2249*K2249/100,2)</x:f>
        <x:v>3.08</x:v>
      </x:c>
      <x:c r="M2249" t="n">
        <x:v>0.2</x:v>
      </x:c>
      <x:c r="N2249" t="n">
        <x:f>ROUND(F2249*M2249/100,2)</x:f>
        <x:v>0.22</x:v>
      </x:c>
      <x:c r="O2249" t="str">
        <x:v>生重</x:v>
      </x:c>
    </x:row>
    <x:row r="2250" ht="23" customHeight="1">
      <x:c r="A2250" t="n">
        <x:v>375</x:v>
      </x:c>
      <x:c r="B2250" t="n">
        <x:v>188</x:v>
      </x:c>
      <x:c r="C2250" t="str">
        <x:v>午餐</x:v>
      </x:c>
      <x:c r="D2250" t="str">
        <x:v>主食</x:v>
      </x:c>
      <x:c r="E2250" t="str">
        <x:v>乌冬面</x:v>
      </x:c>
      <x:c r="F2250" t="n">
        <x:v>150</x:v>
      </x:c>
      <x:c r="G2250" t="n">
        <x:v>120</x:v>
      </x:c>
      <x:c r="H2250" t="n">
        <x:f>ROUND(F2250*G2250/100,2)</x:f>
        <x:v>180</x:v>
      </x:c>
      <x:c r="I2250" t="n">
        <x:v>2.5</x:v>
      </x:c>
      <x:c r="J2250" t="n">
        <x:f>ROUND(F2250*I2250/100,2)</x:f>
        <x:v>3.75</x:v>
      </x:c>
      <x:c r="K2250" t="n">
        <x:v>25</x:v>
      </x:c>
      <x:c r="L2250" t="n">
        <x:f>ROUND(F2250*K2250/100,2)</x:f>
        <x:v>37.5</x:v>
      </x:c>
      <x:c r="M2250" t="n">
        <x:v>0.6</x:v>
      </x:c>
      <x:c r="N2250" t="n">
        <x:f>ROUND(F2250*M2250/100,2)</x:f>
        <x:v>0.9</x:v>
      </x:c>
      <x:c r="O2250" t="str">
        <x:v>煮熟沥水重</x:v>
      </x:c>
    </x:row>
    <x:row r="2251" ht="23" customHeight="1">
      <x:c r="A2251" t="n">
        <x:v>375</x:v>
      </x:c>
      <x:c r="B2251" t="n">
        <x:v>188</x:v>
      </x:c>
      <x:c r="C2251" t="str">
        <x:v>午餐</x:v>
      </x:c>
      <x:c r="D2251" t="str">
        <x:v>油脂</x:v>
      </x:c>
      <x:c r="E2251" t="str">
        <x:v>烹调油</x:v>
      </x:c>
      <x:c r="F2251" t="n">
        <x:v>6</x:v>
      </x:c>
      <x:c r="G2251" t="n">
        <x:v>900</x:v>
      </x:c>
      <x:c r="H2251" t="n">
        <x:f>ROUND(F2251*G2251/100,2)</x:f>
        <x:v>54</x:v>
      </x:c>
      <x:c r="I2251" t="n">
        <x:v>0</x:v>
      </x:c>
      <x:c r="J2251" t="n">
        <x:f>ROUND(F2251*I2251/100,2)</x:f>
        <x:v>0</x:v>
      </x:c>
      <x:c r="K2251" t="n">
        <x:v>0</x:v>
      </x:c>
      <x:c r="L2251" t="n">
        <x:f>ROUND(F2251*K2251/100,2)</x:f>
        <x:v>0</x:v>
      </x:c>
      <x:c r="M2251" t="n">
        <x:v>100</x:v>
      </x:c>
      <x:c r="N2251" t="n">
        <x:f>ROUND(F2251*M2251/100,2)</x:f>
        <x:v>6</x:v>
      </x:c>
      <x:c r="O2251" t="str">
        <x:v>实际用油重</x:v>
      </x:c>
    </x:row>
    <x:row r="2252" ht="23" customHeight="1">
      <x:c r="A2252" t="n">
        <x:v>376</x:v>
      </x:c>
      <x:c r="B2252" t="n">
        <x:v>188</x:v>
      </x:c>
      <x:c r="C2252" t="str">
        <x:v>晚餐</x:v>
      </x:c>
      <x:c r="D2252" t="str">
        <x:v>豆蛋</x:v>
      </x:c>
      <x:c r="E2252" t="str">
        <x:v>嫩豆腐</x:v>
      </x:c>
      <x:c r="F2252" t="n">
        <x:v>330</x:v>
      </x:c>
      <x:c r="G2252" t="n">
        <x:v>55</x:v>
      </x:c>
      <x:c r="H2252" t="n">
        <x:f>ROUND(F2252*G2252/100,2)</x:f>
        <x:v>181.5</x:v>
      </x:c>
      <x:c r="I2252" t="n">
        <x:v>5</x:v>
      </x:c>
      <x:c r="J2252" t="n">
        <x:f>ROUND(F2252*I2252/100,2)</x:f>
        <x:v>16.5</x:v>
      </x:c>
      <x:c r="K2252" t="n">
        <x:v>2</x:v>
      </x:c>
      <x:c r="L2252" t="n">
        <x:f>ROUND(F2252*K2252/100,2)</x:f>
        <x:v>6.6</x:v>
      </x:c>
      <x:c r="M2252" t="n">
        <x:v>2.8</x:v>
      </x:c>
      <x:c r="N2252" t="n">
        <x:f>ROUND(F2252*M2252/100,2)</x:f>
        <x:v>9.24</x:v>
      </x:c>
      <x:c r="O2252" t="str">
        <x:v>净重</x:v>
      </x:c>
    </x:row>
    <x:row r="2253" ht="23" customHeight="1">
      <x:c r="A2253" t="n">
        <x:v>376</x:v>
      </x:c>
      <x:c r="B2253" t="n">
        <x:v>188</x:v>
      </x:c>
      <x:c r="C2253" t="str">
        <x:v>晚餐</x:v>
      </x:c>
      <x:c r="D2253" t="str">
        <x:v>豆蛋</x:v>
      </x:c>
      <x:c r="E2253" t="str">
        <x:v>鸡蛋</x:v>
      </x:c>
      <x:c r="F2253" t="n">
        <x:v>60</x:v>
      </x:c>
      <x:c r="G2253" t="n">
        <x:v>144</x:v>
      </x:c>
      <x:c r="H2253" t="n">
        <x:f>ROUND(F2253*G2253/100,2)</x:f>
        <x:v>86.4</x:v>
      </x:c>
      <x:c r="I2253" t="n">
        <x:v>13</x:v>
      </x:c>
      <x:c r="J2253" t="n">
        <x:f>ROUND(F2253*I2253/100,2)</x:f>
        <x:v>7.8</x:v>
      </x:c>
      <x:c r="K2253" t="n">
        <x:v>1.1</x:v>
      </x:c>
      <x:c r="L2253" t="n">
        <x:f>ROUND(F2253*K2253/100,2)</x:f>
        <x:v>0.66</x:v>
      </x:c>
      <x:c r="M2253" t="n">
        <x:v>10</x:v>
      </x:c>
      <x:c r="N2253" t="n">
        <x:f>ROUND(F2253*M2253/100,2)</x:f>
        <x:v>6</x:v>
      </x:c>
      <x:c r="O2253" t="str">
        <x:v>去壳可食重</x:v>
      </x:c>
    </x:row>
    <x:row r="2254" ht="23" customHeight="1">
      <x:c r="A2254" t="n">
        <x:v>376</x:v>
      </x:c>
      <x:c r="B2254" t="n">
        <x:v>188</x:v>
      </x:c>
      <x:c r="C2254" t="str">
        <x:v>晚餐</x:v>
      </x:c>
      <x:c r="D2254" t="str">
        <x:v>蔬菜</x:v>
      </x:c>
      <x:c r="E2254" t="str">
        <x:v>白萝卜</x:v>
      </x:c>
      <x:c r="F2254" t="n">
        <x:v>190</x:v>
      </x:c>
      <x:c r="G2254" t="n">
        <x:v>18</x:v>
      </x:c>
      <x:c r="H2254" t="n">
        <x:f>ROUND(F2254*G2254/100,2)</x:f>
        <x:v>34.2</x:v>
      </x:c>
      <x:c r="I2254" t="n">
        <x:v>0.6</x:v>
      </x:c>
      <x:c r="J2254" t="n">
        <x:f>ROUND(F2254*I2254/100,2)</x:f>
        <x:v>1.14</x:v>
      </x:c>
      <x:c r="K2254" t="n">
        <x:v>4</x:v>
      </x:c>
      <x:c r="L2254" t="n">
        <x:f>ROUND(F2254*K2254/100,2)</x:f>
        <x:v>7.6</x:v>
      </x:c>
      <x:c r="M2254" t="n">
        <x:v>0.1</x:v>
      </x:c>
      <x:c r="N2254" t="n">
        <x:f>ROUND(F2254*M2254/100,2)</x:f>
        <x:v>0.19</x:v>
      </x:c>
      <x:c r="O2254" t="str">
        <x:v>生重</x:v>
      </x:c>
    </x:row>
    <x:row r="2255" ht="23" customHeight="1">
      <x:c r="A2255" t="n">
        <x:v>376</x:v>
      </x:c>
      <x:c r="B2255" t="n">
        <x:v>188</x:v>
      </x:c>
      <x:c r="C2255" t="str">
        <x:v>晚餐</x:v>
      </x:c>
      <x:c r="D2255" t="str">
        <x:v>蔬菜</x:v>
      </x:c>
      <x:c r="E2255" t="str">
        <x:v>芦笋</x:v>
      </x:c>
      <x:c r="F2255" t="n">
        <x:v>140</x:v>
      </x:c>
      <x:c r="G2255" t="n">
        <x:v>20</x:v>
      </x:c>
      <x:c r="H2255" t="n">
        <x:f>ROUND(F2255*G2255/100,2)</x:f>
        <x:v>28</x:v>
      </x:c>
      <x:c r="I2255" t="n">
        <x:v>2.2</x:v>
      </x:c>
      <x:c r="J2255" t="n">
        <x:f>ROUND(F2255*I2255/100,2)</x:f>
        <x:v>3.08</x:v>
      </x:c>
      <x:c r="K2255" t="n">
        <x:v>3.9</x:v>
      </x:c>
      <x:c r="L2255" t="n">
        <x:f>ROUND(F2255*K2255/100,2)</x:f>
        <x:v>5.46</x:v>
      </x:c>
      <x:c r="M2255" t="n">
        <x:v>0.1</x:v>
      </x:c>
      <x:c r="N2255" t="n">
        <x:f>ROUND(F2255*M2255/100,2)</x:f>
        <x:v>0.14</x:v>
      </x:c>
      <x:c r="O2255" t="str">
        <x:v>生重</x:v>
      </x:c>
    </x:row>
    <x:row r="2256" ht="23" customHeight="1">
      <x:c r="A2256" t="n">
        <x:v>376</x:v>
      </x:c>
      <x:c r="B2256" t="n">
        <x:v>188</x:v>
      </x:c>
      <x:c r="C2256" t="str">
        <x:v>晚餐</x:v>
      </x:c>
      <x:c r="D2256" t="str">
        <x:v>低主食</x:v>
      </x:c>
      <x:c r="E2256" t="str">
        <x:v>魔芋丝</x:v>
      </x:c>
      <x:c r="F2256" t="n">
        <x:v>130</x:v>
      </x:c>
      <x:c r="G2256" t="n">
        <x:v>9</x:v>
      </x:c>
      <x:c r="H2256" t="n">
        <x:f>ROUND(F2256*G2256/100,2)</x:f>
        <x:v>11.7</x:v>
      </x:c>
      <x:c r="I2256" t="n">
        <x:v>0.3</x:v>
      </x:c>
      <x:c r="J2256" t="n">
        <x:f>ROUND(F2256*I2256/100,2)</x:f>
        <x:v>0.39</x:v>
      </x:c>
      <x:c r="K2256" t="n">
        <x:v>2</x:v>
      </x:c>
      <x:c r="L2256" t="n">
        <x:f>ROUND(F2256*K2256/100,2)</x:f>
        <x:v>2.6</x:v>
      </x:c>
      <x:c r="M2256" t="n">
        <x:v>0</x:v>
      </x:c>
      <x:c r="N2256" t="n">
        <x:f>ROUND(F2256*M2256/100,2)</x:f>
        <x:v>0</x:v>
      </x:c>
      <x:c r="O2256" t="str">
        <x:v>沥水重</x:v>
      </x:c>
    </x:row>
    <x:row r="2257" ht="23" customHeight="1">
      <x:c r="A2257" t="n">
        <x:v>376</x:v>
      </x:c>
      <x:c r="B2257" t="n">
        <x:v>188</x:v>
      </x:c>
      <x:c r="C2257" t="str">
        <x:v>晚餐</x:v>
      </x:c>
      <x:c r="D2257" t="str">
        <x:v>油脂</x:v>
      </x:c>
      <x:c r="E2257" t="str">
        <x:v>烹调油</x:v>
      </x:c>
      <x:c r="F2257" t="n">
        <x:v>3</x:v>
      </x:c>
      <x:c r="G2257" t="n">
        <x:v>900</x:v>
      </x:c>
      <x:c r="H2257" t="n">
        <x:f>ROUND(F2257*G2257/100,2)</x:f>
        <x:v>27</x:v>
      </x:c>
      <x:c r="I2257" t="n">
        <x:v>0</x:v>
      </x:c>
      <x:c r="J2257" t="n">
        <x:f>ROUND(F2257*I2257/100,2)</x:f>
        <x:v>0</x:v>
      </x:c>
      <x:c r="K2257" t="n">
        <x:v>0</x:v>
      </x:c>
      <x:c r="L2257" t="n">
        <x:f>ROUND(F2257*K2257/100,2)</x:f>
        <x:v>0</x:v>
      </x:c>
      <x:c r="M2257" t="n">
        <x:v>100</x:v>
      </x:c>
      <x:c r="N2257" t="n">
        <x:f>ROUND(F2257*M2257/100,2)</x:f>
        <x:v>3</x:v>
      </x:c>
      <x:c r="O2257" t="str">
        <x:v>实际用油重</x:v>
      </x:c>
    </x:row>
    <x:row r="2258" ht="23" customHeight="1">
      <x:c r="A2258" t="n">
        <x:v>377</x:v>
      </x:c>
      <x:c r="B2258" t="n">
        <x:v>189</x:v>
      </x:c>
      <x:c r="C2258" t="str">
        <x:v>午餐</x:v>
      </x:c>
      <x:c r="D2258" t="str">
        <x:v>鱼类</x:v>
      </x:c>
      <x:c r="E2258" t="str">
        <x:v>鲈鱼</x:v>
      </x:c>
      <x:c r="F2258" t="n">
        <x:v>185</x:v>
      </x:c>
      <x:c r="G2258" t="n">
        <x:v>105</x:v>
      </x:c>
      <x:c r="H2258" t="n">
        <x:f>ROUND(F2258*G2258/100,2)</x:f>
        <x:v>194.25</x:v>
      </x:c>
      <x:c r="I2258" t="n">
        <x:v>19</x:v>
      </x:c>
      <x:c r="J2258" t="n">
        <x:f>ROUND(F2258*I2258/100,2)</x:f>
        <x:v>35.15</x:v>
      </x:c>
      <x:c r="K2258" t="n">
        <x:v>0</x:v>
      </x:c>
      <x:c r="L2258" t="n">
        <x:f>ROUND(F2258*K2258/100,2)</x:f>
        <x:v>0</x:v>
      </x:c>
      <x:c r="M2258" t="n">
        <x:v>3</x:v>
      </x:c>
      <x:c r="N2258" t="n">
        <x:f>ROUND(F2258*M2258/100,2)</x:f>
        <x:v>5.55</x:v>
      </x:c>
      <x:c r="O2258" t="str">
        <x:v>净鱼肉生重</x:v>
      </x:c>
    </x:row>
    <x:row r="2259" ht="23" customHeight="1">
      <x:c r="A2259" t="n">
        <x:v>377</x:v>
      </x:c>
      <x:c r="B2259" t="n">
        <x:v>189</x:v>
      </x:c>
      <x:c r="C2259" t="str">
        <x:v>午餐</x:v>
      </x:c>
      <x:c r="D2259" t="str"/>
      <x:c r="E2259" t="str"/>
      <x:c r="F2259" t="n">
        <x:v>0</x:v>
      </x:c>
      <x:c r="G2259" t="n">
        <x:v>0</x:v>
      </x:c>
      <x:c r="H2259" t="n">
        <x:f>ROUND(F2259*G2259/100,2)</x:f>
        <x:v>0</x:v>
      </x:c>
      <x:c r="I2259" t="n">
        <x:v>0</x:v>
      </x:c>
      <x:c r="J2259" t="n">
        <x:f>ROUND(F2259*I2259/100,2)</x:f>
        <x:v>0</x:v>
      </x:c>
      <x:c r="K2259" t="n">
        <x:v>0</x:v>
      </x:c>
      <x:c r="L2259" t="n">
        <x:f>ROUND(F2259*K2259/100,2)</x:f>
        <x:v>0</x:v>
      </x:c>
      <x:c r="M2259" t="n">
        <x:v>0</x:v>
      </x:c>
      <x:c r="N2259" t="n">
        <x:f>ROUND(F2259*M2259/100,2)</x:f>
        <x:v>0</x:v>
      </x:c>
      <x:c r="O2259" t="str"/>
    </x:row>
    <x:row r="2260" ht="23" customHeight="1">
      <x:c r="A2260" t="n">
        <x:v>377</x:v>
      </x:c>
      <x:c r="B2260" t="n">
        <x:v>189</x:v>
      </x:c>
      <x:c r="C2260" t="str">
        <x:v>午餐</x:v>
      </x:c>
      <x:c r="D2260" t="str">
        <x:v>蔬菜</x:v>
      </x:c>
      <x:c r="E2260" t="str">
        <x:v>西兰花</x:v>
      </x:c>
      <x:c r="F2260" t="n">
        <x:v>140</x:v>
      </x:c>
      <x:c r="G2260" t="n">
        <x:v>34</x:v>
      </x:c>
      <x:c r="H2260" t="n">
        <x:f>ROUND(F2260*G2260/100,2)</x:f>
        <x:v>47.6</x:v>
      </x:c>
      <x:c r="I2260" t="n">
        <x:v>2.8</x:v>
      </x:c>
      <x:c r="J2260" t="n">
        <x:f>ROUND(F2260*I2260/100,2)</x:f>
        <x:v>3.92</x:v>
      </x:c>
      <x:c r="K2260" t="n">
        <x:v>7</x:v>
      </x:c>
      <x:c r="L2260" t="n">
        <x:f>ROUND(F2260*K2260/100,2)</x:f>
        <x:v>9.8</x:v>
      </x:c>
      <x:c r="M2260" t="n">
        <x:v>0.4</x:v>
      </x:c>
      <x:c r="N2260" t="n">
        <x:f>ROUND(F2260*M2260/100,2)</x:f>
        <x:v>0.56</x:v>
      </x:c>
      <x:c r="O2260" t="str">
        <x:v>生重</x:v>
      </x:c>
    </x:row>
    <x:row r="2261" ht="23" customHeight="1">
      <x:c r="A2261" t="n">
        <x:v>377</x:v>
      </x:c>
      <x:c r="B2261" t="n">
        <x:v>189</x:v>
      </x:c>
      <x:c r="C2261" t="str">
        <x:v>午餐</x:v>
      </x:c>
      <x:c r="D2261" t="str">
        <x:v>蔬菜</x:v>
      </x:c>
      <x:c r="E2261" t="str">
        <x:v>彩椒</x:v>
      </x:c>
      <x:c r="F2261" t="n">
        <x:v>155</x:v>
      </x:c>
      <x:c r="G2261" t="n">
        <x:v>27</x:v>
      </x:c>
      <x:c r="H2261" t="n">
        <x:f>ROUND(F2261*G2261/100,2)</x:f>
        <x:v>41.85</x:v>
      </x:c>
      <x:c r="I2261" t="n">
        <x:v>1</x:v>
      </x:c>
      <x:c r="J2261" t="n">
        <x:f>ROUND(F2261*I2261/100,2)</x:f>
        <x:v>1.55</x:v>
      </x:c>
      <x:c r="K2261" t="n">
        <x:v>6.1</x:v>
      </x:c>
      <x:c r="L2261" t="n">
        <x:f>ROUND(F2261*K2261/100,2)</x:f>
        <x:v>9.46</x:v>
      </x:c>
      <x:c r="M2261" t="n">
        <x:v>0.2</x:v>
      </x:c>
      <x:c r="N2261" t="n">
        <x:f>ROUND(F2261*M2261/100,2)</x:f>
        <x:v>0.31</x:v>
      </x:c>
      <x:c r="O2261" t="str">
        <x:v>生重</x:v>
      </x:c>
    </x:row>
    <x:row r="2262" ht="23" customHeight="1">
      <x:c r="A2262" t="n">
        <x:v>377</x:v>
      </x:c>
      <x:c r="B2262" t="n">
        <x:v>189</x:v>
      </x:c>
      <x:c r="C2262" t="str">
        <x:v>午餐</x:v>
      </x:c>
      <x:c r="D2262" t="str">
        <x:v>主食</x:v>
      </x:c>
      <x:c r="E2262" t="str">
        <x:v>紫薯</x:v>
      </x:c>
      <x:c r="F2262" t="n">
        <x:v>125</x:v>
      </x:c>
      <x:c r="G2262" t="n">
        <x:v>95</x:v>
      </x:c>
      <x:c r="H2262" t="n">
        <x:f>ROUND(F2262*G2262/100,2)</x:f>
        <x:v>118.75</x:v>
      </x:c>
      <x:c r="I2262" t="n">
        <x:v>1.6</x:v>
      </x:c>
      <x:c r="J2262" t="n">
        <x:f>ROUND(F2262*I2262/100,2)</x:f>
        <x:v>2</x:v>
      </x:c>
      <x:c r="K2262" t="n">
        <x:v>22</x:v>
      </x:c>
      <x:c r="L2262" t="n">
        <x:f>ROUND(F2262*K2262/100,2)</x:f>
        <x:v>27.5</x:v>
      </x:c>
      <x:c r="M2262" t="n">
        <x:v>0.1</x:v>
      </x:c>
      <x:c r="N2262" t="n">
        <x:f>ROUND(F2262*M2262/100,2)</x:f>
        <x:v>0.13</x:v>
      </x:c>
      <x:c r="O2262" t="str">
        <x:v>蒸熟净重</x:v>
      </x:c>
    </x:row>
    <x:row r="2263" ht="23" customHeight="1">
      <x:c r="A2263" t="n">
        <x:v>377</x:v>
      </x:c>
      <x:c r="B2263" t="n">
        <x:v>189</x:v>
      </x:c>
      <x:c r="C2263" t="str">
        <x:v>午餐</x:v>
      </x:c>
      <x:c r="D2263" t="str">
        <x:v>油脂</x:v>
      </x:c>
      <x:c r="E2263" t="str">
        <x:v>烹调油</x:v>
      </x:c>
      <x:c r="F2263" t="n">
        <x:v>5</x:v>
      </x:c>
      <x:c r="G2263" t="n">
        <x:v>900</x:v>
      </x:c>
      <x:c r="H2263" t="n">
        <x:f>ROUND(F2263*G2263/100,2)</x:f>
        <x:v>45</x:v>
      </x:c>
      <x:c r="I2263" t="n">
        <x:v>0</x:v>
      </x:c>
      <x:c r="J2263" t="n">
        <x:f>ROUND(F2263*I2263/100,2)</x:f>
        <x:v>0</x:v>
      </x:c>
      <x:c r="K2263" t="n">
        <x:v>0</x:v>
      </x:c>
      <x:c r="L2263" t="n">
        <x:f>ROUND(F2263*K2263/100,2)</x:f>
        <x:v>0</x:v>
      </x:c>
      <x:c r="M2263" t="n">
        <x:v>100</x:v>
      </x:c>
      <x:c r="N2263" t="n">
        <x:f>ROUND(F2263*M2263/100,2)</x:f>
        <x:v>5</x:v>
      </x:c>
      <x:c r="O2263" t="str">
        <x:v>实际用油重</x:v>
      </x:c>
    </x:row>
    <x:row r="2264" ht="23" customHeight="1">
      <x:c r="A2264" t="n">
        <x:v>378</x:v>
      </x:c>
      <x:c r="B2264" t="n">
        <x:v>189</x:v>
      </x:c>
      <x:c r="C2264" t="str">
        <x:v>晚餐</x:v>
      </x:c>
      <x:c r="D2264" t="str">
        <x:v>鱼类</x:v>
      </x:c>
      <x:c r="E2264" t="str">
        <x:v>鳕鱼</x:v>
      </x:c>
      <x:c r="F2264" t="n">
        <x:v>200</x:v>
      </x:c>
      <x:c r="G2264" t="n">
        <x:v>85</x:v>
      </x:c>
      <x:c r="H2264" t="n">
        <x:f>ROUND(F2264*G2264/100,2)</x:f>
        <x:v>170</x:v>
      </x:c>
      <x:c r="I2264" t="n">
        <x:v>18</x:v>
      </x:c>
      <x:c r="J2264" t="n">
        <x:f>ROUND(F2264*I2264/100,2)</x:f>
        <x:v>36</x:v>
      </x:c>
      <x:c r="K2264" t="n">
        <x:v>0</x:v>
      </x:c>
      <x:c r="L2264" t="n">
        <x:f>ROUND(F2264*K2264/100,2)</x:f>
        <x:v>0</x:v>
      </x:c>
      <x:c r="M2264" t="n">
        <x:v>0.8</x:v>
      </x:c>
      <x:c r="N2264" t="n">
        <x:f>ROUND(F2264*M2264/100,2)</x:f>
        <x:v>1.6</x:v>
      </x:c>
      <x:c r="O2264" t="str">
        <x:v>净鱼肉生重</x:v>
      </x:c>
    </x:row>
    <x:row r="2265" ht="23" customHeight="1">
      <x:c r="A2265" t="n">
        <x:v>378</x:v>
      </x:c>
      <x:c r="B2265" t="n">
        <x:v>189</x:v>
      </x:c>
      <x:c r="C2265" t="str">
        <x:v>晚餐</x:v>
      </x:c>
      <x:c r="D2265" t="str"/>
      <x:c r="E2265" t="str"/>
      <x:c r="F2265" t="n">
        <x:v>0</x:v>
      </x:c>
      <x:c r="G2265" t="n">
        <x:v>0</x:v>
      </x:c>
      <x:c r="H2265" t="n">
        <x:f>ROUND(F2265*G2265/100,2)</x:f>
        <x:v>0</x:v>
      </x:c>
      <x:c r="I2265" t="n">
        <x:v>0</x:v>
      </x:c>
      <x:c r="J2265" t="n">
        <x:f>ROUND(F2265*I2265/100,2)</x:f>
        <x:v>0</x:v>
      </x:c>
      <x:c r="K2265" t="n">
        <x:v>0</x:v>
      </x:c>
      <x:c r="L2265" t="n">
        <x:f>ROUND(F2265*K2265/100,2)</x:f>
        <x:v>0</x:v>
      </x:c>
      <x:c r="M2265" t="n">
        <x:v>0</x:v>
      </x:c>
      <x:c r="N2265" t="n">
        <x:f>ROUND(F2265*M2265/100,2)</x:f>
        <x:v>0</x:v>
      </x:c>
      <x:c r="O2265" t="str"/>
    </x:row>
    <x:row r="2266" ht="23" customHeight="1">
      <x:c r="A2266" t="n">
        <x:v>378</x:v>
      </x:c>
      <x:c r="B2266" t="n">
        <x:v>189</x:v>
      </x:c>
      <x:c r="C2266" t="str">
        <x:v>晚餐</x:v>
      </x:c>
      <x:c r="D2266" t="str">
        <x:v>蔬菜</x:v>
      </x:c>
      <x:c r="E2266" t="str">
        <x:v>娃娃菜</x:v>
      </x:c>
      <x:c r="F2266" t="n">
        <x:v>140</x:v>
      </x:c>
      <x:c r="G2266" t="n">
        <x:v>17</x:v>
      </x:c>
      <x:c r="H2266" t="n">
        <x:f>ROUND(F2266*G2266/100,2)</x:f>
        <x:v>23.8</x:v>
      </x:c>
      <x:c r="I2266" t="n">
        <x:v>1.3</x:v>
      </x:c>
      <x:c r="J2266" t="n">
        <x:f>ROUND(F2266*I2266/100,2)</x:f>
        <x:v>1.82</x:v>
      </x:c>
      <x:c r="K2266" t="n">
        <x:v>3</x:v>
      </x:c>
      <x:c r="L2266" t="n">
        <x:f>ROUND(F2266*K2266/100,2)</x:f>
        <x:v>4.2</x:v>
      </x:c>
      <x:c r="M2266" t="n">
        <x:v>0.2</x:v>
      </x:c>
      <x:c r="N2266" t="n">
        <x:f>ROUND(F2266*M2266/100,2)</x:f>
        <x:v>0.28</x:v>
      </x:c>
      <x:c r="O2266" t="str">
        <x:v>生重</x:v>
      </x:c>
    </x:row>
    <x:row r="2267" ht="23" customHeight="1">
      <x:c r="A2267" t="n">
        <x:v>378</x:v>
      </x:c>
      <x:c r="B2267" t="n">
        <x:v>189</x:v>
      </x:c>
      <x:c r="C2267" t="str">
        <x:v>晚餐</x:v>
      </x:c>
      <x:c r="D2267" t="str">
        <x:v>蔬菜</x:v>
      </x:c>
      <x:c r="E2267" t="str">
        <x:v>白萝卜</x:v>
      </x:c>
      <x:c r="F2267" t="n">
        <x:v>140</x:v>
      </x:c>
      <x:c r="G2267" t="n">
        <x:v>18</x:v>
      </x:c>
      <x:c r="H2267" t="n">
        <x:f>ROUND(F2267*G2267/100,2)</x:f>
        <x:v>25.2</x:v>
      </x:c>
      <x:c r="I2267" t="n">
        <x:v>0.6</x:v>
      </x:c>
      <x:c r="J2267" t="n">
        <x:f>ROUND(F2267*I2267/100,2)</x:f>
        <x:v>0.84</x:v>
      </x:c>
      <x:c r="K2267" t="n">
        <x:v>4</x:v>
      </x:c>
      <x:c r="L2267" t="n">
        <x:f>ROUND(F2267*K2267/100,2)</x:f>
        <x:v>5.6</x:v>
      </x:c>
      <x:c r="M2267" t="n">
        <x:v>0.1</x:v>
      </x:c>
      <x:c r="N2267" t="n">
        <x:f>ROUND(F2267*M2267/100,2)</x:f>
        <x:v>0.14</x:v>
      </x:c>
      <x:c r="O2267" t="str">
        <x:v>生重</x:v>
      </x:c>
    </x:row>
    <x:row r="2268" ht="23" customHeight="1">
      <x:c r="A2268" t="n">
        <x:v>378</x:v>
      </x:c>
      <x:c r="B2268" t="n">
        <x:v>189</x:v>
      </x:c>
      <x:c r="C2268" t="str">
        <x:v>晚餐</x:v>
      </x:c>
      <x:c r="D2268" t="str">
        <x:v>主食</x:v>
      </x:c>
      <x:c r="E2268" t="str">
        <x:v>燕麦饭</x:v>
      </x:c>
      <x:c r="F2268" t="n">
        <x:v>95</x:v>
      </x:c>
      <x:c r="G2268" t="n">
        <x:v>110</x:v>
      </x:c>
      <x:c r="H2268" t="n">
        <x:f>ROUND(F2268*G2268/100,2)</x:f>
        <x:v>104.5</x:v>
      </x:c>
      <x:c r="I2268" t="n">
        <x:v>3.2</x:v>
      </x:c>
      <x:c r="J2268" t="n">
        <x:f>ROUND(F2268*I2268/100,2)</x:f>
        <x:v>3.04</x:v>
      </x:c>
      <x:c r="K2268" t="n">
        <x:v>21</x:v>
      </x:c>
      <x:c r="L2268" t="n">
        <x:f>ROUND(F2268*K2268/100,2)</x:f>
        <x:v>19.95</x:v>
      </x:c>
      <x:c r="M2268" t="n">
        <x:v>1.8</x:v>
      </x:c>
      <x:c r="N2268" t="n">
        <x:f>ROUND(F2268*M2268/100,2)</x:f>
        <x:v>1.71</x:v>
      </x:c>
      <x:c r="O2268" t="str">
        <x:v>熟重</x:v>
      </x:c>
    </x:row>
    <x:row r="2269" ht="23" customHeight="1">
      <x:c r="A2269" t="n">
        <x:v>378</x:v>
      </x:c>
      <x:c r="B2269" t="n">
        <x:v>189</x:v>
      </x:c>
      <x:c r="C2269" t="str">
        <x:v>晚餐</x:v>
      </x:c>
      <x:c r="D2269" t="str">
        <x:v>油脂</x:v>
      </x:c>
      <x:c r="E2269" t="str">
        <x:v>烹调油</x:v>
      </x:c>
      <x:c r="F2269" t="n">
        <x:v>4</x:v>
      </x:c>
      <x:c r="G2269" t="n">
        <x:v>900</x:v>
      </x:c>
      <x:c r="H2269" t="n">
        <x:f>ROUND(F2269*G2269/100,2)</x:f>
        <x:v>36</x:v>
      </x:c>
      <x:c r="I2269" t="n">
        <x:v>0</x:v>
      </x:c>
      <x:c r="J2269" t="n">
        <x:f>ROUND(F2269*I2269/100,2)</x:f>
        <x:v>0</x:v>
      </x:c>
      <x:c r="K2269" t="n">
        <x:v>0</x:v>
      </x:c>
      <x:c r="L2269" t="n">
        <x:f>ROUND(F2269*K2269/100,2)</x:f>
        <x:v>0</x:v>
      </x:c>
      <x:c r="M2269" t="n">
        <x:v>100</x:v>
      </x:c>
      <x:c r="N2269" t="n">
        <x:f>ROUND(F2269*M2269/100,2)</x:f>
        <x:v>4</x:v>
      </x:c>
      <x:c r="O2269" t="str">
        <x:v>实际用油重</x:v>
      </x:c>
    </x:row>
    <x:row r="2270" ht="23" customHeight="1">
      <x:c r="A2270" t="n">
        <x:v>379</x:v>
      </x:c>
      <x:c r="B2270" t="n">
        <x:v>190</x:v>
      </x:c>
      <x:c r="C2270" t="str">
        <x:v>午餐</x:v>
      </x:c>
      <x:c r="D2270" t="str">
        <x:v>禽肉</x:v>
      </x:c>
      <x:c r="E2270" t="str">
        <x:v>去皮鸭胸肉</x:v>
      </x:c>
      <x:c r="F2270" t="n">
        <x:v>165</x:v>
      </x:c>
      <x:c r="G2270" t="n">
        <x:v>140</x:v>
      </x:c>
      <x:c r="H2270" t="n">
        <x:f>ROUND(F2270*G2270/100,2)</x:f>
        <x:v>231</x:v>
      </x:c>
      <x:c r="I2270" t="n">
        <x:v>19</x:v>
      </x:c>
      <x:c r="J2270" t="n">
        <x:f>ROUND(F2270*I2270/100,2)</x:f>
        <x:v>31.35</x:v>
      </x:c>
      <x:c r="K2270" t="n">
        <x:v>0</x:v>
      </x:c>
      <x:c r="L2270" t="n">
        <x:f>ROUND(F2270*K2270/100,2)</x:f>
        <x:v>0</x:v>
      </x:c>
      <x:c r="M2270" t="n">
        <x:v>7</x:v>
      </x:c>
      <x:c r="N2270" t="n">
        <x:f>ROUND(F2270*M2270/100,2)</x:f>
        <x:v>11.55</x:v>
      </x:c>
      <x:c r="O2270" t="str">
        <x:v>生重</x:v>
      </x:c>
    </x:row>
    <x:row r="2271" ht="23" customHeight="1">
      <x:c r="A2271" t="n">
        <x:v>379</x:v>
      </x:c>
      <x:c r="B2271" t="n">
        <x:v>190</x:v>
      </x:c>
      <x:c r="C2271" t="str">
        <x:v>午餐</x:v>
      </x:c>
      <x:c r="D2271" t="str"/>
      <x:c r="E2271" t="str"/>
      <x:c r="F2271" t="n">
        <x:v>0</x:v>
      </x:c>
      <x:c r="G2271" t="n">
        <x:v>0</x:v>
      </x:c>
      <x:c r="H2271" t="n">
        <x:f>ROUND(F2271*G2271/100,2)</x:f>
        <x:v>0</x:v>
      </x:c>
      <x:c r="I2271" t="n">
        <x:v>0</x:v>
      </x:c>
      <x:c r="J2271" t="n">
        <x:f>ROUND(F2271*I2271/100,2)</x:f>
        <x:v>0</x:v>
      </x:c>
      <x:c r="K2271" t="n">
        <x:v>0</x:v>
      </x:c>
      <x:c r="L2271" t="n">
        <x:f>ROUND(F2271*K2271/100,2)</x:f>
        <x:v>0</x:v>
      </x:c>
      <x:c r="M2271" t="n">
        <x:v>0</x:v>
      </x:c>
      <x:c r="N2271" t="n">
        <x:f>ROUND(F2271*M2271/100,2)</x:f>
        <x:v>0</x:v>
      </x:c>
      <x:c r="O2271" t="str"/>
    </x:row>
    <x:row r="2272" ht="23" customHeight="1">
      <x:c r="A2272" t="n">
        <x:v>379</x:v>
      </x:c>
      <x:c r="B2272" t="n">
        <x:v>190</x:v>
      </x:c>
      <x:c r="C2272" t="str">
        <x:v>午餐</x:v>
      </x:c>
      <x:c r="D2272" t="str">
        <x:v>蔬菜</x:v>
      </x:c>
      <x:c r="E2272" t="str">
        <x:v>芹菜</x:v>
      </x:c>
      <x:c r="F2272" t="n">
        <x:v>190</x:v>
      </x:c>
      <x:c r="G2272" t="n">
        <x:v>17</x:v>
      </x:c>
      <x:c r="H2272" t="n">
        <x:f>ROUND(F2272*G2272/100,2)</x:f>
        <x:v>32.3</x:v>
      </x:c>
      <x:c r="I2272" t="n">
        <x:v>1</x:v>
      </x:c>
      <x:c r="J2272" t="n">
        <x:f>ROUND(F2272*I2272/100,2)</x:f>
        <x:v>1.9</x:v>
      </x:c>
      <x:c r="K2272" t="n">
        <x:v>3.5</x:v>
      </x:c>
      <x:c r="L2272" t="n">
        <x:f>ROUND(F2272*K2272/100,2)</x:f>
        <x:v>6.65</x:v>
      </x:c>
      <x:c r="M2272" t="n">
        <x:v>0.1</x:v>
      </x:c>
      <x:c r="N2272" t="n">
        <x:f>ROUND(F2272*M2272/100,2)</x:f>
        <x:v>0.19</x:v>
      </x:c>
      <x:c r="O2272" t="str">
        <x:v>生重</x:v>
      </x:c>
    </x:row>
    <x:row r="2273" ht="23" customHeight="1">
      <x:c r="A2273" t="n">
        <x:v>379</x:v>
      </x:c>
      <x:c r="B2273" t="n">
        <x:v>190</x:v>
      </x:c>
      <x:c r="C2273" t="str">
        <x:v>午餐</x:v>
      </x:c>
      <x:c r="D2273" t="str">
        <x:v>蔬菜</x:v>
      </x:c>
      <x:c r="E2273" t="str">
        <x:v>海带</x:v>
      </x:c>
      <x:c r="F2273" t="n">
        <x:v>155</x:v>
      </x:c>
      <x:c r="G2273" t="n">
        <x:v>25</x:v>
      </x:c>
      <x:c r="H2273" t="n">
        <x:f>ROUND(F2273*G2273/100,2)</x:f>
        <x:v>38.75</x:v>
      </x:c>
      <x:c r="I2273" t="n">
        <x:v>1</x:v>
      </x:c>
      <x:c r="J2273" t="n">
        <x:f>ROUND(F2273*I2273/100,2)</x:f>
        <x:v>1.55</x:v>
      </x:c>
      <x:c r="K2273" t="n">
        <x:v>5</x:v>
      </x:c>
      <x:c r="L2273" t="n">
        <x:f>ROUND(F2273*K2273/100,2)</x:f>
        <x:v>7.75</x:v>
      </x:c>
      <x:c r="M2273" t="n">
        <x:v>0.1</x:v>
      </x:c>
      <x:c r="N2273" t="n">
        <x:f>ROUND(F2273*M2273/100,2)</x:f>
        <x:v>0.16</x:v>
      </x:c>
      <x:c r="O2273" t="str">
        <x:v>泡发沥水重</x:v>
      </x:c>
    </x:row>
    <x:row r="2274" ht="23" customHeight="1">
      <x:c r="A2274" t="n">
        <x:v>379</x:v>
      </x:c>
      <x:c r="B2274" t="n">
        <x:v>190</x:v>
      </x:c>
      <x:c r="C2274" t="str">
        <x:v>午餐</x:v>
      </x:c>
      <x:c r="D2274" t="str">
        <x:v>低主食</x:v>
      </x:c>
      <x:c r="E2274" t="str">
        <x:v>魔芋丝</x:v>
      </x:c>
      <x:c r="F2274" t="n">
        <x:v>130</x:v>
      </x:c>
      <x:c r="G2274" t="n">
        <x:v>9</x:v>
      </x:c>
      <x:c r="H2274" t="n">
        <x:f>ROUND(F2274*G2274/100,2)</x:f>
        <x:v>11.7</x:v>
      </x:c>
      <x:c r="I2274" t="n">
        <x:v>0.3</x:v>
      </x:c>
      <x:c r="J2274" t="n">
        <x:f>ROUND(F2274*I2274/100,2)</x:f>
        <x:v>0.39</x:v>
      </x:c>
      <x:c r="K2274" t="n">
        <x:v>2</x:v>
      </x:c>
      <x:c r="L2274" t="n">
        <x:f>ROUND(F2274*K2274/100,2)</x:f>
        <x:v>2.6</x:v>
      </x:c>
      <x:c r="M2274" t="n">
        <x:v>0</x:v>
      </x:c>
      <x:c r="N2274" t="n">
        <x:f>ROUND(F2274*M2274/100,2)</x:f>
        <x:v>0</x:v>
      </x:c>
      <x:c r="O2274" t="str">
        <x:v>沥水重</x:v>
      </x:c>
    </x:row>
    <x:row r="2275" ht="23" customHeight="1">
      <x:c r="A2275" t="n">
        <x:v>379</x:v>
      </x:c>
      <x:c r="B2275" t="n">
        <x:v>190</x:v>
      </x:c>
      <x:c r="C2275" t="str">
        <x:v>午餐</x:v>
      </x:c>
      <x:c r="D2275" t="str">
        <x:v>油脂</x:v>
      </x:c>
      <x:c r="E2275" t="str">
        <x:v>烹调油</x:v>
      </x:c>
      <x:c r="F2275" t="n">
        <x:v>6</x:v>
      </x:c>
      <x:c r="G2275" t="n">
        <x:v>900</x:v>
      </x:c>
      <x:c r="H2275" t="n">
        <x:f>ROUND(F2275*G2275/100,2)</x:f>
        <x:v>54</x:v>
      </x:c>
      <x:c r="I2275" t="n">
        <x:v>0</x:v>
      </x:c>
      <x:c r="J2275" t="n">
        <x:f>ROUND(F2275*I2275/100,2)</x:f>
        <x:v>0</x:v>
      </x:c>
      <x:c r="K2275" t="n">
        <x:v>0</x:v>
      </x:c>
      <x:c r="L2275" t="n">
        <x:f>ROUND(F2275*K2275/100,2)</x:f>
        <x:v>0</x:v>
      </x:c>
      <x:c r="M2275" t="n">
        <x:v>100</x:v>
      </x:c>
      <x:c r="N2275" t="n">
        <x:f>ROUND(F2275*M2275/100,2)</x:f>
        <x:v>6</x:v>
      </x:c>
      <x:c r="O2275" t="str">
        <x:v>实际用油重</x:v>
      </x:c>
    </x:row>
    <x:row r="2276" ht="23" customHeight="1">
      <x:c r="A2276" t="n">
        <x:v>380</x:v>
      </x:c>
      <x:c r="B2276" t="n">
        <x:v>190</x:v>
      </x:c>
      <x:c r="C2276" t="str">
        <x:v>晚餐</x:v>
      </x:c>
      <x:c r="D2276" t="str">
        <x:v>禽肉</x:v>
      </x:c>
      <x:c r="E2276" t="str">
        <x:v>去皮鸡腿肉</x:v>
      </x:c>
      <x:c r="F2276" t="n">
        <x:v>180</x:v>
      </x:c>
      <x:c r="G2276" t="n">
        <x:v>125</x:v>
      </x:c>
      <x:c r="H2276" t="n">
        <x:f>ROUND(F2276*G2276/100,2)</x:f>
        <x:v>225</x:v>
      </x:c>
      <x:c r="I2276" t="n">
        <x:v>20</x:v>
      </x:c>
      <x:c r="J2276" t="n">
        <x:f>ROUND(F2276*I2276/100,2)</x:f>
        <x:v>36</x:v>
      </x:c>
      <x:c r="K2276" t="n">
        <x:v>0</x:v>
      </x:c>
      <x:c r="L2276" t="n">
        <x:f>ROUND(F2276*K2276/100,2)</x:f>
        <x:v>0</x:v>
      </x:c>
      <x:c r="M2276" t="n">
        <x:v>5</x:v>
      </x:c>
      <x:c r="N2276" t="n">
        <x:f>ROUND(F2276*M2276/100,2)</x:f>
        <x:v>9</x:v>
      </x:c>
      <x:c r="O2276" t="str">
        <x:v>生重</x:v>
      </x:c>
    </x:row>
    <x:row r="2277" ht="23" customHeight="1">
      <x:c r="A2277" t="n">
        <x:v>380</x:v>
      </x:c>
      <x:c r="B2277" t="n">
        <x:v>190</x:v>
      </x:c>
      <x:c r="C2277" t="str">
        <x:v>晚餐</x:v>
      </x:c>
      <x:c r="D2277" t="str"/>
      <x:c r="E2277" t="str"/>
      <x:c r="F2277" t="n">
        <x:v>0</x:v>
      </x:c>
      <x:c r="G2277" t="n">
        <x:v>0</x:v>
      </x:c>
      <x:c r="H2277" t="n">
        <x:f>ROUND(F2277*G2277/100,2)</x:f>
        <x:v>0</x:v>
      </x:c>
      <x:c r="I2277" t="n">
        <x:v>0</x:v>
      </x:c>
      <x:c r="J2277" t="n">
        <x:f>ROUND(F2277*I2277/100,2)</x:f>
        <x:v>0</x:v>
      </x:c>
      <x:c r="K2277" t="n">
        <x:v>0</x:v>
      </x:c>
      <x:c r="L2277" t="n">
        <x:f>ROUND(F2277*K2277/100,2)</x:f>
        <x:v>0</x:v>
      </x:c>
      <x:c r="M2277" t="n">
        <x:v>0</x:v>
      </x:c>
      <x:c r="N2277" t="n">
        <x:f>ROUND(F2277*M2277/100,2)</x:f>
        <x:v>0</x:v>
      </x:c>
      <x:c r="O2277" t="str"/>
    </x:row>
    <x:row r="2278" ht="23" customHeight="1">
      <x:c r="A2278" t="n">
        <x:v>380</x:v>
      </x:c>
      <x:c r="B2278" t="n">
        <x:v>190</x:v>
      </x:c>
      <x:c r="C2278" t="str">
        <x:v>晚餐</x:v>
      </x:c>
      <x:c r="D2278" t="str">
        <x:v>蔬菜</x:v>
      </x:c>
      <x:c r="E2278" t="str">
        <x:v>西葫芦</x:v>
      </x:c>
      <x:c r="F2278" t="n">
        <x:v>175</x:v>
      </x:c>
      <x:c r="G2278" t="n">
        <x:v>17</x:v>
      </x:c>
      <x:c r="H2278" t="n">
        <x:f>ROUND(F2278*G2278/100,2)</x:f>
        <x:v>29.75</x:v>
      </x:c>
      <x:c r="I2278" t="n">
        <x:v>1.2</x:v>
      </x:c>
      <x:c r="J2278" t="n">
        <x:f>ROUND(F2278*I2278/100,2)</x:f>
        <x:v>2.1</x:v>
      </x:c>
      <x:c r="K2278" t="n">
        <x:v>3.1</x:v>
      </x:c>
      <x:c r="L2278" t="n">
        <x:f>ROUND(F2278*K2278/100,2)</x:f>
        <x:v>5.43</x:v>
      </x:c>
      <x:c r="M2278" t="n">
        <x:v>0.3</x:v>
      </x:c>
      <x:c r="N2278" t="n">
        <x:f>ROUND(F2278*M2278/100,2)</x:f>
        <x:v>0.53</x:v>
      </x:c>
      <x:c r="O2278" t="str">
        <x:v>生重</x:v>
      </x:c>
    </x:row>
    <x:row r="2279" ht="23" customHeight="1">
      <x:c r="A2279" t="n">
        <x:v>380</x:v>
      </x:c>
      <x:c r="B2279" t="n">
        <x:v>190</x:v>
      </x:c>
      <x:c r="C2279" t="str">
        <x:v>晚餐</x:v>
      </x:c>
      <x:c r="D2279" t="str">
        <x:v>菌菇</x:v>
      </x:c>
      <x:c r="E2279" t="str">
        <x:v>口蘑</x:v>
      </x:c>
      <x:c r="F2279" t="n">
        <x:v>110</x:v>
      </x:c>
      <x:c r="G2279" t="n">
        <x:v>22</x:v>
      </x:c>
      <x:c r="H2279" t="n">
        <x:f>ROUND(F2279*G2279/100,2)</x:f>
        <x:v>24.2</x:v>
      </x:c>
      <x:c r="I2279" t="n">
        <x:v>3.1</x:v>
      </x:c>
      <x:c r="J2279" t="n">
        <x:f>ROUND(F2279*I2279/100,2)</x:f>
        <x:v>3.41</x:v>
      </x:c>
      <x:c r="K2279" t="n">
        <x:v>3.3</x:v>
      </x:c>
      <x:c r="L2279" t="n">
        <x:f>ROUND(F2279*K2279/100,2)</x:f>
        <x:v>3.63</x:v>
      </x:c>
      <x:c r="M2279" t="n">
        <x:v>0.3</x:v>
      </x:c>
      <x:c r="N2279" t="n">
        <x:f>ROUND(F2279*M2279/100,2)</x:f>
        <x:v>0.33</x:v>
      </x:c>
      <x:c r="O2279" t="str">
        <x:v>生重</x:v>
      </x:c>
    </x:row>
    <x:row r="2280" ht="23" customHeight="1">
      <x:c r="A2280" t="n">
        <x:v>380</x:v>
      </x:c>
      <x:c r="B2280" t="n">
        <x:v>190</x:v>
      </x:c>
      <x:c r="C2280" t="str">
        <x:v>晚餐</x:v>
      </x:c>
      <x:c r="D2280" t="str">
        <x:v>主食</x:v>
      </x:c>
      <x:c r="E2280" t="str">
        <x:v>全麦面</x:v>
      </x:c>
      <x:c r="F2280" t="n">
        <x:v>135</x:v>
      </x:c>
      <x:c r="G2280" t="n">
        <x:v>124</x:v>
      </x:c>
      <x:c r="H2280" t="n">
        <x:f>ROUND(F2280*G2280/100,2)</x:f>
        <x:v>167.4</x:v>
      </x:c>
      <x:c r="I2280" t="n">
        <x:v>5</x:v>
      </x:c>
      <x:c r="J2280" t="n">
        <x:f>ROUND(F2280*I2280/100,2)</x:f>
        <x:v>6.75</x:v>
      </x:c>
      <x:c r="K2280" t="n">
        <x:v>25</x:v>
      </x:c>
      <x:c r="L2280" t="n">
        <x:f>ROUND(F2280*K2280/100,2)</x:f>
        <x:v>33.75</x:v>
      </x:c>
      <x:c r="M2280" t="n">
        <x:v>1.1</x:v>
      </x:c>
      <x:c r="N2280" t="n">
        <x:f>ROUND(F2280*M2280/100,2)</x:f>
        <x:v>1.49</x:v>
      </x:c>
      <x:c r="O2280" t="str">
        <x:v>煮熟沥水重</x:v>
      </x:c>
    </x:row>
    <x:row r="2281" ht="23" customHeight="1">
      <x:c r="A2281" t="n">
        <x:v>380</x:v>
      </x:c>
      <x:c r="B2281" t="n">
        <x:v>190</x:v>
      </x:c>
      <x:c r="C2281" t="str">
        <x:v>晚餐</x:v>
      </x:c>
      <x:c r="D2281" t="str">
        <x:v>油脂</x:v>
      </x:c>
      <x:c r="E2281" t="str">
        <x:v>烹调油</x:v>
      </x:c>
      <x:c r="F2281" t="n">
        <x:v>5</x:v>
      </x:c>
      <x:c r="G2281" t="n">
        <x:v>900</x:v>
      </x:c>
      <x:c r="H2281" t="n">
        <x:f>ROUND(F2281*G2281/100,2)</x:f>
        <x:v>45</x:v>
      </x:c>
      <x:c r="I2281" t="n">
        <x:v>0</x:v>
      </x:c>
      <x:c r="J2281" t="n">
        <x:f>ROUND(F2281*I2281/100,2)</x:f>
        <x:v>0</x:v>
      </x:c>
      <x:c r="K2281" t="n">
        <x:v>0</x:v>
      </x:c>
      <x:c r="L2281" t="n">
        <x:f>ROUND(F2281*K2281/100,2)</x:f>
        <x:v>0</x:v>
      </x:c>
      <x:c r="M2281" t="n">
        <x:v>100</x:v>
      </x:c>
      <x:c r="N2281" t="n">
        <x:f>ROUND(F2281*M2281/100,2)</x:f>
        <x:v>5</x:v>
      </x:c>
      <x:c r="O2281" t="str">
        <x:v>实际用油重</x:v>
      </x:c>
    </x:row>
    <x:row r="2282" ht="23" customHeight="1">
      <x:c r="A2282" t="n">
        <x:v>381</x:v>
      </x:c>
      <x:c r="B2282" t="n">
        <x:v>191</x:v>
      </x:c>
      <x:c r="C2282" t="str">
        <x:v>午餐</x:v>
      </x:c>
      <x:c r="D2282" t="str">
        <x:v>猪肉</x:v>
      </x:c>
      <x:c r="E2282" t="str">
        <x:v>猪瘦肉</x:v>
      </x:c>
      <x:c r="F2282" t="n">
        <x:v>165</x:v>
      </x:c>
      <x:c r="G2282" t="n">
        <x:v>130</x:v>
      </x:c>
      <x:c r="H2282" t="n">
        <x:f>ROUND(F2282*G2282/100,2)</x:f>
        <x:v>214.5</x:v>
      </x:c>
      <x:c r="I2282" t="n">
        <x:v>20</x:v>
      </x:c>
      <x:c r="J2282" t="n">
        <x:f>ROUND(F2282*I2282/100,2)</x:f>
        <x:v>33</x:v>
      </x:c>
      <x:c r="K2282" t="n">
        <x:v>0</x:v>
      </x:c>
      <x:c r="L2282" t="n">
        <x:f>ROUND(F2282*K2282/100,2)</x:f>
        <x:v>0</x:v>
      </x:c>
      <x:c r="M2282" t="n">
        <x:v>5.5</x:v>
      </x:c>
      <x:c r="N2282" t="n">
        <x:f>ROUND(F2282*M2282/100,2)</x:f>
        <x:v>9.07</x:v>
      </x:c>
      <x:c r="O2282" t="str">
        <x:v>生重</x:v>
      </x:c>
    </x:row>
    <x:row r="2283" ht="23" customHeight="1">
      <x:c r="A2283" t="n">
        <x:v>381</x:v>
      </x:c>
      <x:c r="B2283" t="n">
        <x:v>191</x:v>
      </x:c>
      <x:c r="C2283" t="str">
        <x:v>午餐</x:v>
      </x:c>
      <x:c r="D2283" t="str"/>
      <x:c r="E2283" t="str"/>
      <x:c r="F2283" t="n">
        <x:v>0</x:v>
      </x:c>
      <x:c r="G2283" t="n">
        <x:v>0</x:v>
      </x:c>
      <x:c r="H2283" t="n">
        <x:f>ROUND(F2283*G2283/100,2)</x:f>
        <x:v>0</x:v>
      </x:c>
      <x:c r="I2283" t="n">
        <x:v>0</x:v>
      </x:c>
      <x:c r="J2283" t="n">
        <x:f>ROUND(F2283*I2283/100,2)</x:f>
        <x:v>0</x:v>
      </x:c>
      <x:c r="K2283" t="n">
        <x:v>0</x:v>
      </x:c>
      <x:c r="L2283" t="n">
        <x:f>ROUND(F2283*K2283/100,2)</x:f>
        <x:v>0</x:v>
      </x:c>
      <x:c r="M2283" t="n">
        <x:v>0</x:v>
      </x:c>
      <x:c r="N2283" t="n">
        <x:f>ROUND(F2283*M2283/100,2)</x:f>
        <x:v>0</x:v>
      </x:c>
      <x:c r="O2283" t="str"/>
    </x:row>
    <x:row r="2284" ht="23" customHeight="1">
      <x:c r="A2284" t="n">
        <x:v>381</x:v>
      </x:c>
      <x:c r="B2284" t="n">
        <x:v>191</x:v>
      </x:c>
      <x:c r="C2284" t="str">
        <x:v>午餐</x:v>
      </x:c>
      <x:c r="D2284" t="str">
        <x:v>蔬菜</x:v>
      </x:c>
      <x:c r="E2284" t="str">
        <x:v>生菜</x:v>
      </x:c>
      <x:c r="F2284" t="n">
        <x:v>160</x:v>
      </x:c>
      <x:c r="G2284" t="n">
        <x:v>16</x:v>
      </x:c>
      <x:c r="H2284" t="n">
        <x:f>ROUND(F2284*G2284/100,2)</x:f>
        <x:v>25.6</x:v>
      </x:c>
      <x:c r="I2284" t="n">
        <x:v>1.4</x:v>
      </x:c>
      <x:c r="J2284" t="n">
        <x:f>ROUND(F2284*I2284/100,2)</x:f>
        <x:v>2.24</x:v>
      </x:c>
      <x:c r="K2284" t="n">
        <x:v>2.9</x:v>
      </x:c>
      <x:c r="L2284" t="n">
        <x:f>ROUND(F2284*K2284/100,2)</x:f>
        <x:v>4.64</x:v>
      </x:c>
      <x:c r="M2284" t="n">
        <x:v>0.1</x:v>
      </x:c>
      <x:c r="N2284" t="n">
        <x:f>ROUND(F2284*M2284/100,2)</x:f>
        <x:v>0.16</x:v>
      </x:c>
      <x:c r="O2284" t="str">
        <x:v>生重</x:v>
      </x:c>
    </x:row>
    <x:row r="2285" ht="23" customHeight="1">
      <x:c r="A2285" t="n">
        <x:v>381</x:v>
      </x:c>
      <x:c r="B2285" t="n">
        <x:v>191</x:v>
      </x:c>
      <x:c r="C2285" t="str">
        <x:v>午餐</x:v>
      </x:c>
      <x:c r="D2285" t="str">
        <x:v>菌菇</x:v>
      </x:c>
      <x:c r="E2285" t="str">
        <x:v>香菇</x:v>
      </x:c>
      <x:c r="F2285" t="n">
        <x:v>155</x:v>
      </x:c>
      <x:c r="G2285" t="n">
        <x:v>34</x:v>
      </x:c>
      <x:c r="H2285" t="n">
        <x:f>ROUND(F2285*G2285/100,2)</x:f>
        <x:v>52.7</x:v>
      </x:c>
      <x:c r="I2285" t="n">
        <x:v>2.2</x:v>
      </x:c>
      <x:c r="J2285" t="n">
        <x:f>ROUND(F2285*I2285/100,2)</x:f>
        <x:v>3.41</x:v>
      </x:c>
      <x:c r="K2285" t="n">
        <x:v>6.8</x:v>
      </x:c>
      <x:c r="L2285" t="n">
        <x:f>ROUND(F2285*K2285/100,2)</x:f>
        <x:v>10.54</x:v>
      </x:c>
      <x:c r="M2285" t="n">
        <x:v>0.5</x:v>
      </x:c>
      <x:c r="N2285" t="n">
        <x:f>ROUND(F2285*M2285/100,2)</x:f>
        <x:v>0.78</x:v>
      </x:c>
      <x:c r="O2285" t="str">
        <x:v>生重</x:v>
      </x:c>
    </x:row>
    <x:row r="2286" ht="23" customHeight="1">
      <x:c r="A2286" t="n">
        <x:v>381</x:v>
      </x:c>
      <x:c r="B2286" t="n">
        <x:v>191</x:v>
      </x:c>
      <x:c r="C2286" t="str">
        <x:v>午餐</x:v>
      </x:c>
      <x:c r="D2286" t="str">
        <x:v>主食</x:v>
      </x:c>
      <x:c r="E2286" t="str">
        <x:v>燕麦饭</x:v>
      </x:c>
      <x:c r="F2286" t="n">
        <x:v>125</x:v>
      </x:c>
      <x:c r="G2286" t="n">
        <x:v>110</x:v>
      </x:c>
      <x:c r="H2286" t="n">
        <x:f>ROUND(F2286*G2286/100,2)</x:f>
        <x:v>137.5</x:v>
      </x:c>
      <x:c r="I2286" t="n">
        <x:v>3.2</x:v>
      </x:c>
      <x:c r="J2286" t="n">
        <x:f>ROUND(F2286*I2286/100,2)</x:f>
        <x:v>4</x:v>
      </x:c>
      <x:c r="K2286" t="n">
        <x:v>21</x:v>
      </x:c>
      <x:c r="L2286" t="n">
        <x:f>ROUND(F2286*K2286/100,2)</x:f>
        <x:v>26.25</x:v>
      </x:c>
      <x:c r="M2286" t="n">
        <x:v>1.8</x:v>
      </x:c>
      <x:c r="N2286" t="n">
        <x:f>ROUND(F2286*M2286/100,2)</x:f>
        <x:v>2.25</x:v>
      </x:c>
      <x:c r="O2286" t="str">
        <x:v>熟重</x:v>
      </x:c>
    </x:row>
    <x:row r="2287" ht="23" customHeight="1">
      <x:c r="A2287" t="n">
        <x:v>381</x:v>
      </x:c>
      <x:c r="B2287" t="n">
        <x:v>191</x:v>
      </x:c>
      <x:c r="C2287" t="str">
        <x:v>午餐</x:v>
      </x:c>
      <x:c r="D2287" t="str">
        <x:v>油脂</x:v>
      </x:c>
      <x:c r="E2287" t="str">
        <x:v>烹调油</x:v>
      </x:c>
      <x:c r="F2287" t="n">
        <x:v>3</x:v>
      </x:c>
      <x:c r="G2287" t="n">
        <x:v>900</x:v>
      </x:c>
      <x:c r="H2287" t="n">
        <x:f>ROUND(F2287*G2287/100,2)</x:f>
        <x:v>27</x:v>
      </x:c>
      <x:c r="I2287" t="n">
        <x:v>0</x:v>
      </x:c>
      <x:c r="J2287" t="n">
        <x:f>ROUND(F2287*I2287/100,2)</x:f>
        <x:v>0</x:v>
      </x:c>
      <x:c r="K2287" t="n">
        <x:v>0</x:v>
      </x:c>
      <x:c r="L2287" t="n">
        <x:f>ROUND(F2287*K2287/100,2)</x:f>
        <x:v>0</x:v>
      </x:c>
      <x:c r="M2287" t="n">
        <x:v>100</x:v>
      </x:c>
      <x:c r="N2287" t="n">
        <x:f>ROUND(F2287*M2287/100,2)</x:f>
        <x:v>3</x:v>
      </x:c>
      <x:c r="O2287" t="str">
        <x:v>实际用油重</x:v>
      </x:c>
    </x:row>
    <x:row r="2288" ht="23" customHeight="1">
      <x:c r="A2288" t="n">
        <x:v>382</x:v>
      </x:c>
      <x:c r="B2288" t="n">
        <x:v>191</x:v>
      </x:c>
      <x:c r="C2288" t="str">
        <x:v>晚餐</x:v>
      </x:c>
      <x:c r="D2288" t="str">
        <x:v>牛肉</x:v>
      </x:c>
      <x:c r="E2288" t="str">
        <x:v>牛腱子</x:v>
      </x:c>
      <x:c r="F2288" t="n">
        <x:v>145</x:v>
      </x:c>
      <x:c r="G2288" t="n">
        <x:v>140</x:v>
      </x:c>
      <x:c r="H2288" t="n">
        <x:f>ROUND(F2288*G2288/100,2)</x:f>
        <x:v>203</x:v>
      </x:c>
      <x:c r="I2288" t="n">
        <x:v>21</x:v>
      </x:c>
      <x:c r="J2288" t="n">
        <x:f>ROUND(F2288*I2288/100,2)</x:f>
        <x:v>30.45</x:v>
      </x:c>
      <x:c r="K2288" t="n">
        <x:v>0</x:v>
      </x:c>
      <x:c r="L2288" t="n">
        <x:f>ROUND(F2288*K2288/100,2)</x:f>
        <x:v>0</x:v>
      </x:c>
      <x:c r="M2288" t="n">
        <x:v>6</x:v>
      </x:c>
      <x:c r="N2288" t="n">
        <x:f>ROUND(F2288*M2288/100,2)</x:f>
        <x:v>8.7</x:v>
      </x:c>
      <x:c r="O2288" t="str">
        <x:v>生重</x:v>
      </x:c>
    </x:row>
    <x:row r="2289" ht="23" customHeight="1">
      <x:c r="A2289" t="n">
        <x:v>382</x:v>
      </x:c>
      <x:c r="B2289" t="n">
        <x:v>191</x:v>
      </x:c>
      <x:c r="C2289" t="str">
        <x:v>晚餐</x:v>
      </x:c>
      <x:c r="D2289" t="str"/>
      <x:c r="E2289" t="str"/>
      <x:c r="F2289" t="n">
        <x:v>0</x:v>
      </x:c>
      <x:c r="G2289" t="n">
        <x:v>0</x:v>
      </x:c>
      <x:c r="H2289" t="n">
        <x:f>ROUND(F2289*G2289/100,2)</x:f>
        <x:v>0</x:v>
      </x:c>
      <x:c r="I2289" t="n">
        <x:v>0</x:v>
      </x:c>
      <x:c r="J2289" t="n">
        <x:f>ROUND(F2289*I2289/100,2)</x:f>
        <x:v>0</x:v>
      </x:c>
      <x:c r="K2289" t="n">
        <x:v>0</x:v>
      </x:c>
      <x:c r="L2289" t="n">
        <x:f>ROUND(F2289*K2289/100,2)</x:f>
        <x:v>0</x:v>
      </x:c>
      <x:c r="M2289" t="n">
        <x:v>0</x:v>
      </x:c>
      <x:c r="N2289" t="n">
        <x:f>ROUND(F2289*M2289/100,2)</x:f>
        <x:v>0</x:v>
      </x:c>
      <x:c r="O2289" t="str"/>
    </x:row>
    <x:row r="2290" ht="23" customHeight="1">
      <x:c r="A2290" t="n">
        <x:v>382</x:v>
      </x:c>
      <x:c r="B2290" t="n">
        <x:v>191</x:v>
      </x:c>
      <x:c r="C2290" t="str">
        <x:v>晚餐</x:v>
      </x:c>
      <x:c r="D2290" t="str">
        <x:v>蔬菜</x:v>
      </x:c>
      <x:c r="E2290" t="str">
        <x:v>西兰花</x:v>
      </x:c>
      <x:c r="F2290" t="n">
        <x:v>175</x:v>
      </x:c>
      <x:c r="G2290" t="n">
        <x:v>34</x:v>
      </x:c>
      <x:c r="H2290" t="n">
        <x:f>ROUND(F2290*G2290/100,2)</x:f>
        <x:v>59.5</x:v>
      </x:c>
      <x:c r="I2290" t="n">
        <x:v>2.8</x:v>
      </x:c>
      <x:c r="J2290" t="n">
        <x:f>ROUND(F2290*I2290/100,2)</x:f>
        <x:v>4.9</x:v>
      </x:c>
      <x:c r="K2290" t="n">
        <x:v>7</x:v>
      </x:c>
      <x:c r="L2290" t="n">
        <x:f>ROUND(F2290*K2290/100,2)</x:f>
        <x:v>12.25</x:v>
      </x:c>
      <x:c r="M2290" t="n">
        <x:v>0.4</x:v>
      </x:c>
      <x:c r="N2290" t="n">
        <x:f>ROUND(F2290*M2290/100,2)</x:f>
        <x:v>0.7</x:v>
      </x:c>
      <x:c r="O2290" t="str">
        <x:v>生重</x:v>
      </x:c>
    </x:row>
    <x:row r="2291" ht="23" customHeight="1">
      <x:c r="A2291" t="n">
        <x:v>382</x:v>
      </x:c>
      <x:c r="B2291" t="n">
        <x:v>191</x:v>
      </x:c>
      <x:c r="C2291" t="str">
        <x:v>晚餐</x:v>
      </x:c>
      <x:c r="D2291" t="str">
        <x:v>蔬菜</x:v>
      </x:c>
      <x:c r="E2291" t="str">
        <x:v>洋葱</x:v>
      </x:c>
      <x:c r="F2291" t="n">
        <x:v>140</x:v>
      </x:c>
      <x:c r="G2291" t="n">
        <x:v>40</x:v>
      </x:c>
      <x:c r="H2291" t="n">
        <x:f>ROUND(F2291*G2291/100,2)</x:f>
        <x:v>56</x:v>
      </x:c>
      <x:c r="I2291" t="n">
        <x:v>1.1</x:v>
      </x:c>
      <x:c r="J2291" t="n">
        <x:f>ROUND(F2291*I2291/100,2)</x:f>
        <x:v>1.54</x:v>
      </x:c>
      <x:c r="K2291" t="n">
        <x:v>9.3</x:v>
      </x:c>
      <x:c r="L2291" t="n">
        <x:f>ROUND(F2291*K2291/100,2)</x:f>
        <x:v>13.02</x:v>
      </x:c>
      <x:c r="M2291" t="n">
        <x:v>0.1</x:v>
      </x:c>
      <x:c r="N2291" t="n">
        <x:f>ROUND(F2291*M2291/100,2)</x:f>
        <x:v>0.14</x:v>
      </x:c>
      <x:c r="O2291" t="str">
        <x:v>生重</x:v>
      </x:c>
    </x:row>
    <x:row r="2292" ht="23" customHeight="1">
      <x:c r="A2292" t="n">
        <x:v>382</x:v>
      </x:c>
      <x:c r="B2292" t="n">
        <x:v>191</x:v>
      </x:c>
      <x:c r="C2292" t="str">
        <x:v>晚餐</x:v>
      </x:c>
      <x:c r="D2292" t="str">
        <x:v>主食</x:v>
      </x:c>
      <x:c r="E2292" t="str">
        <x:v>紫薯</x:v>
      </x:c>
      <x:c r="F2292" t="n">
        <x:v>110</x:v>
      </x:c>
      <x:c r="G2292" t="n">
        <x:v>95</x:v>
      </x:c>
      <x:c r="H2292" t="n">
        <x:f>ROUND(F2292*G2292/100,2)</x:f>
        <x:v>104.5</x:v>
      </x:c>
      <x:c r="I2292" t="n">
        <x:v>1.6</x:v>
      </x:c>
      <x:c r="J2292" t="n">
        <x:f>ROUND(F2292*I2292/100,2)</x:f>
        <x:v>1.76</x:v>
      </x:c>
      <x:c r="K2292" t="n">
        <x:v>22</x:v>
      </x:c>
      <x:c r="L2292" t="n">
        <x:f>ROUND(F2292*K2292/100,2)</x:f>
        <x:v>24.2</x:v>
      </x:c>
      <x:c r="M2292" t="n">
        <x:v>0.1</x:v>
      </x:c>
      <x:c r="N2292" t="n">
        <x:f>ROUND(F2292*M2292/100,2)</x:f>
        <x:v>0.11</x:v>
      </x:c>
      <x:c r="O2292" t="str">
        <x:v>蒸熟净重</x:v>
      </x:c>
    </x:row>
    <x:row r="2293" ht="23" customHeight="1">
      <x:c r="A2293" t="n">
        <x:v>382</x:v>
      </x:c>
      <x:c r="B2293" t="n">
        <x:v>191</x:v>
      </x:c>
      <x:c r="C2293" t="str">
        <x:v>晚餐</x:v>
      </x:c>
      <x:c r="D2293" t="str">
        <x:v>油脂</x:v>
      </x:c>
      <x:c r="E2293" t="str">
        <x:v>烹调油</x:v>
      </x:c>
      <x:c r="F2293" t="n">
        <x:v>5</x:v>
      </x:c>
      <x:c r="G2293" t="n">
        <x:v>900</x:v>
      </x:c>
      <x:c r="H2293" t="n">
        <x:f>ROUND(F2293*G2293/100,2)</x:f>
        <x:v>45</x:v>
      </x:c>
      <x:c r="I2293" t="n">
        <x:v>0</x:v>
      </x:c>
      <x:c r="J2293" t="n">
        <x:f>ROUND(F2293*I2293/100,2)</x:f>
        <x:v>0</x:v>
      </x:c>
      <x:c r="K2293" t="n">
        <x:v>0</x:v>
      </x:c>
      <x:c r="L2293" t="n">
        <x:f>ROUND(F2293*K2293/100,2)</x:f>
        <x:v>0</x:v>
      </x:c>
      <x:c r="M2293" t="n">
        <x:v>100</x:v>
      </x:c>
      <x:c r="N2293" t="n">
        <x:f>ROUND(F2293*M2293/100,2)</x:f>
        <x:v>5</x:v>
      </x:c>
      <x:c r="O2293" t="str">
        <x:v>实际用油重</x:v>
      </x:c>
    </x:row>
    <x:row r="2294" ht="23" customHeight="1">
      <x:c r="A2294" t="n">
        <x:v>383</x:v>
      </x:c>
      <x:c r="B2294" t="n">
        <x:v>192</x:v>
      </x:c>
      <x:c r="C2294" t="str">
        <x:v>午餐</x:v>
      </x:c>
      <x:c r="D2294" t="str">
        <x:v>牛肉</x:v>
      </x:c>
      <x:c r="E2294" t="str">
        <x:v>瘦牛肉</x:v>
      </x:c>
      <x:c r="F2294" t="n">
        <x:v>185</x:v>
      </x:c>
      <x:c r="G2294" t="n">
        <x:v>125</x:v>
      </x:c>
      <x:c r="H2294" t="n">
        <x:f>ROUND(F2294*G2294/100,2)</x:f>
        <x:v>231.25</x:v>
      </x:c>
      <x:c r="I2294" t="n">
        <x:v>21</x:v>
      </x:c>
      <x:c r="J2294" t="n">
        <x:f>ROUND(F2294*I2294/100,2)</x:f>
        <x:v>38.85</x:v>
      </x:c>
      <x:c r="K2294" t="n">
        <x:v>0</x:v>
      </x:c>
      <x:c r="L2294" t="n">
        <x:f>ROUND(F2294*K2294/100,2)</x:f>
        <x:v>0</x:v>
      </x:c>
      <x:c r="M2294" t="n">
        <x:v>4</x:v>
      </x:c>
      <x:c r="N2294" t="n">
        <x:f>ROUND(F2294*M2294/100,2)</x:f>
        <x:v>7.4</x:v>
      </x:c>
      <x:c r="O2294" t="str">
        <x:v>生重</x:v>
      </x:c>
    </x:row>
    <x:row r="2295" ht="23" customHeight="1">
      <x:c r="A2295" t="n">
        <x:v>383</x:v>
      </x:c>
      <x:c r="B2295" t="n">
        <x:v>192</x:v>
      </x:c>
      <x:c r="C2295" t="str">
        <x:v>午餐</x:v>
      </x:c>
      <x:c r="D2295" t="str"/>
      <x:c r="E2295" t="str"/>
      <x:c r="F2295" t="n">
        <x:v>0</x:v>
      </x:c>
      <x:c r="G2295" t="n">
        <x:v>0</x:v>
      </x:c>
      <x:c r="H2295" t="n">
        <x:f>ROUND(F2295*G2295/100,2)</x:f>
        <x:v>0</x:v>
      </x:c>
      <x:c r="I2295" t="n">
        <x:v>0</x:v>
      </x:c>
      <x:c r="J2295" t="n">
        <x:f>ROUND(F2295*I2295/100,2)</x:f>
        <x:v>0</x:v>
      </x:c>
      <x:c r="K2295" t="n">
        <x:v>0</x:v>
      </x:c>
      <x:c r="L2295" t="n">
        <x:f>ROUND(F2295*K2295/100,2)</x:f>
        <x:v>0</x:v>
      </x:c>
      <x:c r="M2295" t="n">
        <x:v>0</x:v>
      </x:c>
      <x:c r="N2295" t="n">
        <x:f>ROUND(F2295*M2295/100,2)</x:f>
        <x:v>0</x:v>
      </x:c>
      <x:c r="O2295" t="str"/>
    </x:row>
    <x:row r="2296" ht="23" customHeight="1">
      <x:c r="A2296" t="n">
        <x:v>383</x:v>
      </x:c>
      <x:c r="B2296" t="n">
        <x:v>192</x:v>
      </x:c>
      <x:c r="C2296" t="str">
        <x:v>午餐</x:v>
      </x:c>
      <x:c r="D2296" t="str">
        <x:v>蔬菜</x:v>
      </x:c>
      <x:c r="E2296" t="str">
        <x:v>娃娃菜</x:v>
      </x:c>
      <x:c r="F2296" t="n">
        <x:v>160</x:v>
      </x:c>
      <x:c r="G2296" t="n">
        <x:v>17</x:v>
      </x:c>
      <x:c r="H2296" t="n">
        <x:f>ROUND(F2296*G2296/100,2)</x:f>
        <x:v>27.2</x:v>
      </x:c>
      <x:c r="I2296" t="n">
        <x:v>1.3</x:v>
      </x:c>
      <x:c r="J2296" t="n">
        <x:f>ROUND(F2296*I2296/100,2)</x:f>
        <x:v>2.08</x:v>
      </x:c>
      <x:c r="K2296" t="n">
        <x:v>3</x:v>
      </x:c>
      <x:c r="L2296" t="n">
        <x:f>ROUND(F2296*K2296/100,2)</x:f>
        <x:v>4.8</x:v>
      </x:c>
      <x:c r="M2296" t="n">
        <x:v>0.2</x:v>
      </x:c>
      <x:c r="N2296" t="n">
        <x:f>ROUND(F2296*M2296/100,2)</x:f>
        <x:v>0.32</x:v>
      </x:c>
      <x:c r="O2296" t="str">
        <x:v>生重</x:v>
      </x:c>
    </x:row>
    <x:row r="2297" ht="23" customHeight="1">
      <x:c r="A2297" t="n">
        <x:v>383</x:v>
      </x:c>
      <x:c r="B2297" t="n">
        <x:v>192</x:v>
      </x:c>
      <x:c r="C2297" t="str">
        <x:v>午餐</x:v>
      </x:c>
      <x:c r="D2297" t="str">
        <x:v>蔬菜</x:v>
      </x:c>
      <x:c r="E2297" t="str">
        <x:v>莴笋</x:v>
      </x:c>
      <x:c r="F2297" t="n">
        <x:v>125</x:v>
      </x:c>
      <x:c r="G2297" t="n">
        <x:v>15</x:v>
      </x:c>
      <x:c r="H2297" t="n">
        <x:f>ROUND(F2297*G2297/100,2)</x:f>
        <x:v>18.75</x:v>
      </x:c>
      <x:c r="I2297" t="n">
        <x:v>1</x:v>
      </x:c>
      <x:c r="J2297" t="n">
        <x:f>ROUND(F2297*I2297/100,2)</x:f>
        <x:v>1.25</x:v>
      </x:c>
      <x:c r="K2297" t="n">
        <x:v>2.8</x:v>
      </x:c>
      <x:c r="L2297" t="n">
        <x:f>ROUND(F2297*K2297/100,2)</x:f>
        <x:v>3.5</x:v>
      </x:c>
      <x:c r="M2297" t="n">
        <x:v>0.1</x:v>
      </x:c>
      <x:c r="N2297" t="n">
        <x:f>ROUND(F2297*M2297/100,2)</x:f>
        <x:v>0.13</x:v>
      </x:c>
      <x:c r="O2297" t="str">
        <x:v>生重</x:v>
      </x:c>
    </x:row>
    <x:row r="2298" ht="23" customHeight="1">
      <x:c r="A2298" t="n">
        <x:v>383</x:v>
      </x:c>
      <x:c r="B2298" t="n">
        <x:v>192</x:v>
      </x:c>
      <x:c r="C2298" t="str">
        <x:v>午餐</x:v>
      </x:c>
      <x:c r="D2298" t="str">
        <x:v>主食</x:v>
      </x:c>
      <x:c r="E2298" t="str">
        <x:v>糙米饭</x:v>
      </x:c>
      <x:c r="F2298" t="n">
        <x:v>135</x:v>
      </x:c>
      <x:c r="G2298" t="n">
        <x:v>112</x:v>
      </x:c>
      <x:c r="H2298" t="n">
        <x:f>ROUND(F2298*G2298/100,2)</x:f>
        <x:v>151.2</x:v>
      </x:c>
      <x:c r="I2298" t="n">
        <x:v>2.6</x:v>
      </x:c>
      <x:c r="J2298" t="n">
        <x:f>ROUND(F2298*I2298/100,2)</x:f>
        <x:v>3.51</x:v>
      </x:c>
      <x:c r="K2298" t="n">
        <x:v>23.5</x:v>
      </x:c>
      <x:c r="L2298" t="n">
        <x:f>ROUND(F2298*K2298/100,2)</x:f>
        <x:v>31.73</x:v>
      </x:c>
      <x:c r="M2298" t="n">
        <x:v>0.9</x:v>
      </x:c>
      <x:c r="N2298" t="n">
        <x:f>ROUND(F2298*M2298/100,2)</x:f>
        <x:v>1.22</x:v>
      </x:c>
      <x:c r="O2298" t="str">
        <x:v>熟重</x:v>
      </x:c>
    </x:row>
    <x:row r="2299" ht="23" customHeight="1">
      <x:c r="A2299" t="n">
        <x:v>383</x:v>
      </x:c>
      <x:c r="B2299" t="n">
        <x:v>192</x:v>
      </x:c>
      <x:c r="C2299" t="str">
        <x:v>午餐</x:v>
      </x:c>
      <x:c r="D2299" t="str">
        <x:v>油脂</x:v>
      </x:c>
      <x:c r="E2299" t="str">
        <x:v>烹调油</x:v>
      </x:c>
      <x:c r="F2299" t="n">
        <x:v>3</x:v>
      </x:c>
      <x:c r="G2299" t="n">
        <x:v>900</x:v>
      </x:c>
      <x:c r="H2299" t="n">
        <x:f>ROUND(F2299*G2299/100,2)</x:f>
        <x:v>27</x:v>
      </x:c>
      <x:c r="I2299" t="n">
        <x:v>0</x:v>
      </x:c>
      <x:c r="J2299" t="n">
        <x:f>ROUND(F2299*I2299/100,2)</x:f>
        <x:v>0</x:v>
      </x:c>
      <x:c r="K2299" t="n">
        <x:v>0</x:v>
      </x:c>
      <x:c r="L2299" t="n">
        <x:f>ROUND(F2299*K2299/100,2)</x:f>
        <x:v>0</x:v>
      </x:c>
      <x:c r="M2299" t="n">
        <x:v>100</x:v>
      </x:c>
      <x:c r="N2299" t="n">
        <x:f>ROUND(F2299*M2299/100,2)</x:f>
        <x:v>3</x:v>
      </x:c>
      <x:c r="O2299" t="str">
        <x:v>实际用油重</x:v>
      </x:c>
    </x:row>
    <x:row r="2300" ht="23" customHeight="1">
      <x:c r="A2300" t="n">
        <x:v>384</x:v>
      </x:c>
      <x:c r="B2300" t="n">
        <x:v>192</x:v>
      </x:c>
      <x:c r="C2300" t="str">
        <x:v>晚餐</x:v>
      </x:c>
      <x:c r="D2300" t="str">
        <x:v>禽肉</x:v>
      </x:c>
      <x:c r="E2300" t="str">
        <x:v>去皮鸡腿肉</x:v>
      </x:c>
      <x:c r="F2300" t="n">
        <x:v>180</x:v>
      </x:c>
      <x:c r="G2300" t="n">
        <x:v>125</x:v>
      </x:c>
      <x:c r="H2300" t="n">
        <x:f>ROUND(F2300*G2300/100,2)</x:f>
        <x:v>225</x:v>
      </x:c>
      <x:c r="I2300" t="n">
        <x:v>20</x:v>
      </x:c>
      <x:c r="J2300" t="n">
        <x:f>ROUND(F2300*I2300/100,2)</x:f>
        <x:v>36</x:v>
      </x:c>
      <x:c r="K2300" t="n">
        <x:v>0</x:v>
      </x:c>
      <x:c r="L2300" t="n">
        <x:f>ROUND(F2300*K2300/100,2)</x:f>
        <x:v>0</x:v>
      </x:c>
      <x:c r="M2300" t="n">
        <x:v>5</x:v>
      </x:c>
      <x:c r="N2300" t="n">
        <x:f>ROUND(F2300*M2300/100,2)</x:f>
        <x:v>9</x:v>
      </x:c>
      <x:c r="O2300" t="str">
        <x:v>生重</x:v>
      </x:c>
    </x:row>
    <x:row r="2301" ht="23" customHeight="1">
      <x:c r="A2301" t="n">
        <x:v>384</x:v>
      </x:c>
      <x:c r="B2301" t="n">
        <x:v>192</x:v>
      </x:c>
      <x:c r="C2301" t="str">
        <x:v>晚餐</x:v>
      </x:c>
      <x:c r="D2301" t="str"/>
      <x:c r="E2301" t="str"/>
      <x:c r="F2301" t="n">
        <x:v>0</x:v>
      </x:c>
      <x:c r="G2301" t="n">
        <x:v>0</x:v>
      </x:c>
      <x:c r="H2301" t="n">
        <x:f>ROUND(F2301*G2301/100,2)</x:f>
        <x:v>0</x:v>
      </x:c>
      <x:c r="I2301" t="n">
        <x:v>0</x:v>
      </x:c>
      <x:c r="J2301" t="n">
        <x:f>ROUND(F2301*I2301/100,2)</x:f>
        <x:v>0</x:v>
      </x:c>
      <x:c r="K2301" t="n">
        <x:v>0</x:v>
      </x:c>
      <x:c r="L2301" t="n">
        <x:f>ROUND(F2301*K2301/100,2)</x:f>
        <x:v>0</x:v>
      </x:c>
      <x:c r="M2301" t="n">
        <x:v>0</x:v>
      </x:c>
      <x:c r="N2301" t="n">
        <x:f>ROUND(F2301*M2301/100,2)</x:f>
        <x:v>0</x:v>
      </x:c>
      <x:c r="O2301" t="str"/>
    </x:row>
    <x:row r="2302" ht="23" customHeight="1">
      <x:c r="A2302" t="n">
        <x:v>384</x:v>
      </x:c>
      <x:c r="B2302" t="n">
        <x:v>192</x:v>
      </x:c>
      <x:c r="C2302" t="str">
        <x:v>晚餐</x:v>
      </x:c>
      <x:c r="D2302" t="str">
        <x:v>蔬菜</x:v>
      </x:c>
      <x:c r="E2302" t="str">
        <x:v>油麦菜</x:v>
      </x:c>
      <x:c r="F2302" t="n">
        <x:v>140</x:v>
      </x:c>
      <x:c r="G2302" t="n">
        <x:v>18</x:v>
      </x:c>
      <x:c r="H2302" t="n">
        <x:f>ROUND(F2302*G2302/100,2)</x:f>
        <x:v>25.2</x:v>
      </x:c>
      <x:c r="I2302" t="n">
        <x:v>1.4</x:v>
      </x:c>
      <x:c r="J2302" t="n">
        <x:f>ROUND(F2302*I2302/100,2)</x:f>
        <x:v>1.96</x:v>
      </x:c>
      <x:c r="K2302" t="n">
        <x:v>3.1</x:v>
      </x:c>
      <x:c r="L2302" t="n">
        <x:f>ROUND(F2302*K2302/100,2)</x:f>
        <x:v>4.34</x:v>
      </x:c>
      <x:c r="M2302" t="n">
        <x:v>0.2</x:v>
      </x:c>
      <x:c r="N2302" t="n">
        <x:f>ROUND(F2302*M2302/100,2)</x:f>
        <x:v>0.28</x:v>
      </x:c>
      <x:c r="O2302" t="str">
        <x:v>生重</x:v>
      </x:c>
    </x:row>
    <x:row r="2303" ht="23" customHeight="1">
      <x:c r="A2303" t="n">
        <x:v>384</x:v>
      </x:c>
      <x:c r="B2303" t="n">
        <x:v>192</x:v>
      </x:c>
      <x:c r="C2303" t="str">
        <x:v>晚餐</x:v>
      </x:c>
      <x:c r="D2303" t="str">
        <x:v>蔬菜</x:v>
      </x:c>
      <x:c r="E2303" t="str">
        <x:v>荷兰豆</x:v>
      </x:c>
      <x:c r="F2303" t="n">
        <x:v>140</x:v>
      </x:c>
      <x:c r="G2303" t="n">
        <x:v>42</x:v>
      </x:c>
      <x:c r="H2303" t="n">
        <x:f>ROUND(F2303*G2303/100,2)</x:f>
        <x:v>58.8</x:v>
      </x:c>
      <x:c r="I2303" t="n">
        <x:v>2.8</x:v>
      </x:c>
      <x:c r="J2303" t="n">
        <x:f>ROUND(F2303*I2303/100,2)</x:f>
        <x:v>3.92</x:v>
      </x:c>
      <x:c r="K2303" t="n">
        <x:v>7.5</x:v>
      </x:c>
      <x:c r="L2303" t="n">
        <x:f>ROUND(F2303*K2303/100,2)</x:f>
        <x:v>10.5</x:v>
      </x:c>
      <x:c r="M2303" t="n">
        <x:v>0.3</x:v>
      </x:c>
      <x:c r="N2303" t="n">
        <x:f>ROUND(F2303*M2303/100,2)</x:f>
        <x:v>0.42</x:v>
      </x:c>
      <x:c r="O2303" t="str">
        <x:v>生重</x:v>
      </x:c>
    </x:row>
    <x:row r="2304" ht="23" customHeight="1">
      <x:c r="A2304" t="n">
        <x:v>384</x:v>
      </x:c>
      <x:c r="B2304" t="n">
        <x:v>192</x:v>
      </x:c>
      <x:c r="C2304" t="str">
        <x:v>晚餐</x:v>
      </x:c>
      <x:c r="D2304" t="str">
        <x:v>主食</x:v>
      </x:c>
      <x:c r="E2304" t="str">
        <x:v>燕麦饭</x:v>
      </x:c>
      <x:c r="F2304" t="n">
        <x:v>135</x:v>
      </x:c>
      <x:c r="G2304" t="n">
        <x:v>110</x:v>
      </x:c>
      <x:c r="H2304" t="n">
        <x:f>ROUND(F2304*G2304/100,2)</x:f>
        <x:v>148.5</x:v>
      </x:c>
      <x:c r="I2304" t="n">
        <x:v>3.2</x:v>
      </x:c>
      <x:c r="J2304" t="n">
        <x:f>ROUND(F2304*I2304/100,2)</x:f>
        <x:v>4.32</x:v>
      </x:c>
      <x:c r="K2304" t="n">
        <x:v>21</x:v>
      </x:c>
      <x:c r="L2304" t="n">
        <x:f>ROUND(F2304*K2304/100,2)</x:f>
        <x:v>28.35</x:v>
      </x:c>
      <x:c r="M2304" t="n">
        <x:v>1.8</x:v>
      </x:c>
      <x:c r="N2304" t="n">
        <x:f>ROUND(F2304*M2304/100,2)</x:f>
        <x:v>2.43</x:v>
      </x:c>
      <x:c r="O2304" t="str">
        <x:v>熟重</x:v>
      </x:c>
    </x:row>
    <x:row r="2305" ht="23" customHeight="1">
      <x:c r="A2305" t="n">
        <x:v>384</x:v>
      </x:c>
      <x:c r="B2305" t="n">
        <x:v>192</x:v>
      </x:c>
      <x:c r="C2305" t="str">
        <x:v>晚餐</x:v>
      </x:c>
      <x:c r="D2305" t="str">
        <x:v>油脂</x:v>
      </x:c>
      <x:c r="E2305" t="str">
        <x:v>烹调油</x:v>
      </x:c>
      <x:c r="F2305" t="n">
        <x:v>6</x:v>
      </x:c>
      <x:c r="G2305" t="n">
        <x:v>900</x:v>
      </x:c>
      <x:c r="H2305" t="n">
        <x:f>ROUND(F2305*G2305/100,2)</x:f>
        <x:v>54</x:v>
      </x:c>
      <x:c r="I2305" t="n">
        <x:v>0</x:v>
      </x:c>
      <x:c r="J2305" t="n">
        <x:f>ROUND(F2305*I2305/100,2)</x:f>
        <x:v>0</x:v>
      </x:c>
      <x:c r="K2305" t="n">
        <x:v>0</x:v>
      </x:c>
      <x:c r="L2305" t="n">
        <x:f>ROUND(F2305*K2305/100,2)</x:f>
        <x:v>0</x:v>
      </x:c>
      <x:c r="M2305" t="n">
        <x:v>100</x:v>
      </x:c>
      <x:c r="N2305" t="n">
        <x:f>ROUND(F2305*M2305/100,2)</x:f>
        <x:v>6</x:v>
      </x:c>
      <x:c r="O2305" t="str">
        <x:v>实际用油重</x:v>
      </x:c>
    </x:row>
    <x:row r="2306" ht="23" customHeight="1">
      <x:c r="A2306" t="n">
        <x:v>385</x:v>
      </x:c>
      <x:c r="B2306" t="n">
        <x:v>193</x:v>
      </x:c>
      <x:c r="C2306" t="str">
        <x:v>午餐</x:v>
      </x:c>
      <x:c r="D2306" t="str">
        <x:v>禽肉</x:v>
      </x:c>
      <x:c r="E2306" t="str">
        <x:v>鸡胸肉</x:v>
      </x:c>
      <x:c r="F2306" t="n">
        <x:v>165</x:v>
      </x:c>
      <x:c r="G2306" t="n">
        <x:v>110</x:v>
      </x:c>
      <x:c r="H2306" t="n">
        <x:f>ROUND(F2306*G2306/100,2)</x:f>
        <x:v>181.5</x:v>
      </x:c>
      <x:c r="I2306" t="n">
        <x:v>23</x:v>
      </x:c>
      <x:c r="J2306" t="n">
        <x:f>ROUND(F2306*I2306/100,2)</x:f>
        <x:v>37.95</x:v>
      </x:c>
      <x:c r="K2306" t="n">
        <x:v>0</x:v>
      </x:c>
      <x:c r="L2306" t="n">
        <x:f>ROUND(F2306*K2306/100,2)</x:f>
        <x:v>0</x:v>
      </x:c>
      <x:c r="M2306" t="n">
        <x:v>2</x:v>
      </x:c>
      <x:c r="N2306" t="n">
        <x:f>ROUND(F2306*M2306/100,2)</x:f>
        <x:v>3.3</x:v>
      </x:c>
      <x:c r="O2306" t="str">
        <x:v>生重</x:v>
      </x:c>
    </x:row>
    <x:row r="2307" ht="23" customHeight="1">
      <x:c r="A2307" t="n">
        <x:v>385</x:v>
      </x:c>
      <x:c r="B2307" t="n">
        <x:v>193</x:v>
      </x:c>
      <x:c r="C2307" t="str">
        <x:v>午餐</x:v>
      </x:c>
      <x:c r="D2307" t="str"/>
      <x:c r="E2307" t="str"/>
      <x:c r="F2307" t="n">
        <x:v>0</x:v>
      </x:c>
      <x:c r="G2307" t="n">
        <x:v>0</x:v>
      </x:c>
      <x:c r="H2307" t="n">
        <x:f>ROUND(F2307*G2307/100,2)</x:f>
        <x:v>0</x:v>
      </x:c>
      <x:c r="I2307" t="n">
        <x:v>0</x:v>
      </x:c>
      <x:c r="J2307" t="n">
        <x:f>ROUND(F2307*I2307/100,2)</x:f>
        <x:v>0</x:v>
      </x:c>
      <x:c r="K2307" t="n">
        <x:v>0</x:v>
      </x:c>
      <x:c r="L2307" t="n">
        <x:f>ROUND(F2307*K2307/100,2)</x:f>
        <x:v>0</x:v>
      </x:c>
      <x:c r="M2307" t="n">
        <x:v>0</x:v>
      </x:c>
      <x:c r="N2307" t="n">
        <x:f>ROUND(F2307*M2307/100,2)</x:f>
        <x:v>0</x:v>
      </x:c>
      <x:c r="O2307" t="str"/>
    </x:row>
    <x:row r="2308" ht="23" customHeight="1">
      <x:c r="A2308" t="n">
        <x:v>385</x:v>
      </x:c>
      <x:c r="B2308" t="n">
        <x:v>193</x:v>
      </x:c>
      <x:c r="C2308" t="str">
        <x:v>午餐</x:v>
      </x:c>
      <x:c r="D2308" t="str">
        <x:v>蔬菜</x:v>
      </x:c>
      <x:c r="E2308" t="str">
        <x:v>油麦菜</x:v>
      </x:c>
      <x:c r="F2308" t="n">
        <x:v>160</x:v>
      </x:c>
      <x:c r="G2308" t="n">
        <x:v>18</x:v>
      </x:c>
      <x:c r="H2308" t="n">
        <x:f>ROUND(F2308*G2308/100,2)</x:f>
        <x:v>28.8</x:v>
      </x:c>
      <x:c r="I2308" t="n">
        <x:v>1.4</x:v>
      </x:c>
      <x:c r="J2308" t="n">
        <x:f>ROUND(F2308*I2308/100,2)</x:f>
        <x:v>2.24</x:v>
      </x:c>
      <x:c r="K2308" t="n">
        <x:v>3.1</x:v>
      </x:c>
      <x:c r="L2308" t="n">
        <x:f>ROUND(F2308*K2308/100,2)</x:f>
        <x:v>4.96</x:v>
      </x:c>
      <x:c r="M2308" t="n">
        <x:v>0.2</x:v>
      </x:c>
      <x:c r="N2308" t="n">
        <x:f>ROUND(F2308*M2308/100,2)</x:f>
        <x:v>0.32</x:v>
      </x:c>
      <x:c r="O2308" t="str">
        <x:v>生重</x:v>
      </x:c>
    </x:row>
    <x:row r="2309" ht="23" customHeight="1">
      <x:c r="A2309" t="n">
        <x:v>385</x:v>
      </x:c>
      <x:c r="B2309" t="n">
        <x:v>193</x:v>
      </x:c>
      <x:c r="C2309" t="str">
        <x:v>午餐</x:v>
      </x:c>
      <x:c r="D2309" t="str">
        <x:v>蔬菜</x:v>
      </x:c>
      <x:c r="E2309" t="str">
        <x:v>玉米笋</x:v>
      </x:c>
      <x:c r="F2309" t="n">
        <x:v>110</x:v>
      </x:c>
      <x:c r="G2309" t="n">
        <x:v>26</x:v>
      </x:c>
      <x:c r="H2309" t="n">
        <x:f>ROUND(F2309*G2309/100,2)</x:f>
        <x:v>28.6</x:v>
      </x:c>
      <x:c r="I2309" t="n">
        <x:v>2</x:v>
      </x:c>
      <x:c r="J2309" t="n">
        <x:f>ROUND(F2309*I2309/100,2)</x:f>
        <x:v>2.2</x:v>
      </x:c>
      <x:c r="K2309" t="n">
        <x:v>4.9</x:v>
      </x:c>
      <x:c r="L2309" t="n">
        <x:f>ROUND(F2309*K2309/100,2)</x:f>
        <x:v>5.39</x:v>
      </x:c>
      <x:c r="M2309" t="n">
        <x:v>0.1</x:v>
      </x:c>
      <x:c r="N2309" t="n">
        <x:f>ROUND(F2309*M2309/100,2)</x:f>
        <x:v>0.11</x:v>
      </x:c>
      <x:c r="O2309" t="str">
        <x:v>生重</x:v>
      </x:c>
    </x:row>
    <x:row r="2310" ht="23" customHeight="1">
      <x:c r="A2310" t="n">
        <x:v>385</x:v>
      </x:c>
      <x:c r="B2310" t="n">
        <x:v>193</x:v>
      </x:c>
      <x:c r="C2310" t="str">
        <x:v>午餐</x:v>
      </x:c>
      <x:c r="D2310" t="str">
        <x:v>主食</x:v>
      </x:c>
      <x:c r="E2310" t="str">
        <x:v>山药</x:v>
      </x:c>
      <x:c r="F2310" t="n">
        <x:v>135</x:v>
      </x:c>
      <x:c r="G2310" t="n">
        <x:v>62</x:v>
      </x:c>
      <x:c r="H2310" t="n">
        <x:f>ROUND(F2310*G2310/100,2)</x:f>
        <x:v>83.7</x:v>
      </x:c>
      <x:c r="I2310" t="n">
        <x:v>1.5</x:v>
      </x:c>
      <x:c r="J2310" t="n">
        <x:f>ROUND(F2310*I2310/100,2)</x:f>
        <x:v>2.03</x:v>
      </x:c>
      <x:c r="K2310" t="n">
        <x:v>14.1</x:v>
      </x:c>
      <x:c r="L2310" t="n">
        <x:f>ROUND(F2310*K2310/100,2)</x:f>
        <x:v>19.04</x:v>
      </x:c>
      <x:c r="M2310" t="n">
        <x:v>0.1</x:v>
      </x:c>
      <x:c r="N2310" t="n">
        <x:f>ROUND(F2310*M2310/100,2)</x:f>
        <x:v>0.14</x:v>
      </x:c>
      <x:c r="O2310" t="str">
        <x:v>蒸熟净重</x:v>
      </x:c>
    </x:row>
    <x:row r="2311" ht="23" customHeight="1">
      <x:c r="A2311" t="n">
        <x:v>385</x:v>
      </x:c>
      <x:c r="B2311" t="n">
        <x:v>193</x:v>
      </x:c>
      <x:c r="C2311" t="str">
        <x:v>午餐</x:v>
      </x:c>
      <x:c r="D2311" t="str">
        <x:v>油脂</x:v>
      </x:c>
      <x:c r="E2311" t="str">
        <x:v>烹调油</x:v>
      </x:c>
      <x:c r="F2311" t="n">
        <x:v>5</x:v>
      </x:c>
      <x:c r="G2311" t="n">
        <x:v>900</x:v>
      </x:c>
      <x:c r="H2311" t="n">
        <x:f>ROUND(F2311*G2311/100,2)</x:f>
        <x:v>45</x:v>
      </x:c>
      <x:c r="I2311" t="n">
        <x:v>0</x:v>
      </x:c>
      <x:c r="J2311" t="n">
        <x:f>ROUND(F2311*I2311/100,2)</x:f>
        <x:v>0</x:v>
      </x:c>
      <x:c r="K2311" t="n">
        <x:v>0</x:v>
      </x:c>
      <x:c r="L2311" t="n">
        <x:f>ROUND(F2311*K2311/100,2)</x:f>
        <x:v>0</x:v>
      </x:c>
      <x:c r="M2311" t="n">
        <x:v>100</x:v>
      </x:c>
      <x:c r="N2311" t="n">
        <x:f>ROUND(F2311*M2311/100,2)</x:f>
        <x:v>5</x:v>
      </x:c>
      <x:c r="O2311" t="str">
        <x:v>实际用油重</x:v>
      </x:c>
    </x:row>
    <x:row r="2312" ht="23" customHeight="1">
      <x:c r="A2312" t="n">
        <x:v>386</x:v>
      </x:c>
      <x:c r="B2312" t="n">
        <x:v>193</x:v>
      </x:c>
      <x:c r="C2312" t="str">
        <x:v>晚餐</x:v>
      </x:c>
      <x:c r="D2312" t="str">
        <x:v>豆蛋</x:v>
      </x:c>
      <x:c r="E2312" t="str">
        <x:v>嫩豆腐</x:v>
      </x:c>
      <x:c r="F2312" t="n">
        <x:v>300</x:v>
      </x:c>
      <x:c r="G2312" t="n">
        <x:v>55</x:v>
      </x:c>
      <x:c r="H2312" t="n">
        <x:f>ROUND(F2312*G2312/100,2)</x:f>
        <x:v>165</x:v>
      </x:c>
      <x:c r="I2312" t="n">
        <x:v>5</x:v>
      </x:c>
      <x:c r="J2312" t="n">
        <x:f>ROUND(F2312*I2312/100,2)</x:f>
        <x:v>15</x:v>
      </x:c>
      <x:c r="K2312" t="n">
        <x:v>2</x:v>
      </x:c>
      <x:c r="L2312" t="n">
        <x:f>ROUND(F2312*K2312/100,2)</x:f>
        <x:v>6</x:v>
      </x:c>
      <x:c r="M2312" t="n">
        <x:v>2.8</x:v>
      </x:c>
      <x:c r="N2312" t="n">
        <x:f>ROUND(F2312*M2312/100,2)</x:f>
        <x:v>8.4</x:v>
      </x:c>
      <x:c r="O2312" t="str">
        <x:v>净重</x:v>
      </x:c>
    </x:row>
    <x:row r="2313" ht="23" customHeight="1">
      <x:c r="A2313" t="n">
        <x:v>386</x:v>
      </x:c>
      <x:c r="B2313" t="n">
        <x:v>193</x:v>
      </x:c>
      <x:c r="C2313" t="str">
        <x:v>晚餐</x:v>
      </x:c>
      <x:c r="D2313" t="str">
        <x:v>海鲜</x:v>
      </x:c>
      <x:c r="E2313" t="str">
        <x:v>虾仁</x:v>
      </x:c>
      <x:c r="F2313" t="n">
        <x:v>65</x:v>
      </x:c>
      <x:c r="G2313" t="n">
        <x:v>90</x:v>
      </x:c>
      <x:c r="H2313" t="n">
        <x:f>ROUND(F2313*G2313/100,2)</x:f>
        <x:v>58.5</x:v>
      </x:c>
      <x:c r="I2313" t="n">
        <x:v>19</x:v>
      </x:c>
      <x:c r="J2313" t="n">
        <x:f>ROUND(F2313*I2313/100,2)</x:f>
        <x:v>12.35</x:v>
      </x:c>
      <x:c r="K2313" t="n">
        <x:v>0.4</x:v>
      </x:c>
      <x:c r="L2313" t="n">
        <x:f>ROUND(F2313*K2313/100,2)</x:f>
        <x:v>0.26</x:v>
      </x:c>
      <x:c r="M2313" t="n">
        <x:v>1.1</x:v>
      </x:c>
      <x:c r="N2313" t="n">
        <x:f>ROUND(F2313*M2313/100,2)</x:f>
        <x:v>0.72</x:v>
      </x:c>
      <x:c r="O2313" t="str">
        <x:v>生重</x:v>
      </x:c>
    </x:row>
    <x:row r="2314" ht="23" customHeight="1">
      <x:c r="A2314" t="n">
        <x:v>386</x:v>
      </x:c>
      <x:c r="B2314" t="n">
        <x:v>193</x:v>
      </x:c>
      <x:c r="C2314" t="str">
        <x:v>晚餐</x:v>
      </x:c>
      <x:c r="D2314" t="str">
        <x:v>蔬菜</x:v>
      </x:c>
      <x:c r="E2314" t="str">
        <x:v>西葫芦</x:v>
      </x:c>
      <x:c r="F2314" t="n">
        <x:v>190</x:v>
      </x:c>
      <x:c r="G2314" t="n">
        <x:v>17</x:v>
      </x:c>
      <x:c r="H2314" t="n">
        <x:f>ROUND(F2314*G2314/100,2)</x:f>
        <x:v>32.3</x:v>
      </x:c>
      <x:c r="I2314" t="n">
        <x:v>1.2</x:v>
      </x:c>
      <x:c r="J2314" t="n">
        <x:f>ROUND(F2314*I2314/100,2)</x:f>
        <x:v>2.28</x:v>
      </x:c>
      <x:c r="K2314" t="n">
        <x:v>3.1</x:v>
      </x:c>
      <x:c r="L2314" t="n">
        <x:f>ROUND(F2314*K2314/100,2)</x:f>
        <x:v>5.89</x:v>
      </x:c>
      <x:c r="M2314" t="n">
        <x:v>0.3</x:v>
      </x:c>
      <x:c r="N2314" t="n">
        <x:f>ROUND(F2314*M2314/100,2)</x:f>
        <x:v>0.57</x:v>
      </x:c>
      <x:c r="O2314" t="str">
        <x:v>生重</x:v>
      </x:c>
    </x:row>
    <x:row r="2315" ht="23" customHeight="1">
      <x:c r="A2315" t="n">
        <x:v>386</x:v>
      </x:c>
      <x:c r="B2315" t="n">
        <x:v>193</x:v>
      </x:c>
      <x:c r="C2315" t="str">
        <x:v>晚餐</x:v>
      </x:c>
      <x:c r="D2315" t="str">
        <x:v>蔬菜</x:v>
      </x:c>
      <x:c r="E2315" t="str">
        <x:v>菜心</x:v>
      </x:c>
      <x:c r="F2315" t="n">
        <x:v>155</x:v>
      </x:c>
      <x:c r="G2315" t="n">
        <x:v>20</x:v>
      </x:c>
      <x:c r="H2315" t="n">
        <x:f>ROUND(F2315*G2315/100,2)</x:f>
        <x:v>31</x:v>
      </x:c>
      <x:c r="I2315" t="n">
        <x:v>2</x:v>
      </x:c>
      <x:c r="J2315" t="n">
        <x:f>ROUND(F2315*I2315/100,2)</x:f>
        <x:v>3.1</x:v>
      </x:c>
      <x:c r="K2315" t="n">
        <x:v>3.5</x:v>
      </x:c>
      <x:c r="L2315" t="n">
        <x:f>ROUND(F2315*K2315/100,2)</x:f>
        <x:v>5.43</x:v>
      </x:c>
      <x:c r="M2315" t="n">
        <x:v>0.3</x:v>
      </x:c>
      <x:c r="N2315" t="n">
        <x:f>ROUND(F2315*M2315/100,2)</x:f>
        <x:v>0.47</x:v>
      </x:c>
      <x:c r="O2315" t="str">
        <x:v>生重</x:v>
      </x:c>
    </x:row>
    <x:row r="2316" ht="23" customHeight="1">
      <x:c r="A2316" t="n">
        <x:v>386</x:v>
      </x:c>
      <x:c r="B2316" t="n">
        <x:v>193</x:v>
      </x:c>
      <x:c r="C2316" t="str">
        <x:v>晚餐</x:v>
      </x:c>
      <x:c r="D2316" t="str">
        <x:v>主食</x:v>
      </x:c>
      <x:c r="E2316" t="str">
        <x:v>红薯</x:v>
      </x:c>
      <x:c r="F2316" t="n">
        <x:v>135</x:v>
      </x:c>
      <x:c r="G2316" t="n">
        <x:v>88</x:v>
      </x:c>
      <x:c r="H2316" t="n">
        <x:f>ROUND(F2316*G2316/100,2)</x:f>
        <x:v>118.8</x:v>
      </x:c>
      <x:c r="I2316" t="n">
        <x:v>1.6</x:v>
      </x:c>
      <x:c r="J2316" t="n">
        <x:f>ROUND(F2316*I2316/100,2)</x:f>
        <x:v>2.16</x:v>
      </x:c>
      <x:c r="K2316" t="n">
        <x:v>20.5</x:v>
      </x:c>
      <x:c r="L2316" t="n">
        <x:f>ROUND(F2316*K2316/100,2)</x:f>
        <x:v>27.68</x:v>
      </x:c>
      <x:c r="M2316" t="n">
        <x:v>0.1</x:v>
      </x:c>
      <x:c r="N2316" t="n">
        <x:f>ROUND(F2316*M2316/100,2)</x:f>
        <x:v>0.14</x:v>
      </x:c>
      <x:c r="O2316" t="str">
        <x:v>蒸熟净重</x:v>
      </x:c>
    </x:row>
    <x:row r="2317" ht="23" customHeight="1">
      <x:c r="A2317" t="n">
        <x:v>386</x:v>
      </x:c>
      <x:c r="B2317" t="n">
        <x:v>193</x:v>
      </x:c>
      <x:c r="C2317" t="str">
        <x:v>晚餐</x:v>
      </x:c>
      <x:c r="D2317" t="str">
        <x:v>油脂</x:v>
      </x:c>
      <x:c r="E2317" t="str">
        <x:v>烹调油</x:v>
      </x:c>
      <x:c r="F2317" t="n">
        <x:v>3</x:v>
      </x:c>
      <x:c r="G2317" t="n">
        <x:v>900</x:v>
      </x:c>
      <x:c r="H2317" t="n">
        <x:f>ROUND(F2317*G2317/100,2)</x:f>
        <x:v>27</x:v>
      </x:c>
      <x:c r="I2317" t="n">
        <x:v>0</x:v>
      </x:c>
      <x:c r="J2317" t="n">
        <x:f>ROUND(F2317*I2317/100,2)</x:f>
        <x:v>0</x:v>
      </x:c>
      <x:c r="K2317" t="n">
        <x:v>0</x:v>
      </x:c>
      <x:c r="L2317" t="n">
        <x:f>ROUND(F2317*K2317/100,2)</x:f>
        <x:v>0</x:v>
      </x:c>
      <x:c r="M2317" t="n">
        <x:v>100</x:v>
      </x:c>
      <x:c r="N2317" t="n">
        <x:f>ROUND(F2317*M2317/100,2)</x:f>
        <x:v>3</x:v>
      </x:c>
      <x:c r="O2317" t="str">
        <x:v>实际用油重</x:v>
      </x:c>
    </x:row>
    <x:row r="2318" ht="23" customHeight="1">
      <x:c r="A2318" t="n">
        <x:v>387</x:v>
      </x:c>
      <x:c r="B2318" t="n">
        <x:v>194</x:v>
      </x:c>
      <x:c r="C2318" t="str">
        <x:v>午餐</x:v>
      </x:c>
      <x:c r="D2318" t="str">
        <x:v>鱼类</x:v>
      </x:c>
      <x:c r="E2318" t="str">
        <x:v>鲈鱼</x:v>
      </x:c>
      <x:c r="F2318" t="n">
        <x:v>185</x:v>
      </x:c>
      <x:c r="G2318" t="n">
        <x:v>105</x:v>
      </x:c>
      <x:c r="H2318" t="n">
        <x:f>ROUND(F2318*G2318/100,2)</x:f>
        <x:v>194.25</x:v>
      </x:c>
      <x:c r="I2318" t="n">
        <x:v>19</x:v>
      </x:c>
      <x:c r="J2318" t="n">
        <x:f>ROUND(F2318*I2318/100,2)</x:f>
        <x:v>35.15</x:v>
      </x:c>
      <x:c r="K2318" t="n">
        <x:v>0</x:v>
      </x:c>
      <x:c r="L2318" t="n">
        <x:f>ROUND(F2318*K2318/100,2)</x:f>
        <x:v>0</x:v>
      </x:c>
      <x:c r="M2318" t="n">
        <x:v>3</x:v>
      </x:c>
      <x:c r="N2318" t="n">
        <x:f>ROUND(F2318*M2318/100,2)</x:f>
        <x:v>5.55</x:v>
      </x:c>
      <x:c r="O2318" t="str">
        <x:v>净鱼肉生重</x:v>
      </x:c>
    </x:row>
    <x:row r="2319" ht="23" customHeight="1">
      <x:c r="A2319" t="n">
        <x:v>387</x:v>
      </x:c>
      <x:c r="B2319" t="n">
        <x:v>194</x:v>
      </x:c>
      <x:c r="C2319" t="str">
        <x:v>午餐</x:v>
      </x:c>
      <x:c r="D2319" t="str"/>
      <x:c r="E2319" t="str"/>
      <x:c r="F2319" t="n">
        <x:v>0</x:v>
      </x:c>
      <x:c r="G2319" t="n">
        <x:v>0</x:v>
      </x:c>
      <x:c r="H2319" t="n">
        <x:f>ROUND(F2319*G2319/100,2)</x:f>
        <x:v>0</x:v>
      </x:c>
      <x:c r="I2319" t="n">
        <x:v>0</x:v>
      </x:c>
      <x:c r="J2319" t="n">
        <x:f>ROUND(F2319*I2319/100,2)</x:f>
        <x:v>0</x:v>
      </x:c>
      <x:c r="K2319" t="n">
        <x:v>0</x:v>
      </x:c>
      <x:c r="L2319" t="n">
        <x:f>ROUND(F2319*K2319/100,2)</x:f>
        <x:v>0</x:v>
      </x:c>
      <x:c r="M2319" t="n">
        <x:v>0</x:v>
      </x:c>
      <x:c r="N2319" t="n">
        <x:f>ROUND(F2319*M2319/100,2)</x:f>
        <x:v>0</x:v>
      </x:c>
      <x:c r="O2319" t="str"/>
    </x:row>
    <x:row r="2320" ht="23" customHeight="1">
      <x:c r="A2320" t="n">
        <x:v>387</x:v>
      </x:c>
      <x:c r="B2320" t="n">
        <x:v>194</x:v>
      </x:c>
      <x:c r="C2320" t="str">
        <x:v>午餐</x:v>
      </x:c>
      <x:c r="D2320" t="str">
        <x:v>蔬菜</x:v>
      </x:c>
      <x:c r="E2320" t="str">
        <x:v>娃娃菜</x:v>
      </x:c>
      <x:c r="F2320" t="n">
        <x:v>190</x:v>
      </x:c>
      <x:c r="G2320" t="n">
        <x:v>17</x:v>
      </x:c>
      <x:c r="H2320" t="n">
        <x:f>ROUND(F2320*G2320/100,2)</x:f>
        <x:v>32.3</x:v>
      </x:c>
      <x:c r="I2320" t="n">
        <x:v>1.3</x:v>
      </x:c>
      <x:c r="J2320" t="n">
        <x:f>ROUND(F2320*I2320/100,2)</x:f>
        <x:v>2.47</x:v>
      </x:c>
      <x:c r="K2320" t="n">
        <x:v>3</x:v>
      </x:c>
      <x:c r="L2320" t="n">
        <x:f>ROUND(F2320*K2320/100,2)</x:f>
        <x:v>5.7</x:v>
      </x:c>
      <x:c r="M2320" t="n">
        <x:v>0.2</x:v>
      </x:c>
      <x:c r="N2320" t="n">
        <x:f>ROUND(F2320*M2320/100,2)</x:f>
        <x:v>0.38</x:v>
      </x:c>
      <x:c r="O2320" t="str">
        <x:v>生重</x:v>
      </x:c>
    </x:row>
    <x:row r="2321" ht="23" customHeight="1">
      <x:c r="A2321" t="n">
        <x:v>387</x:v>
      </x:c>
      <x:c r="B2321" t="n">
        <x:v>194</x:v>
      </x:c>
      <x:c r="C2321" t="str">
        <x:v>午餐</x:v>
      </x:c>
      <x:c r="D2321" t="str">
        <x:v>蔬菜</x:v>
      </x:c>
      <x:c r="E2321" t="str">
        <x:v>海带</x:v>
      </x:c>
      <x:c r="F2321" t="n">
        <x:v>155</x:v>
      </x:c>
      <x:c r="G2321" t="n">
        <x:v>25</x:v>
      </x:c>
      <x:c r="H2321" t="n">
        <x:f>ROUND(F2321*G2321/100,2)</x:f>
        <x:v>38.75</x:v>
      </x:c>
      <x:c r="I2321" t="n">
        <x:v>1</x:v>
      </x:c>
      <x:c r="J2321" t="n">
        <x:f>ROUND(F2321*I2321/100,2)</x:f>
        <x:v>1.55</x:v>
      </x:c>
      <x:c r="K2321" t="n">
        <x:v>5</x:v>
      </x:c>
      <x:c r="L2321" t="n">
        <x:f>ROUND(F2321*K2321/100,2)</x:f>
        <x:v>7.75</x:v>
      </x:c>
      <x:c r="M2321" t="n">
        <x:v>0.1</x:v>
      </x:c>
      <x:c r="N2321" t="n">
        <x:f>ROUND(F2321*M2321/100,2)</x:f>
        <x:v>0.16</x:v>
      </x:c>
      <x:c r="O2321" t="str">
        <x:v>泡发沥水重</x:v>
      </x:c>
    </x:row>
    <x:row r="2322" ht="23" customHeight="1">
      <x:c r="A2322" t="n">
        <x:v>387</x:v>
      </x:c>
      <x:c r="B2322" t="n">
        <x:v>194</x:v>
      </x:c>
      <x:c r="C2322" t="str">
        <x:v>午餐</x:v>
      </x:c>
      <x:c r="D2322" t="str">
        <x:v>主食</x:v>
      </x:c>
      <x:c r="E2322" t="str">
        <x:v>杂粮饭</x:v>
      </x:c>
      <x:c r="F2322" t="n">
        <x:v>150</x:v>
      </x:c>
      <x:c r="G2322" t="n">
        <x:v>115</x:v>
      </x:c>
      <x:c r="H2322" t="n">
        <x:f>ROUND(F2322*G2322/100,2)</x:f>
        <x:v>172.5</x:v>
      </x:c>
      <x:c r="I2322" t="n">
        <x:v>3.1</x:v>
      </x:c>
      <x:c r="J2322" t="n">
        <x:f>ROUND(F2322*I2322/100,2)</x:f>
        <x:v>4.65</x:v>
      </x:c>
      <x:c r="K2322" t="n">
        <x:v>23.5</x:v>
      </x:c>
      <x:c r="L2322" t="n">
        <x:f>ROUND(F2322*K2322/100,2)</x:f>
        <x:v>35.25</x:v>
      </x:c>
      <x:c r="M2322" t="n">
        <x:v>1.1</x:v>
      </x:c>
      <x:c r="N2322" t="n">
        <x:f>ROUND(F2322*M2322/100,2)</x:f>
        <x:v>1.65</x:v>
      </x:c>
      <x:c r="O2322" t="str">
        <x:v>熟重</x:v>
      </x:c>
    </x:row>
    <x:row r="2323" ht="23" customHeight="1">
      <x:c r="A2323" t="n">
        <x:v>387</x:v>
      </x:c>
      <x:c r="B2323" t="n">
        <x:v>194</x:v>
      </x:c>
      <x:c r="C2323" t="str">
        <x:v>午餐</x:v>
      </x:c>
      <x:c r="D2323" t="str">
        <x:v>油脂</x:v>
      </x:c>
      <x:c r="E2323" t="str">
        <x:v>烹调油</x:v>
      </x:c>
      <x:c r="F2323" t="n">
        <x:v>5</x:v>
      </x:c>
      <x:c r="G2323" t="n">
        <x:v>900</x:v>
      </x:c>
      <x:c r="H2323" t="n">
        <x:f>ROUND(F2323*G2323/100,2)</x:f>
        <x:v>45</x:v>
      </x:c>
      <x:c r="I2323" t="n">
        <x:v>0</x:v>
      </x:c>
      <x:c r="J2323" t="n">
        <x:f>ROUND(F2323*I2323/100,2)</x:f>
        <x:v>0</x:v>
      </x:c>
      <x:c r="K2323" t="n">
        <x:v>0</x:v>
      </x:c>
      <x:c r="L2323" t="n">
        <x:f>ROUND(F2323*K2323/100,2)</x:f>
        <x:v>0</x:v>
      </x:c>
      <x:c r="M2323" t="n">
        <x:v>100</x:v>
      </x:c>
      <x:c r="N2323" t="n">
        <x:f>ROUND(F2323*M2323/100,2)</x:f>
        <x:v>5</x:v>
      </x:c>
      <x:c r="O2323" t="str">
        <x:v>实际用油重</x:v>
      </x:c>
    </x:row>
    <x:row r="2324" ht="23" customHeight="1">
      <x:c r="A2324" t="n">
        <x:v>388</x:v>
      </x:c>
      <x:c r="B2324" t="n">
        <x:v>194</x:v>
      </x:c>
      <x:c r="C2324" t="str">
        <x:v>晚餐</x:v>
      </x:c>
      <x:c r="D2324" t="str">
        <x:v>鱼类</x:v>
      </x:c>
      <x:c r="E2324" t="str">
        <x:v>鳕鱼</x:v>
      </x:c>
      <x:c r="F2324" t="n">
        <x:v>200</x:v>
      </x:c>
      <x:c r="G2324" t="n">
        <x:v>85</x:v>
      </x:c>
      <x:c r="H2324" t="n">
        <x:f>ROUND(F2324*G2324/100,2)</x:f>
        <x:v>170</x:v>
      </x:c>
      <x:c r="I2324" t="n">
        <x:v>18</x:v>
      </x:c>
      <x:c r="J2324" t="n">
        <x:f>ROUND(F2324*I2324/100,2)</x:f>
        <x:v>36</x:v>
      </x:c>
      <x:c r="K2324" t="n">
        <x:v>0</x:v>
      </x:c>
      <x:c r="L2324" t="n">
        <x:f>ROUND(F2324*K2324/100,2)</x:f>
        <x:v>0</x:v>
      </x:c>
      <x:c r="M2324" t="n">
        <x:v>0.8</x:v>
      </x:c>
      <x:c r="N2324" t="n">
        <x:f>ROUND(F2324*M2324/100,2)</x:f>
        <x:v>1.6</x:v>
      </x:c>
      <x:c r="O2324" t="str">
        <x:v>净鱼肉生重</x:v>
      </x:c>
    </x:row>
    <x:row r="2325" ht="23" customHeight="1">
      <x:c r="A2325" t="n">
        <x:v>388</x:v>
      </x:c>
      <x:c r="B2325" t="n">
        <x:v>194</x:v>
      </x:c>
      <x:c r="C2325" t="str">
        <x:v>晚餐</x:v>
      </x:c>
      <x:c r="D2325" t="str"/>
      <x:c r="E2325" t="str"/>
      <x:c r="F2325" t="n">
        <x:v>0</x:v>
      </x:c>
      <x:c r="G2325" t="n">
        <x:v>0</x:v>
      </x:c>
      <x:c r="H2325" t="n">
        <x:f>ROUND(F2325*G2325/100,2)</x:f>
        <x:v>0</x:v>
      </x:c>
      <x:c r="I2325" t="n">
        <x:v>0</x:v>
      </x:c>
      <x:c r="J2325" t="n">
        <x:f>ROUND(F2325*I2325/100,2)</x:f>
        <x:v>0</x:v>
      </x:c>
      <x:c r="K2325" t="n">
        <x:v>0</x:v>
      </x:c>
      <x:c r="L2325" t="n">
        <x:f>ROUND(F2325*K2325/100,2)</x:f>
        <x:v>0</x:v>
      </x:c>
      <x:c r="M2325" t="n">
        <x:v>0</x:v>
      </x:c>
      <x:c r="N2325" t="n">
        <x:f>ROUND(F2325*M2325/100,2)</x:f>
        <x:v>0</x:v>
      </x:c>
      <x:c r="O2325" t="str"/>
    </x:row>
    <x:row r="2326" ht="23" customHeight="1">
      <x:c r="A2326" t="n">
        <x:v>388</x:v>
      </x:c>
      <x:c r="B2326" t="n">
        <x:v>194</x:v>
      </x:c>
      <x:c r="C2326" t="str">
        <x:v>晚餐</x:v>
      </x:c>
      <x:c r="D2326" t="str">
        <x:v>蔬菜</x:v>
      </x:c>
      <x:c r="E2326" t="str">
        <x:v>丝瓜</x:v>
      </x:c>
      <x:c r="F2326" t="n">
        <x:v>140</x:v>
      </x:c>
      <x:c r="G2326" t="n">
        <x:v>20</x:v>
      </x:c>
      <x:c r="H2326" t="n">
        <x:f>ROUND(F2326*G2326/100,2)</x:f>
        <x:v>28</x:v>
      </x:c>
      <x:c r="I2326" t="n">
        <x:v>1</x:v>
      </x:c>
      <x:c r="J2326" t="n">
        <x:f>ROUND(F2326*I2326/100,2)</x:f>
        <x:v>1.4</x:v>
      </x:c>
      <x:c r="K2326" t="n">
        <x:v>4</x:v>
      </x:c>
      <x:c r="L2326" t="n">
        <x:f>ROUND(F2326*K2326/100,2)</x:f>
        <x:v>5.6</x:v>
      </x:c>
      <x:c r="M2326" t="n">
        <x:v>0.2</x:v>
      </x:c>
      <x:c r="N2326" t="n">
        <x:f>ROUND(F2326*M2326/100,2)</x:f>
        <x:v>0.28</x:v>
      </x:c>
      <x:c r="O2326" t="str">
        <x:v>生重</x:v>
      </x:c>
    </x:row>
    <x:row r="2327" ht="23" customHeight="1">
      <x:c r="A2327" t="n">
        <x:v>388</x:v>
      </x:c>
      <x:c r="B2327" t="n">
        <x:v>194</x:v>
      </x:c>
      <x:c r="C2327" t="str">
        <x:v>晚餐</x:v>
      </x:c>
      <x:c r="D2327" t="str">
        <x:v>菌菇</x:v>
      </x:c>
      <x:c r="E2327" t="str">
        <x:v>香菇</x:v>
      </x:c>
      <x:c r="F2327" t="n">
        <x:v>125</x:v>
      </x:c>
      <x:c r="G2327" t="n">
        <x:v>34</x:v>
      </x:c>
      <x:c r="H2327" t="n">
        <x:f>ROUND(F2327*G2327/100,2)</x:f>
        <x:v>42.5</x:v>
      </x:c>
      <x:c r="I2327" t="n">
        <x:v>2.2</x:v>
      </x:c>
      <x:c r="J2327" t="n">
        <x:f>ROUND(F2327*I2327/100,2)</x:f>
        <x:v>2.75</x:v>
      </x:c>
      <x:c r="K2327" t="n">
        <x:v>6.8</x:v>
      </x:c>
      <x:c r="L2327" t="n">
        <x:f>ROUND(F2327*K2327/100,2)</x:f>
        <x:v>8.5</x:v>
      </x:c>
      <x:c r="M2327" t="n">
        <x:v>0.5</x:v>
      </x:c>
      <x:c r="N2327" t="n">
        <x:f>ROUND(F2327*M2327/100,2)</x:f>
        <x:v>0.63</x:v>
      </x:c>
      <x:c r="O2327" t="str">
        <x:v>生重</x:v>
      </x:c>
    </x:row>
    <x:row r="2328" ht="23" customHeight="1">
      <x:c r="A2328" t="n">
        <x:v>388</x:v>
      </x:c>
      <x:c r="B2328" t="n">
        <x:v>194</x:v>
      </x:c>
      <x:c r="C2328" t="str">
        <x:v>晚餐</x:v>
      </x:c>
      <x:c r="D2328" t="str">
        <x:v>主食</x:v>
      </x:c>
      <x:c r="E2328" t="str">
        <x:v>玉米</x:v>
      </x:c>
      <x:c r="F2328" t="n">
        <x:v>95</x:v>
      </x:c>
      <x:c r="G2328" t="n">
        <x:v>105</x:v>
      </x:c>
      <x:c r="H2328" t="n">
        <x:f>ROUND(F2328*G2328/100,2)</x:f>
        <x:v>99.75</x:v>
      </x:c>
      <x:c r="I2328" t="n">
        <x:v>3.4</x:v>
      </x:c>
      <x:c r="J2328" t="n">
        <x:f>ROUND(F2328*I2328/100,2)</x:f>
        <x:v>3.23</x:v>
      </x:c>
      <x:c r="K2328" t="n">
        <x:v>22</x:v>
      </x:c>
      <x:c r="L2328" t="n">
        <x:f>ROUND(F2328*K2328/100,2)</x:f>
        <x:v>20.9</x:v>
      </x:c>
      <x:c r="M2328" t="n">
        <x:v>1.5</x:v>
      </x:c>
      <x:c r="N2328" t="n">
        <x:f>ROUND(F2328*M2328/100,2)</x:f>
        <x:v>1.43</x:v>
      </x:c>
      <x:c r="O2328" t="str">
        <x:v>蒸熟净重</x:v>
      </x:c>
    </x:row>
    <x:row r="2329" ht="23" customHeight="1">
      <x:c r="A2329" t="n">
        <x:v>388</x:v>
      </x:c>
      <x:c r="B2329" t="n">
        <x:v>194</x:v>
      </x:c>
      <x:c r="C2329" t="str">
        <x:v>晚餐</x:v>
      </x:c>
      <x:c r="D2329" t="str">
        <x:v>油脂</x:v>
      </x:c>
      <x:c r="E2329" t="str">
        <x:v>烹调油</x:v>
      </x:c>
      <x:c r="F2329" t="n">
        <x:v>5</x:v>
      </x:c>
      <x:c r="G2329" t="n">
        <x:v>900</x:v>
      </x:c>
      <x:c r="H2329" t="n">
        <x:f>ROUND(F2329*G2329/100,2)</x:f>
        <x:v>45</x:v>
      </x:c>
      <x:c r="I2329" t="n">
        <x:v>0</x:v>
      </x:c>
      <x:c r="J2329" t="n">
        <x:f>ROUND(F2329*I2329/100,2)</x:f>
        <x:v>0</x:v>
      </x:c>
      <x:c r="K2329" t="n">
        <x:v>0</x:v>
      </x:c>
      <x:c r="L2329" t="n">
        <x:f>ROUND(F2329*K2329/100,2)</x:f>
        <x:v>0</x:v>
      </x:c>
      <x:c r="M2329" t="n">
        <x:v>100</x:v>
      </x:c>
      <x:c r="N2329" t="n">
        <x:f>ROUND(F2329*M2329/100,2)</x:f>
        <x:v>5</x:v>
      </x:c>
      <x:c r="O2329" t="str">
        <x:v>实际用油重</x:v>
      </x:c>
    </x:row>
    <x:row r="2330" ht="23" customHeight="1">
      <x:c r="A2330" t="n">
        <x:v>389</x:v>
      </x:c>
      <x:c r="B2330" t="n">
        <x:v>195</x:v>
      </x:c>
      <x:c r="C2330" t="str">
        <x:v>午餐</x:v>
      </x:c>
      <x:c r="D2330" t="str">
        <x:v>海鲜</x:v>
      </x:c>
      <x:c r="E2330" t="str">
        <x:v>虾仁</x:v>
      </x:c>
      <x:c r="F2330" t="n">
        <x:v>160</x:v>
      </x:c>
      <x:c r="G2330" t="n">
        <x:v>90</x:v>
      </x:c>
      <x:c r="H2330" t="n">
        <x:f>ROUND(F2330*G2330/100,2)</x:f>
        <x:v>144</x:v>
      </x:c>
      <x:c r="I2330" t="n">
        <x:v>19</x:v>
      </x:c>
      <x:c r="J2330" t="n">
        <x:f>ROUND(F2330*I2330/100,2)</x:f>
        <x:v>30.4</x:v>
      </x:c>
      <x:c r="K2330" t="n">
        <x:v>0.4</x:v>
      </x:c>
      <x:c r="L2330" t="n">
        <x:f>ROUND(F2330*K2330/100,2)</x:f>
        <x:v>0.64</x:v>
      </x:c>
      <x:c r="M2330" t="n">
        <x:v>1.1</x:v>
      </x:c>
      <x:c r="N2330" t="n">
        <x:f>ROUND(F2330*M2330/100,2)</x:f>
        <x:v>1.76</x:v>
      </x:c>
      <x:c r="O2330" t="str">
        <x:v>生重</x:v>
      </x:c>
    </x:row>
    <x:row r="2331" ht="23" customHeight="1">
      <x:c r="A2331" t="n">
        <x:v>389</x:v>
      </x:c>
      <x:c r="B2331" t="n">
        <x:v>195</x:v>
      </x:c>
      <x:c r="C2331" t="str">
        <x:v>午餐</x:v>
      </x:c>
      <x:c r="D2331" t="str"/>
      <x:c r="E2331" t="str"/>
      <x:c r="F2331" t="n">
        <x:v>0</x:v>
      </x:c>
      <x:c r="G2331" t="n">
        <x:v>0</x:v>
      </x:c>
      <x:c r="H2331" t="n">
        <x:f>ROUND(F2331*G2331/100,2)</x:f>
        <x:v>0</x:v>
      </x:c>
      <x:c r="I2331" t="n">
        <x:v>0</x:v>
      </x:c>
      <x:c r="J2331" t="n">
        <x:f>ROUND(F2331*I2331/100,2)</x:f>
        <x:v>0</x:v>
      </x:c>
      <x:c r="K2331" t="n">
        <x:v>0</x:v>
      </x:c>
      <x:c r="L2331" t="n">
        <x:f>ROUND(F2331*K2331/100,2)</x:f>
        <x:v>0</x:v>
      </x:c>
      <x:c r="M2331" t="n">
        <x:v>0</x:v>
      </x:c>
      <x:c r="N2331" t="n">
        <x:f>ROUND(F2331*M2331/100,2)</x:f>
        <x:v>0</x:v>
      </x:c>
      <x:c r="O2331" t="str"/>
    </x:row>
    <x:row r="2332" ht="23" customHeight="1">
      <x:c r="A2332" t="n">
        <x:v>389</x:v>
      </x:c>
      <x:c r="B2332" t="n">
        <x:v>195</x:v>
      </x:c>
      <x:c r="C2332" t="str">
        <x:v>午餐</x:v>
      </x:c>
      <x:c r="D2332" t="str">
        <x:v>蔬菜</x:v>
      </x:c>
      <x:c r="E2332" t="str">
        <x:v>四季豆</x:v>
      </x:c>
      <x:c r="F2332" t="n">
        <x:v>140</x:v>
      </x:c>
      <x:c r="G2332" t="n">
        <x:v>31</x:v>
      </x:c>
      <x:c r="H2332" t="n">
        <x:f>ROUND(F2332*G2332/100,2)</x:f>
        <x:v>43.4</x:v>
      </x:c>
      <x:c r="I2332" t="n">
        <x:v>1.8</x:v>
      </x:c>
      <x:c r="J2332" t="n">
        <x:f>ROUND(F2332*I2332/100,2)</x:f>
        <x:v>2.52</x:v>
      </x:c>
      <x:c r="K2332" t="n">
        <x:v>7</x:v>
      </x:c>
      <x:c r="L2332" t="n">
        <x:f>ROUND(F2332*K2332/100,2)</x:f>
        <x:v>9.8</x:v>
      </x:c>
      <x:c r="M2332" t="n">
        <x:v>0.1</x:v>
      </x:c>
      <x:c r="N2332" t="n">
        <x:f>ROUND(F2332*M2332/100,2)</x:f>
        <x:v>0.14</x:v>
      </x:c>
      <x:c r="O2332" t="str">
        <x:v>生重</x:v>
      </x:c>
    </x:row>
    <x:row r="2333" ht="23" customHeight="1">
      <x:c r="A2333" t="n">
        <x:v>389</x:v>
      </x:c>
      <x:c r="B2333" t="n">
        <x:v>195</x:v>
      </x:c>
      <x:c r="C2333" t="str">
        <x:v>午餐</x:v>
      </x:c>
      <x:c r="D2333" t="str">
        <x:v>蔬菜</x:v>
      </x:c>
      <x:c r="E2333" t="str">
        <x:v>紫甘蓝</x:v>
      </x:c>
      <x:c r="F2333" t="n">
        <x:v>155</x:v>
      </x:c>
      <x:c r="G2333" t="n">
        <x:v>31</x:v>
      </x:c>
      <x:c r="H2333" t="n">
        <x:f>ROUND(F2333*G2333/100,2)</x:f>
        <x:v>48.05</x:v>
      </x:c>
      <x:c r="I2333" t="n">
        <x:v>1.4</x:v>
      </x:c>
      <x:c r="J2333" t="n">
        <x:f>ROUND(F2333*I2333/100,2)</x:f>
        <x:v>2.17</x:v>
      </x:c>
      <x:c r="K2333" t="n">
        <x:v>7.3</x:v>
      </x:c>
      <x:c r="L2333" t="n">
        <x:f>ROUND(F2333*K2333/100,2)</x:f>
        <x:v>11.32</x:v>
      </x:c>
      <x:c r="M2333" t="n">
        <x:v>0.1</x:v>
      </x:c>
      <x:c r="N2333" t="n">
        <x:f>ROUND(F2333*M2333/100,2)</x:f>
        <x:v>0.16</x:v>
      </x:c>
      <x:c r="O2333" t="str">
        <x:v>生重</x:v>
      </x:c>
    </x:row>
    <x:row r="2334" ht="23" customHeight="1">
      <x:c r="A2334" t="n">
        <x:v>389</x:v>
      </x:c>
      <x:c r="B2334" t="n">
        <x:v>195</x:v>
      </x:c>
      <x:c r="C2334" t="str">
        <x:v>午餐</x:v>
      </x:c>
      <x:c r="D2334" t="str">
        <x:v>主食</x:v>
      </x:c>
      <x:c r="E2334" t="str">
        <x:v>燕麦饭</x:v>
      </x:c>
      <x:c r="F2334" t="n">
        <x:v>110</x:v>
      </x:c>
      <x:c r="G2334" t="n">
        <x:v>110</x:v>
      </x:c>
      <x:c r="H2334" t="n">
        <x:f>ROUND(F2334*G2334/100,2)</x:f>
        <x:v>121</x:v>
      </x:c>
      <x:c r="I2334" t="n">
        <x:v>3.2</x:v>
      </x:c>
      <x:c r="J2334" t="n">
        <x:f>ROUND(F2334*I2334/100,2)</x:f>
        <x:v>3.52</x:v>
      </x:c>
      <x:c r="K2334" t="n">
        <x:v>21</x:v>
      </x:c>
      <x:c r="L2334" t="n">
        <x:f>ROUND(F2334*K2334/100,2)</x:f>
        <x:v>23.1</x:v>
      </x:c>
      <x:c r="M2334" t="n">
        <x:v>1.8</x:v>
      </x:c>
      <x:c r="N2334" t="n">
        <x:f>ROUND(F2334*M2334/100,2)</x:f>
        <x:v>1.98</x:v>
      </x:c>
      <x:c r="O2334" t="str">
        <x:v>熟重</x:v>
      </x:c>
    </x:row>
    <x:row r="2335" ht="23" customHeight="1">
      <x:c r="A2335" t="n">
        <x:v>389</x:v>
      </x:c>
      <x:c r="B2335" t="n">
        <x:v>195</x:v>
      </x:c>
      <x:c r="C2335" t="str">
        <x:v>午餐</x:v>
      </x:c>
      <x:c r="D2335" t="str">
        <x:v>油脂</x:v>
      </x:c>
      <x:c r="E2335" t="str">
        <x:v>烹调油</x:v>
      </x:c>
      <x:c r="F2335" t="n">
        <x:v>5</x:v>
      </x:c>
      <x:c r="G2335" t="n">
        <x:v>900</x:v>
      </x:c>
      <x:c r="H2335" t="n">
        <x:f>ROUND(F2335*G2335/100,2)</x:f>
        <x:v>45</x:v>
      </x:c>
      <x:c r="I2335" t="n">
        <x:v>0</x:v>
      </x:c>
      <x:c r="J2335" t="n">
        <x:f>ROUND(F2335*I2335/100,2)</x:f>
        <x:v>0</x:v>
      </x:c>
      <x:c r="K2335" t="n">
        <x:v>0</x:v>
      </x:c>
      <x:c r="L2335" t="n">
        <x:f>ROUND(F2335*K2335/100,2)</x:f>
        <x:v>0</x:v>
      </x:c>
      <x:c r="M2335" t="n">
        <x:v>100</x:v>
      </x:c>
      <x:c r="N2335" t="n">
        <x:f>ROUND(F2335*M2335/100,2)</x:f>
        <x:v>5</x:v>
      </x:c>
      <x:c r="O2335" t="str">
        <x:v>实际用油重</x:v>
      </x:c>
    </x:row>
    <x:row r="2336" ht="23" customHeight="1">
      <x:c r="A2336" t="n">
        <x:v>390</x:v>
      </x:c>
      <x:c r="B2336" t="n">
        <x:v>195</x:v>
      </x:c>
      <x:c r="C2336" t="str">
        <x:v>晚餐</x:v>
      </x:c>
      <x:c r="D2336" t="str">
        <x:v>海鲜</x:v>
      </x:c>
      <x:c r="E2336" t="str">
        <x:v>扇贝肉</x:v>
      </x:c>
      <x:c r="F2336" t="n">
        <x:v>170</x:v>
      </x:c>
      <x:c r="G2336" t="n">
        <x:v>90</x:v>
      </x:c>
      <x:c r="H2336" t="n">
        <x:f>ROUND(F2336*G2336/100,2)</x:f>
        <x:v>153</x:v>
      </x:c>
      <x:c r="I2336" t="n">
        <x:v>17</x:v>
      </x:c>
      <x:c r="J2336" t="n">
        <x:f>ROUND(F2336*I2336/100,2)</x:f>
        <x:v>28.9</x:v>
      </x:c>
      <x:c r="K2336" t="n">
        <x:v>3</x:v>
      </x:c>
      <x:c r="L2336" t="n">
        <x:f>ROUND(F2336*K2336/100,2)</x:f>
        <x:v>5.1</x:v>
      </x:c>
      <x:c r="M2336" t="n">
        <x:v>0.8</x:v>
      </x:c>
      <x:c r="N2336" t="n">
        <x:f>ROUND(F2336*M2336/100,2)</x:f>
        <x:v>1.36</x:v>
      </x:c>
      <x:c r="O2336" t="str">
        <x:v>生重</x:v>
      </x:c>
    </x:row>
    <x:row r="2337" ht="23" customHeight="1">
      <x:c r="A2337" t="n">
        <x:v>390</x:v>
      </x:c>
      <x:c r="B2337" t="n">
        <x:v>195</x:v>
      </x:c>
      <x:c r="C2337" t="str">
        <x:v>晚餐</x:v>
      </x:c>
      <x:c r="D2337" t="str"/>
      <x:c r="E2337" t="str"/>
      <x:c r="F2337" t="n">
        <x:v>0</x:v>
      </x:c>
      <x:c r="G2337" t="n">
        <x:v>0</x:v>
      </x:c>
      <x:c r="H2337" t="n">
        <x:f>ROUND(F2337*G2337/100,2)</x:f>
        <x:v>0</x:v>
      </x:c>
      <x:c r="I2337" t="n">
        <x:v>0</x:v>
      </x:c>
      <x:c r="J2337" t="n">
        <x:f>ROUND(F2337*I2337/100,2)</x:f>
        <x:v>0</x:v>
      </x:c>
      <x:c r="K2337" t="n">
        <x:v>0</x:v>
      </x:c>
      <x:c r="L2337" t="n">
        <x:f>ROUND(F2337*K2337/100,2)</x:f>
        <x:v>0</x:v>
      </x:c>
      <x:c r="M2337" t="n">
        <x:v>0</x:v>
      </x:c>
      <x:c r="N2337" t="n">
        <x:f>ROUND(F2337*M2337/100,2)</x:f>
        <x:v>0</x:v>
      </x:c>
      <x:c r="O2337" t="str"/>
    </x:row>
    <x:row r="2338" ht="23" customHeight="1">
      <x:c r="A2338" t="n">
        <x:v>390</x:v>
      </x:c>
      <x:c r="B2338" t="n">
        <x:v>195</x:v>
      </x:c>
      <x:c r="C2338" t="str">
        <x:v>晚餐</x:v>
      </x:c>
      <x:c r="D2338" t="str">
        <x:v>蔬菜</x:v>
      </x:c>
      <x:c r="E2338" t="str">
        <x:v>丝瓜</x:v>
      </x:c>
      <x:c r="F2338" t="n">
        <x:v>190</x:v>
      </x:c>
      <x:c r="G2338" t="n">
        <x:v>20</x:v>
      </x:c>
      <x:c r="H2338" t="n">
        <x:f>ROUND(F2338*G2338/100,2)</x:f>
        <x:v>38</x:v>
      </x:c>
      <x:c r="I2338" t="n">
        <x:v>1</x:v>
      </x:c>
      <x:c r="J2338" t="n">
        <x:f>ROUND(F2338*I2338/100,2)</x:f>
        <x:v>1.9</x:v>
      </x:c>
      <x:c r="K2338" t="n">
        <x:v>4</x:v>
      </x:c>
      <x:c r="L2338" t="n">
        <x:f>ROUND(F2338*K2338/100,2)</x:f>
        <x:v>7.6</x:v>
      </x:c>
      <x:c r="M2338" t="n">
        <x:v>0.2</x:v>
      </x:c>
      <x:c r="N2338" t="n">
        <x:f>ROUND(F2338*M2338/100,2)</x:f>
        <x:v>0.38</x:v>
      </x:c>
      <x:c r="O2338" t="str">
        <x:v>生重</x:v>
      </x:c>
    </x:row>
    <x:row r="2339" ht="23" customHeight="1">
      <x:c r="A2339" t="n">
        <x:v>390</x:v>
      </x:c>
      <x:c r="B2339" t="n">
        <x:v>195</x:v>
      </x:c>
      <x:c r="C2339" t="str">
        <x:v>晚餐</x:v>
      </x:c>
      <x:c r="D2339" t="str">
        <x:v>蔬菜</x:v>
      </x:c>
      <x:c r="E2339" t="str">
        <x:v>白萝卜</x:v>
      </x:c>
      <x:c r="F2339" t="n">
        <x:v>155</x:v>
      </x:c>
      <x:c r="G2339" t="n">
        <x:v>18</x:v>
      </x:c>
      <x:c r="H2339" t="n">
        <x:f>ROUND(F2339*G2339/100,2)</x:f>
        <x:v>27.9</x:v>
      </x:c>
      <x:c r="I2339" t="n">
        <x:v>0.6</x:v>
      </x:c>
      <x:c r="J2339" t="n">
        <x:f>ROUND(F2339*I2339/100,2)</x:f>
        <x:v>0.93</x:v>
      </x:c>
      <x:c r="K2339" t="n">
        <x:v>4</x:v>
      </x:c>
      <x:c r="L2339" t="n">
        <x:f>ROUND(F2339*K2339/100,2)</x:f>
        <x:v>6.2</x:v>
      </x:c>
      <x:c r="M2339" t="n">
        <x:v>0.1</x:v>
      </x:c>
      <x:c r="N2339" t="n">
        <x:f>ROUND(F2339*M2339/100,2)</x:f>
        <x:v>0.16</x:v>
      </x:c>
      <x:c r="O2339" t="str">
        <x:v>生重</x:v>
      </x:c>
    </x:row>
    <x:row r="2340" ht="23" customHeight="1">
      <x:c r="A2340" t="n">
        <x:v>390</x:v>
      </x:c>
      <x:c r="B2340" t="n">
        <x:v>195</x:v>
      </x:c>
      <x:c r="C2340" t="str">
        <x:v>晚餐</x:v>
      </x:c>
      <x:c r="D2340" t="str">
        <x:v>主食</x:v>
      </x:c>
      <x:c r="E2340" t="str">
        <x:v>土豆</x:v>
      </x:c>
      <x:c r="F2340" t="n">
        <x:v>160</x:v>
      </x:c>
      <x:c r="G2340" t="n">
        <x:v>78</x:v>
      </x:c>
      <x:c r="H2340" t="n">
        <x:f>ROUND(F2340*G2340/100,2)</x:f>
        <x:v>124.8</x:v>
      </x:c>
      <x:c r="I2340" t="n">
        <x:v>2</x:v>
      </x:c>
      <x:c r="J2340" t="n">
        <x:f>ROUND(F2340*I2340/100,2)</x:f>
        <x:v>3.2</x:v>
      </x:c>
      <x:c r="K2340" t="n">
        <x:v>17.2</x:v>
      </x:c>
      <x:c r="L2340" t="n">
        <x:f>ROUND(F2340*K2340/100,2)</x:f>
        <x:v>27.52</x:v>
      </x:c>
      <x:c r="M2340" t="n">
        <x:v>0.1</x:v>
      </x:c>
      <x:c r="N2340" t="n">
        <x:f>ROUND(F2340*M2340/100,2)</x:f>
        <x:v>0.16</x:v>
      </x:c>
      <x:c r="O2340" t="str">
        <x:v>蒸熟净重</x:v>
      </x:c>
    </x:row>
    <x:row r="2341" ht="23" customHeight="1">
      <x:c r="A2341" t="n">
        <x:v>390</x:v>
      </x:c>
      <x:c r="B2341" t="n">
        <x:v>195</x:v>
      </x:c>
      <x:c r="C2341" t="str">
        <x:v>晚餐</x:v>
      </x:c>
      <x:c r="D2341" t="str">
        <x:v>油脂</x:v>
      </x:c>
      <x:c r="E2341" t="str">
        <x:v>烹调油</x:v>
      </x:c>
      <x:c r="F2341" t="n">
        <x:v>3</x:v>
      </x:c>
      <x:c r="G2341" t="n">
        <x:v>900</x:v>
      </x:c>
      <x:c r="H2341" t="n">
        <x:f>ROUND(F2341*G2341/100,2)</x:f>
        <x:v>27</x:v>
      </x:c>
      <x:c r="I2341" t="n">
        <x:v>0</x:v>
      </x:c>
      <x:c r="J2341" t="n">
        <x:f>ROUND(F2341*I2341/100,2)</x:f>
        <x:v>0</x:v>
      </x:c>
      <x:c r="K2341" t="n">
        <x:v>0</x:v>
      </x:c>
      <x:c r="L2341" t="n">
        <x:f>ROUND(F2341*K2341/100,2)</x:f>
        <x:v>0</x:v>
      </x:c>
      <x:c r="M2341" t="n">
        <x:v>100</x:v>
      </x:c>
      <x:c r="N2341" t="n">
        <x:f>ROUND(F2341*M2341/100,2)</x:f>
        <x:v>3</x:v>
      </x:c>
      <x:c r="O2341" t="str">
        <x:v>实际用油重</x:v>
      </x:c>
    </x:row>
    <x:row r="2342" ht="23" customHeight="1">
      <x:c r="A2342" t="n">
        <x:v>391</x:v>
      </x:c>
      <x:c r="B2342" t="n">
        <x:v>196</x:v>
      </x:c>
      <x:c r="C2342" t="str">
        <x:v>午餐</x:v>
      </x:c>
      <x:c r="D2342" t="str">
        <x:v>禽肉</x:v>
      </x:c>
      <x:c r="E2342" t="str">
        <x:v>去皮鸡腿肉</x:v>
      </x:c>
      <x:c r="F2342" t="n">
        <x:v>175</x:v>
      </x:c>
      <x:c r="G2342" t="n">
        <x:v>125</x:v>
      </x:c>
      <x:c r="H2342" t="n">
        <x:f>ROUND(F2342*G2342/100,2)</x:f>
        <x:v>218.75</x:v>
      </x:c>
      <x:c r="I2342" t="n">
        <x:v>20</x:v>
      </x:c>
      <x:c r="J2342" t="n">
        <x:f>ROUND(F2342*I2342/100,2)</x:f>
        <x:v>35</x:v>
      </x:c>
      <x:c r="K2342" t="n">
        <x:v>0</x:v>
      </x:c>
      <x:c r="L2342" t="n">
        <x:f>ROUND(F2342*K2342/100,2)</x:f>
        <x:v>0</x:v>
      </x:c>
      <x:c r="M2342" t="n">
        <x:v>5</x:v>
      </x:c>
      <x:c r="N2342" t="n">
        <x:f>ROUND(F2342*M2342/100,2)</x:f>
        <x:v>8.75</x:v>
      </x:c>
      <x:c r="O2342" t="str">
        <x:v>生重</x:v>
      </x:c>
    </x:row>
    <x:row r="2343" ht="23" customHeight="1">
      <x:c r="A2343" t="n">
        <x:v>391</x:v>
      </x:c>
      <x:c r="B2343" t="n">
        <x:v>196</x:v>
      </x:c>
      <x:c r="C2343" t="str">
        <x:v>午餐</x:v>
      </x:c>
      <x:c r="D2343" t="str"/>
      <x:c r="E2343" t="str"/>
      <x:c r="F2343" t="n">
        <x:v>0</x:v>
      </x:c>
      <x:c r="G2343" t="n">
        <x:v>0</x:v>
      </x:c>
      <x:c r="H2343" t="n">
        <x:f>ROUND(F2343*G2343/100,2)</x:f>
        <x:v>0</x:v>
      </x:c>
      <x:c r="I2343" t="n">
        <x:v>0</x:v>
      </x:c>
      <x:c r="J2343" t="n">
        <x:f>ROUND(F2343*I2343/100,2)</x:f>
        <x:v>0</x:v>
      </x:c>
      <x:c r="K2343" t="n">
        <x:v>0</x:v>
      </x:c>
      <x:c r="L2343" t="n">
        <x:f>ROUND(F2343*K2343/100,2)</x:f>
        <x:v>0</x:v>
      </x:c>
      <x:c r="M2343" t="n">
        <x:v>0</x:v>
      </x:c>
      <x:c r="N2343" t="n">
        <x:f>ROUND(F2343*M2343/100,2)</x:f>
        <x:v>0</x:v>
      </x:c>
      <x:c r="O2343" t="str"/>
    </x:row>
    <x:row r="2344" ht="23" customHeight="1">
      <x:c r="A2344" t="n">
        <x:v>391</x:v>
      </x:c>
      <x:c r="B2344" t="n">
        <x:v>196</x:v>
      </x:c>
      <x:c r="C2344" t="str">
        <x:v>午餐</x:v>
      </x:c>
      <x:c r="D2344" t="str">
        <x:v>蔬菜</x:v>
      </x:c>
      <x:c r="E2344" t="str">
        <x:v>紫甘蓝</x:v>
      </x:c>
      <x:c r="F2344" t="n">
        <x:v>160</x:v>
      </x:c>
      <x:c r="G2344" t="n">
        <x:v>31</x:v>
      </x:c>
      <x:c r="H2344" t="n">
        <x:f>ROUND(F2344*G2344/100,2)</x:f>
        <x:v>49.6</x:v>
      </x:c>
      <x:c r="I2344" t="n">
        <x:v>1.4</x:v>
      </x:c>
      <x:c r="J2344" t="n">
        <x:f>ROUND(F2344*I2344/100,2)</x:f>
        <x:v>2.24</x:v>
      </x:c>
      <x:c r="K2344" t="n">
        <x:v>7.3</x:v>
      </x:c>
      <x:c r="L2344" t="n">
        <x:f>ROUND(F2344*K2344/100,2)</x:f>
        <x:v>11.68</x:v>
      </x:c>
      <x:c r="M2344" t="n">
        <x:v>0.1</x:v>
      </x:c>
      <x:c r="N2344" t="n">
        <x:f>ROUND(F2344*M2344/100,2)</x:f>
        <x:v>0.16</x:v>
      </x:c>
      <x:c r="O2344" t="str">
        <x:v>生重</x:v>
      </x:c>
    </x:row>
    <x:row r="2345" ht="23" customHeight="1">
      <x:c r="A2345" t="n">
        <x:v>391</x:v>
      </x:c>
      <x:c r="B2345" t="n">
        <x:v>196</x:v>
      </x:c>
      <x:c r="C2345" t="str">
        <x:v>午餐</x:v>
      </x:c>
      <x:c r="D2345" t="str">
        <x:v>蔬菜</x:v>
      </x:c>
      <x:c r="E2345" t="str">
        <x:v>白萝卜</x:v>
      </x:c>
      <x:c r="F2345" t="n">
        <x:v>110</x:v>
      </x:c>
      <x:c r="G2345" t="n">
        <x:v>18</x:v>
      </x:c>
      <x:c r="H2345" t="n">
        <x:f>ROUND(F2345*G2345/100,2)</x:f>
        <x:v>19.8</x:v>
      </x:c>
      <x:c r="I2345" t="n">
        <x:v>0.6</x:v>
      </x:c>
      <x:c r="J2345" t="n">
        <x:f>ROUND(F2345*I2345/100,2)</x:f>
        <x:v>0.66</x:v>
      </x:c>
      <x:c r="K2345" t="n">
        <x:v>4</x:v>
      </x:c>
      <x:c r="L2345" t="n">
        <x:f>ROUND(F2345*K2345/100,2)</x:f>
        <x:v>4.4</x:v>
      </x:c>
      <x:c r="M2345" t="n">
        <x:v>0.1</x:v>
      </x:c>
      <x:c r="N2345" t="n">
        <x:f>ROUND(F2345*M2345/100,2)</x:f>
        <x:v>0.11</x:v>
      </x:c>
      <x:c r="O2345" t="str">
        <x:v>生重</x:v>
      </x:c>
    </x:row>
    <x:row r="2346" ht="23" customHeight="1">
      <x:c r="A2346" t="n">
        <x:v>391</x:v>
      </x:c>
      <x:c r="B2346" t="n">
        <x:v>196</x:v>
      </x:c>
      <x:c r="C2346" t="str">
        <x:v>午餐</x:v>
      </x:c>
      <x:c r="D2346" t="str">
        <x:v>主食</x:v>
      </x:c>
      <x:c r="E2346" t="str">
        <x:v>米粉</x:v>
      </x:c>
      <x:c r="F2346" t="n">
        <x:v>150</x:v>
      </x:c>
      <x:c r="G2346" t="n">
        <x:v>110</x:v>
      </x:c>
      <x:c r="H2346" t="n">
        <x:f>ROUND(F2346*G2346/100,2)</x:f>
        <x:v>165</x:v>
      </x:c>
      <x:c r="I2346" t="n">
        <x:v>2</x:v>
      </x:c>
      <x:c r="J2346" t="n">
        <x:f>ROUND(F2346*I2346/100,2)</x:f>
        <x:v>3</x:v>
      </x:c>
      <x:c r="K2346" t="n">
        <x:v>24</x:v>
      </x:c>
      <x:c r="L2346" t="n">
        <x:f>ROUND(F2346*K2346/100,2)</x:f>
        <x:v>36</x:v>
      </x:c>
      <x:c r="M2346" t="n">
        <x:v>0.4</x:v>
      </x:c>
      <x:c r="N2346" t="n">
        <x:f>ROUND(F2346*M2346/100,2)</x:f>
        <x:v>0.6</x:v>
      </x:c>
      <x:c r="O2346" t="str">
        <x:v>煮熟沥水重</x:v>
      </x:c>
    </x:row>
    <x:row r="2347" ht="23" customHeight="1">
      <x:c r="A2347" t="n">
        <x:v>391</x:v>
      </x:c>
      <x:c r="B2347" t="n">
        <x:v>196</x:v>
      </x:c>
      <x:c r="C2347" t="str">
        <x:v>午餐</x:v>
      </x:c>
      <x:c r="D2347" t="str">
        <x:v>油脂</x:v>
      </x:c>
      <x:c r="E2347" t="str">
        <x:v>烹调油</x:v>
      </x:c>
      <x:c r="F2347" t="n">
        <x:v>5</x:v>
      </x:c>
      <x:c r="G2347" t="n">
        <x:v>900</x:v>
      </x:c>
      <x:c r="H2347" t="n">
        <x:f>ROUND(F2347*G2347/100,2)</x:f>
        <x:v>45</x:v>
      </x:c>
      <x:c r="I2347" t="n">
        <x:v>0</x:v>
      </x:c>
      <x:c r="J2347" t="n">
        <x:f>ROUND(F2347*I2347/100,2)</x:f>
        <x:v>0</x:v>
      </x:c>
      <x:c r="K2347" t="n">
        <x:v>0</x:v>
      </x:c>
      <x:c r="L2347" t="n">
        <x:f>ROUND(F2347*K2347/100,2)</x:f>
        <x:v>0</x:v>
      </x:c>
      <x:c r="M2347" t="n">
        <x:v>100</x:v>
      </x:c>
      <x:c r="N2347" t="n">
        <x:f>ROUND(F2347*M2347/100,2)</x:f>
        <x:v>5</x:v>
      </x:c>
      <x:c r="O2347" t="str">
        <x:v>实际用油重</x:v>
      </x:c>
    </x:row>
    <x:row r="2348" ht="23" customHeight="1">
      <x:c r="A2348" t="n">
        <x:v>392</x:v>
      </x:c>
      <x:c r="B2348" t="n">
        <x:v>196</x:v>
      </x:c>
      <x:c r="C2348" t="str">
        <x:v>晚餐</x:v>
      </x:c>
      <x:c r="D2348" t="str">
        <x:v>豆蛋</x:v>
      </x:c>
      <x:c r="E2348" t="str">
        <x:v>北豆腐</x:v>
      </x:c>
      <x:c r="F2348" t="n">
        <x:v>260</x:v>
      </x:c>
      <x:c r="G2348" t="n">
        <x:v>90</x:v>
      </x:c>
      <x:c r="H2348" t="n">
        <x:f>ROUND(F2348*G2348/100,2)</x:f>
        <x:v>234</x:v>
      </x:c>
      <x:c r="I2348" t="n">
        <x:v>10</x:v>
      </x:c>
      <x:c r="J2348" t="n">
        <x:f>ROUND(F2348*I2348/100,2)</x:f>
        <x:v>26</x:v>
      </x:c>
      <x:c r="K2348" t="n">
        <x:v>2</x:v>
      </x:c>
      <x:c r="L2348" t="n">
        <x:f>ROUND(F2348*K2348/100,2)</x:f>
        <x:v>5.2</x:v>
      </x:c>
      <x:c r="M2348" t="n">
        <x:v>5</x:v>
      </x:c>
      <x:c r="N2348" t="n">
        <x:f>ROUND(F2348*M2348/100,2)</x:f>
        <x:v>13</x:v>
      </x:c>
      <x:c r="O2348" t="str">
        <x:v>净重</x:v>
      </x:c>
    </x:row>
    <x:row r="2349" ht="23" customHeight="1">
      <x:c r="A2349" t="n">
        <x:v>392</x:v>
      </x:c>
      <x:c r="B2349" t="n">
        <x:v>196</x:v>
      </x:c>
      <x:c r="C2349" t="str">
        <x:v>晚餐</x:v>
      </x:c>
      <x:c r="D2349" t="str">
        <x:v>豆蛋</x:v>
      </x:c>
      <x:c r="E2349" t="str">
        <x:v>鸡蛋</x:v>
      </x:c>
      <x:c r="F2349" t="n">
        <x:v>60</x:v>
      </x:c>
      <x:c r="G2349" t="n">
        <x:v>144</x:v>
      </x:c>
      <x:c r="H2349" t="n">
        <x:f>ROUND(F2349*G2349/100,2)</x:f>
        <x:v>86.4</x:v>
      </x:c>
      <x:c r="I2349" t="n">
        <x:v>13</x:v>
      </x:c>
      <x:c r="J2349" t="n">
        <x:f>ROUND(F2349*I2349/100,2)</x:f>
        <x:v>7.8</x:v>
      </x:c>
      <x:c r="K2349" t="n">
        <x:v>1.1</x:v>
      </x:c>
      <x:c r="L2349" t="n">
        <x:f>ROUND(F2349*K2349/100,2)</x:f>
        <x:v>0.66</x:v>
      </x:c>
      <x:c r="M2349" t="n">
        <x:v>10</x:v>
      </x:c>
      <x:c r="N2349" t="n">
        <x:f>ROUND(F2349*M2349/100,2)</x:f>
        <x:v>6</x:v>
      </x:c>
      <x:c r="O2349" t="str">
        <x:v>去壳可食重</x:v>
      </x:c>
    </x:row>
    <x:row r="2350" ht="23" customHeight="1">
      <x:c r="A2350" t="n">
        <x:v>392</x:v>
      </x:c>
      <x:c r="B2350" t="n">
        <x:v>196</x:v>
      </x:c>
      <x:c r="C2350" t="str">
        <x:v>晚餐</x:v>
      </x:c>
      <x:c r="D2350" t="str">
        <x:v>蔬菜</x:v>
      </x:c>
      <x:c r="E2350" t="str">
        <x:v>菜心</x:v>
      </x:c>
      <x:c r="F2350" t="n">
        <x:v>175</x:v>
      </x:c>
      <x:c r="G2350" t="n">
        <x:v>20</x:v>
      </x:c>
      <x:c r="H2350" t="n">
        <x:f>ROUND(F2350*G2350/100,2)</x:f>
        <x:v>35</x:v>
      </x:c>
      <x:c r="I2350" t="n">
        <x:v>2</x:v>
      </x:c>
      <x:c r="J2350" t="n">
        <x:f>ROUND(F2350*I2350/100,2)</x:f>
        <x:v>3.5</x:v>
      </x:c>
      <x:c r="K2350" t="n">
        <x:v>3.5</x:v>
      </x:c>
      <x:c r="L2350" t="n">
        <x:f>ROUND(F2350*K2350/100,2)</x:f>
        <x:v>6.13</x:v>
      </x:c>
      <x:c r="M2350" t="n">
        <x:v>0.3</x:v>
      </x:c>
      <x:c r="N2350" t="n">
        <x:f>ROUND(F2350*M2350/100,2)</x:f>
        <x:v>0.53</x:v>
      </x:c>
      <x:c r="O2350" t="str">
        <x:v>生重</x:v>
      </x:c>
    </x:row>
    <x:row r="2351" ht="23" customHeight="1">
      <x:c r="A2351" t="n">
        <x:v>392</x:v>
      </x:c>
      <x:c r="B2351" t="n">
        <x:v>196</x:v>
      </x:c>
      <x:c r="C2351" t="str">
        <x:v>晚餐</x:v>
      </x:c>
      <x:c r="D2351" t="str">
        <x:v>蔬菜</x:v>
      </x:c>
      <x:c r="E2351" t="str">
        <x:v>紫甘蓝</x:v>
      </x:c>
      <x:c r="F2351" t="n">
        <x:v>110</x:v>
      </x:c>
      <x:c r="G2351" t="n">
        <x:v>31</x:v>
      </x:c>
      <x:c r="H2351" t="n">
        <x:f>ROUND(F2351*G2351/100,2)</x:f>
        <x:v>34.1</x:v>
      </x:c>
      <x:c r="I2351" t="n">
        <x:v>1.4</x:v>
      </x:c>
      <x:c r="J2351" t="n">
        <x:f>ROUND(F2351*I2351/100,2)</x:f>
        <x:v>1.54</x:v>
      </x:c>
      <x:c r="K2351" t="n">
        <x:v>7.3</x:v>
      </x:c>
      <x:c r="L2351" t="n">
        <x:f>ROUND(F2351*K2351/100,2)</x:f>
        <x:v>8.03</x:v>
      </x:c>
      <x:c r="M2351" t="n">
        <x:v>0.1</x:v>
      </x:c>
      <x:c r="N2351" t="n">
        <x:f>ROUND(F2351*M2351/100,2)</x:f>
        <x:v>0.11</x:v>
      </x:c>
      <x:c r="O2351" t="str">
        <x:v>生重</x:v>
      </x:c>
    </x:row>
    <x:row r="2352" ht="23" customHeight="1">
      <x:c r="A2352" t="n">
        <x:v>392</x:v>
      </x:c>
      <x:c r="B2352" t="n">
        <x:v>196</x:v>
      </x:c>
      <x:c r="C2352" t="str">
        <x:v>晚餐</x:v>
      </x:c>
      <x:c r="D2352" t="str">
        <x:v>主食</x:v>
      </x:c>
      <x:c r="E2352" t="str">
        <x:v>荞麦饭</x:v>
      </x:c>
      <x:c r="F2352" t="n">
        <x:v>95</x:v>
      </x:c>
      <x:c r="G2352" t="n">
        <x:v>110</x:v>
      </x:c>
      <x:c r="H2352" t="n">
        <x:f>ROUND(F2352*G2352/100,2)</x:f>
        <x:v>104.5</x:v>
      </x:c>
      <x:c r="I2352" t="n">
        <x:v>3.4</x:v>
      </x:c>
      <x:c r="J2352" t="n">
        <x:f>ROUND(F2352*I2352/100,2)</x:f>
        <x:v>3.23</x:v>
      </x:c>
      <x:c r="K2352" t="n">
        <x:v>22</x:v>
      </x:c>
      <x:c r="L2352" t="n">
        <x:f>ROUND(F2352*K2352/100,2)</x:f>
        <x:v>20.9</x:v>
      </x:c>
      <x:c r="M2352" t="n">
        <x:v>1.1</x:v>
      </x:c>
      <x:c r="N2352" t="n">
        <x:f>ROUND(F2352*M2352/100,2)</x:f>
        <x:v>1.05</x:v>
      </x:c>
      <x:c r="O2352" t="str">
        <x:v>熟重</x:v>
      </x:c>
    </x:row>
    <x:row r="2353" ht="23" customHeight="1">
      <x:c r="A2353" t="n">
        <x:v>392</x:v>
      </x:c>
      <x:c r="B2353" t="n">
        <x:v>196</x:v>
      </x:c>
      <x:c r="C2353" t="str">
        <x:v>晚餐</x:v>
      </x:c>
      <x:c r="D2353" t="str">
        <x:v>油脂</x:v>
      </x:c>
      <x:c r="E2353" t="str">
        <x:v>烹调油</x:v>
      </x:c>
      <x:c r="F2353" t="n">
        <x:v>4</x:v>
      </x:c>
      <x:c r="G2353" t="n">
        <x:v>900</x:v>
      </x:c>
      <x:c r="H2353" t="n">
        <x:f>ROUND(F2353*G2353/100,2)</x:f>
        <x:v>36</x:v>
      </x:c>
      <x:c r="I2353" t="n">
        <x:v>0</x:v>
      </x:c>
      <x:c r="J2353" t="n">
        <x:f>ROUND(F2353*I2353/100,2)</x:f>
        <x:v>0</x:v>
      </x:c>
      <x:c r="K2353" t="n">
        <x:v>0</x:v>
      </x:c>
      <x:c r="L2353" t="n">
        <x:f>ROUND(F2353*K2353/100,2)</x:f>
        <x:v>0</x:v>
      </x:c>
      <x:c r="M2353" t="n">
        <x:v>100</x:v>
      </x:c>
      <x:c r="N2353" t="n">
        <x:f>ROUND(F2353*M2353/100,2)</x:f>
        <x:v>4</x:v>
      </x:c>
      <x:c r="O2353" t="str">
        <x:v>实际用油重</x:v>
      </x:c>
    </x:row>
    <x:row r="2354" ht="23" customHeight="1">
      <x:c r="A2354" t="n">
        <x:v>393</x:v>
      </x:c>
      <x:c r="B2354" t="n">
        <x:v>197</x:v>
      </x:c>
      <x:c r="C2354" t="str">
        <x:v>午餐</x:v>
      </x:c>
      <x:c r="D2354" t="str">
        <x:v>海鲜</x:v>
      </x:c>
      <x:c r="E2354" t="str">
        <x:v>鱿鱼</x:v>
      </x:c>
      <x:c r="F2354" t="n">
        <x:v>190</x:v>
      </x:c>
      <x:c r="G2354" t="n">
        <x:v>95</x:v>
      </x:c>
      <x:c r="H2354" t="n">
        <x:f>ROUND(F2354*G2354/100,2)</x:f>
        <x:v>180.5</x:v>
      </x:c>
      <x:c r="I2354" t="n">
        <x:v>17</x:v>
      </x:c>
      <x:c r="J2354" t="n">
        <x:f>ROUND(F2354*I2354/100,2)</x:f>
        <x:v>32.3</x:v>
      </x:c>
      <x:c r="K2354" t="n">
        <x:v>2</x:v>
      </x:c>
      <x:c r="L2354" t="n">
        <x:f>ROUND(F2354*K2354/100,2)</x:f>
        <x:v>3.8</x:v>
      </x:c>
      <x:c r="M2354" t="n">
        <x:v>1.4</x:v>
      </x:c>
      <x:c r="N2354" t="n">
        <x:f>ROUND(F2354*M2354/100,2)</x:f>
        <x:v>2.66</x:v>
      </x:c>
      <x:c r="O2354" t="str">
        <x:v>生重</x:v>
      </x:c>
    </x:row>
    <x:row r="2355" ht="23" customHeight="1">
      <x:c r="A2355" t="n">
        <x:v>393</x:v>
      </x:c>
      <x:c r="B2355" t="n">
        <x:v>197</x:v>
      </x:c>
      <x:c r="C2355" t="str">
        <x:v>午餐</x:v>
      </x:c>
      <x:c r="D2355" t="str"/>
      <x:c r="E2355" t="str"/>
      <x:c r="F2355" t="n">
        <x:v>0</x:v>
      </x:c>
      <x:c r="G2355" t="n">
        <x:v>0</x:v>
      </x:c>
      <x:c r="H2355" t="n">
        <x:f>ROUND(F2355*G2355/100,2)</x:f>
        <x:v>0</x:v>
      </x:c>
      <x:c r="I2355" t="n">
        <x:v>0</x:v>
      </x:c>
      <x:c r="J2355" t="n">
        <x:f>ROUND(F2355*I2355/100,2)</x:f>
        <x:v>0</x:v>
      </x:c>
      <x:c r="K2355" t="n">
        <x:v>0</x:v>
      </x:c>
      <x:c r="L2355" t="n">
        <x:f>ROUND(F2355*K2355/100,2)</x:f>
        <x:v>0</x:v>
      </x:c>
      <x:c r="M2355" t="n">
        <x:v>0</x:v>
      </x:c>
      <x:c r="N2355" t="n">
        <x:f>ROUND(F2355*M2355/100,2)</x:f>
        <x:v>0</x:v>
      </x:c>
      <x:c r="O2355" t="str"/>
    </x:row>
    <x:row r="2356" ht="23" customHeight="1">
      <x:c r="A2356" t="n">
        <x:v>393</x:v>
      </x:c>
      <x:c r="B2356" t="n">
        <x:v>197</x:v>
      </x:c>
      <x:c r="C2356" t="str">
        <x:v>午餐</x:v>
      </x:c>
      <x:c r="D2356" t="str">
        <x:v>蔬菜</x:v>
      </x:c>
      <x:c r="E2356" t="str">
        <x:v>芦笋</x:v>
      </x:c>
      <x:c r="F2356" t="n">
        <x:v>175</x:v>
      </x:c>
      <x:c r="G2356" t="n">
        <x:v>20</x:v>
      </x:c>
      <x:c r="H2356" t="n">
        <x:f>ROUND(F2356*G2356/100,2)</x:f>
        <x:v>35</x:v>
      </x:c>
      <x:c r="I2356" t="n">
        <x:v>2.2</x:v>
      </x:c>
      <x:c r="J2356" t="n">
        <x:f>ROUND(F2356*I2356/100,2)</x:f>
        <x:v>3.85</x:v>
      </x:c>
      <x:c r="K2356" t="n">
        <x:v>3.9</x:v>
      </x:c>
      <x:c r="L2356" t="n">
        <x:f>ROUND(F2356*K2356/100,2)</x:f>
        <x:v>6.83</x:v>
      </x:c>
      <x:c r="M2356" t="n">
        <x:v>0.1</x:v>
      </x:c>
      <x:c r="N2356" t="n">
        <x:f>ROUND(F2356*M2356/100,2)</x:f>
        <x:v>0.18</x:v>
      </x:c>
      <x:c r="O2356" t="str">
        <x:v>生重</x:v>
      </x:c>
    </x:row>
    <x:row r="2357" ht="23" customHeight="1">
      <x:c r="A2357" t="n">
        <x:v>393</x:v>
      </x:c>
      <x:c r="B2357" t="n">
        <x:v>197</x:v>
      </x:c>
      <x:c r="C2357" t="str">
        <x:v>午餐</x:v>
      </x:c>
      <x:c r="D2357" t="str">
        <x:v>菌菇</x:v>
      </x:c>
      <x:c r="E2357" t="str">
        <x:v>金针菇</x:v>
      </x:c>
      <x:c r="F2357" t="n">
        <x:v>155</x:v>
      </x:c>
      <x:c r="G2357" t="n">
        <x:v>32</x:v>
      </x:c>
      <x:c r="H2357" t="n">
        <x:f>ROUND(F2357*G2357/100,2)</x:f>
        <x:v>49.6</x:v>
      </x:c>
      <x:c r="I2357" t="n">
        <x:v>2.4</x:v>
      </x:c>
      <x:c r="J2357" t="n">
        <x:f>ROUND(F2357*I2357/100,2)</x:f>
        <x:v>3.72</x:v>
      </x:c>
      <x:c r="K2357" t="n">
        <x:v>6.4</x:v>
      </x:c>
      <x:c r="L2357" t="n">
        <x:f>ROUND(F2357*K2357/100,2)</x:f>
        <x:v>9.92</x:v>
      </x:c>
      <x:c r="M2357" t="n">
        <x:v>0.2</x:v>
      </x:c>
      <x:c r="N2357" t="n">
        <x:f>ROUND(F2357*M2357/100,2)</x:f>
        <x:v>0.31</x:v>
      </x:c>
      <x:c r="O2357" t="str">
        <x:v>生重</x:v>
      </x:c>
    </x:row>
    <x:row r="2358" ht="23" customHeight="1">
      <x:c r="A2358" t="n">
        <x:v>393</x:v>
      </x:c>
      <x:c r="B2358" t="n">
        <x:v>197</x:v>
      </x:c>
      <x:c r="C2358" t="str">
        <x:v>午餐</x:v>
      </x:c>
      <x:c r="D2358" t="str">
        <x:v>主食</x:v>
      </x:c>
      <x:c r="E2358" t="str">
        <x:v>杂粮饭</x:v>
      </x:c>
      <x:c r="F2358" t="n">
        <x:v>135</x:v>
      </x:c>
      <x:c r="G2358" t="n">
        <x:v>115</x:v>
      </x:c>
      <x:c r="H2358" t="n">
        <x:f>ROUND(F2358*G2358/100,2)</x:f>
        <x:v>155.25</x:v>
      </x:c>
      <x:c r="I2358" t="n">
        <x:v>3.1</x:v>
      </x:c>
      <x:c r="J2358" t="n">
        <x:f>ROUND(F2358*I2358/100,2)</x:f>
        <x:v>4.18</x:v>
      </x:c>
      <x:c r="K2358" t="n">
        <x:v>23.5</x:v>
      </x:c>
      <x:c r="L2358" t="n">
        <x:f>ROUND(F2358*K2358/100,2)</x:f>
        <x:v>31.73</x:v>
      </x:c>
      <x:c r="M2358" t="n">
        <x:v>1.1</x:v>
      </x:c>
      <x:c r="N2358" t="n">
        <x:f>ROUND(F2358*M2358/100,2)</x:f>
        <x:v>1.49</x:v>
      </x:c>
      <x:c r="O2358" t="str">
        <x:v>熟重</x:v>
      </x:c>
    </x:row>
    <x:row r="2359" ht="23" customHeight="1">
      <x:c r="A2359" t="n">
        <x:v>393</x:v>
      </x:c>
      <x:c r="B2359" t="n">
        <x:v>197</x:v>
      </x:c>
      <x:c r="C2359" t="str">
        <x:v>午餐</x:v>
      </x:c>
      <x:c r="D2359" t="str">
        <x:v>油脂</x:v>
      </x:c>
      <x:c r="E2359" t="str">
        <x:v>烹调油</x:v>
      </x:c>
      <x:c r="F2359" t="n">
        <x:v>6</x:v>
      </x:c>
      <x:c r="G2359" t="n">
        <x:v>900</x:v>
      </x:c>
      <x:c r="H2359" t="n">
        <x:f>ROUND(F2359*G2359/100,2)</x:f>
        <x:v>54</x:v>
      </x:c>
      <x:c r="I2359" t="n">
        <x:v>0</x:v>
      </x:c>
      <x:c r="J2359" t="n">
        <x:f>ROUND(F2359*I2359/100,2)</x:f>
        <x:v>0</x:v>
      </x:c>
      <x:c r="K2359" t="n">
        <x:v>0</x:v>
      </x:c>
      <x:c r="L2359" t="n">
        <x:f>ROUND(F2359*K2359/100,2)</x:f>
        <x:v>0</x:v>
      </x:c>
      <x:c r="M2359" t="n">
        <x:v>100</x:v>
      </x:c>
      <x:c r="N2359" t="n">
        <x:f>ROUND(F2359*M2359/100,2)</x:f>
        <x:v>6</x:v>
      </x:c>
      <x:c r="O2359" t="str">
        <x:v>实际用油重</x:v>
      </x:c>
    </x:row>
    <x:row r="2360" ht="23" customHeight="1">
      <x:c r="A2360" t="n">
        <x:v>394</x:v>
      </x:c>
      <x:c r="B2360" t="n">
        <x:v>197</x:v>
      </x:c>
      <x:c r="C2360" t="str">
        <x:v>晚餐</x:v>
      </x:c>
      <x:c r="D2360" t="str">
        <x:v>牛肉</x:v>
      </x:c>
      <x:c r="E2360" t="str">
        <x:v>瘦牛肉</x:v>
      </x:c>
      <x:c r="F2360" t="n">
        <x:v>160</x:v>
      </x:c>
      <x:c r="G2360" t="n">
        <x:v>125</x:v>
      </x:c>
      <x:c r="H2360" t="n">
        <x:f>ROUND(F2360*G2360/100,2)</x:f>
        <x:v>200</x:v>
      </x:c>
      <x:c r="I2360" t="n">
        <x:v>21</x:v>
      </x:c>
      <x:c r="J2360" t="n">
        <x:f>ROUND(F2360*I2360/100,2)</x:f>
        <x:v>33.6</x:v>
      </x:c>
      <x:c r="K2360" t="n">
        <x:v>0</x:v>
      </x:c>
      <x:c r="L2360" t="n">
        <x:f>ROUND(F2360*K2360/100,2)</x:f>
        <x:v>0</x:v>
      </x:c>
      <x:c r="M2360" t="n">
        <x:v>4</x:v>
      </x:c>
      <x:c r="N2360" t="n">
        <x:f>ROUND(F2360*M2360/100,2)</x:f>
        <x:v>6.4</x:v>
      </x:c>
      <x:c r="O2360" t="str">
        <x:v>生重</x:v>
      </x:c>
    </x:row>
    <x:row r="2361" ht="23" customHeight="1">
      <x:c r="A2361" t="n">
        <x:v>394</x:v>
      </x:c>
      <x:c r="B2361" t="n">
        <x:v>197</x:v>
      </x:c>
      <x:c r="C2361" t="str">
        <x:v>晚餐</x:v>
      </x:c>
      <x:c r="D2361" t="str"/>
      <x:c r="E2361" t="str"/>
      <x:c r="F2361" t="n">
        <x:v>0</x:v>
      </x:c>
      <x:c r="G2361" t="n">
        <x:v>0</x:v>
      </x:c>
      <x:c r="H2361" t="n">
        <x:f>ROUND(F2361*G2361/100,2)</x:f>
        <x:v>0</x:v>
      </x:c>
      <x:c r="I2361" t="n">
        <x:v>0</x:v>
      </x:c>
      <x:c r="J2361" t="n">
        <x:f>ROUND(F2361*I2361/100,2)</x:f>
        <x:v>0</x:v>
      </x:c>
      <x:c r="K2361" t="n">
        <x:v>0</x:v>
      </x:c>
      <x:c r="L2361" t="n">
        <x:f>ROUND(F2361*K2361/100,2)</x:f>
        <x:v>0</x:v>
      </x:c>
      <x:c r="M2361" t="n">
        <x:v>0</x:v>
      </x:c>
      <x:c r="N2361" t="n">
        <x:f>ROUND(F2361*M2361/100,2)</x:f>
        <x:v>0</x:v>
      </x:c>
      <x:c r="O2361" t="str"/>
    </x:row>
    <x:row r="2362" ht="23" customHeight="1">
      <x:c r="A2362" t="n">
        <x:v>394</x:v>
      </x:c>
      <x:c r="B2362" t="n">
        <x:v>197</x:v>
      </x:c>
      <x:c r="C2362" t="str">
        <x:v>晚餐</x:v>
      </x:c>
      <x:c r="D2362" t="str">
        <x:v>蔬菜</x:v>
      </x:c>
      <x:c r="E2362" t="str">
        <x:v>西葫芦</x:v>
      </x:c>
      <x:c r="F2362" t="n">
        <x:v>175</x:v>
      </x:c>
      <x:c r="G2362" t="n">
        <x:v>17</x:v>
      </x:c>
      <x:c r="H2362" t="n">
        <x:f>ROUND(F2362*G2362/100,2)</x:f>
        <x:v>29.75</x:v>
      </x:c>
      <x:c r="I2362" t="n">
        <x:v>1.2</x:v>
      </x:c>
      <x:c r="J2362" t="n">
        <x:f>ROUND(F2362*I2362/100,2)</x:f>
        <x:v>2.1</x:v>
      </x:c>
      <x:c r="K2362" t="n">
        <x:v>3.1</x:v>
      </x:c>
      <x:c r="L2362" t="n">
        <x:f>ROUND(F2362*K2362/100,2)</x:f>
        <x:v>5.43</x:v>
      </x:c>
      <x:c r="M2362" t="n">
        <x:v>0.3</x:v>
      </x:c>
      <x:c r="N2362" t="n">
        <x:f>ROUND(F2362*M2362/100,2)</x:f>
        <x:v>0.53</x:v>
      </x:c>
      <x:c r="O2362" t="str">
        <x:v>生重</x:v>
      </x:c>
    </x:row>
    <x:row r="2363" ht="23" customHeight="1">
      <x:c r="A2363" t="n">
        <x:v>394</x:v>
      </x:c>
      <x:c r="B2363" t="n">
        <x:v>197</x:v>
      </x:c>
      <x:c r="C2363" t="str">
        <x:v>晚餐</x:v>
      </x:c>
      <x:c r="D2363" t="str">
        <x:v>菌菇</x:v>
      </x:c>
      <x:c r="E2363" t="str">
        <x:v>香菇</x:v>
      </x:c>
      <x:c r="F2363" t="n">
        <x:v>110</x:v>
      </x:c>
      <x:c r="G2363" t="n">
        <x:v>34</x:v>
      </x:c>
      <x:c r="H2363" t="n">
        <x:f>ROUND(F2363*G2363/100,2)</x:f>
        <x:v>37.4</x:v>
      </x:c>
      <x:c r="I2363" t="n">
        <x:v>2.2</x:v>
      </x:c>
      <x:c r="J2363" t="n">
        <x:f>ROUND(F2363*I2363/100,2)</x:f>
        <x:v>2.42</x:v>
      </x:c>
      <x:c r="K2363" t="n">
        <x:v>6.8</x:v>
      </x:c>
      <x:c r="L2363" t="n">
        <x:f>ROUND(F2363*K2363/100,2)</x:f>
        <x:v>7.48</x:v>
      </x:c>
      <x:c r="M2363" t="n">
        <x:v>0.5</x:v>
      </x:c>
      <x:c r="N2363" t="n">
        <x:f>ROUND(F2363*M2363/100,2)</x:f>
        <x:v>0.55</x:v>
      </x:c>
      <x:c r="O2363" t="str">
        <x:v>生重</x:v>
      </x:c>
    </x:row>
    <x:row r="2364" ht="23" customHeight="1">
      <x:c r="A2364" t="n">
        <x:v>394</x:v>
      </x:c>
      <x:c r="B2364" t="n">
        <x:v>197</x:v>
      </x:c>
      <x:c r="C2364" t="str">
        <x:v>晚餐</x:v>
      </x:c>
      <x:c r="D2364" t="str">
        <x:v>主食</x:v>
      </x:c>
      <x:c r="E2364" t="str">
        <x:v>燕麦饭</x:v>
      </x:c>
      <x:c r="F2364" t="n">
        <x:v>80</x:v>
      </x:c>
      <x:c r="G2364" t="n">
        <x:v>110</x:v>
      </x:c>
      <x:c r="H2364" t="n">
        <x:f>ROUND(F2364*G2364/100,2)</x:f>
        <x:v>88</x:v>
      </x:c>
      <x:c r="I2364" t="n">
        <x:v>3.2</x:v>
      </x:c>
      <x:c r="J2364" t="n">
        <x:f>ROUND(F2364*I2364/100,2)</x:f>
        <x:v>2.56</x:v>
      </x:c>
      <x:c r="K2364" t="n">
        <x:v>21</x:v>
      </x:c>
      <x:c r="L2364" t="n">
        <x:f>ROUND(F2364*K2364/100,2)</x:f>
        <x:v>16.8</x:v>
      </x:c>
      <x:c r="M2364" t="n">
        <x:v>1.8</x:v>
      </x:c>
      <x:c r="N2364" t="n">
        <x:f>ROUND(F2364*M2364/100,2)</x:f>
        <x:v>1.44</x:v>
      </x:c>
      <x:c r="O2364" t="str">
        <x:v>熟重</x:v>
      </x:c>
    </x:row>
    <x:row r="2365" ht="23" customHeight="1">
      <x:c r="A2365" t="n">
        <x:v>394</x:v>
      </x:c>
      <x:c r="B2365" t="n">
        <x:v>197</x:v>
      </x:c>
      <x:c r="C2365" t="str">
        <x:v>晚餐</x:v>
      </x:c>
      <x:c r="D2365" t="str">
        <x:v>油脂</x:v>
      </x:c>
      <x:c r="E2365" t="str">
        <x:v>烹调油</x:v>
      </x:c>
      <x:c r="F2365" t="n">
        <x:v>5</x:v>
      </x:c>
      <x:c r="G2365" t="n">
        <x:v>900</x:v>
      </x:c>
      <x:c r="H2365" t="n">
        <x:f>ROUND(F2365*G2365/100,2)</x:f>
        <x:v>45</x:v>
      </x:c>
      <x:c r="I2365" t="n">
        <x:v>0</x:v>
      </x:c>
      <x:c r="J2365" t="n">
        <x:f>ROUND(F2365*I2365/100,2)</x:f>
        <x:v>0</x:v>
      </x:c>
      <x:c r="K2365" t="n">
        <x:v>0</x:v>
      </x:c>
      <x:c r="L2365" t="n">
        <x:f>ROUND(F2365*K2365/100,2)</x:f>
        <x:v>0</x:v>
      </x:c>
      <x:c r="M2365" t="n">
        <x:v>100</x:v>
      </x:c>
      <x:c r="N2365" t="n">
        <x:f>ROUND(F2365*M2365/100,2)</x:f>
        <x:v>5</x:v>
      </x:c>
      <x:c r="O2365" t="str">
        <x:v>实际用油重</x:v>
      </x:c>
    </x:row>
    <x:row r="2366" ht="23" customHeight="1">
      <x:c r="A2366" t="n">
        <x:v>395</x:v>
      </x:c>
      <x:c r="B2366" t="n">
        <x:v>198</x:v>
      </x:c>
      <x:c r="C2366" t="str">
        <x:v>午餐</x:v>
      </x:c>
      <x:c r="D2366" t="str">
        <x:v>猪肉</x:v>
      </x:c>
      <x:c r="E2366" t="str">
        <x:v>猪里脊</x:v>
      </x:c>
      <x:c r="F2366" t="n">
        <x:v>155</x:v>
      </x:c>
      <x:c r="G2366" t="n">
        <x:v>120</x:v>
      </x:c>
      <x:c r="H2366" t="n">
        <x:f>ROUND(F2366*G2366/100,2)</x:f>
        <x:v>186</x:v>
      </x:c>
      <x:c r="I2366" t="n">
        <x:v>21</x:v>
      </x:c>
      <x:c r="J2366" t="n">
        <x:f>ROUND(F2366*I2366/100,2)</x:f>
        <x:v>32.55</x:v>
      </x:c>
      <x:c r="K2366" t="n">
        <x:v>0</x:v>
      </x:c>
      <x:c r="L2366" t="n">
        <x:f>ROUND(F2366*K2366/100,2)</x:f>
        <x:v>0</x:v>
      </x:c>
      <x:c r="M2366" t="n">
        <x:v>3.5</x:v>
      </x:c>
      <x:c r="N2366" t="n">
        <x:f>ROUND(F2366*M2366/100,2)</x:f>
        <x:v>5.43</x:v>
      </x:c>
      <x:c r="O2366" t="str">
        <x:v>生重</x:v>
      </x:c>
    </x:row>
    <x:row r="2367" ht="23" customHeight="1">
      <x:c r="A2367" t="n">
        <x:v>395</x:v>
      </x:c>
      <x:c r="B2367" t="n">
        <x:v>198</x:v>
      </x:c>
      <x:c r="C2367" t="str">
        <x:v>午餐</x:v>
      </x:c>
      <x:c r="D2367" t="str"/>
      <x:c r="E2367" t="str"/>
      <x:c r="F2367" t="n">
        <x:v>0</x:v>
      </x:c>
      <x:c r="G2367" t="n">
        <x:v>0</x:v>
      </x:c>
      <x:c r="H2367" t="n">
        <x:f>ROUND(F2367*G2367/100,2)</x:f>
        <x:v>0</x:v>
      </x:c>
      <x:c r="I2367" t="n">
        <x:v>0</x:v>
      </x:c>
      <x:c r="J2367" t="n">
        <x:f>ROUND(F2367*I2367/100,2)</x:f>
        <x:v>0</x:v>
      </x:c>
      <x:c r="K2367" t="n">
        <x:v>0</x:v>
      </x:c>
      <x:c r="L2367" t="n">
        <x:f>ROUND(F2367*K2367/100,2)</x:f>
        <x:v>0</x:v>
      </x:c>
      <x:c r="M2367" t="n">
        <x:v>0</x:v>
      </x:c>
      <x:c r="N2367" t="n">
        <x:f>ROUND(F2367*M2367/100,2)</x:f>
        <x:v>0</x:v>
      </x:c>
      <x:c r="O2367" t="str"/>
    </x:row>
    <x:row r="2368" ht="23" customHeight="1">
      <x:c r="A2368" t="n">
        <x:v>395</x:v>
      </x:c>
      <x:c r="B2368" t="n">
        <x:v>198</x:v>
      </x:c>
      <x:c r="C2368" t="str">
        <x:v>午餐</x:v>
      </x:c>
      <x:c r="D2368" t="str">
        <x:v>蔬菜</x:v>
      </x:c>
      <x:c r="E2368" t="str">
        <x:v>荷兰豆</x:v>
      </x:c>
      <x:c r="F2368" t="n">
        <x:v>160</x:v>
      </x:c>
      <x:c r="G2368" t="n">
        <x:v>42</x:v>
      </x:c>
      <x:c r="H2368" t="n">
        <x:f>ROUND(F2368*G2368/100,2)</x:f>
        <x:v>67.2</x:v>
      </x:c>
      <x:c r="I2368" t="n">
        <x:v>2.8</x:v>
      </x:c>
      <x:c r="J2368" t="n">
        <x:f>ROUND(F2368*I2368/100,2)</x:f>
        <x:v>4.48</x:v>
      </x:c>
      <x:c r="K2368" t="n">
        <x:v>7.5</x:v>
      </x:c>
      <x:c r="L2368" t="n">
        <x:f>ROUND(F2368*K2368/100,2)</x:f>
        <x:v>12</x:v>
      </x:c>
      <x:c r="M2368" t="n">
        <x:v>0.3</x:v>
      </x:c>
      <x:c r="N2368" t="n">
        <x:f>ROUND(F2368*M2368/100,2)</x:f>
        <x:v>0.48</x:v>
      </x:c>
      <x:c r="O2368" t="str">
        <x:v>生重</x:v>
      </x:c>
    </x:row>
    <x:row r="2369" ht="23" customHeight="1">
      <x:c r="A2369" t="n">
        <x:v>395</x:v>
      </x:c>
      <x:c r="B2369" t="n">
        <x:v>198</x:v>
      </x:c>
      <x:c r="C2369" t="str">
        <x:v>午餐</x:v>
      </x:c>
      <x:c r="D2369" t="str">
        <x:v>蔬菜</x:v>
      </x:c>
      <x:c r="E2369" t="str">
        <x:v>胡萝卜</x:v>
      </x:c>
      <x:c r="F2369" t="n">
        <x:v>110</x:v>
      </x:c>
      <x:c r="G2369" t="n">
        <x:v>41</x:v>
      </x:c>
      <x:c r="H2369" t="n">
        <x:f>ROUND(F2369*G2369/100,2)</x:f>
        <x:v>45.1</x:v>
      </x:c>
      <x:c r="I2369" t="n">
        <x:v>0.9</x:v>
      </x:c>
      <x:c r="J2369" t="n">
        <x:f>ROUND(F2369*I2369/100,2)</x:f>
        <x:v>0.99</x:v>
      </x:c>
      <x:c r="K2369" t="n">
        <x:v>10</x:v>
      </x:c>
      <x:c r="L2369" t="n">
        <x:f>ROUND(F2369*K2369/100,2)</x:f>
        <x:v>11</x:v>
      </x:c>
      <x:c r="M2369" t="n">
        <x:v>0.2</x:v>
      </x:c>
      <x:c r="N2369" t="n">
        <x:f>ROUND(F2369*M2369/100,2)</x:f>
        <x:v>0.22</x:v>
      </x:c>
      <x:c r="O2369" t="str">
        <x:v>生重</x:v>
      </x:c>
    </x:row>
    <x:row r="2370" ht="23" customHeight="1">
      <x:c r="A2370" t="n">
        <x:v>395</x:v>
      </x:c>
      <x:c r="B2370" t="n">
        <x:v>198</x:v>
      </x:c>
      <x:c r="C2370" t="str">
        <x:v>午餐</x:v>
      </x:c>
      <x:c r="D2370" t="str">
        <x:v>主食</x:v>
      </x:c>
      <x:c r="E2370" t="str">
        <x:v>全麦面</x:v>
      </x:c>
      <x:c r="F2370" t="n">
        <x:v>150</x:v>
      </x:c>
      <x:c r="G2370" t="n">
        <x:v>124</x:v>
      </x:c>
      <x:c r="H2370" t="n">
        <x:f>ROUND(F2370*G2370/100,2)</x:f>
        <x:v>186</x:v>
      </x:c>
      <x:c r="I2370" t="n">
        <x:v>5</x:v>
      </x:c>
      <x:c r="J2370" t="n">
        <x:f>ROUND(F2370*I2370/100,2)</x:f>
        <x:v>7.5</x:v>
      </x:c>
      <x:c r="K2370" t="n">
        <x:v>25</x:v>
      </x:c>
      <x:c r="L2370" t="n">
        <x:f>ROUND(F2370*K2370/100,2)</x:f>
        <x:v>37.5</x:v>
      </x:c>
      <x:c r="M2370" t="n">
        <x:v>1.1</x:v>
      </x:c>
      <x:c r="N2370" t="n">
        <x:f>ROUND(F2370*M2370/100,2)</x:f>
        <x:v>1.65</x:v>
      </x:c>
      <x:c r="O2370" t="str">
        <x:v>煮熟沥水重</x:v>
      </x:c>
    </x:row>
    <x:row r="2371" ht="23" customHeight="1">
      <x:c r="A2371" t="n">
        <x:v>395</x:v>
      </x:c>
      <x:c r="B2371" t="n">
        <x:v>198</x:v>
      </x:c>
      <x:c r="C2371" t="str">
        <x:v>午餐</x:v>
      </x:c>
      <x:c r="D2371" t="str">
        <x:v>油脂</x:v>
      </x:c>
      <x:c r="E2371" t="str">
        <x:v>烹调油</x:v>
      </x:c>
      <x:c r="F2371" t="n">
        <x:v>4</x:v>
      </x:c>
      <x:c r="G2371" t="n">
        <x:v>900</x:v>
      </x:c>
      <x:c r="H2371" t="n">
        <x:f>ROUND(F2371*G2371/100,2)</x:f>
        <x:v>36</x:v>
      </x:c>
      <x:c r="I2371" t="n">
        <x:v>0</x:v>
      </x:c>
      <x:c r="J2371" t="n">
        <x:f>ROUND(F2371*I2371/100,2)</x:f>
        <x:v>0</x:v>
      </x:c>
      <x:c r="K2371" t="n">
        <x:v>0</x:v>
      </x:c>
      <x:c r="L2371" t="n">
        <x:f>ROUND(F2371*K2371/100,2)</x:f>
        <x:v>0</x:v>
      </x:c>
      <x:c r="M2371" t="n">
        <x:v>100</x:v>
      </x:c>
      <x:c r="N2371" t="n">
        <x:f>ROUND(F2371*M2371/100,2)</x:f>
        <x:v>4</x:v>
      </x:c>
      <x:c r="O2371" t="str">
        <x:v>实际用油重</x:v>
      </x:c>
    </x:row>
    <x:row r="2372" ht="23" customHeight="1">
      <x:c r="A2372" t="n">
        <x:v>396</x:v>
      </x:c>
      <x:c r="B2372" t="n">
        <x:v>198</x:v>
      </x:c>
      <x:c r="C2372" t="str">
        <x:v>晚餐</x:v>
      </x:c>
      <x:c r="D2372" t="str">
        <x:v>禽肉</x:v>
      </x:c>
      <x:c r="E2372" t="str">
        <x:v>去皮鸡腿肉</x:v>
      </x:c>
      <x:c r="F2372" t="n">
        <x:v>160</x:v>
      </x:c>
      <x:c r="G2372" t="n">
        <x:v>125</x:v>
      </x:c>
      <x:c r="H2372" t="n">
        <x:f>ROUND(F2372*G2372/100,2)</x:f>
        <x:v>200</x:v>
      </x:c>
      <x:c r="I2372" t="n">
        <x:v>20</x:v>
      </x:c>
      <x:c r="J2372" t="n">
        <x:f>ROUND(F2372*I2372/100,2)</x:f>
        <x:v>32</x:v>
      </x:c>
      <x:c r="K2372" t="n">
        <x:v>0</x:v>
      </x:c>
      <x:c r="L2372" t="n">
        <x:f>ROUND(F2372*K2372/100,2)</x:f>
        <x:v>0</x:v>
      </x:c>
      <x:c r="M2372" t="n">
        <x:v>5</x:v>
      </x:c>
      <x:c r="N2372" t="n">
        <x:f>ROUND(F2372*M2372/100,2)</x:f>
        <x:v>8</x:v>
      </x:c>
      <x:c r="O2372" t="str">
        <x:v>生重</x:v>
      </x:c>
    </x:row>
    <x:row r="2373" ht="23" customHeight="1">
      <x:c r="A2373" t="n">
        <x:v>396</x:v>
      </x:c>
      <x:c r="B2373" t="n">
        <x:v>198</x:v>
      </x:c>
      <x:c r="C2373" t="str">
        <x:v>晚餐</x:v>
      </x:c>
      <x:c r="D2373" t="str"/>
      <x:c r="E2373" t="str"/>
      <x:c r="F2373" t="n">
        <x:v>0</x:v>
      </x:c>
      <x:c r="G2373" t="n">
        <x:v>0</x:v>
      </x:c>
      <x:c r="H2373" t="n">
        <x:f>ROUND(F2373*G2373/100,2)</x:f>
        <x:v>0</x:v>
      </x:c>
      <x:c r="I2373" t="n">
        <x:v>0</x:v>
      </x:c>
      <x:c r="J2373" t="n">
        <x:f>ROUND(F2373*I2373/100,2)</x:f>
        <x:v>0</x:v>
      </x:c>
      <x:c r="K2373" t="n">
        <x:v>0</x:v>
      </x:c>
      <x:c r="L2373" t="n">
        <x:f>ROUND(F2373*K2373/100,2)</x:f>
        <x:v>0</x:v>
      </x:c>
      <x:c r="M2373" t="n">
        <x:v>0</x:v>
      </x:c>
      <x:c r="N2373" t="n">
        <x:f>ROUND(F2373*M2373/100,2)</x:f>
        <x:v>0</x:v>
      </x:c>
      <x:c r="O2373" t="str"/>
    </x:row>
    <x:row r="2374" ht="23" customHeight="1">
      <x:c r="A2374" t="n">
        <x:v>396</x:v>
      </x:c>
      <x:c r="B2374" t="n">
        <x:v>198</x:v>
      </x:c>
      <x:c r="C2374" t="str">
        <x:v>晚餐</x:v>
      </x:c>
      <x:c r="D2374" t="str">
        <x:v>蔬菜</x:v>
      </x:c>
      <x:c r="E2374" t="str">
        <x:v>大白菜</x:v>
      </x:c>
      <x:c r="F2374" t="n">
        <x:v>190</x:v>
      </x:c>
      <x:c r="G2374" t="n">
        <x:v>17</x:v>
      </x:c>
      <x:c r="H2374" t="n">
        <x:f>ROUND(F2374*G2374/100,2)</x:f>
        <x:v>32.3</x:v>
      </x:c>
      <x:c r="I2374" t="n">
        <x:v>1.5</x:v>
      </x:c>
      <x:c r="J2374" t="n">
        <x:f>ROUND(F2374*I2374/100,2)</x:f>
        <x:v>2.85</x:v>
      </x:c>
      <x:c r="K2374" t="n">
        <x:v>3.2</x:v>
      </x:c>
      <x:c r="L2374" t="n">
        <x:f>ROUND(F2374*K2374/100,2)</x:f>
        <x:v>6.08</x:v>
      </x:c>
      <x:c r="M2374" t="n">
        <x:v>0.1</x:v>
      </x:c>
      <x:c r="N2374" t="n">
        <x:f>ROUND(F2374*M2374/100,2)</x:f>
        <x:v>0.19</x:v>
      </x:c>
      <x:c r="O2374" t="str">
        <x:v>生重</x:v>
      </x:c>
    </x:row>
    <x:row r="2375" ht="23" customHeight="1">
      <x:c r="A2375" t="n">
        <x:v>396</x:v>
      </x:c>
      <x:c r="B2375" t="n">
        <x:v>198</x:v>
      </x:c>
      <x:c r="C2375" t="str">
        <x:v>晚餐</x:v>
      </x:c>
      <x:c r="D2375" t="str">
        <x:v>菌菇</x:v>
      </x:c>
      <x:c r="E2375" t="str">
        <x:v>香菇</x:v>
      </x:c>
      <x:c r="F2375" t="n">
        <x:v>140</x:v>
      </x:c>
      <x:c r="G2375" t="n">
        <x:v>34</x:v>
      </x:c>
      <x:c r="H2375" t="n">
        <x:f>ROUND(F2375*G2375/100,2)</x:f>
        <x:v>47.6</x:v>
      </x:c>
      <x:c r="I2375" t="n">
        <x:v>2.2</x:v>
      </x:c>
      <x:c r="J2375" t="n">
        <x:f>ROUND(F2375*I2375/100,2)</x:f>
        <x:v>3.08</x:v>
      </x:c>
      <x:c r="K2375" t="n">
        <x:v>6.8</x:v>
      </x:c>
      <x:c r="L2375" t="n">
        <x:f>ROUND(F2375*K2375/100,2)</x:f>
        <x:v>9.52</x:v>
      </x:c>
      <x:c r="M2375" t="n">
        <x:v>0.5</x:v>
      </x:c>
      <x:c r="N2375" t="n">
        <x:f>ROUND(F2375*M2375/100,2)</x:f>
        <x:v>0.7</x:v>
      </x:c>
      <x:c r="O2375" t="str">
        <x:v>生重</x:v>
      </x:c>
    </x:row>
    <x:row r="2376" ht="23" customHeight="1">
      <x:c r="A2376" t="n">
        <x:v>396</x:v>
      </x:c>
      <x:c r="B2376" t="n">
        <x:v>198</x:v>
      </x:c>
      <x:c r="C2376" t="str">
        <x:v>晚餐</x:v>
      </x:c>
      <x:c r="D2376" t="str">
        <x:v>主食</x:v>
      </x:c>
      <x:c r="E2376" t="str">
        <x:v>藜麦饭</x:v>
      </x:c>
      <x:c r="F2376" t="n">
        <x:v>110</x:v>
      </x:c>
      <x:c r="G2376" t="n">
        <x:v>120</x:v>
      </x:c>
      <x:c r="H2376" t="n">
        <x:f>ROUND(F2376*G2376/100,2)</x:f>
        <x:v>132</x:v>
      </x:c>
      <x:c r="I2376" t="n">
        <x:v>4.4</x:v>
      </x:c>
      <x:c r="J2376" t="n">
        <x:f>ROUND(F2376*I2376/100,2)</x:f>
        <x:v>4.84</x:v>
      </x:c>
      <x:c r="K2376" t="n">
        <x:v>21.3</x:v>
      </x:c>
      <x:c r="L2376" t="n">
        <x:f>ROUND(F2376*K2376/100,2)</x:f>
        <x:v>23.43</x:v>
      </x:c>
      <x:c r="M2376" t="n">
        <x:v>1.9</x:v>
      </x:c>
      <x:c r="N2376" t="n">
        <x:f>ROUND(F2376*M2376/100,2)</x:f>
        <x:v>2.09</x:v>
      </x:c>
      <x:c r="O2376" t="str">
        <x:v>熟重</x:v>
      </x:c>
    </x:row>
    <x:row r="2377" ht="23" customHeight="1">
      <x:c r="A2377" t="n">
        <x:v>396</x:v>
      </x:c>
      <x:c r="B2377" t="n">
        <x:v>198</x:v>
      </x:c>
      <x:c r="C2377" t="str">
        <x:v>晚餐</x:v>
      </x:c>
      <x:c r="D2377" t="str">
        <x:v>油脂</x:v>
      </x:c>
      <x:c r="E2377" t="str">
        <x:v>烹调油</x:v>
      </x:c>
      <x:c r="F2377" t="n">
        <x:v>5</x:v>
      </x:c>
      <x:c r="G2377" t="n">
        <x:v>900</x:v>
      </x:c>
      <x:c r="H2377" t="n">
        <x:f>ROUND(F2377*G2377/100,2)</x:f>
        <x:v>45</x:v>
      </x:c>
      <x:c r="I2377" t="n">
        <x:v>0</x:v>
      </x:c>
      <x:c r="J2377" t="n">
        <x:f>ROUND(F2377*I2377/100,2)</x:f>
        <x:v>0</x:v>
      </x:c>
      <x:c r="K2377" t="n">
        <x:v>0</x:v>
      </x:c>
      <x:c r="L2377" t="n">
        <x:f>ROUND(F2377*K2377/100,2)</x:f>
        <x:v>0</x:v>
      </x:c>
      <x:c r="M2377" t="n">
        <x:v>100</x:v>
      </x:c>
      <x:c r="N2377" t="n">
        <x:f>ROUND(F2377*M2377/100,2)</x:f>
        <x:v>5</x:v>
      </x:c>
      <x:c r="O2377" t="str">
        <x:v>实际用油重</x:v>
      </x:c>
    </x:row>
    <x:row r="2378" ht="23" customHeight="1">
      <x:c r="A2378" t="n">
        <x:v>397</x:v>
      </x:c>
      <x:c r="B2378" t="n">
        <x:v>199</x:v>
      </x:c>
      <x:c r="C2378" t="str">
        <x:v>午餐</x:v>
      </x:c>
      <x:c r="D2378" t="str">
        <x:v>豆蛋</x:v>
      </x:c>
      <x:c r="E2378" t="str">
        <x:v>鸡蛋</x:v>
      </x:c>
      <x:c r="F2378" t="n">
        <x:v>120</x:v>
      </x:c>
      <x:c r="G2378" t="n">
        <x:v>144</x:v>
      </x:c>
      <x:c r="H2378" t="n">
        <x:f>ROUND(F2378*G2378/100,2)</x:f>
        <x:v>172.8</x:v>
      </x:c>
      <x:c r="I2378" t="n">
        <x:v>13</x:v>
      </x:c>
      <x:c r="J2378" t="n">
        <x:f>ROUND(F2378*I2378/100,2)</x:f>
        <x:v>15.6</x:v>
      </x:c>
      <x:c r="K2378" t="n">
        <x:v>1.1</x:v>
      </x:c>
      <x:c r="L2378" t="n">
        <x:f>ROUND(F2378*K2378/100,2)</x:f>
        <x:v>1.32</x:v>
      </x:c>
      <x:c r="M2378" t="n">
        <x:v>10</x:v>
      </x:c>
      <x:c r="N2378" t="n">
        <x:f>ROUND(F2378*M2378/100,2)</x:f>
        <x:v>12</x:v>
      </x:c>
      <x:c r="O2378" t="str">
        <x:v>去壳可食重</x:v>
      </x:c>
    </x:row>
    <x:row r="2379" ht="23" customHeight="1">
      <x:c r="A2379" t="n">
        <x:v>397</x:v>
      </x:c>
      <x:c r="B2379" t="n">
        <x:v>199</x:v>
      </x:c>
      <x:c r="C2379" t="str">
        <x:v>午餐</x:v>
      </x:c>
      <x:c r="D2379" t="str">
        <x:v>豆蛋</x:v>
      </x:c>
      <x:c r="E2379" t="str">
        <x:v>嫩豆腐</x:v>
      </x:c>
      <x:c r="F2379" t="n">
        <x:v>110</x:v>
      </x:c>
      <x:c r="G2379" t="n">
        <x:v>55</x:v>
      </x:c>
      <x:c r="H2379" t="n">
        <x:f>ROUND(F2379*G2379/100,2)</x:f>
        <x:v>60.5</x:v>
      </x:c>
      <x:c r="I2379" t="n">
        <x:v>5</x:v>
      </x:c>
      <x:c r="J2379" t="n">
        <x:f>ROUND(F2379*I2379/100,2)</x:f>
        <x:v>5.5</x:v>
      </x:c>
      <x:c r="K2379" t="n">
        <x:v>2</x:v>
      </x:c>
      <x:c r="L2379" t="n">
        <x:f>ROUND(F2379*K2379/100,2)</x:f>
        <x:v>2.2</x:v>
      </x:c>
      <x:c r="M2379" t="n">
        <x:v>2.8</x:v>
      </x:c>
      <x:c r="N2379" t="n">
        <x:f>ROUND(F2379*M2379/100,2)</x:f>
        <x:v>3.08</x:v>
      </x:c>
      <x:c r="O2379" t="str">
        <x:v>净重</x:v>
      </x:c>
    </x:row>
    <x:row r="2380" ht="23" customHeight="1">
      <x:c r="A2380" t="n">
        <x:v>397</x:v>
      </x:c>
      <x:c r="B2380" t="n">
        <x:v>199</x:v>
      </x:c>
      <x:c r="C2380" t="str">
        <x:v>午餐</x:v>
      </x:c>
      <x:c r="D2380" t="str">
        <x:v>蔬菜</x:v>
      </x:c>
      <x:c r="E2380" t="str">
        <x:v>小白菜</x:v>
      </x:c>
      <x:c r="F2380" t="n">
        <x:v>190</x:v>
      </x:c>
      <x:c r="G2380" t="n">
        <x:v>17</x:v>
      </x:c>
      <x:c r="H2380" t="n">
        <x:f>ROUND(F2380*G2380/100,2)</x:f>
        <x:v>32.3</x:v>
      </x:c>
      <x:c r="I2380" t="n">
        <x:v>1.6</x:v>
      </x:c>
      <x:c r="J2380" t="n">
        <x:f>ROUND(F2380*I2380/100,2)</x:f>
        <x:v>3.04</x:v>
      </x:c>
      <x:c r="K2380" t="n">
        <x:v>2.8</x:v>
      </x:c>
      <x:c r="L2380" t="n">
        <x:f>ROUND(F2380*K2380/100,2)</x:f>
        <x:v>5.32</x:v>
      </x:c>
      <x:c r="M2380" t="n">
        <x:v>0.2</x:v>
      </x:c>
      <x:c r="N2380" t="n">
        <x:f>ROUND(F2380*M2380/100,2)</x:f>
        <x:v>0.38</x:v>
      </x:c>
      <x:c r="O2380" t="str">
        <x:v>生重</x:v>
      </x:c>
    </x:row>
    <x:row r="2381" ht="23" customHeight="1">
      <x:c r="A2381" t="n">
        <x:v>397</x:v>
      </x:c>
      <x:c r="B2381" t="n">
        <x:v>199</x:v>
      </x:c>
      <x:c r="C2381" t="str">
        <x:v>午餐</x:v>
      </x:c>
      <x:c r="D2381" t="str">
        <x:v>菌菇</x:v>
      </x:c>
      <x:c r="E2381" t="str">
        <x:v>金针菇</x:v>
      </x:c>
      <x:c r="F2381" t="n">
        <x:v>140</x:v>
      </x:c>
      <x:c r="G2381" t="n">
        <x:v>32</x:v>
      </x:c>
      <x:c r="H2381" t="n">
        <x:f>ROUND(F2381*G2381/100,2)</x:f>
        <x:v>44.8</x:v>
      </x:c>
      <x:c r="I2381" t="n">
        <x:v>2.4</x:v>
      </x:c>
      <x:c r="J2381" t="n">
        <x:f>ROUND(F2381*I2381/100,2)</x:f>
        <x:v>3.36</x:v>
      </x:c>
      <x:c r="K2381" t="n">
        <x:v>6.4</x:v>
      </x:c>
      <x:c r="L2381" t="n">
        <x:f>ROUND(F2381*K2381/100,2)</x:f>
        <x:v>8.96</x:v>
      </x:c>
      <x:c r="M2381" t="n">
        <x:v>0.2</x:v>
      </x:c>
      <x:c r="N2381" t="n">
        <x:f>ROUND(F2381*M2381/100,2)</x:f>
        <x:v>0.28</x:v>
      </x:c>
      <x:c r="O2381" t="str">
        <x:v>生重</x:v>
      </x:c>
    </x:row>
    <x:row r="2382" ht="23" customHeight="1">
      <x:c r="A2382" t="n">
        <x:v>397</x:v>
      </x:c>
      <x:c r="B2382" t="n">
        <x:v>199</x:v>
      </x:c>
      <x:c r="C2382" t="str">
        <x:v>午餐</x:v>
      </x:c>
      <x:c r="D2382" t="str">
        <x:v>主食</x:v>
      </x:c>
      <x:c r="E2382" t="str">
        <x:v>糙米饭</x:v>
      </x:c>
      <x:c r="F2382" t="n">
        <x:v>150</x:v>
      </x:c>
      <x:c r="G2382" t="n">
        <x:v>112</x:v>
      </x:c>
      <x:c r="H2382" t="n">
        <x:f>ROUND(F2382*G2382/100,2)</x:f>
        <x:v>168</x:v>
      </x:c>
      <x:c r="I2382" t="n">
        <x:v>2.6</x:v>
      </x:c>
      <x:c r="J2382" t="n">
        <x:f>ROUND(F2382*I2382/100,2)</x:f>
        <x:v>3.9</x:v>
      </x:c>
      <x:c r="K2382" t="n">
        <x:v>23.5</x:v>
      </x:c>
      <x:c r="L2382" t="n">
        <x:f>ROUND(F2382*K2382/100,2)</x:f>
        <x:v>35.25</x:v>
      </x:c>
      <x:c r="M2382" t="n">
        <x:v>0.9</x:v>
      </x:c>
      <x:c r="N2382" t="n">
        <x:f>ROUND(F2382*M2382/100,2)</x:f>
        <x:v>1.35</x:v>
      </x:c>
      <x:c r="O2382" t="str">
        <x:v>熟重</x:v>
      </x:c>
    </x:row>
    <x:row r="2383" ht="23" customHeight="1">
      <x:c r="A2383" t="n">
        <x:v>397</x:v>
      </x:c>
      <x:c r="B2383" t="n">
        <x:v>199</x:v>
      </x:c>
      <x:c r="C2383" t="str">
        <x:v>午餐</x:v>
      </x:c>
      <x:c r="D2383" t="str">
        <x:v>油脂</x:v>
      </x:c>
      <x:c r="E2383" t="str">
        <x:v>烹调油</x:v>
      </x:c>
      <x:c r="F2383" t="n">
        <x:v>3</x:v>
      </x:c>
      <x:c r="G2383" t="n">
        <x:v>900</x:v>
      </x:c>
      <x:c r="H2383" t="n">
        <x:f>ROUND(F2383*G2383/100,2)</x:f>
        <x:v>27</x:v>
      </x:c>
      <x:c r="I2383" t="n">
        <x:v>0</x:v>
      </x:c>
      <x:c r="J2383" t="n">
        <x:f>ROUND(F2383*I2383/100,2)</x:f>
        <x:v>0</x:v>
      </x:c>
      <x:c r="K2383" t="n">
        <x:v>0</x:v>
      </x:c>
      <x:c r="L2383" t="n">
        <x:f>ROUND(F2383*K2383/100,2)</x:f>
        <x:v>0</x:v>
      </x:c>
      <x:c r="M2383" t="n">
        <x:v>100</x:v>
      </x:c>
      <x:c r="N2383" t="n">
        <x:f>ROUND(F2383*M2383/100,2)</x:f>
        <x:v>3</x:v>
      </x:c>
      <x:c r="O2383" t="str">
        <x:v>实际用油重</x:v>
      </x:c>
    </x:row>
    <x:row r="2384" ht="23" customHeight="1">
      <x:c r="A2384" t="n">
        <x:v>398</x:v>
      </x:c>
      <x:c r="B2384" t="n">
        <x:v>199</x:v>
      </x:c>
      <x:c r="C2384" t="str">
        <x:v>晚餐</x:v>
      </x:c>
      <x:c r="D2384" t="str">
        <x:v>牛肉</x:v>
      </x:c>
      <x:c r="E2384" t="str">
        <x:v>牛里脊</x:v>
      </x:c>
      <x:c r="F2384" t="n">
        <x:v>145</x:v>
      </x:c>
      <x:c r="G2384" t="n">
        <x:v>130</x:v>
      </x:c>
      <x:c r="H2384" t="n">
        <x:f>ROUND(F2384*G2384/100,2)</x:f>
        <x:v>188.5</x:v>
      </x:c>
      <x:c r="I2384" t="n">
        <x:v>21</x:v>
      </x:c>
      <x:c r="J2384" t="n">
        <x:f>ROUND(F2384*I2384/100,2)</x:f>
        <x:v>30.45</x:v>
      </x:c>
      <x:c r="K2384" t="n">
        <x:v>0</x:v>
      </x:c>
      <x:c r="L2384" t="n">
        <x:f>ROUND(F2384*K2384/100,2)</x:f>
        <x:v>0</x:v>
      </x:c>
      <x:c r="M2384" t="n">
        <x:v>4.8</x:v>
      </x:c>
      <x:c r="N2384" t="n">
        <x:f>ROUND(F2384*M2384/100,2)</x:f>
        <x:v>6.96</x:v>
      </x:c>
      <x:c r="O2384" t="str">
        <x:v>生重</x:v>
      </x:c>
    </x:row>
    <x:row r="2385" ht="23" customHeight="1">
      <x:c r="A2385" t="n">
        <x:v>398</x:v>
      </x:c>
      <x:c r="B2385" t="n">
        <x:v>199</x:v>
      </x:c>
      <x:c r="C2385" t="str">
        <x:v>晚餐</x:v>
      </x:c>
      <x:c r="D2385" t="str"/>
      <x:c r="E2385" t="str"/>
      <x:c r="F2385" t="n">
        <x:v>0</x:v>
      </x:c>
      <x:c r="G2385" t="n">
        <x:v>0</x:v>
      </x:c>
      <x:c r="H2385" t="n">
        <x:f>ROUND(F2385*G2385/100,2)</x:f>
        <x:v>0</x:v>
      </x:c>
      <x:c r="I2385" t="n">
        <x:v>0</x:v>
      </x:c>
      <x:c r="J2385" t="n">
        <x:f>ROUND(F2385*I2385/100,2)</x:f>
        <x:v>0</x:v>
      </x:c>
      <x:c r="K2385" t="n">
        <x:v>0</x:v>
      </x:c>
      <x:c r="L2385" t="n">
        <x:f>ROUND(F2385*K2385/100,2)</x:f>
        <x:v>0</x:v>
      </x:c>
      <x:c r="M2385" t="n">
        <x:v>0</x:v>
      </x:c>
      <x:c r="N2385" t="n">
        <x:f>ROUND(F2385*M2385/100,2)</x:f>
        <x:v>0</x:v>
      </x:c>
      <x:c r="O2385" t="str"/>
    </x:row>
    <x:row r="2386" ht="23" customHeight="1">
      <x:c r="A2386" t="n">
        <x:v>398</x:v>
      </x:c>
      <x:c r="B2386" t="n">
        <x:v>199</x:v>
      </x:c>
      <x:c r="C2386" t="str">
        <x:v>晚餐</x:v>
      </x:c>
      <x:c r="D2386" t="str">
        <x:v>蔬菜</x:v>
      </x:c>
      <x:c r="E2386" t="str">
        <x:v>小白菜</x:v>
      </x:c>
      <x:c r="F2386" t="n">
        <x:v>190</x:v>
      </x:c>
      <x:c r="G2386" t="n">
        <x:v>17</x:v>
      </x:c>
      <x:c r="H2386" t="n">
        <x:f>ROUND(F2386*G2386/100,2)</x:f>
        <x:v>32.3</x:v>
      </x:c>
      <x:c r="I2386" t="n">
        <x:v>1.6</x:v>
      </x:c>
      <x:c r="J2386" t="n">
        <x:f>ROUND(F2386*I2386/100,2)</x:f>
        <x:v>3.04</x:v>
      </x:c>
      <x:c r="K2386" t="n">
        <x:v>2.8</x:v>
      </x:c>
      <x:c r="L2386" t="n">
        <x:f>ROUND(F2386*K2386/100,2)</x:f>
        <x:v>5.32</x:v>
      </x:c>
      <x:c r="M2386" t="n">
        <x:v>0.2</x:v>
      </x:c>
      <x:c r="N2386" t="n">
        <x:f>ROUND(F2386*M2386/100,2)</x:f>
        <x:v>0.38</x:v>
      </x:c>
      <x:c r="O2386" t="str">
        <x:v>生重</x:v>
      </x:c>
    </x:row>
    <x:row r="2387" ht="23" customHeight="1">
      <x:c r="A2387" t="n">
        <x:v>398</x:v>
      </x:c>
      <x:c r="B2387" t="n">
        <x:v>199</x:v>
      </x:c>
      <x:c r="C2387" t="str">
        <x:v>晚餐</x:v>
      </x:c>
      <x:c r="D2387" t="str">
        <x:v>菌菇</x:v>
      </x:c>
      <x:c r="E2387" t="str">
        <x:v>口蘑</x:v>
      </x:c>
      <x:c r="F2387" t="n">
        <x:v>125</x:v>
      </x:c>
      <x:c r="G2387" t="n">
        <x:v>22</x:v>
      </x:c>
      <x:c r="H2387" t="n">
        <x:f>ROUND(F2387*G2387/100,2)</x:f>
        <x:v>27.5</x:v>
      </x:c>
      <x:c r="I2387" t="n">
        <x:v>3.1</x:v>
      </x:c>
      <x:c r="J2387" t="n">
        <x:f>ROUND(F2387*I2387/100,2)</x:f>
        <x:v>3.88</x:v>
      </x:c>
      <x:c r="K2387" t="n">
        <x:v>3.3</x:v>
      </x:c>
      <x:c r="L2387" t="n">
        <x:f>ROUND(F2387*K2387/100,2)</x:f>
        <x:v>4.13</x:v>
      </x:c>
      <x:c r="M2387" t="n">
        <x:v>0.3</x:v>
      </x:c>
      <x:c r="N2387" t="n">
        <x:f>ROUND(F2387*M2387/100,2)</x:f>
        <x:v>0.38</x:v>
      </x:c>
      <x:c r="O2387" t="str">
        <x:v>生重</x:v>
      </x:c>
    </x:row>
    <x:row r="2388" ht="23" customHeight="1">
      <x:c r="A2388" t="n">
        <x:v>398</x:v>
      </x:c>
      <x:c r="B2388" t="n">
        <x:v>199</x:v>
      </x:c>
      <x:c r="C2388" t="str">
        <x:v>晚餐</x:v>
      </x:c>
      <x:c r="D2388" t="str">
        <x:v>主食</x:v>
      </x:c>
      <x:c r="E2388" t="str">
        <x:v>糙米饭</x:v>
      </x:c>
      <x:c r="F2388" t="n">
        <x:v>110</x:v>
      </x:c>
      <x:c r="G2388" t="n">
        <x:v>112</x:v>
      </x:c>
      <x:c r="H2388" t="n">
        <x:f>ROUND(F2388*G2388/100,2)</x:f>
        <x:v>123.2</x:v>
      </x:c>
      <x:c r="I2388" t="n">
        <x:v>2.6</x:v>
      </x:c>
      <x:c r="J2388" t="n">
        <x:f>ROUND(F2388*I2388/100,2)</x:f>
        <x:v>2.86</x:v>
      </x:c>
      <x:c r="K2388" t="n">
        <x:v>23.5</x:v>
      </x:c>
      <x:c r="L2388" t="n">
        <x:f>ROUND(F2388*K2388/100,2)</x:f>
        <x:v>25.85</x:v>
      </x:c>
      <x:c r="M2388" t="n">
        <x:v>0.9</x:v>
      </x:c>
      <x:c r="N2388" t="n">
        <x:f>ROUND(F2388*M2388/100,2)</x:f>
        <x:v>0.99</x:v>
      </x:c>
      <x:c r="O2388" t="str">
        <x:v>熟重</x:v>
      </x:c>
    </x:row>
    <x:row r="2389" ht="23" customHeight="1">
      <x:c r="A2389" t="n">
        <x:v>398</x:v>
      </x:c>
      <x:c r="B2389" t="n">
        <x:v>199</x:v>
      </x:c>
      <x:c r="C2389" t="str">
        <x:v>晚餐</x:v>
      </x:c>
      <x:c r="D2389" t="str">
        <x:v>油脂</x:v>
      </x:c>
      <x:c r="E2389" t="str">
        <x:v>烹调油</x:v>
      </x:c>
      <x:c r="F2389" t="n">
        <x:v>6</x:v>
      </x:c>
      <x:c r="G2389" t="n">
        <x:v>900</x:v>
      </x:c>
      <x:c r="H2389" t="n">
        <x:f>ROUND(F2389*G2389/100,2)</x:f>
        <x:v>54</x:v>
      </x:c>
      <x:c r="I2389" t="n">
        <x:v>0</x:v>
      </x:c>
      <x:c r="J2389" t="n">
        <x:f>ROUND(F2389*I2389/100,2)</x:f>
        <x:v>0</x:v>
      </x:c>
      <x:c r="K2389" t="n">
        <x:v>0</x:v>
      </x:c>
      <x:c r="L2389" t="n">
        <x:f>ROUND(F2389*K2389/100,2)</x:f>
        <x:v>0</x:v>
      </x:c>
      <x:c r="M2389" t="n">
        <x:v>100</x:v>
      </x:c>
      <x:c r="N2389" t="n">
        <x:f>ROUND(F2389*M2389/100,2)</x:f>
        <x:v>6</x:v>
      </x:c>
      <x:c r="O2389" t="str">
        <x:v>实际用油重</x:v>
      </x:c>
    </x:row>
    <x:row r="2390" ht="23" customHeight="1">
      <x:c r="A2390" t="n">
        <x:v>399</x:v>
      </x:c>
      <x:c r="B2390" t="n">
        <x:v>200</x:v>
      </x:c>
      <x:c r="C2390" t="str">
        <x:v>午餐</x:v>
      </x:c>
      <x:c r="D2390" t="str">
        <x:v>鱼类</x:v>
      </x:c>
      <x:c r="E2390" t="str">
        <x:v>巴沙鱼</x:v>
      </x:c>
      <x:c r="F2390" t="n">
        <x:v>200</x:v>
      </x:c>
      <x:c r="G2390" t="n">
        <x:v>90</x:v>
      </x:c>
      <x:c r="H2390" t="n">
        <x:f>ROUND(F2390*G2390/100,2)</x:f>
        <x:v>180</x:v>
      </x:c>
      <x:c r="I2390" t="n">
        <x:v>17</x:v>
      </x:c>
      <x:c r="J2390" t="n">
        <x:f>ROUND(F2390*I2390/100,2)</x:f>
        <x:v>34</x:v>
      </x:c>
      <x:c r="K2390" t="n">
        <x:v>0</x:v>
      </x:c>
      <x:c r="L2390" t="n">
        <x:f>ROUND(F2390*K2390/100,2)</x:f>
        <x:v>0</x:v>
      </x:c>
      <x:c r="M2390" t="n">
        <x:v>2.3</x:v>
      </x:c>
      <x:c r="N2390" t="n">
        <x:f>ROUND(F2390*M2390/100,2)</x:f>
        <x:v>4.6</x:v>
      </x:c>
      <x:c r="O2390" t="str">
        <x:v>净鱼肉生重</x:v>
      </x:c>
    </x:row>
    <x:row r="2391" ht="23" customHeight="1">
      <x:c r="A2391" t="n">
        <x:v>399</x:v>
      </x:c>
      <x:c r="B2391" t="n">
        <x:v>200</x:v>
      </x:c>
      <x:c r="C2391" t="str">
        <x:v>午餐</x:v>
      </x:c>
      <x:c r="D2391" t="str"/>
      <x:c r="E2391" t="str"/>
      <x:c r="F2391" t="n">
        <x:v>0</x:v>
      </x:c>
      <x:c r="G2391" t="n">
        <x:v>0</x:v>
      </x:c>
      <x:c r="H2391" t="n">
        <x:f>ROUND(F2391*G2391/100,2)</x:f>
        <x:v>0</x:v>
      </x:c>
      <x:c r="I2391" t="n">
        <x:v>0</x:v>
      </x:c>
      <x:c r="J2391" t="n">
        <x:f>ROUND(F2391*I2391/100,2)</x:f>
        <x:v>0</x:v>
      </x:c>
      <x:c r="K2391" t="n">
        <x:v>0</x:v>
      </x:c>
      <x:c r="L2391" t="n">
        <x:f>ROUND(F2391*K2391/100,2)</x:f>
        <x:v>0</x:v>
      </x:c>
      <x:c r="M2391" t="n">
        <x:v>0</x:v>
      </x:c>
      <x:c r="N2391" t="n">
        <x:f>ROUND(F2391*M2391/100,2)</x:f>
        <x:v>0</x:v>
      </x:c>
      <x:c r="O2391" t="str"/>
    </x:row>
    <x:row r="2392" ht="23" customHeight="1">
      <x:c r="A2392" t="n">
        <x:v>399</x:v>
      </x:c>
      <x:c r="B2392" t="n">
        <x:v>200</x:v>
      </x:c>
      <x:c r="C2392" t="str">
        <x:v>午餐</x:v>
      </x:c>
      <x:c r="D2392" t="str">
        <x:v>蔬菜</x:v>
      </x:c>
      <x:c r="E2392" t="str">
        <x:v>生菜</x:v>
      </x:c>
      <x:c r="F2392" t="n">
        <x:v>175</x:v>
      </x:c>
      <x:c r="G2392" t="n">
        <x:v>16</x:v>
      </x:c>
      <x:c r="H2392" t="n">
        <x:f>ROUND(F2392*G2392/100,2)</x:f>
        <x:v>28</x:v>
      </x:c>
      <x:c r="I2392" t="n">
        <x:v>1.4</x:v>
      </x:c>
      <x:c r="J2392" t="n">
        <x:f>ROUND(F2392*I2392/100,2)</x:f>
        <x:v>2.45</x:v>
      </x:c>
      <x:c r="K2392" t="n">
        <x:v>2.9</x:v>
      </x:c>
      <x:c r="L2392" t="n">
        <x:f>ROUND(F2392*K2392/100,2)</x:f>
        <x:v>5.08</x:v>
      </x:c>
      <x:c r="M2392" t="n">
        <x:v>0.1</x:v>
      </x:c>
      <x:c r="N2392" t="n">
        <x:f>ROUND(F2392*M2392/100,2)</x:f>
        <x:v>0.18</x:v>
      </x:c>
      <x:c r="O2392" t="str">
        <x:v>生重</x:v>
      </x:c>
    </x:row>
    <x:row r="2393" ht="23" customHeight="1">
      <x:c r="A2393" t="n">
        <x:v>399</x:v>
      </x:c>
      <x:c r="B2393" t="n">
        <x:v>200</x:v>
      </x:c>
      <x:c r="C2393" t="str">
        <x:v>午餐</x:v>
      </x:c>
      <x:c r="D2393" t="str">
        <x:v>蔬菜</x:v>
      </x:c>
      <x:c r="E2393" t="str">
        <x:v>莴笋</x:v>
      </x:c>
      <x:c r="F2393" t="n">
        <x:v>155</x:v>
      </x:c>
      <x:c r="G2393" t="n">
        <x:v>15</x:v>
      </x:c>
      <x:c r="H2393" t="n">
        <x:f>ROUND(F2393*G2393/100,2)</x:f>
        <x:v>23.25</x:v>
      </x:c>
      <x:c r="I2393" t="n">
        <x:v>1</x:v>
      </x:c>
      <x:c r="J2393" t="n">
        <x:f>ROUND(F2393*I2393/100,2)</x:f>
        <x:v>1.55</x:v>
      </x:c>
      <x:c r="K2393" t="n">
        <x:v>2.8</x:v>
      </x:c>
      <x:c r="L2393" t="n">
        <x:f>ROUND(F2393*K2393/100,2)</x:f>
        <x:v>4.34</x:v>
      </x:c>
      <x:c r="M2393" t="n">
        <x:v>0.1</x:v>
      </x:c>
      <x:c r="N2393" t="n">
        <x:f>ROUND(F2393*M2393/100,2)</x:f>
        <x:v>0.16</x:v>
      </x:c>
      <x:c r="O2393" t="str">
        <x:v>生重</x:v>
      </x:c>
    </x:row>
    <x:row r="2394" ht="23" customHeight="1">
      <x:c r="A2394" t="n">
        <x:v>399</x:v>
      </x:c>
      <x:c r="B2394" t="n">
        <x:v>200</x:v>
      </x:c>
      <x:c r="C2394" t="str">
        <x:v>午餐</x:v>
      </x:c>
      <x:c r="D2394" t="str">
        <x:v>主食</x:v>
      </x:c>
      <x:c r="E2394" t="str">
        <x:v>杂粮饭</x:v>
      </x:c>
      <x:c r="F2394" t="n">
        <x:v>165</x:v>
      </x:c>
      <x:c r="G2394" t="n">
        <x:v>115</x:v>
      </x:c>
      <x:c r="H2394" t="n">
        <x:f>ROUND(F2394*G2394/100,2)</x:f>
        <x:v>189.75</x:v>
      </x:c>
      <x:c r="I2394" t="n">
        <x:v>3.1</x:v>
      </x:c>
      <x:c r="J2394" t="n">
        <x:f>ROUND(F2394*I2394/100,2)</x:f>
        <x:v>5.12</x:v>
      </x:c>
      <x:c r="K2394" t="n">
        <x:v>23.5</x:v>
      </x:c>
      <x:c r="L2394" t="n">
        <x:f>ROUND(F2394*K2394/100,2)</x:f>
        <x:v>38.78</x:v>
      </x:c>
      <x:c r="M2394" t="n">
        <x:v>1.1</x:v>
      </x:c>
      <x:c r="N2394" t="n">
        <x:f>ROUND(F2394*M2394/100,2)</x:f>
        <x:v>1.82</x:v>
      </x:c>
      <x:c r="O2394" t="str">
        <x:v>熟重</x:v>
      </x:c>
    </x:row>
    <x:row r="2395" ht="23" customHeight="1">
      <x:c r="A2395" t="n">
        <x:v>399</x:v>
      </x:c>
      <x:c r="B2395" t="n">
        <x:v>200</x:v>
      </x:c>
      <x:c r="C2395" t="str">
        <x:v>午餐</x:v>
      </x:c>
      <x:c r="D2395" t="str">
        <x:v>油脂</x:v>
      </x:c>
      <x:c r="E2395" t="str">
        <x:v>烹调油</x:v>
      </x:c>
      <x:c r="F2395" t="n">
        <x:v>6</x:v>
      </x:c>
      <x:c r="G2395" t="n">
        <x:v>900</x:v>
      </x:c>
      <x:c r="H2395" t="n">
        <x:f>ROUND(F2395*G2395/100,2)</x:f>
        <x:v>54</x:v>
      </x:c>
      <x:c r="I2395" t="n">
        <x:v>0</x:v>
      </x:c>
      <x:c r="J2395" t="n">
        <x:f>ROUND(F2395*I2395/100,2)</x:f>
        <x:v>0</x:v>
      </x:c>
      <x:c r="K2395" t="n">
        <x:v>0</x:v>
      </x:c>
      <x:c r="L2395" t="n">
        <x:f>ROUND(F2395*K2395/100,2)</x:f>
        <x:v>0</x:v>
      </x:c>
      <x:c r="M2395" t="n">
        <x:v>100</x:v>
      </x:c>
      <x:c r="N2395" t="n">
        <x:f>ROUND(F2395*M2395/100,2)</x:f>
        <x:v>6</x:v>
      </x:c>
      <x:c r="O2395" t="str">
        <x:v>实际用油重</x:v>
      </x:c>
    </x:row>
    <x:row r="2396" ht="23" customHeight="1">
      <x:c r="A2396" t="n">
        <x:v>400</x:v>
      </x:c>
      <x:c r="B2396" t="n">
        <x:v>200</x:v>
      </x:c>
      <x:c r="C2396" t="str">
        <x:v>晚餐</x:v>
      </x:c>
      <x:c r="D2396" t="str">
        <x:v>海鲜</x:v>
      </x:c>
      <x:c r="E2396" t="str">
        <x:v>扇贝肉</x:v>
      </x:c>
      <x:c r="F2396" t="n">
        <x:v>170</x:v>
      </x:c>
      <x:c r="G2396" t="n">
        <x:v>90</x:v>
      </x:c>
      <x:c r="H2396" t="n">
        <x:f>ROUND(F2396*G2396/100,2)</x:f>
        <x:v>153</x:v>
      </x:c>
      <x:c r="I2396" t="n">
        <x:v>17</x:v>
      </x:c>
      <x:c r="J2396" t="n">
        <x:f>ROUND(F2396*I2396/100,2)</x:f>
        <x:v>28.9</x:v>
      </x:c>
      <x:c r="K2396" t="n">
        <x:v>3</x:v>
      </x:c>
      <x:c r="L2396" t="n">
        <x:f>ROUND(F2396*K2396/100,2)</x:f>
        <x:v>5.1</x:v>
      </x:c>
      <x:c r="M2396" t="n">
        <x:v>0.8</x:v>
      </x:c>
      <x:c r="N2396" t="n">
        <x:f>ROUND(F2396*M2396/100,2)</x:f>
        <x:v>1.36</x:v>
      </x:c>
      <x:c r="O2396" t="str">
        <x:v>生重</x:v>
      </x:c>
    </x:row>
    <x:row r="2397" ht="23" customHeight="1">
      <x:c r="A2397" t="n">
        <x:v>400</x:v>
      </x:c>
      <x:c r="B2397" t="n">
        <x:v>200</x:v>
      </x:c>
      <x:c r="C2397" t="str">
        <x:v>晚餐</x:v>
      </x:c>
      <x:c r="D2397" t="str"/>
      <x:c r="E2397" t="str"/>
      <x:c r="F2397" t="n">
        <x:v>0</x:v>
      </x:c>
      <x:c r="G2397" t="n">
        <x:v>0</x:v>
      </x:c>
      <x:c r="H2397" t="n">
        <x:f>ROUND(F2397*G2397/100,2)</x:f>
        <x:v>0</x:v>
      </x:c>
      <x:c r="I2397" t="n">
        <x:v>0</x:v>
      </x:c>
      <x:c r="J2397" t="n">
        <x:f>ROUND(F2397*I2397/100,2)</x:f>
        <x:v>0</x:v>
      </x:c>
      <x:c r="K2397" t="n">
        <x:v>0</x:v>
      </x:c>
      <x:c r="L2397" t="n">
        <x:f>ROUND(F2397*K2397/100,2)</x:f>
        <x:v>0</x:v>
      </x:c>
      <x:c r="M2397" t="n">
        <x:v>0</x:v>
      </x:c>
      <x:c r="N2397" t="n">
        <x:f>ROUND(F2397*M2397/100,2)</x:f>
        <x:v>0</x:v>
      </x:c>
      <x:c r="O2397" t="str"/>
    </x:row>
    <x:row r="2398" ht="23" customHeight="1">
      <x:c r="A2398" t="n">
        <x:v>400</x:v>
      </x:c>
      <x:c r="B2398" t="n">
        <x:v>200</x:v>
      </x:c>
      <x:c r="C2398" t="str">
        <x:v>晚餐</x:v>
      </x:c>
      <x:c r="D2398" t="str">
        <x:v>蔬菜</x:v>
      </x:c>
      <x:c r="E2398" t="str">
        <x:v>番茄</x:v>
      </x:c>
      <x:c r="F2398" t="n">
        <x:v>190</x:v>
      </x:c>
      <x:c r="G2398" t="n">
        <x:v>20</x:v>
      </x:c>
      <x:c r="H2398" t="n">
        <x:f>ROUND(F2398*G2398/100,2)</x:f>
        <x:v>38</x:v>
      </x:c>
      <x:c r="I2398" t="n">
        <x:v>0.9</x:v>
      </x:c>
      <x:c r="J2398" t="n">
        <x:f>ROUND(F2398*I2398/100,2)</x:f>
        <x:v>1.71</x:v>
      </x:c>
      <x:c r="K2398" t="n">
        <x:v>4</x:v>
      </x:c>
      <x:c r="L2398" t="n">
        <x:f>ROUND(F2398*K2398/100,2)</x:f>
        <x:v>7.6</x:v>
      </x:c>
      <x:c r="M2398" t="n">
        <x:v>0.2</x:v>
      </x:c>
      <x:c r="N2398" t="n">
        <x:f>ROUND(F2398*M2398/100,2)</x:f>
        <x:v>0.38</x:v>
      </x:c>
      <x:c r="O2398" t="str">
        <x:v>生重</x:v>
      </x:c>
    </x:row>
    <x:row r="2399" ht="23" customHeight="1">
      <x:c r="A2399" t="n">
        <x:v>400</x:v>
      </x:c>
      <x:c r="B2399" t="n">
        <x:v>200</x:v>
      </x:c>
      <x:c r="C2399" t="str">
        <x:v>晚餐</x:v>
      </x:c>
      <x:c r="D2399" t="str">
        <x:v>菌菇</x:v>
      </x:c>
      <x:c r="E2399" t="str">
        <x:v>口蘑</x:v>
      </x:c>
      <x:c r="F2399" t="n">
        <x:v>110</x:v>
      </x:c>
      <x:c r="G2399" t="n">
        <x:v>22</x:v>
      </x:c>
      <x:c r="H2399" t="n">
        <x:f>ROUND(F2399*G2399/100,2)</x:f>
        <x:v>24.2</x:v>
      </x:c>
      <x:c r="I2399" t="n">
        <x:v>3.1</x:v>
      </x:c>
      <x:c r="J2399" t="n">
        <x:f>ROUND(F2399*I2399/100,2)</x:f>
        <x:v>3.41</x:v>
      </x:c>
      <x:c r="K2399" t="n">
        <x:v>3.3</x:v>
      </x:c>
      <x:c r="L2399" t="n">
        <x:f>ROUND(F2399*K2399/100,2)</x:f>
        <x:v>3.63</x:v>
      </x:c>
      <x:c r="M2399" t="n">
        <x:v>0.3</x:v>
      </x:c>
      <x:c r="N2399" t="n">
        <x:f>ROUND(F2399*M2399/100,2)</x:f>
        <x:v>0.33</x:v>
      </x:c>
      <x:c r="O2399" t="str">
        <x:v>生重</x:v>
      </x:c>
    </x:row>
    <x:row r="2400" ht="23" customHeight="1">
      <x:c r="A2400" t="n">
        <x:v>400</x:v>
      </x:c>
      <x:c r="B2400" t="n">
        <x:v>200</x:v>
      </x:c>
      <x:c r="C2400" t="str">
        <x:v>晚餐</x:v>
      </x:c>
      <x:c r="D2400" t="str">
        <x:v>主食</x:v>
      </x:c>
      <x:c r="E2400" t="str">
        <x:v>藜麦饭</x:v>
      </x:c>
      <x:c r="F2400" t="n">
        <x:v>95</x:v>
      </x:c>
      <x:c r="G2400" t="n">
        <x:v>120</x:v>
      </x:c>
      <x:c r="H2400" t="n">
        <x:f>ROUND(F2400*G2400/100,2)</x:f>
        <x:v>114</x:v>
      </x:c>
      <x:c r="I2400" t="n">
        <x:v>4.4</x:v>
      </x:c>
      <x:c r="J2400" t="n">
        <x:f>ROUND(F2400*I2400/100,2)</x:f>
        <x:v>4.18</x:v>
      </x:c>
      <x:c r="K2400" t="n">
        <x:v>21.3</x:v>
      </x:c>
      <x:c r="L2400" t="n">
        <x:f>ROUND(F2400*K2400/100,2)</x:f>
        <x:v>20.24</x:v>
      </x:c>
      <x:c r="M2400" t="n">
        <x:v>1.9</x:v>
      </x:c>
      <x:c r="N2400" t="n">
        <x:f>ROUND(F2400*M2400/100,2)</x:f>
        <x:v>1.81</x:v>
      </x:c>
      <x:c r="O2400" t="str">
        <x:v>熟重</x:v>
      </x:c>
    </x:row>
    <x:row r="2401" ht="23" customHeight="1">
      <x:c r="A2401" t="n">
        <x:v>400</x:v>
      </x:c>
      <x:c r="B2401" t="n">
        <x:v>200</x:v>
      </x:c>
      <x:c r="C2401" t="str">
        <x:v>晚餐</x:v>
      </x:c>
      <x:c r="D2401" t="str">
        <x:v>油脂</x:v>
      </x:c>
      <x:c r="E2401" t="str">
        <x:v>烹调油</x:v>
      </x:c>
      <x:c r="F2401" t="n">
        <x:v>3</x:v>
      </x:c>
      <x:c r="G2401" t="n">
        <x:v>900</x:v>
      </x:c>
      <x:c r="H2401" t="n">
        <x:f>ROUND(F2401*G2401/100,2)</x:f>
        <x:v>27</x:v>
      </x:c>
      <x:c r="I2401" t="n">
        <x:v>0</x:v>
      </x:c>
      <x:c r="J2401" t="n">
        <x:f>ROUND(F2401*I2401/100,2)</x:f>
        <x:v>0</x:v>
      </x:c>
      <x:c r="K2401" t="n">
        <x:v>0</x:v>
      </x:c>
      <x:c r="L2401" t="n">
        <x:f>ROUND(F2401*K2401/100,2)</x:f>
        <x:v>0</x:v>
      </x:c>
      <x:c r="M2401" t="n">
        <x:v>100</x:v>
      </x:c>
      <x:c r="N2401" t="n">
        <x:f>ROUND(F2401*M2401/100,2)</x:f>
        <x:v>3</x:v>
      </x:c>
      <x:c r="O2401" t="str">
        <x:v>实际用油重</x:v>
      </x:c>
    </x:row>
    <x:row r="2402" ht="23" customHeight="1">
      <x:c r="A2402" t="n">
        <x:v>401</x:v>
      </x:c>
      <x:c r="B2402" t="n">
        <x:v>201</x:v>
      </x:c>
      <x:c r="C2402" t="str">
        <x:v>午餐</x:v>
      </x:c>
      <x:c r="D2402" t="str">
        <x:v>牛肉</x:v>
      </x:c>
      <x:c r="E2402" t="str">
        <x:v>瘦牛肉</x:v>
      </x:c>
      <x:c r="F2402" t="n">
        <x:v>175</x:v>
      </x:c>
      <x:c r="G2402" t="n">
        <x:v>125</x:v>
      </x:c>
      <x:c r="H2402" t="n">
        <x:f>ROUND(F2402*G2402/100,2)</x:f>
        <x:v>218.75</x:v>
      </x:c>
      <x:c r="I2402" t="n">
        <x:v>21</x:v>
      </x:c>
      <x:c r="J2402" t="n">
        <x:f>ROUND(F2402*I2402/100,2)</x:f>
        <x:v>36.75</x:v>
      </x:c>
      <x:c r="K2402" t="n">
        <x:v>0</x:v>
      </x:c>
      <x:c r="L2402" t="n">
        <x:f>ROUND(F2402*K2402/100,2)</x:f>
        <x:v>0</x:v>
      </x:c>
      <x:c r="M2402" t="n">
        <x:v>4</x:v>
      </x:c>
      <x:c r="N2402" t="n">
        <x:f>ROUND(F2402*M2402/100,2)</x:f>
        <x:v>7</x:v>
      </x:c>
      <x:c r="O2402" t="str">
        <x:v>生重</x:v>
      </x:c>
    </x:row>
    <x:row r="2403" ht="23" customHeight="1">
      <x:c r="A2403" t="n">
        <x:v>401</x:v>
      </x:c>
      <x:c r="B2403" t="n">
        <x:v>201</x:v>
      </x:c>
      <x:c r="C2403" t="str">
        <x:v>午餐</x:v>
      </x:c>
      <x:c r="D2403" t="str"/>
      <x:c r="E2403" t="str"/>
      <x:c r="F2403" t="n">
        <x:v>0</x:v>
      </x:c>
      <x:c r="G2403" t="n">
        <x:v>0</x:v>
      </x:c>
      <x:c r="H2403" t="n">
        <x:f>ROUND(F2403*G2403/100,2)</x:f>
        <x:v>0</x:v>
      </x:c>
      <x:c r="I2403" t="n">
        <x:v>0</x:v>
      </x:c>
      <x:c r="J2403" t="n">
        <x:f>ROUND(F2403*I2403/100,2)</x:f>
        <x:v>0</x:v>
      </x:c>
      <x:c r="K2403" t="n">
        <x:v>0</x:v>
      </x:c>
      <x:c r="L2403" t="n">
        <x:f>ROUND(F2403*K2403/100,2)</x:f>
        <x:v>0</x:v>
      </x:c>
      <x:c r="M2403" t="n">
        <x:v>0</x:v>
      </x:c>
      <x:c r="N2403" t="n">
        <x:f>ROUND(F2403*M2403/100,2)</x:f>
        <x:v>0</x:v>
      </x:c>
      <x:c r="O2403" t="str"/>
    </x:row>
    <x:row r="2404" ht="23" customHeight="1">
      <x:c r="A2404" t="n">
        <x:v>401</x:v>
      </x:c>
      <x:c r="B2404" t="n">
        <x:v>201</x:v>
      </x:c>
      <x:c r="C2404" t="str">
        <x:v>午餐</x:v>
      </x:c>
      <x:c r="D2404" t="str">
        <x:v>蔬菜</x:v>
      </x:c>
      <x:c r="E2404" t="str">
        <x:v>番茄</x:v>
      </x:c>
      <x:c r="F2404" t="n">
        <x:v>140</x:v>
      </x:c>
      <x:c r="G2404" t="n">
        <x:v>20</x:v>
      </x:c>
      <x:c r="H2404" t="n">
        <x:f>ROUND(F2404*G2404/100,2)</x:f>
        <x:v>28</x:v>
      </x:c>
      <x:c r="I2404" t="n">
        <x:v>0.9</x:v>
      </x:c>
      <x:c r="J2404" t="n">
        <x:f>ROUND(F2404*I2404/100,2)</x:f>
        <x:v>1.26</x:v>
      </x:c>
      <x:c r="K2404" t="n">
        <x:v>4</x:v>
      </x:c>
      <x:c r="L2404" t="n">
        <x:f>ROUND(F2404*K2404/100,2)</x:f>
        <x:v>5.6</x:v>
      </x:c>
      <x:c r="M2404" t="n">
        <x:v>0.2</x:v>
      </x:c>
      <x:c r="N2404" t="n">
        <x:f>ROUND(F2404*M2404/100,2)</x:f>
        <x:v>0.28</x:v>
      </x:c>
      <x:c r="O2404" t="str">
        <x:v>生重</x:v>
      </x:c>
    </x:row>
    <x:row r="2405" ht="23" customHeight="1">
      <x:c r="A2405" t="n">
        <x:v>401</x:v>
      </x:c>
      <x:c r="B2405" t="n">
        <x:v>201</x:v>
      </x:c>
      <x:c r="C2405" t="str">
        <x:v>午餐</x:v>
      </x:c>
      <x:c r="D2405" t="str">
        <x:v>菌菇</x:v>
      </x:c>
      <x:c r="E2405" t="str">
        <x:v>泡发木耳</x:v>
      </x:c>
      <x:c r="F2405" t="n">
        <x:v>140</x:v>
      </x:c>
      <x:c r="G2405" t="n">
        <x:v>25</x:v>
      </x:c>
      <x:c r="H2405" t="n">
        <x:f>ROUND(F2405*G2405/100,2)</x:f>
        <x:v>35</x:v>
      </x:c>
      <x:c r="I2405" t="n">
        <x:v>1.5</x:v>
      </x:c>
      <x:c r="J2405" t="n">
        <x:f>ROUND(F2405*I2405/100,2)</x:f>
        <x:v>2.1</x:v>
      </x:c>
      <x:c r="K2405" t="n">
        <x:v>6</x:v>
      </x:c>
      <x:c r="L2405" t="n">
        <x:f>ROUND(F2405*K2405/100,2)</x:f>
        <x:v>8.4</x:v>
      </x:c>
      <x:c r="M2405" t="n">
        <x:v>0.1</x:v>
      </x:c>
      <x:c r="N2405" t="n">
        <x:f>ROUND(F2405*M2405/100,2)</x:f>
        <x:v>0.14</x:v>
      </x:c>
      <x:c r="O2405" t="str">
        <x:v>泡发沥水重</x:v>
      </x:c>
    </x:row>
    <x:row r="2406" ht="23" customHeight="1">
      <x:c r="A2406" t="n">
        <x:v>401</x:v>
      </x:c>
      <x:c r="B2406" t="n">
        <x:v>201</x:v>
      </x:c>
      <x:c r="C2406" t="str">
        <x:v>午餐</x:v>
      </x:c>
      <x:c r="D2406" t="str">
        <x:v>主食</x:v>
      </x:c>
      <x:c r="E2406" t="str">
        <x:v>米粉</x:v>
      </x:c>
      <x:c r="F2406" t="n">
        <x:v>110</x:v>
      </x:c>
      <x:c r="G2406" t="n">
        <x:v>110</x:v>
      </x:c>
      <x:c r="H2406" t="n">
        <x:f>ROUND(F2406*G2406/100,2)</x:f>
        <x:v>121</x:v>
      </x:c>
      <x:c r="I2406" t="n">
        <x:v>2</x:v>
      </x:c>
      <x:c r="J2406" t="n">
        <x:f>ROUND(F2406*I2406/100,2)</x:f>
        <x:v>2.2</x:v>
      </x:c>
      <x:c r="K2406" t="n">
        <x:v>24</x:v>
      </x:c>
      <x:c r="L2406" t="n">
        <x:f>ROUND(F2406*K2406/100,2)</x:f>
        <x:v>26.4</x:v>
      </x:c>
      <x:c r="M2406" t="n">
        <x:v>0.4</x:v>
      </x:c>
      <x:c r="N2406" t="n">
        <x:f>ROUND(F2406*M2406/100,2)</x:f>
        <x:v>0.44</x:v>
      </x:c>
      <x:c r="O2406" t="str">
        <x:v>煮熟沥水重</x:v>
      </x:c>
    </x:row>
    <x:row r="2407" ht="23" customHeight="1">
      <x:c r="A2407" t="n">
        <x:v>401</x:v>
      </x:c>
      <x:c r="B2407" t="n">
        <x:v>201</x:v>
      </x:c>
      <x:c r="C2407" t="str">
        <x:v>午餐</x:v>
      </x:c>
      <x:c r="D2407" t="str">
        <x:v>油脂</x:v>
      </x:c>
      <x:c r="E2407" t="str">
        <x:v>烹调油</x:v>
      </x:c>
      <x:c r="F2407" t="n">
        <x:v>6</x:v>
      </x:c>
      <x:c r="G2407" t="n">
        <x:v>900</x:v>
      </x:c>
      <x:c r="H2407" t="n">
        <x:f>ROUND(F2407*G2407/100,2)</x:f>
        <x:v>54</x:v>
      </x:c>
      <x:c r="I2407" t="n">
        <x:v>0</x:v>
      </x:c>
      <x:c r="J2407" t="n">
        <x:f>ROUND(F2407*I2407/100,2)</x:f>
        <x:v>0</x:v>
      </x:c>
      <x:c r="K2407" t="n">
        <x:v>0</x:v>
      </x:c>
      <x:c r="L2407" t="n">
        <x:f>ROUND(F2407*K2407/100,2)</x:f>
        <x:v>0</x:v>
      </x:c>
      <x:c r="M2407" t="n">
        <x:v>100</x:v>
      </x:c>
      <x:c r="N2407" t="n">
        <x:f>ROUND(F2407*M2407/100,2)</x:f>
        <x:v>6</x:v>
      </x:c>
      <x:c r="O2407" t="str">
        <x:v>实际用油重</x:v>
      </x:c>
    </x:row>
    <x:row r="2408" ht="23" customHeight="1">
      <x:c r="A2408" t="n">
        <x:v>402</x:v>
      </x:c>
      <x:c r="B2408" t="n">
        <x:v>201</x:v>
      </x:c>
      <x:c r="C2408" t="str">
        <x:v>晚餐</x:v>
      </x:c>
      <x:c r="D2408" t="str">
        <x:v>禽肉</x:v>
      </x:c>
      <x:c r="E2408" t="str">
        <x:v>去皮鸡腿肉</x:v>
      </x:c>
      <x:c r="F2408" t="n">
        <x:v>145</x:v>
      </x:c>
      <x:c r="G2408" t="n">
        <x:v>125</x:v>
      </x:c>
      <x:c r="H2408" t="n">
        <x:f>ROUND(F2408*G2408/100,2)</x:f>
        <x:v>181.25</x:v>
      </x:c>
      <x:c r="I2408" t="n">
        <x:v>20</x:v>
      </x:c>
      <x:c r="J2408" t="n">
        <x:f>ROUND(F2408*I2408/100,2)</x:f>
        <x:v>29</x:v>
      </x:c>
      <x:c r="K2408" t="n">
        <x:v>0</x:v>
      </x:c>
      <x:c r="L2408" t="n">
        <x:f>ROUND(F2408*K2408/100,2)</x:f>
        <x:v>0</x:v>
      </x:c>
      <x:c r="M2408" t="n">
        <x:v>5</x:v>
      </x:c>
      <x:c r="N2408" t="n">
        <x:f>ROUND(F2408*M2408/100,2)</x:f>
        <x:v>7.25</x:v>
      </x:c>
      <x:c r="O2408" t="str">
        <x:v>生重</x:v>
      </x:c>
    </x:row>
    <x:row r="2409" ht="23" customHeight="1">
      <x:c r="A2409" t="n">
        <x:v>402</x:v>
      </x:c>
      <x:c r="B2409" t="n">
        <x:v>201</x:v>
      </x:c>
      <x:c r="C2409" t="str">
        <x:v>晚餐</x:v>
      </x:c>
      <x:c r="D2409" t="str">
        <x:v>豆蛋</x:v>
      </x:c>
      <x:c r="E2409" t="str">
        <x:v>北豆腐</x:v>
      </x:c>
      <x:c r="F2409" t="n">
        <x:v>130</x:v>
      </x:c>
      <x:c r="G2409" t="n">
        <x:v>90</x:v>
      </x:c>
      <x:c r="H2409" t="n">
        <x:f>ROUND(F2409*G2409/100,2)</x:f>
        <x:v>117</x:v>
      </x:c>
      <x:c r="I2409" t="n">
        <x:v>10</x:v>
      </x:c>
      <x:c r="J2409" t="n">
        <x:f>ROUND(F2409*I2409/100,2)</x:f>
        <x:v>13</x:v>
      </x:c>
      <x:c r="K2409" t="n">
        <x:v>2</x:v>
      </x:c>
      <x:c r="L2409" t="n">
        <x:f>ROUND(F2409*K2409/100,2)</x:f>
        <x:v>2.6</x:v>
      </x:c>
      <x:c r="M2409" t="n">
        <x:v>5</x:v>
      </x:c>
      <x:c r="N2409" t="n">
        <x:f>ROUND(F2409*M2409/100,2)</x:f>
        <x:v>6.5</x:v>
      </x:c>
      <x:c r="O2409" t="str">
        <x:v>净重</x:v>
      </x:c>
    </x:row>
    <x:row r="2410" ht="23" customHeight="1">
      <x:c r="A2410" t="n">
        <x:v>402</x:v>
      </x:c>
      <x:c r="B2410" t="n">
        <x:v>201</x:v>
      </x:c>
      <x:c r="C2410" t="str">
        <x:v>晚餐</x:v>
      </x:c>
      <x:c r="D2410" t="str">
        <x:v>蔬菜</x:v>
      </x:c>
      <x:c r="E2410" t="str">
        <x:v>西兰花</x:v>
      </x:c>
      <x:c r="F2410" t="n">
        <x:v>190</x:v>
      </x:c>
      <x:c r="G2410" t="n">
        <x:v>34</x:v>
      </x:c>
      <x:c r="H2410" t="n">
        <x:f>ROUND(F2410*G2410/100,2)</x:f>
        <x:v>64.6</x:v>
      </x:c>
      <x:c r="I2410" t="n">
        <x:v>2.8</x:v>
      </x:c>
      <x:c r="J2410" t="n">
        <x:f>ROUND(F2410*I2410/100,2)</x:f>
        <x:v>5.32</x:v>
      </x:c>
      <x:c r="K2410" t="n">
        <x:v>7</x:v>
      </x:c>
      <x:c r="L2410" t="n">
        <x:f>ROUND(F2410*K2410/100,2)</x:f>
        <x:v>13.3</x:v>
      </x:c>
      <x:c r="M2410" t="n">
        <x:v>0.4</x:v>
      </x:c>
      <x:c r="N2410" t="n">
        <x:f>ROUND(F2410*M2410/100,2)</x:f>
        <x:v>0.76</x:v>
      </x:c>
      <x:c r="O2410" t="str">
        <x:v>生重</x:v>
      </x:c>
    </x:row>
    <x:row r="2411" ht="23" customHeight="1">
      <x:c r="A2411" t="n">
        <x:v>402</x:v>
      </x:c>
      <x:c r="B2411" t="n">
        <x:v>201</x:v>
      </x:c>
      <x:c r="C2411" t="str">
        <x:v>晚餐</x:v>
      </x:c>
      <x:c r="D2411" t="str">
        <x:v>蔬菜</x:v>
      </x:c>
      <x:c r="E2411" t="str">
        <x:v>洋葱</x:v>
      </x:c>
      <x:c r="F2411" t="n">
        <x:v>110</x:v>
      </x:c>
      <x:c r="G2411" t="n">
        <x:v>40</x:v>
      </x:c>
      <x:c r="H2411" t="n">
        <x:f>ROUND(F2411*G2411/100,2)</x:f>
        <x:v>44</x:v>
      </x:c>
      <x:c r="I2411" t="n">
        <x:v>1.1</x:v>
      </x:c>
      <x:c r="J2411" t="n">
        <x:f>ROUND(F2411*I2411/100,2)</x:f>
        <x:v>1.21</x:v>
      </x:c>
      <x:c r="K2411" t="n">
        <x:v>9.3</x:v>
      </x:c>
      <x:c r="L2411" t="n">
        <x:f>ROUND(F2411*K2411/100,2)</x:f>
        <x:v>10.23</x:v>
      </x:c>
      <x:c r="M2411" t="n">
        <x:v>0.1</x:v>
      </x:c>
      <x:c r="N2411" t="n">
        <x:f>ROUND(F2411*M2411/100,2)</x:f>
        <x:v>0.11</x:v>
      </x:c>
      <x:c r="O2411" t="str">
        <x:v>生重</x:v>
      </x:c>
    </x:row>
    <x:row r="2412" ht="23" customHeight="1">
      <x:c r="A2412" t="n">
        <x:v>402</x:v>
      </x:c>
      <x:c r="B2412" t="n">
        <x:v>201</x:v>
      </x:c>
      <x:c r="C2412" t="str">
        <x:v>晚餐</x:v>
      </x:c>
      <x:c r="D2412" t="str">
        <x:v>主食</x:v>
      </x:c>
      <x:c r="E2412" t="str">
        <x:v>乌冬面</x:v>
      </x:c>
      <x:c r="F2412" t="n">
        <x:v>80</x:v>
      </x:c>
      <x:c r="G2412" t="n">
        <x:v>120</x:v>
      </x:c>
      <x:c r="H2412" t="n">
        <x:f>ROUND(F2412*G2412/100,2)</x:f>
        <x:v>96</x:v>
      </x:c>
      <x:c r="I2412" t="n">
        <x:v>2.5</x:v>
      </x:c>
      <x:c r="J2412" t="n">
        <x:f>ROUND(F2412*I2412/100,2)</x:f>
        <x:v>2</x:v>
      </x:c>
      <x:c r="K2412" t="n">
        <x:v>25</x:v>
      </x:c>
      <x:c r="L2412" t="n">
        <x:f>ROUND(F2412*K2412/100,2)</x:f>
        <x:v>20</x:v>
      </x:c>
      <x:c r="M2412" t="n">
        <x:v>0.6</x:v>
      </x:c>
      <x:c r="N2412" t="n">
        <x:f>ROUND(F2412*M2412/100,2)</x:f>
        <x:v>0.48</x:v>
      </x:c>
      <x:c r="O2412" t="str">
        <x:v>煮熟沥水重</x:v>
      </x:c>
    </x:row>
    <x:row r="2413" ht="23" customHeight="1">
      <x:c r="A2413" t="n">
        <x:v>402</x:v>
      </x:c>
      <x:c r="B2413" t="n">
        <x:v>201</x:v>
      </x:c>
      <x:c r="C2413" t="str">
        <x:v>晚餐</x:v>
      </x:c>
      <x:c r="D2413" t="str">
        <x:v>油脂</x:v>
      </x:c>
      <x:c r="E2413" t="str">
        <x:v>烹调油</x:v>
      </x:c>
      <x:c r="F2413" t="n">
        <x:v>5</x:v>
      </x:c>
      <x:c r="G2413" t="n">
        <x:v>900</x:v>
      </x:c>
      <x:c r="H2413" t="n">
        <x:f>ROUND(F2413*G2413/100,2)</x:f>
        <x:v>45</x:v>
      </x:c>
      <x:c r="I2413" t="n">
        <x:v>0</x:v>
      </x:c>
      <x:c r="J2413" t="n">
        <x:f>ROUND(F2413*I2413/100,2)</x:f>
        <x:v>0</x:v>
      </x:c>
      <x:c r="K2413" t="n">
        <x:v>0</x:v>
      </x:c>
      <x:c r="L2413" t="n">
        <x:f>ROUND(F2413*K2413/100,2)</x:f>
        <x:v>0</x:v>
      </x:c>
      <x:c r="M2413" t="n">
        <x:v>100</x:v>
      </x:c>
      <x:c r="N2413" t="n">
        <x:f>ROUND(F2413*M2413/100,2)</x:f>
        <x:v>5</x:v>
      </x:c>
      <x:c r="O2413" t="str">
        <x:v>实际用油重</x:v>
      </x:c>
    </x:row>
    <x:row r="2414" ht="23" customHeight="1">
      <x:c r="A2414" t="n">
        <x:v>403</x:v>
      </x:c>
      <x:c r="B2414" t="n">
        <x:v>202</x:v>
      </x:c>
      <x:c r="C2414" t="str">
        <x:v>午餐</x:v>
      </x:c>
      <x:c r="D2414" t="str">
        <x:v>禽肉</x:v>
      </x:c>
      <x:c r="E2414" t="str">
        <x:v>鸡里脊肉</x:v>
      </x:c>
      <x:c r="F2414" t="n">
        <x:v>165</x:v>
      </x:c>
      <x:c r="G2414" t="n">
        <x:v>110</x:v>
      </x:c>
      <x:c r="H2414" t="n">
        <x:f>ROUND(F2414*G2414/100,2)</x:f>
        <x:v>181.5</x:v>
      </x:c>
      <x:c r="I2414" t="n">
        <x:v>23</x:v>
      </x:c>
      <x:c r="J2414" t="n">
        <x:f>ROUND(F2414*I2414/100,2)</x:f>
        <x:v>37.95</x:v>
      </x:c>
      <x:c r="K2414" t="n">
        <x:v>0</x:v>
      </x:c>
      <x:c r="L2414" t="n">
        <x:f>ROUND(F2414*K2414/100,2)</x:f>
        <x:v>0</x:v>
      </x:c>
      <x:c r="M2414" t="n">
        <x:v>1.8</x:v>
      </x:c>
      <x:c r="N2414" t="n">
        <x:f>ROUND(F2414*M2414/100,2)</x:f>
        <x:v>2.97</x:v>
      </x:c>
      <x:c r="O2414" t="str">
        <x:v>生重</x:v>
      </x:c>
    </x:row>
    <x:row r="2415" ht="23" customHeight="1">
      <x:c r="A2415" t="n">
        <x:v>403</x:v>
      </x:c>
      <x:c r="B2415" t="n">
        <x:v>202</x:v>
      </x:c>
      <x:c r="C2415" t="str">
        <x:v>午餐</x:v>
      </x:c>
      <x:c r="D2415" t="str"/>
      <x:c r="E2415" t="str"/>
      <x:c r="F2415" t="n">
        <x:v>0</x:v>
      </x:c>
      <x:c r="G2415" t="n">
        <x:v>0</x:v>
      </x:c>
      <x:c r="H2415" t="n">
        <x:f>ROUND(F2415*G2415/100,2)</x:f>
        <x:v>0</x:v>
      </x:c>
      <x:c r="I2415" t="n">
        <x:v>0</x:v>
      </x:c>
      <x:c r="J2415" t="n">
        <x:f>ROUND(F2415*I2415/100,2)</x:f>
        <x:v>0</x:v>
      </x:c>
      <x:c r="K2415" t="n">
        <x:v>0</x:v>
      </x:c>
      <x:c r="L2415" t="n">
        <x:f>ROUND(F2415*K2415/100,2)</x:f>
        <x:v>0</x:v>
      </x:c>
      <x:c r="M2415" t="n">
        <x:v>0</x:v>
      </x:c>
      <x:c r="N2415" t="n">
        <x:f>ROUND(F2415*M2415/100,2)</x:f>
        <x:v>0</x:v>
      </x:c>
      <x:c r="O2415" t="str"/>
    </x:row>
    <x:row r="2416" ht="23" customHeight="1">
      <x:c r="A2416" t="n">
        <x:v>403</x:v>
      </x:c>
      <x:c r="B2416" t="n">
        <x:v>202</x:v>
      </x:c>
      <x:c r="C2416" t="str">
        <x:v>午餐</x:v>
      </x:c>
      <x:c r="D2416" t="str">
        <x:v>蔬菜</x:v>
      </x:c>
      <x:c r="E2416" t="str">
        <x:v>西兰花</x:v>
      </x:c>
      <x:c r="F2416" t="n">
        <x:v>190</x:v>
      </x:c>
      <x:c r="G2416" t="n">
        <x:v>34</x:v>
      </x:c>
      <x:c r="H2416" t="n">
        <x:f>ROUND(F2416*G2416/100,2)</x:f>
        <x:v>64.6</x:v>
      </x:c>
      <x:c r="I2416" t="n">
        <x:v>2.8</x:v>
      </x:c>
      <x:c r="J2416" t="n">
        <x:f>ROUND(F2416*I2416/100,2)</x:f>
        <x:v>5.32</x:v>
      </x:c>
      <x:c r="K2416" t="n">
        <x:v>7</x:v>
      </x:c>
      <x:c r="L2416" t="n">
        <x:f>ROUND(F2416*K2416/100,2)</x:f>
        <x:v>13.3</x:v>
      </x:c>
      <x:c r="M2416" t="n">
        <x:v>0.4</x:v>
      </x:c>
      <x:c r="N2416" t="n">
        <x:f>ROUND(F2416*M2416/100,2)</x:f>
        <x:v>0.76</x:v>
      </x:c>
      <x:c r="O2416" t="str">
        <x:v>生重</x:v>
      </x:c>
    </x:row>
    <x:row r="2417" ht="23" customHeight="1">
      <x:c r="A2417" t="n">
        <x:v>403</x:v>
      </x:c>
      <x:c r="B2417" t="n">
        <x:v>202</x:v>
      </x:c>
      <x:c r="C2417" t="str">
        <x:v>午餐</x:v>
      </x:c>
      <x:c r="D2417" t="str">
        <x:v>蔬菜</x:v>
      </x:c>
      <x:c r="E2417" t="str">
        <x:v>洋葱</x:v>
      </x:c>
      <x:c r="F2417" t="n">
        <x:v>155</x:v>
      </x:c>
      <x:c r="G2417" t="n">
        <x:v>40</x:v>
      </x:c>
      <x:c r="H2417" t="n">
        <x:f>ROUND(F2417*G2417/100,2)</x:f>
        <x:v>62</x:v>
      </x:c>
      <x:c r="I2417" t="n">
        <x:v>1.1</x:v>
      </x:c>
      <x:c r="J2417" t="n">
        <x:f>ROUND(F2417*I2417/100,2)</x:f>
        <x:v>1.71</x:v>
      </x:c>
      <x:c r="K2417" t="n">
        <x:v>9.3</x:v>
      </x:c>
      <x:c r="L2417" t="n">
        <x:f>ROUND(F2417*K2417/100,2)</x:f>
        <x:v>14.42</x:v>
      </x:c>
      <x:c r="M2417" t="n">
        <x:v>0.1</x:v>
      </x:c>
      <x:c r="N2417" t="n">
        <x:f>ROUND(F2417*M2417/100,2)</x:f>
        <x:v>0.16</x:v>
      </x:c>
      <x:c r="O2417" t="str">
        <x:v>生重</x:v>
      </x:c>
    </x:row>
    <x:row r="2418" ht="23" customHeight="1">
      <x:c r="A2418" t="n">
        <x:v>403</x:v>
      </x:c>
      <x:c r="B2418" t="n">
        <x:v>202</x:v>
      </x:c>
      <x:c r="C2418" t="str">
        <x:v>午餐</x:v>
      </x:c>
      <x:c r="D2418" t="str">
        <x:v>主食</x:v>
      </x:c>
      <x:c r="E2418" t="str">
        <x:v>藜麦饭</x:v>
      </x:c>
      <x:c r="F2418" t="n">
        <x:v>150</x:v>
      </x:c>
      <x:c r="G2418" t="n">
        <x:v>120</x:v>
      </x:c>
      <x:c r="H2418" t="n">
        <x:f>ROUND(F2418*G2418/100,2)</x:f>
        <x:v>180</x:v>
      </x:c>
      <x:c r="I2418" t="n">
        <x:v>4.4</x:v>
      </x:c>
      <x:c r="J2418" t="n">
        <x:f>ROUND(F2418*I2418/100,2)</x:f>
        <x:v>6.6</x:v>
      </x:c>
      <x:c r="K2418" t="n">
        <x:v>21.3</x:v>
      </x:c>
      <x:c r="L2418" t="n">
        <x:f>ROUND(F2418*K2418/100,2)</x:f>
        <x:v>31.95</x:v>
      </x:c>
      <x:c r="M2418" t="n">
        <x:v>1.9</x:v>
      </x:c>
      <x:c r="N2418" t="n">
        <x:f>ROUND(F2418*M2418/100,2)</x:f>
        <x:v>2.85</x:v>
      </x:c>
      <x:c r="O2418" t="str">
        <x:v>熟重</x:v>
      </x:c>
    </x:row>
    <x:row r="2419" ht="23" customHeight="1">
      <x:c r="A2419" t="n">
        <x:v>403</x:v>
      </x:c>
      <x:c r="B2419" t="n">
        <x:v>202</x:v>
      </x:c>
      <x:c r="C2419" t="str">
        <x:v>午餐</x:v>
      </x:c>
      <x:c r="D2419" t="str">
        <x:v>油脂</x:v>
      </x:c>
      <x:c r="E2419" t="str">
        <x:v>烹调油</x:v>
      </x:c>
      <x:c r="F2419" t="n">
        <x:v>3</x:v>
      </x:c>
      <x:c r="G2419" t="n">
        <x:v>900</x:v>
      </x:c>
      <x:c r="H2419" t="n">
        <x:f>ROUND(F2419*G2419/100,2)</x:f>
        <x:v>27</x:v>
      </x:c>
      <x:c r="I2419" t="n">
        <x:v>0</x:v>
      </x:c>
      <x:c r="J2419" t="n">
        <x:f>ROUND(F2419*I2419/100,2)</x:f>
        <x:v>0</x:v>
      </x:c>
      <x:c r="K2419" t="n">
        <x:v>0</x:v>
      </x:c>
      <x:c r="L2419" t="n">
        <x:f>ROUND(F2419*K2419/100,2)</x:f>
        <x:v>0</x:v>
      </x:c>
      <x:c r="M2419" t="n">
        <x:v>100</x:v>
      </x:c>
      <x:c r="N2419" t="n">
        <x:f>ROUND(F2419*M2419/100,2)</x:f>
        <x:v>3</x:v>
      </x:c>
      <x:c r="O2419" t="str">
        <x:v>实际用油重</x:v>
      </x:c>
    </x:row>
    <x:row r="2420" ht="23" customHeight="1">
      <x:c r="A2420" t="n">
        <x:v>404</x:v>
      </x:c>
      <x:c r="B2420" t="n">
        <x:v>202</x:v>
      </x:c>
      <x:c r="C2420" t="str">
        <x:v>晚餐</x:v>
      </x:c>
      <x:c r="D2420" t="str">
        <x:v>海鲜</x:v>
      </x:c>
      <x:c r="E2420" t="str">
        <x:v>虾仁</x:v>
      </x:c>
      <x:c r="F2420" t="n">
        <x:v>160</x:v>
      </x:c>
      <x:c r="G2420" t="n">
        <x:v>90</x:v>
      </x:c>
      <x:c r="H2420" t="n">
        <x:f>ROUND(F2420*G2420/100,2)</x:f>
        <x:v>144</x:v>
      </x:c>
      <x:c r="I2420" t="n">
        <x:v>19</x:v>
      </x:c>
      <x:c r="J2420" t="n">
        <x:f>ROUND(F2420*I2420/100,2)</x:f>
        <x:v>30.4</x:v>
      </x:c>
      <x:c r="K2420" t="n">
        <x:v>0.4</x:v>
      </x:c>
      <x:c r="L2420" t="n">
        <x:f>ROUND(F2420*K2420/100,2)</x:f>
        <x:v>0.64</x:v>
      </x:c>
      <x:c r="M2420" t="n">
        <x:v>1.1</x:v>
      </x:c>
      <x:c r="N2420" t="n">
        <x:f>ROUND(F2420*M2420/100,2)</x:f>
        <x:v>1.76</x:v>
      </x:c>
      <x:c r="O2420" t="str">
        <x:v>生重</x:v>
      </x:c>
    </x:row>
    <x:row r="2421" ht="23" customHeight="1">
      <x:c r="A2421" t="n">
        <x:v>404</x:v>
      </x:c>
      <x:c r="B2421" t="n">
        <x:v>202</x:v>
      </x:c>
      <x:c r="C2421" t="str">
        <x:v>晚餐</x:v>
      </x:c>
      <x:c r="D2421" t="str">
        <x:v>豆蛋</x:v>
      </x:c>
      <x:c r="E2421" t="str">
        <x:v>熟毛豆仁</x:v>
      </x:c>
      <x:c r="F2421" t="n">
        <x:v>70</x:v>
      </x:c>
      <x:c r="G2421" t="n">
        <x:v>120</x:v>
      </x:c>
      <x:c r="H2421" t="n">
        <x:f>ROUND(F2421*G2421/100,2)</x:f>
        <x:v>84</x:v>
      </x:c>
      <x:c r="I2421" t="n">
        <x:v>12</x:v>
      </x:c>
      <x:c r="J2421" t="n">
        <x:f>ROUND(F2421*I2421/100,2)</x:f>
        <x:v>8.4</x:v>
      </x:c>
      <x:c r="K2421" t="n">
        <x:v>9</x:v>
      </x:c>
      <x:c r="L2421" t="n">
        <x:f>ROUND(F2421*K2421/100,2)</x:f>
        <x:v>6.3</x:v>
      </x:c>
      <x:c r="M2421" t="n">
        <x:v>5</x:v>
      </x:c>
      <x:c r="N2421" t="n">
        <x:f>ROUND(F2421*M2421/100,2)</x:f>
        <x:v>3.5</x:v>
      </x:c>
      <x:c r="O2421" t="str">
        <x:v>熟重</x:v>
      </x:c>
    </x:row>
    <x:row r="2422" ht="23" customHeight="1">
      <x:c r="A2422" t="n">
        <x:v>404</x:v>
      </x:c>
      <x:c r="B2422" t="n">
        <x:v>202</x:v>
      </x:c>
      <x:c r="C2422" t="str">
        <x:v>晚餐</x:v>
      </x:c>
      <x:c r="D2422" t="str">
        <x:v>蔬菜</x:v>
      </x:c>
      <x:c r="E2422" t="str">
        <x:v>菜心</x:v>
      </x:c>
      <x:c r="F2422" t="n">
        <x:v>160</x:v>
      </x:c>
      <x:c r="G2422" t="n">
        <x:v>20</x:v>
      </x:c>
      <x:c r="H2422" t="n">
        <x:f>ROUND(F2422*G2422/100,2)</x:f>
        <x:v>32</x:v>
      </x:c>
      <x:c r="I2422" t="n">
        <x:v>2</x:v>
      </x:c>
      <x:c r="J2422" t="n">
        <x:f>ROUND(F2422*I2422/100,2)</x:f>
        <x:v>3.2</x:v>
      </x:c>
      <x:c r="K2422" t="n">
        <x:v>3.5</x:v>
      </x:c>
      <x:c r="L2422" t="n">
        <x:f>ROUND(F2422*K2422/100,2)</x:f>
        <x:v>5.6</x:v>
      </x:c>
      <x:c r="M2422" t="n">
        <x:v>0.3</x:v>
      </x:c>
      <x:c r="N2422" t="n">
        <x:f>ROUND(F2422*M2422/100,2)</x:f>
        <x:v>0.48</x:v>
      </x:c>
      <x:c r="O2422" t="str">
        <x:v>生重</x:v>
      </x:c>
    </x:row>
    <x:row r="2423" ht="23" customHeight="1">
      <x:c r="A2423" t="n">
        <x:v>404</x:v>
      </x:c>
      <x:c r="B2423" t="n">
        <x:v>202</x:v>
      </x:c>
      <x:c r="C2423" t="str">
        <x:v>晚餐</x:v>
      </x:c>
      <x:c r="D2423" t="str">
        <x:v>蔬菜</x:v>
      </x:c>
      <x:c r="E2423" t="str">
        <x:v>冬瓜</x:v>
      </x:c>
      <x:c r="F2423" t="n">
        <x:v>140</x:v>
      </x:c>
      <x:c r="G2423" t="n">
        <x:v>13</x:v>
      </x:c>
      <x:c r="H2423" t="n">
        <x:f>ROUND(F2423*G2423/100,2)</x:f>
        <x:v>18.2</x:v>
      </x:c>
      <x:c r="I2423" t="n">
        <x:v>0.4</x:v>
      </x:c>
      <x:c r="J2423" t="n">
        <x:f>ROUND(F2423*I2423/100,2)</x:f>
        <x:v>0.56</x:v>
      </x:c>
      <x:c r="K2423" t="n">
        <x:v>3</x:v>
      </x:c>
      <x:c r="L2423" t="n">
        <x:f>ROUND(F2423*K2423/100,2)</x:f>
        <x:v>4.2</x:v>
      </x:c>
      <x:c r="M2423" t="n">
        <x:v>0.2</x:v>
      </x:c>
      <x:c r="N2423" t="n">
        <x:f>ROUND(F2423*M2423/100,2)</x:f>
        <x:v>0.28</x:v>
      </x:c>
      <x:c r="O2423" t="str">
        <x:v>生重</x:v>
      </x:c>
    </x:row>
    <x:row r="2424" ht="23" customHeight="1">
      <x:c r="A2424" t="n">
        <x:v>404</x:v>
      </x:c>
      <x:c r="B2424" t="n">
        <x:v>202</x:v>
      </x:c>
      <x:c r="C2424" t="str">
        <x:v>晚餐</x:v>
      </x:c>
      <x:c r="D2424" t="str">
        <x:v>主食</x:v>
      </x:c>
      <x:c r="E2424" t="str">
        <x:v>白米饭</x:v>
      </x:c>
      <x:c r="F2424" t="n">
        <x:v>80</x:v>
      </x:c>
      <x:c r="G2424" t="n">
        <x:v>116</x:v>
      </x:c>
      <x:c r="H2424" t="n">
        <x:f>ROUND(F2424*G2424/100,2)</x:f>
        <x:v>92.8</x:v>
      </x:c>
      <x:c r="I2424" t="n">
        <x:v>2.6</x:v>
      </x:c>
      <x:c r="J2424" t="n">
        <x:f>ROUND(F2424*I2424/100,2)</x:f>
        <x:v>2.08</x:v>
      </x:c>
      <x:c r="K2424" t="n">
        <x:v>25.6</x:v>
      </x:c>
      <x:c r="L2424" t="n">
        <x:f>ROUND(F2424*K2424/100,2)</x:f>
        <x:v>20.48</x:v>
      </x:c>
      <x:c r="M2424" t="n">
        <x:v>0.3</x:v>
      </x:c>
      <x:c r="N2424" t="n">
        <x:f>ROUND(F2424*M2424/100,2)</x:f>
        <x:v>0.24</x:v>
      </x:c>
      <x:c r="O2424" t="str">
        <x:v>熟重</x:v>
      </x:c>
    </x:row>
    <x:row r="2425" ht="23" customHeight="1">
      <x:c r="A2425" t="n">
        <x:v>404</x:v>
      </x:c>
      <x:c r="B2425" t="n">
        <x:v>202</x:v>
      </x:c>
      <x:c r="C2425" t="str">
        <x:v>晚餐</x:v>
      </x:c>
      <x:c r="D2425" t="str">
        <x:v>油脂</x:v>
      </x:c>
      <x:c r="E2425" t="str">
        <x:v>烹调油</x:v>
      </x:c>
      <x:c r="F2425" t="n">
        <x:v>5</x:v>
      </x:c>
      <x:c r="G2425" t="n">
        <x:v>900</x:v>
      </x:c>
      <x:c r="H2425" t="n">
        <x:f>ROUND(F2425*G2425/100,2)</x:f>
        <x:v>45</x:v>
      </x:c>
      <x:c r="I2425" t="n">
        <x:v>0</x:v>
      </x:c>
      <x:c r="J2425" t="n">
        <x:f>ROUND(F2425*I2425/100,2)</x:f>
        <x:v>0</x:v>
      </x:c>
      <x:c r="K2425" t="n">
        <x:v>0</x:v>
      </x:c>
      <x:c r="L2425" t="n">
        <x:f>ROUND(F2425*K2425/100,2)</x:f>
        <x:v>0</x:v>
      </x:c>
      <x:c r="M2425" t="n">
        <x:v>100</x:v>
      </x:c>
      <x:c r="N2425" t="n">
        <x:f>ROUND(F2425*M2425/100,2)</x:f>
        <x:v>5</x:v>
      </x:c>
      <x:c r="O2425" t="str">
        <x:v>实际用油重</x:v>
      </x:c>
    </x:row>
    <x:row r="2426" ht="23" customHeight="1">
      <x:c r="A2426" t="n">
        <x:v>405</x:v>
      </x:c>
      <x:c r="B2426" t="n">
        <x:v>203</x:v>
      </x:c>
      <x:c r="C2426" t="str">
        <x:v>午餐</x:v>
      </x:c>
      <x:c r="D2426" t="str">
        <x:v>鱼类</x:v>
      </x:c>
      <x:c r="E2426" t="str">
        <x:v>鲈鱼</x:v>
      </x:c>
      <x:c r="F2426" t="n">
        <x:v>215</x:v>
      </x:c>
      <x:c r="G2426" t="n">
        <x:v>105</x:v>
      </x:c>
      <x:c r="H2426" t="n">
        <x:f>ROUND(F2426*G2426/100,2)</x:f>
        <x:v>225.75</x:v>
      </x:c>
      <x:c r="I2426" t="n">
        <x:v>19</x:v>
      </x:c>
      <x:c r="J2426" t="n">
        <x:f>ROUND(F2426*I2426/100,2)</x:f>
        <x:v>40.85</x:v>
      </x:c>
      <x:c r="K2426" t="n">
        <x:v>0</x:v>
      </x:c>
      <x:c r="L2426" t="n">
        <x:f>ROUND(F2426*K2426/100,2)</x:f>
        <x:v>0</x:v>
      </x:c>
      <x:c r="M2426" t="n">
        <x:v>3</x:v>
      </x:c>
      <x:c r="N2426" t="n">
        <x:f>ROUND(F2426*M2426/100,2)</x:f>
        <x:v>6.45</x:v>
      </x:c>
      <x:c r="O2426" t="str">
        <x:v>净鱼肉生重</x:v>
      </x:c>
    </x:row>
    <x:row r="2427" ht="23" customHeight="1">
      <x:c r="A2427" t="n">
        <x:v>405</x:v>
      </x:c>
      <x:c r="B2427" t="n">
        <x:v>203</x:v>
      </x:c>
      <x:c r="C2427" t="str">
        <x:v>午餐</x:v>
      </x:c>
      <x:c r="D2427" t="str"/>
      <x:c r="E2427" t="str"/>
      <x:c r="F2427" t="n">
        <x:v>0</x:v>
      </x:c>
      <x:c r="G2427" t="n">
        <x:v>0</x:v>
      </x:c>
      <x:c r="H2427" t="n">
        <x:f>ROUND(F2427*G2427/100,2)</x:f>
        <x:v>0</x:v>
      </x:c>
      <x:c r="I2427" t="n">
        <x:v>0</x:v>
      </x:c>
      <x:c r="J2427" t="n">
        <x:f>ROUND(F2427*I2427/100,2)</x:f>
        <x:v>0</x:v>
      </x:c>
      <x:c r="K2427" t="n">
        <x:v>0</x:v>
      </x:c>
      <x:c r="L2427" t="n">
        <x:f>ROUND(F2427*K2427/100,2)</x:f>
        <x:v>0</x:v>
      </x:c>
      <x:c r="M2427" t="n">
        <x:v>0</x:v>
      </x:c>
      <x:c r="N2427" t="n">
        <x:f>ROUND(F2427*M2427/100,2)</x:f>
        <x:v>0</x:v>
      </x:c>
      <x:c r="O2427" t="str"/>
    </x:row>
    <x:row r="2428" ht="23" customHeight="1">
      <x:c r="A2428" t="n">
        <x:v>405</x:v>
      </x:c>
      <x:c r="B2428" t="n">
        <x:v>203</x:v>
      </x:c>
      <x:c r="C2428" t="str">
        <x:v>午餐</x:v>
      </x:c>
      <x:c r="D2428" t="str">
        <x:v>蔬菜</x:v>
      </x:c>
      <x:c r="E2428" t="str">
        <x:v>生菜</x:v>
      </x:c>
      <x:c r="F2428" t="n">
        <x:v>190</x:v>
      </x:c>
      <x:c r="G2428" t="n">
        <x:v>16</x:v>
      </x:c>
      <x:c r="H2428" t="n">
        <x:f>ROUND(F2428*G2428/100,2)</x:f>
        <x:v>30.4</x:v>
      </x:c>
      <x:c r="I2428" t="n">
        <x:v>1.4</x:v>
      </x:c>
      <x:c r="J2428" t="n">
        <x:f>ROUND(F2428*I2428/100,2)</x:f>
        <x:v>2.66</x:v>
      </x:c>
      <x:c r="K2428" t="n">
        <x:v>2.9</x:v>
      </x:c>
      <x:c r="L2428" t="n">
        <x:f>ROUND(F2428*K2428/100,2)</x:f>
        <x:v>5.51</x:v>
      </x:c>
      <x:c r="M2428" t="n">
        <x:v>0.1</x:v>
      </x:c>
      <x:c r="N2428" t="n">
        <x:f>ROUND(F2428*M2428/100,2)</x:f>
        <x:v>0.19</x:v>
      </x:c>
      <x:c r="O2428" t="str">
        <x:v>生重</x:v>
      </x:c>
    </x:row>
    <x:row r="2429" ht="23" customHeight="1">
      <x:c r="A2429" t="n">
        <x:v>405</x:v>
      </x:c>
      <x:c r="B2429" t="n">
        <x:v>203</x:v>
      </x:c>
      <x:c r="C2429" t="str">
        <x:v>午餐</x:v>
      </x:c>
      <x:c r="D2429" t="str">
        <x:v>菌菇</x:v>
      </x:c>
      <x:c r="E2429" t="str">
        <x:v>杏鲍菇</x:v>
      </x:c>
      <x:c r="F2429" t="n">
        <x:v>140</x:v>
      </x:c>
      <x:c r="G2429" t="n">
        <x:v>35</x:v>
      </x:c>
      <x:c r="H2429" t="n">
        <x:f>ROUND(F2429*G2429/100,2)</x:f>
        <x:v>49</x:v>
      </x:c>
      <x:c r="I2429" t="n">
        <x:v>2</x:v>
      </x:c>
      <x:c r="J2429" t="n">
        <x:f>ROUND(F2429*I2429/100,2)</x:f>
        <x:v>2.8</x:v>
      </x:c>
      <x:c r="K2429" t="n">
        <x:v>7.4</x:v>
      </x:c>
      <x:c r="L2429" t="n">
        <x:f>ROUND(F2429*K2429/100,2)</x:f>
        <x:v>10.36</x:v>
      </x:c>
      <x:c r="M2429" t="n">
        <x:v>0.3</x:v>
      </x:c>
      <x:c r="N2429" t="n">
        <x:f>ROUND(F2429*M2429/100,2)</x:f>
        <x:v>0.42</x:v>
      </x:c>
      <x:c r="O2429" t="str">
        <x:v>生重</x:v>
      </x:c>
    </x:row>
    <x:row r="2430" ht="23" customHeight="1">
      <x:c r="A2430" t="n">
        <x:v>405</x:v>
      </x:c>
      <x:c r="B2430" t="n">
        <x:v>203</x:v>
      </x:c>
      <x:c r="C2430" t="str">
        <x:v>午餐</x:v>
      </x:c>
      <x:c r="D2430" t="str">
        <x:v>低主食</x:v>
      </x:c>
      <x:c r="E2430" t="str">
        <x:v>魔芋丝</x:v>
      </x:c>
      <x:c r="F2430" t="n">
        <x:v>160</x:v>
      </x:c>
      <x:c r="G2430" t="n">
        <x:v>9</x:v>
      </x:c>
      <x:c r="H2430" t="n">
        <x:f>ROUND(F2430*G2430/100,2)</x:f>
        <x:v>14.4</x:v>
      </x:c>
      <x:c r="I2430" t="n">
        <x:v>0.3</x:v>
      </x:c>
      <x:c r="J2430" t="n">
        <x:f>ROUND(F2430*I2430/100,2)</x:f>
        <x:v>0.48</x:v>
      </x:c>
      <x:c r="K2430" t="n">
        <x:v>2</x:v>
      </x:c>
      <x:c r="L2430" t="n">
        <x:f>ROUND(F2430*K2430/100,2)</x:f>
        <x:v>3.2</x:v>
      </x:c>
      <x:c r="M2430" t="n">
        <x:v>0</x:v>
      </x:c>
      <x:c r="N2430" t="n">
        <x:f>ROUND(F2430*M2430/100,2)</x:f>
        <x:v>0</x:v>
      </x:c>
      <x:c r="O2430" t="str">
        <x:v>沥水重</x:v>
      </x:c>
    </x:row>
    <x:row r="2431" ht="23" customHeight="1">
      <x:c r="A2431" t="n">
        <x:v>405</x:v>
      </x:c>
      <x:c r="B2431" t="n">
        <x:v>203</x:v>
      </x:c>
      <x:c r="C2431" t="str">
        <x:v>午餐</x:v>
      </x:c>
      <x:c r="D2431" t="str">
        <x:v>油脂</x:v>
      </x:c>
      <x:c r="E2431" t="str">
        <x:v>烹调油</x:v>
      </x:c>
      <x:c r="F2431" t="n">
        <x:v>6</x:v>
      </x:c>
      <x:c r="G2431" t="n">
        <x:v>900</x:v>
      </x:c>
      <x:c r="H2431" t="n">
        <x:f>ROUND(F2431*G2431/100,2)</x:f>
        <x:v>54</x:v>
      </x:c>
      <x:c r="I2431" t="n">
        <x:v>0</x:v>
      </x:c>
      <x:c r="J2431" t="n">
        <x:f>ROUND(F2431*I2431/100,2)</x:f>
        <x:v>0</x:v>
      </x:c>
      <x:c r="K2431" t="n">
        <x:v>0</x:v>
      </x:c>
      <x:c r="L2431" t="n">
        <x:f>ROUND(F2431*K2431/100,2)</x:f>
        <x:v>0</x:v>
      </x:c>
      <x:c r="M2431" t="n">
        <x:v>100</x:v>
      </x:c>
      <x:c r="N2431" t="n">
        <x:f>ROUND(F2431*M2431/100,2)</x:f>
        <x:v>6</x:v>
      </x:c>
      <x:c r="O2431" t="str">
        <x:v>实际用油重</x:v>
      </x:c>
    </x:row>
    <x:row r="2432" ht="23" customHeight="1">
      <x:c r="A2432" t="n">
        <x:v>406</x:v>
      </x:c>
      <x:c r="B2432" t="n">
        <x:v>203</x:v>
      </x:c>
      <x:c r="C2432" t="str">
        <x:v>晚餐</x:v>
      </x:c>
      <x:c r="D2432" t="str">
        <x:v>牛肉</x:v>
      </x:c>
      <x:c r="E2432" t="str">
        <x:v>牛里脊</x:v>
      </x:c>
      <x:c r="F2432" t="n">
        <x:v>180</x:v>
      </x:c>
      <x:c r="G2432" t="n">
        <x:v>130</x:v>
      </x:c>
      <x:c r="H2432" t="n">
        <x:f>ROUND(F2432*G2432/100,2)</x:f>
        <x:v>234</x:v>
      </x:c>
      <x:c r="I2432" t="n">
        <x:v>21</x:v>
      </x:c>
      <x:c r="J2432" t="n">
        <x:f>ROUND(F2432*I2432/100,2)</x:f>
        <x:v>37.8</x:v>
      </x:c>
      <x:c r="K2432" t="n">
        <x:v>0</x:v>
      </x:c>
      <x:c r="L2432" t="n">
        <x:f>ROUND(F2432*K2432/100,2)</x:f>
        <x:v>0</x:v>
      </x:c>
      <x:c r="M2432" t="n">
        <x:v>4.8</x:v>
      </x:c>
      <x:c r="N2432" t="n">
        <x:f>ROUND(F2432*M2432/100,2)</x:f>
        <x:v>8.64</x:v>
      </x:c>
      <x:c r="O2432" t="str">
        <x:v>生重</x:v>
      </x:c>
    </x:row>
    <x:row r="2433" ht="23" customHeight="1">
      <x:c r="A2433" t="n">
        <x:v>406</x:v>
      </x:c>
      <x:c r="B2433" t="n">
        <x:v>203</x:v>
      </x:c>
      <x:c r="C2433" t="str">
        <x:v>晚餐</x:v>
      </x:c>
      <x:c r="D2433" t="str"/>
      <x:c r="E2433" t="str"/>
      <x:c r="F2433" t="n">
        <x:v>0</x:v>
      </x:c>
      <x:c r="G2433" t="n">
        <x:v>0</x:v>
      </x:c>
      <x:c r="H2433" t="n">
        <x:f>ROUND(F2433*G2433/100,2)</x:f>
        <x:v>0</x:v>
      </x:c>
      <x:c r="I2433" t="n">
        <x:v>0</x:v>
      </x:c>
      <x:c r="J2433" t="n">
        <x:f>ROUND(F2433*I2433/100,2)</x:f>
        <x:v>0</x:v>
      </x:c>
      <x:c r="K2433" t="n">
        <x:v>0</x:v>
      </x:c>
      <x:c r="L2433" t="n">
        <x:f>ROUND(F2433*K2433/100,2)</x:f>
        <x:v>0</x:v>
      </x:c>
      <x:c r="M2433" t="n">
        <x:v>0</x:v>
      </x:c>
      <x:c r="N2433" t="n">
        <x:f>ROUND(F2433*M2433/100,2)</x:f>
        <x:v>0</x:v>
      </x:c>
      <x:c r="O2433" t="str"/>
    </x:row>
    <x:row r="2434" ht="23" customHeight="1">
      <x:c r="A2434" t="n">
        <x:v>406</x:v>
      </x:c>
      <x:c r="B2434" t="n">
        <x:v>203</x:v>
      </x:c>
      <x:c r="C2434" t="str">
        <x:v>晚餐</x:v>
      </x:c>
      <x:c r="D2434" t="str">
        <x:v>蔬菜</x:v>
      </x:c>
      <x:c r="E2434" t="str">
        <x:v>荷兰豆</x:v>
      </x:c>
      <x:c r="F2434" t="n">
        <x:v>160</x:v>
      </x:c>
      <x:c r="G2434" t="n">
        <x:v>42</x:v>
      </x:c>
      <x:c r="H2434" t="n">
        <x:f>ROUND(F2434*G2434/100,2)</x:f>
        <x:v>67.2</x:v>
      </x:c>
      <x:c r="I2434" t="n">
        <x:v>2.8</x:v>
      </x:c>
      <x:c r="J2434" t="n">
        <x:f>ROUND(F2434*I2434/100,2)</x:f>
        <x:v>4.48</x:v>
      </x:c>
      <x:c r="K2434" t="n">
        <x:v>7.5</x:v>
      </x:c>
      <x:c r="L2434" t="n">
        <x:f>ROUND(F2434*K2434/100,2)</x:f>
        <x:v>12</x:v>
      </x:c>
      <x:c r="M2434" t="n">
        <x:v>0.3</x:v>
      </x:c>
      <x:c r="N2434" t="n">
        <x:f>ROUND(F2434*M2434/100,2)</x:f>
        <x:v>0.48</x:v>
      </x:c>
      <x:c r="O2434" t="str">
        <x:v>生重</x:v>
      </x:c>
    </x:row>
    <x:row r="2435" ht="23" customHeight="1">
      <x:c r="A2435" t="n">
        <x:v>406</x:v>
      </x:c>
      <x:c r="B2435" t="n">
        <x:v>203</x:v>
      </x:c>
      <x:c r="C2435" t="str">
        <x:v>晚餐</x:v>
      </x:c>
      <x:c r="D2435" t="str">
        <x:v>蔬菜</x:v>
      </x:c>
      <x:c r="E2435" t="str">
        <x:v>彩椒</x:v>
      </x:c>
      <x:c r="F2435" t="n">
        <x:v>125</x:v>
      </x:c>
      <x:c r="G2435" t="n">
        <x:v>27</x:v>
      </x:c>
      <x:c r="H2435" t="n">
        <x:f>ROUND(F2435*G2435/100,2)</x:f>
        <x:v>33.75</x:v>
      </x:c>
      <x:c r="I2435" t="n">
        <x:v>1</x:v>
      </x:c>
      <x:c r="J2435" t="n">
        <x:f>ROUND(F2435*I2435/100,2)</x:f>
        <x:v>1.25</x:v>
      </x:c>
      <x:c r="K2435" t="n">
        <x:v>6.1</x:v>
      </x:c>
      <x:c r="L2435" t="n">
        <x:f>ROUND(F2435*K2435/100,2)</x:f>
        <x:v>7.63</x:v>
      </x:c>
      <x:c r="M2435" t="n">
        <x:v>0.2</x:v>
      </x:c>
      <x:c r="N2435" t="n">
        <x:f>ROUND(F2435*M2435/100,2)</x:f>
        <x:v>0.25</x:v>
      </x:c>
      <x:c r="O2435" t="str">
        <x:v>生重</x:v>
      </x:c>
    </x:row>
    <x:row r="2436" ht="23" customHeight="1">
      <x:c r="A2436" t="n">
        <x:v>406</x:v>
      </x:c>
      <x:c r="B2436" t="n">
        <x:v>203</x:v>
      </x:c>
      <x:c r="C2436" t="str">
        <x:v>晚餐</x:v>
      </x:c>
      <x:c r="D2436" t="str">
        <x:v>主食</x:v>
      </x:c>
      <x:c r="E2436" t="str">
        <x:v>土豆</x:v>
      </x:c>
      <x:c r="F2436" t="n">
        <x:v>80</x:v>
      </x:c>
      <x:c r="G2436" t="n">
        <x:v>78</x:v>
      </x:c>
      <x:c r="H2436" t="n">
        <x:f>ROUND(F2436*G2436/100,2)</x:f>
        <x:v>62.4</x:v>
      </x:c>
      <x:c r="I2436" t="n">
        <x:v>2</x:v>
      </x:c>
      <x:c r="J2436" t="n">
        <x:f>ROUND(F2436*I2436/100,2)</x:f>
        <x:v>1.6</x:v>
      </x:c>
      <x:c r="K2436" t="n">
        <x:v>17.2</x:v>
      </x:c>
      <x:c r="L2436" t="n">
        <x:f>ROUND(F2436*K2436/100,2)</x:f>
        <x:v>13.76</x:v>
      </x:c>
      <x:c r="M2436" t="n">
        <x:v>0.1</x:v>
      </x:c>
      <x:c r="N2436" t="n">
        <x:f>ROUND(F2436*M2436/100,2)</x:f>
        <x:v>0.08</x:v>
      </x:c>
      <x:c r="O2436" t="str">
        <x:v>蒸熟净重</x:v>
      </x:c>
    </x:row>
    <x:row r="2437" ht="23" customHeight="1">
      <x:c r="A2437" t="n">
        <x:v>406</x:v>
      </x:c>
      <x:c r="B2437" t="n">
        <x:v>203</x:v>
      </x:c>
      <x:c r="C2437" t="str">
        <x:v>晚餐</x:v>
      </x:c>
      <x:c r="D2437" t="str">
        <x:v>油脂</x:v>
      </x:c>
      <x:c r="E2437" t="str">
        <x:v>烹调油</x:v>
      </x:c>
      <x:c r="F2437" t="n">
        <x:v>5</x:v>
      </x:c>
      <x:c r="G2437" t="n">
        <x:v>900</x:v>
      </x:c>
      <x:c r="H2437" t="n">
        <x:f>ROUND(F2437*G2437/100,2)</x:f>
        <x:v>45</x:v>
      </x:c>
      <x:c r="I2437" t="n">
        <x:v>0</x:v>
      </x:c>
      <x:c r="J2437" t="n">
        <x:f>ROUND(F2437*I2437/100,2)</x:f>
        <x:v>0</x:v>
      </x:c>
      <x:c r="K2437" t="n">
        <x:v>0</x:v>
      </x:c>
      <x:c r="L2437" t="n">
        <x:f>ROUND(F2437*K2437/100,2)</x:f>
        <x:v>0</x:v>
      </x:c>
      <x:c r="M2437" t="n">
        <x:v>100</x:v>
      </x:c>
      <x:c r="N2437" t="n">
        <x:f>ROUND(F2437*M2437/100,2)</x:f>
        <x:v>5</x:v>
      </x:c>
      <x:c r="O2437" t="str">
        <x:v>实际用油重</x:v>
      </x:c>
    </x:row>
    <x:row r="2438" ht="23" customHeight="1">
      <x:c r="A2438" t="n">
        <x:v>407</x:v>
      </x:c>
      <x:c r="B2438" t="n">
        <x:v>204</x:v>
      </x:c>
      <x:c r="C2438" t="str">
        <x:v>午餐</x:v>
      </x:c>
      <x:c r="D2438" t="str">
        <x:v>牛肉</x:v>
      </x:c>
      <x:c r="E2438" t="str">
        <x:v>瘦牛肉</x:v>
      </x:c>
      <x:c r="F2438" t="n">
        <x:v>185</x:v>
      </x:c>
      <x:c r="G2438" t="n">
        <x:v>125</x:v>
      </x:c>
      <x:c r="H2438" t="n">
        <x:f>ROUND(F2438*G2438/100,2)</x:f>
        <x:v>231.25</x:v>
      </x:c>
      <x:c r="I2438" t="n">
        <x:v>21</x:v>
      </x:c>
      <x:c r="J2438" t="n">
        <x:f>ROUND(F2438*I2438/100,2)</x:f>
        <x:v>38.85</x:v>
      </x:c>
      <x:c r="K2438" t="n">
        <x:v>0</x:v>
      </x:c>
      <x:c r="L2438" t="n">
        <x:f>ROUND(F2438*K2438/100,2)</x:f>
        <x:v>0</x:v>
      </x:c>
      <x:c r="M2438" t="n">
        <x:v>4</x:v>
      </x:c>
      <x:c r="N2438" t="n">
        <x:f>ROUND(F2438*M2438/100,2)</x:f>
        <x:v>7.4</x:v>
      </x:c>
      <x:c r="O2438" t="str">
        <x:v>生重</x:v>
      </x:c>
    </x:row>
    <x:row r="2439" ht="23" customHeight="1">
      <x:c r="A2439" t="n">
        <x:v>407</x:v>
      </x:c>
      <x:c r="B2439" t="n">
        <x:v>204</x:v>
      </x:c>
      <x:c r="C2439" t="str">
        <x:v>午餐</x:v>
      </x:c>
      <x:c r="D2439" t="str">
        <x:v>豆蛋</x:v>
      </x:c>
      <x:c r="E2439" t="str">
        <x:v>熟毛豆仁</x:v>
      </x:c>
      <x:c r="F2439" t="n">
        <x:v>70</x:v>
      </x:c>
      <x:c r="G2439" t="n">
        <x:v>120</x:v>
      </x:c>
      <x:c r="H2439" t="n">
        <x:f>ROUND(F2439*G2439/100,2)</x:f>
        <x:v>84</x:v>
      </x:c>
      <x:c r="I2439" t="n">
        <x:v>12</x:v>
      </x:c>
      <x:c r="J2439" t="n">
        <x:f>ROUND(F2439*I2439/100,2)</x:f>
        <x:v>8.4</x:v>
      </x:c>
      <x:c r="K2439" t="n">
        <x:v>9</x:v>
      </x:c>
      <x:c r="L2439" t="n">
        <x:f>ROUND(F2439*K2439/100,2)</x:f>
        <x:v>6.3</x:v>
      </x:c>
      <x:c r="M2439" t="n">
        <x:v>5</x:v>
      </x:c>
      <x:c r="N2439" t="n">
        <x:f>ROUND(F2439*M2439/100,2)</x:f>
        <x:v>3.5</x:v>
      </x:c>
      <x:c r="O2439" t="str">
        <x:v>熟重</x:v>
      </x:c>
    </x:row>
    <x:row r="2440" ht="23" customHeight="1">
      <x:c r="A2440" t="n">
        <x:v>407</x:v>
      </x:c>
      <x:c r="B2440" t="n">
        <x:v>204</x:v>
      </x:c>
      <x:c r="C2440" t="str">
        <x:v>午餐</x:v>
      </x:c>
      <x:c r="D2440" t="str">
        <x:v>蔬菜</x:v>
      </x:c>
      <x:c r="E2440" t="str">
        <x:v>四季豆</x:v>
      </x:c>
      <x:c r="F2440" t="n">
        <x:v>190</x:v>
      </x:c>
      <x:c r="G2440" t="n">
        <x:v>31</x:v>
      </x:c>
      <x:c r="H2440" t="n">
        <x:f>ROUND(F2440*G2440/100,2)</x:f>
        <x:v>58.9</x:v>
      </x:c>
      <x:c r="I2440" t="n">
        <x:v>1.8</x:v>
      </x:c>
      <x:c r="J2440" t="n">
        <x:f>ROUND(F2440*I2440/100,2)</x:f>
        <x:v>3.42</x:v>
      </x:c>
      <x:c r="K2440" t="n">
        <x:v>7</x:v>
      </x:c>
      <x:c r="L2440" t="n">
        <x:f>ROUND(F2440*K2440/100,2)</x:f>
        <x:v>13.3</x:v>
      </x:c>
      <x:c r="M2440" t="n">
        <x:v>0.1</x:v>
      </x:c>
      <x:c r="N2440" t="n">
        <x:f>ROUND(F2440*M2440/100,2)</x:f>
        <x:v>0.19</x:v>
      </x:c>
      <x:c r="O2440" t="str">
        <x:v>生重</x:v>
      </x:c>
    </x:row>
    <x:row r="2441" ht="23" customHeight="1">
      <x:c r="A2441" t="n">
        <x:v>407</x:v>
      </x:c>
      <x:c r="B2441" t="n">
        <x:v>204</x:v>
      </x:c>
      <x:c r="C2441" t="str">
        <x:v>午餐</x:v>
      </x:c>
      <x:c r="D2441" t="str">
        <x:v>蔬菜</x:v>
      </x:c>
      <x:c r="E2441" t="str">
        <x:v>芦笋</x:v>
      </x:c>
      <x:c r="F2441" t="n">
        <x:v>140</x:v>
      </x:c>
      <x:c r="G2441" t="n">
        <x:v>20</x:v>
      </x:c>
      <x:c r="H2441" t="n">
        <x:f>ROUND(F2441*G2441/100,2)</x:f>
        <x:v>28</x:v>
      </x:c>
      <x:c r="I2441" t="n">
        <x:v>2.2</x:v>
      </x:c>
      <x:c r="J2441" t="n">
        <x:f>ROUND(F2441*I2441/100,2)</x:f>
        <x:v>3.08</x:v>
      </x:c>
      <x:c r="K2441" t="n">
        <x:v>3.9</x:v>
      </x:c>
      <x:c r="L2441" t="n">
        <x:f>ROUND(F2441*K2441/100,2)</x:f>
        <x:v>5.46</x:v>
      </x:c>
      <x:c r="M2441" t="n">
        <x:v>0.1</x:v>
      </x:c>
      <x:c r="N2441" t="n">
        <x:f>ROUND(F2441*M2441/100,2)</x:f>
        <x:v>0.14</x:v>
      </x:c>
      <x:c r="O2441" t="str">
        <x:v>生重</x:v>
      </x:c>
    </x:row>
    <x:row r="2442" ht="23" customHeight="1">
      <x:c r="A2442" t="n">
        <x:v>407</x:v>
      </x:c>
      <x:c r="B2442" t="n">
        <x:v>204</x:v>
      </x:c>
      <x:c r="C2442" t="str">
        <x:v>午餐</x:v>
      </x:c>
      <x:c r="D2442" t="str">
        <x:v>主食</x:v>
      </x:c>
      <x:c r="E2442" t="str">
        <x:v>藜麦饭</x:v>
      </x:c>
      <x:c r="F2442" t="n">
        <x:v>165</x:v>
      </x:c>
      <x:c r="G2442" t="n">
        <x:v>120</x:v>
      </x:c>
      <x:c r="H2442" t="n">
        <x:f>ROUND(F2442*G2442/100,2)</x:f>
        <x:v>198</x:v>
      </x:c>
      <x:c r="I2442" t="n">
        <x:v>4.4</x:v>
      </x:c>
      <x:c r="J2442" t="n">
        <x:f>ROUND(F2442*I2442/100,2)</x:f>
        <x:v>7.26</x:v>
      </x:c>
      <x:c r="K2442" t="n">
        <x:v>21.3</x:v>
      </x:c>
      <x:c r="L2442" t="n">
        <x:f>ROUND(F2442*K2442/100,2)</x:f>
        <x:v>35.15</x:v>
      </x:c>
      <x:c r="M2442" t="n">
        <x:v>1.9</x:v>
      </x:c>
      <x:c r="N2442" t="n">
        <x:f>ROUND(F2442*M2442/100,2)</x:f>
        <x:v>3.14</x:v>
      </x:c>
      <x:c r="O2442" t="str">
        <x:v>熟重</x:v>
      </x:c>
    </x:row>
    <x:row r="2443" ht="23" customHeight="1">
      <x:c r="A2443" t="n">
        <x:v>407</x:v>
      </x:c>
      <x:c r="B2443" t="n">
        <x:v>204</x:v>
      </x:c>
      <x:c r="C2443" t="str">
        <x:v>午餐</x:v>
      </x:c>
      <x:c r="D2443" t="str">
        <x:v>油脂</x:v>
      </x:c>
      <x:c r="E2443" t="str">
        <x:v>烹调油</x:v>
      </x:c>
      <x:c r="F2443" t="n">
        <x:v>6</x:v>
      </x:c>
      <x:c r="G2443" t="n">
        <x:v>900</x:v>
      </x:c>
      <x:c r="H2443" t="n">
        <x:f>ROUND(F2443*G2443/100,2)</x:f>
        <x:v>54</x:v>
      </x:c>
      <x:c r="I2443" t="n">
        <x:v>0</x:v>
      </x:c>
      <x:c r="J2443" t="n">
        <x:f>ROUND(F2443*I2443/100,2)</x:f>
        <x:v>0</x:v>
      </x:c>
      <x:c r="K2443" t="n">
        <x:v>0</x:v>
      </x:c>
      <x:c r="L2443" t="n">
        <x:f>ROUND(F2443*K2443/100,2)</x:f>
        <x:v>0</x:v>
      </x:c>
      <x:c r="M2443" t="n">
        <x:v>100</x:v>
      </x:c>
      <x:c r="N2443" t="n">
        <x:f>ROUND(F2443*M2443/100,2)</x:f>
        <x:v>6</x:v>
      </x:c>
      <x:c r="O2443" t="str">
        <x:v>实际用油重</x:v>
      </x:c>
    </x:row>
    <x:row r="2444" ht="23" customHeight="1">
      <x:c r="A2444" t="n">
        <x:v>408</x:v>
      </x:c>
      <x:c r="B2444" t="n">
        <x:v>204</x:v>
      </x:c>
      <x:c r="C2444" t="str">
        <x:v>晚餐</x:v>
      </x:c>
      <x:c r="D2444" t="str">
        <x:v>禽肉</x:v>
      </x:c>
      <x:c r="E2444" t="str">
        <x:v>去皮鸡腿肉</x:v>
      </x:c>
      <x:c r="F2444" t="n">
        <x:v>160</x:v>
      </x:c>
      <x:c r="G2444" t="n">
        <x:v>125</x:v>
      </x:c>
      <x:c r="H2444" t="n">
        <x:f>ROUND(F2444*G2444/100,2)</x:f>
        <x:v>200</x:v>
      </x:c>
      <x:c r="I2444" t="n">
        <x:v>20</x:v>
      </x:c>
      <x:c r="J2444" t="n">
        <x:f>ROUND(F2444*I2444/100,2)</x:f>
        <x:v>32</x:v>
      </x:c>
      <x:c r="K2444" t="n">
        <x:v>0</x:v>
      </x:c>
      <x:c r="L2444" t="n">
        <x:f>ROUND(F2444*K2444/100,2)</x:f>
        <x:v>0</x:v>
      </x:c>
      <x:c r="M2444" t="n">
        <x:v>5</x:v>
      </x:c>
      <x:c r="N2444" t="n">
        <x:f>ROUND(F2444*M2444/100,2)</x:f>
        <x:v>8</x:v>
      </x:c>
      <x:c r="O2444" t="str">
        <x:v>生重</x:v>
      </x:c>
    </x:row>
    <x:row r="2445" ht="23" customHeight="1">
      <x:c r="A2445" t="n">
        <x:v>408</x:v>
      </x:c>
      <x:c r="B2445" t="n">
        <x:v>204</x:v>
      </x:c>
      <x:c r="C2445" t="str">
        <x:v>晚餐</x:v>
      </x:c>
      <x:c r="D2445" t="str"/>
      <x:c r="E2445" t="str"/>
      <x:c r="F2445" t="n">
        <x:v>0</x:v>
      </x:c>
      <x:c r="G2445" t="n">
        <x:v>0</x:v>
      </x:c>
      <x:c r="H2445" t="n">
        <x:f>ROUND(F2445*G2445/100,2)</x:f>
        <x:v>0</x:v>
      </x:c>
      <x:c r="I2445" t="n">
        <x:v>0</x:v>
      </x:c>
      <x:c r="J2445" t="n">
        <x:f>ROUND(F2445*I2445/100,2)</x:f>
        <x:v>0</x:v>
      </x:c>
      <x:c r="K2445" t="n">
        <x:v>0</x:v>
      </x:c>
      <x:c r="L2445" t="n">
        <x:f>ROUND(F2445*K2445/100,2)</x:f>
        <x:v>0</x:v>
      </x:c>
      <x:c r="M2445" t="n">
        <x:v>0</x:v>
      </x:c>
      <x:c r="N2445" t="n">
        <x:f>ROUND(F2445*M2445/100,2)</x:f>
        <x:v>0</x:v>
      </x:c>
      <x:c r="O2445" t="str"/>
    </x:row>
    <x:row r="2446" ht="23" customHeight="1">
      <x:c r="A2446" t="n">
        <x:v>408</x:v>
      </x:c>
      <x:c r="B2446" t="n">
        <x:v>204</x:v>
      </x:c>
      <x:c r="C2446" t="str">
        <x:v>晚餐</x:v>
      </x:c>
      <x:c r="D2446" t="str">
        <x:v>蔬菜</x:v>
      </x:c>
      <x:c r="E2446" t="str">
        <x:v>四季豆</x:v>
      </x:c>
      <x:c r="F2446" t="n">
        <x:v>160</x:v>
      </x:c>
      <x:c r="G2446" t="n">
        <x:v>31</x:v>
      </x:c>
      <x:c r="H2446" t="n">
        <x:f>ROUND(F2446*G2446/100,2)</x:f>
        <x:v>49.6</x:v>
      </x:c>
      <x:c r="I2446" t="n">
        <x:v>1.8</x:v>
      </x:c>
      <x:c r="J2446" t="n">
        <x:f>ROUND(F2446*I2446/100,2)</x:f>
        <x:v>2.88</x:v>
      </x:c>
      <x:c r="K2446" t="n">
        <x:v>7</x:v>
      </x:c>
      <x:c r="L2446" t="n">
        <x:f>ROUND(F2446*K2446/100,2)</x:f>
        <x:v>11.2</x:v>
      </x:c>
      <x:c r="M2446" t="n">
        <x:v>0.1</x:v>
      </x:c>
      <x:c r="N2446" t="n">
        <x:f>ROUND(F2446*M2446/100,2)</x:f>
        <x:v>0.16</x:v>
      </x:c>
      <x:c r="O2446" t="str">
        <x:v>生重</x:v>
      </x:c>
    </x:row>
    <x:row r="2447" ht="23" customHeight="1">
      <x:c r="A2447" t="n">
        <x:v>408</x:v>
      </x:c>
      <x:c r="B2447" t="n">
        <x:v>204</x:v>
      </x:c>
      <x:c r="C2447" t="str">
        <x:v>晚餐</x:v>
      </x:c>
      <x:c r="D2447" t="str">
        <x:v>菌菇</x:v>
      </x:c>
      <x:c r="E2447" t="str">
        <x:v>杏鲍菇</x:v>
      </x:c>
      <x:c r="F2447" t="n">
        <x:v>140</x:v>
      </x:c>
      <x:c r="G2447" t="n">
        <x:v>35</x:v>
      </x:c>
      <x:c r="H2447" t="n">
        <x:f>ROUND(F2447*G2447/100,2)</x:f>
        <x:v>49</x:v>
      </x:c>
      <x:c r="I2447" t="n">
        <x:v>2</x:v>
      </x:c>
      <x:c r="J2447" t="n">
        <x:f>ROUND(F2447*I2447/100,2)</x:f>
        <x:v>2.8</x:v>
      </x:c>
      <x:c r="K2447" t="n">
        <x:v>7.4</x:v>
      </x:c>
      <x:c r="L2447" t="n">
        <x:f>ROUND(F2447*K2447/100,2)</x:f>
        <x:v>10.36</x:v>
      </x:c>
      <x:c r="M2447" t="n">
        <x:v>0.3</x:v>
      </x:c>
      <x:c r="N2447" t="n">
        <x:f>ROUND(F2447*M2447/100,2)</x:f>
        <x:v>0.42</x:v>
      </x:c>
      <x:c r="O2447" t="str">
        <x:v>生重</x:v>
      </x:c>
    </x:row>
    <x:row r="2448" ht="23" customHeight="1">
      <x:c r="A2448" t="n">
        <x:v>408</x:v>
      </x:c>
      <x:c r="B2448" t="n">
        <x:v>204</x:v>
      </x:c>
      <x:c r="C2448" t="str">
        <x:v>晚餐</x:v>
      </x:c>
      <x:c r="D2448" t="str">
        <x:v>主食</x:v>
      </x:c>
      <x:c r="E2448" t="str">
        <x:v>荞麦面</x:v>
      </x:c>
      <x:c r="F2448" t="n">
        <x:v>80</x:v>
      </x:c>
      <x:c r="G2448" t="n">
        <x:v>105</x:v>
      </x:c>
      <x:c r="H2448" t="n">
        <x:f>ROUND(F2448*G2448/100,2)</x:f>
        <x:v>84</x:v>
      </x:c>
      <x:c r="I2448" t="n">
        <x:v>4</x:v>
      </x:c>
      <x:c r="J2448" t="n">
        <x:f>ROUND(F2448*I2448/100,2)</x:f>
        <x:v>3.2</x:v>
      </x:c>
      <x:c r="K2448" t="n">
        <x:v>21</x:v>
      </x:c>
      <x:c r="L2448" t="n">
        <x:f>ROUND(F2448*K2448/100,2)</x:f>
        <x:v>16.8</x:v>
      </x:c>
      <x:c r="M2448" t="n">
        <x:v>0.7</x:v>
      </x:c>
      <x:c r="N2448" t="n">
        <x:f>ROUND(F2448*M2448/100,2)</x:f>
        <x:v>0.56</x:v>
      </x:c>
      <x:c r="O2448" t="str">
        <x:v>煮熟沥水重</x:v>
      </x:c>
    </x:row>
    <x:row r="2449" ht="23" customHeight="1">
      <x:c r="A2449" t="n">
        <x:v>408</x:v>
      </x:c>
      <x:c r="B2449" t="n">
        <x:v>204</x:v>
      </x:c>
      <x:c r="C2449" t="str">
        <x:v>晚餐</x:v>
      </x:c>
      <x:c r="D2449" t="str">
        <x:v>油脂</x:v>
      </x:c>
      <x:c r="E2449" t="str">
        <x:v>烹调油</x:v>
      </x:c>
      <x:c r="F2449" t="n">
        <x:v>3</x:v>
      </x:c>
      <x:c r="G2449" t="n">
        <x:v>900</x:v>
      </x:c>
      <x:c r="H2449" t="n">
        <x:f>ROUND(F2449*G2449/100,2)</x:f>
        <x:v>27</x:v>
      </x:c>
      <x:c r="I2449" t="n">
        <x:v>0</x:v>
      </x:c>
      <x:c r="J2449" t="n">
        <x:f>ROUND(F2449*I2449/100,2)</x:f>
        <x:v>0</x:v>
      </x:c>
      <x:c r="K2449" t="n">
        <x:v>0</x:v>
      </x:c>
      <x:c r="L2449" t="n">
        <x:f>ROUND(F2449*K2449/100,2)</x:f>
        <x:v>0</x:v>
      </x:c>
      <x:c r="M2449" t="n">
        <x:v>100</x:v>
      </x:c>
      <x:c r="N2449" t="n">
        <x:f>ROUND(F2449*M2449/100,2)</x:f>
        <x:v>3</x:v>
      </x:c>
      <x:c r="O2449" t="str">
        <x:v>实际用油重</x:v>
      </x:c>
    </x:row>
    <x:row r="2450" ht="23" customHeight="1">
      <x:c r="A2450" t="n">
        <x:v>409</x:v>
      </x:c>
      <x:c r="B2450" t="n">
        <x:v>205</x:v>
      </x:c>
      <x:c r="C2450" t="str">
        <x:v>午餐</x:v>
      </x:c>
      <x:c r="D2450" t="str">
        <x:v>禽肉</x:v>
      </x:c>
      <x:c r="E2450" t="str">
        <x:v>去皮鸡腿肉</x:v>
      </x:c>
      <x:c r="F2450" t="n">
        <x:v>215</x:v>
      </x:c>
      <x:c r="G2450" t="n">
        <x:v>125</x:v>
      </x:c>
      <x:c r="H2450" t="n">
        <x:f>ROUND(F2450*G2450/100,2)</x:f>
        <x:v>268.75</x:v>
      </x:c>
      <x:c r="I2450" t="n">
        <x:v>20</x:v>
      </x:c>
      <x:c r="J2450" t="n">
        <x:f>ROUND(F2450*I2450/100,2)</x:f>
        <x:v>43</x:v>
      </x:c>
      <x:c r="K2450" t="n">
        <x:v>0</x:v>
      </x:c>
      <x:c r="L2450" t="n">
        <x:f>ROUND(F2450*K2450/100,2)</x:f>
        <x:v>0</x:v>
      </x:c>
      <x:c r="M2450" t="n">
        <x:v>5</x:v>
      </x:c>
      <x:c r="N2450" t="n">
        <x:f>ROUND(F2450*M2450/100,2)</x:f>
        <x:v>10.75</x:v>
      </x:c>
      <x:c r="O2450" t="str">
        <x:v>生重</x:v>
      </x:c>
    </x:row>
    <x:row r="2451" ht="23" customHeight="1">
      <x:c r="A2451" t="n">
        <x:v>409</x:v>
      </x:c>
      <x:c r="B2451" t="n">
        <x:v>205</x:v>
      </x:c>
      <x:c r="C2451" t="str">
        <x:v>午餐</x:v>
      </x:c>
      <x:c r="D2451" t="str"/>
      <x:c r="E2451" t="str"/>
      <x:c r="F2451" t="n">
        <x:v>0</x:v>
      </x:c>
      <x:c r="G2451" t="n">
        <x:v>0</x:v>
      </x:c>
      <x:c r="H2451" t="n">
        <x:f>ROUND(F2451*G2451/100,2)</x:f>
        <x:v>0</x:v>
      </x:c>
      <x:c r="I2451" t="n">
        <x:v>0</x:v>
      </x:c>
      <x:c r="J2451" t="n">
        <x:f>ROUND(F2451*I2451/100,2)</x:f>
        <x:v>0</x:v>
      </x:c>
      <x:c r="K2451" t="n">
        <x:v>0</x:v>
      </x:c>
      <x:c r="L2451" t="n">
        <x:f>ROUND(F2451*K2451/100,2)</x:f>
        <x:v>0</x:v>
      </x:c>
      <x:c r="M2451" t="n">
        <x:v>0</x:v>
      </x:c>
      <x:c r="N2451" t="n">
        <x:f>ROUND(F2451*M2451/100,2)</x:f>
        <x:v>0</x:v>
      </x:c>
      <x:c r="O2451" t="str"/>
    </x:row>
    <x:row r="2452" ht="23" customHeight="1">
      <x:c r="A2452" t="n">
        <x:v>409</x:v>
      </x:c>
      <x:c r="B2452" t="n">
        <x:v>205</x:v>
      </x:c>
      <x:c r="C2452" t="str">
        <x:v>午餐</x:v>
      </x:c>
      <x:c r="D2452" t="str">
        <x:v>蔬菜</x:v>
      </x:c>
      <x:c r="E2452" t="str">
        <x:v>冬瓜</x:v>
      </x:c>
      <x:c r="F2452" t="n">
        <x:v>175</x:v>
      </x:c>
      <x:c r="G2452" t="n">
        <x:v>13</x:v>
      </x:c>
      <x:c r="H2452" t="n">
        <x:f>ROUND(F2452*G2452/100,2)</x:f>
        <x:v>22.75</x:v>
      </x:c>
      <x:c r="I2452" t="n">
        <x:v>0.4</x:v>
      </x:c>
      <x:c r="J2452" t="n">
        <x:f>ROUND(F2452*I2452/100,2)</x:f>
        <x:v>0.7</x:v>
      </x:c>
      <x:c r="K2452" t="n">
        <x:v>3</x:v>
      </x:c>
      <x:c r="L2452" t="n">
        <x:f>ROUND(F2452*K2452/100,2)</x:f>
        <x:v>5.25</x:v>
      </x:c>
      <x:c r="M2452" t="n">
        <x:v>0.2</x:v>
      </x:c>
      <x:c r="N2452" t="n">
        <x:f>ROUND(F2452*M2452/100,2)</x:f>
        <x:v>0.35</x:v>
      </x:c>
      <x:c r="O2452" t="str">
        <x:v>生重</x:v>
      </x:c>
    </x:row>
    <x:row r="2453" ht="23" customHeight="1">
      <x:c r="A2453" t="n">
        <x:v>409</x:v>
      </x:c>
      <x:c r="B2453" t="n">
        <x:v>205</x:v>
      </x:c>
      <x:c r="C2453" t="str">
        <x:v>午餐</x:v>
      </x:c>
      <x:c r="D2453" t="str">
        <x:v>蔬菜</x:v>
      </x:c>
      <x:c r="E2453" t="str">
        <x:v>番茄</x:v>
      </x:c>
      <x:c r="F2453" t="n">
        <x:v>140</x:v>
      </x:c>
      <x:c r="G2453" t="n">
        <x:v>20</x:v>
      </x:c>
      <x:c r="H2453" t="n">
        <x:f>ROUND(F2453*G2453/100,2)</x:f>
        <x:v>28</x:v>
      </x:c>
      <x:c r="I2453" t="n">
        <x:v>0.9</x:v>
      </x:c>
      <x:c r="J2453" t="n">
        <x:f>ROUND(F2453*I2453/100,2)</x:f>
        <x:v>1.26</x:v>
      </x:c>
      <x:c r="K2453" t="n">
        <x:v>4</x:v>
      </x:c>
      <x:c r="L2453" t="n">
        <x:f>ROUND(F2453*K2453/100,2)</x:f>
        <x:v>5.6</x:v>
      </x:c>
      <x:c r="M2453" t="n">
        <x:v>0.2</x:v>
      </x:c>
      <x:c r="N2453" t="n">
        <x:f>ROUND(F2453*M2453/100,2)</x:f>
        <x:v>0.28</x:v>
      </x:c>
      <x:c r="O2453" t="str">
        <x:v>生重</x:v>
      </x:c>
    </x:row>
    <x:row r="2454" ht="23" customHeight="1">
      <x:c r="A2454" t="n">
        <x:v>409</x:v>
      </x:c>
      <x:c r="B2454" t="n">
        <x:v>205</x:v>
      </x:c>
      <x:c r="C2454" t="str">
        <x:v>午餐</x:v>
      </x:c>
      <x:c r="D2454" t="str">
        <x:v>低主食</x:v>
      </x:c>
      <x:c r="E2454" t="str">
        <x:v>魔芋丝</x:v>
      </x:c>
      <x:c r="F2454" t="n">
        <x:v>130</x:v>
      </x:c>
      <x:c r="G2454" t="n">
        <x:v>9</x:v>
      </x:c>
      <x:c r="H2454" t="n">
        <x:f>ROUND(F2454*G2454/100,2)</x:f>
        <x:v>11.7</x:v>
      </x:c>
      <x:c r="I2454" t="n">
        <x:v>0.3</x:v>
      </x:c>
      <x:c r="J2454" t="n">
        <x:f>ROUND(F2454*I2454/100,2)</x:f>
        <x:v>0.39</x:v>
      </x:c>
      <x:c r="K2454" t="n">
        <x:v>2</x:v>
      </x:c>
      <x:c r="L2454" t="n">
        <x:f>ROUND(F2454*K2454/100,2)</x:f>
        <x:v>2.6</x:v>
      </x:c>
      <x:c r="M2454" t="n">
        <x:v>0</x:v>
      </x:c>
      <x:c r="N2454" t="n">
        <x:f>ROUND(F2454*M2454/100,2)</x:f>
        <x:v>0</x:v>
      </x:c>
      <x:c r="O2454" t="str">
        <x:v>沥水重</x:v>
      </x:c>
    </x:row>
    <x:row r="2455" ht="23" customHeight="1">
      <x:c r="A2455" t="n">
        <x:v>409</x:v>
      </x:c>
      <x:c r="B2455" t="n">
        <x:v>205</x:v>
      </x:c>
      <x:c r="C2455" t="str">
        <x:v>午餐</x:v>
      </x:c>
      <x:c r="D2455" t="str">
        <x:v>油脂</x:v>
      </x:c>
      <x:c r="E2455" t="str">
        <x:v>烹调油</x:v>
      </x:c>
      <x:c r="F2455" t="n">
        <x:v>4</x:v>
      </x:c>
      <x:c r="G2455" t="n">
        <x:v>900</x:v>
      </x:c>
      <x:c r="H2455" t="n">
        <x:f>ROUND(F2455*G2455/100,2)</x:f>
        <x:v>36</x:v>
      </x:c>
      <x:c r="I2455" t="n">
        <x:v>0</x:v>
      </x:c>
      <x:c r="J2455" t="n">
        <x:f>ROUND(F2455*I2455/100,2)</x:f>
        <x:v>0</x:v>
      </x:c>
      <x:c r="K2455" t="n">
        <x:v>0</x:v>
      </x:c>
      <x:c r="L2455" t="n">
        <x:f>ROUND(F2455*K2455/100,2)</x:f>
        <x:v>0</x:v>
      </x:c>
      <x:c r="M2455" t="n">
        <x:v>100</x:v>
      </x:c>
      <x:c r="N2455" t="n">
        <x:f>ROUND(F2455*M2455/100,2)</x:f>
        <x:v>4</x:v>
      </x:c>
      <x:c r="O2455" t="str">
        <x:v>实际用油重</x:v>
      </x:c>
    </x:row>
    <x:row r="2456" ht="23" customHeight="1">
      <x:c r="A2456" t="n">
        <x:v>410</x:v>
      </x:c>
      <x:c r="B2456" t="n">
        <x:v>205</x:v>
      </x:c>
      <x:c r="C2456" t="str">
        <x:v>晚餐</x:v>
      </x:c>
      <x:c r="D2456" t="str">
        <x:v>禽肉</x:v>
      </x:c>
      <x:c r="E2456" t="str">
        <x:v>鸡胸肉</x:v>
      </x:c>
      <x:c r="F2456" t="n">
        <x:v>145</x:v>
      </x:c>
      <x:c r="G2456" t="n">
        <x:v>110</x:v>
      </x:c>
      <x:c r="H2456" t="n">
        <x:f>ROUND(F2456*G2456/100,2)</x:f>
        <x:v>159.5</x:v>
      </x:c>
      <x:c r="I2456" t="n">
        <x:v>23</x:v>
      </x:c>
      <x:c r="J2456" t="n">
        <x:f>ROUND(F2456*I2456/100,2)</x:f>
        <x:v>33.35</x:v>
      </x:c>
      <x:c r="K2456" t="n">
        <x:v>0</x:v>
      </x:c>
      <x:c r="L2456" t="n">
        <x:f>ROUND(F2456*K2456/100,2)</x:f>
        <x:v>0</x:v>
      </x:c>
      <x:c r="M2456" t="n">
        <x:v>2</x:v>
      </x:c>
      <x:c r="N2456" t="n">
        <x:f>ROUND(F2456*M2456/100,2)</x:f>
        <x:v>2.9</x:v>
      </x:c>
      <x:c r="O2456" t="str">
        <x:v>生重</x:v>
      </x:c>
    </x:row>
    <x:row r="2457" ht="23" customHeight="1">
      <x:c r="A2457" t="n">
        <x:v>410</x:v>
      </x:c>
      <x:c r="B2457" t="n">
        <x:v>205</x:v>
      </x:c>
      <x:c r="C2457" t="str">
        <x:v>晚餐</x:v>
      </x:c>
      <x:c r="D2457" t="str"/>
      <x:c r="E2457" t="str"/>
      <x:c r="F2457" t="n">
        <x:v>0</x:v>
      </x:c>
      <x:c r="G2457" t="n">
        <x:v>0</x:v>
      </x:c>
      <x:c r="H2457" t="n">
        <x:f>ROUND(F2457*G2457/100,2)</x:f>
        <x:v>0</x:v>
      </x:c>
      <x:c r="I2457" t="n">
        <x:v>0</x:v>
      </x:c>
      <x:c r="J2457" t="n">
        <x:f>ROUND(F2457*I2457/100,2)</x:f>
        <x:v>0</x:v>
      </x:c>
      <x:c r="K2457" t="n">
        <x:v>0</x:v>
      </x:c>
      <x:c r="L2457" t="n">
        <x:f>ROUND(F2457*K2457/100,2)</x:f>
        <x:v>0</x:v>
      </x:c>
      <x:c r="M2457" t="n">
        <x:v>0</x:v>
      </x:c>
      <x:c r="N2457" t="n">
        <x:f>ROUND(F2457*M2457/100,2)</x:f>
        <x:v>0</x:v>
      </x:c>
      <x:c r="O2457" t="str"/>
    </x:row>
    <x:row r="2458" ht="23" customHeight="1">
      <x:c r="A2458" t="n">
        <x:v>410</x:v>
      </x:c>
      <x:c r="B2458" t="n">
        <x:v>205</x:v>
      </x:c>
      <x:c r="C2458" t="str">
        <x:v>晚餐</x:v>
      </x:c>
      <x:c r="D2458" t="str">
        <x:v>蔬菜</x:v>
      </x:c>
      <x:c r="E2458" t="str">
        <x:v>丝瓜</x:v>
      </x:c>
      <x:c r="F2458" t="n">
        <x:v>160</x:v>
      </x:c>
      <x:c r="G2458" t="n">
        <x:v>20</x:v>
      </x:c>
      <x:c r="H2458" t="n">
        <x:f>ROUND(F2458*G2458/100,2)</x:f>
        <x:v>32</x:v>
      </x:c>
      <x:c r="I2458" t="n">
        <x:v>1</x:v>
      </x:c>
      <x:c r="J2458" t="n">
        <x:f>ROUND(F2458*I2458/100,2)</x:f>
        <x:v>1.6</x:v>
      </x:c>
      <x:c r="K2458" t="n">
        <x:v>4</x:v>
      </x:c>
      <x:c r="L2458" t="n">
        <x:f>ROUND(F2458*K2458/100,2)</x:f>
        <x:v>6.4</x:v>
      </x:c>
      <x:c r="M2458" t="n">
        <x:v>0.2</x:v>
      </x:c>
      <x:c r="N2458" t="n">
        <x:f>ROUND(F2458*M2458/100,2)</x:f>
        <x:v>0.32</x:v>
      </x:c>
      <x:c r="O2458" t="str">
        <x:v>生重</x:v>
      </x:c>
    </x:row>
    <x:row r="2459" ht="23" customHeight="1">
      <x:c r="A2459" t="n">
        <x:v>410</x:v>
      </x:c>
      <x:c r="B2459" t="n">
        <x:v>205</x:v>
      </x:c>
      <x:c r="C2459" t="str">
        <x:v>晚餐</x:v>
      </x:c>
      <x:c r="D2459" t="str">
        <x:v>菌菇</x:v>
      </x:c>
      <x:c r="E2459" t="str">
        <x:v>香菇</x:v>
      </x:c>
      <x:c r="F2459" t="n">
        <x:v>110</x:v>
      </x:c>
      <x:c r="G2459" t="n">
        <x:v>34</x:v>
      </x:c>
      <x:c r="H2459" t="n">
        <x:f>ROUND(F2459*G2459/100,2)</x:f>
        <x:v>37.4</x:v>
      </x:c>
      <x:c r="I2459" t="n">
        <x:v>2.2</x:v>
      </x:c>
      <x:c r="J2459" t="n">
        <x:f>ROUND(F2459*I2459/100,2)</x:f>
        <x:v>2.42</x:v>
      </x:c>
      <x:c r="K2459" t="n">
        <x:v>6.8</x:v>
      </x:c>
      <x:c r="L2459" t="n">
        <x:f>ROUND(F2459*K2459/100,2)</x:f>
        <x:v>7.48</x:v>
      </x:c>
      <x:c r="M2459" t="n">
        <x:v>0.5</x:v>
      </x:c>
      <x:c r="N2459" t="n">
        <x:f>ROUND(F2459*M2459/100,2)</x:f>
        <x:v>0.55</x:v>
      </x:c>
      <x:c r="O2459" t="str">
        <x:v>生重</x:v>
      </x:c>
    </x:row>
    <x:row r="2460" ht="23" customHeight="1">
      <x:c r="A2460" t="n">
        <x:v>410</x:v>
      </x:c>
      <x:c r="B2460" t="n">
        <x:v>205</x:v>
      </x:c>
      <x:c r="C2460" t="str">
        <x:v>晚餐</x:v>
      </x:c>
      <x:c r="D2460" t="str">
        <x:v>主食</x:v>
      </x:c>
      <x:c r="E2460" t="str">
        <x:v>玉米</x:v>
      </x:c>
      <x:c r="F2460" t="n">
        <x:v>95</x:v>
      </x:c>
      <x:c r="G2460" t="n">
        <x:v>105</x:v>
      </x:c>
      <x:c r="H2460" t="n">
        <x:f>ROUND(F2460*G2460/100,2)</x:f>
        <x:v>99.75</x:v>
      </x:c>
      <x:c r="I2460" t="n">
        <x:v>3.4</x:v>
      </x:c>
      <x:c r="J2460" t="n">
        <x:f>ROUND(F2460*I2460/100,2)</x:f>
        <x:v>3.23</x:v>
      </x:c>
      <x:c r="K2460" t="n">
        <x:v>22</x:v>
      </x:c>
      <x:c r="L2460" t="n">
        <x:f>ROUND(F2460*K2460/100,2)</x:f>
        <x:v>20.9</x:v>
      </x:c>
      <x:c r="M2460" t="n">
        <x:v>1.5</x:v>
      </x:c>
      <x:c r="N2460" t="n">
        <x:f>ROUND(F2460*M2460/100,2)</x:f>
        <x:v>1.43</x:v>
      </x:c>
      <x:c r="O2460" t="str">
        <x:v>蒸熟净重</x:v>
      </x:c>
    </x:row>
    <x:row r="2461" ht="23" customHeight="1">
      <x:c r="A2461" t="n">
        <x:v>410</x:v>
      </x:c>
      <x:c r="B2461" t="n">
        <x:v>205</x:v>
      </x:c>
      <x:c r="C2461" t="str">
        <x:v>晚餐</x:v>
      </x:c>
      <x:c r="D2461" t="str">
        <x:v>油脂</x:v>
      </x:c>
      <x:c r="E2461" t="str">
        <x:v>烹调油</x:v>
      </x:c>
      <x:c r="F2461" t="n">
        <x:v>3</x:v>
      </x:c>
      <x:c r="G2461" t="n">
        <x:v>900</x:v>
      </x:c>
      <x:c r="H2461" t="n">
        <x:f>ROUND(F2461*G2461/100,2)</x:f>
        <x:v>27</x:v>
      </x:c>
      <x:c r="I2461" t="n">
        <x:v>0</x:v>
      </x:c>
      <x:c r="J2461" t="n">
        <x:f>ROUND(F2461*I2461/100,2)</x:f>
        <x:v>0</x:v>
      </x:c>
      <x:c r="K2461" t="n">
        <x:v>0</x:v>
      </x:c>
      <x:c r="L2461" t="n">
        <x:f>ROUND(F2461*K2461/100,2)</x:f>
        <x:v>0</x:v>
      </x:c>
      <x:c r="M2461" t="n">
        <x:v>100</x:v>
      </x:c>
      <x:c r="N2461" t="n">
        <x:f>ROUND(F2461*M2461/100,2)</x:f>
        <x:v>3</x:v>
      </x:c>
      <x:c r="O2461" t="str">
        <x:v>实际用油重</x:v>
      </x:c>
    </x:row>
    <x:row r="2462" ht="23" customHeight="1">
      <x:c r="A2462" t="n">
        <x:v>411</x:v>
      </x:c>
      <x:c r="B2462" t="n">
        <x:v>206</x:v>
      </x:c>
      <x:c r="C2462" t="str">
        <x:v>午餐</x:v>
      </x:c>
      <x:c r="D2462" t="str">
        <x:v>豆蛋</x:v>
      </x:c>
      <x:c r="E2462" t="str">
        <x:v>北豆腐</x:v>
      </x:c>
      <x:c r="F2462" t="n">
        <x:v>240</x:v>
      </x:c>
      <x:c r="G2462" t="n">
        <x:v>90</x:v>
      </x:c>
      <x:c r="H2462" t="n">
        <x:f>ROUND(F2462*G2462/100,2)</x:f>
        <x:v>216</x:v>
      </x:c>
      <x:c r="I2462" t="n">
        <x:v>10</x:v>
      </x:c>
      <x:c r="J2462" t="n">
        <x:f>ROUND(F2462*I2462/100,2)</x:f>
        <x:v>24</x:v>
      </x:c>
      <x:c r="K2462" t="n">
        <x:v>2</x:v>
      </x:c>
      <x:c r="L2462" t="n">
        <x:f>ROUND(F2462*K2462/100,2)</x:f>
        <x:v>4.8</x:v>
      </x:c>
      <x:c r="M2462" t="n">
        <x:v>5</x:v>
      </x:c>
      <x:c r="N2462" t="n">
        <x:f>ROUND(F2462*M2462/100,2)</x:f>
        <x:v>12</x:v>
      </x:c>
      <x:c r="O2462" t="str">
        <x:v>净重</x:v>
      </x:c>
    </x:row>
    <x:row r="2463" ht="23" customHeight="1">
      <x:c r="A2463" t="n">
        <x:v>411</x:v>
      </x:c>
      <x:c r="B2463" t="n">
        <x:v>206</x:v>
      </x:c>
      <x:c r="C2463" t="str">
        <x:v>午餐</x:v>
      </x:c>
      <x:c r="D2463" t="str">
        <x:v>海鲜</x:v>
      </x:c>
      <x:c r="E2463" t="str">
        <x:v>虾仁</x:v>
      </x:c>
      <x:c r="F2463" t="n">
        <x:v>65</x:v>
      </x:c>
      <x:c r="G2463" t="n">
        <x:v>90</x:v>
      </x:c>
      <x:c r="H2463" t="n">
        <x:f>ROUND(F2463*G2463/100,2)</x:f>
        <x:v>58.5</x:v>
      </x:c>
      <x:c r="I2463" t="n">
        <x:v>19</x:v>
      </x:c>
      <x:c r="J2463" t="n">
        <x:f>ROUND(F2463*I2463/100,2)</x:f>
        <x:v>12.35</x:v>
      </x:c>
      <x:c r="K2463" t="n">
        <x:v>0.4</x:v>
      </x:c>
      <x:c r="L2463" t="n">
        <x:f>ROUND(F2463*K2463/100,2)</x:f>
        <x:v>0.26</x:v>
      </x:c>
      <x:c r="M2463" t="n">
        <x:v>1.1</x:v>
      </x:c>
      <x:c r="N2463" t="n">
        <x:f>ROUND(F2463*M2463/100,2)</x:f>
        <x:v>0.72</x:v>
      </x:c>
      <x:c r="O2463" t="str">
        <x:v>生重</x:v>
      </x:c>
    </x:row>
    <x:row r="2464" ht="23" customHeight="1">
      <x:c r="A2464" t="n">
        <x:v>411</x:v>
      </x:c>
      <x:c r="B2464" t="n">
        <x:v>206</x:v>
      </x:c>
      <x:c r="C2464" t="str">
        <x:v>午餐</x:v>
      </x:c>
      <x:c r="D2464" t="str">
        <x:v>蔬菜</x:v>
      </x:c>
      <x:c r="E2464" t="str">
        <x:v>四季豆</x:v>
      </x:c>
      <x:c r="F2464" t="n">
        <x:v>175</x:v>
      </x:c>
      <x:c r="G2464" t="n">
        <x:v>31</x:v>
      </x:c>
      <x:c r="H2464" t="n">
        <x:f>ROUND(F2464*G2464/100,2)</x:f>
        <x:v>54.25</x:v>
      </x:c>
      <x:c r="I2464" t="n">
        <x:v>1.8</x:v>
      </x:c>
      <x:c r="J2464" t="n">
        <x:f>ROUND(F2464*I2464/100,2)</x:f>
        <x:v>3.15</x:v>
      </x:c>
      <x:c r="K2464" t="n">
        <x:v>7</x:v>
      </x:c>
      <x:c r="L2464" t="n">
        <x:f>ROUND(F2464*K2464/100,2)</x:f>
        <x:v>12.25</x:v>
      </x:c>
      <x:c r="M2464" t="n">
        <x:v>0.1</x:v>
      </x:c>
      <x:c r="N2464" t="n">
        <x:f>ROUND(F2464*M2464/100,2)</x:f>
        <x:v>0.18</x:v>
      </x:c>
      <x:c r="O2464" t="str">
        <x:v>生重</x:v>
      </x:c>
    </x:row>
    <x:row r="2465" ht="23" customHeight="1">
      <x:c r="A2465" t="n">
        <x:v>411</x:v>
      </x:c>
      <x:c r="B2465" t="n">
        <x:v>206</x:v>
      </x:c>
      <x:c r="C2465" t="str">
        <x:v>午餐</x:v>
      </x:c>
      <x:c r="D2465" t="str">
        <x:v>菌菇</x:v>
      </x:c>
      <x:c r="E2465" t="str">
        <x:v>口蘑</x:v>
      </x:c>
      <x:c r="F2465" t="n">
        <x:v>125</x:v>
      </x:c>
      <x:c r="G2465" t="n">
        <x:v>22</x:v>
      </x:c>
      <x:c r="H2465" t="n">
        <x:f>ROUND(F2465*G2465/100,2)</x:f>
        <x:v>27.5</x:v>
      </x:c>
      <x:c r="I2465" t="n">
        <x:v>3.1</x:v>
      </x:c>
      <x:c r="J2465" t="n">
        <x:f>ROUND(F2465*I2465/100,2)</x:f>
        <x:v>3.88</x:v>
      </x:c>
      <x:c r="K2465" t="n">
        <x:v>3.3</x:v>
      </x:c>
      <x:c r="L2465" t="n">
        <x:f>ROUND(F2465*K2465/100,2)</x:f>
        <x:v>4.13</x:v>
      </x:c>
      <x:c r="M2465" t="n">
        <x:v>0.3</x:v>
      </x:c>
      <x:c r="N2465" t="n">
        <x:f>ROUND(F2465*M2465/100,2)</x:f>
        <x:v>0.38</x:v>
      </x:c>
      <x:c r="O2465" t="str">
        <x:v>生重</x:v>
      </x:c>
    </x:row>
    <x:row r="2466" ht="23" customHeight="1">
      <x:c r="A2466" t="n">
        <x:v>411</x:v>
      </x:c>
      <x:c r="B2466" t="n">
        <x:v>206</x:v>
      </x:c>
      <x:c r="C2466" t="str">
        <x:v>午餐</x:v>
      </x:c>
      <x:c r="D2466" t="str">
        <x:v>主食</x:v>
      </x:c>
      <x:c r="E2466" t="str">
        <x:v>燕麦饭</x:v>
      </x:c>
      <x:c r="F2466" t="n">
        <x:v>135</x:v>
      </x:c>
      <x:c r="G2466" t="n">
        <x:v>110</x:v>
      </x:c>
      <x:c r="H2466" t="n">
        <x:f>ROUND(F2466*G2466/100,2)</x:f>
        <x:v>148.5</x:v>
      </x:c>
      <x:c r="I2466" t="n">
        <x:v>3.2</x:v>
      </x:c>
      <x:c r="J2466" t="n">
        <x:f>ROUND(F2466*I2466/100,2)</x:f>
        <x:v>4.32</x:v>
      </x:c>
      <x:c r="K2466" t="n">
        <x:v>21</x:v>
      </x:c>
      <x:c r="L2466" t="n">
        <x:f>ROUND(F2466*K2466/100,2)</x:f>
        <x:v>28.35</x:v>
      </x:c>
      <x:c r="M2466" t="n">
        <x:v>1.8</x:v>
      </x:c>
      <x:c r="N2466" t="n">
        <x:f>ROUND(F2466*M2466/100,2)</x:f>
        <x:v>2.43</x:v>
      </x:c>
      <x:c r="O2466" t="str">
        <x:v>熟重</x:v>
      </x:c>
    </x:row>
    <x:row r="2467" ht="23" customHeight="1">
      <x:c r="A2467" t="n">
        <x:v>411</x:v>
      </x:c>
      <x:c r="B2467" t="n">
        <x:v>206</x:v>
      </x:c>
      <x:c r="C2467" t="str">
        <x:v>午餐</x:v>
      </x:c>
      <x:c r="D2467" t="str">
        <x:v>油脂</x:v>
      </x:c>
      <x:c r="E2467" t="str">
        <x:v>烹调油</x:v>
      </x:c>
      <x:c r="F2467" t="n">
        <x:v>6</x:v>
      </x:c>
      <x:c r="G2467" t="n">
        <x:v>900</x:v>
      </x:c>
      <x:c r="H2467" t="n">
        <x:f>ROUND(F2467*G2467/100,2)</x:f>
        <x:v>54</x:v>
      </x:c>
      <x:c r="I2467" t="n">
        <x:v>0</x:v>
      </x:c>
      <x:c r="J2467" t="n">
        <x:f>ROUND(F2467*I2467/100,2)</x:f>
        <x:v>0</x:v>
      </x:c>
      <x:c r="K2467" t="n">
        <x:v>0</x:v>
      </x:c>
      <x:c r="L2467" t="n">
        <x:f>ROUND(F2467*K2467/100,2)</x:f>
        <x:v>0</x:v>
      </x:c>
      <x:c r="M2467" t="n">
        <x:v>100</x:v>
      </x:c>
      <x:c r="N2467" t="n">
        <x:f>ROUND(F2467*M2467/100,2)</x:f>
        <x:v>6</x:v>
      </x:c>
      <x:c r="O2467" t="str">
        <x:v>实际用油重</x:v>
      </x:c>
    </x:row>
    <x:row r="2468" ht="23" customHeight="1">
      <x:c r="A2468" t="n">
        <x:v>412</x:v>
      </x:c>
      <x:c r="B2468" t="n">
        <x:v>206</x:v>
      </x:c>
      <x:c r="C2468" t="str">
        <x:v>晚餐</x:v>
      </x:c>
      <x:c r="D2468" t="str">
        <x:v>海鲜</x:v>
      </x:c>
      <x:c r="E2468" t="str">
        <x:v>虾仁</x:v>
      </x:c>
      <x:c r="F2468" t="n">
        <x:v>190</x:v>
      </x:c>
      <x:c r="G2468" t="n">
        <x:v>90</x:v>
      </x:c>
      <x:c r="H2468" t="n">
        <x:f>ROUND(F2468*G2468/100,2)</x:f>
        <x:v>171</x:v>
      </x:c>
      <x:c r="I2468" t="n">
        <x:v>19</x:v>
      </x:c>
      <x:c r="J2468" t="n">
        <x:f>ROUND(F2468*I2468/100,2)</x:f>
        <x:v>36.1</x:v>
      </x:c>
      <x:c r="K2468" t="n">
        <x:v>0.4</x:v>
      </x:c>
      <x:c r="L2468" t="n">
        <x:f>ROUND(F2468*K2468/100,2)</x:f>
        <x:v>0.76</x:v>
      </x:c>
      <x:c r="M2468" t="n">
        <x:v>1.1</x:v>
      </x:c>
      <x:c r="N2468" t="n">
        <x:f>ROUND(F2468*M2468/100,2)</x:f>
        <x:v>2.09</x:v>
      </x:c>
      <x:c r="O2468" t="str">
        <x:v>生重</x:v>
      </x:c>
    </x:row>
    <x:row r="2469" ht="23" customHeight="1">
      <x:c r="A2469" t="n">
        <x:v>412</x:v>
      </x:c>
      <x:c r="B2469" t="n">
        <x:v>206</x:v>
      </x:c>
      <x:c r="C2469" t="str">
        <x:v>晚餐</x:v>
      </x:c>
      <x:c r="D2469" t="str"/>
      <x:c r="E2469" t="str"/>
      <x:c r="F2469" t="n">
        <x:v>0</x:v>
      </x:c>
      <x:c r="G2469" t="n">
        <x:v>0</x:v>
      </x:c>
      <x:c r="H2469" t="n">
        <x:f>ROUND(F2469*G2469/100,2)</x:f>
        <x:v>0</x:v>
      </x:c>
      <x:c r="I2469" t="n">
        <x:v>0</x:v>
      </x:c>
      <x:c r="J2469" t="n">
        <x:f>ROUND(F2469*I2469/100,2)</x:f>
        <x:v>0</x:v>
      </x:c>
      <x:c r="K2469" t="n">
        <x:v>0</x:v>
      </x:c>
      <x:c r="L2469" t="n">
        <x:f>ROUND(F2469*K2469/100,2)</x:f>
        <x:v>0</x:v>
      </x:c>
      <x:c r="M2469" t="n">
        <x:v>0</x:v>
      </x:c>
      <x:c r="N2469" t="n">
        <x:f>ROUND(F2469*M2469/100,2)</x:f>
        <x:v>0</x:v>
      </x:c>
      <x:c r="O2469" t="str"/>
    </x:row>
    <x:row r="2470" ht="23" customHeight="1">
      <x:c r="A2470" t="n">
        <x:v>412</x:v>
      </x:c>
      <x:c r="B2470" t="n">
        <x:v>206</x:v>
      </x:c>
      <x:c r="C2470" t="str">
        <x:v>晚餐</x:v>
      </x:c>
      <x:c r="D2470" t="str">
        <x:v>蔬菜</x:v>
      </x:c>
      <x:c r="E2470" t="str">
        <x:v>丝瓜</x:v>
      </x:c>
      <x:c r="F2470" t="n">
        <x:v>140</x:v>
      </x:c>
      <x:c r="G2470" t="n">
        <x:v>20</x:v>
      </x:c>
      <x:c r="H2470" t="n">
        <x:f>ROUND(F2470*G2470/100,2)</x:f>
        <x:v>28</x:v>
      </x:c>
      <x:c r="I2470" t="n">
        <x:v>1</x:v>
      </x:c>
      <x:c r="J2470" t="n">
        <x:f>ROUND(F2470*I2470/100,2)</x:f>
        <x:v>1.4</x:v>
      </x:c>
      <x:c r="K2470" t="n">
        <x:v>4</x:v>
      </x:c>
      <x:c r="L2470" t="n">
        <x:f>ROUND(F2470*K2470/100,2)</x:f>
        <x:v>5.6</x:v>
      </x:c>
      <x:c r="M2470" t="n">
        <x:v>0.2</x:v>
      </x:c>
      <x:c r="N2470" t="n">
        <x:f>ROUND(F2470*M2470/100,2)</x:f>
        <x:v>0.28</x:v>
      </x:c>
      <x:c r="O2470" t="str">
        <x:v>生重</x:v>
      </x:c>
    </x:row>
    <x:row r="2471" ht="23" customHeight="1">
      <x:c r="A2471" t="n">
        <x:v>412</x:v>
      </x:c>
      <x:c r="B2471" t="n">
        <x:v>206</x:v>
      </x:c>
      <x:c r="C2471" t="str">
        <x:v>晚餐</x:v>
      </x:c>
      <x:c r="D2471" t="str">
        <x:v>蔬菜</x:v>
      </x:c>
      <x:c r="E2471" t="str">
        <x:v>绿豆芽</x:v>
      </x:c>
      <x:c r="F2471" t="n">
        <x:v>110</x:v>
      </x:c>
      <x:c r="G2471" t="n">
        <x:v>31</x:v>
      </x:c>
      <x:c r="H2471" t="n">
        <x:f>ROUND(F2471*G2471/100,2)</x:f>
        <x:v>34.1</x:v>
      </x:c>
      <x:c r="I2471" t="n">
        <x:v>3</x:v>
      </x:c>
      <x:c r="J2471" t="n">
        <x:f>ROUND(F2471*I2471/100,2)</x:f>
        <x:v>3.3</x:v>
      </x:c>
      <x:c r="K2471" t="n">
        <x:v>6</x:v>
      </x:c>
      <x:c r="L2471" t="n">
        <x:f>ROUND(F2471*K2471/100,2)</x:f>
        <x:v>6.6</x:v>
      </x:c>
      <x:c r="M2471" t="n">
        <x:v>0.2</x:v>
      </x:c>
      <x:c r="N2471" t="n">
        <x:f>ROUND(F2471*M2471/100,2)</x:f>
        <x:v>0.22</x:v>
      </x:c>
      <x:c r="O2471" t="str">
        <x:v>生重</x:v>
      </x:c>
    </x:row>
    <x:row r="2472" ht="23" customHeight="1">
      <x:c r="A2472" t="n">
        <x:v>412</x:v>
      </x:c>
      <x:c r="B2472" t="n">
        <x:v>206</x:v>
      </x:c>
      <x:c r="C2472" t="str">
        <x:v>晚餐</x:v>
      </x:c>
      <x:c r="D2472" t="str">
        <x:v>主食</x:v>
      </x:c>
      <x:c r="E2472" t="str">
        <x:v>杂粮饭</x:v>
      </x:c>
      <x:c r="F2472" t="n">
        <x:v>95</x:v>
      </x:c>
      <x:c r="G2472" t="n">
        <x:v>115</x:v>
      </x:c>
      <x:c r="H2472" t="n">
        <x:f>ROUND(F2472*G2472/100,2)</x:f>
        <x:v>109.25</x:v>
      </x:c>
      <x:c r="I2472" t="n">
        <x:v>3.1</x:v>
      </x:c>
      <x:c r="J2472" t="n">
        <x:f>ROUND(F2472*I2472/100,2)</x:f>
        <x:v>2.95</x:v>
      </x:c>
      <x:c r="K2472" t="n">
        <x:v>23.5</x:v>
      </x:c>
      <x:c r="L2472" t="n">
        <x:f>ROUND(F2472*K2472/100,2)</x:f>
        <x:v>22.33</x:v>
      </x:c>
      <x:c r="M2472" t="n">
        <x:v>1.1</x:v>
      </x:c>
      <x:c r="N2472" t="n">
        <x:f>ROUND(F2472*M2472/100,2)</x:f>
        <x:v>1.05</x:v>
      </x:c>
      <x:c r="O2472" t="str">
        <x:v>熟重</x:v>
      </x:c>
    </x:row>
    <x:row r="2473" ht="23" customHeight="1">
      <x:c r="A2473" t="n">
        <x:v>412</x:v>
      </x:c>
      <x:c r="B2473" t="n">
        <x:v>206</x:v>
      </x:c>
      <x:c r="C2473" t="str">
        <x:v>晚餐</x:v>
      </x:c>
      <x:c r="D2473" t="str">
        <x:v>油脂</x:v>
      </x:c>
      <x:c r="E2473" t="str">
        <x:v>烹调油</x:v>
      </x:c>
      <x:c r="F2473" t="n">
        <x:v>5</x:v>
      </x:c>
      <x:c r="G2473" t="n">
        <x:v>900</x:v>
      </x:c>
      <x:c r="H2473" t="n">
        <x:f>ROUND(F2473*G2473/100,2)</x:f>
        <x:v>45</x:v>
      </x:c>
      <x:c r="I2473" t="n">
        <x:v>0</x:v>
      </x:c>
      <x:c r="J2473" t="n">
        <x:f>ROUND(F2473*I2473/100,2)</x:f>
        <x:v>0</x:v>
      </x:c>
      <x:c r="K2473" t="n">
        <x:v>0</x:v>
      </x:c>
      <x:c r="L2473" t="n">
        <x:f>ROUND(F2473*K2473/100,2)</x:f>
        <x:v>0</x:v>
      </x:c>
      <x:c r="M2473" t="n">
        <x:v>100</x:v>
      </x:c>
      <x:c r="N2473" t="n">
        <x:f>ROUND(F2473*M2473/100,2)</x:f>
        <x:v>5</x:v>
      </x:c>
      <x:c r="O2473" t="str">
        <x:v>实际用油重</x:v>
      </x:c>
    </x:row>
    <x:row r="2474" ht="23" customHeight="1">
      <x:c r="A2474" t="n">
        <x:v>413</x:v>
      </x:c>
      <x:c r="B2474" t="n">
        <x:v>207</x:v>
      </x:c>
      <x:c r="C2474" t="str">
        <x:v>午餐</x:v>
      </x:c>
      <x:c r="D2474" t="str">
        <x:v>豆蛋</x:v>
      </x:c>
      <x:c r="E2474" t="str">
        <x:v>北豆腐</x:v>
      </x:c>
      <x:c r="F2474" t="n">
        <x:v>300</x:v>
      </x:c>
      <x:c r="G2474" t="n">
        <x:v>90</x:v>
      </x:c>
      <x:c r="H2474" t="n">
        <x:f>ROUND(F2474*G2474/100,2)</x:f>
        <x:v>270</x:v>
      </x:c>
      <x:c r="I2474" t="n">
        <x:v>10</x:v>
      </x:c>
      <x:c r="J2474" t="n">
        <x:f>ROUND(F2474*I2474/100,2)</x:f>
        <x:v>30</x:v>
      </x:c>
      <x:c r="K2474" t="n">
        <x:v>2</x:v>
      </x:c>
      <x:c r="L2474" t="n">
        <x:f>ROUND(F2474*K2474/100,2)</x:f>
        <x:v>6</x:v>
      </x:c>
      <x:c r="M2474" t="n">
        <x:v>5</x:v>
      </x:c>
      <x:c r="N2474" t="n">
        <x:f>ROUND(F2474*M2474/100,2)</x:f>
        <x:v>15</x:v>
      </x:c>
      <x:c r="O2474" t="str">
        <x:v>净重</x:v>
      </x:c>
    </x:row>
    <x:row r="2475" ht="23" customHeight="1">
      <x:c r="A2475" t="n">
        <x:v>413</x:v>
      </x:c>
      <x:c r="B2475" t="n">
        <x:v>207</x:v>
      </x:c>
      <x:c r="C2475" t="str">
        <x:v>午餐</x:v>
      </x:c>
      <x:c r="D2475" t="str"/>
      <x:c r="E2475" t="str"/>
      <x:c r="F2475" t="n">
        <x:v>0</x:v>
      </x:c>
      <x:c r="G2475" t="n">
        <x:v>0</x:v>
      </x:c>
      <x:c r="H2475" t="n">
        <x:f>ROUND(F2475*G2475/100,2)</x:f>
        <x:v>0</x:v>
      </x:c>
      <x:c r="I2475" t="n">
        <x:v>0</x:v>
      </x:c>
      <x:c r="J2475" t="n">
        <x:f>ROUND(F2475*I2475/100,2)</x:f>
        <x:v>0</x:v>
      </x:c>
      <x:c r="K2475" t="n">
        <x:v>0</x:v>
      </x:c>
      <x:c r="L2475" t="n">
        <x:f>ROUND(F2475*K2475/100,2)</x:f>
        <x:v>0</x:v>
      </x:c>
      <x:c r="M2475" t="n">
        <x:v>0</x:v>
      </x:c>
      <x:c r="N2475" t="n">
        <x:f>ROUND(F2475*M2475/100,2)</x:f>
        <x:v>0</x:v>
      </x:c>
      <x:c r="O2475" t="str"/>
    </x:row>
    <x:row r="2476" ht="23" customHeight="1">
      <x:c r="A2476" t="n">
        <x:v>413</x:v>
      </x:c>
      <x:c r="B2476" t="n">
        <x:v>207</x:v>
      </x:c>
      <x:c r="C2476" t="str">
        <x:v>午餐</x:v>
      </x:c>
      <x:c r="D2476" t="str">
        <x:v>蔬菜</x:v>
      </x:c>
      <x:c r="E2476" t="str">
        <x:v>娃娃菜</x:v>
      </x:c>
      <x:c r="F2476" t="n">
        <x:v>140</x:v>
      </x:c>
      <x:c r="G2476" t="n">
        <x:v>17</x:v>
      </x:c>
      <x:c r="H2476" t="n">
        <x:f>ROUND(F2476*G2476/100,2)</x:f>
        <x:v>23.8</x:v>
      </x:c>
      <x:c r="I2476" t="n">
        <x:v>1.3</x:v>
      </x:c>
      <x:c r="J2476" t="n">
        <x:f>ROUND(F2476*I2476/100,2)</x:f>
        <x:v>1.82</x:v>
      </x:c>
      <x:c r="K2476" t="n">
        <x:v>3</x:v>
      </x:c>
      <x:c r="L2476" t="n">
        <x:f>ROUND(F2476*K2476/100,2)</x:f>
        <x:v>4.2</x:v>
      </x:c>
      <x:c r="M2476" t="n">
        <x:v>0.2</x:v>
      </x:c>
      <x:c r="N2476" t="n">
        <x:f>ROUND(F2476*M2476/100,2)</x:f>
        <x:v>0.28</x:v>
      </x:c>
      <x:c r="O2476" t="str">
        <x:v>生重</x:v>
      </x:c>
    </x:row>
    <x:row r="2477" ht="23" customHeight="1">
      <x:c r="A2477" t="n">
        <x:v>413</x:v>
      </x:c>
      <x:c r="B2477" t="n">
        <x:v>207</x:v>
      </x:c>
      <x:c r="C2477" t="str">
        <x:v>午餐</x:v>
      </x:c>
      <x:c r="D2477" t="str">
        <x:v>蔬菜</x:v>
      </x:c>
      <x:c r="E2477" t="str">
        <x:v>花菜</x:v>
      </x:c>
      <x:c r="F2477" t="n">
        <x:v>140</x:v>
      </x:c>
      <x:c r="G2477" t="n">
        <x:v>25</x:v>
      </x:c>
      <x:c r="H2477" t="n">
        <x:f>ROUND(F2477*G2477/100,2)</x:f>
        <x:v>35</x:v>
      </x:c>
      <x:c r="I2477" t="n">
        <x:v>2</x:v>
      </x:c>
      <x:c r="J2477" t="n">
        <x:f>ROUND(F2477*I2477/100,2)</x:f>
        <x:v>2.8</x:v>
      </x:c>
      <x:c r="K2477" t="n">
        <x:v>5</x:v>
      </x:c>
      <x:c r="L2477" t="n">
        <x:f>ROUND(F2477*K2477/100,2)</x:f>
        <x:v>7</x:v>
      </x:c>
      <x:c r="M2477" t="n">
        <x:v>0.3</x:v>
      </x:c>
      <x:c r="N2477" t="n">
        <x:f>ROUND(F2477*M2477/100,2)</x:f>
        <x:v>0.42</x:v>
      </x:c>
      <x:c r="O2477" t="str">
        <x:v>生重</x:v>
      </x:c>
    </x:row>
    <x:row r="2478" ht="23" customHeight="1">
      <x:c r="A2478" t="n">
        <x:v>413</x:v>
      </x:c>
      <x:c r="B2478" t="n">
        <x:v>207</x:v>
      </x:c>
      <x:c r="C2478" t="str">
        <x:v>午餐</x:v>
      </x:c>
      <x:c r="D2478" t="str">
        <x:v>主食</x:v>
      </x:c>
      <x:c r="E2478" t="str">
        <x:v>杂粮饭</x:v>
      </x:c>
      <x:c r="F2478" t="n">
        <x:v>110</x:v>
      </x:c>
      <x:c r="G2478" t="n">
        <x:v>115</x:v>
      </x:c>
      <x:c r="H2478" t="n">
        <x:f>ROUND(F2478*G2478/100,2)</x:f>
        <x:v>126.5</x:v>
      </x:c>
      <x:c r="I2478" t="n">
        <x:v>3.1</x:v>
      </x:c>
      <x:c r="J2478" t="n">
        <x:f>ROUND(F2478*I2478/100,2)</x:f>
        <x:v>3.41</x:v>
      </x:c>
      <x:c r="K2478" t="n">
        <x:v>23.5</x:v>
      </x:c>
      <x:c r="L2478" t="n">
        <x:f>ROUND(F2478*K2478/100,2)</x:f>
        <x:v>25.85</x:v>
      </x:c>
      <x:c r="M2478" t="n">
        <x:v>1.1</x:v>
      </x:c>
      <x:c r="N2478" t="n">
        <x:f>ROUND(F2478*M2478/100,2)</x:f>
        <x:v>1.21</x:v>
      </x:c>
      <x:c r="O2478" t="str">
        <x:v>熟重</x:v>
      </x:c>
    </x:row>
    <x:row r="2479" ht="23" customHeight="1">
      <x:c r="A2479" t="n">
        <x:v>413</x:v>
      </x:c>
      <x:c r="B2479" t="n">
        <x:v>207</x:v>
      </x:c>
      <x:c r="C2479" t="str">
        <x:v>午餐</x:v>
      </x:c>
      <x:c r="D2479" t="str">
        <x:v>油脂</x:v>
      </x:c>
      <x:c r="E2479" t="str">
        <x:v>烹调油</x:v>
      </x:c>
      <x:c r="F2479" t="n">
        <x:v>3</x:v>
      </x:c>
      <x:c r="G2479" t="n">
        <x:v>900</x:v>
      </x:c>
      <x:c r="H2479" t="n">
        <x:f>ROUND(F2479*G2479/100,2)</x:f>
        <x:v>27</x:v>
      </x:c>
      <x:c r="I2479" t="n">
        <x:v>0</x:v>
      </x:c>
      <x:c r="J2479" t="n">
        <x:f>ROUND(F2479*I2479/100,2)</x:f>
        <x:v>0</x:v>
      </x:c>
      <x:c r="K2479" t="n">
        <x:v>0</x:v>
      </x:c>
      <x:c r="L2479" t="n">
        <x:f>ROUND(F2479*K2479/100,2)</x:f>
        <x:v>0</x:v>
      </x:c>
      <x:c r="M2479" t="n">
        <x:v>100</x:v>
      </x:c>
      <x:c r="N2479" t="n">
        <x:f>ROUND(F2479*M2479/100,2)</x:f>
        <x:v>3</x:v>
      </x:c>
      <x:c r="O2479" t="str">
        <x:v>实际用油重</x:v>
      </x:c>
    </x:row>
    <x:row r="2480" ht="23" customHeight="1">
      <x:c r="A2480" t="n">
        <x:v>414</x:v>
      </x:c>
      <x:c r="B2480" t="n">
        <x:v>207</x:v>
      </x:c>
      <x:c r="C2480" t="str">
        <x:v>晚餐</x:v>
      </x:c>
      <x:c r="D2480" t="str">
        <x:v>豆蛋</x:v>
      </x:c>
      <x:c r="E2480" t="str">
        <x:v>嫩豆腐</x:v>
      </x:c>
      <x:c r="F2480" t="n">
        <x:v>300</x:v>
      </x:c>
      <x:c r="G2480" t="n">
        <x:v>55</x:v>
      </x:c>
      <x:c r="H2480" t="n">
        <x:f>ROUND(F2480*G2480/100,2)</x:f>
        <x:v>165</x:v>
      </x:c>
      <x:c r="I2480" t="n">
        <x:v>5</x:v>
      </x:c>
      <x:c r="J2480" t="n">
        <x:f>ROUND(F2480*I2480/100,2)</x:f>
        <x:v>15</x:v>
      </x:c>
      <x:c r="K2480" t="n">
        <x:v>2</x:v>
      </x:c>
      <x:c r="L2480" t="n">
        <x:f>ROUND(F2480*K2480/100,2)</x:f>
        <x:v>6</x:v>
      </x:c>
      <x:c r="M2480" t="n">
        <x:v>2.8</x:v>
      </x:c>
      <x:c r="N2480" t="n">
        <x:f>ROUND(F2480*M2480/100,2)</x:f>
        <x:v>8.4</x:v>
      </x:c>
      <x:c r="O2480" t="str">
        <x:v>净重</x:v>
      </x:c>
    </x:row>
    <x:row r="2481" ht="23" customHeight="1">
      <x:c r="A2481" t="n">
        <x:v>414</x:v>
      </x:c>
      <x:c r="B2481" t="n">
        <x:v>207</x:v>
      </x:c>
      <x:c r="C2481" t="str">
        <x:v>晚餐</x:v>
      </x:c>
      <x:c r="D2481" t="str">
        <x:v>海鲜</x:v>
      </x:c>
      <x:c r="E2481" t="str">
        <x:v>虾仁</x:v>
      </x:c>
      <x:c r="F2481" t="n">
        <x:v>85</x:v>
      </x:c>
      <x:c r="G2481" t="n">
        <x:v>90</x:v>
      </x:c>
      <x:c r="H2481" t="n">
        <x:f>ROUND(F2481*G2481/100,2)</x:f>
        <x:v>76.5</x:v>
      </x:c>
      <x:c r="I2481" t="n">
        <x:v>19</x:v>
      </x:c>
      <x:c r="J2481" t="n">
        <x:f>ROUND(F2481*I2481/100,2)</x:f>
        <x:v>16.15</x:v>
      </x:c>
      <x:c r="K2481" t="n">
        <x:v>0.4</x:v>
      </x:c>
      <x:c r="L2481" t="n">
        <x:f>ROUND(F2481*K2481/100,2)</x:f>
        <x:v>0.34</x:v>
      </x:c>
      <x:c r="M2481" t="n">
        <x:v>1.1</x:v>
      </x:c>
      <x:c r="N2481" t="n">
        <x:f>ROUND(F2481*M2481/100,2)</x:f>
        <x:v>0.94</x:v>
      </x:c>
      <x:c r="O2481" t="str">
        <x:v>生重</x:v>
      </x:c>
    </x:row>
    <x:row r="2482" ht="23" customHeight="1">
      <x:c r="A2482" t="n">
        <x:v>414</x:v>
      </x:c>
      <x:c r="B2482" t="n">
        <x:v>207</x:v>
      </x:c>
      <x:c r="C2482" t="str">
        <x:v>晚餐</x:v>
      </x:c>
      <x:c r="D2482" t="str">
        <x:v>蔬菜</x:v>
      </x:c>
      <x:c r="E2482" t="str">
        <x:v>西葫芦</x:v>
      </x:c>
      <x:c r="F2482" t="n">
        <x:v>160</x:v>
      </x:c>
      <x:c r="G2482" t="n">
        <x:v>17</x:v>
      </x:c>
      <x:c r="H2482" t="n">
        <x:f>ROUND(F2482*G2482/100,2)</x:f>
        <x:v>27.2</x:v>
      </x:c>
      <x:c r="I2482" t="n">
        <x:v>1.2</x:v>
      </x:c>
      <x:c r="J2482" t="n">
        <x:f>ROUND(F2482*I2482/100,2)</x:f>
        <x:v>1.92</x:v>
      </x:c>
      <x:c r="K2482" t="n">
        <x:v>3.1</x:v>
      </x:c>
      <x:c r="L2482" t="n">
        <x:f>ROUND(F2482*K2482/100,2)</x:f>
        <x:v>4.96</x:v>
      </x:c>
      <x:c r="M2482" t="n">
        <x:v>0.3</x:v>
      </x:c>
      <x:c r="N2482" t="n">
        <x:f>ROUND(F2482*M2482/100,2)</x:f>
        <x:v>0.48</x:v>
      </x:c>
      <x:c r="O2482" t="str">
        <x:v>生重</x:v>
      </x:c>
    </x:row>
    <x:row r="2483" ht="23" customHeight="1">
      <x:c r="A2483" t="n">
        <x:v>414</x:v>
      </x:c>
      <x:c r="B2483" t="n">
        <x:v>207</x:v>
      </x:c>
      <x:c r="C2483" t="str">
        <x:v>晚餐</x:v>
      </x:c>
      <x:c r="D2483" t="str">
        <x:v>蔬菜</x:v>
      </x:c>
      <x:c r="E2483" t="str">
        <x:v>绿豆芽</x:v>
      </x:c>
      <x:c r="F2483" t="n">
        <x:v>155</x:v>
      </x:c>
      <x:c r="G2483" t="n">
        <x:v>31</x:v>
      </x:c>
      <x:c r="H2483" t="n">
        <x:f>ROUND(F2483*G2483/100,2)</x:f>
        <x:v>48.05</x:v>
      </x:c>
      <x:c r="I2483" t="n">
        <x:v>3</x:v>
      </x:c>
      <x:c r="J2483" t="n">
        <x:f>ROUND(F2483*I2483/100,2)</x:f>
        <x:v>4.65</x:v>
      </x:c>
      <x:c r="K2483" t="n">
        <x:v>6</x:v>
      </x:c>
      <x:c r="L2483" t="n">
        <x:f>ROUND(F2483*K2483/100,2)</x:f>
        <x:v>9.3</x:v>
      </x:c>
      <x:c r="M2483" t="n">
        <x:v>0.2</x:v>
      </x:c>
      <x:c r="N2483" t="n">
        <x:f>ROUND(F2483*M2483/100,2)</x:f>
        <x:v>0.31</x:v>
      </x:c>
      <x:c r="O2483" t="str">
        <x:v>生重</x:v>
      </x:c>
    </x:row>
    <x:row r="2484" ht="23" customHeight="1">
      <x:c r="A2484" t="n">
        <x:v>414</x:v>
      </x:c>
      <x:c r="B2484" t="n">
        <x:v>207</x:v>
      </x:c>
      <x:c r="C2484" t="str">
        <x:v>晚餐</x:v>
      </x:c>
      <x:c r="D2484" t="str">
        <x:v>主食</x:v>
      </x:c>
      <x:c r="E2484" t="str">
        <x:v>荞麦饭</x:v>
      </x:c>
      <x:c r="F2484" t="n">
        <x:v>80</x:v>
      </x:c>
      <x:c r="G2484" t="n">
        <x:v>110</x:v>
      </x:c>
      <x:c r="H2484" t="n">
        <x:f>ROUND(F2484*G2484/100,2)</x:f>
        <x:v>88</x:v>
      </x:c>
      <x:c r="I2484" t="n">
        <x:v>3.4</x:v>
      </x:c>
      <x:c r="J2484" t="n">
        <x:f>ROUND(F2484*I2484/100,2)</x:f>
        <x:v>2.72</x:v>
      </x:c>
      <x:c r="K2484" t="n">
        <x:v>22</x:v>
      </x:c>
      <x:c r="L2484" t="n">
        <x:f>ROUND(F2484*K2484/100,2)</x:f>
        <x:v>17.6</x:v>
      </x:c>
      <x:c r="M2484" t="n">
        <x:v>1.1</x:v>
      </x:c>
      <x:c r="N2484" t="n">
        <x:f>ROUND(F2484*M2484/100,2)</x:f>
        <x:v>0.88</x:v>
      </x:c>
      <x:c r="O2484" t="str">
        <x:v>熟重</x:v>
      </x:c>
    </x:row>
    <x:row r="2485" ht="23" customHeight="1">
      <x:c r="A2485" t="n">
        <x:v>414</x:v>
      </x:c>
      <x:c r="B2485" t="n">
        <x:v>207</x:v>
      </x:c>
      <x:c r="C2485" t="str">
        <x:v>晚餐</x:v>
      </x:c>
      <x:c r="D2485" t="str">
        <x:v>油脂</x:v>
      </x:c>
      <x:c r="E2485" t="str">
        <x:v>烹调油</x:v>
      </x:c>
      <x:c r="F2485" t="n">
        <x:v>4</x:v>
      </x:c>
      <x:c r="G2485" t="n">
        <x:v>900</x:v>
      </x:c>
      <x:c r="H2485" t="n">
        <x:f>ROUND(F2485*G2485/100,2)</x:f>
        <x:v>36</x:v>
      </x:c>
      <x:c r="I2485" t="n">
        <x:v>0</x:v>
      </x:c>
      <x:c r="J2485" t="n">
        <x:f>ROUND(F2485*I2485/100,2)</x:f>
        <x:v>0</x:v>
      </x:c>
      <x:c r="K2485" t="n">
        <x:v>0</x:v>
      </x:c>
      <x:c r="L2485" t="n">
        <x:f>ROUND(F2485*K2485/100,2)</x:f>
        <x:v>0</x:v>
      </x:c>
      <x:c r="M2485" t="n">
        <x:v>100</x:v>
      </x:c>
      <x:c r="N2485" t="n">
        <x:f>ROUND(F2485*M2485/100,2)</x:f>
        <x:v>4</x:v>
      </x:c>
      <x:c r="O2485" t="str">
        <x:v>实际用油重</x:v>
      </x:c>
    </x:row>
    <x:row r="2486" ht="23" customHeight="1">
      <x:c r="A2486" t="n">
        <x:v>415</x:v>
      </x:c>
      <x:c r="B2486" t="n">
        <x:v>208</x:v>
      </x:c>
      <x:c r="C2486" t="str">
        <x:v>午餐</x:v>
      </x:c>
      <x:c r="D2486" t="str">
        <x:v>禽肉</x:v>
      </x:c>
      <x:c r="E2486" t="str">
        <x:v>鸡胸肉</x:v>
      </x:c>
      <x:c r="F2486" t="n">
        <x:v>175</x:v>
      </x:c>
      <x:c r="G2486" t="n">
        <x:v>110</x:v>
      </x:c>
      <x:c r="H2486" t="n">
        <x:f>ROUND(F2486*G2486/100,2)</x:f>
        <x:v>192.5</x:v>
      </x:c>
      <x:c r="I2486" t="n">
        <x:v>23</x:v>
      </x:c>
      <x:c r="J2486" t="n">
        <x:f>ROUND(F2486*I2486/100,2)</x:f>
        <x:v>40.25</x:v>
      </x:c>
      <x:c r="K2486" t="n">
        <x:v>0</x:v>
      </x:c>
      <x:c r="L2486" t="n">
        <x:f>ROUND(F2486*K2486/100,2)</x:f>
        <x:v>0</x:v>
      </x:c>
      <x:c r="M2486" t="n">
        <x:v>2</x:v>
      </x:c>
      <x:c r="N2486" t="n">
        <x:f>ROUND(F2486*M2486/100,2)</x:f>
        <x:v>3.5</x:v>
      </x:c>
      <x:c r="O2486" t="str">
        <x:v>生重</x:v>
      </x:c>
    </x:row>
    <x:row r="2487" ht="23" customHeight="1">
      <x:c r="A2487" t="n">
        <x:v>415</x:v>
      </x:c>
      <x:c r="B2487" t="n">
        <x:v>208</x:v>
      </x:c>
      <x:c r="C2487" t="str">
        <x:v>午餐</x:v>
      </x:c>
      <x:c r="D2487" t="str"/>
      <x:c r="E2487" t="str"/>
      <x:c r="F2487" t="n">
        <x:v>0</x:v>
      </x:c>
      <x:c r="G2487" t="n">
        <x:v>0</x:v>
      </x:c>
      <x:c r="H2487" t="n">
        <x:f>ROUND(F2487*G2487/100,2)</x:f>
        <x:v>0</x:v>
      </x:c>
      <x:c r="I2487" t="n">
        <x:v>0</x:v>
      </x:c>
      <x:c r="J2487" t="n">
        <x:f>ROUND(F2487*I2487/100,2)</x:f>
        <x:v>0</x:v>
      </x:c>
      <x:c r="K2487" t="n">
        <x:v>0</x:v>
      </x:c>
      <x:c r="L2487" t="n">
        <x:f>ROUND(F2487*K2487/100,2)</x:f>
        <x:v>0</x:v>
      </x:c>
      <x:c r="M2487" t="n">
        <x:v>0</x:v>
      </x:c>
      <x:c r="N2487" t="n">
        <x:f>ROUND(F2487*M2487/100,2)</x:f>
        <x:v>0</x:v>
      </x:c>
      <x:c r="O2487" t="str"/>
    </x:row>
    <x:row r="2488" ht="23" customHeight="1">
      <x:c r="A2488" t="n">
        <x:v>415</x:v>
      </x:c>
      <x:c r="B2488" t="n">
        <x:v>208</x:v>
      </x:c>
      <x:c r="C2488" t="str">
        <x:v>午餐</x:v>
      </x:c>
      <x:c r="D2488" t="str">
        <x:v>蔬菜</x:v>
      </x:c>
      <x:c r="E2488" t="str">
        <x:v>紫甘蓝</x:v>
      </x:c>
      <x:c r="F2488" t="n">
        <x:v>140</x:v>
      </x:c>
      <x:c r="G2488" t="n">
        <x:v>31</x:v>
      </x:c>
      <x:c r="H2488" t="n">
        <x:f>ROUND(F2488*G2488/100,2)</x:f>
        <x:v>43.4</x:v>
      </x:c>
      <x:c r="I2488" t="n">
        <x:v>1.4</x:v>
      </x:c>
      <x:c r="J2488" t="n">
        <x:f>ROUND(F2488*I2488/100,2)</x:f>
        <x:v>1.96</x:v>
      </x:c>
      <x:c r="K2488" t="n">
        <x:v>7.3</x:v>
      </x:c>
      <x:c r="L2488" t="n">
        <x:f>ROUND(F2488*K2488/100,2)</x:f>
        <x:v>10.22</x:v>
      </x:c>
      <x:c r="M2488" t="n">
        <x:v>0.1</x:v>
      </x:c>
      <x:c r="N2488" t="n">
        <x:f>ROUND(F2488*M2488/100,2)</x:f>
        <x:v>0.14</x:v>
      </x:c>
      <x:c r="O2488" t="str">
        <x:v>生重</x:v>
      </x:c>
    </x:row>
    <x:row r="2489" ht="23" customHeight="1">
      <x:c r="A2489" t="n">
        <x:v>415</x:v>
      </x:c>
      <x:c r="B2489" t="n">
        <x:v>208</x:v>
      </x:c>
      <x:c r="C2489" t="str">
        <x:v>午餐</x:v>
      </x:c>
      <x:c r="D2489" t="str">
        <x:v>菌菇</x:v>
      </x:c>
      <x:c r="E2489" t="str">
        <x:v>口蘑</x:v>
      </x:c>
      <x:c r="F2489" t="n">
        <x:v>140</x:v>
      </x:c>
      <x:c r="G2489" t="n">
        <x:v>22</x:v>
      </x:c>
      <x:c r="H2489" t="n">
        <x:f>ROUND(F2489*G2489/100,2)</x:f>
        <x:v>30.8</x:v>
      </x:c>
      <x:c r="I2489" t="n">
        <x:v>3.1</x:v>
      </x:c>
      <x:c r="J2489" t="n">
        <x:f>ROUND(F2489*I2489/100,2)</x:f>
        <x:v>4.34</x:v>
      </x:c>
      <x:c r="K2489" t="n">
        <x:v>3.3</x:v>
      </x:c>
      <x:c r="L2489" t="n">
        <x:f>ROUND(F2489*K2489/100,2)</x:f>
        <x:v>4.62</x:v>
      </x:c>
      <x:c r="M2489" t="n">
        <x:v>0.3</x:v>
      </x:c>
      <x:c r="N2489" t="n">
        <x:f>ROUND(F2489*M2489/100,2)</x:f>
        <x:v>0.42</x:v>
      </x:c>
      <x:c r="O2489" t="str">
        <x:v>生重</x:v>
      </x:c>
    </x:row>
    <x:row r="2490" ht="23" customHeight="1">
      <x:c r="A2490" t="n">
        <x:v>415</x:v>
      </x:c>
      <x:c r="B2490" t="n">
        <x:v>208</x:v>
      </x:c>
      <x:c r="C2490" t="str">
        <x:v>午餐</x:v>
      </x:c>
      <x:c r="D2490" t="str">
        <x:v>主食</x:v>
      </x:c>
      <x:c r="E2490" t="str">
        <x:v>燕麦饭</x:v>
      </x:c>
      <x:c r="F2490" t="n">
        <x:v>125</x:v>
      </x:c>
      <x:c r="G2490" t="n">
        <x:v>110</x:v>
      </x:c>
      <x:c r="H2490" t="n">
        <x:f>ROUND(F2490*G2490/100,2)</x:f>
        <x:v>137.5</x:v>
      </x:c>
      <x:c r="I2490" t="n">
        <x:v>3.2</x:v>
      </x:c>
      <x:c r="J2490" t="n">
        <x:f>ROUND(F2490*I2490/100,2)</x:f>
        <x:v>4</x:v>
      </x:c>
      <x:c r="K2490" t="n">
        <x:v>21</x:v>
      </x:c>
      <x:c r="L2490" t="n">
        <x:f>ROUND(F2490*K2490/100,2)</x:f>
        <x:v>26.25</x:v>
      </x:c>
      <x:c r="M2490" t="n">
        <x:v>1.8</x:v>
      </x:c>
      <x:c r="N2490" t="n">
        <x:f>ROUND(F2490*M2490/100,2)</x:f>
        <x:v>2.25</x:v>
      </x:c>
      <x:c r="O2490" t="str">
        <x:v>熟重</x:v>
      </x:c>
    </x:row>
    <x:row r="2491" ht="23" customHeight="1">
      <x:c r="A2491" t="n">
        <x:v>415</x:v>
      </x:c>
      <x:c r="B2491" t="n">
        <x:v>208</x:v>
      </x:c>
      <x:c r="C2491" t="str">
        <x:v>午餐</x:v>
      </x:c>
      <x:c r="D2491" t="str">
        <x:v>油脂</x:v>
      </x:c>
      <x:c r="E2491" t="str">
        <x:v>烹调油</x:v>
      </x:c>
      <x:c r="F2491" t="n">
        <x:v>3</x:v>
      </x:c>
      <x:c r="G2491" t="n">
        <x:v>900</x:v>
      </x:c>
      <x:c r="H2491" t="n">
        <x:f>ROUND(F2491*G2491/100,2)</x:f>
        <x:v>27</x:v>
      </x:c>
      <x:c r="I2491" t="n">
        <x:v>0</x:v>
      </x:c>
      <x:c r="J2491" t="n">
        <x:f>ROUND(F2491*I2491/100,2)</x:f>
        <x:v>0</x:v>
      </x:c>
      <x:c r="K2491" t="n">
        <x:v>0</x:v>
      </x:c>
      <x:c r="L2491" t="n">
        <x:f>ROUND(F2491*K2491/100,2)</x:f>
        <x:v>0</x:v>
      </x:c>
      <x:c r="M2491" t="n">
        <x:v>100</x:v>
      </x:c>
      <x:c r="N2491" t="n">
        <x:f>ROUND(F2491*M2491/100,2)</x:f>
        <x:v>3</x:v>
      </x:c>
      <x:c r="O2491" t="str">
        <x:v>实际用油重</x:v>
      </x:c>
    </x:row>
    <x:row r="2492" ht="23" customHeight="1">
      <x:c r="A2492" t="n">
        <x:v>416</x:v>
      </x:c>
      <x:c r="B2492" t="n">
        <x:v>208</x:v>
      </x:c>
      <x:c r="C2492" t="str">
        <x:v>晚餐</x:v>
      </x:c>
      <x:c r="D2492" t="str">
        <x:v>猪肉</x:v>
      </x:c>
      <x:c r="E2492" t="str">
        <x:v>猪瘦肉</x:v>
      </x:c>
      <x:c r="F2492" t="n">
        <x:v>220</x:v>
      </x:c>
      <x:c r="G2492" t="n">
        <x:v>130</x:v>
      </x:c>
      <x:c r="H2492" t="n">
        <x:f>ROUND(F2492*G2492/100,2)</x:f>
        <x:v>286</x:v>
      </x:c>
      <x:c r="I2492" t="n">
        <x:v>20</x:v>
      </x:c>
      <x:c r="J2492" t="n">
        <x:f>ROUND(F2492*I2492/100,2)</x:f>
        <x:v>44</x:v>
      </x:c>
      <x:c r="K2492" t="n">
        <x:v>0</x:v>
      </x:c>
      <x:c r="L2492" t="n">
        <x:f>ROUND(F2492*K2492/100,2)</x:f>
        <x:v>0</x:v>
      </x:c>
      <x:c r="M2492" t="n">
        <x:v>5.5</x:v>
      </x:c>
      <x:c r="N2492" t="n">
        <x:f>ROUND(F2492*M2492/100,2)</x:f>
        <x:v>12.1</x:v>
      </x:c>
      <x:c r="O2492" t="str">
        <x:v>生重</x:v>
      </x:c>
    </x:row>
    <x:row r="2493" ht="23" customHeight="1">
      <x:c r="A2493" t="n">
        <x:v>416</x:v>
      </x:c>
      <x:c r="B2493" t="n">
        <x:v>208</x:v>
      </x:c>
      <x:c r="C2493" t="str">
        <x:v>晚餐</x:v>
      </x:c>
      <x:c r="D2493" t="str"/>
      <x:c r="E2493" t="str"/>
      <x:c r="F2493" t="n">
        <x:v>0</x:v>
      </x:c>
      <x:c r="G2493" t="n">
        <x:v>0</x:v>
      </x:c>
      <x:c r="H2493" t="n">
        <x:f>ROUND(F2493*G2493/100,2)</x:f>
        <x:v>0</x:v>
      </x:c>
      <x:c r="I2493" t="n">
        <x:v>0</x:v>
      </x:c>
      <x:c r="J2493" t="n">
        <x:f>ROUND(F2493*I2493/100,2)</x:f>
        <x:v>0</x:v>
      </x:c>
      <x:c r="K2493" t="n">
        <x:v>0</x:v>
      </x:c>
      <x:c r="L2493" t="n">
        <x:f>ROUND(F2493*K2493/100,2)</x:f>
        <x:v>0</x:v>
      </x:c>
      <x:c r="M2493" t="n">
        <x:v>0</x:v>
      </x:c>
      <x:c r="N2493" t="n">
        <x:f>ROUND(F2493*M2493/100,2)</x:f>
        <x:v>0</x:v>
      </x:c>
      <x:c r="O2493" t="str"/>
    </x:row>
    <x:row r="2494" ht="23" customHeight="1">
      <x:c r="A2494" t="n">
        <x:v>416</x:v>
      </x:c>
      <x:c r="B2494" t="n">
        <x:v>208</x:v>
      </x:c>
      <x:c r="C2494" t="str">
        <x:v>晚餐</x:v>
      </x:c>
      <x:c r="D2494" t="str">
        <x:v>蔬菜</x:v>
      </x:c>
      <x:c r="E2494" t="str">
        <x:v>番茄</x:v>
      </x:c>
      <x:c r="F2494" t="n">
        <x:v>140</x:v>
      </x:c>
      <x:c r="G2494" t="n">
        <x:v>20</x:v>
      </x:c>
      <x:c r="H2494" t="n">
        <x:f>ROUND(F2494*G2494/100,2)</x:f>
        <x:v>28</x:v>
      </x:c>
      <x:c r="I2494" t="n">
        <x:v>0.9</x:v>
      </x:c>
      <x:c r="J2494" t="n">
        <x:f>ROUND(F2494*I2494/100,2)</x:f>
        <x:v>1.26</x:v>
      </x:c>
      <x:c r="K2494" t="n">
        <x:v>4</x:v>
      </x:c>
      <x:c r="L2494" t="n">
        <x:f>ROUND(F2494*K2494/100,2)</x:f>
        <x:v>5.6</x:v>
      </x:c>
      <x:c r="M2494" t="n">
        <x:v>0.2</x:v>
      </x:c>
      <x:c r="N2494" t="n">
        <x:f>ROUND(F2494*M2494/100,2)</x:f>
        <x:v>0.28</x:v>
      </x:c>
      <x:c r="O2494" t="str">
        <x:v>生重</x:v>
      </x:c>
    </x:row>
    <x:row r="2495" ht="23" customHeight="1">
      <x:c r="A2495" t="n">
        <x:v>416</x:v>
      </x:c>
      <x:c r="B2495" t="n">
        <x:v>208</x:v>
      </x:c>
      <x:c r="C2495" t="str">
        <x:v>晚餐</x:v>
      </x:c>
      <x:c r="D2495" t="str">
        <x:v>蔬菜</x:v>
      </x:c>
      <x:c r="E2495" t="str">
        <x:v>黄瓜</x:v>
      </x:c>
      <x:c r="F2495" t="n">
        <x:v>125</x:v>
      </x:c>
      <x:c r="G2495" t="n">
        <x:v>16</x:v>
      </x:c>
      <x:c r="H2495" t="n">
        <x:f>ROUND(F2495*G2495/100,2)</x:f>
        <x:v>20</x:v>
      </x:c>
      <x:c r="I2495" t="n">
        <x:v>0.7</x:v>
      </x:c>
      <x:c r="J2495" t="n">
        <x:f>ROUND(F2495*I2495/100,2)</x:f>
        <x:v>0.88</x:v>
      </x:c>
      <x:c r="K2495" t="n">
        <x:v>3.6</x:v>
      </x:c>
      <x:c r="L2495" t="n">
        <x:f>ROUND(F2495*K2495/100,2)</x:f>
        <x:v>4.5</x:v>
      </x:c>
      <x:c r="M2495" t="n">
        <x:v>0.1</x:v>
      </x:c>
      <x:c r="N2495" t="n">
        <x:f>ROUND(F2495*M2495/100,2)</x:f>
        <x:v>0.13</x:v>
      </x:c>
      <x:c r="O2495" t="str">
        <x:v>生重</x:v>
      </x:c>
    </x:row>
    <x:row r="2496" ht="23" customHeight="1">
      <x:c r="A2496" t="n">
        <x:v>416</x:v>
      </x:c>
      <x:c r="B2496" t="n">
        <x:v>208</x:v>
      </x:c>
      <x:c r="C2496" t="str">
        <x:v>晚餐</x:v>
      </x:c>
      <x:c r="D2496" t="str">
        <x:v>低主食</x:v>
      </x:c>
      <x:c r="E2496" t="str">
        <x:v>魔芋丝</x:v>
      </x:c>
      <x:c r="F2496" t="n">
        <x:v>160</x:v>
      </x:c>
      <x:c r="G2496" t="n">
        <x:v>9</x:v>
      </x:c>
      <x:c r="H2496" t="n">
        <x:f>ROUND(F2496*G2496/100,2)</x:f>
        <x:v>14.4</x:v>
      </x:c>
      <x:c r="I2496" t="n">
        <x:v>0.3</x:v>
      </x:c>
      <x:c r="J2496" t="n">
        <x:f>ROUND(F2496*I2496/100,2)</x:f>
        <x:v>0.48</x:v>
      </x:c>
      <x:c r="K2496" t="n">
        <x:v>2</x:v>
      </x:c>
      <x:c r="L2496" t="n">
        <x:f>ROUND(F2496*K2496/100,2)</x:f>
        <x:v>3.2</x:v>
      </x:c>
      <x:c r="M2496" t="n">
        <x:v>0</x:v>
      </x:c>
      <x:c r="N2496" t="n">
        <x:f>ROUND(F2496*M2496/100,2)</x:f>
        <x:v>0</x:v>
      </x:c>
      <x:c r="O2496" t="str">
        <x:v>沥水重</x:v>
      </x:c>
    </x:row>
    <x:row r="2497" ht="23" customHeight="1">
      <x:c r="A2497" t="n">
        <x:v>416</x:v>
      </x:c>
      <x:c r="B2497" t="n">
        <x:v>208</x:v>
      </x:c>
      <x:c r="C2497" t="str">
        <x:v>晚餐</x:v>
      </x:c>
      <x:c r="D2497" t="str">
        <x:v>油脂</x:v>
      </x:c>
      <x:c r="E2497" t="str">
        <x:v>烹调油</x:v>
      </x:c>
      <x:c r="F2497" t="n">
        <x:v>3</x:v>
      </x:c>
      <x:c r="G2497" t="n">
        <x:v>900</x:v>
      </x:c>
      <x:c r="H2497" t="n">
        <x:f>ROUND(F2497*G2497/100,2)</x:f>
        <x:v>27</x:v>
      </x:c>
      <x:c r="I2497" t="n">
        <x:v>0</x:v>
      </x:c>
      <x:c r="J2497" t="n">
        <x:f>ROUND(F2497*I2497/100,2)</x:f>
        <x:v>0</x:v>
      </x:c>
      <x:c r="K2497" t="n">
        <x:v>0</x:v>
      </x:c>
      <x:c r="L2497" t="n">
        <x:f>ROUND(F2497*K2497/100,2)</x:f>
        <x:v>0</x:v>
      </x:c>
      <x:c r="M2497" t="n">
        <x:v>100</x:v>
      </x:c>
      <x:c r="N2497" t="n">
        <x:f>ROUND(F2497*M2497/100,2)</x:f>
        <x:v>3</x:v>
      </x:c>
      <x:c r="O2497" t="str">
        <x:v>实际用油重</x:v>
      </x:c>
    </x:row>
    <x:row r="2498" ht="23" customHeight="1">
      <x:c r="A2498" t="n">
        <x:v>417</x:v>
      </x:c>
      <x:c r="B2498" t="n">
        <x:v>209</x:v>
      </x:c>
      <x:c r="C2498" t="str">
        <x:v>午餐</x:v>
      </x:c>
      <x:c r="D2498" t="str">
        <x:v>海鲜</x:v>
      </x:c>
      <x:c r="E2498" t="str">
        <x:v>花蛤肉</x:v>
      </x:c>
      <x:c r="F2498" t="n">
        <x:v>210</x:v>
      </x:c>
      <x:c r="G2498" t="n">
        <x:v>75</x:v>
      </x:c>
      <x:c r="H2498" t="n">
        <x:f>ROUND(F2498*G2498/100,2)</x:f>
        <x:v>157.5</x:v>
      </x:c>
      <x:c r="I2498" t="n">
        <x:v>13</x:v>
      </x:c>
      <x:c r="J2498" t="n">
        <x:f>ROUND(F2498*I2498/100,2)</x:f>
        <x:v>27.3</x:v>
      </x:c>
      <x:c r="K2498" t="n">
        <x:v>3.5</x:v>
      </x:c>
      <x:c r="L2498" t="n">
        <x:f>ROUND(F2498*K2498/100,2)</x:f>
        <x:v>7.35</x:v>
      </x:c>
      <x:c r="M2498" t="n">
        <x:v>1</x:v>
      </x:c>
      <x:c r="N2498" t="n">
        <x:f>ROUND(F2498*M2498/100,2)</x:f>
        <x:v>2.1</x:v>
      </x:c>
      <x:c r="O2498" t="str">
        <x:v>净肉生重</x:v>
      </x:c>
    </x:row>
    <x:row r="2499" ht="23" customHeight="1">
      <x:c r="A2499" t="n">
        <x:v>417</x:v>
      </x:c>
      <x:c r="B2499" t="n">
        <x:v>209</x:v>
      </x:c>
      <x:c r="C2499" t="str">
        <x:v>午餐</x:v>
      </x:c>
      <x:c r="D2499" t="str"/>
      <x:c r="E2499" t="str"/>
      <x:c r="F2499" t="n">
        <x:v>0</x:v>
      </x:c>
      <x:c r="G2499" t="n">
        <x:v>0</x:v>
      </x:c>
      <x:c r="H2499" t="n">
        <x:f>ROUND(F2499*G2499/100,2)</x:f>
        <x:v>0</x:v>
      </x:c>
      <x:c r="I2499" t="n">
        <x:v>0</x:v>
      </x:c>
      <x:c r="J2499" t="n">
        <x:f>ROUND(F2499*I2499/100,2)</x:f>
        <x:v>0</x:v>
      </x:c>
      <x:c r="K2499" t="n">
        <x:v>0</x:v>
      </x:c>
      <x:c r="L2499" t="n">
        <x:f>ROUND(F2499*K2499/100,2)</x:f>
        <x:v>0</x:v>
      </x:c>
      <x:c r="M2499" t="n">
        <x:v>0</x:v>
      </x:c>
      <x:c r="N2499" t="n">
        <x:f>ROUND(F2499*M2499/100,2)</x:f>
        <x:v>0</x:v>
      </x:c>
      <x:c r="O2499" t="str"/>
    </x:row>
    <x:row r="2500" ht="23" customHeight="1">
      <x:c r="A2500" t="n">
        <x:v>417</x:v>
      </x:c>
      <x:c r="B2500" t="n">
        <x:v>209</x:v>
      </x:c>
      <x:c r="C2500" t="str">
        <x:v>午餐</x:v>
      </x:c>
      <x:c r="D2500" t="str">
        <x:v>蔬菜</x:v>
      </x:c>
      <x:c r="E2500" t="str">
        <x:v>丝瓜</x:v>
      </x:c>
      <x:c r="F2500" t="n">
        <x:v>140</x:v>
      </x:c>
      <x:c r="G2500" t="n">
        <x:v>20</x:v>
      </x:c>
      <x:c r="H2500" t="n">
        <x:f>ROUND(F2500*G2500/100,2)</x:f>
        <x:v>28</x:v>
      </x:c>
      <x:c r="I2500" t="n">
        <x:v>1</x:v>
      </x:c>
      <x:c r="J2500" t="n">
        <x:f>ROUND(F2500*I2500/100,2)</x:f>
        <x:v>1.4</x:v>
      </x:c>
      <x:c r="K2500" t="n">
        <x:v>4</x:v>
      </x:c>
      <x:c r="L2500" t="n">
        <x:f>ROUND(F2500*K2500/100,2)</x:f>
        <x:v>5.6</x:v>
      </x:c>
      <x:c r="M2500" t="n">
        <x:v>0.2</x:v>
      </x:c>
      <x:c r="N2500" t="n">
        <x:f>ROUND(F2500*M2500/100,2)</x:f>
        <x:v>0.28</x:v>
      </x:c>
      <x:c r="O2500" t="str">
        <x:v>生重</x:v>
      </x:c>
    </x:row>
    <x:row r="2501" ht="23" customHeight="1">
      <x:c r="A2501" t="n">
        <x:v>417</x:v>
      </x:c>
      <x:c r="B2501" t="n">
        <x:v>209</x:v>
      </x:c>
      <x:c r="C2501" t="str">
        <x:v>午餐</x:v>
      </x:c>
      <x:c r="D2501" t="str">
        <x:v>蔬菜</x:v>
      </x:c>
      <x:c r="E2501" t="str">
        <x:v>海带</x:v>
      </x:c>
      <x:c r="F2501" t="n">
        <x:v>155</x:v>
      </x:c>
      <x:c r="G2501" t="n">
        <x:v>25</x:v>
      </x:c>
      <x:c r="H2501" t="n">
        <x:f>ROUND(F2501*G2501/100,2)</x:f>
        <x:v>38.75</x:v>
      </x:c>
      <x:c r="I2501" t="n">
        <x:v>1</x:v>
      </x:c>
      <x:c r="J2501" t="n">
        <x:f>ROUND(F2501*I2501/100,2)</x:f>
        <x:v>1.55</x:v>
      </x:c>
      <x:c r="K2501" t="n">
        <x:v>5</x:v>
      </x:c>
      <x:c r="L2501" t="n">
        <x:f>ROUND(F2501*K2501/100,2)</x:f>
        <x:v>7.75</x:v>
      </x:c>
      <x:c r="M2501" t="n">
        <x:v>0.1</x:v>
      </x:c>
      <x:c r="N2501" t="n">
        <x:f>ROUND(F2501*M2501/100,2)</x:f>
        <x:v>0.16</x:v>
      </x:c>
      <x:c r="O2501" t="str">
        <x:v>泡发沥水重</x:v>
      </x:c>
    </x:row>
    <x:row r="2502" ht="23" customHeight="1">
      <x:c r="A2502" t="n">
        <x:v>417</x:v>
      </x:c>
      <x:c r="B2502" t="n">
        <x:v>209</x:v>
      </x:c>
      <x:c r="C2502" t="str">
        <x:v>午餐</x:v>
      </x:c>
      <x:c r="D2502" t="str">
        <x:v>主食</x:v>
      </x:c>
      <x:c r="E2502" t="str">
        <x:v>紫薯</x:v>
      </x:c>
      <x:c r="F2502" t="n">
        <x:v>165</x:v>
      </x:c>
      <x:c r="G2502" t="n">
        <x:v>95</x:v>
      </x:c>
      <x:c r="H2502" t="n">
        <x:f>ROUND(F2502*G2502/100,2)</x:f>
        <x:v>156.75</x:v>
      </x:c>
      <x:c r="I2502" t="n">
        <x:v>1.6</x:v>
      </x:c>
      <x:c r="J2502" t="n">
        <x:f>ROUND(F2502*I2502/100,2)</x:f>
        <x:v>2.64</x:v>
      </x:c>
      <x:c r="K2502" t="n">
        <x:v>22</x:v>
      </x:c>
      <x:c r="L2502" t="n">
        <x:f>ROUND(F2502*K2502/100,2)</x:f>
        <x:v>36.3</x:v>
      </x:c>
      <x:c r="M2502" t="n">
        <x:v>0.1</x:v>
      </x:c>
      <x:c r="N2502" t="n">
        <x:f>ROUND(F2502*M2502/100,2)</x:f>
        <x:v>0.17</x:v>
      </x:c>
      <x:c r="O2502" t="str">
        <x:v>蒸熟净重</x:v>
      </x:c>
    </x:row>
    <x:row r="2503" ht="23" customHeight="1">
      <x:c r="A2503" t="n">
        <x:v>417</x:v>
      </x:c>
      <x:c r="B2503" t="n">
        <x:v>209</x:v>
      </x:c>
      <x:c r="C2503" t="str">
        <x:v>午餐</x:v>
      </x:c>
      <x:c r="D2503" t="str">
        <x:v>油脂</x:v>
      </x:c>
      <x:c r="E2503" t="str">
        <x:v>烹调油</x:v>
      </x:c>
      <x:c r="F2503" t="n">
        <x:v>5</x:v>
      </x:c>
      <x:c r="G2503" t="n">
        <x:v>900</x:v>
      </x:c>
      <x:c r="H2503" t="n">
        <x:f>ROUND(F2503*G2503/100,2)</x:f>
        <x:v>45</x:v>
      </x:c>
      <x:c r="I2503" t="n">
        <x:v>0</x:v>
      </x:c>
      <x:c r="J2503" t="n">
        <x:f>ROUND(F2503*I2503/100,2)</x:f>
        <x:v>0</x:v>
      </x:c>
      <x:c r="K2503" t="n">
        <x:v>0</x:v>
      </x:c>
      <x:c r="L2503" t="n">
        <x:f>ROUND(F2503*K2503/100,2)</x:f>
        <x:v>0</x:v>
      </x:c>
      <x:c r="M2503" t="n">
        <x:v>100</x:v>
      </x:c>
      <x:c r="N2503" t="n">
        <x:f>ROUND(F2503*M2503/100,2)</x:f>
        <x:v>5</x:v>
      </x:c>
      <x:c r="O2503" t="str">
        <x:v>实际用油重</x:v>
      </x:c>
    </x:row>
    <x:row r="2504" ht="23" customHeight="1">
      <x:c r="A2504" t="n">
        <x:v>418</x:v>
      </x:c>
      <x:c r="B2504" t="n">
        <x:v>209</x:v>
      </x:c>
      <x:c r="C2504" t="str">
        <x:v>晚餐</x:v>
      </x:c>
      <x:c r="D2504" t="str">
        <x:v>豆蛋</x:v>
      </x:c>
      <x:c r="E2504" t="str">
        <x:v>鸡蛋</x:v>
      </x:c>
      <x:c r="F2504" t="n">
        <x:v>120</x:v>
      </x:c>
      <x:c r="G2504" t="n">
        <x:v>144</x:v>
      </x:c>
      <x:c r="H2504" t="n">
        <x:f>ROUND(F2504*G2504/100,2)</x:f>
        <x:v>172.8</x:v>
      </x:c>
      <x:c r="I2504" t="n">
        <x:v>13</x:v>
      </x:c>
      <x:c r="J2504" t="n">
        <x:f>ROUND(F2504*I2504/100,2)</x:f>
        <x:v>15.6</x:v>
      </x:c>
      <x:c r="K2504" t="n">
        <x:v>1.1</x:v>
      </x:c>
      <x:c r="L2504" t="n">
        <x:f>ROUND(F2504*K2504/100,2)</x:f>
        <x:v>1.32</x:v>
      </x:c>
      <x:c r="M2504" t="n">
        <x:v>10</x:v>
      </x:c>
      <x:c r="N2504" t="n">
        <x:f>ROUND(F2504*M2504/100,2)</x:f>
        <x:v>12</x:v>
      </x:c>
      <x:c r="O2504" t="str">
        <x:v>去壳可食重</x:v>
      </x:c>
    </x:row>
    <x:row r="2505" ht="23" customHeight="1">
      <x:c r="A2505" t="n">
        <x:v>418</x:v>
      </x:c>
      <x:c r="B2505" t="n">
        <x:v>209</x:v>
      </x:c>
      <x:c r="C2505" t="str">
        <x:v>晚餐</x:v>
      </x:c>
      <x:c r="D2505" t="str">
        <x:v>豆蛋</x:v>
      </x:c>
      <x:c r="E2505" t="str">
        <x:v>北豆腐</x:v>
      </x:c>
      <x:c r="F2505" t="n">
        <x:v>110</x:v>
      </x:c>
      <x:c r="G2505" t="n">
        <x:v>90</x:v>
      </x:c>
      <x:c r="H2505" t="n">
        <x:f>ROUND(F2505*G2505/100,2)</x:f>
        <x:v>99</x:v>
      </x:c>
      <x:c r="I2505" t="n">
        <x:v>10</x:v>
      </x:c>
      <x:c r="J2505" t="n">
        <x:f>ROUND(F2505*I2505/100,2)</x:f>
        <x:v>11</x:v>
      </x:c>
      <x:c r="K2505" t="n">
        <x:v>2</x:v>
      </x:c>
      <x:c r="L2505" t="n">
        <x:f>ROUND(F2505*K2505/100,2)</x:f>
        <x:v>2.2</x:v>
      </x:c>
      <x:c r="M2505" t="n">
        <x:v>5</x:v>
      </x:c>
      <x:c r="N2505" t="n">
        <x:f>ROUND(F2505*M2505/100,2)</x:f>
        <x:v>5.5</x:v>
      </x:c>
      <x:c r="O2505" t="str">
        <x:v>净重</x:v>
      </x:c>
    </x:row>
    <x:row r="2506" ht="23" customHeight="1">
      <x:c r="A2506" t="n">
        <x:v>418</x:v>
      </x:c>
      <x:c r="B2506" t="n">
        <x:v>209</x:v>
      </x:c>
      <x:c r="C2506" t="str">
        <x:v>晚餐</x:v>
      </x:c>
      <x:c r="D2506" t="str">
        <x:v>蔬菜</x:v>
      </x:c>
      <x:c r="E2506" t="str">
        <x:v>西葫芦</x:v>
      </x:c>
      <x:c r="F2506" t="n">
        <x:v>140</x:v>
      </x:c>
      <x:c r="G2506" t="n">
        <x:v>17</x:v>
      </x:c>
      <x:c r="H2506" t="n">
        <x:f>ROUND(F2506*G2506/100,2)</x:f>
        <x:v>23.8</x:v>
      </x:c>
      <x:c r="I2506" t="n">
        <x:v>1.2</x:v>
      </x:c>
      <x:c r="J2506" t="n">
        <x:f>ROUND(F2506*I2506/100,2)</x:f>
        <x:v>1.68</x:v>
      </x:c>
      <x:c r="K2506" t="n">
        <x:v>3.1</x:v>
      </x:c>
      <x:c r="L2506" t="n">
        <x:f>ROUND(F2506*K2506/100,2)</x:f>
        <x:v>4.34</x:v>
      </x:c>
      <x:c r="M2506" t="n">
        <x:v>0.3</x:v>
      </x:c>
      <x:c r="N2506" t="n">
        <x:f>ROUND(F2506*M2506/100,2)</x:f>
        <x:v>0.42</x:v>
      </x:c>
      <x:c r="O2506" t="str">
        <x:v>生重</x:v>
      </x:c>
    </x:row>
    <x:row r="2507" ht="23" customHeight="1">
      <x:c r="A2507" t="n">
        <x:v>418</x:v>
      </x:c>
      <x:c r="B2507" t="n">
        <x:v>209</x:v>
      </x:c>
      <x:c r="C2507" t="str">
        <x:v>晚餐</x:v>
      </x:c>
      <x:c r="D2507" t="str">
        <x:v>菌菇</x:v>
      </x:c>
      <x:c r="E2507" t="str">
        <x:v>口蘑</x:v>
      </x:c>
      <x:c r="F2507" t="n">
        <x:v>125</x:v>
      </x:c>
      <x:c r="G2507" t="n">
        <x:v>22</x:v>
      </x:c>
      <x:c r="H2507" t="n">
        <x:f>ROUND(F2507*G2507/100,2)</x:f>
        <x:v>27.5</x:v>
      </x:c>
      <x:c r="I2507" t="n">
        <x:v>3.1</x:v>
      </x:c>
      <x:c r="J2507" t="n">
        <x:f>ROUND(F2507*I2507/100,2)</x:f>
        <x:v>3.88</x:v>
      </x:c>
      <x:c r="K2507" t="n">
        <x:v>3.3</x:v>
      </x:c>
      <x:c r="L2507" t="n">
        <x:f>ROUND(F2507*K2507/100,2)</x:f>
        <x:v>4.13</x:v>
      </x:c>
      <x:c r="M2507" t="n">
        <x:v>0.3</x:v>
      </x:c>
      <x:c r="N2507" t="n">
        <x:f>ROUND(F2507*M2507/100,2)</x:f>
        <x:v>0.38</x:v>
      </x:c>
      <x:c r="O2507" t="str">
        <x:v>生重</x:v>
      </x:c>
    </x:row>
    <x:row r="2508" ht="23" customHeight="1">
      <x:c r="A2508" t="n">
        <x:v>418</x:v>
      </x:c>
      <x:c r="B2508" t="n">
        <x:v>209</x:v>
      </x:c>
      <x:c r="C2508" t="str">
        <x:v>晚餐</x:v>
      </x:c>
      <x:c r="D2508" t="str">
        <x:v>主食</x:v>
      </x:c>
      <x:c r="E2508" t="str">
        <x:v>米粉</x:v>
      </x:c>
      <x:c r="F2508" t="n">
        <x:v>80</x:v>
      </x:c>
      <x:c r="G2508" t="n">
        <x:v>110</x:v>
      </x:c>
      <x:c r="H2508" t="n">
        <x:f>ROUND(F2508*G2508/100,2)</x:f>
        <x:v>88</x:v>
      </x:c>
      <x:c r="I2508" t="n">
        <x:v>2</x:v>
      </x:c>
      <x:c r="J2508" t="n">
        <x:f>ROUND(F2508*I2508/100,2)</x:f>
        <x:v>1.6</x:v>
      </x:c>
      <x:c r="K2508" t="n">
        <x:v>24</x:v>
      </x:c>
      <x:c r="L2508" t="n">
        <x:f>ROUND(F2508*K2508/100,2)</x:f>
        <x:v>19.2</x:v>
      </x:c>
      <x:c r="M2508" t="n">
        <x:v>0.4</x:v>
      </x:c>
      <x:c r="N2508" t="n">
        <x:f>ROUND(F2508*M2508/100,2)</x:f>
        <x:v>0.32</x:v>
      </x:c>
      <x:c r="O2508" t="str">
        <x:v>煮熟沥水重</x:v>
      </x:c>
    </x:row>
    <x:row r="2509" ht="23" customHeight="1">
      <x:c r="A2509" t="n">
        <x:v>418</x:v>
      </x:c>
      <x:c r="B2509" t="n">
        <x:v>209</x:v>
      </x:c>
      <x:c r="C2509" t="str">
        <x:v>晚餐</x:v>
      </x:c>
      <x:c r="D2509" t="str">
        <x:v>油脂</x:v>
      </x:c>
      <x:c r="E2509" t="str">
        <x:v>烹调油</x:v>
      </x:c>
      <x:c r="F2509" t="n">
        <x:v>5</x:v>
      </x:c>
      <x:c r="G2509" t="n">
        <x:v>900</x:v>
      </x:c>
      <x:c r="H2509" t="n">
        <x:f>ROUND(F2509*G2509/100,2)</x:f>
        <x:v>45</x:v>
      </x:c>
      <x:c r="I2509" t="n">
        <x:v>0</x:v>
      </x:c>
      <x:c r="J2509" t="n">
        <x:f>ROUND(F2509*I2509/100,2)</x:f>
        <x:v>0</x:v>
      </x:c>
      <x:c r="K2509" t="n">
        <x:v>0</x:v>
      </x:c>
      <x:c r="L2509" t="n">
        <x:f>ROUND(F2509*K2509/100,2)</x:f>
        <x:v>0</x:v>
      </x:c>
      <x:c r="M2509" t="n">
        <x:v>100</x:v>
      </x:c>
      <x:c r="N2509" t="n">
        <x:f>ROUND(F2509*M2509/100,2)</x:f>
        <x:v>5</x:v>
      </x:c>
      <x:c r="O2509" t="str">
        <x:v>实际用油重</x:v>
      </x:c>
    </x:row>
    <x:row r="2510" ht="23" customHeight="1">
      <x:c r="A2510" t="n">
        <x:v>419</x:v>
      </x:c>
      <x:c r="B2510" t="n">
        <x:v>210</x:v>
      </x:c>
      <x:c r="C2510" t="str">
        <x:v>午餐</x:v>
      </x:c>
      <x:c r="D2510" t="str">
        <x:v>牛肉</x:v>
      </x:c>
      <x:c r="E2510" t="str">
        <x:v>瘦牛肉</x:v>
      </x:c>
      <x:c r="F2510" t="n">
        <x:v>165</x:v>
      </x:c>
      <x:c r="G2510" t="n">
        <x:v>125</x:v>
      </x:c>
      <x:c r="H2510" t="n">
        <x:f>ROUND(F2510*G2510/100,2)</x:f>
        <x:v>206.25</x:v>
      </x:c>
      <x:c r="I2510" t="n">
        <x:v>21</x:v>
      </x:c>
      <x:c r="J2510" t="n">
        <x:f>ROUND(F2510*I2510/100,2)</x:f>
        <x:v>34.65</x:v>
      </x:c>
      <x:c r="K2510" t="n">
        <x:v>0</x:v>
      </x:c>
      <x:c r="L2510" t="n">
        <x:f>ROUND(F2510*K2510/100,2)</x:f>
        <x:v>0</x:v>
      </x:c>
      <x:c r="M2510" t="n">
        <x:v>4</x:v>
      </x:c>
      <x:c r="N2510" t="n">
        <x:f>ROUND(F2510*M2510/100,2)</x:f>
        <x:v>6.6</x:v>
      </x:c>
      <x:c r="O2510" t="str">
        <x:v>生重</x:v>
      </x:c>
    </x:row>
    <x:row r="2511" ht="23" customHeight="1">
      <x:c r="A2511" t="n">
        <x:v>419</x:v>
      </x:c>
      <x:c r="B2511" t="n">
        <x:v>210</x:v>
      </x:c>
      <x:c r="C2511" t="str">
        <x:v>午餐</x:v>
      </x:c>
      <x:c r="D2511" t="str"/>
      <x:c r="E2511" t="str"/>
      <x:c r="F2511" t="n">
        <x:v>0</x:v>
      </x:c>
      <x:c r="G2511" t="n">
        <x:v>0</x:v>
      </x:c>
      <x:c r="H2511" t="n">
        <x:f>ROUND(F2511*G2511/100,2)</x:f>
        <x:v>0</x:v>
      </x:c>
      <x:c r="I2511" t="n">
        <x:v>0</x:v>
      </x:c>
      <x:c r="J2511" t="n">
        <x:f>ROUND(F2511*I2511/100,2)</x:f>
        <x:v>0</x:v>
      </x:c>
      <x:c r="K2511" t="n">
        <x:v>0</x:v>
      </x:c>
      <x:c r="L2511" t="n">
        <x:f>ROUND(F2511*K2511/100,2)</x:f>
        <x:v>0</x:v>
      </x:c>
      <x:c r="M2511" t="n">
        <x:v>0</x:v>
      </x:c>
      <x:c r="N2511" t="n">
        <x:f>ROUND(F2511*M2511/100,2)</x:f>
        <x:v>0</x:v>
      </x:c>
      <x:c r="O2511" t="str"/>
    </x:row>
    <x:row r="2512" ht="23" customHeight="1">
      <x:c r="A2512" t="n">
        <x:v>419</x:v>
      </x:c>
      <x:c r="B2512" t="n">
        <x:v>210</x:v>
      </x:c>
      <x:c r="C2512" t="str">
        <x:v>午餐</x:v>
      </x:c>
      <x:c r="D2512" t="str">
        <x:v>蔬菜</x:v>
      </x:c>
      <x:c r="E2512" t="str">
        <x:v>娃娃菜</x:v>
      </x:c>
      <x:c r="F2512" t="n">
        <x:v>190</x:v>
      </x:c>
      <x:c r="G2512" t="n">
        <x:v>17</x:v>
      </x:c>
      <x:c r="H2512" t="n">
        <x:f>ROUND(F2512*G2512/100,2)</x:f>
        <x:v>32.3</x:v>
      </x:c>
      <x:c r="I2512" t="n">
        <x:v>1.3</x:v>
      </x:c>
      <x:c r="J2512" t="n">
        <x:f>ROUND(F2512*I2512/100,2)</x:f>
        <x:v>2.47</x:v>
      </x:c>
      <x:c r="K2512" t="n">
        <x:v>3</x:v>
      </x:c>
      <x:c r="L2512" t="n">
        <x:f>ROUND(F2512*K2512/100,2)</x:f>
        <x:v>5.7</x:v>
      </x:c>
      <x:c r="M2512" t="n">
        <x:v>0.2</x:v>
      </x:c>
      <x:c r="N2512" t="n">
        <x:f>ROUND(F2512*M2512/100,2)</x:f>
        <x:v>0.38</x:v>
      </x:c>
      <x:c r="O2512" t="str">
        <x:v>生重</x:v>
      </x:c>
    </x:row>
    <x:row r="2513" ht="23" customHeight="1">
      <x:c r="A2513" t="n">
        <x:v>419</x:v>
      </x:c>
      <x:c r="B2513" t="n">
        <x:v>210</x:v>
      </x:c>
      <x:c r="C2513" t="str">
        <x:v>午餐</x:v>
      </x:c>
      <x:c r="D2513" t="str">
        <x:v>菌菇</x:v>
      </x:c>
      <x:c r="E2513" t="str">
        <x:v>口蘑</x:v>
      </x:c>
      <x:c r="F2513" t="n">
        <x:v>140</x:v>
      </x:c>
      <x:c r="G2513" t="n">
        <x:v>22</x:v>
      </x:c>
      <x:c r="H2513" t="n">
        <x:f>ROUND(F2513*G2513/100,2)</x:f>
        <x:v>30.8</x:v>
      </x:c>
      <x:c r="I2513" t="n">
        <x:v>3.1</x:v>
      </x:c>
      <x:c r="J2513" t="n">
        <x:f>ROUND(F2513*I2513/100,2)</x:f>
        <x:v>4.34</x:v>
      </x:c>
      <x:c r="K2513" t="n">
        <x:v>3.3</x:v>
      </x:c>
      <x:c r="L2513" t="n">
        <x:f>ROUND(F2513*K2513/100,2)</x:f>
        <x:v>4.62</x:v>
      </x:c>
      <x:c r="M2513" t="n">
        <x:v>0.3</x:v>
      </x:c>
      <x:c r="N2513" t="n">
        <x:f>ROUND(F2513*M2513/100,2)</x:f>
        <x:v>0.42</x:v>
      </x:c>
      <x:c r="O2513" t="str">
        <x:v>生重</x:v>
      </x:c>
    </x:row>
    <x:row r="2514" ht="23" customHeight="1">
      <x:c r="A2514" t="n">
        <x:v>419</x:v>
      </x:c>
      <x:c r="B2514" t="n">
        <x:v>210</x:v>
      </x:c>
      <x:c r="C2514" t="str">
        <x:v>午餐</x:v>
      </x:c>
      <x:c r="D2514" t="str">
        <x:v>主食</x:v>
      </x:c>
      <x:c r="E2514" t="str">
        <x:v>荞麦面</x:v>
      </x:c>
      <x:c r="F2514" t="n">
        <x:v>125</x:v>
      </x:c>
      <x:c r="G2514" t="n">
        <x:v>105</x:v>
      </x:c>
      <x:c r="H2514" t="n">
        <x:f>ROUND(F2514*G2514/100,2)</x:f>
        <x:v>131.25</x:v>
      </x:c>
      <x:c r="I2514" t="n">
        <x:v>4</x:v>
      </x:c>
      <x:c r="J2514" t="n">
        <x:f>ROUND(F2514*I2514/100,2)</x:f>
        <x:v>5</x:v>
      </x:c>
      <x:c r="K2514" t="n">
        <x:v>21</x:v>
      </x:c>
      <x:c r="L2514" t="n">
        <x:f>ROUND(F2514*K2514/100,2)</x:f>
        <x:v>26.25</x:v>
      </x:c>
      <x:c r="M2514" t="n">
        <x:v>0.7</x:v>
      </x:c>
      <x:c r="N2514" t="n">
        <x:f>ROUND(F2514*M2514/100,2)</x:f>
        <x:v>0.88</x:v>
      </x:c>
      <x:c r="O2514" t="str">
        <x:v>煮熟沥水重</x:v>
      </x:c>
    </x:row>
    <x:row r="2515" ht="23" customHeight="1">
      <x:c r="A2515" t="n">
        <x:v>419</x:v>
      </x:c>
      <x:c r="B2515" t="n">
        <x:v>210</x:v>
      </x:c>
      <x:c r="C2515" t="str">
        <x:v>午餐</x:v>
      </x:c>
      <x:c r="D2515" t="str">
        <x:v>油脂</x:v>
      </x:c>
      <x:c r="E2515" t="str">
        <x:v>烹调油</x:v>
      </x:c>
      <x:c r="F2515" t="n">
        <x:v>3</x:v>
      </x:c>
      <x:c r="G2515" t="n">
        <x:v>900</x:v>
      </x:c>
      <x:c r="H2515" t="n">
        <x:f>ROUND(F2515*G2515/100,2)</x:f>
        <x:v>27</x:v>
      </x:c>
      <x:c r="I2515" t="n">
        <x:v>0</x:v>
      </x:c>
      <x:c r="J2515" t="n">
        <x:f>ROUND(F2515*I2515/100,2)</x:f>
        <x:v>0</x:v>
      </x:c>
      <x:c r="K2515" t="n">
        <x:v>0</x:v>
      </x:c>
      <x:c r="L2515" t="n">
        <x:f>ROUND(F2515*K2515/100,2)</x:f>
        <x:v>0</x:v>
      </x:c>
      <x:c r="M2515" t="n">
        <x:v>100</x:v>
      </x:c>
      <x:c r="N2515" t="n">
        <x:f>ROUND(F2515*M2515/100,2)</x:f>
        <x:v>3</x:v>
      </x:c>
      <x:c r="O2515" t="str">
        <x:v>实际用油重</x:v>
      </x:c>
    </x:row>
    <x:row r="2516" ht="23" customHeight="1">
      <x:c r="A2516" t="n">
        <x:v>420</x:v>
      </x:c>
      <x:c r="B2516" t="n">
        <x:v>210</x:v>
      </x:c>
      <x:c r="C2516" t="str">
        <x:v>晚餐</x:v>
      </x:c>
      <x:c r="D2516" t="str">
        <x:v>禽肉</x:v>
      </x:c>
      <x:c r="E2516" t="str">
        <x:v>鸡里脊肉</x:v>
      </x:c>
      <x:c r="F2516" t="n">
        <x:v>145</x:v>
      </x:c>
      <x:c r="G2516" t="n">
        <x:v>110</x:v>
      </x:c>
      <x:c r="H2516" t="n">
        <x:f>ROUND(F2516*G2516/100,2)</x:f>
        <x:v>159.5</x:v>
      </x:c>
      <x:c r="I2516" t="n">
        <x:v>23</x:v>
      </x:c>
      <x:c r="J2516" t="n">
        <x:f>ROUND(F2516*I2516/100,2)</x:f>
        <x:v>33.35</x:v>
      </x:c>
      <x:c r="K2516" t="n">
        <x:v>0</x:v>
      </x:c>
      <x:c r="L2516" t="n">
        <x:f>ROUND(F2516*K2516/100,2)</x:f>
        <x:v>0</x:v>
      </x:c>
      <x:c r="M2516" t="n">
        <x:v>1.8</x:v>
      </x:c>
      <x:c r="N2516" t="n">
        <x:f>ROUND(F2516*M2516/100,2)</x:f>
        <x:v>2.61</x:v>
      </x:c>
      <x:c r="O2516" t="str">
        <x:v>生重</x:v>
      </x:c>
    </x:row>
    <x:row r="2517" ht="23" customHeight="1">
      <x:c r="A2517" t="n">
        <x:v>420</x:v>
      </x:c>
      <x:c r="B2517" t="n">
        <x:v>210</x:v>
      </x:c>
      <x:c r="C2517" t="str">
        <x:v>晚餐</x:v>
      </x:c>
      <x:c r="D2517" t="str"/>
      <x:c r="E2517" t="str"/>
      <x:c r="F2517" t="n">
        <x:v>0</x:v>
      </x:c>
      <x:c r="G2517" t="n">
        <x:v>0</x:v>
      </x:c>
      <x:c r="H2517" t="n">
        <x:f>ROUND(F2517*G2517/100,2)</x:f>
        <x:v>0</x:v>
      </x:c>
      <x:c r="I2517" t="n">
        <x:v>0</x:v>
      </x:c>
      <x:c r="J2517" t="n">
        <x:f>ROUND(F2517*I2517/100,2)</x:f>
        <x:v>0</x:v>
      </x:c>
      <x:c r="K2517" t="n">
        <x:v>0</x:v>
      </x:c>
      <x:c r="L2517" t="n">
        <x:f>ROUND(F2517*K2517/100,2)</x:f>
        <x:v>0</x:v>
      </x:c>
      <x:c r="M2517" t="n">
        <x:v>0</x:v>
      </x:c>
      <x:c r="N2517" t="n">
        <x:f>ROUND(F2517*M2517/100,2)</x:f>
        <x:v>0</x:v>
      </x:c>
      <x:c r="O2517" t="str"/>
    </x:row>
    <x:row r="2518" ht="23" customHeight="1">
      <x:c r="A2518" t="n">
        <x:v>420</x:v>
      </x:c>
      <x:c r="B2518" t="n">
        <x:v>210</x:v>
      </x:c>
      <x:c r="C2518" t="str">
        <x:v>晚餐</x:v>
      </x:c>
      <x:c r="D2518" t="str">
        <x:v>蔬菜</x:v>
      </x:c>
      <x:c r="E2518" t="str">
        <x:v>苦瓜</x:v>
      </x:c>
      <x:c r="F2518" t="n">
        <x:v>175</x:v>
      </x:c>
      <x:c r="G2518" t="n">
        <x:v>19</x:v>
      </x:c>
      <x:c r="H2518" t="n">
        <x:f>ROUND(F2518*G2518/100,2)</x:f>
        <x:v>33.25</x:v>
      </x:c>
      <x:c r="I2518" t="n">
        <x:v>1</x:v>
      </x:c>
      <x:c r="J2518" t="n">
        <x:f>ROUND(F2518*I2518/100,2)</x:f>
        <x:v>1.75</x:v>
      </x:c>
      <x:c r="K2518" t="n">
        <x:v>4.1</x:v>
      </x:c>
      <x:c r="L2518" t="n">
        <x:f>ROUND(F2518*K2518/100,2)</x:f>
        <x:v>7.17</x:v>
      </x:c>
      <x:c r="M2518" t="n">
        <x:v>0.2</x:v>
      </x:c>
      <x:c r="N2518" t="n">
        <x:f>ROUND(F2518*M2518/100,2)</x:f>
        <x:v>0.35</x:v>
      </x:c>
      <x:c r="O2518" t="str">
        <x:v>生重</x:v>
      </x:c>
    </x:row>
    <x:row r="2519" ht="23" customHeight="1">
      <x:c r="A2519" t="n">
        <x:v>420</x:v>
      </x:c>
      <x:c r="B2519" t="n">
        <x:v>210</x:v>
      </x:c>
      <x:c r="C2519" t="str">
        <x:v>晚餐</x:v>
      </x:c>
      <x:c r="D2519" t="str">
        <x:v>蔬菜</x:v>
      </x:c>
      <x:c r="E2519" t="str">
        <x:v>冬瓜</x:v>
      </x:c>
      <x:c r="F2519" t="n">
        <x:v>155</x:v>
      </x:c>
      <x:c r="G2519" t="n">
        <x:v>13</x:v>
      </x:c>
      <x:c r="H2519" t="n">
        <x:f>ROUND(F2519*G2519/100,2)</x:f>
        <x:v>20.15</x:v>
      </x:c>
      <x:c r="I2519" t="n">
        <x:v>0.4</x:v>
      </x:c>
      <x:c r="J2519" t="n">
        <x:f>ROUND(F2519*I2519/100,2)</x:f>
        <x:v>0.62</x:v>
      </x:c>
      <x:c r="K2519" t="n">
        <x:v>3</x:v>
      </x:c>
      <x:c r="L2519" t="n">
        <x:f>ROUND(F2519*K2519/100,2)</x:f>
        <x:v>4.65</x:v>
      </x:c>
      <x:c r="M2519" t="n">
        <x:v>0.2</x:v>
      </x:c>
      <x:c r="N2519" t="n">
        <x:f>ROUND(F2519*M2519/100,2)</x:f>
        <x:v>0.31</x:v>
      </x:c>
      <x:c r="O2519" t="str">
        <x:v>生重</x:v>
      </x:c>
    </x:row>
    <x:row r="2520" ht="23" customHeight="1">
      <x:c r="A2520" t="n">
        <x:v>420</x:v>
      </x:c>
      <x:c r="B2520" t="n">
        <x:v>210</x:v>
      </x:c>
      <x:c r="C2520" t="str">
        <x:v>晚餐</x:v>
      </x:c>
      <x:c r="D2520" t="str">
        <x:v>主食</x:v>
      </x:c>
      <x:c r="E2520" t="str">
        <x:v>糙米饭</x:v>
      </x:c>
      <x:c r="F2520" t="n">
        <x:v>135</x:v>
      </x:c>
      <x:c r="G2520" t="n">
        <x:v>112</x:v>
      </x:c>
      <x:c r="H2520" t="n">
        <x:f>ROUND(F2520*G2520/100,2)</x:f>
        <x:v>151.2</x:v>
      </x:c>
      <x:c r="I2520" t="n">
        <x:v>2.6</x:v>
      </x:c>
      <x:c r="J2520" t="n">
        <x:f>ROUND(F2520*I2520/100,2)</x:f>
        <x:v>3.51</x:v>
      </x:c>
      <x:c r="K2520" t="n">
        <x:v>23.5</x:v>
      </x:c>
      <x:c r="L2520" t="n">
        <x:f>ROUND(F2520*K2520/100,2)</x:f>
        <x:v>31.73</x:v>
      </x:c>
      <x:c r="M2520" t="n">
        <x:v>0.9</x:v>
      </x:c>
      <x:c r="N2520" t="n">
        <x:f>ROUND(F2520*M2520/100,2)</x:f>
        <x:v>1.22</x:v>
      </x:c>
      <x:c r="O2520" t="str">
        <x:v>熟重</x:v>
      </x:c>
    </x:row>
    <x:row r="2521" ht="23" customHeight="1">
      <x:c r="A2521" t="n">
        <x:v>420</x:v>
      </x:c>
      <x:c r="B2521" t="n">
        <x:v>210</x:v>
      </x:c>
      <x:c r="C2521" t="str">
        <x:v>晚餐</x:v>
      </x:c>
      <x:c r="D2521" t="str">
        <x:v>油脂</x:v>
      </x:c>
      <x:c r="E2521" t="str">
        <x:v>烹调油</x:v>
      </x:c>
      <x:c r="F2521" t="n">
        <x:v>6</x:v>
      </x:c>
      <x:c r="G2521" t="n">
        <x:v>900</x:v>
      </x:c>
      <x:c r="H2521" t="n">
        <x:f>ROUND(F2521*G2521/100,2)</x:f>
        <x:v>54</x:v>
      </x:c>
      <x:c r="I2521" t="n">
        <x:v>0</x:v>
      </x:c>
      <x:c r="J2521" t="n">
        <x:f>ROUND(F2521*I2521/100,2)</x:f>
        <x:v>0</x:v>
      </x:c>
      <x:c r="K2521" t="n">
        <x:v>0</x:v>
      </x:c>
      <x:c r="L2521" t="n">
        <x:f>ROUND(F2521*K2521/100,2)</x:f>
        <x:v>0</x:v>
      </x:c>
      <x:c r="M2521" t="n">
        <x:v>100</x:v>
      </x:c>
      <x:c r="N2521" t="n">
        <x:f>ROUND(F2521*M2521/100,2)</x:f>
        <x:v>6</x:v>
      </x:c>
      <x:c r="O2521" t="str">
        <x:v>实际用油重</x:v>
      </x:c>
    </x:row>
    <x:row r="2522" ht="23" customHeight="1">
      <x:c r="A2522" t="n">
        <x:v>421</x:v>
      </x:c>
      <x:c r="B2522" t="n">
        <x:v>211</x:v>
      </x:c>
      <x:c r="C2522" t="str">
        <x:v>午餐</x:v>
      </x:c>
      <x:c r="D2522" t="str">
        <x:v>禽肉</x:v>
      </x:c>
      <x:c r="E2522" t="str">
        <x:v>鸡里脊肉</x:v>
      </x:c>
      <x:c r="F2522" t="n">
        <x:v>165</x:v>
      </x:c>
      <x:c r="G2522" t="n">
        <x:v>110</x:v>
      </x:c>
      <x:c r="H2522" t="n">
        <x:f>ROUND(F2522*G2522/100,2)</x:f>
        <x:v>181.5</x:v>
      </x:c>
      <x:c r="I2522" t="n">
        <x:v>23</x:v>
      </x:c>
      <x:c r="J2522" t="n">
        <x:f>ROUND(F2522*I2522/100,2)</x:f>
        <x:v>37.95</x:v>
      </x:c>
      <x:c r="K2522" t="n">
        <x:v>0</x:v>
      </x:c>
      <x:c r="L2522" t="n">
        <x:f>ROUND(F2522*K2522/100,2)</x:f>
        <x:v>0</x:v>
      </x:c>
      <x:c r="M2522" t="n">
        <x:v>1.8</x:v>
      </x:c>
      <x:c r="N2522" t="n">
        <x:f>ROUND(F2522*M2522/100,2)</x:f>
        <x:v>2.97</x:v>
      </x:c>
      <x:c r="O2522" t="str">
        <x:v>生重</x:v>
      </x:c>
    </x:row>
    <x:row r="2523" ht="23" customHeight="1">
      <x:c r="A2523" t="n">
        <x:v>421</x:v>
      </x:c>
      <x:c r="B2523" t="n">
        <x:v>211</x:v>
      </x:c>
      <x:c r="C2523" t="str">
        <x:v>午餐</x:v>
      </x:c>
      <x:c r="D2523" t="str"/>
      <x:c r="E2523" t="str"/>
      <x:c r="F2523" t="n">
        <x:v>0</x:v>
      </x:c>
      <x:c r="G2523" t="n">
        <x:v>0</x:v>
      </x:c>
      <x:c r="H2523" t="n">
        <x:f>ROUND(F2523*G2523/100,2)</x:f>
        <x:v>0</x:v>
      </x:c>
      <x:c r="I2523" t="n">
        <x:v>0</x:v>
      </x:c>
      <x:c r="J2523" t="n">
        <x:f>ROUND(F2523*I2523/100,2)</x:f>
        <x:v>0</x:v>
      </x:c>
      <x:c r="K2523" t="n">
        <x:v>0</x:v>
      </x:c>
      <x:c r="L2523" t="n">
        <x:f>ROUND(F2523*K2523/100,2)</x:f>
        <x:v>0</x:v>
      </x:c>
      <x:c r="M2523" t="n">
        <x:v>0</x:v>
      </x:c>
      <x:c r="N2523" t="n">
        <x:f>ROUND(F2523*M2523/100,2)</x:f>
        <x:v>0</x:v>
      </x:c>
      <x:c r="O2523" t="str"/>
    </x:row>
    <x:row r="2524" ht="23" customHeight="1">
      <x:c r="A2524" t="n">
        <x:v>421</x:v>
      </x:c>
      <x:c r="B2524" t="n">
        <x:v>211</x:v>
      </x:c>
      <x:c r="C2524" t="str">
        <x:v>午餐</x:v>
      </x:c>
      <x:c r="D2524" t="str">
        <x:v>蔬菜</x:v>
      </x:c>
      <x:c r="E2524" t="str">
        <x:v>紫甘蓝</x:v>
      </x:c>
      <x:c r="F2524" t="n">
        <x:v>160</x:v>
      </x:c>
      <x:c r="G2524" t="n">
        <x:v>31</x:v>
      </x:c>
      <x:c r="H2524" t="n">
        <x:f>ROUND(F2524*G2524/100,2)</x:f>
        <x:v>49.6</x:v>
      </x:c>
      <x:c r="I2524" t="n">
        <x:v>1.4</x:v>
      </x:c>
      <x:c r="J2524" t="n">
        <x:f>ROUND(F2524*I2524/100,2)</x:f>
        <x:v>2.24</x:v>
      </x:c>
      <x:c r="K2524" t="n">
        <x:v>7.3</x:v>
      </x:c>
      <x:c r="L2524" t="n">
        <x:f>ROUND(F2524*K2524/100,2)</x:f>
        <x:v>11.68</x:v>
      </x:c>
      <x:c r="M2524" t="n">
        <x:v>0.1</x:v>
      </x:c>
      <x:c r="N2524" t="n">
        <x:f>ROUND(F2524*M2524/100,2)</x:f>
        <x:v>0.16</x:v>
      </x:c>
      <x:c r="O2524" t="str">
        <x:v>生重</x:v>
      </x:c>
    </x:row>
    <x:row r="2525" ht="23" customHeight="1">
      <x:c r="A2525" t="n">
        <x:v>421</x:v>
      </x:c>
      <x:c r="B2525" t="n">
        <x:v>211</x:v>
      </x:c>
      <x:c r="C2525" t="str">
        <x:v>午餐</x:v>
      </x:c>
      <x:c r="D2525" t="str">
        <x:v>蔬菜</x:v>
      </x:c>
      <x:c r="E2525" t="str">
        <x:v>丝瓜</x:v>
      </x:c>
      <x:c r="F2525" t="n">
        <x:v>125</x:v>
      </x:c>
      <x:c r="G2525" t="n">
        <x:v>20</x:v>
      </x:c>
      <x:c r="H2525" t="n">
        <x:f>ROUND(F2525*G2525/100,2)</x:f>
        <x:v>25</x:v>
      </x:c>
      <x:c r="I2525" t="n">
        <x:v>1</x:v>
      </x:c>
      <x:c r="J2525" t="n">
        <x:f>ROUND(F2525*I2525/100,2)</x:f>
        <x:v>1.25</x:v>
      </x:c>
      <x:c r="K2525" t="n">
        <x:v>4</x:v>
      </x:c>
      <x:c r="L2525" t="n">
        <x:f>ROUND(F2525*K2525/100,2)</x:f>
        <x:v>5</x:v>
      </x:c>
      <x:c r="M2525" t="n">
        <x:v>0.2</x:v>
      </x:c>
      <x:c r="N2525" t="n">
        <x:f>ROUND(F2525*M2525/100,2)</x:f>
        <x:v>0.25</x:v>
      </x:c>
      <x:c r="O2525" t="str">
        <x:v>生重</x:v>
      </x:c>
    </x:row>
    <x:row r="2526" ht="23" customHeight="1">
      <x:c r="A2526" t="n">
        <x:v>421</x:v>
      </x:c>
      <x:c r="B2526" t="n">
        <x:v>211</x:v>
      </x:c>
      <x:c r="C2526" t="str">
        <x:v>午餐</x:v>
      </x:c>
      <x:c r="D2526" t="str">
        <x:v>主食</x:v>
      </x:c>
      <x:c r="E2526" t="str">
        <x:v>杂粮饭</x:v>
      </x:c>
      <x:c r="F2526" t="n">
        <x:v>135</x:v>
      </x:c>
      <x:c r="G2526" t="n">
        <x:v>115</x:v>
      </x:c>
      <x:c r="H2526" t="n">
        <x:f>ROUND(F2526*G2526/100,2)</x:f>
        <x:v>155.25</x:v>
      </x:c>
      <x:c r="I2526" t="n">
        <x:v>3.1</x:v>
      </x:c>
      <x:c r="J2526" t="n">
        <x:f>ROUND(F2526*I2526/100,2)</x:f>
        <x:v>4.18</x:v>
      </x:c>
      <x:c r="K2526" t="n">
        <x:v>23.5</x:v>
      </x:c>
      <x:c r="L2526" t="n">
        <x:f>ROUND(F2526*K2526/100,2)</x:f>
        <x:v>31.73</x:v>
      </x:c>
      <x:c r="M2526" t="n">
        <x:v>1.1</x:v>
      </x:c>
      <x:c r="N2526" t="n">
        <x:f>ROUND(F2526*M2526/100,2)</x:f>
        <x:v>1.49</x:v>
      </x:c>
      <x:c r="O2526" t="str">
        <x:v>熟重</x:v>
      </x:c>
    </x:row>
    <x:row r="2527" ht="23" customHeight="1">
      <x:c r="A2527" t="n">
        <x:v>421</x:v>
      </x:c>
      <x:c r="B2527" t="n">
        <x:v>211</x:v>
      </x:c>
      <x:c r="C2527" t="str">
        <x:v>午餐</x:v>
      </x:c>
      <x:c r="D2527" t="str">
        <x:v>油脂</x:v>
      </x:c>
      <x:c r="E2527" t="str">
        <x:v>烹调油</x:v>
      </x:c>
      <x:c r="F2527" t="n">
        <x:v>4</x:v>
      </x:c>
      <x:c r="G2527" t="n">
        <x:v>900</x:v>
      </x:c>
      <x:c r="H2527" t="n">
        <x:f>ROUND(F2527*G2527/100,2)</x:f>
        <x:v>36</x:v>
      </x:c>
      <x:c r="I2527" t="n">
        <x:v>0</x:v>
      </x:c>
      <x:c r="J2527" t="n">
        <x:f>ROUND(F2527*I2527/100,2)</x:f>
        <x:v>0</x:v>
      </x:c>
      <x:c r="K2527" t="n">
        <x:v>0</x:v>
      </x:c>
      <x:c r="L2527" t="n">
        <x:f>ROUND(F2527*K2527/100,2)</x:f>
        <x:v>0</x:v>
      </x:c>
      <x:c r="M2527" t="n">
        <x:v>100</x:v>
      </x:c>
      <x:c r="N2527" t="n">
        <x:f>ROUND(F2527*M2527/100,2)</x:f>
        <x:v>4</x:v>
      </x:c>
      <x:c r="O2527" t="str">
        <x:v>实际用油重</x:v>
      </x:c>
    </x:row>
    <x:row r="2528" ht="23" customHeight="1">
      <x:c r="A2528" t="n">
        <x:v>422</x:v>
      </x:c>
      <x:c r="B2528" t="n">
        <x:v>211</x:v>
      </x:c>
      <x:c r="C2528" t="str">
        <x:v>晚餐</x:v>
      </x:c>
      <x:c r="D2528" t="str">
        <x:v>鱼类</x:v>
      </x:c>
      <x:c r="E2528" t="str">
        <x:v>巴沙鱼</x:v>
      </x:c>
      <x:c r="F2528" t="n">
        <x:v>215</x:v>
      </x:c>
      <x:c r="G2528" t="n">
        <x:v>90</x:v>
      </x:c>
      <x:c r="H2528" t="n">
        <x:f>ROUND(F2528*G2528/100,2)</x:f>
        <x:v>193.5</x:v>
      </x:c>
      <x:c r="I2528" t="n">
        <x:v>17</x:v>
      </x:c>
      <x:c r="J2528" t="n">
        <x:f>ROUND(F2528*I2528/100,2)</x:f>
        <x:v>36.55</x:v>
      </x:c>
      <x:c r="K2528" t="n">
        <x:v>0</x:v>
      </x:c>
      <x:c r="L2528" t="n">
        <x:f>ROUND(F2528*K2528/100,2)</x:f>
        <x:v>0</x:v>
      </x:c>
      <x:c r="M2528" t="n">
        <x:v>2.3</x:v>
      </x:c>
      <x:c r="N2528" t="n">
        <x:f>ROUND(F2528*M2528/100,2)</x:f>
        <x:v>4.94</x:v>
      </x:c>
      <x:c r="O2528" t="str">
        <x:v>净鱼肉生重</x:v>
      </x:c>
    </x:row>
    <x:row r="2529" ht="23" customHeight="1">
      <x:c r="A2529" t="n">
        <x:v>422</x:v>
      </x:c>
      <x:c r="B2529" t="n">
        <x:v>211</x:v>
      </x:c>
      <x:c r="C2529" t="str">
        <x:v>晚餐</x:v>
      </x:c>
      <x:c r="D2529" t="str"/>
      <x:c r="E2529" t="str"/>
      <x:c r="F2529" t="n">
        <x:v>0</x:v>
      </x:c>
      <x:c r="G2529" t="n">
        <x:v>0</x:v>
      </x:c>
      <x:c r="H2529" t="n">
        <x:f>ROUND(F2529*G2529/100,2)</x:f>
        <x:v>0</x:v>
      </x:c>
      <x:c r="I2529" t="n">
        <x:v>0</x:v>
      </x:c>
      <x:c r="J2529" t="n">
        <x:f>ROUND(F2529*I2529/100,2)</x:f>
        <x:v>0</x:v>
      </x:c>
      <x:c r="K2529" t="n">
        <x:v>0</x:v>
      </x:c>
      <x:c r="L2529" t="n">
        <x:f>ROUND(F2529*K2529/100,2)</x:f>
        <x:v>0</x:v>
      </x:c>
      <x:c r="M2529" t="n">
        <x:v>0</x:v>
      </x:c>
      <x:c r="N2529" t="n">
        <x:f>ROUND(F2529*M2529/100,2)</x:f>
        <x:v>0</x:v>
      </x:c>
      <x:c r="O2529" t="str"/>
    </x:row>
    <x:row r="2530" ht="23" customHeight="1">
      <x:c r="A2530" t="n">
        <x:v>422</x:v>
      </x:c>
      <x:c r="B2530" t="n">
        <x:v>211</x:v>
      </x:c>
      <x:c r="C2530" t="str">
        <x:v>晚餐</x:v>
      </x:c>
      <x:c r="D2530" t="str">
        <x:v>蔬菜</x:v>
      </x:c>
      <x:c r="E2530" t="str">
        <x:v>竹笋</x:v>
      </x:c>
      <x:c r="F2530" t="n">
        <x:v>175</x:v>
      </x:c>
      <x:c r="G2530" t="n">
        <x:v>27</x:v>
      </x:c>
      <x:c r="H2530" t="n">
        <x:f>ROUND(F2530*G2530/100,2)</x:f>
        <x:v>47.25</x:v>
      </x:c>
      <x:c r="I2530" t="n">
        <x:v>2.6</x:v>
      </x:c>
      <x:c r="J2530" t="n">
        <x:f>ROUND(F2530*I2530/100,2)</x:f>
        <x:v>4.55</x:v>
      </x:c>
      <x:c r="K2530" t="n">
        <x:v>5.2</x:v>
      </x:c>
      <x:c r="L2530" t="n">
        <x:f>ROUND(F2530*K2530/100,2)</x:f>
        <x:v>9.1</x:v>
      </x:c>
      <x:c r="M2530" t="n">
        <x:v>0.3</x:v>
      </x:c>
      <x:c r="N2530" t="n">
        <x:f>ROUND(F2530*M2530/100,2)</x:f>
        <x:v>0.53</x:v>
      </x:c>
      <x:c r="O2530" t="str">
        <x:v>生重</x:v>
      </x:c>
    </x:row>
    <x:row r="2531" ht="23" customHeight="1">
      <x:c r="A2531" t="n">
        <x:v>422</x:v>
      </x:c>
      <x:c r="B2531" t="n">
        <x:v>211</x:v>
      </x:c>
      <x:c r="C2531" t="str">
        <x:v>晚餐</x:v>
      </x:c>
      <x:c r="D2531" t="str">
        <x:v>蔬菜</x:v>
      </x:c>
      <x:c r="E2531" t="str">
        <x:v>胡萝卜</x:v>
      </x:c>
      <x:c r="F2531" t="n">
        <x:v>110</x:v>
      </x:c>
      <x:c r="G2531" t="n">
        <x:v>41</x:v>
      </x:c>
      <x:c r="H2531" t="n">
        <x:f>ROUND(F2531*G2531/100,2)</x:f>
        <x:v>45.1</x:v>
      </x:c>
      <x:c r="I2531" t="n">
        <x:v>0.9</x:v>
      </x:c>
      <x:c r="J2531" t="n">
        <x:f>ROUND(F2531*I2531/100,2)</x:f>
        <x:v>0.99</x:v>
      </x:c>
      <x:c r="K2531" t="n">
        <x:v>10</x:v>
      </x:c>
      <x:c r="L2531" t="n">
        <x:f>ROUND(F2531*K2531/100,2)</x:f>
        <x:v>11</x:v>
      </x:c>
      <x:c r="M2531" t="n">
        <x:v>0.2</x:v>
      </x:c>
      <x:c r="N2531" t="n">
        <x:f>ROUND(F2531*M2531/100,2)</x:f>
        <x:v>0.22</x:v>
      </x:c>
      <x:c r="O2531" t="str">
        <x:v>生重</x:v>
      </x:c>
    </x:row>
    <x:row r="2532" ht="23" customHeight="1">
      <x:c r="A2532" t="n">
        <x:v>422</x:v>
      </x:c>
      <x:c r="B2532" t="n">
        <x:v>211</x:v>
      </x:c>
      <x:c r="C2532" t="str">
        <x:v>晚餐</x:v>
      </x:c>
      <x:c r="D2532" t="str">
        <x:v>主食</x:v>
      </x:c>
      <x:c r="E2532" t="str">
        <x:v>玉米</x:v>
      </x:c>
      <x:c r="F2532" t="n">
        <x:v>95</x:v>
      </x:c>
      <x:c r="G2532" t="n">
        <x:v>105</x:v>
      </x:c>
      <x:c r="H2532" t="n">
        <x:f>ROUND(F2532*G2532/100,2)</x:f>
        <x:v>99.75</x:v>
      </x:c>
      <x:c r="I2532" t="n">
        <x:v>3.4</x:v>
      </x:c>
      <x:c r="J2532" t="n">
        <x:f>ROUND(F2532*I2532/100,2)</x:f>
        <x:v>3.23</x:v>
      </x:c>
      <x:c r="K2532" t="n">
        <x:v>22</x:v>
      </x:c>
      <x:c r="L2532" t="n">
        <x:f>ROUND(F2532*K2532/100,2)</x:f>
        <x:v>20.9</x:v>
      </x:c>
      <x:c r="M2532" t="n">
        <x:v>1.5</x:v>
      </x:c>
      <x:c r="N2532" t="n">
        <x:f>ROUND(F2532*M2532/100,2)</x:f>
        <x:v>1.43</x:v>
      </x:c>
      <x:c r="O2532" t="str">
        <x:v>蒸熟净重</x:v>
      </x:c>
    </x:row>
    <x:row r="2533" ht="23" customHeight="1">
      <x:c r="A2533" t="n">
        <x:v>422</x:v>
      </x:c>
      <x:c r="B2533" t="n">
        <x:v>211</x:v>
      </x:c>
      <x:c r="C2533" t="str">
        <x:v>晚餐</x:v>
      </x:c>
      <x:c r="D2533" t="str">
        <x:v>油脂</x:v>
      </x:c>
      <x:c r="E2533" t="str">
        <x:v>烹调油</x:v>
      </x:c>
      <x:c r="F2533" t="n">
        <x:v>3</x:v>
      </x:c>
      <x:c r="G2533" t="n">
        <x:v>900</x:v>
      </x:c>
      <x:c r="H2533" t="n">
        <x:f>ROUND(F2533*G2533/100,2)</x:f>
        <x:v>27</x:v>
      </x:c>
      <x:c r="I2533" t="n">
        <x:v>0</x:v>
      </x:c>
      <x:c r="J2533" t="n">
        <x:f>ROUND(F2533*I2533/100,2)</x:f>
        <x:v>0</x:v>
      </x:c>
      <x:c r="K2533" t="n">
        <x:v>0</x:v>
      </x:c>
      <x:c r="L2533" t="n">
        <x:f>ROUND(F2533*K2533/100,2)</x:f>
        <x:v>0</x:v>
      </x:c>
      <x:c r="M2533" t="n">
        <x:v>100</x:v>
      </x:c>
      <x:c r="N2533" t="n">
        <x:f>ROUND(F2533*M2533/100,2)</x:f>
        <x:v>3</x:v>
      </x:c>
      <x:c r="O2533" t="str">
        <x:v>实际用油重</x:v>
      </x:c>
    </x:row>
    <x:row r="2534" ht="23" customHeight="1">
      <x:c r="A2534" t="n">
        <x:v>423</x:v>
      </x:c>
      <x:c r="B2534" t="n">
        <x:v>212</x:v>
      </x:c>
      <x:c r="C2534" t="str">
        <x:v>午餐</x:v>
      </x:c>
      <x:c r="D2534" t="str">
        <x:v>鱼类</x:v>
      </x:c>
      <x:c r="E2534" t="str">
        <x:v>鲈鱼</x:v>
      </x:c>
      <x:c r="F2534" t="n">
        <x:v>175</x:v>
      </x:c>
      <x:c r="G2534" t="n">
        <x:v>105</x:v>
      </x:c>
      <x:c r="H2534" t="n">
        <x:f>ROUND(F2534*G2534/100,2)</x:f>
        <x:v>183.75</x:v>
      </x:c>
      <x:c r="I2534" t="n">
        <x:v>19</x:v>
      </x:c>
      <x:c r="J2534" t="n">
        <x:f>ROUND(F2534*I2534/100,2)</x:f>
        <x:v>33.25</x:v>
      </x:c>
      <x:c r="K2534" t="n">
        <x:v>0</x:v>
      </x:c>
      <x:c r="L2534" t="n">
        <x:f>ROUND(F2534*K2534/100,2)</x:f>
        <x:v>0</x:v>
      </x:c>
      <x:c r="M2534" t="n">
        <x:v>3</x:v>
      </x:c>
      <x:c r="N2534" t="n">
        <x:f>ROUND(F2534*M2534/100,2)</x:f>
        <x:v>5.25</x:v>
      </x:c>
      <x:c r="O2534" t="str">
        <x:v>净鱼肉生重</x:v>
      </x:c>
    </x:row>
    <x:row r="2535" ht="23" customHeight="1">
      <x:c r="A2535" t="n">
        <x:v>423</x:v>
      </x:c>
      <x:c r="B2535" t="n">
        <x:v>212</x:v>
      </x:c>
      <x:c r="C2535" t="str">
        <x:v>午餐</x:v>
      </x:c>
      <x:c r="D2535" t="str"/>
      <x:c r="E2535" t="str"/>
      <x:c r="F2535" t="n">
        <x:v>0</x:v>
      </x:c>
      <x:c r="G2535" t="n">
        <x:v>0</x:v>
      </x:c>
      <x:c r="H2535" t="n">
        <x:f>ROUND(F2535*G2535/100,2)</x:f>
        <x:v>0</x:v>
      </x:c>
      <x:c r="I2535" t="n">
        <x:v>0</x:v>
      </x:c>
      <x:c r="J2535" t="n">
        <x:f>ROUND(F2535*I2535/100,2)</x:f>
        <x:v>0</x:v>
      </x:c>
      <x:c r="K2535" t="n">
        <x:v>0</x:v>
      </x:c>
      <x:c r="L2535" t="n">
        <x:f>ROUND(F2535*K2535/100,2)</x:f>
        <x:v>0</x:v>
      </x:c>
      <x:c r="M2535" t="n">
        <x:v>0</x:v>
      </x:c>
      <x:c r="N2535" t="n">
        <x:f>ROUND(F2535*M2535/100,2)</x:f>
        <x:v>0</x:v>
      </x:c>
      <x:c r="O2535" t="str"/>
    </x:row>
    <x:row r="2536" ht="23" customHeight="1">
      <x:c r="A2536" t="n">
        <x:v>423</x:v>
      </x:c>
      <x:c r="B2536" t="n">
        <x:v>212</x:v>
      </x:c>
      <x:c r="C2536" t="str">
        <x:v>午餐</x:v>
      </x:c>
      <x:c r="D2536" t="str">
        <x:v>蔬菜</x:v>
      </x:c>
      <x:c r="E2536" t="str">
        <x:v>菠菜</x:v>
      </x:c>
      <x:c r="F2536" t="n">
        <x:v>190</x:v>
      </x:c>
      <x:c r="G2536" t="n">
        <x:v>23</x:v>
      </x:c>
      <x:c r="H2536" t="n">
        <x:f>ROUND(F2536*G2536/100,2)</x:f>
        <x:v>43.7</x:v>
      </x:c>
      <x:c r="I2536" t="n">
        <x:v>2.9</x:v>
      </x:c>
      <x:c r="J2536" t="n">
        <x:f>ROUND(F2536*I2536/100,2)</x:f>
        <x:v>5.51</x:v>
      </x:c>
      <x:c r="K2536" t="n">
        <x:v>3.6</x:v>
      </x:c>
      <x:c r="L2536" t="n">
        <x:f>ROUND(F2536*K2536/100,2)</x:f>
        <x:v>6.84</x:v>
      </x:c>
      <x:c r="M2536" t="n">
        <x:v>0.4</x:v>
      </x:c>
      <x:c r="N2536" t="n">
        <x:f>ROUND(F2536*M2536/100,2)</x:f>
        <x:v>0.76</x:v>
      </x:c>
      <x:c r="O2536" t="str">
        <x:v>生重</x:v>
      </x:c>
    </x:row>
    <x:row r="2537" ht="23" customHeight="1">
      <x:c r="A2537" t="n">
        <x:v>423</x:v>
      </x:c>
      <x:c r="B2537" t="n">
        <x:v>212</x:v>
      </x:c>
      <x:c r="C2537" t="str">
        <x:v>午餐</x:v>
      </x:c>
      <x:c r="D2537" t="str">
        <x:v>菌菇</x:v>
      </x:c>
      <x:c r="E2537" t="str">
        <x:v>口蘑</x:v>
      </x:c>
      <x:c r="F2537" t="n">
        <x:v>155</x:v>
      </x:c>
      <x:c r="G2537" t="n">
        <x:v>22</x:v>
      </x:c>
      <x:c r="H2537" t="n">
        <x:f>ROUND(F2537*G2537/100,2)</x:f>
        <x:v>34.1</x:v>
      </x:c>
      <x:c r="I2537" t="n">
        <x:v>3.1</x:v>
      </x:c>
      <x:c r="J2537" t="n">
        <x:f>ROUND(F2537*I2537/100,2)</x:f>
        <x:v>4.81</x:v>
      </x:c>
      <x:c r="K2537" t="n">
        <x:v>3.3</x:v>
      </x:c>
      <x:c r="L2537" t="n">
        <x:f>ROUND(F2537*K2537/100,2)</x:f>
        <x:v>5.12</x:v>
      </x:c>
      <x:c r="M2537" t="n">
        <x:v>0.3</x:v>
      </x:c>
      <x:c r="N2537" t="n">
        <x:f>ROUND(F2537*M2537/100,2)</x:f>
        <x:v>0.47</x:v>
      </x:c>
      <x:c r="O2537" t="str">
        <x:v>生重</x:v>
      </x:c>
    </x:row>
    <x:row r="2538" ht="23" customHeight="1">
      <x:c r="A2538" t="n">
        <x:v>423</x:v>
      </x:c>
      <x:c r="B2538" t="n">
        <x:v>212</x:v>
      </x:c>
      <x:c r="C2538" t="str">
        <x:v>午餐</x:v>
      </x:c>
      <x:c r="D2538" t="str">
        <x:v>主食</x:v>
      </x:c>
      <x:c r="E2538" t="str">
        <x:v>荞麦面</x:v>
      </x:c>
      <x:c r="F2538" t="n">
        <x:v>165</x:v>
      </x:c>
      <x:c r="G2538" t="n">
        <x:v>105</x:v>
      </x:c>
      <x:c r="H2538" t="n">
        <x:f>ROUND(F2538*G2538/100,2)</x:f>
        <x:v>173.25</x:v>
      </x:c>
      <x:c r="I2538" t="n">
        <x:v>4</x:v>
      </x:c>
      <x:c r="J2538" t="n">
        <x:f>ROUND(F2538*I2538/100,2)</x:f>
        <x:v>6.6</x:v>
      </x:c>
      <x:c r="K2538" t="n">
        <x:v>21</x:v>
      </x:c>
      <x:c r="L2538" t="n">
        <x:f>ROUND(F2538*K2538/100,2)</x:f>
        <x:v>34.65</x:v>
      </x:c>
      <x:c r="M2538" t="n">
        <x:v>0.7</x:v>
      </x:c>
      <x:c r="N2538" t="n">
        <x:f>ROUND(F2538*M2538/100,2)</x:f>
        <x:v>1.15</x:v>
      </x:c>
      <x:c r="O2538" t="str">
        <x:v>煮熟沥水重</x:v>
      </x:c>
    </x:row>
    <x:row r="2539" ht="23" customHeight="1">
      <x:c r="A2539" t="n">
        <x:v>423</x:v>
      </x:c>
      <x:c r="B2539" t="n">
        <x:v>212</x:v>
      </x:c>
      <x:c r="C2539" t="str">
        <x:v>午餐</x:v>
      </x:c>
      <x:c r="D2539" t="str">
        <x:v>油脂</x:v>
      </x:c>
      <x:c r="E2539" t="str">
        <x:v>烹调油</x:v>
      </x:c>
      <x:c r="F2539" t="n">
        <x:v>5</x:v>
      </x:c>
      <x:c r="G2539" t="n">
        <x:v>900</x:v>
      </x:c>
      <x:c r="H2539" t="n">
        <x:f>ROUND(F2539*G2539/100,2)</x:f>
        <x:v>45</x:v>
      </x:c>
      <x:c r="I2539" t="n">
        <x:v>0</x:v>
      </x:c>
      <x:c r="J2539" t="n">
        <x:f>ROUND(F2539*I2539/100,2)</x:f>
        <x:v>0</x:v>
      </x:c>
      <x:c r="K2539" t="n">
        <x:v>0</x:v>
      </x:c>
      <x:c r="L2539" t="n">
        <x:f>ROUND(F2539*K2539/100,2)</x:f>
        <x:v>0</x:v>
      </x:c>
      <x:c r="M2539" t="n">
        <x:v>100</x:v>
      </x:c>
      <x:c r="N2539" t="n">
        <x:f>ROUND(F2539*M2539/100,2)</x:f>
        <x:v>5</x:v>
      </x:c>
      <x:c r="O2539" t="str">
        <x:v>实际用油重</x:v>
      </x:c>
    </x:row>
    <x:row r="2540" ht="23" customHeight="1">
      <x:c r="A2540" t="n">
        <x:v>424</x:v>
      </x:c>
      <x:c r="B2540" t="n">
        <x:v>212</x:v>
      </x:c>
      <x:c r="C2540" t="str">
        <x:v>晚餐</x:v>
      </x:c>
      <x:c r="D2540" t="str">
        <x:v>牛肉</x:v>
      </x:c>
      <x:c r="E2540" t="str">
        <x:v>牛里脊</x:v>
      </x:c>
      <x:c r="F2540" t="n">
        <x:v>180</x:v>
      </x:c>
      <x:c r="G2540" t="n">
        <x:v>130</x:v>
      </x:c>
      <x:c r="H2540" t="n">
        <x:f>ROUND(F2540*G2540/100,2)</x:f>
        <x:v>234</x:v>
      </x:c>
      <x:c r="I2540" t="n">
        <x:v>21</x:v>
      </x:c>
      <x:c r="J2540" t="n">
        <x:f>ROUND(F2540*I2540/100,2)</x:f>
        <x:v>37.8</x:v>
      </x:c>
      <x:c r="K2540" t="n">
        <x:v>0</x:v>
      </x:c>
      <x:c r="L2540" t="n">
        <x:f>ROUND(F2540*K2540/100,2)</x:f>
        <x:v>0</x:v>
      </x:c>
      <x:c r="M2540" t="n">
        <x:v>4.8</x:v>
      </x:c>
      <x:c r="N2540" t="n">
        <x:f>ROUND(F2540*M2540/100,2)</x:f>
        <x:v>8.64</x:v>
      </x:c>
      <x:c r="O2540" t="str">
        <x:v>生重</x:v>
      </x:c>
    </x:row>
    <x:row r="2541" ht="23" customHeight="1">
      <x:c r="A2541" t="n">
        <x:v>424</x:v>
      </x:c>
      <x:c r="B2541" t="n">
        <x:v>212</x:v>
      </x:c>
      <x:c r="C2541" t="str">
        <x:v>晚餐</x:v>
      </x:c>
      <x:c r="D2541" t="str"/>
      <x:c r="E2541" t="str"/>
      <x:c r="F2541" t="n">
        <x:v>0</x:v>
      </x:c>
      <x:c r="G2541" t="n">
        <x:v>0</x:v>
      </x:c>
      <x:c r="H2541" t="n">
        <x:f>ROUND(F2541*G2541/100,2)</x:f>
        <x:v>0</x:v>
      </x:c>
      <x:c r="I2541" t="n">
        <x:v>0</x:v>
      </x:c>
      <x:c r="J2541" t="n">
        <x:f>ROUND(F2541*I2541/100,2)</x:f>
        <x:v>0</x:v>
      </x:c>
      <x:c r="K2541" t="n">
        <x:v>0</x:v>
      </x:c>
      <x:c r="L2541" t="n">
        <x:f>ROUND(F2541*K2541/100,2)</x:f>
        <x:v>0</x:v>
      </x:c>
      <x:c r="M2541" t="n">
        <x:v>0</x:v>
      </x:c>
      <x:c r="N2541" t="n">
        <x:f>ROUND(F2541*M2541/100,2)</x:f>
        <x:v>0</x:v>
      </x:c>
      <x:c r="O2541" t="str"/>
    </x:row>
    <x:row r="2542" ht="23" customHeight="1">
      <x:c r="A2542" t="n">
        <x:v>424</x:v>
      </x:c>
      <x:c r="B2542" t="n">
        <x:v>212</x:v>
      </x:c>
      <x:c r="C2542" t="str">
        <x:v>晚餐</x:v>
      </x:c>
      <x:c r="D2542" t="str">
        <x:v>蔬菜</x:v>
      </x:c>
      <x:c r="E2542" t="str">
        <x:v>竹笋</x:v>
      </x:c>
      <x:c r="F2542" t="n">
        <x:v>140</x:v>
      </x:c>
      <x:c r="G2542" t="n">
        <x:v>27</x:v>
      </x:c>
      <x:c r="H2542" t="n">
        <x:f>ROUND(F2542*G2542/100,2)</x:f>
        <x:v>37.8</x:v>
      </x:c>
      <x:c r="I2542" t="n">
        <x:v>2.6</x:v>
      </x:c>
      <x:c r="J2542" t="n">
        <x:f>ROUND(F2542*I2542/100,2)</x:f>
        <x:v>3.64</x:v>
      </x:c>
      <x:c r="K2542" t="n">
        <x:v>5.2</x:v>
      </x:c>
      <x:c r="L2542" t="n">
        <x:f>ROUND(F2542*K2542/100,2)</x:f>
        <x:v>7.28</x:v>
      </x:c>
      <x:c r="M2542" t="n">
        <x:v>0.3</x:v>
      </x:c>
      <x:c r="N2542" t="n">
        <x:f>ROUND(F2542*M2542/100,2)</x:f>
        <x:v>0.42</x:v>
      </x:c>
      <x:c r="O2542" t="str">
        <x:v>生重</x:v>
      </x:c>
    </x:row>
    <x:row r="2543" ht="23" customHeight="1">
      <x:c r="A2543" t="n">
        <x:v>424</x:v>
      </x:c>
      <x:c r="B2543" t="n">
        <x:v>212</x:v>
      </x:c>
      <x:c r="C2543" t="str">
        <x:v>晚餐</x:v>
      </x:c>
      <x:c r="D2543" t="str">
        <x:v>蔬菜</x:v>
      </x:c>
      <x:c r="E2543" t="str">
        <x:v>胡萝卜</x:v>
      </x:c>
      <x:c r="F2543" t="n">
        <x:v>140</x:v>
      </x:c>
      <x:c r="G2543" t="n">
        <x:v>41</x:v>
      </x:c>
      <x:c r="H2543" t="n">
        <x:f>ROUND(F2543*G2543/100,2)</x:f>
        <x:v>57.4</x:v>
      </x:c>
      <x:c r="I2543" t="n">
        <x:v>0.9</x:v>
      </x:c>
      <x:c r="J2543" t="n">
        <x:f>ROUND(F2543*I2543/100,2)</x:f>
        <x:v>1.26</x:v>
      </x:c>
      <x:c r="K2543" t="n">
        <x:v>10</x:v>
      </x:c>
      <x:c r="L2543" t="n">
        <x:f>ROUND(F2543*K2543/100,2)</x:f>
        <x:v>14</x:v>
      </x:c>
      <x:c r="M2543" t="n">
        <x:v>0.2</x:v>
      </x:c>
      <x:c r="N2543" t="n">
        <x:f>ROUND(F2543*M2543/100,2)</x:f>
        <x:v>0.28</x:v>
      </x:c>
      <x:c r="O2543" t="str">
        <x:v>生重</x:v>
      </x:c>
    </x:row>
    <x:row r="2544" ht="23" customHeight="1">
      <x:c r="A2544" t="n">
        <x:v>424</x:v>
      </x:c>
      <x:c r="B2544" t="n">
        <x:v>212</x:v>
      </x:c>
      <x:c r="C2544" t="str">
        <x:v>晚餐</x:v>
      </x:c>
      <x:c r="D2544" t="str">
        <x:v>主食</x:v>
      </x:c>
      <x:c r="E2544" t="str">
        <x:v>荞麦面</x:v>
      </x:c>
      <x:c r="F2544" t="n">
        <x:v>95</x:v>
      </x:c>
      <x:c r="G2544" t="n">
        <x:v>105</x:v>
      </x:c>
      <x:c r="H2544" t="n">
        <x:f>ROUND(F2544*G2544/100,2)</x:f>
        <x:v>99.75</x:v>
      </x:c>
      <x:c r="I2544" t="n">
        <x:v>4</x:v>
      </x:c>
      <x:c r="J2544" t="n">
        <x:f>ROUND(F2544*I2544/100,2)</x:f>
        <x:v>3.8</x:v>
      </x:c>
      <x:c r="K2544" t="n">
        <x:v>21</x:v>
      </x:c>
      <x:c r="L2544" t="n">
        <x:f>ROUND(F2544*K2544/100,2)</x:f>
        <x:v>19.95</x:v>
      </x:c>
      <x:c r="M2544" t="n">
        <x:v>0.7</x:v>
      </x:c>
      <x:c r="N2544" t="n">
        <x:f>ROUND(F2544*M2544/100,2)</x:f>
        <x:v>0.67</x:v>
      </x:c>
      <x:c r="O2544" t="str">
        <x:v>煮熟沥水重</x:v>
      </x:c>
    </x:row>
    <x:row r="2545" ht="23" customHeight="1">
      <x:c r="A2545" t="n">
        <x:v>424</x:v>
      </x:c>
      <x:c r="B2545" t="n">
        <x:v>212</x:v>
      </x:c>
      <x:c r="C2545" t="str">
        <x:v>晚餐</x:v>
      </x:c>
      <x:c r="D2545" t="str">
        <x:v>油脂</x:v>
      </x:c>
      <x:c r="E2545" t="str">
        <x:v>烹调油</x:v>
      </x:c>
      <x:c r="F2545" t="n">
        <x:v>5</x:v>
      </x:c>
      <x:c r="G2545" t="n">
        <x:v>900</x:v>
      </x:c>
      <x:c r="H2545" t="n">
        <x:f>ROUND(F2545*G2545/100,2)</x:f>
        <x:v>45</x:v>
      </x:c>
      <x:c r="I2545" t="n">
        <x:v>0</x:v>
      </x:c>
      <x:c r="J2545" t="n">
        <x:f>ROUND(F2545*I2545/100,2)</x:f>
        <x:v>0</x:v>
      </x:c>
      <x:c r="K2545" t="n">
        <x:v>0</x:v>
      </x:c>
      <x:c r="L2545" t="n">
        <x:f>ROUND(F2545*K2545/100,2)</x:f>
        <x:v>0</x:v>
      </x:c>
      <x:c r="M2545" t="n">
        <x:v>100</x:v>
      </x:c>
      <x:c r="N2545" t="n">
        <x:f>ROUND(F2545*M2545/100,2)</x:f>
        <x:v>5</x:v>
      </x:c>
      <x:c r="O2545" t="str">
        <x:v>实际用油重</x:v>
      </x:c>
    </x:row>
    <x:row r="2546" ht="23" customHeight="1">
      <x:c r="A2546" t="n">
        <x:v>425</x:v>
      </x:c>
      <x:c r="B2546" t="n">
        <x:v>213</x:v>
      </x:c>
      <x:c r="C2546" t="str">
        <x:v>午餐</x:v>
      </x:c>
      <x:c r="D2546" t="str">
        <x:v>禽肉</x:v>
      </x:c>
      <x:c r="E2546" t="str">
        <x:v>去皮鸡腿肉</x:v>
      </x:c>
      <x:c r="F2546" t="n">
        <x:v>175</x:v>
      </x:c>
      <x:c r="G2546" t="n">
        <x:v>125</x:v>
      </x:c>
      <x:c r="H2546" t="n">
        <x:f>ROUND(F2546*G2546/100,2)</x:f>
        <x:v>218.75</x:v>
      </x:c>
      <x:c r="I2546" t="n">
        <x:v>20</x:v>
      </x:c>
      <x:c r="J2546" t="n">
        <x:f>ROUND(F2546*I2546/100,2)</x:f>
        <x:v>35</x:v>
      </x:c>
      <x:c r="K2546" t="n">
        <x:v>0</x:v>
      </x:c>
      <x:c r="L2546" t="n">
        <x:f>ROUND(F2546*K2546/100,2)</x:f>
        <x:v>0</x:v>
      </x:c>
      <x:c r="M2546" t="n">
        <x:v>5</x:v>
      </x:c>
      <x:c r="N2546" t="n">
        <x:f>ROUND(F2546*M2546/100,2)</x:f>
        <x:v>8.75</x:v>
      </x:c>
      <x:c r="O2546" t="str">
        <x:v>生重</x:v>
      </x:c>
    </x:row>
    <x:row r="2547" ht="23" customHeight="1">
      <x:c r="A2547" t="n">
        <x:v>425</x:v>
      </x:c>
      <x:c r="B2547" t="n">
        <x:v>213</x:v>
      </x:c>
      <x:c r="C2547" t="str">
        <x:v>午餐</x:v>
      </x:c>
      <x:c r="D2547" t="str"/>
      <x:c r="E2547" t="str"/>
      <x:c r="F2547" t="n">
        <x:v>0</x:v>
      </x:c>
      <x:c r="G2547" t="n">
        <x:v>0</x:v>
      </x:c>
      <x:c r="H2547" t="n">
        <x:f>ROUND(F2547*G2547/100,2)</x:f>
        <x:v>0</x:v>
      </x:c>
      <x:c r="I2547" t="n">
        <x:v>0</x:v>
      </x:c>
      <x:c r="J2547" t="n">
        <x:f>ROUND(F2547*I2547/100,2)</x:f>
        <x:v>0</x:v>
      </x:c>
      <x:c r="K2547" t="n">
        <x:v>0</x:v>
      </x:c>
      <x:c r="L2547" t="n">
        <x:f>ROUND(F2547*K2547/100,2)</x:f>
        <x:v>0</x:v>
      </x:c>
      <x:c r="M2547" t="n">
        <x:v>0</x:v>
      </x:c>
      <x:c r="N2547" t="n">
        <x:f>ROUND(F2547*M2547/100,2)</x:f>
        <x:v>0</x:v>
      </x:c>
      <x:c r="O2547" t="str"/>
    </x:row>
    <x:row r="2548" ht="23" customHeight="1">
      <x:c r="A2548" t="n">
        <x:v>425</x:v>
      </x:c>
      <x:c r="B2548" t="n">
        <x:v>213</x:v>
      </x:c>
      <x:c r="C2548" t="str">
        <x:v>午餐</x:v>
      </x:c>
      <x:c r="D2548" t="str">
        <x:v>蔬菜</x:v>
      </x:c>
      <x:c r="E2548" t="str">
        <x:v>娃娃菜</x:v>
      </x:c>
      <x:c r="F2548" t="n">
        <x:v>160</x:v>
      </x:c>
      <x:c r="G2548" t="n">
        <x:v>17</x:v>
      </x:c>
      <x:c r="H2548" t="n">
        <x:f>ROUND(F2548*G2548/100,2)</x:f>
        <x:v>27.2</x:v>
      </x:c>
      <x:c r="I2548" t="n">
        <x:v>1.3</x:v>
      </x:c>
      <x:c r="J2548" t="n">
        <x:f>ROUND(F2548*I2548/100,2)</x:f>
        <x:v>2.08</x:v>
      </x:c>
      <x:c r="K2548" t="n">
        <x:v>3</x:v>
      </x:c>
      <x:c r="L2548" t="n">
        <x:f>ROUND(F2548*K2548/100,2)</x:f>
        <x:v>4.8</x:v>
      </x:c>
      <x:c r="M2548" t="n">
        <x:v>0.2</x:v>
      </x:c>
      <x:c r="N2548" t="n">
        <x:f>ROUND(F2548*M2548/100,2)</x:f>
        <x:v>0.32</x:v>
      </x:c>
      <x:c r="O2548" t="str">
        <x:v>生重</x:v>
      </x:c>
    </x:row>
    <x:row r="2549" ht="23" customHeight="1">
      <x:c r="A2549" t="n">
        <x:v>425</x:v>
      </x:c>
      <x:c r="B2549" t="n">
        <x:v>213</x:v>
      </x:c>
      <x:c r="C2549" t="str">
        <x:v>午餐</x:v>
      </x:c>
      <x:c r="D2549" t="str">
        <x:v>菌菇</x:v>
      </x:c>
      <x:c r="E2549" t="str">
        <x:v>杏鲍菇</x:v>
      </x:c>
      <x:c r="F2549" t="n">
        <x:v>155</x:v>
      </x:c>
      <x:c r="G2549" t="n">
        <x:v>35</x:v>
      </x:c>
      <x:c r="H2549" t="n">
        <x:f>ROUND(F2549*G2549/100,2)</x:f>
        <x:v>54.25</x:v>
      </x:c>
      <x:c r="I2549" t="n">
        <x:v>2</x:v>
      </x:c>
      <x:c r="J2549" t="n">
        <x:f>ROUND(F2549*I2549/100,2)</x:f>
        <x:v>3.1</x:v>
      </x:c>
      <x:c r="K2549" t="n">
        <x:v>7.4</x:v>
      </x:c>
      <x:c r="L2549" t="n">
        <x:f>ROUND(F2549*K2549/100,2)</x:f>
        <x:v>11.47</x:v>
      </x:c>
      <x:c r="M2549" t="n">
        <x:v>0.3</x:v>
      </x:c>
      <x:c r="N2549" t="n">
        <x:f>ROUND(F2549*M2549/100,2)</x:f>
        <x:v>0.47</x:v>
      </x:c>
      <x:c r="O2549" t="str">
        <x:v>生重</x:v>
      </x:c>
    </x:row>
    <x:row r="2550" ht="23" customHeight="1">
      <x:c r="A2550" t="n">
        <x:v>425</x:v>
      </x:c>
      <x:c r="B2550" t="n">
        <x:v>213</x:v>
      </x:c>
      <x:c r="C2550" t="str">
        <x:v>午餐</x:v>
      </x:c>
      <x:c r="D2550" t="str">
        <x:v>主食</x:v>
      </x:c>
      <x:c r="E2550" t="str">
        <x:v>荞麦饭</x:v>
      </x:c>
      <x:c r="F2550" t="n">
        <x:v>110</x:v>
      </x:c>
      <x:c r="G2550" t="n">
        <x:v>110</x:v>
      </x:c>
      <x:c r="H2550" t="n">
        <x:f>ROUND(F2550*G2550/100,2)</x:f>
        <x:v>121</x:v>
      </x:c>
      <x:c r="I2550" t="n">
        <x:v>3.4</x:v>
      </x:c>
      <x:c r="J2550" t="n">
        <x:f>ROUND(F2550*I2550/100,2)</x:f>
        <x:v>3.74</x:v>
      </x:c>
      <x:c r="K2550" t="n">
        <x:v>22</x:v>
      </x:c>
      <x:c r="L2550" t="n">
        <x:f>ROUND(F2550*K2550/100,2)</x:f>
        <x:v>24.2</x:v>
      </x:c>
      <x:c r="M2550" t="n">
        <x:v>1.1</x:v>
      </x:c>
      <x:c r="N2550" t="n">
        <x:f>ROUND(F2550*M2550/100,2)</x:f>
        <x:v>1.21</x:v>
      </x:c>
      <x:c r="O2550" t="str">
        <x:v>熟重</x:v>
      </x:c>
    </x:row>
    <x:row r="2551" ht="23" customHeight="1">
      <x:c r="A2551" t="n">
        <x:v>425</x:v>
      </x:c>
      <x:c r="B2551" t="n">
        <x:v>213</x:v>
      </x:c>
      <x:c r="C2551" t="str">
        <x:v>午餐</x:v>
      </x:c>
      <x:c r="D2551" t="str">
        <x:v>油脂</x:v>
      </x:c>
      <x:c r="E2551" t="str">
        <x:v>烹调油</x:v>
      </x:c>
      <x:c r="F2551" t="n">
        <x:v>6</x:v>
      </x:c>
      <x:c r="G2551" t="n">
        <x:v>900</x:v>
      </x:c>
      <x:c r="H2551" t="n">
        <x:f>ROUND(F2551*G2551/100,2)</x:f>
        <x:v>54</x:v>
      </x:c>
      <x:c r="I2551" t="n">
        <x:v>0</x:v>
      </x:c>
      <x:c r="J2551" t="n">
        <x:f>ROUND(F2551*I2551/100,2)</x:f>
        <x:v>0</x:v>
      </x:c>
      <x:c r="K2551" t="n">
        <x:v>0</x:v>
      </x:c>
      <x:c r="L2551" t="n">
        <x:f>ROUND(F2551*K2551/100,2)</x:f>
        <x:v>0</x:v>
      </x:c>
      <x:c r="M2551" t="n">
        <x:v>100</x:v>
      </x:c>
      <x:c r="N2551" t="n">
        <x:f>ROUND(F2551*M2551/100,2)</x:f>
        <x:v>6</x:v>
      </x:c>
      <x:c r="O2551" t="str">
        <x:v>实际用油重</x:v>
      </x:c>
    </x:row>
    <x:row r="2552" ht="23" customHeight="1">
      <x:c r="A2552" t="n">
        <x:v>426</x:v>
      </x:c>
      <x:c r="B2552" t="n">
        <x:v>213</x:v>
      </x:c>
      <x:c r="C2552" t="str">
        <x:v>晚餐</x:v>
      </x:c>
      <x:c r="D2552" t="str">
        <x:v>禽肉</x:v>
      </x:c>
      <x:c r="E2552" t="str">
        <x:v>鸡里脊肉</x:v>
      </x:c>
      <x:c r="F2552" t="n">
        <x:v>160</x:v>
      </x:c>
      <x:c r="G2552" t="n">
        <x:v>110</x:v>
      </x:c>
      <x:c r="H2552" t="n">
        <x:f>ROUND(F2552*G2552/100,2)</x:f>
        <x:v>176</x:v>
      </x:c>
      <x:c r="I2552" t="n">
        <x:v>23</x:v>
      </x:c>
      <x:c r="J2552" t="n">
        <x:f>ROUND(F2552*I2552/100,2)</x:f>
        <x:v>36.8</x:v>
      </x:c>
      <x:c r="K2552" t="n">
        <x:v>0</x:v>
      </x:c>
      <x:c r="L2552" t="n">
        <x:f>ROUND(F2552*K2552/100,2)</x:f>
        <x:v>0</x:v>
      </x:c>
      <x:c r="M2552" t="n">
        <x:v>1.8</x:v>
      </x:c>
      <x:c r="N2552" t="n">
        <x:f>ROUND(F2552*M2552/100,2)</x:f>
        <x:v>2.88</x:v>
      </x:c>
      <x:c r="O2552" t="str">
        <x:v>生重</x:v>
      </x:c>
    </x:row>
    <x:row r="2553" ht="23" customHeight="1">
      <x:c r="A2553" t="n">
        <x:v>426</x:v>
      </x:c>
      <x:c r="B2553" t="n">
        <x:v>213</x:v>
      </x:c>
      <x:c r="C2553" t="str">
        <x:v>晚餐</x:v>
      </x:c>
      <x:c r="D2553" t="str"/>
      <x:c r="E2553" t="str"/>
      <x:c r="F2553" t="n">
        <x:v>0</x:v>
      </x:c>
      <x:c r="G2553" t="n">
        <x:v>0</x:v>
      </x:c>
      <x:c r="H2553" t="n">
        <x:f>ROUND(F2553*G2553/100,2)</x:f>
        <x:v>0</x:v>
      </x:c>
      <x:c r="I2553" t="n">
        <x:v>0</x:v>
      </x:c>
      <x:c r="J2553" t="n">
        <x:f>ROUND(F2553*I2553/100,2)</x:f>
        <x:v>0</x:v>
      </x:c>
      <x:c r="K2553" t="n">
        <x:v>0</x:v>
      </x:c>
      <x:c r="L2553" t="n">
        <x:f>ROUND(F2553*K2553/100,2)</x:f>
        <x:v>0</x:v>
      </x:c>
      <x:c r="M2553" t="n">
        <x:v>0</x:v>
      </x:c>
      <x:c r="N2553" t="n">
        <x:f>ROUND(F2553*M2553/100,2)</x:f>
        <x:v>0</x:v>
      </x:c>
      <x:c r="O2553" t="str"/>
    </x:row>
    <x:row r="2554" ht="23" customHeight="1">
      <x:c r="A2554" t="n">
        <x:v>426</x:v>
      </x:c>
      <x:c r="B2554" t="n">
        <x:v>213</x:v>
      </x:c>
      <x:c r="C2554" t="str">
        <x:v>晚餐</x:v>
      </x:c>
      <x:c r="D2554" t="str">
        <x:v>蔬菜</x:v>
      </x:c>
      <x:c r="E2554" t="str">
        <x:v>紫甘蓝</x:v>
      </x:c>
      <x:c r="F2554" t="n">
        <x:v>175</x:v>
      </x:c>
      <x:c r="G2554" t="n">
        <x:v>31</x:v>
      </x:c>
      <x:c r="H2554" t="n">
        <x:f>ROUND(F2554*G2554/100,2)</x:f>
        <x:v>54.25</x:v>
      </x:c>
      <x:c r="I2554" t="n">
        <x:v>1.4</x:v>
      </x:c>
      <x:c r="J2554" t="n">
        <x:f>ROUND(F2554*I2554/100,2)</x:f>
        <x:v>2.45</x:v>
      </x:c>
      <x:c r="K2554" t="n">
        <x:v>7.3</x:v>
      </x:c>
      <x:c r="L2554" t="n">
        <x:f>ROUND(F2554*K2554/100,2)</x:f>
        <x:v>12.78</x:v>
      </x:c>
      <x:c r="M2554" t="n">
        <x:v>0.1</x:v>
      </x:c>
      <x:c r="N2554" t="n">
        <x:f>ROUND(F2554*M2554/100,2)</x:f>
        <x:v>0.18</x:v>
      </x:c>
      <x:c r="O2554" t="str">
        <x:v>生重</x:v>
      </x:c>
    </x:row>
    <x:row r="2555" ht="23" customHeight="1">
      <x:c r="A2555" t="n">
        <x:v>426</x:v>
      </x:c>
      <x:c r="B2555" t="n">
        <x:v>213</x:v>
      </x:c>
      <x:c r="C2555" t="str">
        <x:v>晚餐</x:v>
      </x:c>
      <x:c r="D2555" t="str">
        <x:v>蔬菜</x:v>
      </x:c>
      <x:c r="E2555" t="str">
        <x:v>莴笋</x:v>
      </x:c>
      <x:c r="F2555" t="n">
        <x:v>140</x:v>
      </x:c>
      <x:c r="G2555" t="n">
        <x:v>15</x:v>
      </x:c>
      <x:c r="H2555" t="n">
        <x:f>ROUND(F2555*G2555/100,2)</x:f>
        <x:v>21</x:v>
      </x:c>
      <x:c r="I2555" t="n">
        <x:v>1</x:v>
      </x:c>
      <x:c r="J2555" t="n">
        <x:f>ROUND(F2555*I2555/100,2)</x:f>
        <x:v>1.4</x:v>
      </x:c>
      <x:c r="K2555" t="n">
        <x:v>2.8</x:v>
      </x:c>
      <x:c r="L2555" t="n">
        <x:f>ROUND(F2555*K2555/100,2)</x:f>
        <x:v>3.92</x:v>
      </x:c>
      <x:c r="M2555" t="n">
        <x:v>0.1</x:v>
      </x:c>
      <x:c r="N2555" t="n">
        <x:f>ROUND(F2555*M2555/100,2)</x:f>
        <x:v>0.14</x:v>
      </x:c>
      <x:c r="O2555" t="str">
        <x:v>生重</x:v>
      </x:c>
    </x:row>
    <x:row r="2556" ht="23" customHeight="1">
      <x:c r="A2556" t="n">
        <x:v>426</x:v>
      </x:c>
      <x:c r="B2556" t="n">
        <x:v>213</x:v>
      </x:c>
      <x:c r="C2556" t="str">
        <x:v>晚餐</x:v>
      </x:c>
      <x:c r="D2556" t="str">
        <x:v>主食</x:v>
      </x:c>
      <x:c r="E2556" t="str">
        <x:v>藜麦饭</x:v>
      </x:c>
      <x:c r="F2556" t="n">
        <x:v>95</x:v>
      </x:c>
      <x:c r="G2556" t="n">
        <x:v>120</x:v>
      </x:c>
      <x:c r="H2556" t="n">
        <x:f>ROUND(F2556*G2556/100,2)</x:f>
        <x:v>114</x:v>
      </x:c>
      <x:c r="I2556" t="n">
        <x:v>4.4</x:v>
      </x:c>
      <x:c r="J2556" t="n">
        <x:f>ROUND(F2556*I2556/100,2)</x:f>
        <x:v>4.18</x:v>
      </x:c>
      <x:c r="K2556" t="n">
        <x:v>21.3</x:v>
      </x:c>
      <x:c r="L2556" t="n">
        <x:f>ROUND(F2556*K2556/100,2)</x:f>
        <x:v>20.24</x:v>
      </x:c>
      <x:c r="M2556" t="n">
        <x:v>1.9</x:v>
      </x:c>
      <x:c r="N2556" t="n">
        <x:f>ROUND(F2556*M2556/100,2)</x:f>
        <x:v>1.81</x:v>
      </x:c>
      <x:c r="O2556" t="str">
        <x:v>熟重</x:v>
      </x:c>
    </x:row>
    <x:row r="2557" ht="23" customHeight="1">
      <x:c r="A2557" t="n">
        <x:v>426</x:v>
      </x:c>
      <x:c r="B2557" t="n">
        <x:v>213</x:v>
      </x:c>
      <x:c r="C2557" t="str">
        <x:v>晚餐</x:v>
      </x:c>
      <x:c r="D2557" t="str">
        <x:v>油脂</x:v>
      </x:c>
      <x:c r="E2557" t="str">
        <x:v>烹调油</x:v>
      </x:c>
      <x:c r="F2557" t="n">
        <x:v>3</x:v>
      </x:c>
      <x:c r="G2557" t="n">
        <x:v>900</x:v>
      </x:c>
      <x:c r="H2557" t="n">
        <x:f>ROUND(F2557*G2557/100,2)</x:f>
        <x:v>27</x:v>
      </x:c>
      <x:c r="I2557" t="n">
        <x:v>0</x:v>
      </x:c>
      <x:c r="J2557" t="n">
        <x:f>ROUND(F2557*I2557/100,2)</x:f>
        <x:v>0</x:v>
      </x:c>
      <x:c r="K2557" t="n">
        <x:v>0</x:v>
      </x:c>
      <x:c r="L2557" t="n">
        <x:f>ROUND(F2557*K2557/100,2)</x:f>
        <x:v>0</x:v>
      </x:c>
      <x:c r="M2557" t="n">
        <x:v>100</x:v>
      </x:c>
      <x:c r="N2557" t="n">
        <x:f>ROUND(F2557*M2557/100,2)</x:f>
        <x:v>3</x:v>
      </x:c>
      <x:c r="O2557" t="str">
        <x:v>实际用油重</x:v>
      </x:c>
    </x:row>
    <x:row r="2558" ht="23" customHeight="1">
      <x:c r="A2558" t="n">
        <x:v>427</x:v>
      </x:c>
      <x:c r="B2558" t="n">
        <x:v>214</x:v>
      </x:c>
      <x:c r="C2558" t="str">
        <x:v>午餐</x:v>
      </x:c>
      <x:c r="D2558" t="str">
        <x:v>牛肉</x:v>
      </x:c>
      <x:c r="E2558" t="str">
        <x:v>瘦牛肉</x:v>
      </x:c>
      <x:c r="F2558" t="n">
        <x:v>165</x:v>
      </x:c>
      <x:c r="G2558" t="n">
        <x:v>125</x:v>
      </x:c>
      <x:c r="H2558" t="n">
        <x:f>ROUND(F2558*G2558/100,2)</x:f>
        <x:v>206.25</x:v>
      </x:c>
      <x:c r="I2558" t="n">
        <x:v>21</x:v>
      </x:c>
      <x:c r="J2558" t="n">
        <x:f>ROUND(F2558*I2558/100,2)</x:f>
        <x:v>34.65</x:v>
      </x:c>
      <x:c r="K2558" t="n">
        <x:v>0</x:v>
      </x:c>
      <x:c r="L2558" t="n">
        <x:f>ROUND(F2558*K2558/100,2)</x:f>
        <x:v>0</x:v>
      </x:c>
      <x:c r="M2558" t="n">
        <x:v>4</x:v>
      </x:c>
      <x:c r="N2558" t="n">
        <x:f>ROUND(F2558*M2558/100,2)</x:f>
        <x:v>6.6</x:v>
      </x:c>
      <x:c r="O2558" t="str">
        <x:v>生重</x:v>
      </x:c>
    </x:row>
    <x:row r="2559" ht="23" customHeight="1">
      <x:c r="A2559" t="n">
        <x:v>427</x:v>
      </x:c>
      <x:c r="B2559" t="n">
        <x:v>214</x:v>
      </x:c>
      <x:c r="C2559" t="str">
        <x:v>午餐</x:v>
      </x:c>
      <x:c r="D2559" t="str">
        <x:v>豆蛋</x:v>
      </x:c>
      <x:c r="E2559" t="str">
        <x:v>熟毛豆仁</x:v>
      </x:c>
      <x:c r="F2559" t="n">
        <x:v>70</x:v>
      </x:c>
      <x:c r="G2559" t="n">
        <x:v>120</x:v>
      </x:c>
      <x:c r="H2559" t="n">
        <x:f>ROUND(F2559*G2559/100,2)</x:f>
        <x:v>84</x:v>
      </x:c>
      <x:c r="I2559" t="n">
        <x:v>12</x:v>
      </x:c>
      <x:c r="J2559" t="n">
        <x:f>ROUND(F2559*I2559/100,2)</x:f>
        <x:v>8.4</x:v>
      </x:c>
      <x:c r="K2559" t="n">
        <x:v>9</x:v>
      </x:c>
      <x:c r="L2559" t="n">
        <x:f>ROUND(F2559*K2559/100,2)</x:f>
        <x:v>6.3</x:v>
      </x:c>
      <x:c r="M2559" t="n">
        <x:v>5</x:v>
      </x:c>
      <x:c r="N2559" t="n">
        <x:f>ROUND(F2559*M2559/100,2)</x:f>
        <x:v>3.5</x:v>
      </x:c>
      <x:c r="O2559" t="str">
        <x:v>熟重</x:v>
      </x:c>
    </x:row>
    <x:row r="2560" ht="23" customHeight="1">
      <x:c r="A2560" t="n">
        <x:v>427</x:v>
      </x:c>
      <x:c r="B2560" t="n">
        <x:v>214</x:v>
      </x:c>
      <x:c r="C2560" t="str">
        <x:v>午餐</x:v>
      </x:c>
      <x:c r="D2560" t="str">
        <x:v>蔬菜</x:v>
      </x:c>
      <x:c r="E2560" t="str">
        <x:v>四季豆</x:v>
      </x:c>
      <x:c r="F2560" t="n">
        <x:v>160</x:v>
      </x:c>
      <x:c r="G2560" t="n">
        <x:v>31</x:v>
      </x:c>
      <x:c r="H2560" t="n">
        <x:f>ROUND(F2560*G2560/100,2)</x:f>
        <x:v>49.6</x:v>
      </x:c>
      <x:c r="I2560" t="n">
        <x:v>1.8</x:v>
      </x:c>
      <x:c r="J2560" t="n">
        <x:f>ROUND(F2560*I2560/100,2)</x:f>
        <x:v>2.88</x:v>
      </x:c>
      <x:c r="K2560" t="n">
        <x:v>7</x:v>
      </x:c>
      <x:c r="L2560" t="n">
        <x:f>ROUND(F2560*K2560/100,2)</x:f>
        <x:v>11.2</x:v>
      </x:c>
      <x:c r="M2560" t="n">
        <x:v>0.1</x:v>
      </x:c>
      <x:c r="N2560" t="n">
        <x:f>ROUND(F2560*M2560/100,2)</x:f>
        <x:v>0.16</x:v>
      </x:c>
      <x:c r="O2560" t="str">
        <x:v>生重</x:v>
      </x:c>
    </x:row>
    <x:row r="2561" ht="23" customHeight="1">
      <x:c r="A2561" t="n">
        <x:v>427</x:v>
      </x:c>
      <x:c r="B2561" t="n">
        <x:v>214</x:v>
      </x:c>
      <x:c r="C2561" t="str">
        <x:v>午餐</x:v>
      </x:c>
      <x:c r="D2561" t="str">
        <x:v>蔬菜</x:v>
      </x:c>
      <x:c r="E2561" t="str">
        <x:v>绿豆芽</x:v>
      </x:c>
      <x:c r="F2561" t="n">
        <x:v>110</x:v>
      </x:c>
      <x:c r="G2561" t="n">
        <x:v>31</x:v>
      </x:c>
      <x:c r="H2561" t="n">
        <x:f>ROUND(F2561*G2561/100,2)</x:f>
        <x:v>34.1</x:v>
      </x:c>
      <x:c r="I2561" t="n">
        <x:v>3</x:v>
      </x:c>
      <x:c r="J2561" t="n">
        <x:f>ROUND(F2561*I2561/100,2)</x:f>
        <x:v>3.3</x:v>
      </x:c>
      <x:c r="K2561" t="n">
        <x:v>6</x:v>
      </x:c>
      <x:c r="L2561" t="n">
        <x:f>ROUND(F2561*K2561/100,2)</x:f>
        <x:v>6.6</x:v>
      </x:c>
      <x:c r="M2561" t="n">
        <x:v>0.2</x:v>
      </x:c>
      <x:c r="N2561" t="n">
        <x:f>ROUND(F2561*M2561/100,2)</x:f>
        <x:v>0.22</x:v>
      </x:c>
      <x:c r="O2561" t="str">
        <x:v>生重</x:v>
      </x:c>
    </x:row>
    <x:row r="2562" ht="23" customHeight="1">
      <x:c r="A2562" t="n">
        <x:v>427</x:v>
      </x:c>
      <x:c r="B2562" t="n">
        <x:v>214</x:v>
      </x:c>
      <x:c r="C2562" t="str">
        <x:v>午餐</x:v>
      </x:c>
      <x:c r="D2562" t="str">
        <x:v>主食</x:v>
      </x:c>
      <x:c r="E2562" t="str">
        <x:v>紫薯</x:v>
      </x:c>
      <x:c r="F2562" t="n">
        <x:v>165</x:v>
      </x:c>
      <x:c r="G2562" t="n">
        <x:v>95</x:v>
      </x:c>
      <x:c r="H2562" t="n">
        <x:f>ROUND(F2562*G2562/100,2)</x:f>
        <x:v>156.75</x:v>
      </x:c>
      <x:c r="I2562" t="n">
        <x:v>1.6</x:v>
      </x:c>
      <x:c r="J2562" t="n">
        <x:f>ROUND(F2562*I2562/100,2)</x:f>
        <x:v>2.64</x:v>
      </x:c>
      <x:c r="K2562" t="n">
        <x:v>22</x:v>
      </x:c>
      <x:c r="L2562" t="n">
        <x:f>ROUND(F2562*K2562/100,2)</x:f>
        <x:v>36.3</x:v>
      </x:c>
      <x:c r="M2562" t="n">
        <x:v>0.1</x:v>
      </x:c>
      <x:c r="N2562" t="n">
        <x:f>ROUND(F2562*M2562/100,2)</x:f>
        <x:v>0.17</x:v>
      </x:c>
      <x:c r="O2562" t="str">
        <x:v>蒸熟净重</x:v>
      </x:c>
    </x:row>
    <x:row r="2563" ht="23" customHeight="1">
      <x:c r="A2563" t="n">
        <x:v>427</x:v>
      </x:c>
      <x:c r="B2563" t="n">
        <x:v>214</x:v>
      </x:c>
      <x:c r="C2563" t="str">
        <x:v>午餐</x:v>
      </x:c>
      <x:c r="D2563" t="str">
        <x:v>油脂</x:v>
      </x:c>
      <x:c r="E2563" t="str">
        <x:v>烹调油</x:v>
      </x:c>
      <x:c r="F2563" t="n">
        <x:v>3</x:v>
      </x:c>
      <x:c r="G2563" t="n">
        <x:v>900</x:v>
      </x:c>
      <x:c r="H2563" t="n">
        <x:f>ROUND(F2563*G2563/100,2)</x:f>
        <x:v>27</x:v>
      </x:c>
      <x:c r="I2563" t="n">
        <x:v>0</x:v>
      </x:c>
      <x:c r="J2563" t="n">
        <x:f>ROUND(F2563*I2563/100,2)</x:f>
        <x:v>0</x:v>
      </x:c>
      <x:c r="K2563" t="n">
        <x:v>0</x:v>
      </x:c>
      <x:c r="L2563" t="n">
        <x:f>ROUND(F2563*K2563/100,2)</x:f>
        <x:v>0</x:v>
      </x:c>
      <x:c r="M2563" t="n">
        <x:v>100</x:v>
      </x:c>
      <x:c r="N2563" t="n">
        <x:f>ROUND(F2563*M2563/100,2)</x:f>
        <x:v>3</x:v>
      </x:c>
      <x:c r="O2563" t="str">
        <x:v>实际用油重</x:v>
      </x:c>
    </x:row>
    <x:row r="2564" ht="23" customHeight="1">
      <x:c r="A2564" t="n">
        <x:v>428</x:v>
      </x:c>
      <x:c r="B2564" t="n">
        <x:v>214</x:v>
      </x:c>
      <x:c r="C2564" t="str">
        <x:v>晚餐</x:v>
      </x:c>
      <x:c r="D2564" t="str">
        <x:v>禽肉</x:v>
      </x:c>
      <x:c r="E2564" t="str">
        <x:v>去皮鸡腿肉</x:v>
      </x:c>
      <x:c r="F2564" t="n">
        <x:v>145</x:v>
      </x:c>
      <x:c r="G2564" t="n">
        <x:v>125</x:v>
      </x:c>
      <x:c r="H2564" t="n">
        <x:f>ROUND(F2564*G2564/100,2)</x:f>
        <x:v>181.25</x:v>
      </x:c>
      <x:c r="I2564" t="n">
        <x:v>20</x:v>
      </x:c>
      <x:c r="J2564" t="n">
        <x:f>ROUND(F2564*I2564/100,2)</x:f>
        <x:v>29</x:v>
      </x:c>
      <x:c r="K2564" t="n">
        <x:v>0</x:v>
      </x:c>
      <x:c r="L2564" t="n">
        <x:f>ROUND(F2564*K2564/100,2)</x:f>
        <x:v>0</x:v>
      </x:c>
      <x:c r="M2564" t="n">
        <x:v>5</x:v>
      </x:c>
      <x:c r="N2564" t="n">
        <x:f>ROUND(F2564*M2564/100,2)</x:f>
        <x:v>7.25</x:v>
      </x:c>
      <x:c r="O2564" t="str">
        <x:v>生重</x:v>
      </x:c>
    </x:row>
    <x:row r="2565" ht="23" customHeight="1">
      <x:c r="A2565" t="n">
        <x:v>428</x:v>
      </x:c>
      <x:c r="B2565" t="n">
        <x:v>214</x:v>
      </x:c>
      <x:c r="C2565" t="str">
        <x:v>晚餐</x:v>
      </x:c>
      <x:c r="D2565" t="str"/>
      <x:c r="E2565" t="str"/>
      <x:c r="F2565" t="n">
        <x:v>0</x:v>
      </x:c>
      <x:c r="G2565" t="n">
        <x:v>0</x:v>
      </x:c>
      <x:c r="H2565" t="n">
        <x:f>ROUND(F2565*G2565/100,2)</x:f>
        <x:v>0</x:v>
      </x:c>
      <x:c r="I2565" t="n">
        <x:v>0</x:v>
      </x:c>
      <x:c r="J2565" t="n">
        <x:f>ROUND(F2565*I2565/100,2)</x:f>
        <x:v>0</x:v>
      </x:c>
      <x:c r="K2565" t="n">
        <x:v>0</x:v>
      </x:c>
      <x:c r="L2565" t="n">
        <x:f>ROUND(F2565*K2565/100,2)</x:f>
        <x:v>0</x:v>
      </x:c>
      <x:c r="M2565" t="n">
        <x:v>0</x:v>
      </x:c>
      <x:c r="N2565" t="n">
        <x:f>ROUND(F2565*M2565/100,2)</x:f>
        <x:v>0</x:v>
      </x:c>
      <x:c r="O2565" t="str"/>
    </x:row>
    <x:row r="2566" ht="23" customHeight="1">
      <x:c r="A2566" t="n">
        <x:v>428</x:v>
      </x:c>
      <x:c r="B2566" t="n">
        <x:v>214</x:v>
      </x:c>
      <x:c r="C2566" t="str">
        <x:v>晚餐</x:v>
      </x:c>
      <x:c r="D2566" t="str">
        <x:v>蔬菜</x:v>
      </x:c>
      <x:c r="E2566" t="str">
        <x:v>丝瓜</x:v>
      </x:c>
      <x:c r="F2566" t="n">
        <x:v>190</x:v>
      </x:c>
      <x:c r="G2566" t="n">
        <x:v>20</x:v>
      </x:c>
      <x:c r="H2566" t="n">
        <x:f>ROUND(F2566*G2566/100,2)</x:f>
        <x:v>38</x:v>
      </x:c>
      <x:c r="I2566" t="n">
        <x:v>1</x:v>
      </x:c>
      <x:c r="J2566" t="n">
        <x:f>ROUND(F2566*I2566/100,2)</x:f>
        <x:v>1.9</x:v>
      </x:c>
      <x:c r="K2566" t="n">
        <x:v>4</x:v>
      </x:c>
      <x:c r="L2566" t="n">
        <x:f>ROUND(F2566*K2566/100,2)</x:f>
        <x:v>7.6</x:v>
      </x:c>
      <x:c r="M2566" t="n">
        <x:v>0.2</x:v>
      </x:c>
      <x:c r="N2566" t="n">
        <x:f>ROUND(F2566*M2566/100,2)</x:f>
        <x:v>0.38</x:v>
      </x:c>
      <x:c r="O2566" t="str">
        <x:v>生重</x:v>
      </x:c>
    </x:row>
    <x:row r="2567" ht="23" customHeight="1">
      <x:c r="A2567" t="n">
        <x:v>428</x:v>
      </x:c>
      <x:c r="B2567" t="n">
        <x:v>214</x:v>
      </x:c>
      <x:c r="C2567" t="str">
        <x:v>晚餐</x:v>
      </x:c>
      <x:c r="D2567" t="str">
        <x:v>菌菇</x:v>
      </x:c>
      <x:c r="E2567" t="str">
        <x:v>口蘑</x:v>
      </x:c>
      <x:c r="F2567" t="n">
        <x:v>110</x:v>
      </x:c>
      <x:c r="G2567" t="n">
        <x:v>22</x:v>
      </x:c>
      <x:c r="H2567" t="n">
        <x:f>ROUND(F2567*G2567/100,2)</x:f>
        <x:v>24.2</x:v>
      </x:c>
      <x:c r="I2567" t="n">
        <x:v>3.1</x:v>
      </x:c>
      <x:c r="J2567" t="n">
        <x:f>ROUND(F2567*I2567/100,2)</x:f>
        <x:v>3.41</x:v>
      </x:c>
      <x:c r="K2567" t="n">
        <x:v>3.3</x:v>
      </x:c>
      <x:c r="L2567" t="n">
        <x:f>ROUND(F2567*K2567/100,2)</x:f>
        <x:v>3.63</x:v>
      </x:c>
      <x:c r="M2567" t="n">
        <x:v>0.3</x:v>
      </x:c>
      <x:c r="N2567" t="n">
        <x:f>ROUND(F2567*M2567/100,2)</x:f>
        <x:v>0.33</x:v>
      </x:c>
      <x:c r="O2567" t="str">
        <x:v>生重</x:v>
      </x:c>
    </x:row>
    <x:row r="2568" ht="23" customHeight="1">
      <x:c r="A2568" t="n">
        <x:v>428</x:v>
      </x:c>
      <x:c r="B2568" t="n">
        <x:v>214</x:v>
      </x:c>
      <x:c r="C2568" t="str">
        <x:v>晚餐</x:v>
      </x:c>
      <x:c r="D2568" t="str">
        <x:v>主食</x:v>
      </x:c>
      <x:c r="E2568" t="str">
        <x:v>荞麦饭</x:v>
      </x:c>
      <x:c r="F2568" t="n">
        <x:v>135</x:v>
      </x:c>
      <x:c r="G2568" t="n">
        <x:v>110</x:v>
      </x:c>
      <x:c r="H2568" t="n">
        <x:f>ROUND(F2568*G2568/100,2)</x:f>
        <x:v>148.5</x:v>
      </x:c>
      <x:c r="I2568" t="n">
        <x:v>3.4</x:v>
      </x:c>
      <x:c r="J2568" t="n">
        <x:f>ROUND(F2568*I2568/100,2)</x:f>
        <x:v>4.59</x:v>
      </x:c>
      <x:c r="K2568" t="n">
        <x:v>22</x:v>
      </x:c>
      <x:c r="L2568" t="n">
        <x:f>ROUND(F2568*K2568/100,2)</x:f>
        <x:v>29.7</x:v>
      </x:c>
      <x:c r="M2568" t="n">
        <x:v>1.1</x:v>
      </x:c>
      <x:c r="N2568" t="n">
        <x:f>ROUND(F2568*M2568/100,2)</x:f>
        <x:v>1.49</x:v>
      </x:c>
      <x:c r="O2568" t="str">
        <x:v>熟重</x:v>
      </x:c>
    </x:row>
    <x:row r="2569" ht="23" customHeight="1">
      <x:c r="A2569" t="n">
        <x:v>428</x:v>
      </x:c>
      <x:c r="B2569" t="n">
        <x:v>214</x:v>
      </x:c>
      <x:c r="C2569" t="str">
        <x:v>晚餐</x:v>
      </x:c>
      <x:c r="D2569" t="str">
        <x:v>油脂</x:v>
      </x:c>
      <x:c r="E2569" t="str">
        <x:v>烹调油</x:v>
      </x:c>
      <x:c r="F2569" t="n">
        <x:v>6</x:v>
      </x:c>
      <x:c r="G2569" t="n">
        <x:v>900</x:v>
      </x:c>
      <x:c r="H2569" t="n">
        <x:f>ROUND(F2569*G2569/100,2)</x:f>
        <x:v>54</x:v>
      </x:c>
      <x:c r="I2569" t="n">
        <x:v>0</x:v>
      </x:c>
      <x:c r="J2569" t="n">
        <x:f>ROUND(F2569*I2569/100,2)</x:f>
        <x:v>0</x:v>
      </x:c>
      <x:c r="K2569" t="n">
        <x:v>0</x:v>
      </x:c>
      <x:c r="L2569" t="n">
        <x:f>ROUND(F2569*K2569/100,2)</x:f>
        <x:v>0</x:v>
      </x:c>
      <x:c r="M2569" t="n">
        <x:v>100</x:v>
      </x:c>
      <x:c r="N2569" t="n">
        <x:f>ROUND(F2569*M2569/100,2)</x:f>
        <x:v>6</x:v>
      </x:c>
      <x:c r="O2569" t="str">
        <x:v>实际用油重</x:v>
      </x:c>
    </x:row>
    <x:row r="2570" ht="23" customHeight="1">
      <x:c r="A2570" t="n">
        <x:v>429</x:v>
      </x:c>
      <x:c r="B2570" t="n">
        <x:v>215</x:v>
      </x:c>
      <x:c r="C2570" t="str">
        <x:v>午餐</x:v>
      </x:c>
      <x:c r="D2570" t="str">
        <x:v>牛肉</x:v>
      </x:c>
      <x:c r="E2570" t="str">
        <x:v>牛里脊</x:v>
      </x:c>
      <x:c r="F2570" t="n">
        <x:v>185</x:v>
      </x:c>
      <x:c r="G2570" t="n">
        <x:v>130</x:v>
      </x:c>
      <x:c r="H2570" t="n">
        <x:f>ROUND(F2570*G2570/100,2)</x:f>
        <x:v>240.5</x:v>
      </x:c>
      <x:c r="I2570" t="n">
        <x:v>21</x:v>
      </x:c>
      <x:c r="J2570" t="n">
        <x:f>ROUND(F2570*I2570/100,2)</x:f>
        <x:v>38.85</x:v>
      </x:c>
      <x:c r="K2570" t="n">
        <x:v>0</x:v>
      </x:c>
      <x:c r="L2570" t="n">
        <x:f>ROUND(F2570*K2570/100,2)</x:f>
        <x:v>0</x:v>
      </x:c>
      <x:c r="M2570" t="n">
        <x:v>4.8</x:v>
      </x:c>
      <x:c r="N2570" t="n">
        <x:f>ROUND(F2570*M2570/100,2)</x:f>
        <x:v>8.88</x:v>
      </x:c>
      <x:c r="O2570" t="str">
        <x:v>生重</x:v>
      </x:c>
    </x:row>
    <x:row r="2571" ht="23" customHeight="1">
      <x:c r="A2571" t="n">
        <x:v>429</x:v>
      </x:c>
      <x:c r="B2571" t="n">
        <x:v>215</x:v>
      </x:c>
      <x:c r="C2571" t="str">
        <x:v>午餐</x:v>
      </x:c>
      <x:c r="D2571" t="str"/>
      <x:c r="E2571" t="str"/>
      <x:c r="F2571" t="n">
        <x:v>0</x:v>
      </x:c>
      <x:c r="G2571" t="n">
        <x:v>0</x:v>
      </x:c>
      <x:c r="H2571" t="n">
        <x:f>ROUND(F2571*G2571/100,2)</x:f>
        <x:v>0</x:v>
      </x:c>
      <x:c r="I2571" t="n">
        <x:v>0</x:v>
      </x:c>
      <x:c r="J2571" t="n">
        <x:f>ROUND(F2571*I2571/100,2)</x:f>
        <x:v>0</x:v>
      </x:c>
      <x:c r="K2571" t="n">
        <x:v>0</x:v>
      </x:c>
      <x:c r="L2571" t="n">
        <x:f>ROUND(F2571*K2571/100,2)</x:f>
        <x:v>0</x:v>
      </x:c>
      <x:c r="M2571" t="n">
        <x:v>0</x:v>
      </x:c>
      <x:c r="N2571" t="n">
        <x:f>ROUND(F2571*M2571/100,2)</x:f>
        <x:v>0</x:v>
      </x:c>
      <x:c r="O2571" t="str"/>
    </x:row>
    <x:row r="2572" ht="23" customHeight="1">
      <x:c r="A2572" t="n">
        <x:v>429</x:v>
      </x:c>
      <x:c r="B2572" t="n">
        <x:v>215</x:v>
      </x:c>
      <x:c r="C2572" t="str">
        <x:v>午餐</x:v>
      </x:c>
      <x:c r="D2572" t="str">
        <x:v>蔬菜</x:v>
      </x:c>
      <x:c r="E2572" t="str">
        <x:v>生菜</x:v>
      </x:c>
      <x:c r="F2572" t="n">
        <x:v>160</x:v>
      </x:c>
      <x:c r="G2572" t="n">
        <x:v>16</x:v>
      </x:c>
      <x:c r="H2572" t="n">
        <x:f>ROUND(F2572*G2572/100,2)</x:f>
        <x:v>25.6</x:v>
      </x:c>
      <x:c r="I2572" t="n">
        <x:v>1.4</x:v>
      </x:c>
      <x:c r="J2572" t="n">
        <x:f>ROUND(F2572*I2572/100,2)</x:f>
        <x:v>2.24</x:v>
      </x:c>
      <x:c r="K2572" t="n">
        <x:v>2.9</x:v>
      </x:c>
      <x:c r="L2572" t="n">
        <x:f>ROUND(F2572*K2572/100,2)</x:f>
        <x:v>4.64</x:v>
      </x:c>
      <x:c r="M2572" t="n">
        <x:v>0.1</x:v>
      </x:c>
      <x:c r="N2572" t="n">
        <x:f>ROUND(F2572*M2572/100,2)</x:f>
        <x:v>0.16</x:v>
      </x:c>
      <x:c r="O2572" t="str">
        <x:v>生重</x:v>
      </x:c>
    </x:row>
    <x:row r="2573" ht="23" customHeight="1">
      <x:c r="A2573" t="n">
        <x:v>429</x:v>
      </x:c>
      <x:c r="B2573" t="n">
        <x:v>215</x:v>
      </x:c>
      <x:c r="C2573" t="str">
        <x:v>午餐</x:v>
      </x:c>
      <x:c r="D2573" t="str">
        <x:v>蔬菜</x:v>
      </x:c>
      <x:c r="E2573" t="str">
        <x:v>黄瓜</x:v>
      </x:c>
      <x:c r="F2573" t="n">
        <x:v>155</x:v>
      </x:c>
      <x:c r="G2573" t="n">
        <x:v>16</x:v>
      </x:c>
      <x:c r="H2573" t="n">
        <x:f>ROUND(F2573*G2573/100,2)</x:f>
        <x:v>24.8</x:v>
      </x:c>
      <x:c r="I2573" t="n">
        <x:v>0.7</x:v>
      </x:c>
      <x:c r="J2573" t="n">
        <x:f>ROUND(F2573*I2573/100,2)</x:f>
        <x:v>1.09</x:v>
      </x:c>
      <x:c r="K2573" t="n">
        <x:v>3.6</x:v>
      </x:c>
      <x:c r="L2573" t="n">
        <x:f>ROUND(F2573*K2573/100,2)</x:f>
        <x:v>5.58</x:v>
      </x:c>
      <x:c r="M2573" t="n">
        <x:v>0.1</x:v>
      </x:c>
      <x:c r="N2573" t="n">
        <x:f>ROUND(F2573*M2573/100,2)</x:f>
        <x:v>0.16</x:v>
      </x:c>
      <x:c r="O2573" t="str">
        <x:v>生重</x:v>
      </x:c>
    </x:row>
    <x:row r="2574" ht="23" customHeight="1">
      <x:c r="A2574" t="n">
        <x:v>429</x:v>
      </x:c>
      <x:c r="B2574" t="n">
        <x:v>215</x:v>
      </x:c>
      <x:c r="C2574" t="str">
        <x:v>午餐</x:v>
      </x:c>
      <x:c r="D2574" t="str">
        <x:v>主食</x:v>
      </x:c>
      <x:c r="E2574" t="str">
        <x:v>紫薯</x:v>
      </x:c>
      <x:c r="F2574" t="n">
        <x:v>150</x:v>
      </x:c>
      <x:c r="G2574" t="n">
        <x:v>95</x:v>
      </x:c>
      <x:c r="H2574" t="n">
        <x:f>ROUND(F2574*G2574/100,2)</x:f>
        <x:v>142.5</x:v>
      </x:c>
      <x:c r="I2574" t="n">
        <x:v>1.6</x:v>
      </x:c>
      <x:c r="J2574" t="n">
        <x:f>ROUND(F2574*I2574/100,2)</x:f>
        <x:v>2.4</x:v>
      </x:c>
      <x:c r="K2574" t="n">
        <x:v>22</x:v>
      </x:c>
      <x:c r="L2574" t="n">
        <x:f>ROUND(F2574*K2574/100,2)</x:f>
        <x:v>33</x:v>
      </x:c>
      <x:c r="M2574" t="n">
        <x:v>0.1</x:v>
      </x:c>
      <x:c r="N2574" t="n">
        <x:f>ROUND(F2574*M2574/100,2)</x:f>
        <x:v>0.15</x:v>
      </x:c>
      <x:c r="O2574" t="str">
        <x:v>蒸熟净重</x:v>
      </x:c>
    </x:row>
    <x:row r="2575" ht="23" customHeight="1">
      <x:c r="A2575" t="n">
        <x:v>429</x:v>
      </x:c>
      <x:c r="B2575" t="n">
        <x:v>215</x:v>
      </x:c>
      <x:c r="C2575" t="str">
        <x:v>午餐</x:v>
      </x:c>
      <x:c r="D2575" t="str">
        <x:v>油脂</x:v>
      </x:c>
      <x:c r="E2575" t="str">
        <x:v>烹调油</x:v>
      </x:c>
      <x:c r="F2575" t="n">
        <x:v>6</x:v>
      </x:c>
      <x:c r="G2575" t="n">
        <x:v>900</x:v>
      </x:c>
      <x:c r="H2575" t="n">
        <x:f>ROUND(F2575*G2575/100,2)</x:f>
        <x:v>54</x:v>
      </x:c>
      <x:c r="I2575" t="n">
        <x:v>0</x:v>
      </x:c>
      <x:c r="J2575" t="n">
        <x:f>ROUND(F2575*I2575/100,2)</x:f>
        <x:v>0</x:v>
      </x:c>
      <x:c r="K2575" t="n">
        <x:v>0</x:v>
      </x:c>
      <x:c r="L2575" t="n">
        <x:f>ROUND(F2575*K2575/100,2)</x:f>
        <x:v>0</x:v>
      </x:c>
      <x:c r="M2575" t="n">
        <x:v>100</x:v>
      </x:c>
      <x:c r="N2575" t="n">
        <x:f>ROUND(F2575*M2575/100,2)</x:f>
        <x:v>6</x:v>
      </x:c>
      <x:c r="O2575" t="str">
        <x:v>实际用油重</x:v>
      </x:c>
    </x:row>
    <x:row r="2576" ht="23" customHeight="1">
      <x:c r="A2576" t="n">
        <x:v>430</x:v>
      </x:c>
      <x:c r="B2576" t="n">
        <x:v>215</x:v>
      </x:c>
      <x:c r="C2576" t="str">
        <x:v>晚餐</x:v>
      </x:c>
      <x:c r="D2576" t="str">
        <x:v>禽肉</x:v>
      </x:c>
      <x:c r="E2576" t="str">
        <x:v>鸡胸肉</x:v>
      </x:c>
      <x:c r="F2576" t="n">
        <x:v>145</x:v>
      </x:c>
      <x:c r="G2576" t="n">
        <x:v>110</x:v>
      </x:c>
      <x:c r="H2576" t="n">
        <x:f>ROUND(F2576*G2576/100,2)</x:f>
        <x:v>159.5</x:v>
      </x:c>
      <x:c r="I2576" t="n">
        <x:v>23</x:v>
      </x:c>
      <x:c r="J2576" t="n">
        <x:f>ROUND(F2576*I2576/100,2)</x:f>
        <x:v>33.35</x:v>
      </x:c>
      <x:c r="K2576" t="n">
        <x:v>0</x:v>
      </x:c>
      <x:c r="L2576" t="n">
        <x:f>ROUND(F2576*K2576/100,2)</x:f>
        <x:v>0</x:v>
      </x:c>
      <x:c r="M2576" t="n">
        <x:v>2</x:v>
      </x:c>
      <x:c r="N2576" t="n">
        <x:f>ROUND(F2576*M2576/100,2)</x:f>
        <x:v>2.9</x:v>
      </x:c>
      <x:c r="O2576" t="str">
        <x:v>生重</x:v>
      </x:c>
    </x:row>
    <x:row r="2577" ht="23" customHeight="1">
      <x:c r="A2577" t="n">
        <x:v>430</x:v>
      </x:c>
      <x:c r="B2577" t="n">
        <x:v>215</x:v>
      </x:c>
      <x:c r="C2577" t="str">
        <x:v>晚餐</x:v>
      </x:c>
      <x:c r="D2577" t="str"/>
      <x:c r="E2577" t="str"/>
      <x:c r="F2577" t="n">
        <x:v>0</x:v>
      </x:c>
      <x:c r="G2577" t="n">
        <x:v>0</x:v>
      </x:c>
      <x:c r="H2577" t="n">
        <x:f>ROUND(F2577*G2577/100,2)</x:f>
        <x:v>0</x:v>
      </x:c>
      <x:c r="I2577" t="n">
        <x:v>0</x:v>
      </x:c>
      <x:c r="J2577" t="n">
        <x:f>ROUND(F2577*I2577/100,2)</x:f>
        <x:v>0</x:v>
      </x:c>
      <x:c r="K2577" t="n">
        <x:v>0</x:v>
      </x:c>
      <x:c r="L2577" t="n">
        <x:f>ROUND(F2577*K2577/100,2)</x:f>
        <x:v>0</x:v>
      </x:c>
      <x:c r="M2577" t="n">
        <x:v>0</x:v>
      </x:c>
      <x:c r="N2577" t="n">
        <x:f>ROUND(F2577*M2577/100,2)</x:f>
        <x:v>0</x:v>
      </x:c>
      <x:c r="O2577" t="str"/>
    </x:row>
    <x:row r="2578" ht="23" customHeight="1">
      <x:c r="A2578" t="n">
        <x:v>430</x:v>
      </x:c>
      <x:c r="B2578" t="n">
        <x:v>215</x:v>
      </x:c>
      <x:c r="C2578" t="str">
        <x:v>晚餐</x:v>
      </x:c>
      <x:c r="D2578" t="str">
        <x:v>蔬菜</x:v>
      </x:c>
      <x:c r="E2578" t="str">
        <x:v>油麦菜</x:v>
      </x:c>
      <x:c r="F2578" t="n">
        <x:v>175</x:v>
      </x:c>
      <x:c r="G2578" t="n">
        <x:v>18</x:v>
      </x:c>
      <x:c r="H2578" t="n">
        <x:f>ROUND(F2578*G2578/100,2)</x:f>
        <x:v>31.5</x:v>
      </x:c>
      <x:c r="I2578" t="n">
        <x:v>1.4</x:v>
      </x:c>
      <x:c r="J2578" t="n">
        <x:f>ROUND(F2578*I2578/100,2)</x:f>
        <x:v>2.45</x:v>
      </x:c>
      <x:c r="K2578" t="n">
        <x:v>3.1</x:v>
      </x:c>
      <x:c r="L2578" t="n">
        <x:f>ROUND(F2578*K2578/100,2)</x:f>
        <x:v>5.43</x:v>
      </x:c>
      <x:c r="M2578" t="n">
        <x:v>0.2</x:v>
      </x:c>
      <x:c r="N2578" t="n">
        <x:f>ROUND(F2578*M2578/100,2)</x:f>
        <x:v>0.35</x:v>
      </x:c>
      <x:c r="O2578" t="str">
        <x:v>生重</x:v>
      </x:c>
    </x:row>
    <x:row r="2579" ht="23" customHeight="1">
      <x:c r="A2579" t="n">
        <x:v>430</x:v>
      </x:c>
      <x:c r="B2579" t="n">
        <x:v>215</x:v>
      </x:c>
      <x:c r="C2579" t="str">
        <x:v>晚餐</x:v>
      </x:c>
      <x:c r="D2579" t="str">
        <x:v>菌菇</x:v>
      </x:c>
      <x:c r="E2579" t="str">
        <x:v>杏鲍菇</x:v>
      </x:c>
      <x:c r="F2579" t="n">
        <x:v>110</x:v>
      </x:c>
      <x:c r="G2579" t="n">
        <x:v>35</x:v>
      </x:c>
      <x:c r="H2579" t="n">
        <x:f>ROUND(F2579*G2579/100,2)</x:f>
        <x:v>38.5</x:v>
      </x:c>
      <x:c r="I2579" t="n">
        <x:v>2</x:v>
      </x:c>
      <x:c r="J2579" t="n">
        <x:f>ROUND(F2579*I2579/100,2)</x:f>
        <x:v>2.2</x:v>
      </x:c>
      <x:c r="K2579" t="n">
        <x:v>7.4</x:v>
      </x:c>
      <x:c r="L2579" t="n">
        <x:f>ROUND(F2579*K2579/100,2)</x:f>
        <x:v>8.14</x:v>
      </x:c>
      <x:c r="M2579" t="n">
        <x:v>0.3</x:v>
      </x:c>
      <x:c r="N2579" t="n">
        <x:f>ROUND(F2579*M2579/100,2)</x:f>
        <x:v>0.33</x:v>
      </x:c>
      <x:c r="O2579" t="str">
        <x:v>生重</x:v>
      </x:c>
    </x:row>
    <x:row r="2580" ht="23" customHeight="1">
      <x:c r="A2580" t="n">
        <x:v>430</x:v>
      </x:c>
      <x:c r="B2580" t="n">
        <x:v>215</x:v>
      </x:c>
      <x:c r="C2580" t="str">
        <x:v>晚餐</x:v>
      </x:c>
      <x:c r="D2580" t="str">
        <x:v>主食</x:v>
      </x:c>
      <x:c r="E2580" t="str">
        <x:v>藜麦饭</x:v>
      </x:c>
      <x:c r="F2580" t="n">
        <x:v>135</x:v>
      </x:c>
      <x:c r="G2580" t="n">
        <x:v>120</x:v>
      </x:c>
      <x:c r="H2580" t="n">
        <x:f>ROUND(F2580*G2580/100,2)</x:f>
        <x:v>162</x:v>
      </x:c>
      <x:c r="I2580" t="n">
        <x:v>4.4</x:v>
      </x:c>
      <x:c r="J2580" t="n">
        <x:f>ROUND(F2580*I2580/100,2)</x:f>
        <x:v>5.94</x:v>
      </x:c>
      <x:c r="K2580" t="n">
        <x:v>21.3</x:v>
      </x:c>
      <x:c r="L2580" t="n">
        <x:f>ROUND(F2580*K2580/100,2)</x:f>
        <x:v>28.76</x:v>
      </x:c>
      <x:c r="M2580" t="n">
        <x:v>1.9</x:v>
      </x:c>
      <x:c r="N2580" t="n">
        <x:f>ROUND(F2580*M2580/100,2)</x:f>
        <x:v>2.57</x:v>
      </x:c>
      <x:c r="O2580" t="str">
        <x:v>熟重</x:v>
      </x:c>
    </x:row>
    <x:row r="2581" ht="23" customHeight="1">
      <x:c r="A2581" t="n">
        <x:v>430</x:v>
      </x:c>
      <x:c r="B2581" t="n">
        <x:v>215</x:v>
      </x:c>
      <x:c r="C2581" t="str">
        <x:v>晚餐</x:v>
      </x:c>
      <x:c r="D2581" t="str">
        <x:v>油脂</x:v>
      </x:c>
      <x:c r="E2581" t="str">
        <x:v>烹调油</x:v>
      </x:c>
      <x:c r="F2581" t="n">
        <x:v>3</x:v>
      </x:c>
      <x:c r="G2581" t="n">
        <x:v>900</x:v>
      </x:c>
      <x:c r="H2581" t="n">
        <x:f>ROUND(F2581*G2581/100,2)</x:f>
        <x:v>27</x:v>
      </x:c>
      <x:c r="I2581" t="n">
        <x:v>0</x:v>
      </x:c>
      <x:c r="J2581" t="n">
        <x:f>ROUND(F2581*I2581/100,2)</x:f>
        <x:v>0</x:v>
      </x:c>
      <x:c r="K2581" t="n">
        <x:v>0</x:v>
      </x:c>
      <x:c r="L2581" t="n">
        <x:f>ROUND(F2581*K2581/100,2)</x:f>
        <x:v>0</x:v>
      </x:c>
      <x:c r="M2581" t="n">
        <x:v>100</x:v>
      </x:c>
      <x:c r="N2581" t="n">
        <x:f>ROUND(F2581*M2581/100,2)</x:f>
        <x:v>3</x:v>
      </x:c>
      <x:c r="O2581" t="str">
        <x:v>实际用油重</x:v>
      </x:c>
    </x:row>
    <x:row r="2582" ht="23" customHeight="1">
      <x:c r="A2582" t="n">
        <x:v>431</x:v>
      </x:c>
      <x:c r="B2582" t="n">
        <x:v>216</x:v>
      </x:c>
      <x:c r="C2582" t="str">
        <x:v>午餐</x:v>
      </x:c>
      <x:c r="D2582" t="str">
        <x:v>豆蛋</x:v>
      </x:c>
      <x:c r="E2582" t="str">
        <x:v>嫩豆腐</x:v>
      </x:c>
      <x:c r="F2582" t="n">
        <x:v>260</x:v>
      </x:c>
      <x:c r="G2582" t="n">
        <x:v>55</x:v>
      </x:c>
      <x:c r="H2582" t="n">
        <x:f>ROUND(F2582*G2582/100,2)</x:f>
        <x:v>143</x:v>
      </x:c>
      <x:c r="I2582" t="n">
        <x:v>5</x:v>
      </x:c>
      <x:c r="J2582" t="n">
        <x:f>ROUND(F2582*I2582/100,2)</x:f>
        <x:v>13</x:v>
      </x:c>
      <x:c r="K2582" t="n">
        <x:v>2</x:v>
      </x:c>
      <x:c r="L2582" t="n">
        <x:f>ROUND(F2582*K2582/100,2)</x:f>
        <x:v>5.2</x:v>
      </x:c>
      <x:c r="M2582" t="n">
        <x:v>2.8</x:v>
      </x:c>
      <x:c r="N2582" t="n">
        <x:f>ROUND(F2582*M2582/100,2)</x:f>
        <x:v>7.28</x:v>
      </x:c>
      <x:c r="O2582" t="str">
        <x:v>净重</x:v>
      </x:c>
    </x:row>
    <x:row r="2583" ht="23" customHeight="1">
      <x:c r="A2583" t="n">
        <x:v>431</x:v>
      </x:c>
      <x:c r="B2583" t="n">
        <x:v>216</x:v>
      </x:c>
      <x:c r="C2583" t="str">
        <x:v>午餐</x:v>
      </x:c>
      <x:c r="D2583" t="str">
        <x:v>海鲜</x:v>
      </x:c>
      <x:c r="E2583" t="str">
        <x:v>虾仁</x:v>
      </x:c>
      <x:c r="F2583" t="n">
        <x:v>85</x:v>
      </x:c>
      <x:c r="G2583" t="n">
        <x:v>90</x:v>
      </x:c>
      <x:c r="H2583" t="n">
        <x:f>ROUND(F2583*G2583/100,2)</x:f>
        <x:v>76.5</x:v>
      </x:c>
      <x:c r="I2583" t="n">
        <x:v>19</x:v>
      </x:c>
      <x:c r="J2583" t="n">
        <x:f>ROUND(F2583*I2583/100,2)</x:f>
        <x:v>16.15</x:v>
      </x:c>
      <x:c r="K2583" t="n">
        <x:v>0.4</x:v>
      </x:c>
      <x:c r="L2583" t="n">
        <x:f>ROUND(F2583*K2583/100,2)</x:f>
        <x:v>0.34</x:v>
      </x:c>
      <x:c r="M2583" t="n">
        <x:v>1.1</x:v>
      </x:c>
      <x:c r="N2583" t="n">
        <x:f>ROUND(F2583*M2583/100,2)</x:f>
        <x:v>0.94</x:v>
      </x:c>
      <x:c r="O2583" t="str">
        <x:v>生重</x:v>
      </x:c>
    </x:row>
    <x:row r="2584" ht="23" customHeight="1">
      <x:c r="A2584" t="n">
        <x:v>431</x:v>
      </x:c>
      <x:c r="B2584" t="n">
        <x:v>216</x:v>
      </x:c>
      <x:c r="C2584" t="str">
        <x:v>午餐</x:v>
      </x:c>
      <x:c r="D2584" t="str">
        <x:v>蔬菜</x:v>
      </x:c>
      <x:c r="E2584" t="str">
        <x:v>番茄</x:v>
      </x:c>
      <x:c r="F2584" t="n">
        <x:v>140</x:v>
      </x:c>
      <x:c r="G2584" t="n">
        <x:v>20</x:v>
      </x:c>
      <x:c r="H2584" t="n">
        <x:f>ROUND(F2584*G2584/100,2)</x:f>
        <x:v>28</x:v>
      </x:c>
      <x:c r="I2584" t="n">
        <x:v>0.9</x:v>
      </x:c>
      <x:c r="J2584" t="n">
        <x:f>ROUND(F2584*I2584/100,2)</x:f>
        <x:v>1.26</x:v>
      </x:c>
      <x:c r="K2584" t="n">
        <x:v>4</x:v>
      </x:c>
      <x:c r="L2584" t="n">
        <x:f>ROUND(F2584*K2584/100,2)</x:f>
        <x:v>5.6</x:v>
      </x:c>
      <x:c r="M2584" t="n">
        <x:v>0.2</x:v>
      </x:c>
      <x:c r="N2584" t="n">
        <x:f>ROUND(F2584*M2584/100,2)</x:f>
        <x:v>0.28</x:v>
      </x:c>
      <x:c r="O2584" t="str">
        <x:v>生重</x:v>
      </x:c>
    </x:row>
    <x:row r="2585" ht="23" customHeight="1">
      <x:c r="A2585" t="n">
        <x:v>431</x:v>
      </x:c>
      <x:c r="B2585" t="n">
        <x:v>216</x:v>
      </x:c>
      <x:c r="C2585" t="str">
        <x:v>午餐</x:v>
      </x:c>
      <x:c r="D2585" t="str">
        <x:v>蔬菜</x:v>
      </x:c>
      <x:c r="E2585" t="str">
        <x:v>洋葱</x:v>
      </x:c>
      <x:c r="F2585" t="n">
        <x:v>140</x:v>
      </x:c>
      <x:c r="G2585" t="n">
        <x:v>40</x:v>
      </x:c>
      <x:c r="H2585" t="n">
        <x:f>ROUND(F2585*G2585/100,2)</x:f>
        <x:v>56</x:v>
      </x:c>
      <x:c r="I2585" t="n">
        <x:v>1.1</x:v>
      </x:c>
      <x:c r="J2585" t="n">
        <x:f>ROUND(F2585*I2585/100,2)</x:f>
        <x:v>1.54</x:v>
      </x:c>
      <x:c r="K2585" t="n">
        <x:v>9.3</x:v>
      </x:c>
      <x:c r="L2585" t="n">
        <x:f>ROUND(F2585*K2585/100,2)</x:f>
        <x:v>13.02</x:v>
      </x:c>
      <x:c r="M2585" t="n">
        <x:v>0.1</x:v>
      </x:c>
      <x:c r="N2585" t="n">
        <x:f>ROUND(F2585*M2585/100,2)</x:f>
        <x:v>0.14</x:v>
      </x:c>
      <x:c r="O2585" t="str">
        <x:v>生重</x:v>
      </x:c>
    </x:row>
    <x:row r="2586" ht="23" customHeight="1">
      <x:c r="A2586" t="n">
        <x:v>431</x:v>
      </x:c>
      <x:c r="B2586" t="n">
        <x:v>216</x:v>
      </x:c>
      <x:c r="C2586" t="str">
        <x:v>午餐</x:v>
      </x:c>
      <x:c r="D2586" t="str">
        <x:v>主食</x:v>
      </x:c>
      <x:c r="E2586" t="str">
        <x:v>糙米饭</x:v>
      </x:c>
      <x:c r="F2586" t="n">
        <x:v>110</x:v>
      </x:c>
      <x:c r="G2586" t="n">
        <x:v>112</x:v>
      </x:c>
      <x:c r="H2586" t="n">
        <x:f>ROUND(F2586*G2586/100,2)</x:f>
        <x:v>123.2</x:v>
      </x:c>
      <x:c r="I2586" t="n">
        <x:v>2.6</x:v>
      </x:c>
      <x:c r="J2586" t="n">
        <x:f>ROUND(F2586*I2586/100,2)</x:f>
        <x:v>2.86</x:v>
      </x:c>
      <x:c r="K2586" t="n">
        <x:v>23.5</x:v>
      </x:c>
      <x:c r="L2586" t="n">
        <x:f>ROUND(F2586*K2586/100,2)</x:f>
        <x:v>25.85</x:v>
      </x:c>
      <x:c r="M2586" t="n">
        <x:v>0.9</x:v>
      </x:c>
      <x:c r="N2586" t="n">
        <x:f>ROUND(F2586*M2586/100,2)</x:f>
        <x:v>0.99</x:v>
      </x:c>
      <x:c r="O2586" t="str">
        <x:v>熟重</x:v>
      </x:c>
    </x:row>
    <x:row r="2587" ht="23" customHeight="1">
      <x:c r="A2587" t="n">
        <x:v>431</x:v>
      </x:c>
      <x:c r="B2587" t="n">
        <x:v>216</x:v>
      </x:c>
      <x:c r="C2587" t="str">
        <x:v>午餐</x:v>
      </x:c>
      <x:c r="D2587" t="str">
        <x:v>油脂</x:v>
      </x:c>
      <x:c r="E2587" t="str">
        <x:v>烹调油</x:v>
      </x:c>
      <x:c r="F2587" t="n">
        <x:v>5</x:v>
      </x:c>
      <x:c r="G2587" t="n">
        <x:v>900</x:v>
      </x:c>
      <x:c r="H2587" t="n">
        <x:f>ROUND(F2587*G2587/100,2)</x:f>
        <x:v>45</x:v>
      </x:c>
      <x:c r="I2587" t="n">
        <x:v>0</x:v>
      </x:c>
      <x:c r="J2587" t="n">
        <x:f>ROUND(F2587*I2587/100,2)</x:f>
        <x:v>0</x:v>
      </x:c>
      <x:c r="K2587" t="n">
        <x:v>0</x:v>
      </x:c>
      <x:c r="L2587" t="n">
        <x:f>ROUND(F2587*K2587/100,2)</x:f>
        <x:v>0</x:v>
      </x:c>
      <x:c r="M2587" t="n">
        <x:v>100</x:v>
      </x:c>
      <x:c r="N2587" t="n">
        <x:f>ROUND(F2587*M2587/100,2)</x:f>
        <x:v>5</x:v>
      </x:c>
      <x:c r="O2587" t="str">
        <x:v>实际用油重</x:v>
      </x:c>
    </x:row>
    <x:row r="2588" ht="23" customHeight="1">
      <x:c r="A2588" t="n">
        <x:v>432</x:v>
      </x:c>
      <x:c r="B2588" t="n">
        <x:v>216</x:v>
      </x:c>
      <x:c r="C2588" t="str">
        <x:v>晚餐</x:v>
      </x:c>
      <x:c r="D2588" t="str">
        <x:v>牛肉</x:v>
      </x:c>
      <x:c r="E2588" t="str">
        <x:v>牛腱子</x:v>
      </x:c>
      <x:c r="F2588" t="n">
        <x:v>160</x:v>
      </x:c>
      <x:c r="G2588" t="n">
        <x:v>140</x:v>
      </x:c>
      <x:c r="H2588" t="n">
        <x:f>ROUND(F2588*G2588/100,2)</x:f>
        <x:v>224</x:v>
      </x:c>
      <x:c r="I2588" t="n">
        <x:v>21</x:v>
      </x:c>
      <x:c r="J2588" t="n">
        <x:f>ROUND(F2588*I2588/100,2)</x:f>
        <x:v>33.6</x:v>
      </x:c>
      <x:c r="K2588" t="n">
        <x:v>0</x:v>
      </x:c>
      <x:c r="L2588" t="n">
        <x:f>ROUND(F2588*K2588/100,2)</x:f>
        <x:v>0</x:v>
      </x:c>
      <x:c r="M2588" t="n">
        <x:v>6</x:v>
      </x:c>
      <x:c r="N2588" t="n">
        <x:f>ROUND(F2588*M2588/100,2)</x:f>
        <x:v>9.6</x:v>
      </x:c>
      <x:c r="O2588" t="str">
        <x:v>生重</x:v>
      </x:c>
    </x:row>
    <x:row r="2589" ht="23" customHeight="1">
      <x:c r="A2589" t="n">
        <x:v>432</x:v>
      </x:c>
      <x:c r="B2589" t="n">
        <x:v>216</x:v>
      </x:c>
      <x:c r="C2589" t="str">
        <x:v>晚餐</x:v>
      </x:c>
      <x:c r="D2589" t="str"/>
      <x:c r="E2589" t="str"/>
      <x:c r="F2589" t="n">
        <x:v>0</x:v>
      </x:c>
      <x:c r="G2589" t="n">
        <x:v>0</x:v>
      </x:c>
      <x:c r="H2589" t="n">
        <x:f>ROUND(F2589*G2589/100,2)</x:f>
        <x:v>0</x:v>
      </x:c>
      <x:c r="I2589" t="n">
        <x:v>0</x:v>
      </x:c>
      <x:c r="J2589" t="n">
        <x:f>ROUND(F2589*I2589/100,2)</x:f>
        <x:v>0</x:v>
      </x:c>
      <x:c r="K2589" t="n">
        <x:v>0</x:v>
      </x:c>
      <x:c r="L2589" t="n">
        <x:f>ROUND(F2589*K2589/100,2)</x:f>
        <x:v>0</x:v>
      </x:c>
      <x:c r="M2589" t="n">
        <x:v>0</x:v>
      </x:c>
      <x:c r="N2589" t="n">
        <x:f>ROUND(F2589*M2589/100,2)</x:f>
        <x:v>0</x:v>
      </x:c>
      <x:c r="O2589" t="str"/>
    </x:row>
    <x:row r="2590" ht="23" customHeight="1">
      <x:c r="A2590" t="n">
        <x:v>432</x:v>
      </x:c>
      <x:c r="B2590" t="n">
        <x:v>216</x:v>
      </x:c>
      <x:c r="C2590" t="str">
        <x:v>晚餐</x:v>
      </x:c>
      <x:c r="D2590" t="str">
        <x:v>蔬菜</x:v>
      </x:c>
      <x:c r="E2590" t="str">
        <x:v>秋葵</x:v>
      </x:c>
      <x:c r="F2590" t="n">
        <x:v>190</x:v>
      </x:c>
      <x:c r="G2590" t="n">
        <x:v>33</x:v>
      </x:c>
      <x:c r="H2590" t="n">
        <x:f>ROUND(F2590*G2590/100,2)</x:f>
        <x:v>62.7</x:v>
      </x:c>
      <x:c r="I2590" t="n">
        <x:v>1.9</x:v>
      </x:c>
      <x:c r="J2590" t="n">
        <x:f>ROUND(F2590*I2590/100,2)</x:f>
        <x:v>3.61</x:v>
      </x:c>
      <x:c r="K2590" t="n">
        <x:v>7.5</x:v>
      </x:c>
      <x:c r="L2590" t="n">
        <x:f>ROUND(F2590*K2590/100,2)</x:f>
        <x:v>14.25</x:v>
      </x:c>
      <x:c r="M2590" t="n">
        <x:v>0.2</x:v>
      </x:c>
      <x:c r="N2590" t="n">
        <x:f>ROUND(F2590*M2590/100,2)</x:f>
        <x:v>0.38</x:v>
      </x:c>
      <x:c r="O2590" t="str">
        <x:v>生重</x:v>
      </x:c>
    </x:row>
    <x:row r="2591" ht="23" customHeight="1">
      <x:c r="A2591" t="n">
        <x:v>432</x:v>
      </x:c>
      <x:c r="B2591" t="n">
        <x:v>216</x:v>
      </x:c>
      <x:c r="C2591" t="str">
        <x:v>晚餐</x:v>
      </x:c>
      <x:c r="D2591" t="str">
        <x:v>菌菇</x:v>
      </x:c>
      <x:c r="E2591" t="str">
        <x:v>口蘑</x:v>
      </x:c>
      <x:c r="F2591" t="n">
        <x:v>140</x:v>
      </x:c>
      <x:c r="G2591" t="n">
        <x:v>22</x:v>
      </x:c>
      <x:c r="H2591" t="n">
        <x:f>ROUND(F2591*G2591/100,2)</x:f>
        <x:v>30.8</x:v>
      </x:c>
      <x:c r="I2591" t="n">
        <x:v>3.1</x:v>
      </x:c>
      <x:c r="J2591" t="n">
        <x:f>ROUND(F2591*I2591/100,2)</x:f>
        <x:v>4.34</x:v>
      </x:c>
      <x:c r="K2591" t="n">
        <x:v>3.3</x:v>
      </x:c>
      <x:c r="L2591" t="n">
        <x:f>ROUND(F2591*K2591/100,2)</x:f>
        <x:v>4.62</x:v>
      </x:c>
      <x:c r="M2591" t="n">
        <x:v>0.3</x:v>
      </x:c>
      <x:c r="N2591" t="n">
        <x:f>ROUND(F2591*M2591/100,2)</x:f>
        <x:v>0.42</x:v>
      </x:c>
      <x:c r="O2591" t="str">
        <x:v>生重</x:v>
      </x:c>
    </x:row>
    <x:row r="2592" ht="23" customHeight="1">
      <x:c r="A2592" t="n">
        <x:v>432</x:v>
      </x:c>
      <x:c r="B2592" t="n">
        <x:v>216</x:v>
      </x:c>
      <x:c r="C2592" t="str">
        <x:v>晚餐</x:v>
      </x:c>
      <x:c r="D2592" t="str">
        <x:v>主食</x:v>
      </x:c>
      <x:c r="E2592" t="str">
        <x:v>荞麦面</x:v>
      </x:c>
      <x:c r="F2592" t="n">
        <x:v>125</x:v>
      </x:c>
      <x:c r="G2592" t="n">
        <x:v>105</x:v>
      </x:c>
      <x:c r="H2592" t="n">
        <x:f>ROUND(F2592*G2592/100,2)</x:f>
        <x:v>131.25</x:v>
      </x:c>
      <x:c r="I2592" t="n">
        <x:v>4</x:v>
      </x:c>
      <x:c r="J2592" t="n">
        <x:f>ROUND(F2592*I2592/100,2)</x:f>
        <x:v>5</x:v>
      </x:c>
      <x:c r="K2592" t="n">
        <x:v>21</x:v>
      </x:c>
      <x:c r="L2592" t="n">
        <x:f>ROUND(F2592*K2592/100,2)</x:f>
        <x:v>26.25</x:v>
      </x:c>
      <x:c r="M2592" t="n">
        <x:v>0.7</x:v>
      </x:c>
      <x:c r="N2592" t="n">
        <x:f>ROUND(F2592*M2592/100,2)</x:f>
        <x:v>0.88</x:v>
      </x:c>
      <x:c r="O2592" t="str">
        <x:v>煮熟沥水重</x:v>
      </x:c>
    </x:row>
    <x:row r="2593" ht="23" customHeight="1">
      <x:c r="A2593" t="n">
        <x:v>432</x:v>
      </x:c>
      <x:c r="B2593" t="n">
        <x:v>216</x:v>
      </x:c>
      <x:c r="C2593" t="str">
        <x:v>晚餐</x:v>
      </x:c>
      <x:c r="D2593" t="str">
        <x:v>油脂</x:v>
      </x:c>
      <x:c r="E2593" t="str">
        <x:v>烹调油</x:v>
      </x:c>
      <x:c r="F2593" t="n">
        <x:v>5</x:v>
      </x:c>
      <x:c r="G2593" t="n">
        <x:v>900</x:v>
      </x:c>
      <x:c r="H2593" t="n">
        <x:f>ROUND(F2593*G2593/100,2)</x:f>
        <x:v>45</x:v>
      </x:c>
      <x:c r="I2593" t="n">
        <x:v>0</x:v>
      </x:c>
      <x:c r="J2593" t="n">
        <x:f>ROUND(F2593*I2593/100,2)</x:f>
        <x:v>0</x:v>
      </x:c>
      <x:c r="K2593" t="n">
        <x:v>0</x:v>
      </x:c>
      <x:c r="L2593" t="n">
        <x:f>ROUND(F2593*K2593/100,2)</x:f>
        <x:v>0</x:v>
      </x:c>
      <x:c r="M2593" t="n">
        <x:v>100</x:v>
      </x:c>
      <x:c r="N2593" t="n">
        <x:f>ROUND(F2593*M2593/100,2)</x:f>
        <x:v>5</x:v>
      </x:c>
      <x:c r="O2593" t="str">
        <x:v>实际用油重</x:v>
      </x:c>
    </x:row>
    <x:row r="2594" ht="23" customHeight="1">
      <x:c r="A2594" t="n">
        <x:v>433</x:v>
      </x:c>
      <x:c r="B2594" t="n">
        <x:v>217</x:v>
      </x:c>
      <x:c r="C2594" t="str">
        <x:v>午餐</x:v>
      </x:c>
      <x:c r="D2594" t="str">
        <x:v>海鲜</x:v>
      </x:c>
      <x:c r="E2594" t="str">
        <x:v>扇贝肉</x:v>
      </x:c>
      <x:c r="F2594" t="n">
        <x:v>170</x:v>
      </x:c>
      <x:c r="G2594" t="n">
        <x:v>90</x:v>
      </x:c>
      <x:c r="H2594" t="n">
        <x:f>ROUND(F2594*G2594/100,2)</x:f>
        <x:v>153</x:v>
      </x:c>
      <x:c r="I2594" t="n">
        <x:v>17</x:v>
      </x:c>
      <x:c r="J2594" t="n">
        <x:f>ROUND(F2594*I2594/100,2)</x:f>
        <x:v>28.9</x:v>
      </x:c>
      <x:c r="K2594" t="n">
        <x:v>3</x:v>
      </x:c>
      <x:c r="L2594" t="n">
        <x:f>ROUND(F2594*K2594/100,2)</x:f>
        <x:v>5.1</x:v>
      </x:c>
      <x:c r="M2594" t="n">
        <x:v>0.8</x:v>
      </x:c>
      <x:c r="N2594" t="n">
        <x:f>ROUND(F2594*M2594/100,2)</x:f>
        <x:v>1.36</x:v>
      </x:c>
      <x:c r="O2594" t="str">
        <x:v>生重</x:v>
      </x:c>
    </x:row>
    <x:row r="2595" ht="23" customHeight="1">
      <x:c r="A2595" t="n">
        <x:v>433</x:v>
      </x:c>
      <x:c r="B2595" t="n">
        <x:v>217</x:v>
      </x:c>
      <x:c r="C2595" t="str">
        <x:v>午餐</x:v>
      </x:c>
      <x:c r="D2595" t="str"/>
      <x:c r="E2595" t="str"/>
      <x:c r="F2595" t="n">
        <x:v>0</x:v>
      </x:c>
      <x:c r="G2595" t="n">
        <x:v>0</x:v>
      </x:c>
      <x:c r="H2595" t="n">
        <x:f>ROUND(F2595*G2595/100,2)</x:f>
        <x:v>0</x:v>
      </x:c>
      <x:c r="I2595" t="n">
        <x:v>0</x:v>
      </x:c>
      <x:c r="J2595" t="n">
        <x:f>ROUND(F2595*I2595/100,2)</x:f>
        <x:v>0</x:v>
      </x:c>
      <x:c r="K2595" t="n">
        <x:v>0</x:v>
      </x:c>
      <x:c r="L2595" t="n">
        <x:f>ROUND(F2595*K2595/100,2)</x:f>
        <x:v>0</x:v>
      </x:c>
      <x:c r="M2595" t="n">
        <x:v>0</x:v>
      </x:c>
      <x:c r="N2595" t="n">
        <x:f>ROUND(F2595*M2595/100,2)</x:f>
        <x:v>0</x:v>
      </x:c>
      <x:c r="O2595" t="str"/>
    </x:row>
    <x:row r="2596" ht="23" customHeight="1">
      <x:c r="A2596" t="n">
        <x:v>433</x:v>
      </x:c>
      <x:c r="B2596" t="n">
        <x:v>217</x:v>
      </x:c>
      <x:c r="C2596" t="str">
        <x:v>午餐</x:v>
      </x:c>
      <x:c r="D2596" t="str">
        <x:v>蔬菜</x:v>
      </x:c>
      <x:c r="E2596" t="str">
        <x:v>番茄</x:v>
      </x:c>
      <x:c r="F2596" t="n">
        <x:v>160</x:v>
      </x:c>
      <x:c r="G2596" t="n">
        <x:v>20</x:v>
      </x:c>
      <x:c r="H2596" t="n">
        <x:f>ROUND(F2596*G2596/100,2)</x:f>
        <x:v>32</x:v>
      </x:c>
      <x:c r="I2596" t="n">
        <x:v>0.9</x:v>
      </x:c>
      <x:c r="J2596" t="n">
        <x:f>ROUND(F2596*I2596/100,2)</x:f>
        <x:v>1.44</x:v>
      </x:c>
      <x:c r="K2596" t="n">
        <x:v>4</x:v>
      </x:c>
      <x:c r="L2596" t="n">
        <x:f>ROUND(F2596*K2596/100,2)</x:f>
        <x:v>6.4</x:v>
      </x:c>
      <x:c r="M2596" t="n">
        <x:v>0.2</x:v>
      </x:c>
      <x:c r="N2596" t="n">
        <x:f>ROUND(F2596*M2596/100,2)</x:f>
        <x:v>0.32</x:v>
      </x:c>
      <x:c r="O2596" t="str">
        <x:v>生重</x:v>
      </x:c>
    </x:row>
    <x:row r="2597" ht="23" customHeight="1">
      <x:c r="A2597" t="n">
        <x:v>433</x:v>
      </x:c>
      <x:c r="B2597" t="n">
        <x:v>217</x:v>
      </x:c>
      <x:c r="C2597" t="str">
        <x:v>午餐</x:v>
      </x:c>
      <x:c r="D2597" t="str">
        <x:v>蔬菜</x:v>
      </x:c>
      <x:c r="E2597" t="str">
        <x:v>白萝卜</x:v>
      </x:c>
      <x:c r="F2597" t="n">
        <x:v>155</x:v>
      </x:c>
      <x:c r="G2597" t="n">
        <x:v>18</x:v>
      </x:c>
      <x:c r="H2597" t="n">
        <x:f>ROUND(F2597*G2597/100,2)</x:f>
        <x:v>27.9</x:v>
      </x:c>
      <x:c r="I2597" t="n">
        <x:v>0.6</x:v>
      </x:c>
      <x:c r="J2597" t="n">
        <x:f>ROUND(F2597*I2597/100,2)</x:f>
        <x:v>0.93</x:v>
      </x:c>
      <x:c r="K2597" t="n">
        <x:v>4</x:v>
      </x:c>
      <x:c r="L2597" t="n">
        <x:f>ROUND(F2597*K2597/100,2)</x:f>
        <x:v>6.2</x:v>
      </x:c>
      <x:c r="M2597" t="n">
        <x:v>0.1</x:v>
      </x:c>
      <x:c r="N2597" t="n">
        <x:f>ROUND(F2597*M2597/100,2)</x:f>
        <x:v>0.16</x:v>
      </x:c>
      <x:c r="O2597" t="str">
        <x:v>生重</x:v>
      </x:c>
    </x:row>
    <x:row r="2598" ht="23" customHeight="1">
      <x:c r="A2598" t="n">
        <x:v>433</x:v>
      </x:c>
      <x:c r="B2598" t="n">
        <x:v>217</x:v>
      </x:c>
      <x:c r="C2598" t="str">
        <x:v>午餐</x:v>
      </x:c>
      <x:c r="D2598" t="str">
        <x:v>主食</x:v>
      </x:c>
      <x:c r="E2598" t="str">
        <x:v>荞麦面</x:v>
      </x:c>
      <x:c r="F2598" t="n">
        <x:v>150</x:v>
      </x:c>
      <x:c r="G2598" t="n">
        <x:v>105</x:v>
      </x:c>
      <x:c r="H2598" t="n">
        <x:f>ROUND(F2598*G2598/100,2)</x:f>
        <x:v>157.5</x:v>
      </x:c>
      <x:c r="I2598" t="n">
        <x:v>4</x:v>
      </x:c>
      <x:c r="J2598" t="n">
        <x:f>ROUND(F2598*I2598/100,2)</x:f>
        <x:v>6</x:v>
      </x:c>
      <x:c r="K2598" t="n">
        <x:v>21</x:v>
      </x:c>
      <x:c r="L2598" t="n">
        <x:f>ROUND(F2598*K2598/100,2)</x:f>
        <x:v>31.5</x:v>
      </x:c>
      <x:c r="M2598" t="n">
        <x:v>0.7</x:v>
      </x:c>
      <x:c r="N2598" t="n">
        <x:f>ROUND(F2598*M2598/100,2)</x:f>
        <x:v>1.05</x:v>
      </x:c>
      <x:c r="O2598" t="str">
        <x:v>煮熟沥水重</x:v>
      </x:c>
    </x:row>
    <x:row r="2599" ht="23" customHeight="1">
      <x:c r="A2599" t="n">
        <x:v>433</x:v>
      </x:c>
      <x:c r="B2599" t="n">
        <x:v>217</x:v>
      </x:c>
      <x:c r="C2599" t="str">
        <x:v>午餐</x:v>
      </x:c>
      <x:c r="D2599" t="str">
        <x:v>油脂</x:v>
      </x:c>
      <x:c r="E2599" t="str">
        <x:v>烹调油</x:v>
      </x:c>
      <x:c r="F2599" t="n">
        <x:v>6</x:v>
      </x:c>
      <x:c r="G2599" t="n">
        <x:v>900</x:v>
      </x:c>
      <x:c r="H2599" t="n">
        <x:f>ROUND(F2599*G2599/100,2)</x:f>
        <x:v>54</x:v>
      </x:c>
      <x:c r="I2599" t="n">
        <x:v>0</x:v>
      </x:c>
      <x:c r="J2599" t="n">
        <x:f>ROUND(F2599*I2599/100,2)</x:f>
        <x:v>0</x:v>
      </x:c>
      <x:c r="K2599" t="n">
        <x:v>0</x:v>
      </x:c>
      <x:c r="L2599" t="n">
        <x:f>ROUND(F2599*K2599/100,2)</x:f>
        <x:v>0</x:v>
      </x:c>
      <x:c r="M2599" t="n">
        <x:v>100</x:v>
      </x:c>
      <x:c r="N2599" t="n">
        <x:f>ROUND(F2599*M2599/100,2)</x:f>
        <x:v>6</x:v>
      </x:c>
      <x:c r="O2599" t="str">
        <x:v>实际用油重</x:v>
      </x:c>
    </x:row>
    <x:row r="2600" ht="23" customHeight="1">
      <x:c r="A2600" t="n">
        <x:v>434</x:v>
      </x:c>
      <x:c r="B2600" t="n">
        <x:v>217</x:v>
      </x:c>
      <x:c r="C2600" t="str">
        <x:v>晚餐</x:v>
      </x:c>
      <x:c r="D2600" t="str">
        <x:v>鱼类</x:v>
      </x:c>
      <x:c r="E2600" t="str">
        <x:v>巴沙鱼</x:v>
      </x:c>
      <x:c r="F2600" t="n">
        <x:v>175</x:v>
      </x:c>
      <x:c r="G2600" t="n">
        <x:v>90</x:v>
      </x:c>
      <x:c r="H2600" t="n">
        <x:f>ROUND(F2600*G2600/100,2)</x:f>
        <x:v>157.5</x:v>
      </x:c>
      <x:c r="I2600" t="n">
        <x:v>17</x:v>
      </x:c>
      <x:c r="J2600" t="n">
        <x:f>ROUND(F2600*I2600/100,2)</x:f>
        <x:v>29.75</x:v>
      </x:c>
      <x:c r="K2600" t="n">
        <x:v>0</x:v>
      </x:c>
      <x:c r="L2600" t="n">
        <x:f>ROUND(F2600*K2600/100,2)</x:f>
        <x:v>0</x:v>
      </x:c>
      <x:c r="M2600" t="n">
        <x:v>2.3</x:v>
      </x:c>
      <x:c r="N2600" t="n">
        <x:f>ROUND(F2600*M2600/100,2)</x:f>
        <x:v>4.02</x:v>
      </x:c>
      <x:c r="O2600" t="str">
        <x:v>净鱼肉生重</x:v>
      </x:c>
    </x:row>
    <x:row r="2601" ht="23" customHeight="1">
      <x:c r="A2601" t="n">
        <x:v>434</x:v>
      </x:c>
      <x:c r="B2601" t="n">
        <x:v>217</x:v>
      </x:c>
      <x:c r="C2601" t="str">
        <x:v>晚餐</x:v>
      </x:c>
      <x:c r="D2601" t="str"/>
      <x:c r="E2601" t="str"/>
      <x:c r="F2601" t="n">
        <x:v>0</x:v>
      </x:c>
      <x:c r="G2601" t="n">
        <x:v>0</x:v>
      </x:c>
      <x:c r="H2601" t="n">
        <x:f>ROUND(F2601*G2601/100,2)</x:f>
        <x:v>0</x:v>
      </x:c>
      <x:c r="I2601" t="n">
        <x:v>0</x:v>
      </x:c>
      <x:c r="J2601" t="n">
        <x:f>ROUND(F2601*I2601/100,2)</x:f>
        <x:v>0</x:v>
      </x:c>
      <x:c r="K2601" t="n">
        <x:v>0</x:v>
      </x:c>
      <x:c r="L2601" t="n">
        <x:f>ROUND(F2601*K2601/100,2)</x:f>
        <x:v>0</x:v>
      </x:c>
      <x:c r="M2601" t="n">
        <x:v>0</x:v>
      </x:c>
      <x:c r="N2601" t="n">
        <x:f>ROUND(F2601*M2601/100,2)</x:f>
        <x:v>0</x:v>
      </x:c>
      <x:c r="O2601" t="str"/>
    </x:row>
    <x:row r="2602" ht="23" customHeight="1">
      <x:c r="A2602" t="n">
        <x:v>434</x:v>
      </x:c>
      <x:c r="B2602" t="n">
        <x:v>217</x:v>
      </x:c>
      <x:c r="C2602" t="str">
        <x:v>晚餐</x:v>
      </x:c>
      <x:c r="D2602" t="str">
        <x:v>蔬菜</x:v>
      </x:c>
      <x:c r="E2602" t="str">
        <x:v>白萝卜</x:v>
      </x:c>
      <x:c r="F2602" t="n">
        <x:v>175</x:v>
      </x:c>
      <x:c r="G2602" t="n">
        <x:v>18</x:v>
      </x:c>
      <x:c r="H2602" t="n">
        <x:f>ROUND(F2602*G2602/100,2)</x:f>
        <x:v>31.5</x:v>
      </x:c>
      <x:c r="I2602" t="n">
        <x:v>0.6</x:v>
      </x:c>
      <x:c r="J2602" t="n">
        <x:f>ROUND(F2602*I2602/100,2)</x:f>
        <x:v>1.05</x:v>
      </x:c>
      <x:c r="K2602" t="n">
        <x:v>4</x:v>
      </x:c>
      <x:c r="L2602" t="n">
        <x:f>ROUND(F2602*K2602/100,2)</x:f>
        <x:v>7</x:v>
      </x:c>
      <x:c r="M2602" t="n">
        <x:v>0.1</x:v>
      </x:c>
      <x:c r="N2602" t="n">
        <x:f>ROUND(F2602*M2602/100,2)</x:f>
        <x:v>0.18</x:v>
      </x:c>
      <x:c r="O2602" t="str">
        <x:v>生重</x:v>
      </x:c>
    </x:row>
    <x:row r="2603" ht="23" customHeight="1">
      <x:c r="A2603" t="n">
        <x:v>434</x:v>
      </x:c>
      <x:c r="B2603" t="n">
        <x:v>217</x:v>
      </x:c>
      <x:c r="C2603" t="str">
        <x:v>晚餐</x:v>
      </x:c>
      <x:c r="D2603" t="str">
        <x:v>蔬菜</x:v>
      </x:c>
      <x:c r="E2603" t="str">
        <x:v>冬瓜</x:v>
      </x:c>
      <x:c r="F2603" t="n">
        <x:v>110</x:v>
      </x:c>
      <x:c r="G2603" t="n">
        <x:v>13</x:v>
      </x:c>
      <x:c r="H2603" t="n">
        <x:f>ROUND(F2603*G2603/100,2)</x:f>
        <x:v>14.3</x:v>
      </x:c>
      <x:c r="I2603" t="n">
        <x:v>0.4</x:v>
      </x:c>
      <x:c r="J2603" t="n">
        <x:f>ROUND(F2603*I2603/100,2)</x:f>
        <x:v>0.44</x:v>
      </x:c>
      <x:c r="K2603" t="n">
        <x:v>3</x:v>
      </x:c>
      <x:c r="L2603" t="n">
        <x:f>ROUND(F2603*K2603/100,2)</x:f>
        <x:v>3.3</x:v>
      </x:c>
      <x:c r="M2603" t="n">
        <x:v>0.2</x:v>
      </x:c>
      <x:c r="N2603" t="n">
        <x:f>ROUND(F2603*M2603/100,2)</x:f>
        <x:v>0.22</x:v>
      </x:c>
      <x:c r="O2603" t="str">
        <x:v>生重</x:v>
      </x:c>
    </x:row>
    <x:row r="2604" ht="23" customHeight="1">
      <x:c r="A2604" t="n">
        <x:v>434</x:v>
      </x:c>
      <x:c r="B2604" t="n">
        <x:v>217</x:v>
      </x:c>
      <x:c r="C2604" t="str">
        <x:v>晚餐</x:v>
      </x:c>
      <x:c r="D2604" t="str">
        <x:v>主食</x:v>
      </x:c>
      <x:c r="E2604" t="str">
        <x:v>红薯</x:v>
      </x:c>
      <x:c r="F2604" t="n">
        <x:v>130</x:v>
      </x:c>
      <x:c r="G2604" t="n">
        <x:v>88</x:v>
      </x:c>
      <x:c r="H2604" t="n">
        <x:f>ROUND(F2604*G2604/100,2)</x:f>
        <x:v>114.4</x:v>
      </x:c>
      <x:c r="I2604" t="n">
        <x:v>1.6</x:v>
      </x:c>
      <x:c r="J2604" t="n">
        <x:f>ROUND(F2604*I2604/100,2)</x:f>
        <x:v>2.08</x:v>
      </x:c>
      <x:c r="K2604" t="n">
        <x:v>20.5</x:v>
      </x:c>
      <x:c r="L2604" t="n">
        <x:f>ROUND(F2604*K2604/100,2)</x:f>
        <x:v>26.65</x:v>
      </x:c>
      <x:c r="M2604" t="n">
        <x:v>0.1</x:v>
      </x:c>
      <x:c r="N2604" t="n">
        <x:f>ROUND(F2604*M2604/100,2)</x:f>
        <x:v>0.13</x:v>
      </x:c>
      <x:c r="O2604" t="str">
        <x:v>蒸熟净重</x:v>
      </x:c>
    </x:row>
    <x:row r="2605" ht="23" customHeight="1">
      <x:c r="A2605" t="n">
        <x:v>434</x:v>
      </x:c>
      <x:c r="B2605" t="n">
        <x:v>217</x:v>
      </x:c>
      <x:c r="C2605" t="str">
        <x:v>晚餐</x:v>
      </x:c>
      <x:c r="D2605" t="str">
        <x:v>油脂</x:v>
      </x:c>
      <x:c r="E2605" t="str">
        <x:v>烹调油</x:v>
      </x:c>
      <x:c r="F2605" t="n">
        <x:v>6</x:v>
      </x:c>
      <x:c r="G2605" t="n">
        <x:v>900</x:v>
      </x:c>
      <x:c r="H2605" t="n">
        <x:f>ROUND(F2605*G2605/100,2)</x:f>
        <x:v>54</x:v>
      </x:c>
      <x:c r="I2605" t="n">
        <x:v>0</x:v>
      </x:c>
      <x:c r="J2605" t="n">
        <x:f>ROUND(F2605*I2605/100,2)</x:f>
        <x:v>0</x:v>
      </x:c>
      <x:c r="K2605" t="n">
        <x:v>0</x:v>
      </x:c>
      <x:c r="L2605" t="n">
        <x:f>ROUND(F2605*K2605/100,2)</x:f>
        <x:v>0</x:v>
      </x:c>
      <x:c r="M2605" t="n">
        <x:v>100</x:v>
      </x:c>
      <x:c r="N2605" t="n">
        <x:f>ROUND(F2605*M2605/100,2)</x:f>
        <x:v>6</x:v>
      </x:c>
      <x:c r="O2605" t="str">
        <x:v>实际用油重</x:v>
      </x:c>
    </x:row>
    <x:row r="2606" ht="23" customHeight="1">
      <x:c r="A2606" t="n">
        <x:v>435</x:v>
      </x:c>
      <x:c r="B2606" t="n">
        <x:v>218</x:v>
      </x:c>
      <x:c r="C2606" t="str">
        <x:v>午餐</x:v>
      </x:c>
      <x:c r="D2606" t="str">
        <x:v>禽肉</x:v>
      </x:c>
      <x:c r="E2606" t="str">
        <x:v>鸡里脊肉</x:v>
      </x:c>
      <x:c r="F2606" t="n">
        <x:v>165</x:v>
      </x:c>
      <x:c r="G2606" t="n">
        <x:v>110</x:v>
      </x:c>
      <x:c r="H2606" t="n">
        <x:f>ROUND(F2606*G2606/100,2)</x:f>
        <x:v>181.5</x:v>
      </x:c>
      <x:c r="I2606" t="n">
        <x:v>23</x:v>
      </x:c>
      <x:c r="J2606" t="n">
        <x:f>ROUND(F2606*I2606/100,2)</x:f>
        <x:v>37.95</x:v>
      </x:c>
      <x:c r="K2606" t="n">
        <x:v>0</x:v>
      </x:c>
      <x:c r="L2606" t="n">
        <x:f>ROUND(F2606*K2606/100,2)</x:f>
        <x:v>0</x:v>
      </x:c>
      <x:c r="M2606" t="n">
        <x:v>1.8</x:v>
      </x:c>
      <x:c r="N2606" t="n">
        <x:f>ROUND(F2606*M2606/100,2)</x:f>
        <x:v>2.97</x:v>
      </x:c>
      <x:c r="O2606" t="str">
        <x:v>生重</x:v>
      </x:c>
    </x:row>
    <x:row r="2607" ht="23" customHeight="1">
      <x:c r="A2607" t="n">
        <x:v>435</x:v>
      </x:c>
      <x:c r="B2607" t="n">
        <x:v>218</x:v>
      </x:c>
      <x:c r="C2607" t="str">
        <x:v>午餐</x:v>
      </x:c>
      <x:c r="D2607" t="str"/>
      <x:c r="E2607" t="str"/>
      <x:c r="F2607" t="n">
        <x:v>0</x:v>
      </x:c>
      <x:c r="G2607" t="n">
        <x:v>0</x:v>
      </x:c>
      <x:c r="H2607" t="n">
        <x:f>ROUND(F2607*G2607/100,2)</x:f>
        <x:v>0</x:v>
      </x:c>
      <x:c r="I2607" t="n">
        <x:v>0</x:v>
      </x:c>
      <x:c r="J2607" t="n">
        <x:f>ROUND(F2607*I2607/100,2)</x:f>
        <x:v>0</x:v>
      </x:c>
      <x:c r="K2607" t="n">
        <x:v>0</x:v>
      </x:c>
      <x:c r="L2607" t="n">
        <x:f>ROUND(F2607*K2607/100,2)</x:f>
        <x:v>0</x:v>
      </x:c>
      <x:c r="M2607" t="n">
        <x:v>0</x:v>
      </x:c>
      <x:c r="N2607" t="n">
        <x:f>ROUND(F2607*M2607/100,2)</x:f>
        <x:v>0</x:v>
      </x:c>
      <x:c r="O2607" t="str"/>
    </x:row>
    <x:row r="2608" ht="23" customHeight="1">
      <x:c r="A2608" t="n">
        <x:v>435</x:v>
      </x:c>
      <x:c r="B2608" t="n">
        <x:v>218</x:v>
      </x:c>
      <x:c r="C2608" t="str">
        <x:v>午餐</x:v>
      </x:c>
      <x:c r="D2608" t="str">
        <x:v>蔬菜</x:v>
      </x:c>
      <x:c r="E2608" t="str">
        <x:v>彩椒</x:v>
      </x:c>
      <x:c r="F2608" t="n">
        <x:v>175</x:v>
      </x:c>
      <x:c r="G2608" t="n">
        <x:v>27</x:v>
      </x:c>
      <x:c r="H2608" t="n">
        <x:f>ROUND(F2608*G2608/100,2)</x:f>
        <x:v>47.25</x:v>
      </x:c>
      <x:c r="I2608" t="n">
        <x:v>1</x:v>
      </x:c>
      <x:c r="J2608" t="n">
        <x:f>ROUND(F2608*I2608/100,2)</x:f>
        <x:v>1.75</x:v>
      </x:c>
      <x:c r="K2608" t="n">
        <x:v>6.1</x:v>
      </x:c>
      <x:c r="L2608" t="n">
        <x:f>ROUND(F2608*K2608/100,2)</x:f>
        <x:v>10.68</x:v>
      </x:c>
      <x:c r="M2608" t="n">
        <x:v>0.2</x:v>
      </x:c>
      <x:c r="N2608" t="n">
        <x:f>ROUND(F2608*M2608/100,2)</x:f>
        <x:v>0.35</x:v>
      </x:c>
      <x:c r="O2608" t="str">
        <x:v>生重</x:v>
      </x:c>
    </x:row>
    <x:row r="2609" ht="23" customHeight="1">
      <x:c r="A2609" t="n">
        <x:v>435</x:v>
      </x:c>
      <x:c r="B2609" t="n">
        <x:v>218</x:v>
      </x:c>
      <x:c r="C2609" t="str">
        <x:v>午餐</x:v>
      </x:c>
      <x:c r="D2609" t="str">
        <x:v>蔬菜</x:v>
      </x:c>
      <x:c r="E2609" t="str">
        <x:v>洋葱</x:v>
      </x:c>
      <x:c r="F2609" t="n">
        <x:v>110</x:v>
      </x:c>
      <x:c r="G2609" t="n">
        <x:v>40</x:v>
      </x:c>
      <x:c r="H2609" t="n">
        <x:f>ROUND(F2609*G2609/100,2)</x:f>
        <x:v>44</x:v>
      </x:c>
      <x:c r="I2609" t="n">
        <x:v>1.1</x:v>
      </x:c>
      <x:c r="J2609" t="n">
        <x:f>ROUND(F2609*I2609/100,2)</x:f>
        <x:v>1.21</x:v>
      </x:c>
      <x:c r="K2609" t="n">
        <x:v>9.3</x:v>
      </x:c>
      <x:c r="L2609" t="n">
        <x:f>ROUND(F2609*K2609/100,2)</x:f>
        <x:v>10.23</x:v>
      </x:c>
      <x:c r="M2609" t="n">
        <x:v>0.1</x:v>
      </x:c>
      <x:c r="N2609" t="n">
        <x:f>ROUND(F2609*M2609/100,2)</x:f>
        <x:v>0.11</x:v>
      </x:c>
      <x:c r="O2609" t="str">
        <x:v>生重</x:v>
      </x:c>
    </x:row>
    <x:row r="2610" ht="23" customHeight="1">
      <x:c r="A2610" t="n">
        <x:v>435</x:v>
      </x:c>
      <x:c r="B2610" t="n">
        <x:v>218</x:v>
      </x:c>
      <x:c r="C2610" t="str">
        <x:v>午餐</x:v>
      </x:c>
      <x:c r="D2610" t="str">
        <x:v>主食</x:v>
      </x:c>
      <x:c r="E2610" t="str">
        <x:v>荞麦面</x:v>
      </x:c>
      <x:c r="F2610" t="n">
        <x:v>165</x:v>
      </x:c>
      <x:c r="G2610" t="n">
        <x:v>105</x:v>
      </x:c>
      <x:c r="H2610" t="n">
        <x:f>ROUND(F2610*G2610/100,2)</x:f>
        <x:v>173.25</x:v>
      </x:c>
      <x:c r="I2610" t="n">
        <x:v>4</x:v>
      </x:c>
      <x:c r="J2610" t="n">
        <x:f>ROUND(F2610*I2610/100,2)</x:f>
        <x:v>6.6</x:v>
      </x:c>
      <x:c r="K2610" t="n">
        <x:v>21</x:v>
      </x:c>
      <x:c r="L2610" t="n">
        <x:f>ROUND(F2610*K2610/100,2)</x:f>
        <x:v>34.65</x:v>
      </x:c>
      <x:c r="M2610" t="n">
        <x:v>0.7</x:v>
      </x:c>
      <x:c r="N2610" t="n">
        <x:f>ROUND(F2610*M2610/100,2)</x:f>
        <x:v>1.15</x:v>
      </x:c>
      <x:c r="O2610" t="str">
        <x:v>煮熟沥水重</x:v>
      </x:c>
    </x:row>
    <x:row r="2611" ht="23" customHeight="1">
      <x:c r="A2611" t="n">
        <x:v>435</x:v>
      </x:c>
      <x:c r="B2611" t="n">
        <x:v>218</x:v>
      </x:c>
      <x:c r="C2611" t="str">
        <x:v>午餐</x:v>
      </x:c>
      <x:c r="D2611" t="str">
        <x:v>油脂</x:v>
      </x:c>
      <x:c r="E2611" t="str">
        <x:v>烹调油</x:v>
      </x:c>
      <x:c r="F2611" t="n">
        <x:v>3</x:v>
      </x:c>
      <x:c r="G2611" t="n">
        <x:v>900</x:v>
      </x:c>
      <x:c r="H2611" t="n">
        <x:f>ROUND(F2611*G2611/100,2)</x:f>
        <x:v>27</x:v>
      </x:c>
      <x:c r="I2611" t="n">
        <x:v>0</x:v>
      </x:c>
      <x:c r="J2611" t="n">
        <x:f>ROUND(F2611*I2611/100,2)</x:f>
        <x:v>0</x:v>
      </x:c>
      <x:c r="K2611" t="n">
        <x:v>0</x:v>
      </x:c>
      <x:c r="L2611" t="n">
        <x:f>ROUND(F2611*K2611/100,2)</x:f>
        <x:v>0</x:v>
      </x:c>
      <x:c r="M2611" t="n">
        <x:v>100</x:v>
      </x:c>
      <x:c r="N2611" t="n">
        <x:f>ROUND(F2611*M2611/100,2)</x:f>
        <x:v>3</x:v>
      </x:c>
      <x:c r="O2611" t="str">
        <x:v>实际用油重</x:v>
      </x:c>
    </x:row>
    <x:row r="2612" ht="23" customHeight="1">
      <x:c r="A2612" t="n">
        <x:v>436</x:v>
      </x:c>
      <x:c r="B2612" t="n">
        <x:v>218</x:v>
      </x:c>
      <x:c r="C2612" t="str">
        <x:v>晚餐</x:v>
      </x:c>
      <x:c r="D2612" t="str">
        <x:v>鱼类</x:v>
      </x:c>
      <x:c r="E2612" t="str">
        <x:v>鳕鱼</x:v>
      </x:c>
      <x:c r="F2612" t="n">
        <x:v>200</x:v>
      </x:c>
      <x:c r="G2612" t="n">
        <x:v>85</x:v>
      </x:c>
      <x:c r="H2612" t="n">
        <x:f>ROUND(F2612*G2612/100,2)</x:f>
        <x:v>170</x:v>
      </x:c>
      <x:c r="I2612" t="n">
        <x:v>18</x:v>
      </x:c>
      <x:c r="J2612" t="n">
        <x:f>ROUND(F2612*I2612/100,2)</x:f>
        <x:v>36</x:v>
      </x:c>
      <x:c r="K2612" t="n">
        <x:v>0</x:v>
      </x:c>
      <x:c r="L2612" t="n">
        <x:f>ROUND(F2612*K2612/100,2)</x:f>
        <x:v>0</x:v>
      </x:c>
      <x:c r="M2612" t="n">
        <x:v>0.8</x:v>
      </x:c>
      <x:c r="N2612" t="n">
        <x:f>ROUND(F2612*M2612/100,2)</x:f>
        <x:v>1.6</x:v>
      </x:c>
      <x:c r="O2612" t="str">
        <x:v>净鱼肉生重</x:v>
      </x:c>
    </x:row>
    <x:row r="2613" ht="23" customHeight="1">
      <x:c r="A2613" t="n">
        <x:v>436</x:v>
      </x:c>
      <x:c r="B2613" t="n">
        <x:v>218</x:v>
      </x:c>
      <x:c r="C2613" t="str">
        <x:v>晚餐</x:v>
      </x:c>
      <x:c r="D2613" t="str"/>
      <x:c r="E2613" t="str"/>
      <x:c r="F2613" t="n">
        <x:v>0</x:v>
      </x:c>
      <x:c r="G2613" t="n">
        <x:v>0</x:v>
      </x:c>
      <x:c r="H2613" t="n">
        <x:f>ROUND(F2613*G2613/100,2)</x:f>
        <x:v>0</x:v>
      </x:c>
      <x:c r="I2613" t="n">
        <x:v>0</x:v>
      </x:c>
      <x:c r="J2613" t="n">
        <x:f>ROUND(F2613*I2613/100,2)</x:f>
        <x:v>0</x:v>
      </x:c>
      <x:c r="K2613" t="n">
        <x:v>0</x:v>
      </x:c>
      <x:c r="L2613" t="n">
        <x:f>ROUND(F2613*K2613/100,2)</x:f>
        <x:v>0</x:v>
      </x:c>
      <x:c r="M2613" t="n">
        <x:v>0</x:v>
      </x:c>
      <x:c r="N2613" t="n">
        <x:f>ROUND(F2613*M2613/100,2)</x:f>
        <x:v>0</x:v>
      </x:c>
      <x:c r="O2613" t="str"/>
    </x:row>
    <x:row r="2614" ht="23" customHeight="1">
      <x:c r="A2614" t="n">
        <x:v>436</x:v>
      </x:c>
      <x:c r="B2614" t="n">
        <x:v>218</x:v>
      </x:c>
      <x:c r="C2614" t="str">
        <x:v>晚餐</x:v>
      </x:c>
      <x:c r="D2614" t="str">
        <x:v>蔬菜</x:v>
      </x:c>
      <x:c r="E2614" t="str">
        <x:v>菠菜</x:v>
      </x:c>
      <x:c r="F2614" t="n">
        <x:v>190</x:v>
      </x:c>
      <x:c r="G2614" t="n">
        <x:v>23</x:v>
      </x:c>
      <x:c r="H2614" t="n">
        <x:f>ROUND(F2614*G2614/100,2)</x:f>
        <x:v>43.7</x:v>
      </x:c>
      <x:c r="I2614" t="n">
        <x:v>2.9</x:v>
      </x:c>
      <x:c r="J2614" t="n">
        <x:f>ROUND(F2614*I2614/100,2)</x:f>
        <x:v>5.51</x:v>
      </x:c>
      <x:c r="K2614" t="n">
        <x:v>3.6</x:v>
      </x:c>
      <x:c r="L2614" t="n">
        <x:f>ROUND(F2614*K2614/100,2)</x:f>
        <x:v>6.84</x:v>
      </x:c>
      <x:c r="M2614" t="n">
        <x:v>0.4</x:v>
      </x:c>
      <x:c r="N2614" t="n">
        <x:f>ROUND(F2614*M2614/100,2)</x:f>
        <x:v>0.76</x:v>
      </x:c>
      <x:c r="O2614" t="str">
        <x:v>生重</x:v>
      </x:c>
    </x:row>
    <x:row r="2615" ht="23" customHeight="1">
      <x:c r="A2615" t="n">
        <x:v>436</x:v>
      </x:c>
      <x:c r="B2615" t="n">
        <x:v>218</x:v>
      </x:c>
      <x:c r="C2615" t="str">
        <x:v>晚餐</x:v>
      </x:c>
      <x:c r="D2615" t="str">
        <x:v>菌菇</x:v>
      </x:c>
      <x:c r="E2615" t="str">
        <x:v>泡发木耳</x:v>
      </x:c>
      <x:c r="F2615" t="n">
        <x:v>125</x:v>
      </x:c>
      <x:c r="G2615" t="n">
        <x:v>25</x:v>
      </x:c>
      <x:c r="H2615" t="n">
        <x:f>ROUND(F2615*G2615/100,2)</x:f>
        <x:v>31.25</x:v>
      </x:c>
      <x:c r="I2615" t="n">
        <x:v>1.5</x:v>
      </x:c>
      <x:c r="J2615" t="n">
        <x:f>ROUND(F2615*I2615/100,2)</x:f>
        <x:v>1.88</x:v>
      </x:c>
      <x:c r="K2615" t="n">
        <x:v>6</x:v>
      </x:c>
      <x:c r="L2615" t="n">
        <x:f>ROUND(F2615*K2615/100,2)</x:f>
        <x:v>7.5</x:v>
      </x:c>
      <x:c r="M2615" t="n">
        <x:v>0.1</x:v>
      </x:c>
      <x:c r="N2615" t="n">
        <x:f>ROUND(F2615*M2615/100,2)</x:f>
        <x:v>0.13</x:v>
      </x:c>
      <x:c r="O2615" t="str">
        <x:v>泡发沥水重</x:v>
      </x:c>
    </x:row>
    <x:row r="2616" ht="23" customHeight="1">
      <x:c r="A2616" t="n">
        <x:v>436</x:v>
      </x:c>
      <x:c r="B2616" t="n">
        <x:v>218</x:v>
      </x:c>
      <x:c r="C2616" t="str">
        <x:v>晚餐</x:v>
      </x:c>
      <x:c r="D2616" t="str">
        <x:v>主食</x:v>
      </x:c>
      <x:c r="E2616" t="str">
        <x:v>荞麦饭</x:v>
      </x:c>
      <x:c r="F2616" t="n">
        <x:v>80</x:v>
      </x:c>
      <x:c r="G2616" t="n">
        <x:v>110</x:v>
      </x:c>
      <x:c r="H2616" t="n">
        <x:f>ROUND(F2616*G2616/100,2)</x:f>
        <x:v>88</x:v>
      </x:c>
      <x:c r="I2616" t="n">
        <x:v>3.4</x:v>
      </x:c>
      <x:c r="J2616" t="n">
        <x:f>ROUND(F2616*I2616/100,2)</x:f>
        <x:v>2.72</x:v>
      </x:c>
      <x:c r="K2616" t="n">
        <x:v>22</x:v>
      </x:c>
      <x:c r="L2616" t="n">
        <x:f>ROUND(F2616*K2616/100,2)</x:f>
        <x:v>17.6</x:v>
      </x:c>
      <x:c r="M2616" t="n">
        <x:v>1.1</x:v>
      </x:c>
      <x:c r="N2616" t="n">
        <x:f>ROUND(F2616*M2616/100,2)</x:f>
        <x:v>0.88</x:v>
      </x:c>
      <x:c r="O2616" t="str">
        <x:v>熟重</x:v>
      </x:c>
    </x:row>
    <x:row r="2617" ht="23" customHeight="1">
      <x:c r="A2617" t="n">
        <x:v>436</x:v>
      </x:c>
      <x:c r="B2617" t="n">
        <x:v>218</x:v>
      </x:c>
      <x:c r="C2617" t="str">
        <x:v>晚餐</x:v>
      </x:c>
      <x:c r="D2617" t="str">
        <x:v>油脂</x:v>
      </x:c>
      <x:c r="E2617" t="str">
        <x:v>烹调油</x:v>
      </x:c>
      <x:c r="F2617" t="n">
        <x:v>4</x:v>
      </x:c>
      <x:c r="G2617" t="n">
        <x:v>900</x:v>
      </x:c>
      <x:c r="H2617" t="n">
        <x:f>ROUND(F2617*G2617/100,2)</x:f>
        <x:v>36</x:v>
      </x:c>
      <x:c r="I2617" t="n">
        <x:v>0</x:v>
      </x:c>
      <x:c r="J2617" t="n">
        <x:f>ROUND(F2617*I2617/100,2)</x:f>
        <x:v>0</x:v>
      </x:c>
      <x:c r="K2617" t="n">
        <x:v>0</x:v>
      </x:c>
      <x:c r="L2617" t="n">
        <x:f>ROUND(F2617*K2617/100,2)</x:f>
        <x:v>0</x:v>
      </x:c>
      <x:c r="M2617" t="n">
        <x:v>100</x:v>
      </x:c>
      <x:c r="N2617" t="n">
        <x:f>ROUND(F2617*M2617/100,2)</x:f>
        <x:v>4</x:v>
      </x:c>
      <x:c r="O2617" t="str">
        <x:v>实际用油重</x:v>
      </x:c>
    </x:row>
    <x:row r="2618" ht="23" customHeight="1">
      <x:c r="A2618" t="n">
        <x:v>437</x:v>
      </x:c>
      <x:c r="B2618" t="n">
        <x:v>219</x:v>
      </x:c>
      <x:c r="C2618" t="str">
        <x:v>午餐</x:v>
      </x:c>
      <x:c r="D2618" t="str">
        <x:v>鱼类</x:v>
      </x:c>
      <x:c r="E2618" t="str">
        <x:v>巴沙鱼</x:v>
      </x:c>
      <x:c r="F2618" t="n">
        <x:v>175</x:v>
      </x:c>
      <x:c r="G2618" t="n">
        <x:v>90</x:v>
      </x:c>
      <x:c r="H2618" t="n">
        <x:f>ROUND(F2618*G2618/100,2)</x:f>
        <x:v>157.5</x:v>
      </x:c>
      <x:c r="I2618" t="n">
        <x:v>17</x:v>
      </x:c>
      <x:c r="J2618" t="n">
        <x:f>ROUND(F2618*I2618/100,2)</x:f>
        <x:v>29.75</x:v>
      </x:c>
      <x:c r="K2618" t="n">
        <x:v>0</x:v>
      </x:c>
      <x:c r="L2618" t="n">
        <x:f>ROUND(F2618*K2618/100,2)</x:f>
        <x:v>0</x:v>
      </x:c>
      <x:c r="M2618" t="n">
        <x:v>2.3</x:v>
      </x:c>
      <x:c r="N2618" t="n">
        <x:f>ROUND(F2618*M2618/100,2)</x:f>
        <x:v>4.02</x:v>
      </x:c>
      <x:c r="O2618" t="str">
        <x:v>净鱼肉生重</x:v>
      </x:c>
    </x:row>
    <x:row r="2619" ht="23" customHeight="1">
      <x:c r="A2619" t="n">
        <x:v>437</x:v>
      </x:c>
      <x:c r="B2619" t="n">
        <x:v>219</x:v>
      </x:c>
      <x:c r="C2619" t="str">
        <x:v>午餐</x:v>
      </x:c>
      <x:c r="D2619" t="str"/>
      <x:c r="E2619" t="str"/>
      <x:c r="F2619" t="n">
        <x:v>0</x:v>
      </x:c>
      <x:c r="G2619" t="n">
        <x:v>0</x:v>
      </x:c>
      <x:c r="H2619" t="n">
        <x:f>ROUND(F2619*G2619/100,2)</x:f>
        <x:v>0</x:v>
      </x:c>
      <x:c r="I2619" t="n">
        <x:v>0</x:v>
      </x:c>
      <x:c r="J2619" t="n">
        <x:f>ROUND(F2619*I2619/100,2)</x:f>
        <x:v>0</x:v>
      </x:c>
      <x:c r="K2619" t="n">
        <x:v>0</x:v>
      </x:c>
      <x:c r="L2619" t="n">
        <x:f>ROUND(F2619*K2619/100,2)</x:f>
        <x:v>0</x:v>
      </x:c>
      <x:c r="M2619" t="n">
        <x:v>0</x:v>
      </x:c>
      <x:c r="N2619" t="n">
        <x:f>ROUND(F2619*M2619/100,2)</x:f>
        <x:v>0</x:v>
      </x:c>
      <x:c r="O2619" t="str"/>
    </x:row>
    <x:row r="2620" ht="23" customHeight="1">
      <x:c r="A2620" t="n">
        <x:v>437</x:v>
      </x:c>
      <x:c r="B2620" t="n">
        <x:v>219</x:v>
      </x:c>
      <x:c r="C2620" t="str">
        <x:v>午餐</x:v>
      </x:c>
      <x:c r="D2620" t="str">
        <x:v>蔬菜</x:v>
      </x:c>
      <x:c r="E2620" t="str">
        <x:v>番茄</x:v>
      </x:c>
      <x:c r="F2620" t="n">
        <x:v>140</x:v>
      </x:c>
      <x:c r="G2620" t="n">
        <x:v>20</x:v>
      </x:c>
      <x:c r="H2620" t="n">
        <x:f>ROUND(F2620*G2620/100,2)</x:f>
        <x:v>28</x:v>
      </x:c>
      <x:c r="I2620" t="n">
        <x:v>0.9</x:v>
      </x:c>
      <x:c r="J2620" t="n">
        <x:f>ROUND(F2620*I2620/100,2)</x:f>
        <x:v>1.26</x:v>
      </x:c>
      <x:c r="K2620" t="n">
        <x:v>4</x:v>
      </x:c>
      <x:c r="L2620" t="n">
        <x:f>ROUND(F2620*K2620/100,2)</x:f>
        <x:v>5.6</x:v>
      </x:c>
      <x:c r="M2620" t="n">
        <x:v>0.2</x:v>
      </x:c>
      <x:c r="N2620" t="n">
        <x:f>ROUND(F2620*M2620/100,2)</x:f>
        <x:v>0.28</x:v>
      </x:c>
      <x:c r="O2620" t="str">
        <x:v>生重</x:v>
      </x:c>
    </x:row>
    <x:row r="2621" ht="23" customHeight="1">
      <x:c r="A2621" t="n">
        <x:v>437</x:v>
      </x:c>
      <x:c r="B2621" t="n">
        <x:v>219</x:v>
      </x:c>
      <x:c r="C2621" t="str">
        <x:v>午餐</x:v>
      </x:c>
      <x:c r="D2621" t="str">
        <x:v>蔬菜</x:v>
      </x:c>
      <x:c r="E2621" t="str">
        <x:v>冬瓜</x:v>
      </x:c>
      <x:c r="F2621" t="n">
        <x:v>125</x:v>
      </x:c>
      <x:c r="G2621" t="n">
        <x:v>13</x:v>
      </x:c>
      <x:c r="H2621" t="n">
        <x:f>ROUND(F2621*G2621/100,2)</x:f>
        <x:v>16.25</x:v>
      </x:c>
      <x:c r="I2621" t="n">
        <x:v>0.4</x:v>
      </x:c>
      <x:c r="J2621" t="n">
        <x:f>ROUND(F2621*I2621/100,2)</x:f>
        <x:v>0.5</x:v>
      </x:c>
      <x:c r="K2621" t="n">
        <x:v>3</x:v>
      </x:c>
      <x:c r="L2621" t="n">
        <x:f>ROUND(F2621*K2621/100,2)</x:f>
        <x:v>3.75</x:v>
      </x:c>
      <x:c r="M2621" t="n">
        <x:v>0.2</x:v>
      </x:c>
      <x:c r="N2621" t="n">
        <x:f>ROUND(F2621*M2621/100,2)</x:f>
        <x:v>0.25</x:v>
      </x:c>
      <x:c r="O2621" t="str">
        <x:v>生重</x:v>
      </x:c>
    </x:row>
    <x:row r="2622" ht="23" customHeight="1">
      <x:c r="A2622" t="n">
        <x:v>437</x:v>
      </x:c>
      <x:c r="B2622" t="n">
        <x:v>219</x:v>
      </x:c>
      <x:c r="C2622" t="str">
        <x:v>午餐</x:v>
      </x:c>
      <x:c r="D2622" t="str">
        <x:v>主食</x:v>
      </x:c>
      <x:c r="E2622" t="str">
        <x:v>荞麦饭</x:v>
      </x:c>
      <x:c r="F2622" t="n">
        <x:v>165</x:v>
      </x:c>
      <x:c r="G2622" t="n">
        <x:v>110</x:v>
      </x:c>
      <x:c r="H2622" t="n">
        <x:f>ROUND(F2622*G2622/100,2)</x:f>
        <x:v>181.5</x:v>
      </x:c>
      <x:c r="I2622" t="n">
        <x:v>3.4</x:v>
      </x:c>
      <x:c r="J2622" t="n">
        <x:f>ROUND(F2622*I2622/100,2)</x:f>
        <x:v>5.61</x:v>
      </x:c>
      <x:c r="K2622" t="n">
        <x:v>22</x:v>
      </x:c>
      <x:c r="L2622" t="n">
        <x:f>ROUND(F2622*K2622/100,2)</x:f>
        <x:v>36.3</x:v>
      </x:c>
      <x:c r="M2622" t="n">
        <x:v>1.1</x:v>
      </x:c>
      <x:c r="N2622" t="n">
        <x:f>ROUND(F2622*M2622/100,2)</x:f>
        <x:v>1.82</x:v>
      </x:c>
      <x:c r="O2622" t="str">
        <x:v>熟重</x:v>
      </x:c>
    </x:row>
    <x:row r="2623" ht="23" customHeight="1">
      <x:c r="A2623" t="n">
        <x:v>437</x:v>
      </x:c>
      <x:c r="B2623" t="n">
        <x:v>219</x:v>
      </x:c>
      <x:c r="C2623" t="str">
        <x:v>午餐</x:v>
      </x:c>
      <x:c r="D2623" t="str">
        <x:v>油脂</x:v>
      </x:c>
      <x:c r="E2623" t="str">
        <x:v>烹调油</x:v>
      </x:c>
      <x:c r="F2623" t="n">
        <x:v>6</x:v>
      </x:c>
      <x:c r="G2623" t="n">
        <x:v>900</x:v>
      </x:c>
      <x:c r="H2623" t="n">
        <x:f>ROUND(F2623*G2623/100,2)</x:f>
        <x:v>54</x:v>
      </x:c>
      <x:c r="I2623" t="n">
        <x:v>0</x:v>
      </x:c>
      <x:c r="J2623" t="n">
        <x:f>ROUND(F2623*I2623/100,2)</x:f>
        <x:v>0</x:v>
      </x:c>
      <x:c r="K2623" t="n">
        <x:v>0</x:v>
      </x:c>
      <x:c r="L2623" t="n">
        <x:f>ROUND(F2623*K2623/100,2)</x:f>
        <x:v>0</x:v>
      </x:c>
      <x:c r="M2623" t="n">
        <x:v>100</x:v>
      </x:c>
      <x:c r="N2623" t="n">
        <x:f>ROUND(F2623*M2623/100,2)</x:f>
        <x:v>6</x:v>
      </x:c>
      <x:c r="O2623" t="str">
        <x:v>实际用油重</x:v>
      </x:c>
    </x:row>
    <x:row r="2624" ht="23" customHeight="1">
      <x:c r="A2624" t="n">
        <x:v>438</x:v>
      </x:c>
      <x:c r="B2624" t="n">
        <x:v>219</x:v>
      </x:c>
      <x:c r="C2624" t="str">
        <x:v>晚餐</x:v>
      </x:c>
      <x:c r="D2624" t="str">
        <x:v>豆蛋</x:v>
      </x:c>
      <x:c r="E2624" t="str">
        <x:v>鸡蛋</x:v>
      </x:c>
      <x:c r="F2624" t="n">
        <x:v>110</x:v>
      </x:c>
      <x:c r="G2624" t="n">
        <x:v>144</x:v>
      </x:c>
      <x:c r="H2624" t="n">
        <x:f>ROUND(F2624*G2624/100,2)</x:f>
        <x:v>158.4</x:v>
      </x:c>
      <x:c r="I2624" t="n">
        <x:v>13</x:v>
      </x:c>
      <x:c r="J2624" t="n">
        <x:f>ROUND(F2624*I2624/100,2)</x:f>
        <x:v>14.3</x:v>
      </x:c>
      <x:c r="K2624" t="n">
        <x:v>1.1</x:v>
      </x:c>
      <x:c r="L2624" t="n">
        <x:f>ROUND(F2624*K2624/100,2)</x:f>
        <x:v>1.21</x:v>
      </x:c>
      <x:c r="M2624" t="n">
        <x:v>10</x:v>
      </x:c>
      <x:c r="N2624" t="n">
        <x:f>ROUND(F2624*M2624/100,2)</x:f>
        <x:v>11</x:v>
      </x:c>
      <x:c r="O2624" t="str">
        <x:v>去壳可食重</x:v>
      </x:c>
    </x:row>
    <x:row r="2625" ht="23" customHeight="1">
      <x:c r="A2625" t="n">
        <x:v>438</x:v>
      </x:c>
      <x:c r="B2625" t="n">
        <x:v>219</x:v>
      </x:c>
      <x:c r="C2625" t="str">
        <x:v>晚餐</x:v>
      </x:c>
      <x:c r="D2625" t="str">
        <x:v>豆蛋</x:v>
      </x:c>
      <x:c r="E2625" t="str">
        <x:v>北豆腐</x:v>
      </x:c>
      <x:c r="F2625" t="n">
        <x:v>110</x:v>
      </x:c>
      <x:c r="G2625" t="n">
        <x:v>90</x:v>
      </x:c>
      <x:c r="H2625" t="n">
        <x:f>ROUND(F2625*G2625/100,2)</x:f>
        <x:v>99</x:v>
      </x:c>
      <x:c r="I2625" t="n">
        <x:v>10</x:v>
      </x:c>
      <x:c r="J2625" t="n">
        <x:f>ROUND(F2625*I2625/100,2)</x:f>
        <x:v>11</x:v>
      </x:c>
      <x:c r="K2625" t="n">
        <x:v>2</x:v>
      </x:c>
      <x:c r="L2625" t="n">
        <x:f>ROUND(F2625*K2625/100,2)</x:f>
        <x:v>2.2</x:v>
      </x:c>
      <x:c r="M2625" t="n">
        <x:v>5</x:v>
      </x:c>
      <x:c r="N2625" t="n">
        <x:f>ROUND(F2625*M2625/100,2)</x:f>
        <x:v>5.5</x:v>
      </x:c>
      <x:c r="O2625" t="str">
        <x:v>净重</x:v>
      </x:c>
    </x:row>
    <x:row r="2626" ht="23" customHeight="1">
      <x:c r="A2626" t="n">
        <x:v>438</x:v>
      </x:c>
      <x:c r="B2626" t="n">
        <x:v>219</x:v>
      </x:c>
      <x:c r="C2626" t="str">
        <x:v>晚餐</x:v>
      </x:c>
      <x:c r="D2626" t="str">
        <x:v>蔬菜</x:v>
      </x:c>
      <x:c r="E2626" t="str">
        <x:v>菠菜</x:v>
      </x:c>
      <x:c r="F2626" t="n">
        <x:v>190</x:v>
      </x:c>
      <x:c r="G2626" t="n">
        <x:v>23</x:v>
      </x:c>
      <x:c r="H2626" t="n">
        <x:f>ROUND(F2626*G2626/100,2)</x:f>
        <x:v>43.7</x:v>
      </x:c>
      <x:c r="I2626" t="n">
        <x:v>2.9</x:v>
      </x:c>
      <x:c r="J2626" t="n">
        <x:f>ROUND(F2626*I2626/100,2)</x:f>
        <x:v>5.51</x:v>
      </x:c>
      <x:c r="K2626" t="n">
        <x:v>3.6</x:v>
      </x:c>
      <x:c r="L2626" t="n">
        <x:f>ROUND(F2626*K2626/100,2)</x:f>
        <x:v>6.84</x:v>
      </x:c>
      <x:c r="M2626" t="n">
        <x:v>0.4</x:v>
      </x:c>
      <x:c r="N2626" t="n">
        <x:f>ROUND(F2626*M2626/100,2)</x:f>
        <x:v>0.76</x:v>
      </x:c>
      <x:c r="O2626" t="str">
        <x:v>生重</x:v>
      </x:c>
    </x:row>
    <x:row r="2627" ht="23" customHeight="1">
      <x:c r="A2627" t="n">
        <x:v>438</x:v>
      </x:c>
      <x:c r="B2627" t="n">
        <x:v>219</x:v>
      </x:c>
      <x:c r="C2627" t="str">
        <x:v>晚餐</x:v>
      </x:c>
      <x:c r="D2627" t="str">
        <x:v>菌菇</x:v>
      </x:c>
      <x:c r="E2627" t="str">
        <x:v>香菇</x:v>
      </x:c>
      <x:c r="F2627" t="n">
        <x:v>140</x:v>
      </x:c>
      <x:c r="G2627" t="n">
        <x:v>34</x:v>
      </x:c>
      <x:c r="H2627" t="n">
        <x:f>ROUND(F2627*G2627/100,2)</x:f>
        <x:v>47.6</x:v>
      </x:c>
      <x:c r="I2627" t="n">
        <x:v>2.2</x:v>
      </x:c>
      <x:c r="J2627" t="n">
        <x:f>ROUND(F2627*I2627/100,2)</x:f>
        <x:v>3.08</x:v>
      </x:c>
      <x:c r="K2627" t="n">
        <x:v>6.8</x:v>
      </x:c>
      <x:c r="L2627" t="n">
        <x:f>ROUND(F2627*K2627/100,2)</x:f>
        <x:v>9.52</x:v>
      </x:c>
      <x:c r="M2627" t="n">
        <x:v>0.5</x:v>
      </x:c>
      <x:c r="N2627" t="n">
        <x:f>ROUND(F2627*M2627/100,2)</x:f>
        <x:v>0.7</x:v>
      </x:c>
      <x:c r="O2627" t="str">
        <x:v>生重</x:v>
      </x:c>
    </x:row>
    <x:row r="2628" ht="23" customHeight="1">
      <x:c r="A2628" t="n">
        <x:v>438</x:v>
      </x:c>
      <x:c r="B2628" t="n">
        <x:v>219</x:v>
      </x:c>
      <x:c r="C2628" t="str">
        <x:v>晚餐</x:v>
      </x:c>
      <x:c r="D2628" t="str">
        <x:v>主食</x:v>
      </x:c>
      <x:c r="E2628" t="str">
        <x:v>荞麦面</x:v>
      </x:c>
      <x:c r="F2628" t="n">
        <x:v>110</x:v>
      </x:c>
      <x:c r="G2628" t="n">
        <x:v>105</x:v>
      </x:c>
      <x:c r="H2628" t="n">
        <x:f>ROUND(F2628*G2628/100,2)</x:f>
        <x:v>115.5</x:v>
      </x:c>
      <x:c r="I2628" t="n">
        <x:v>4</x:v>
      </x:c>
      <x:c r="J2628" t="n">
        <x:f>ROUND(F2628*I2628/100,2)</x:f>
        <x:v>4.4</x:v>
      </x:c>
      <x:c r="K2628" t="n">
        <x:v>21</x:v>
      </x:c>
      <x:c r="L2628" t="n">
        <x:f>ROUND(F2628*K2628/100,2)</x:f>
        <x:v>23.1</x:v>
      </x:c>
      <x:c r="M2628" t="n">
        <x:v>0.7</x:v>
      </x:c>
      <x:c r="N2628" t="n">
        <x:f>ROUND(F2628*M2628/100,2)</x:f>
        <x:v>0.77</x:v>
      </x:c>
      <x:c r="O2628" t="str">
        <x:v>煮熟沥水重</x:v>
      </x:c>
    </x:row>
    <x:row r="2629" ht="23" customHeight="1">
      <x:c r="A2629" t="n">
        <x:v>438</x:v>
      </x:c>
      <x:c r="B2629" t="n">
        <x:v>219</x:v>
      </x:c>
      <x:c r="C2629" t="str">
        <x:v>晚餐</x:v>
      </x:c>
      <x:c r="D2629" t="str">
        <x:v>油脂</x:v>
      </x:c>
      <x:c r="E2629" t="str">
        <x:v>烹调油</x:v>
      </x:c>
      <x:c r="F2629" t="n">
        <x:v>5</x:v>
      </x:c>
      <x:c r="G2629" t="n">
        <x:v>900</x:v>
      </x:c>
      <x:c r="H2629" t="n">
        <x:f>ROUND(F2629*G2629/100,2)</x:f>
        <x:v>45</x:v>
      </x:c>
      <x:c r="I2629" t="n">
        <x:v>0</x:v>
      </x:c>
      <x:c r="J2629" t="n">
        <x:f>ROUND(F2629*I2629/100,2)</x:f>
        <x:v>0</x:v>
      </x:c>
      <x:c r="K2629" t="n">
        <x:v>0</x:v>
      </x:c>
      <x:c r="L2629" t="n">
        <x:f>ROUND(F2629*K2629/100,2)</x:f>
        <x:v>0</x:v>
      </x:c>
      <x:c r="M2629" t="n">
        <x:v>100</x:v>
      </x:c>
      <x:c r="N2629" t="n">
        <x:f>ROUND(F2629*M2629/100,2)</x:f>
        <x:v>5</x:v>
      </x:c>
      <x:c r="O2629" t="str">
        <x:v>实际用油重</x:v>
      </x:c>
    </x:row>
    <x:row r="2630" ht="23" customHeight="1">
      <x:c r="A2630" t="n">
        <x:v>439</x:v>
      </x:c>
      <x:c r="B2630" t="n">
        <x:v>220</x:v>
      </x:c>
      <x:c r="C2630" t="str">
        <x:v>午餐</x:v>
      </x:c>
      <x:c r="D2630" t="str">
        <x:v>猪肉</x:v>
      </x:c>
      <x:c r="E2630" t="str">
        <x:v>猪里脊</x:v>
      </x:c>
      <x:c r="F2630" t="n">
        <x:v>165</x:v>
      </x:c>
      <x:c r="G2630" t="n">
        <x:v>120</x:v>
      </x:c>
      <x:c r="H2630" t="n">
        <x:f>ROUND(F2630*G2630/100,2)</x:f>
        <x:v>198</x:v>
      </x:c>
      <x:c r="I2630" t="n">
        <x:v>21</x:v>
      </x:c>
      <x:c r="J2630" t="n">
        <x:f>ROUND(F2630*I2630/100,2)</x:f>
        <x:v>34.65</x:v>
      </x:c>
      <x:c r="K2630" t="n">
        <x:v>0</x:v>
      </x:c>
      <x:c r="L2630" t="n">
        <x:f>ROUND(F2630*K2630/100,2)</x:f>
        <x:v>0</x:v>
      </x:c>
      <x:c r="M2630" t="n">
        <x:v>3.5</x:v>
      </x:c>
      <x:c r="N2630" t="n">
        <x:f>ROUND(F2630*M2630/100,2)</x:f>
        <x:v>5.78</x:v>
      </x:c>
      <x:c r="O2630" t="str">
        <x:v>生重</x:v>
      </x:c>
    </x:row>
    <x:row r="2631" ht="23" customHeight="1">
      <x:c r="A2631" t="n">
        <x:v>439</x:v>
      </x:c>
      <x:c r="B2631" t="n">
        <x:v>220</x:v>
      </x:c>
      <x:c r="C2631" t="str">
        <x:v>午餐</x:v>
      </x:c>
      <x:c r="D2631" t="str">
        <x:v>豆蛋</x:v>
      </x:c>
      <x:c r="E2631" t="str">
        <x:v>嫩豆腐</x:v>
      </x:c>
      <x:c r="F2631" t="n">
        <x:v>135</x:v>
      </x:c>
      <x:c r="G2631" t="n">
        <x:v>55</x:v>
      </x:c>
      <x:c r="H2631" t="n">
        <x:f>ROUND(F2631*G2631/100,2)</x:f>
        <x:v>74.25</x:v>
      </x:c>
      <x:c r="I2631" t="n">
        <x:v>5</x:v>
      </x:c>
      <x:c r="J2631" t="n">
        <x:f>ROUND(F2631*I2631/100,2)</x:f>
        <x:v>6.75</x:v>
      </x:c>
      <x:c r="K2631" t="n">
        <x:v>2</x:v>
      </x:c>
      <x:c r="L2631" t="n">
        <x:f>ROUND(F2631*K2631/100,2)</x:f>
        <x:v>2.7</x:v>
      </x:c>
      <x:c r="M2631" t="n">
        <x:v>2.8</x:v>
      </x:c>
      <x:c r="N2631" t="n">
        <x:f>ROUND(F2631*M2631/100,2)</x:f>
        <x:v>3.78</x:v>
      </x:c>
      <x:c r="O2631" t="str">
        <x:v>净重</x:v>
      </x:c>
    </x:row>
    <x:row r="2632" ht="23" customHeight="1">
      <x:c r="A2632" t="n">
        <x:v>439</x:v>
      </x:c>
      <x:c r="B2632" t="n">
        <x:v>220</x:v>
      </x:c>
      <x:c r="C2632" t="str">
        <x:v>午餐</x:v>
      </x:c>
      <x:c r="D2632" t="str">
        <x:v>蔬菜</x:v>
      </x:c>
      <x:c r="E2632" t="str">
        <x:v>西兰花</x:v>
      </x:c>
      <x:c r="F2632" t="n">
        <x:v>175</x:v>
      </x:c>
      <x:c r="G2632" t="n">
        <x:v>34</x:v>
      </x:c>
      <x:c r="H2632" t="n">
        <x:f>ROUND(F2632*G2632/100,2)</x:f>
        <x:v>59.5</x:v>
      </x:c>
      <x:c r="I2632" t="n">
        <x:v>2.8</x:v>
      </x:c>
      <x:c r="J2632" t="n">
        <x:f>ROUND(F2632*I2632/100,2)</x:f>
        <x:v>4.9</x:v>
      </x:c>
      <x:c r="K2632" t="n">
        <x:v>7</x:v>
      </x:c>
      <x:c r="L2632" t="n">
        <x:f>ROUND(F2632*K2632/100,2)</x:f>
        <x:v>12.25</x:v>
      </x:c>
      <x:c r="M2632" t="n">
        <x:v>0.4</x:v>
      </x:c>
      <x:c r="N2632" t="n">
        <x:f>ROUND(F2632*M2632/100,2)</x:f>
        <x:v>0.7</x:v>
      </x:c>
      <x:c r="O2632" t="str">
        <x:v>生重</x:v>
      </x:c>
    </x:row>
    <x:row r="2633" ht="23" customHeight="1">
      <x:c r="A2633" t="n">
        <x:v>439</x:v>
      </x:c>
      <x:c r="B2633" t="n">
        <x:v>220</x:v>
      </x:c>
      <x:c r="C2633" t="str">
        <x:v>午餐</x:v>
      </x:c>
      <x:c r="D2633" t="str">
        <x:v>菌菇</x:v>
      </x:c>
      <x:c r="E2633" t="str">
        <x:v>金针菇</x:v>
      </x:c>
      <x:c r="F2633" t="n">
        <x:v>125</x:v>
      </x:c>
      <x:c r="G2633" t="n">
        <x:v>32</x:v>
      </x:c>
      <x:c r="H2633" t="n">
        <x:f>ROUND(F2633*G2633/100,2)</x:f>
        <x:v>40</x:v>
      </x:c>
      <x:c r="I2633" t="n">
        <x:v>2.4</x:v>
      </x:c>
      <x:c r="J2633" t="n">
        <x:f>ROUND(F2633*I2633/100,2)</x:f>
        <x:v>3</x:v>
      </x:c>
      <x:c r="K2633" t="n">
        <x:v>6.4</x:v>
      </x:c>
      <x:c r="L2633" t="n">
        <x:f>ROUND(F2633*K2633/100,2)</x:f>
        <x:v>8</x:v>
      </x:c>
      <x:c r="M2633" t="n">
        <x:v>0.2</x:v>
      </x:c>
      <x:c r="N2633" t="n">
        <x:f>ROUND(F2633*M2633/100,2)</x:f>
        <x:v>0.25</x:v>
      </x:c>
      <x:c r="O2633" t="str">
        <x:v>生重</x:v>
      </x:c>
    </x:row>
    <x:row r="2634" ht="23" customHeight="1">
      <x:c r="A2634" t="n">
        <x:v>439</x:v>
      </x:c>
      <x:c r="B2634" t="n">
        <x:v>220</x:v>
      </x:c>
      <x:c r="C2634" t="str">
        <x:v>午餐</x:v>
      </x:c>
      <x:c r="D2634" t="str">
        <x:v>主食</x:v>
      </x:c>
      <x:c r="E2634" t="str">
        <x:v>杂粮饭</x:v>
      </x:c>
      <x:c r="F2634" t="n">
        <x:v>135</x:v>
      </x:c>
      <x:c r="G2634" t="n">
        <x:v>115</x:v>
      </x:c>
      <x:c r="H2634" t="n">
        <x:f>ROUND(F2634*G2634/100,2)</x:f>
        <x:v>155.25</x:v>
      </x:c>
      <x:c r="I2634" t="n">
        <x:v>3.1</x:v>
      </x:c>
      <x:c r="J2634" t="n">
        <x:f>ROUND(F2634*I2634/100,2)</x:f>
        <x:v>4.18</x:v>
      </x:c>
      <x:c r="K2634" t="n">
        <x:v>23.5</x:v>
      </x:c>
      <x:c r="L2634" t="n">
        <x:f>ROUND(F2634*K2634/100,2)</x:f>
        <x:v>31.73</x:v>
      </x:c>
      <x:c r="M2634" t="n">
        <x:v>1.1</x:v>
      </x:c>
      <x:c r="N2634" t="n">
        <x:f>ROUND(F2634*M2634/100,2)</x:f>
        <x:v>1.49</x:v>
      </x:c>
      <x:c r="O2634" t="str">
        <x:v>熟重</x:v>
      </x:c>
    </x:row>
    <x:row r="2635" ht="23" customHeight="1">
      <x:c r="A2635" t="n">
        <x:v>439</x:v>
      </x:c>
      <x:c r="B2635" t="n">
        <x:v>220</x:v>
      </x:c>
      <x:c r="C2635" t="str">
        <x:v>午餐</x:v>
      </x:c>
      <x:c r="D2635" t="str">
        <x:v>油脂</x:v>
      </x:c>
      <x:c r="E2635" t="str">
        <x:v>烹调油</x:v>
      </x:c>
      <x:c r="F2635" t="n">
        <x:v>5</x:v>
      </x:c>
      <x:c r="G2635" t="n">
        <x:v>900</x:v>
      </x:c>
      <x:c r="H2635" t="n">
        <x:f>ROUND(F2635*G2635/100,2)</x:f>
        <x:v>45</x:v>
      </x:c>
      <x:c r="I2635" t="n">
        <x:v>0</x:v>
      </x:c>
      <x:c r="J2635" t="n">
        <x:f>ROUND(F2635*I2635/100,2)</x:f>
        <x:v>0</x:v>
      </x:c>
      <x:c r="K2635" t="n">
        <x:v>0</x:v>
      </x:c>
      <x:c r="L2635" t="n">
        <x:f>ROUND(F2635*K2635/100,2)</x:f>
        <x:v>0</x:v>
      </x:c>
      <x:c r="M2635" t="n">
        <x:v>100</x:v>
      </x:c>
      <x:c r="N2635" t="n">
        <x:f>ROUND(F2635*M2635/100,2)</x:f>
        <x:v>5</x:v>
      </x:c>
      <x:c r="O2635" t="str">
        <x:v>实际用油重</x:v>
      </x:c>
    </x:row>
    <x:row r="2636" ht="23" customHeight="1">
      <x:c r="A2636" t="n">
        <x:v>440</x:v>
      </x:c>
      <x:c r="B2636" t="n">
        <x:v>220</x:v>
      </x:c>
      <x:c r="C2636" t="str">
        <x:v>晚餐</x:v>
      </x:c>
      <x:c r="D2636" t="str">
        <x:v>猪肉</x:v>
      </x:c>
      <x:c r="E2636" t="str">
        <x:v>猪瘦肉</x:v>
      </x:c>
      <x:c r="F2636" t="n">
        <x:v>145</x:v>
      </x:c>
      <x:c r="G2636" t="n">
        <x:v>130</x:v>
      </x:c>
      <x:c r="H2636" t="n">
        <x:f>ROUND(F2636*G2636/100,2)</x:f>
        <x:v>188.5</x:v>
      </x:c>
      <x:c r="I2636" t="n">
        <x:v>20</x:v>
      </x:c>
      <x:c r="J2636" t="n">
        <x:f>ROUND(F2636*I2636/100,2)</x:f>
        <x:v>29</x:v>
      </x:c>
      <x:c r="K2636" t="n">
        <x:v>0</x:v>
      </x:c>
      <x:c r="L2636" t="n">
        <x:f>ROUND(F2636*K2636/100,2)</x:f>
        <x:v>0</x:v>
      </x:c>
      <x:c r="M2636" t="n">
        <x:v>5.5</x:v>
      </x:c>
      <x:c r="N2636" t="n">
        <x:f>ROUND(F2636*M2636/100,2)</x:f>
        <x:v>7.98</x:v>
      </x:c>
      <x:c r="O2636" t="str">
        <x:v>生重</x:v>
      </x:c>
    </x:row>
    <x:row r="2637" ht="23" customHeight="1">
      <x:c r="A2637" t="n">
        <x:v>440</x:v>
      </x:c>
      <x:c r="B2637" t="n">
        <x:v>220</x:v>
      </x:c>
      <x:c r="C2637" t="str">
        <x:v>晚餐</x:v>
      </x:c>
      <x:c r="D2637" t="str"/>
      <x:c r="E2637" t="str"/>
      <x:c r="F2637" t="n">
        <x:v>0</x:v>
      </x:c>
      <x:c r="G2637" t="n">
        <x:v>0</x:v>
      </x:c>
      <x:c r="H2637" t="n">
        <x:f>ROUND(F2637*G2637/100,2)</x:f>
        <x:v>0</x:v>
      </x:c>
      <x:c r="I2637" t="n">
        <x:v>0</x:v>
      </x:c>
      <x:c r="J2637" t="n">
        <x:f>ROUND(F2637*I2637/100,2)</x:f>
        <x:v>0</x:v>
      </x:c>
      <x:c r="K2637" t="n">
        <x:v>0</x:v>
      </x:c>
      <x:c r="L2637" t="n">
        <x:f>ROUND(F2637*K2637/100,2)</x:f>
        <x:v>0</x:v>
      </x:c>
      <x:c r="M2637" t="n">
        <x:v>0</x:v>
      </x:c>
      <x:c r="N2637" t="n">
        <x:f>ROUND(F2637*M2637/100,2)</x:f>
        <x:v>0</x:v>
      </x:c>
      <x:c r="O2637" t="str"/>
    </x:row>
    <x:row r="2638" ht="23" customHeight="1">
      <x:c r="A2638" t="n">
        <x:v>440</x:v>
      </x:c>
      <x:c r="B2638" t="n">
        <x:v>220</x:v>
      </x:c>
      <x:c r="C2638" t="str">
        <x:v>晚餐</x:v>
      </x:c>
      <x:c r="D2638" t="str">
        <x:v>蔬菜</x:v>
      </x:c>
      <x:c r="E2638" t="str">
        <x:v>娃娃菜</x:v>
      </x:c>
      <x:c r="F2638" t="n">
        <x:v>190</x:v>
      </x:c>
      <x:c r="G2638" t="n">
        <x:v>17</x:v>
      </x:c>
      <x:c r="H2638" t="n">
        <x:f>ROUND(F2638*G2638/100,2)</x:f>
        <x:v>32.3</x:v>
      </x:c>
      <x:c r="I2638" t="n">
        <x:v>1.3</x:v>
      </x:c>
      <x:c r="J2638" t="n">
        <x:f>ROUND(F2638*I2638/100,2)</x:f>
        <x:v>2.47</x:v>
      </x:c>
      <x:c r="K2638" t="n">
        <x:v>3</x:v>
      </x:c>
      <x:c r="L2638" t="n">
        <x:f>ROUND(F2638*K2638/100,2)</x:f>
        <x:v>5.7</x:v>
      </x:c>
      <x:c r="M2638" t="n">
        <x:v>0.2</x:v>
      </x:c>
      <x:c r="N2638" t="n">
        <x:f>ROUND(F2638*M2638/100,2)</x:f>
        <x:v>0.38</x:v>
      </x:c>
      <x:c r="O2638" t="str">
        <x:v>生重</x:v>
      </x:c>
    </x:row>
    <x:row r="2639" ht="23" customHeight="1">
      <x:c r="A2639" t="n">
        <x:v>440</x:v>
      </x:c>
      <x:c r="B2639" t="n">
        <x:v>220</x:v>
      </x:c>
      <x:c r="C2639" t="str">
        <x:v>晚餐</x:v>
      </x:c>
      <x:c r="D2639" t="str">
        <x:v>蔬菜</x:v>
      </x:c>
      <x:c r="E2639" t="str">
        <x:v>莴笋</x:v>
      </x:c>
      <x:c r="F2639" t="n">
        <x:v>155</x:v>
      </x:c>
      <x:c r="G2639" t="n">
        <x:v>15</x:v>
      </x:c>
      <x:c r="H2639" t="n">
        <x:f>ROUND(F2639*G2639/100,2)</x:f>
        <x:v>23.25</x:v>
      </x:c>
      <x:c r="I2639" t="n">
        <x:v>1</x:v>
      </x:c>
      <x:c r="J2639" t="n">
        <x:f>ROUND(F2639*I2639/100,2)</x:f>
        <x:v>1.55</x:v>
      </x:c>
      <x:c r="K2639" t="n">
        <x:v>2.8</x:v>
      </x:c>
      <x:c r="L2639" t="n">
        <x:f>ROUND(F2639*K2639/100,2)</x:f>
        <x:v>4.34</x:v>
      </x:c>
      <x:c r="M2639" t="n">
        <x:v>0.1</x:v>
      </x:c>
      <x:c r="N2639" t="n">
        <x:f>ROUND(F2639*M2639/100,2)</x:f>
        <x:v>0.16</x:v>
      </x:c>
      <x:c r="O2639" t="str">
        <x:v>生重</x:v>
      </x:c>
    </x:row>
    <x:row r="2640" ht="23" customHeight="1">
      <x:c r="A2640" t="n">
        <x:v>440</x:v>
      </x:c>
      <x:c r="B2640" t="n">
        <x:v>220</x:v>
      </x:c>
      <x:c r="C2640" t="str">
        <x:v>晚餐</x:v>
      </x:c>
      <x:c r="D2640" t="str">
        <x:v>主食</x:v>
      </x:c>
      <x:c r="E2640" t="str">
        <x:v>红薯</x:v>
      </x:c>
      <x:c r="F2640" t="n">
        <x:v>95</x:v>
      </x:c>
      <x:c r="G2640" t="n">
        <x:v>88</x:v>
      </x:c>
      <x:c r="H2640" t="n">
        <x:f>ROUND(F2640*G2640/100,2)</x:f>
        <x:v>83.6</x:v>
      </x:c>
      <x:c r="I2640" t="n">
        <x:v>1.6</x:v>
      </x:c>
      <x:c r="J2640" t="n">
        <x:f>ROUND(F2640*I2640/100,2)</x:f>
        <x:v>1.52</x:v>
      </x:c>
      <x:c r="K2640" t="n">
        <x:v>20.5</x:v>
      </x:c>
      <x:c r="L2640" t="n">
        <x:f>ROUND(F2640*K2640/100,2)</x:f>
        <x:v>19.48</x:v>
      </x:c>
      <x:c r="M2640" t="n">
        <x:v>0.1</x:v>
      </x:c>
      <x:c r="N2640" t="n">
        <x:f>ROUND(F2640*M2640/100,2)</x:f>
        <x:v>0.1</x:v>
      </x:c>
      <x:c r="O2640" t="str">
        <x:v>蒸熟净重</x:v>
      </x:c>
    </x:row>
    <x:row r="2641" ht="23" customHeight="1">
      <x:c r="A2641" t="n">
        <x:v>440</x:v>
      </x:c>
      <x:c r="B2641" t="n">
        <x:v>220</x:v>
      </x:c>
      <x:c r="C2641" t="str">
        <x:v>晚餐</x:v>
      </x:c>
      <x:c r="D2641" t="str">
        <x:v>油脂</x:v>
      </x:c>
      <x:c r="E2641" t="str">
        <x:v>烹调油</x:v>
      </x:c>
      <x:c r="F2641" t="n">
        <x:v>4</x:v>
      </x:c>
      <x:c r="G2641" t="n">
        <x:v>900</x:v>
      </x:c>
      <x:c r="H2641" t="n">
        <x:f>ROUND(F2641*G2641/100,2)</x:f>
        <x:v>36</x:v>
      </x:c>
      <x:c r="I2641" t="n">
        <x:v>0</x:v>
      </x:c>
      <x:c r="J2641" t="n">
        <x:f>ROUND(F2641*I2641/100,2)</x:f>
        <x:v>0</x:v>
      </x:c>
      <x:c r="K2641" t="n">
        <x:v>0</x:v>
      </x:c>
      <x:c r="L2641" t="n">
        <x:f>ROUND(F2641*K2641/100,2)</x:f>
        <x:v>0</x:v>
      </x:c>
      <x:c r="M2641" t="n">
        <x:v>100</x:v>
      </x:c>
      <x:c r="N2641" t="n">
        <x:f>ROUND(F2641*M2641/100,2)</x:f>
        <x:v>4</x:v>
      </x:c>
      <x:c r="O2641" t="str">
        <x:v>实际用油重</x:v>
      </x:c>
    </x:row>
    <x:row r="2642" ht="23" customHeight="1">
      <x:c r="A2642" t="n">
        <x:v>441</x:v>
      </x:c>
      <x:c r="B2642" t="n">
        <x:v>221</x:v>
      </x:c>
      <x:c r="C2642" t="str">
        <x:v>午餐</x:v>
      </x:c>
      <x:c r="D2642" t="str">
        <x:v>猪肉</x:v>
      </x:c>
      <x:c r="E2642" t="str">
        <x:v>猪瘦肉</x:v>
      </x:c>
      <x:c r="F2642" t="n">
        <x:v>155</x:v>
      </x:c>
      <x:c r="G2642" t="n">
        <x:v>130</x:v>
      </x:c>
      <x:c r="H2642" t="n">
        <x:f>ROUND(F2642*G2642/100,2)</x:f>
        <x:v>201.5</x:v>
      </x:c>
      <x:c r="I2642" t="n">
        <x:v>20</x:v>
      </x:c>
      <x:c r="J2642" t="n">
        <x:f>ROUND(F2642*I2642/100,2)</x:f>
        <x:v>31</x:v>
      </x:c>
      <x:c r="K2642" t="n">
        <x:v>0</x:v>
      </x:c>
      <x:c r="L2642" t="n">
        <x:f>ROUND(F2642*K2642/100,2)</x:f>
        <x:v>0</x:v>
      </x:c>
      <x:c r="M2642" t="n">
        <x:v>5.5</x:v>
      </x:c>
      <x:c r="N2642" t="n">
        <x:f>ROUND(F2642*M2642/100,2)</x:f>
        <x:v>8.53</x:v>
      </x:c>
      <x:c r="O2642" t="str">
        <x:v>生重</x:v>
      </x:c>
    </x:row>
    <x:row r="2643" ht="23" customHeight="1">
      <x:c r="A2643" t="n">
        <x:v>441</x:v>
      </x:c>
      <x:c r="B2643" t="n">
        <x:v>221</x:v>
      </x:c>
      <x:c r="C2643" t="str">
        <x:v>午餐</x:v>
      </x:c>
      <x:c r="D2643" t="str"/>
      <x:c r="E2643" t="str"/>
      <x:c r="F2643" t="n">
        <x:v>0</x:v>
      </x:c>
      <x:c r="G2643" t="n">
        <x:v>0</x:v>
      </x:c>
      <x:c r="H2643" t="n">
        <x:f>ROUND(F2643*G2643/100,2)</x:f>
        <x:v>0</x:v>
      </x:c>
      <x:c r="I2643" t="n">
        <x:v>0</x:v>
      </x:c>
      <x:c r="J2643" t="n">
        <x:f>ROUND(F2643*I2643/100,2)</x:f>
        <x:v>0</x:v>
      </x:c>
      <x:c r="K2643" t="n">
        <x:v>0</x:v>
      </x:c>
      <x:c r="L2643" t="n">
        <x:f>ROUND(F2643*K2643/100,2)</x:f>
        <x:v>0</x:v>
      </x:c>
      <x:c r="M2643" t="n">
        <x:v>0</x:v>
      </x:c>
      <x:c r="N2643" t="n">
        <x:f>ROUND(F2643*M2643/100,2)</x:f>
        <x:v>0</x:v>
      </x:c>
      <x:c r="O2643" t="str"/>
    </x:row>
    <x:row r="2644" ht="23" customHeight="1">
      <x:c r="A2644" t="n">
        <x:v>441</x:v>
      </x:c>
      <x:c r="B2644" t="n">
        <x:v>221</x:v>
      </x:c>
      <x:c r="C2644" t="str">
        <x:v>午餐</x:v>
      </x:c>
      <x:c r="D2644" t="str">
        <x:v>蔬菜</x:v>
      </x:c>
      <x:c r="E2644" t="str">
        <x:v>番茄</x:v>
      </x:c>
      <x:c r="F2644" t="n">
        <x:v>190</x:v>
      </x:c>
      <x:c r="G2644" t="n">
        <x:v>20</x:v>
      </x:c>
      <x:c r="H2644" t="n">
        <x:f>ROUND(F2644*G2644/100,2)</x:f>
        <x:v>38</x:v>
      </x:c>
      <x:c r="I2644" t="n">
        <x:v>0.9</x:v>
      </x:c>
      <x:c r="J2644" t="n">
        <x:f>ROUND(F2644*I2644/100,2)</x:f>
        <x:v>1.71</x:v>
      </x:c>
      <x:c r="K2644" t="n">
        <x:v>4</x:v>
      </x:c>
      <x:c r="L2644" t="n">
        <x:f>ROUND(F2644*K2644/100,2)</x:f>
        <x:v>7.6</x:v>
      </x:c>
      <x:c r="M2644" t="n">
        <x:v>0.2</x:v>
      </x:c>
      <x:c r="N2644" t="n">
        <x:f>ROUND(F2644*M2644/100,2)</x:f>
        <x:v>0.38</x:v>
      </x:c>
      <x:c r="O2644" t="str">
        <x:v>生重</x:v>
      </x:c>
    </x:row>
    <x:row r="2645" ht="23" customHeight="1">
      <x:c r="A2645" t="n">
        <x:v>441</x:v>
      </x:c>
      <x:c r="B2645" t="n">
        <x:v>221</x:v>
      </x:c>
      <x:c r="C2645" t="str">
        <x:v>午餐</x:v>
      </x:c>
      <x:c r="D2645" t="str">
        <x:v>蔬菜</x:v>
      </x:c>
      <x:c r="E2645" t="str">
        <x:v>绿豆芽</x:v>
      </x:c>
      <x:c r="F2645" t="n">
        <x:v>155</x:v>
      </x:c>
      <x:c r="G2645" t="n">
        <x:v>31</x:v>
      </x:c>
      <x:c r="H2645" t="n">
        <x:f>ROUND(F2645*G2645/100,2)</x:f>
        <x:v>48.05</x:v>
      </x:c>
      <x:c r="I2645" t="n">
        <x:v>3</x:v>
      </x:c>
      <x:c r="J2645" t="n">
        <x:f>ROUND(F2645*I2645/100,2)</x:f>
        <x:v>4.65</x:v>
      </x:c>
      <x:c r="K2645" t="n">
        <x:v>6</x:v>
      </x:c>
      <x:c r="L2645" t="n">
        <x:f>ROUND(F2645*K2645/100,2)</x:f>
        <x:v>9.3</x:v>
      </x:c>
      <x:c r="M2645" t="n">
        <x:v>0.2</x:v>
      </x:c>
      <x:c r="N2645" t="n">
        <x:f>ROUND(F2645*M2645/100,2)</x:f>
        <x:v>0.31</x:v>
      </x:c>
      <x:c r="O2645" t="str">
        <x:v>生重</x:v>
      </x:c>
    </x:row>
    <x:row r="2646" ht="23" customHeight="1">
      <x:c r="A2646" t="n">
        <x:v>441</x:v>
      </x:c>
      <x:c r="B2646" t="n">
        <x:v>221</x:v>
      </x:c>
      <x:c r="C2646" t="str">
        <x:v>午餐</x:v>
      </x:c>
      <x:c r="D2646" t="str">
        <x:v>主食</x:v>
      </x:c>
      <x:c r="E2646" t="str">
        <x:v>荞麦饭</x:v>
      </x:c>
      <x:c r="F2646" t="n">
        <x:v>150</x:v>
      </x:c>
      <x:c r="G2646" t="n">
        <x:v>110</x:v>
      </x:c>
      <x:c r="H2646" t="n">
        <x:f>ROUND(F2646*G2646/100,2)</x:f>
        <x:v>165</x:v>
      </x:c>
      <x:c r="I2646" t="n">
        <x:v>3.4</x:v>
      </x:c>
      <x:c r="J2646" t="n">
        <x:f>ROUND(F2646*I2646/100,2)</x:f>
        <x:v>5.1</x:v>
      </x:c>
      <x:c r="K2646" t="n">
        <x:v>22</x:v>
      </x:c>
      <x:c r="L2646" t="n">
        <x:f>ROUND(F2646*K2646/100,2)</x:f>
        <x:v>33</x:v>
      </x:c>
      <x:c r="M2646" t="n">
        <x:v>1.1</x:v>
      </x:c>
      <x:c r="N2646" t="n">
        <x:f>ROUND(F2646*M2646/100,2)</x:f>
        <x:v>1.65</x:v>
      </x:c>
      <x:c r="O2646" t="str">
        <x:v>熟重</x:v>
      </x:c>
    </x:row>
    <x:row r="2647" ht="23" customHeight="1">
      <x:c r="A2647" t="n">
        <x:v>441</x:v>
      </x:c>
      <x:c r="B2647" t="n">
        <x:v>221</x:v>
      </x:c>
      <x:c r="C2647" t="str">
        <x:v>午餐</x:v>
      </x:c>
      <x:c r="D2647" t="str">
        <x:v>油脂</x:v>
      </x:c>
      <x:c r="E2647" t="str">
        <x:v>烹调油</x:v>
      </x:c>
      <x:c r="F2647" t="n">
        <x:v>4</x:v>
      </x:c>
      <x:c r="G2647" t="n">
        <x:v>900</x:v>
      </x:c>
      <x:c r="H2647" t="n">
        <x:f>ROUND(F2647*G2647/100,2)</x:f>
        <x:v>36</x:v>
      </x:c>
      <x:c r="I2647" t="n">
        <x:v>0</x:v>
      </x:c>
      <x:c r="J2647" t="n">
        <x:f>ROUND(F2647*I2647/100,2)</x:f>
        <x:v>0</x:v>
      </x:c>
      <x:c r="K2647" t="n">
        <x:v>0</x:v>
      </x:c>
      <x:c r="L2647" t="n">
        <x:f>ROUND(F2647*K2647/100,2)</x:f>
        <x:v>0</x:v>
      </x:c>
      <x:c r="M2647" t="n">
        <x:v>100</x:v>
      </x:c>
      <x:c r="N2647" t="n">
        <x:f>ROUND(F2647*M2647/100,2)</x:f>
        <x:v>4</x:v>
      </x:c>
      <x:c r="O2647" t="str">
        <x:v>实际用油重</x:v>
      </x:c>
    </x:row>
    <x:row r="2648" ht="23" customHeight="1">
      <x:c r="A2648" t="n">
        <x:v>442</x:v>
      </x:c>
      <x:c r="B2648" t="n">
        <x:v>221</x:v>
      </x:c>
      <x:c r="C2648" t="str">
        <x:v>晚餐</x:v>
      </x:c>
      <x:c r="D2648" t="str">
        <x:v>禽肉</x:v>
      </x:c>
      <x:c r="E2648" t="str">
        <x:v>鸡胸肉</x:v>
      </x:c>
      <x:c r="F2648" t="n">
        <x:v>145</x:v>
      </x:c>
      <x:c r="G2648" t="n">
        <x:v>110</x:v>
      </x:c>
      <x:c r="H2648" t="n">
        <x:f>ROUND(F2648*G2648/100,2)</x:f>
        <x:v>159.5</x:v>
      </x:c>
      <x:c r="I2648" t="n">
        <x:v>23</x:v>
      </x:c>
      <x:c r="J2648" t="n">
        <x:f>ROUND(F2648*I2648/100,2)</x:f>
        <x:v>33.35</x:v>
      </x:c>
      <x:c r="K2648" t="n">
        <x:v>0</x:v>
      </x:c>
      <x:c r="L2648" t="n">
        <x:f>ROUND(F2648*K2648/100,2)</x:f>
        <x:v>0</x:v>
      </x:c>
      <x:c r="M2648" t="n">
        <x:v>2</x:v>
      </x:c>
      <x:c r="N2648" t="n">
        <x:f>ROUND(F2648*M2648/100,2)</x:f>
        <x:v>2.9</x:v>
      </x:c>
      <x:c r="O2648" t="str">
        <x:v>生重</x:v>
      </x:c>
    </x:row>
    <x:row r="2649" ht="23" customHeight="1">
      <x:c r="A2649" t="n">
        <x:v>442</x:v>
      </x:c>
      <x:c r="B2649" t="n">
        <x:v>221</x:v>
      </x:c>
      <x:c r="C2649" t="str">
        <x:v>晚餐</x:v>
      </x:c>
      <x:c r="D2649" t="str"/>
      <x:c r="E2649" t="str"/>
      <x:c r="F2649" t="n">
        <x:v>0</x:v>
      </x:c>
      <x:c r="G2649" t="n">
        <x:v>0</x:v>
      </x:c>
      <x:c r="H2649" t="n">
        <x:f>ROUND(F2649*G2649/100,2)</x:f>
        <x:v>0</x:v>
      </x:c>
      <x:c r="I2649" t="n">
        <x:v>0</x:v>
      </x:c>
      <x:c r="J2649" t="n">
        <x:f>ROUND(F2649*I2649/100,2)</x:f>
        <x:v>0</x:v>
      </x:c>
      <x:c r="K2649" t="n">
        <x:v>0</x:v>
      </x:c>
      <x:c r="L2649" t="n">
        <x:f>ROUND(F2649*K2649/100,2)</x:f>
        <x:v>0</x:v>
      </x:c>
      <x:c r="M2649" t="n">
        <x:v>0</x:v>
      </x:c>
      <x:c r="N2649" t="n">
        <x:f>ROUND(F2649*M2649/100,2)</x:f>
        <x:v>0</x:v>
      </x:c>
      <x:c r="O2649" t="str"/>
    </x:row>
    <x:row r="2650" ht="23" customHeight="1">
      <x:c r="A2650" t="n">
        <x:v>442</x:v>
      </x:c>
      <x:c r="B2650" t="n">
        <x:v>221</x:v>
      </x:c>
      <x:c r="C2650" t="str">
        <x:v>晚餐</x:v>
      </x:c>
      <x:c r="D2650" t="str">
        <x:v>蔬菜</x:v>
      </x:c>
      <x:c r="E2650" t="str">
        <x:v>白萝卜</x:v>
      </x:c>
      <x:c r="F2650" t="n">
        <x:v>140</x:v>
      </x:c>
      <x:c r="G2650" t="n">
        <x:v>18</x:v>
      </x:c>
      <x:c r="H2650" t="n">
        <x:f>ROUND(F2650*G2650/100,2)</x:f>
        <x:v>25.2</x:v>
      </x:c>
      <x:c r="I2650" t="n">
        <x:v>0.6</x:v>
      </x:c>
      <x:c r="J2650" t="n">
        <x:f>ROUND(F2650*I2650/100,2)</x:f>
        <x:v>0.84</x:v>
      </x:c>
      <x:c r="K2650" t="n">
        <x:v>4</x:v>
      </x:c>
      <x:c r="L2650" t="n">
        <x:f>ROUND(F2650*K2650/100,2)</x:f>
        <x:v>5.6</x:v>
      </x:c>
      <x:c r="M2650" t="n">
        <x:v>0.1</x:v>
      </x:c>
      <x:c r="N2650" t="n">
        <x:f>ROUND(F2650*M2650/100,2)</x:f>
        <x:v>0.14</x:v>
      </x:c>
      <x:c r="O2650" t="str">
        <x:v>生重</x:v>
      </x:c>
    </x:row>
    <x:row r="2651" ht="23" customHeight="1">
      <x:c r="A2651" t="n">
        <x:v>442</x:v>
      </x:c>
      <x:c r="B2651" t="n">
        <x:v>221</x:v>
      </x:c>
      <x:c r="C2651" t="str">
        <x:v>晚餐</x:v>
      </x:c>
      <x:c r="D2651" t="str">
        <x:v>菌菇</x:v>
      </x:c>
      <x:c r="E2651" t="str">
        <x:v>泡发木耳</x:v>
      </x:c>
      <x:c r="F2651" t="n">
        <x:v>140</x:v>
      </x:c>
      <x:c r="G2651" t="n">
        <x:v>25</x:v>
      </x:c>
      <x:c r="H2651" t="n">
        <x:f>ROUND(F2651*G2651/100,2)</x:f>
        <x:v>35</x:v>
      </x:c>
      <x:c r="I2651" t="n">
        <x:v>1.5</x:v>
      </x:c>
      <x:c r="J2651" t="n">
        <x:f>ROUND(F2651*I2651/100,2)</x:f>
        <x:v>2.1</x:v>
      </x:c>
      <x:c r="K2651" t="n">
        <x:v>6</x:v>
      </x:c>
      <x:c r="L2651" t="n">
        <x:f>ROUND(F2651*K2651/100,2)</x:f>
        <x:v>8.4</x:v>
      </x:c>
      <x:c r="M2651" t="n">
        <x:v>0.1</x:v>
      </x:c>
      <x:c r="N2651" t="n">
        <x:f>ROUND(F2651*M2651/100,2)</x:f>
        <x:v>0.14</x:v>
      </x:c>
      <x:c r="O2651" t="str">
        <x:v>泡发沥水重</x:v>
      </x:c>
    </x:row>
    <x:row r="2652" ht="23" customHeight="1">
      <x:c r="A2652" t="n">
        <x:v>442</x:v>
      </x:c>
      <x:c r="B2652" t="n">
        <x:v>221</x:v>
      </x:c>
      <x:c r="C2652" t="str">
        <x:v>晚餐</x:v>
      </x:c>
      <x:c r="D2652" t="str">
        <x:v>主食</x:v>
      </x:c>
      <x:c r="E2652" t="str">
        <x:v>燕麦饭</x:v>
      </x:c>
      <x:c r="F2652" t="n">
        <x:v>95</x:v>
      </x:c>
      <x:c r="G2652" t="n">
        <x:v>110</x:v>
      </x:c>
      <x:c r="H2652" t="n">
        <x:f>ROUND(F2652*G2652/100,2)</x:f>
        <x:v>104.5</x:v>
      </x:c>
      <x:c r="I2652" t="n">
        <x:v>3.2</x:v>
      </x:c>
      <x:c r="J2652" t="n">
        <x:f>ROUND(F2652*I2652/100,2)</x:f>
        <x:v>3.04</x:v>
      </x:c>
      <x:c r="K2652" t="n">
        <x:v>21</x:v>
      </x:c>
      <x:c r="L2652" t="n">
        <x:f>ROUND(F2652*K2652/100,2)</x:f>
        <x:v>19.95</x:v>
      </x:c>
      <x:c r="M2652" t="n">
        <x:v>1.8</x:v>
      </x:c>
      <x:c r="N2652" t="n">
        <x:f>ROUND(F2652*M2652/100,2)</x:f>
        <x:v>1.71</x:v>
      </x:c>
      <x:c r="O2652" t="str">
        <x:v>熟重</x:v>
      </x:c>
    </x:row>
    <x:row r="2653" ht="23" customHeight="1">
      <x:c r="A2653" t="n">
        <x:v>442</x:v>
      </x:c>
      <x:c r="B2653" t="n">
        <x:v>221</x:v>
      </x:c>
      <x:c r="C2653" t="str">
        <x:v>晚餐</x:v>
      </x:c>
      <x:c r="D2653" t="str">
        <x:v>油脂</x:v>
      </x:c>
      <x:c r="E2653" t="str">
        <x:v>烹调油</x:v>
      </x:c>
      <x:c r="F2653" t="n">
        <x:v>6</x:v>
      </x:c>
      <x:c r="G2653" t="n">
        <x:v>900</x:v>
      </x:c>
      <x:c r="H2653" t="n">
        <x:f>ROUND(F2653*G2653/100,2)</x:f>
        <x:v>54</x:v>
      </x:c>
      <x:c r="I2653" t="n">
        <x:v>0</x:v>
      </x:c>
      <x:c r="J2653" t="n">
        <x:f>ROUND(F2653*I2653/100,2)</x:f>
        <x:v>0</x:v>
      </x:c>
      <x:c r="K2653" t="n">
        <x:v>0</x:v>
      </x:c>
      <x:c r="L2653" t="n">
        <x:f>ROUND(F2653*K2653/100,2)</x:f>
        <x:v>0</x:v>
      </x:c>
      <x:c r="M2653" t="n">
        <x:v>100</x:v>
      </x:c>
      <x:c r="N2653" t="n">
        <x:f>ROUND(F2653*M2653/100,2)</x:f>
        <x:v>6</x:v>
      </x:c>
      <x:c r="O2653" t="str">
        <x:v>实际用油重</x:v>
      </x:c>
    </x:row>
    <x:row r="2654" ht="23" customHeight="1">
      <x:c r="A2654" t="n">
        <x:v>443</x:v>
      </x:c>
      <x:c r="B2654" t="n">
        <x:v>222</x:v>
      </x:c>
      <x:c r="C2654" t="str">
        <x:v>午餐</x:v>
      </x:c>
      <x:c r="D2654" t="str">
        <x:v>牛肉</x:v>
      </x:c>
      <x:c r="E2654" t="str">
        <x:v>牛腱子</x:v>
      </x:c>
      <x:c r="F2654" t="n">
        <x:v>165</x:v>
      </x:c>
      <x:c r="G2654" t="n">
        <x:v>140</x:v>
      </x:c>
      <x:c r="H2654" t="n">
        <x:f>ROUND(F2654*G2654/100,2)</x:f>
        <x:v>231</x:v>
      </x:c>
      <x:c r="I2654" t="n">
        <x:v>21</x:v>
      </x:c>
      <x:c r="J2654" t="n">
        <x:f>ROUND(F2654*I2654/100,2)</x:f>
        <x:v>34.65</x:v>
      </x:c>
      <x:c r="K2654" t="n">
        <x:v>0</x:v>
      </x:c>
      <x:c r="L2654" t="n">
        <x:f>ROUND(F2654*K2654/100,2)</x:f>
        <x:v>0</x:v>
      </x:c>
      <x:c r="M2654" t="n">
        <x:v>6</x:v>
      </x:c>
      <x:c r="N2654" t="n">
        <x:f>ROUND(F2654*M2654/100,2)</x:f>
        <x:v>9.9</x:v>
      </x:c>
      <x:c r="O2654" t="str">
        <x:v>生重</x:v>
      </x:c>
    </x:row>
    <x:row r="2655" ht="23" customHeight="1">
      <x:c r="A2655" t="n">
        <x:v>443</x:v>
      </x:c>
      <x:c r="B2655" t="n">
        <x:v>222</x:v>
      </x:c>
      <x:c r="C2655" t="str">
        <x:v>午餐</x:v>
      </x:c>
      <x:c r="D2655" t="str"/>
      <x:c r="E2655" t="str"/>
      <x:c r="F2655" t="n">
        <x:v>0</x:v>
      </x:c>
      <x:c r="G2655" t="n">
        <x:v>0</x:v>
      </x:c>
      <x:c r="H2655" t="n">
        <x:f>ROUND(F2655*G2655/100,2)</x:f>
        <x:v>0</x:v>
      </x:c>
      <x:c r="I2655" t="n">
        <x:v>0</x:v>
      </x:c>
      <x:c r="J2655" t="n">
        <x:f>ROUND(F2655*I2655/100,2)</x:f>
        <x:v>0</x:v>
      </x:c>
      <x:c r="K2655" t="n">
        <x:v>0</x:v>
      </x:c>
      <x:c r="L2655" t="n">
        <x:f>ROUND(F2655*K2655/100,2)</x:f>
        <x:v>0</x:v>
      </x:c>
      <x:c r="M2655" t="n">
        <x:v>0</x:v>
      </x:c>
      <x:c r="N2655" t="n">
        <x:f>ROUND(F2655*M2655/100,2)</x:f>
        <x:v>0</x:v>
      </x:c>
      <x:c r="O2655" t="str"/>
    </x:row>
    <x:row r="2656" ht="23" customHeight="1">
      <x:c r="A2656" t="n">
        <x:v>443</x:v>
      </x:c>
      <x:c r="B2656" t="n">
        <x:v>222</x:v>
      </x:c>
      <x:c r="C2656" t="str">
        <x:v>午餐</x:v>
      </x:c>
      <x:c r="D2656" t="str">
        <x:v>蔬菜</x:v>
      </x:c>
      <x:c r="E2656" t="str">
        <x:v>彩椒</x:v>
      </x:c>
      <x:c r="F2656" t="n">
        <x:v>175</x:v>
      </x:c>
      <x:c r="G2656" t="n">
        <x:v>27</x:v>
      </x:c>
      <x:c r="H2656" t="n">
        <x:f>ROUND(F2656*G2656/100,2)</x:f>
        <x:v>47.25</x:v>
      </x:c>
      <x:c r="I2656" t="n">
        <x:v>1</x:v>
      </x:c>
      <x:c r="J2656" t="n">
        <x:f>ROUND(F2656*I2656/100,2)</x:f>
        <x:v>1.75</x:v>
      </x:c>
      <x:c r="K2656" t="n">
        <x:v>6.1</x:v>
      </x:c>
      <x:c r="L2656" t="n">
        <x:f>ROUND(F2656*K2656/100,2)</x:f>
        <x:v>10.68</x:v>
      </x:c>
      <x:c r="M2656" t="n">
        <x:v>0.2</x:v>
      </x:c>
      <x:c r="N2656" t="n">
        <x:f>ROUND(F2656*M2656/100,2)</x:f>
        <x:v>0.35</x:v>
      </x:c>
      <x:c r="O2656" t="str">
        <x:v>生重</x:v>
      </x:c>
    </x:row>
    <x:row r="2657" ht="23" customHeight="1">
      <x:c r="A2657" t="n">
        <x:v>443</x:v>
      </x:c>
      <x:c r="B2657" t="n">
        <x:v>222</x:v>
      </x:c>
      <x:c r="C2657" t="str">
        <x:v>午餐</x:v>
      </x:c>
      <x:c r="D2657" t="str">
        <x:v>蔬菜</x:v>
      </x:c>
      <x:c r="E2657" t="str">
        <x:v>黄瓜</x:v>
      </x:c>
      <x:c r="F2657" t="n">
        <x:v>125</x:v>
      </x:c>
      <x:c r="G2657" t="n">
        <x:v>16</x:v>
      </x:c>
      <x:c r="H2657" t="n">
        <x:f>ROUND(F2657*G2657/100,2)</x:f>
        <x:v>20</x:v>
      </x:c>
      <x:c r="I2657" t="n">
        <x:v>0.7</x:v>
      </x:c>
      <x:c r="J2657" t="n">
        <x:f>ROUND(F2657*I2657/100,2)</x:f>
        <x:v>0.88</x:v>
      </x:c>
      <x:c r="K2657" t="n">
        <x:v>3.6</x:v>
      </x:c>
      <x:c r="L2657" t="n">
        <x:f>ROUND(F2657*K2657/100,2)</x:f>
        <x:v>4.5</x:v>
      </x:c>
      <x:c r="M2657" t="n">
        <x:v>0.1</x:v>
      </x:c>
      <x:c r="N2657" t="n">
        <x:f>ROUND(F2657*M2657/100,2)</x:f>
        <x:v>0.13</x:v>
      </x:c>
      <x:c r="O2657" t="str">
        <x:v>生重</x:v>
      </x:c>
    </x:row>
    <x:row r="2658" ht="23" customHeight="1">
      <x:c r="A2658" t="n">
        <x:v>443</x:v>
      </x:c>
      <x:c r="B2658" t="n">
        <x:v>222</x:v>
      </x:c>
      <x:c r="C2658" t="str">
        <x:v>午餐</x:v>
      </x:c>
      <x:c r="D2658" t="str">
        <x:v>主食</x:v>
      </x:c>
      <x:c r="E2658" t="str">
        <x:v>荞麦面</x:v>
      </x:c>
      <x:c r="F2658" t="n">
        <x:v>110</x:v>
      </x:c>
      <x:c r="G2658" t="n">
        <x:v>105</x:v>
      </x:c>
      <x:c r="H2658" t="n">
        <x:f>ROUND(F2658*G2658/100,2)</x:f>
        <x:v>115.5</x:v>
      </x:c>
      <x:c r="I2658" t="n">
        <x:v>4</x:v>
      </x:c>
      <x:c r="J2658" t="n">
        <x:f>ROUND(F2658*I2658/100,2)</x:f>
        <x:v>4.4</x:v>
      </x:c>
      <x:c r="K2658" t="n">
        <x:v>21</x:v>
      </x:c>
      <x:c r="L2658" t="n">
        <x:f>ROUND(F2658*K2658/100,2)</x:f>
        <x:v>23.1</x:v>
      </x:c>
      <x:c r="M2658" t="n">
        <x:v>0.7</x:v>
      </x:c>
      <x:c r="N2658" t="n">
        <x:f>ROUND(F2658*M2658/100,2)</x:f>
        <x:v>0.77</x:v>
      </x:c>
      <x:c r="O2658" t="str">
        <x:v>煮熟沥水重</x:v>
      </x:c>
    </x:row>
    <x:row r="2659" ht="23" customHeight="1">
      <x:c r="A2659" t="n">
        <x:v>443</x:v>
      </x:c>
      <x:c r="B2659" t="n">
        <x:v>222</x:v>
      </x:c>
      <x:c r="C2659" t="str">
        <x:v>午餐</x:v>
      </x:c>
      <x:c r="D2659" t="str">
        <x:v>油脂</x:v>
      </x:c>
      <x:c r="E2659" t="str">
        <x:v>烹调油</x:v>
      </x:c>
      <x:c r="F2659" t="n">
        <x:v>4</x:v>
      </x:c>
      <x:c r="G2659" t="n">
        <x:v>900</x:v>
      </x:c>
      <x:c r="H2659" t="n">
        <x:f>ROUND(F2659*G2659/100,2)</x:f>
        <x:v>36</x:v>
      </x:c>
      <x:c r="I2659" t="n">
        <x:v>0</x:v>
      </x:c>
      <x:c r="J2659" t="n">
        <x:f>ROUND(F2659*I2659/100,2)</x:f>
        <x:v>0</x:v>
      </x:c>
      <x:c r="K2659" t="n">
        <x:v>0</x:v>
      </x:c>
      <x:c r="L2659" t="n">
        <x:f>ROUND(F2659*K2659/100,2)</x:f>
        <x:v>0</x:v>
      </x:c>
      <x:c r="M2659" t="n">
        <x:v>100</x:v>
      </x:c>
      <x:c r="N2659" t="n">
        <x:f>ROUND(F2659*M2659/100,2)</x:f>
        <x:v>4</x:v>
      </x:c>
      <x:c r="O2659" t="str">
        <x:v>实际用油重</x:v>
      </x:c>
    </x:row>
    <x:row r="2660" ht="23" customHeight="1">
      <x:c r="A2660" t="n">
        <x:v>444</x:v>
      </x:c>
      <x:c r="B2660" t="n">
        <x:v>222</x:v>
      </x:c>
      <x:c r="C2660" t="str">
        <x:v>晚餐</x:v>
      </x:c>
      <x:c r="D2660" t="str">
        <x:v>禽肉</x:v>
      </x:c>
      <x:c r="E2660" t="str">
        <x:v>鸡胸肉</x:v>
      </x:c>
      <x:c r="F2660" t="n">
        <x:v>170</x:v>
      </x:c>
      <x:c r="G2660" t="n">
        <x:v>110</x:v>
      </x:c>
      <x:c r="H2660" t="n">
        <x:f>ROUND(F2660*G2660/100,2)</x:f>
        <x:v>187</x:v>
      </x:c>
      <x:c r="I2660" t="n">
        <x:v>23</x:v>
      </x:c>
      <x:c r="J2660" t="n">
        <x:f>ROUND(F2660*I2660/100,2)</x:f>
        <x:v>39.1</x:v>
      </x:c>
      <x:c r="K2660" t="n">
        <x:v>0</x:v>
      </x:c>
      <x:c r="L2660" t="n">
        <x:f>ROUND(F2660*K2660/100,2)</x:f>
        <x:v>0</x:v>
      </x:c>
      <x:c r="M2660" t="n">
        <x:v>2</x:v>
      </x:c>
      <x:c r="N2660" t="n">
        <x:f>ROUND(F2660*M2660/100,2)</x:f>
        <x:v>3.4</x:v>
      </x:c>
      <x:c r="O2660" t="str">
        <x:v>生重</x:v>
      </x:c>
    </x:row>
    <x:row r="2661" ht="23" customHeight="1">
      <x:c r="A2661" t="n">
        <x:v>444</x:v>
      </x:c>
      <x:c r="B2661" t="n">
        <x:v>222</x:v>
      </x:c>
      <x:c r="C2661" t="str">
        <x:v>晚餐</x:v>
      </x:c>
      <x:c r="D2661" t="str"/>
      <x:c r="E2661" t="str"/>
      <x:c r="F2661" t="n">
        <x:v>0</x:v>
      </x:c>
      <x:c r="G2661" t="n">
        <x:v>0</x:v>
      </x:c>
      <x:c r="H2661" t="n">
        <x:f>ROUND(F2661*G2661/100,2)</x:f>
        <x:v>0</x:v>
      </x:c>
      <x:c r="I2661" t="n">
        <x:v>0</x:v>
      </x:c>
      <x:c r="J2661" t="n">
        <x:f>ROUND(F2661*I2661/100,2)</x:f>
        <x:v>0</x:v>
      </x:c>
      <x:c r="K2661" t="n">
        <x:v>0</x:v>
      </x:c>
      <x:c r="L2661" t="n">
        <x:f>ROUND(F2661*K2661/100,2)</x:f>
        <x:v>0</x:v>
      </x:c>
      <x:c r="M2661" t="n">
        <x:v>0</x:v>
      </x:c>
      <x:c r="N2661" t="n">
        <x:f>ROUND(F2661*M2661/100,2)</x:f>
        <x:v>0</x:v>
      </x:c>
      <x:c r="O2661" t="str"/>
    </x:row>
    <x:row r="2662" ht="23" customHeight="1">
      <x:c r="A2662" t="n">
        <x:v>444</x:v>
      </x:c>
      <x:c r="B2662" t="n">
        <x:v>222</x:v>
      </x:c>
      <x:c r="C2662" t="str">
        <x:v>晚餐</x:v>
      </x:c>
      <x:c r="D2662" t="str">
        <x:v>蔬菜</x:v>
      </x:c>
      <x:c r="E2662" t="str">
        <x:v>小白菜</x:v>
      </x:c>
      <x:c r="F2662" t="n">
        <x:v>140</x:v>
      </x:c>
      <x:c r="G2662" t="n">
        <x:v>17</x:v>
      </x:c>
      <x:c r="H2662" t="n">
        <x:f>ROUND(F2662*G2662/100,2)</x:f>
        <x:v>23.8</x:v>
      </x:c>
      <x:c r="I2662" t="n">
        <x:v>1.6</x:v>
      </x:c>
      <x:c r="J2662" t="n">
        <x:f>ROUND(F2662*I2662/100,2)</x:f>
        <x:v>2.24</x:v>
      </x:c>
      <x:c r="K2662" t="n">
        <x:v>2.8</x:v>
      </x:c>
      <x:c r="L2662" t="n">
        <x:f>ROUND(F2662*K2662/100,2)</x:f>
        <x:v>3.92</x:v>
      </x:c>
      <x:c r="M2662" t="n">
        <x:v>0.2</x:v>
      </x:c>
      <x:c r="N2662" t="n">
        <x:f>ROUND(F2662*M2662/100,2)</x:f>
        <x:v>0.28</x:v>
      </x:c>
      <x:c r="O2662" t="str">
        <x:v>生重</x:v>
      </x:c>
    </x:row>
    <x:row r="2663" ht="23" customHeight="1">
      <x:c r="A2663" t="n">
        <x:v>444</x:v>
      </x:c>
      <x:c r="B2663" t="n">
        <x:v>222</x:v>
      </x:c>
      <x:c r="C2663" t="str">
        <x:v>晚餐</x:v>
      </x:c>
      <x:c r="D2663" t="str">
        <x:v>蔬菜</x:v>
      </x:c>
      <x:c r="E2663" t="str">
        <x:v>黄瓜</x:v>
      </x:c>
      <x:c r="F2663" t="n">
        <x:v>140</x:v>
      </x:c>
      <x:c r="G2663" t="n">
        <x:v>16</x:v>
      </x:c>
      <x:c r="H2663" t="n">
        <x:f>ROUND(F2663*G2663/100,2)</x:f>
        <x:v>22.4</x:v>
      </x:c>
      <x:c r="I2663" t="n">
        <x:v>0.7</x:v>
      </x:c>
      <x:c r="J2663" t="n">
        <x:f>ROUND(F2663*I2663/100,2)</x:f>
        <x:v>0.98</x:v>
      </x:c>
      <x:c r="K2663" t="n">
        <x:v>3.6</x:v>
      </x:c>
      <x:c r="L2663" t="n">
        <x:f>ROUND(F2663*K2663/100,2)</x:f>
        <x:v>5.04</x:v>
      </x:c>
      <x:c r="M2663" t="n">
        <x:v>0.1</x:v>
      </x:c>
      <x:c r="N2663" t="n">
        <x:f>ROUND(F2663*M2663/100,2)</x:f>
        <x:v>0.14</x:v>
      </x:c>
      <x:c r="O2663" t="str">
        <x:v>生重</x:v>
      </x:c>
    </x:row>
    <x:row r="2664" ht="23" customHeight="1">
      <x:c r="A2664" t="n">
        <x:v>444</x:v>
      </x:c>
      <x:c r="B2664" t="n">
        <x:v>222</x:v>
      </x:c>
      <x:c r="C2664" t="str">
        <x:v>晚餐</x:v>
      </x:c>
      <x:c r="D2664" t="str">
        <x:v>主食</x:v>
      </x:c>
      <x:c r="E2664" t="str">
        <x:v>藜麦饭</x:v>
      </x:c>
      <x:c r="F2664" t="n">
        <x:v>135</x:v>
      </x:c>
      <x:c r="G2664" t="n">
        <x:v>120</x:v>
      </x:c>
      <x:c r="H2664" t="n">
        <x:f>ROUND(F2664*G2664/100,2)</x:f>
        <x:v>162</x:v>
      </x:c>
      <x:c r="I2664" t="n">
        <x:v>4.4</x:v>
      </x:c>
      <x:c r="J2664" t="n">
        <x:f>ROUND(F2664*I2664/100,2)</x:f>
        <x:v>5.94</x:v>
      </x:c>
      <x:c r="K2664" t="n">
        <x:v>21.3</x:v>
      </x:c>
      <x:c r="L2664" t="n">
        <x:f>ROUND(F2664*K2664/100,2)</x:f>
        <x:v>28.76</x:v>
      </x:c>
      <x:c r="M2664" t="n">
        <x:v>1.9</x:v>
      </x:c>
      <x:c r="N2664" t="n">
        <x:f>ROUND(F2664*M2664/100,2)</x:f>
        <x:v>2.57</x:v>
      </x:c>
      <x:c r="O2664" t="str">
        <x:v>熟重</x:v>
      </x:c>
    </x:row>
    <x:row r="2665" ht="23" customHeight="1">
      <x:c r="A2665" t="n">
        <x:v>444</x:v>
      </x:c>
      <x:c r="B2665" t="n">
        <x:v>222</x:v>
      </x:c>
      <x:c r="C2665" t="str">
        <x:v>晚餐</x:v>
      </x:c>
      <x:c r="D2665" t="str">
        <x:v>油脂</x:v>
      </x:c>
      <x:c r="E2665" t="str">
        <x:v>烹调油</x:v>
      </x:c>
      <x:c r="F2665" t="n">
        <x:v>5</x:v>
      </x:c>
      <x:c r="G2665" t="n">
        <x:v>900</x:v>
      </x:c>
      <x:c r="H2665" t="n">
        <x:f>ROUND(F2665*G2665/100,2)</x:f>
        <x:v>45</x:v>
      </x:c>
      <x:c r="I2665" t="n">
        <x:v>0</x:v>
      </x:c>
      <x:c r="J2665" t="n">
        <x:f>ROUND(F2665*I2665/100,2)</x:f>
        <x:v>0</x:v>
      </x:c>
      <x:c r="K2665" t="n">
        <x:v>0</x:v>
      </x:c>
      <x:c r="L2665" t="n">
        <x:f>ROUND(F2665*K2665/100,2)</x:f>
        <x:v>0</x:v>
      </x:c>
      <x:c r="M2665" t="n">
        <x:v>100</x:v>
      </x:c>
      <x:c r="N2665" t="n">
        <x:f>ROUND(F2665*M2665/100,2)</x:f>
        <x:v>5</x:v>
      </x:c>
      <x:c r="O2665" t="str">
        <x:v>实际用油重</x:v>
      </x:c>
    </x:row>
    <x:row r="2666" ht="23" customHeight="1">
      <x:c r="A2666" t="n">
        <x:v>445</x:v>
      </x:c>
      <x:c r="B2666" t="n">
        <x:v>223</x:v>
      </x:c>
      <x:c r="C2666" t="str">
        <x:v>午餐</x:v>
      </x:c>
      <x:c r="D2666" t="str">
        <x:v>禽肉</x:v>
      </x:c>
      <x:c r="E2666" t="str">
        <x:v>鸡胸肉</x:v>
      </x:c>
      <x:c r="F2666" t="n">
        <x:v>175</x:v>
      </x:c>
      <x:c r="G2666" t="n">
        <x:v>110</x:v>
      </x:c>
      <x:c r="H2666" t="n">
        <x:f>ROUND(F2666*G2666/100,2)</x:f>
        <x:v>192.5</x:v>
      </x:c>
      <x:c r="I2666" t="n">
        <x:v>23</x:v>
      </x:c>
      <x:c r="J2666" t="n">
        <x:f>ROUND(F2666*I2666/100,2)</x:f>
        <x:v>40.25</x:v>
      </x:c>
      <x:c r="K2666" t="n">
        <x:v>0</x:v>
      </x:c>
      <x:c r="L2666" t="n">
        <x:f>ROUND(F2666*K2666/100,2)</x:f>
        <x:v>0</x:v>
      </x:c>
      <x:c r="M2666" t="n">
        <x:v>2</x:v>
      </x:c>
      <x:c r="N2666" t="n">
        <x:f>ROUND(F2666*M2666/100,2)</x:f>
        <x:v>3.5</x:v>
      </x:c>
      <x:c r="O2666" t="str">
        <x:v>生重</x:v>
      </x:c>
    </x:row>
    <x:row r="2667" ht="23" customHeight="1">
      <x:c r="A2667" t="n">
        <x:v>445</x:v>
      </x:c>
      <x:c r="B2667" t="n">
        <x:v>223</x:v>
      </x:c>
      <x:c r="C2667" t="str">
        <x:v>午餐</x:v>
      </x:c>
      <x:c r="D2667" t="str">
        <x:v>豆蛋</x:v>
      </x:c>
      <x:c r="E2667" t="str">
        <x:v>北豆腐</x:v>
      </x:c>
      <x:c r="F2667" t="n">
        <x:v>110</x:v>
      </x:c>
      <x:c r="G2667" t="n">
        <x:v>90</x:v>
      </x:c>
      <x:c r="H2667" t="n">
        <x:f>ROUND(F2667*G2667/100,2)</x:f>
        <x:v>99</x:v>
      </x:c>
      <x:c r="I2667" t="n">
        <x:v>10</x:v>
      </x:c>
      <x:c r="J2667" t="n">
        <x:f>ROUND(F2667*I2667/100,2)</x:f>
        <x:v>11</x:v>
      </x:c>
      <x:c r="K2667" t="n">
        <x:v>2</x:v>
      </x:c>
      <x:c r="L2667" t="n">
        <x:f>ROUND(F2667*K2667/100,2)</x:f>
        <x:v>2.2</x:v>
      </x:c>
      <x:c r="M2667" t="n">
        <x:v>5</x:v>
      </x:c>
      <x:c r="N2667" t="n">
        <x:f>ROUND(F2667*M2667/100,2)</x:f>
        <x:v>5.5</x:v>
      </x:c>
      <x:c r="O2667" t="str">
        <x:v>净重</x:v>
      </x:c>
    </x:row>
    <x:row r="2668" ht="23" customHeight="1">
      <x:c r="A2668" t="n">
        <x:v>445</x:v>
      </x:c>
      <x:c r="B2668" t="n">
        <x:v>223</x:v>
      </x:c>
      <x:c r="C2668" t="str">
        <x:v>午餐</x:v>
      </x:c>
      <x:c r="D2668" t="str">
        <x:v>蔬菜</x:v>
      </x:c>
      <x:c r="E2668" t="str">
        <x:v>菜心</x:v>
      </x:c>
      <x:c r="F2668" t="n">
        <x:v>190</x:v>
      </x:c>
      <x:c r="G2668" t="n">
        <x:v>20</x:v>
      </x:c>
      <x:c r="H2668" t="n">
        <x:f>ROUND(F2668*G2668/100,2)</x:f>
        <x:v>38</x:v>
      </x:c>
      <x:c r="I2668" t="n">
        <x:v>2</x:v>
      </x:c>
      <x:c r="J2668" t="n">
        <x:f>ROUND(F2668*I2668/100,2)</x:f>
        <x:v>3.8</x:v>
      </x:c>
      <x:c r="K2668" t="n">
        <x:v>3.5</x:v>
      </x:c>
      <x:c r="L2668" t="n">
        <x:f>ROUND(F2668*K2668/100,2)</x:f>
        <x:v>6.65</x:v>
      </x:c>
      <x:c r="M2668" t="n">
        <x:v>0.3</x:v>
      </x:c>
      <x:c r="N2668" t="n">
        <x:f>ROUND(F2668*M2668/100,2)</x:f>
        <x:v>0.57</x:v>
      </x:c>
      <x:c r="O2668" t="str">
        <x:v>生重</x:v>
      </x:c>
    </x:row>
    <x:row r="2669" ht="23" customHeight="1">
      <x:c r="A2669" t="n">
        <x:v>445</x:v>
      </x:c>
      <x:c r="B2669" t="n">
        <x:v>223</x:v>
      </x:c>
      <x:c r="C2669" t="str">
        <x:v>午餐</x:v>
      </x:c>
      <x:c r="D2669" t="str">
        <x:v>菌菇</x:v>
      </x:c>
      <x:c r="E2669" t="str">
        <x:v>香菇</x:v>
      </x:c>
      <x:c r="F2669" t="n">
        <x:v>140</x:v>
      </x:c>
      <x:c r="G2669" t="n">
        <x:v>34</x:v>
      </x:c>
      <x:c r="H2669" t="n">
        <x:f>ROUND(F2669*G2669/100,2)</x:f>
        <x:v>47.6</x:v>
      </x:c>
      <x:c r="I2669" t="n">
        <x:v>2.2</x:v>
      </x:c>
      <x:c r="J2669" t="n">
        <x:f>ROUND(F2669*I2669/100,2)</x:f>
        <x:v>3.08</x:v>
      </x:c>
      <x:c r="K2669" t="n">
        <x:v>6.8</x:v>
      </x:c>
      <x:c r="L2669" t="n">
        <x:f>ROUND(F2669*K2669/100,2)</x:f>
        <x:v>9.52</x:v>
      </x:c>
      <x:c r="M2669" t="n">
        <x:v>0.5</x:v>
      </x:c>
      <x:c r="N2669" t="n">
        <x:f>ROUND(F2669*M2669/100,2)</x:f>
        <x:v>0.7</x:v>
      </x:c>
      <x:c r="O2669" t="str">
        <x:v>生重</x:v>
      </x:c>
    </x:row>
    <x:row r="2670" ht="23" customHeight="1">
      <x:c r="A2670" t="n">
        <x:v>445</x:v>
      </x:c>
      <x:c r="B2670" t="n">
        <x:v>223</x:v>
      </x:c>
      <x:c r="C2670" t="str">
        <x:v>午餐</x:v>
      </x:c>
      <x:c r="D2670" t="str">
        <x:v>主食</x:v>
      </x:c>
      <x:c r="E2670" t="str">
        <x:v>藜麦饭</x:v>
      </x:c>
      <x:c r="F2670" t="n">
        <x:v>150</x:v>
      </x:c>
      <x:c r="G2670" t="n">
        <x:v>120</x:v>
      </x:c>
      <x:c r="H2670" t="n">
        <x:f>ROUND(F2670*G2670/100,2)</x:f>
        <x:v>180</x:v>
      </x:c>
      <x:c r="I2670" t="n">
        <x:v>4.4</x:v>
      </x:c>
      <x:c r="J2670" t="n">
        <x:f>ROUND(F2670*I2670/100,2)</x:f>
        <x:v>6.6</x:v>
      </x:c>
      <x:c r="K2670" t="n">
        <x:v>21.3</x:v>
      </x:c>
      <x:c r="L2670" t="n">
        <x:f>ROUND(F2670*K2670/100,2)</x:f>
        <x:v>31.95</x:v>
      </x:c>
      <x:c r="M2670" t="n">
        <x:v>1.9</x:v>
      </x:c>
      <x:c r="N2670" t="n">
        <x:f>ROUND(F2670*M2670/100,2)</x:f>
        <x:v>2.85</x:v>
      </x:c>
      <x:c r="O2670" t="str">
        <x:v>熟重</x:v>
      </x:c>
    </x:row>
    <x:row r="2671" ht="23" customHeight="1">
      <x:c r="A2671" t="n">
        <x:v>445</x:v>
      </x:c>
      <x:c r="B2671" t="n">
        <x:v>223</x:v>
      </x:c>
      <x:c r="C2671" t="str">
        <x:v>午餐</x:v>
      </x:c>
      <x:c r="D2671" t="str">
        <x:v>油脂</x:v>
      </x:c>
      <x:c r="E2671" t="str">
        <x:v>烹调油</x:v>
      </x:c>
      <x:c r="F2671" t="n">
        <x:v>6</x:v>
      </x:c>
      <x:c r="G2671" t="n">
        <x:v>900</x:v>
      </x:c>
      <x:c r="H2671" t="n">
        <x:f>ROUND(F2671*G2671/100,2)</x:f>
        <x:v>54</x:v>
      </x:c>
      <x:c r="I2671" t="n">
        <x:v>0</x:v>
      </x:c>
      <x:c r="J2671" t="n">
        <x:f>ROUND(F2671*I2671/100,2)</x:f>
        <x:v>0</x:v>
      </x:c>
      <x:c r="K2671" t="n">
        <x:v>0</x:v>
      </x:c>
      <x:c r="L2671" t="n">
        <x:f>ROUND(F2671*K2671/100,2)</x:f>
        <x:v>0</x:v>
      </x:c>
      <x:c r="M2671" t="n">
        <x:v>100</x:v>
      </x:c>
      <x:c r="N2671" t="n">
        <x:f>ROUND(F2671*M2671/100,2)</x:f>
        <x:v>6</x:v>
      </x:c>
      <x:c r="O2671" t="str">
        <x:v>实际用油重</x:v>
      </x:c>
    </x:row>
    <x:row r="2672" ht="23" customHeight="1">
      <x:c r="A2672" t="n">
        <x:v>446</x:v>
      </x:c>
      <x:c r="B2672" t="n">
        <x:v>223</x:v>
      </x:c>
      <x:c r="C2672" t="str">
        <x:v>晚餐</x:v>
      </x:c>
      <x:c r="D2672" t="str">
        <x:v>海鲜</x:v>
      </x:c>
      <x:c r="E2672" t="str">
        <x:v>花蛤肉</x:v>
      </x:c>
      <x:c r="F2672" t="n">
        <x:v>190</x:v>
      </x:c>
      <x:c r="G2672" t="n">
        <x:v>75</x:v>
      </x:c>
      <x:c r="H2672" t="n">
        <x:f>ROUND(F2672*G2672/100,2)</x:f>
        <x:v>142.5</x:v>
      </x:c>
      <x:c r="I2672" t="n">
        <x:v>13</x:v>
      </x:c>
      <x:c r="J2672" t="n">
        <x:f>ROUND(F2672*I2672/100,2)</x:f>
        <x:v>24.7</x:v>
      </x:c>
      <x:c r="K2672" t="n">
        <x:v>3.5</x:v>
      </x:c>
      <x:c r="L2672" t="n">
        <x:f>ROUND(F2672*K2672/100,2)</x:f>
        <x:v>6.65</x:v>
      </x:c>
      <x:c r="M2672" t="n">
        <x:v>1</x:v>
      </x:c>
      <x:c r="N2672" t="n">
        <x:f>ROUND(F2672*M2672/100,2)</x:f>
        <x:v>1.9</x:v>
      </x:c>
      <x:c r="O2672" t="str">
        <x:v>净肉生重</x:v>
      </x:c>
    </x:row>
    <x:row r="2673" ht="23" customHeight="1">
      <x:c r="A2673" t="n">
        <x:v>446</x:v>
      </x:c>
      <x:c r="B2673" t="n">
        <x:v>223</x:v>
      </x:c>
      <x:c r="C2673" t="str">
        <x:v>晚餐</x:v>
      </x:c>
      <x:c r="D2673" t="str"/>
      <x:c r="E2673" t="str"/>
      <x:c r="F2673" t="n">
        <x:v>0</x:v>
      </x:c>
      <x:c r="G2673" t="n">
        <x:v>0</x:v>
      </x:c>
      <x:c r="H2673" t="n">
        <x:f>ROUND(F2673*G2673/100,2)</x:f>
        <x:v>0</x:v>
      </x:c>
      <x:c r="I2673" t="n">
        <x:v>0</x:v>
      </x:c>
      <x:c r="J2673" t="n">
        <x:f>ROUND(F2673*I2673/100,2)</x:f>
        <x:v>0</x:v>
      </x:c>
      <x:c r="K2673" t="n">
        <x:v>0</x:v>
      </x:c>
      <x:c r="L2673" t="n">
        <x:f>ROUND(F2673*K2673/100,2)</x:f>
        <x:v>0</x:v>
      </x:c>
      <x:c r="M2673" t="n">
        <x:v>0</x:v>
      </x:c>
      <x:c r="N2673" t="n">
        <x:f>ROUND(F2673*M2673/100,2)</x:f>
        <x:v>0</x:v>
      </x:c>
      <x:c r="O2673" t="str"/>
    </x:row>
    <x:row r="2674" ht="23" customHeight="1">
      <x:c r="A2674" t="n">
        <x:v>446</x:v>
      </x:c>
      <x:c r="B2674" t="n">
        <x:v>223</x:v>
      </x:c>
      <x:c r="C2674" t="str">
        <x:v>晚餐</x:v>
      </x:c>
      <x:c r="D2674" t="str">
        <x:v>蔬菜</x:v>
      </x:c>
      <x:c r="E2674" t="str">
        <x:v>冬瓜</x:v>
      </x:c>
      <x:c r="F2674" t="n">
        <x:v>190</x:v>
      </x:c>
      <x:c r="G2674" t="n">
        <x:v>13</x:v>
      </x:c>
      <x:c r="H2674" t="n">
        <x:f>ROUND(F2674*G2674/100,2)</x:f>
        <x:v>24.7</x:v>
      </x:c>
      <x:c r="I2674" t="n">
        <x:v>0.4</x:v>
      </x:c>
      <x:c r="J2674" t="n">
        <x:f>ROUND(F2674*I2674/100,2)</x:f>
        <x:v>0.76</x:v>
      </x:c>
      <x:c r="K2674" t="n">
        <x:v>3</x:v>
      </x:c>
      <x:c r="L2674" t="n">
        <x:f>ROUND(F2674*K2674/100,2)</x:f>
        <x:v>5.7</x:v>
      </x:c>
      <x:c r="M2674" t="n">
        <x:v>0.2</x:v>
      </x:c>
      <x:c r="N2674" t="n">
        <x:f>ROUND(F2674*M2674/100,2)</x:f>
        <x:v>0.38</x:v>
      </x:c>
      <x:c r="O2674" t="str">
        <x:v>生重</x:v>
      </x:c>
    </x:row>
    <x:row r="2675" ht="23" customHeight="1">
      <x:c r="A2675" t="n">
        <x:v>446</x:v>
      </x:c>
      <x:c r="B2675" t="n">
        <x:v>223</x:v>
      </x:c>
      <x:c r="C2675" t="str">
        <x:v>晚餐</x:v>
      </x:c>
      <x:c r="D2675" t="str">
        <x:v>蔬菜</x:v>
      </x:c>
      <x:c r="E2675" t="str">
        <x:v>白萝卜</x:v>
      </x:c>
      <x:c r="F2675" t="n">
        <x:v>110</x:v>
      </x:c>
      <x:c r="G2675" t="n">
        <x:v>18</x:v>
      </x:c>
      <x:c r="H2675" t="n">
        <x:f>ROUND(F2675*G2675/100,2)</x:f>
        <x:v>19.8</x:v>
      </x:c>
      <x:c r="I2675" t="n">
        <x:v>0.6</x:v>
      </x:c>
      <x:c r="J2675" t="n">
        <x:f>ROUND(F2675*I2675/100,2)</x:f>
        <x:v>0.66</x:v>
      </x:c>
      <x:c r="K2675" t="n">
        <x:v>4</x:v>
      </x:c>
      <x:c r="L2675" t="n">
        <x:f>ROUND(F2675*K2675/100,2)</x:f>
        <x:v>4.4</x:v>
      </x:c>
      <x:c r="M2675" t="n">
        <x:v>0.1</x:v>
      </x:c>
      <x:c r="N2675" t="n">
        <x:f>ROUND(F2675*M2675/100,2)</x:f>
        <x:v>0.11</x:v>
      </x:c>
      <x:c r="O2675" t="str">
        <x:v>生重</x:v>
      </x:c>
    </x:row>
    <x:row r="2676" ht="23" customHeight="1">
      <x:c r="A2676" t="n">
        <x:v>446</x:v>
      </x:c>
      <x:c r="B2676" t="n">
        <x:v>223</x:v>
      </x:c>
      <x:c r="C2676" t="str">
        <x:v>晚餐</x:v>
      </x:c>
      <x:c r="D2676" t="str">
        <x:v>主食</x:v>
      </x:c>
      <x:c r="E2676" t="str">
        <x:v>荞麦饭</x:v>
      </x:c>
      <x:c r="F2676" t="n">
        <x:v>125</x:v>
      </x:c>
      <x:c r="G2676" t="n">
        <x:v>110</x:v>
      </x:c>
      <x:c r="H2676" t="n">
        <x:f>ROUND(F2676*G2676/100,2)</x:f>
        <x:v>137.5</x:v>
      </x:c>
      <x:c r="I2676" t="n">
        <x:v>3.4</x:v>
      </x:c>
      <x:c r="J2676" t="n">
        <x:f>ROUND(F2676*I2676/100,2)</x:f>
        <x:v>4.25</x:v>
      </x:c>
      <x:c r="K2676" t="n">
        <x:v>22</x:v>
      </x:c>
      <x:c r="L2676" t="n">
        <x:f>ROUND(F2676*K2676/100,2)</x:f>
        <x:v>27.5</x:v>
      </x:c>
      <x:c r="M2676" t="n">
        <x:v>1.1</x:v>
      </x:c>
      <x:c r="N2676" t="n">
        <x:f>ROUND(F2676*M2676/100,2)</x:f>
        <x:v>1.38</x:v>
      </x:c>
      <x:c r="O2676" t="str">
        <x:v>熟重</x:v>
      </x:c>
    </x:row>
    <x:row r="2677" ht="23" customHeight="1">
      <x:c r="A2677" t="n">
        <x:v>446</x:v>
      </x:c>
      <x:c r="B2677" t="n">
        <x:v>223</x:v>
      </x:c>
      <x:c r="C2677" t="str">
        <x:v>晚餐</x:v>
      </x:c>
      <x:c r="D2677" t="str">
        <x:v>油脂</x:v>
      </x:c>
      <x:c r="E2677" t="str">
        <x:v>烹调油</x:v>
      </x:c>
      <x:c r="F2677" t="n">
        <x:v>6</x:v>
      </x:c>
      <x:c r="G2677" t="n">
        <x:v>900</x:v>
      </x:c>
      <x:c r="H2677" t="n">
        <x:f>ROUND(F2677*G2677/100,2)</x:f>
        <x:v>54</x:v>
      </x:c>
      <x:c r="I2677" t="n">
        <x:v>0</x:v>
      </x:c>
      <x:c r="J2677" t="n">
        <x:f>ROUND(F2677*I2677/100,2)</x:f>
        <x:v>0</x:v>
      </x:c>
      <x:c r="K2677" t="n">
        <x:v>0</x:v>
      </x:c>
      <x:c r="L2677" t="n">
        <x:f>ROUND(F2677*K2677/100,2)</x:f>
        <x:v>0</x:v>
      </x:c>
      <x:c r="M2677" t="n">
        <x:v>100</x:v>
      </x:c>
      <x:c r="N2677" t="n">
        <x:f>ROUND(F2677*M2677/100,2)</x:f>
        <x:v>6</x:v>
      </x:c>
      <x:c r="O2677" t="str">
        <x:v>实际用油重</x:v>
      </x:c>
    </x:row>
    <x:row r="2678" ht="23" customHeight="1">
      <x:c r="A2678" t="n">
        <x:v>447</x:v>
      </x:c>
      <x:c r="B2678" t="n">
        <x:v>224</x:v>
      </x:c>
      <x:c r="C2678" t="str">
        <x:v>午餐</x:v>
      </x:c>
      <x:c r="D2678" t="str">
        <x:v>鱼类</x:v>
      </x:c>
      <x:c r="E2678" t="str">
        <x:v>鲈鱼</x:v>
      </x:c>
      <x:c r="F2678" t="n">
        <x:v>200</x:v>
      </x:c>
      <x:c r="G2678" t="n">
        <x:v>105</x:v>
      </x:c>
      <x:c r="H2678" t="n">
        <x:f>ROUND(F2678*G2678/100,2)</x:f>
        <x:v>210</x:v>
      </x:c>
      <x:c r="I2678" t="n">
        <x:v>19</x:v>
      </x:c>
      <x:c r="J2678" t="n">
        <x:f>ROUND(F2678*I2678/100,2)</x:f>
        <x:v>38</x:v>
      </x:c>
      <x:c r="K2678" t="n">
        <x:v>0</x:v>
      </x:c>
      <x:c r="L2678" t="n">
        <x:f>ROUND(F2678*K2678/100,2)</x:f>
        <x:v>0</x:v>
      </x:c>
      <x:c r="M2678" t="n">
        <x:v>3</x:v>
      </x:c>
      <x:c r="N2678" t="n">
        <x:f>ROUND(F2678*M2678/100,2)</x:f>
        <x:v>6</x:v>
      </x:c>
      <x:c r="O2678" t="str">
        <x:v>净鱼肉生重</x:v>
      </x:c>
    </x:row>
    <x:row r="2679" ht="23" customHeight="1">
      <x:c r="A2679" t="n">
        <x:v>447</x:v>
      </x:c>
      <x:c r="B2679" t="n">
        <x:v>224</x:v>
      </x:c>
      <x:c r="C2679" t="str">
        <x:v>午餐</x:v>
      </x:c>
      <x:c r="D2679" t="str">
        <x:v>豆蛋</x:v>
      </x:c>
      <x:c r="E2679" t="str">
        <x:v>北豆腐</x:v>
      </x:c>
      <x:c r="F2679" t="n">
        <x:v>90</x:v>
      </x:c>
      <x:c r="G2679" t="n">
        <x:v>90</x:v>
      </x:c>
      <x:c r="H2679" t="n">
        <x:f>ROUND(F2679*G2679/100,2)</x:f>
        <x:v>81</x:v>
      </x:c>
      <x:c r="I2679" t="n">
        <x:v>10</x:v>
      </x:c>
      <x:c r="J2679" t="n">
        <x:f>ROUND(F2679*I2679/100,2)</x:f>
        <x:v>9</x:v>
      </x:c>
      <x:c r="K2679" t="n">
        <x:v>2</x:v>
      </x:c>
      <x:c r="L2679" t="n">
        <x:f>ROUND(F2679*K2679/100,2)</x:f>
        <x:v>1.8</x:v>
      </x:c>
      <x:c r="M2679" t="n">
        <x:v>5</x:v>
      </x:c>
      <x:c r="N2679" t="n">
        <x:f>ROUND(F2679*M2679/100,2)</x:f>
        <x:v>4.5</x:v>
      </x:c>
      <x:c r="O2679" t="str">
        <x:v>净重</x:v>
      </x:c>
    </x:row>
    <x:row r="2680" ht="23" customHeight="1">
      <x:c r="A2680" t="n">
        <x:v>447</x:v>
      </x:c>
      <x:c r="B2680" t="n">
        <x:v>224</x:v>
      </x:c>
      <x:c r="C2680" t="str">
        <x:v>午餐</x:v>
      </x:c>
      <x:c r="D2680" t="str">
        <x:v>蔬菜</x:v>
      </x:c>
      <x:c r="E2680" t="str">
        <x:v>芦笋</x:v>
      </x:c>
      <x:c r="F2680" t="n">
        <x:v>175</x:v>
      </x:c>
      <x:c r="G2680" t="n">
        <x:v>20</x:v>
      </x:c>
      <x:c r="H2680" t="n">
        <x:f>ROUND(F2680*G2680/100,2)</x:f>
        <x:v>35</x:v>
      </x:c>
      <x:c r="I2680" t="n">
        <x:v>2.2</x:v>
      </x:c>
      <x:c r="J2680" t="n">
        <x:f>ROUND(F2680*I2680/100,2)</x:f>
        <x:v>3.85</x:v>
      </x:c>
      <x:c r="K2680" t="n">
        <x:v>3.9</x:v>
      </x:c>
      <x:c r="L2680" t="n">
        <x:f>ROUND(F2680*K2680/100,2)</x:f>
        <x:v>6.83</x:v>
      </x:c>
      <x:c r="M2680" t="n">
        <x:v>0.1</x:v>
      </x:c>
      <x:c r="N2680" t="n">
        <x:f>ROUND(F2680*M2680/100,2)</x:f>
        <x:v>0.18</x:v>
      </x:c>
      <x:c r="O2680" t="str">
        <x:v>生重</x:v>
      </x:c>
    </x:row>
    <x:row r="2681" ht="23" customHeight="1">
      <x:c r="A2681" t="n">
        <x:v>447</x:v>
      </x:c>
      <x:c r="B2681" t="n">
        <x:v>224</x:v>
      </x:c>
      <x:c r="C2681" t="str">
        <x:v>午餐</x:v>
      </x:c>
      <x:c r="D2681" t="str">
        <x:v>蔬菜</x:v>
      </x:c>
      <x:c r="E2681" t="str">
        <x:v>番茄</x:v>
      </x:c>
      <x:c r="F2681" t="n">
        <x:v>140</x:v>
      </x:c>
      <x:c r="G2681" t="n">
        <x:v>20</x:v>
      </x:c>
      <x:c r="H2681" t="n">
        <x:f>ROUND(F2681*G2681/100,2)</x:f>
        <x:v>28</x:v>
      </x:c>
      <x:c r="I2681" t="n">
        <x:v>0.9</x:v>
      </x:c>
      <x:c r="J2681" t="n">
        <x:f>ROUND(F2681*I2681/100,2)</x:f>
        <x:v>1.26</x:v>
      </x:c>
      <x:c r="K2681" t="n">
        <x:v>4</x:v>
      </x:c>
      <x:c r="L2681" t="n">
        <x:f>ROUND(F2681*K2681/100,2)</x:f>
        <x:v>5.6</x:v>
      </x:c>
      <x:c r="M2681" t="n">
        <x:v>0.2</x:v>
      </x:c>
      <x:c r="N2681" t="n">
        <x:f>ROUND(F2681*M2681/100,2)</x:f>
        <x:v>0.28</x:v>
      </x:c>
      <x:c r="O2681" t="str">
        <x:v>生重</x:v>
      </x:c>
    </x:row>
    <x:row r="2682" ht="23" customHeight="1">
      <x:c r="A2682" t="n">
        <x:v>447</x:v>
      </x:c>
      <x:c r="B2682" t="n">
        <x:v>224</x:v>
      </x:c>
      <x:c r="C2682" t="str">
        <x:v>午餐</x:v>
      </x:c>
      <x:c r="D2682" t="str">
        <x:v>主食</x:v>
      </x:c>
      <x:c r="E2682" t="str">
        <x:v>糙米饭</x:v>
      </x:c>
      <x:c r="F2682" t="n">
        <x:v>125</x:v>
      </x:c>
      <x:c r="G2682" t="n">
        <x:v>112</x:v>
      </x:c>
      <x:c r="H2682" t="n">
        <x:f>ROUND(F2682*G2682/100,2)</x:f>
        <x:v>140</x:v>
      </x:c>
      <x:c r="I2682" t="n">
        <x:v>2.6</x:v>
      </x:c>
      <x:c r="J2682" t="n">
        <x:f>ROUND(F2682*I2682/100,2)</x:f>
        <x:v>3.25</x:v>
      </x:c>
      <x:c r="K2682" t="n">
        <x:v>23.5</x:v>
      </x:c>
      <x:c r="L2682" t="n">
        <x:f>ROUND(F2682*K2682/100,2)</x:f>
        <x:v>29.38</x:v>
      </x:c>
      <x:c r="M2682" t="n">
        <x:v>0.9</x:v>
      </x:c>
      <x:c r="N2682" t="n">
        <x:f>ROUND(F2682*M2682/100,2)</x:f>
        <x:v>1.13</x:v>
      </x:c>
      <x:c r="O2682" t="str">
        <x:v>熟重</x:v>
      </x:c>
    </x:row>
    <x:row r="2683" ht="23" customHeight="1">
      <x:c r="A2683" t="n">
        <x:v>447</x:v>
      </x:c>
      <x:c r="B2683" t="n">
        <x:v>224</x:v>
      </x:c>
      <x:c r="C2683" t="str">
        <x:v>午餐</x:v>
      </x:c>
      <x:c r="D2683" t="str">
        <x:v>油脂</x:v>
      </x:c>
      <x:c r="E2683" t="str">
        <x:v>烹调油</x:v>
      </x:c>
      <x:c r="F2683" t="n">
        <x:v>3</x:v>
      </x:c>
      <x:c r="G2683" t="n">
        <x:v>900</x:v>
      </x:c>
      <x:c r="H2683" t="n">
        <x:f>ROUND(F2683*G2683/100,2)</x:f>
        <x:v>27</x:v>
      </x:c>
      <x:c r="I2683" t="n">
        <x:v>0</x:v>
      </x:c>
      <x:c r="J2683" t="n">
        <x:f>ROUND(F2683*I2683/100,2)</x:f>
        <x:v>0</x:v>
      </x:c>
      <x:c r="K2683" t="n">
        <x:v>0</x:v>
      </x:c>
      <x:c r="L2683" t="n">
        <x:f>ROUND(F2683*K2683/100,2)</x:f>
        <x:v>0</x:v>
      </x:c>
      <x:c r="M2683" t="n">
        <x:v>100</x:v>
      </x:c>
      <x:c r="N2683" t="n">
        <x:f>ROUND(F2683*M2683/100,2)</x:f>
        <x:v>3</x:v>
      </x:c>
      <x:c r="O2683" t="str">
        <x:v>实际用油重</x:v>
      </x:c>
    </x:row>
    <x:row r="2684" ht="23" customHeight="1">
      <x:c r="A2684" t="n">
        <x:v>448</x:v>
      </x:c>
      <x:c r="B2684" t="n">
        <x:v>224</x:v>
      </x:c>
      <x:c r="C2684" t="str">
        <x:v>晚餐</x:v>
      </x:c>
      <x:c r="D2684" t="str">
        <x:v>鱼类</x:v>
      </x:c>
      <x:c r="E2684" t="str">
        <x:v>巴沙鱼</x:v>
      </x:c>
      <x:c r="F2684" t="n">
        <x:v>185</x:v>
      </x:c>
      <x:c r="G2684" t="n">
        <x:v>90</x:v>
      </x:c>
      <x:c r="H2684" t="n">
        <x:f>ROUND(F2684*G2684/100,2)</x:f>
        <x:v>166.5</x:v>
      </x:c>
      <x:c r="I2684" t="n">
        <x:v>17</x:v>
      </x:c>
      <x:c r="J2684" t="n">
        <x:f>ROUND(F2684*I2684/100,2)</x:f>
        <x:v>31.45</x:v>
      </x:c>
      <x:c r="K2684" t="n">
        <x:v>0</x:v>
      </x:c>
      <x:c r="L2684" t="n">
        <x:f>ROUND(F2684*K2684/100,2)</x:f>
        <x:v>0</x:v>
      </x:c>
      <x:c r="M2684" t="n">
        <x:v>2.3</x:v>
      </x:c>
      <x:c r="N2684" t="n">
        <x:f>ROUND(F2684*M2684/100,2)</x:f>
        <x:v>4.25</x:v>
      </x:c>
      <x:c r="O2684" t="str">
        <x:v>净鱼肉生重</x:v>
      </x:c>
    </x:row>
    <x:row r="2685" ht="23" customHeight="1">
      <x:c r="A2685" t="n">
        <x:v>448</x:v>
      </x:c>
      <x:c r="B2685" t="n">
        <x:v>224</x:v>
      </x:c>
      <x:c r="C2685" t="str">
        <x:v>晚餐</x:v>
      </x:c>
      <x:c r="D2685" t="str"/>
      <x:c r="E2685" t="str"/>
      <x:c r="F2685" t="n">
        <x:v>0</x:v>
      </x:c>
      <x:c r="G2685" t="n">
        <x:v>0</x:v>
      </x:c>
      <x:c r="H2685" t="n">
        <x:f>ROUND(F2685*G2685/100,2)</x:f>
        <x:v>0</x:v>
      </x:c>
      <x:c r="I2685" t="n">
        <x:v>0</x:v>
      </x:c>
      <x:c r="J2685" t="n">
        <x:f>ROUND(F2685*I2685/100,2)</x:f>
        <x:v>0</x:v>
      </x:c>
      <x:c r="K2685" t="n">
        <x:v>0</x:v>
      </x:c>
      <x:c r="L2685" t="n">
        <x:f>ROUND(F2685*K2685/100,2)</x:f>
        <x:v>0</x:v>
      </x:c>
      <x:c r="M2685" t="n">
        <x:v>0</x:v>
      </x:c>
      <x:c r="N2685" t="n">
        <x:f>ROUND(F2685*M2685/100,2)</x:f>
        <x:v>0</x:v>
      </x:c>
      <x:c r="O2685" t="str"/>
    </x:row>
    <x:row r="2686" ht="23" customHeight="1">
      <x:c r="A2686" t="n">
        <x:v>448</x:v>
      </x:c>
      <x:c r="B2686" t="n">
        <x:v>224</x:v>
      </x:c>
      <x:c r="C2686" t="str">
        <x:v>晚餐</x:v>
      </x:c>
      <x:c r="D2686" t="str">
        <x:v>蔬菜</x:v>
      </x:c>
      <x:c r="E2686" t="str">
        <x:v>生菜</x:v>
      </x:c>
      <x:c r="F2686" t="n">
        <x:v>140</x:v>
      </x:c>
      <x:c r="G2686" t="n">
        <x:v>16</x:v>
      </x:c>
      <x:c r="H2686" t="n">
        <x:f>ROUND(F2686*G2686/100,2)</x:f>
        <x:v>22.4</x:v>
      </x:c>
      <x:c r="I2686" t="n">
        <x:v>1.4</x:v>
      </x:c>
      <x:c r="J2686" t="n">
        <x:f>ROUND(F2686*I2686/100,2)</x:f>
        <x:v>1.96</x:v>
      </x:c>
      <x:c r="K2686" t="n">
        <x:v>2.9</x:v>
      </x:c>
      <x:c r="L2686" t="n">
        <x:f>ROUND(F2686*K2686/100,2)</x:f>
        <x:v>4.06</x:v>
      </x:c>
      <x:c r="M2686" t="n">
        <x:v>0.1</x:v>
      </x:c>
      <x:c r="N2686" t="n">
        <x:f>ROUND(F2686*M2686/100,2)</x:f>
        <x:v>0.14</x:v>
      </x:c>
      <x:c r="O2686" t="str">
        <x:v>生重</x:v>
      </x:c>
    </x:row>
    <x:row r="2687" ht="23" customHeight="1">
      <x:c r="A2687" t="n">
        <x:v>448</x:v>
      </x:c>
      <x:c r="B2687" t="n">
        <x:v>224</x:v>
      </x:c>
      <x:c r="C2687" t="str">
        <x:v>晚餐</x:v>
      </x:c>
      <x:c r="D2687" t="str">
        <x:v>菌菇</x:v>
      </x:c>
      <x:c r="E2687" t="str">
        <x:v>口蘑</x:v>
      </x:c>
      <x:c r="F2687" t="n">
        <x:v>110</x:v>
      </x:c>
      <x:c r="G2687" t="n">
        <x:v>22</x:v>
      </x:c>
      <x:c r="H2687" t="n">
        <x:f>ROUND(F2687*G2687/100,2)</x:f>
        <x:v>24.2</x:v>
      </x:c>
      <x:c r="I2687" t="n">
        <x:v>3.1</x:v>
      </x:c>
      <x:c r="J2687" t="n">
        <x:f>ROUND(F2687*I2687/100,2)</x:f>
        <x:v>3.41</x:v>
      </x:c>
      <x:c r="K2687" t="n">
        <x:v>3.3</x:v>
      </x:c>
      <x:c r="L2687" t="n">
        <x:f>ROUND(F2687*K2687/100,2)</x:f>
        <x:v>3.63</x:v>
      </x:c>
      <x:c r="M2687" t="n">
        <x:v>0.3</x:v>
      </x:c>
      <x:c r="N2687" t="n">
        <x:f>ROUND(F2687*M2687/100,2)</x:f>
        <x:v>0.33</x:v>
      </x:c>
      <x:c r="O2687" t="str">
        <x:v>生重</x:v>
      </x:c>
    </x:row>
    <x:row r="2688" ht="23" customHeight="1">
      <x:c r="A2688" t="n">
        <x:v>448</x:v>
      </x:c>
      <x:c r="B2688" t="n">
        <x:v>224</x:v>
      </x:c>
      <x:c r="C2688" t="str">
        <x:v>晚餐</x:v>
      </x:c>
      <x:c r="D2688" t="str">
        <x:v>主食</x:v>
      </x:c>
      <x:c r="E2688" t="str">
        <x:v>白米饭</x:v>
      </x:c>
      <x:c r="F2688" t="n">
        <x:v>135</x:v>
      </x:c>
      <x:c r="G2688" t="n">
        <x:v>116</x:v>
      </x:c>
      <x:c r="H2688" t="n">
        <x:f>ROUND(F2688*G2688/100,2)</x:f>
        <x:v>156.6</x:v>
      </x:c>
      <x:c r="I2688" t="n">
        <x:v>2.6</x:v>
      </x:c>
      <x:c r="J2688" t="n">
        <x:f>ROUND(F2688*I2688/100,2)</x:f>
        <x:v>3.51</x:v>
      </x:c>
      <x:c r="K2688" t="n">
        <x:v>25.6</x:v>
      </x:c>
      <x:c r="L2688" t="n">
        <x:f>ROUND(F2688*K2688/100,2)</x:f>
        <x:v>34.56</x:v>
      </x:c>
      <x:c r="M2688" t="n">
        <x:v>0.3</x:v>
      </x:c>
      <x:c r="N2688" t="n">
        <x:f>ROUND(F2688*M2688/100,2)</x:f>
        <x:v>0.41</x:v>
      </x:c>
      <x:c r="O2688" t="str">
        <x:v>熟重</x:v>
      </x:c>
    </x:row>
    <x:row r="2689" ht="23" customHeight="1">
      <x:c r="A2689" t="n">
        <x:v>448</x:v>
      </x:c>
      <x:c r="B2689" t="n">
        <x:v>224</x:v>
      </x:c>
      <x:c r="C2689" t="str">
        <x:v>晚餐</x:v>
      </x:c>
      <x:c r="D2689" t="str">
        <x:v>油脂</x:v>
      </x:c>
      <x:c r="E2689" t="str">
        <x:v>烹调油</x:v>
      </x:c>
      <x:c r="F2689" t="n">
        <x:v>5</x:v>
      </x:c>
      <x:c r="G2689" t="n">
        <x:v>900</x:v>
      </x:c>
      <x:c r="H2689" t="n">
        <x:f>ROUND(F2689*G2689/100,2)</x:f>
        <x:v>45</x:v>
      </x:c>
      <x:c r="I2689" t="n">
        <x:v>0</x:v>
      </x:c>
      <x:c r="J2689" t="n">
        <x:f>ROUND(F2689*I2689/100,2)</x:f>
        <x:v>0</x:v>
      </x:c>
      <x:c r="K2689" t="n">
        <x:v>0</x:v>
      </x:c>
      <x:c r="L2689" t="n">
        <x:f>ROUND(F2689*K2689/100,2)</x:f>
        <x:v>0</x:v>
      </x:c>
      <x:c r="M2689" t="n">
        <x:v>100</x:v>
      </x:c>
      <x:c r="N2689" t="n">
        <x:f>ROUND(F2689*M2689/100,2)</x:f>
        <x:v>5</x:v>
      </x:c>
      <x:c r="O2689" t="str">
        <x:v>实际用油重</x:v>
      </x:c>
    </x:row>
    <x:row r="2690" ht="23" customHeight="1">
      <x:c r="A2690" t="n">
        <x:v>449</x:v>
      </x:c>
      <x:c r="B2690" t="n">
        <x:v>225</x:v>
      </x:c>
      <x:c r="C2690" t="str">
        <x:v>午餐</x:v>
      </x:c>
      <x:c r="D2690" t="str">
        <x:v>牛肉</x:v>
      </x:c>
      <x:c r="E2690" t="str">
        <x:v>瘦牛肉</x:v>
      </x:c>
      <x:c r="F2690" t="n">
        <x:v>165</x:v>
      </x:c>
      <x:c r="G2690" t="n">
        <x:v>125</x:v>
      </x:c>
      <x:c r="H2690" t="n">
        <x:f>ROUND(F2690*G2690/100,2)</x:f>
        <x:v>206.25</x:v>
      </x:c>
      <x:c r="I2690" t="n">
        <x:v>21</x:v>
      </x:c>
      <x:c r="J2690" t="n">
        <x:f>ROUND(F2690*I2690/100,2)</x:f>
        <x:v>34.65</x:v>
      </x:c>
      <x:c r="K2690" t="n">
        <x:v>0</x:v>
      </x:c>
      <x:c r="L2690" t="n">
        <x:f>ROUND(F2690*K2690/100,2)</x:f>
        <x:v>0</x:v>
      </x:c>
      <x:c r="M2690" t="n">
        <x:v>4</x:v>
      </x:c>
      <x:c r="N2690" t="n">
        <x:f>ROUND(F2690*M2690/100,2)</x:f>
        <x:v>6.6</x:v>
      </x:c>
      <x:c r="O2690" t="str">
        <x:v>生重</x:v>
      </x:c>
    </x:row>
    <x:row r="2691" ht="23" customHeight="1">
      <x:c r="A2691" t="n">
        <x:v>449</x:v>
      </x:c>
      <x:c r="B2691" t="n">
        <x:v>225</x:v>
      </x:c>
      <x:c r="C2691" t="str">
        <x:v>午餐</x:v>
      </x:c>
      <x:c r="D2691" t="str"/>
      <x:c r="E2691" t="str"/>
      <x:c r="F2691" t="n">
        <x:v>0</x:v>
      </x:c>
      <x:c r="G2691" t="n">
        <x:v>0</x:v>
      </x:c>
      <x:c r="H2691" t="n">
        <x:f>ROUND(F2691*G2691/100,2)</x:f>
        <x:v>0</x:v>
      </x:c>
      <x:c r="I2691" t="n">
        <x:v>0</x:v>
      </x:c>
      <x:c r="J2691" t="n">
        <x:f>ROUND(F2691*I2691/100,2)</x:f>
        <x:v>0</x:v>
      </x:c>
      <x:c r="K2691" t="n">
        <x:v>0</x:v>
      </x:c>
      <x:c r="L2691" t="n">
        <x:f>ROUND(F2691*K2691/100,2)</x:f>
        <x:v>0</x:v>
      </x:c>
      <x:c r="M2691" t="n">
        <x:v>0</x:v>
      </x:c>
      <x:c r="N2691" t="n">
        <x:f>ROUND(F2691*M2691/100,2)</x:f>
        <x:v>0</x:v>
      </x:c>
      <x:c r="O2691" t="str"/>
    </x:row>
    <x:row r="2692" ht="23" customHeight="1">
      <x:c r="A2692" t="n">
        <x:v>449</x:v>
      </x:c>
      <x:c r="B2692" t="n">
        <x:v>225</x:v>
      </x:c>
      <x:c r="C2692" t="str">
        <x:v>午餐</x:v>
      </x:c>
      <x:c r="D2692" t="str">
        <x:v>蔬菜</x:v>
      </x:c>
      <x:c r="E2692" t="str">
        <x:v>西兰花</x:v>
      </x:c>
      <x:c r="F2692" t="n">
        <x:v>190</x:v>
      </x:c>
      <x:c r="G2692" t="n">
        <x:v>34</x:v>
      </x:c>
      <x:c r="H2692" t="n">
        <x:f>ROUND(F2692*G2692/100,2)</x:f>
        <x:v>64.6</x:v>
      </x:c>
      <x:c r="I2692" t="n">
        <x:v>2.8</x:v>
      </x:c>
      <x:c r="J2692" t="n">
        <x:f>ROUND(F2692*I2692/100,2)</x:f>
        <x:v>5.32</x:v>
      </x:c>
      <x:c r="K2692" t="n">
        <x:v>7</x:v>
      </x:c>
      <x:c r="L2692" t="n">
        <x:f>ROUND(F2692*K2692/100,2)</x:f>
        <x:v>13.3</x:v>
      </x:c>
      <x:c r="M2692" t="n">
        <x:v>0.4</x:v>
      </x:c>
      <x:c r="N2692" t="n">
        <x:f>ROUND(F2692*M2692/100,2)</x:f>
        <x:v>0.76</x:v>
      </x:c>
      <x:c r="O2692" t="str">
        <x:v>生重</x:v>
      </x:c>
    </x:row>
    <x:row r="2693" ht="23" customHeight="1">
      <x:c r="A2693" t="n">
        <x:v>449</x:v>
      </x:c>
      <x:c r="B2693" t="n">
        <x:v>225</x:v>
      </x:c>
      <x:c r="C2693" t="str">
        <x:v>午餐</x:v>
      </x:c>
      <x:c r="D2693" t="str">
        <x:v>蔬菜</x:v>
      </x:c>
      <x:c r="E2693" t="str">
        <x:v>小白菜</x:v>
      </x:c>
      <x:c r="F2693" t="n">
        <x:v>140</x:v>
      </x:c>
      <x:c r="G2693" t="n">
        <x:v>17</x:v>
      </x:c>
      <x:c r="H2693" t="n">
        <x:f>ROUND(F2693*G2693/100,2)</x:f>
        <x:v>23.8</x:v>
      </x:c>
      <x:c r="I2693" t="n">
        <x:v>1.6</x:v>
      </x:c>
      <x:c r="J2693" t="n">
        <x:f>ROUND(F2693*I2693/100,2)</x:f>
        <x:v>2.24</x:v>
      </x:c>
      <x:c r="K2693" t="n">
        <x:v>2.8</x:v>
      </x:c>
      <x:c r="L2693" t="n">
        <x:f>ROUND(F2693*K2693/100,2)</x:f>
        <x:v>3.92</x:v>
      </x:c>
      <x:c r="M2693" t="n">
        <x:v>0.2</x:v>
      </x:c>
      <x:c r="N2693" t="n">
        <x:f>ROUND(F2693*M2693/100,2)</x:f>
        <x:v>0.28</x:v>
      </x:c>
      <x:c r="O2693" t="str">
        <x:v>生重</x:v>
      </x:c>
    </x:row>
    <x:row r="2694" ht="23" customHeight="1">
      <x:c r="A2694" t="n">
        <x:v>449</x:v>
      </x:c>
      <x:c r="B2694" t="n">
        <x:v>225</x:v>
      </x:c>
      <x:c r="C2694" t="str">
        <x:v>午餐</x:v>
      </x:c>
      <x:c r="D2694" t="str">
        <x:v>主食</x:v>
      </x:c>
      <x:c r="E2694" t="str">
        <x:v>藜麦饭</x:v>
      </x:c>
      <x:c r="F2694" t="n">
        <x:v>110</x:v>
      </x:c>
      <x:c r="G2694" t="n">
        <x:v>120</x:v>
      </x:c>
      <x:c r="H2694" t="n">
        <x:f>ROUND(F2694*G2694/100,2)</x:f>
        <x:v>132</x:v>
      </x:c>
      <x:c r="I2694" t="n">
        <x:v>4.4</x:v>
      </x:c>
      <x:c r="J2694" t="n">
        <x:f>ROUND(F2694*I2694/100,2)</x:f>
        <x:v>4.84</x:v>
      </x:c>
      <x:c r="K2694" t="n">
        <x:v>21.3</x:v>
      </x:c>
      <x:c r="L2694" t="n">
        <x:f>ROUND(F2694*K2694/100,2)</x:f>
        <x:v>23.43</x:v>
      </x:c>
      <x:c r="M2694" t="n">
        <x:v>1.9</x:v>
      </x:c>
      <x:c r="N2694" t="n">
        <x:f>ROUND(F2694*M2694/100,2)</x:f>
        <x:v>2.09</x:v>
      </x:c>
      <x:c r="O2694" t="str">
        <x:v>熟重</x:v>
      </x:c>
    </x:row>
    <x:row r="2695" ht="23" customHeight="1">
      <x:c r="A2695" t="n">
        <x:v>449</x:v>
      </x:c>
      <x:c r="B2695" t="n">
        <x:v>225</x:v>
      </x:c>
      <x:c r="C2695" t="str">
        <x:v>午餐</x:v>
      </x:c>
      <x:c r="D2695" t="str">
        <x:v>油脂</x:v>
      </x:c>
      <x:c r="E2695" t="str">
        <x:v>烹调油</x:v>
      </x:c>
      <x:c r="F2695" t="n">
        <x:v>5</x:v>
      </x:c>
      <x:c r="G2695" t="n">
        <x:v>900</x:v>
      </x:c>
      <x:c r="H2695" t="n">
        <x:f>ROUND(F2695*G2695/100,2)</x:f>
        <x:v>45</x:v>
      </x:c>
      <x:c r="I2695" t="n">
        <x:v>0</x:v>
      </x:c>
      <x:c r="J2695" t="n">
        <x:f>ROUND(F2695*I2695/100,2)</x:f>
        <x:v>0</x:v>
      </x:c>
      <x:c r="K2695" t="n">
        <x:v>0</x:v>
      </x:c>
      <x:c r="L2695" t="n">
        <x:f>ROUND(F2695*K2695/100,2)</x:f>
        <x:v>0</x:v>
      </x:c>
      <x:c r="M2695" t="n">
        <x:v>100</x:v>
      </x:c>
      <x:c r="N2695" t="n">
        <x:f>ROUND(F2695*M2695/100,2)</x:f>
        <x:v>5</x:v>
      </x:c>
      <x:c r="O2695" t="str">
        <x:v>实际用油重</x:v>
      </x:c>
    </x:row>
    <x:row r="2696" ht="23" customHeight="1">
      <x:c r="A2696" t="n">
        <x:v>450</x:v>
      </x:c>
      <x:c r="B2696" t="n">
        <x:v>225</x:v>
      </x:c>
      <x:c r="C2696" t="str">
        <x:v>晚餐</x:v>
      </x:c>
      <x:c r="D2696" t="str">
        <x:v>猪肉</x:v>
      </x:c>
      <x:c r="E2696" t="str">
        <x:v>猪瘦肉</x:v>
      </x:c>
      <x:c r="F2696" t="n">
        <x:v>160</x:v>
      </x:c>
      <x:c r="G2696" t="n">
        <x:v>130</x:v>
      </x:c>
      <x:c r="H2696" t="n">
        <x:f>ROUND(F2696*G2696/100,2)</x:f>
        <x:v>208</x:v>
      </x:c>
      <x:c r="I2696" t="n">
        <x:v>20</x:v>
      </x:c>
      <x:c r="J2696" t="n">
        <x:f>ROUND(F2696*I2696/100,2)</x:f>
        <x:v>32</x:v>
      </x:c>
      <x:c r="K2696" t="n">
        <x:v>0</x:v>
      </x:c>
      <x:c r="L2696" t="n">
        <x:f>ROUND(F2696*K2696/100,2)</x:f>
        <x:v>0</x:v>
      </x:c>
      <x:c r="M2696" t="n">
        <x:v>5.5</x:v>
      </x:c>
      <x:c r="N2696" t="n">
        <x:f>ROUND(F2696*M2696/100,2)</x:f>
        <x:v>8.8</x:v>
      </x:c>
      <x:c r="O2696" t="str">
        <x:v>生重</x:v>
      </x:c>
    </x:row>
    <x:row r="2697" ht="23" customHeight="1">
      <x:c r="A2697" t="n">
        <x:v>450</x:v>
      </x:c>
      <x:c r="B2697" t="n">
        <x:v>225</x:v>
      </x:c>
      <x:c r="C2697" t="str">
        <x:v>晚餐</x:v>
      </x:c>
      <x:c r="D2697" t="str"/>
      <x:c r="E2697" t="str"/>
      <x:c r="F2697" t="n">
        <x:v>0</x:v>
      </x:c>
      <x:c r="G2697" t="n">
        <x:v>0</x:v>
      </x:c>
      <x:c r="H2697" t="n">
        <x:f>ROUND(F2697*G2697/100,2)</x:f>
        <x:v>0</x:v>
      </x:c>
      <x:c r="I2697" t="n">
        <x:v>0</x:v>
      </x:c>
      <x:c r="J2697" t="n">
        <x:f>ROUND(F2697*I2697/100,2)</x:f>
        <x:v>0</x:v>
      </x:c>
      <x:c r="K2697" t="n">
        <x:v>0</x:v>
      </x:c>
      <x:c r="L2697" t="n">
        <x:f>ROUND(F2697*K2697/100,2)</x:f>
        <x:v>0</x:v>
      </x:c>
      <x:c r="M2697" t="n">
        <x:v>0</x:v>
      </x:c>
      <x:c r="N2697" t="n">
        <x:f>ROUND(F2697*M2697/100,2)</x:f>
        <x:v>0</x:v>
      </x:c>
      <x:c r="O2697" t="str"/>
    </x:row>
    <x:row r="2698" ht="23" customHeight="1">
      <x:c r="A2698" t="n">
        <x:v>450</x:v>
      </x:c>
      <x:c r="B2698" t="n">
        <x:v>225</x:v>
      </x:c>
      <x:c r="C2698" t="str">
        <x:v>晚餐</x:v>
      </x:c>
      <x:c r="D2698" t="str">
        <x:v>蔬菜</x:v>
      </x:c>
      <x:c r="E2698" t="str">
        <x:v>苦瓜</x:v>
      </x:c>
      <x:c r="F2698" t="n">
        <x:v>160</x:v>
      </x:c>
      <x:c r="G2698" t="n">
        <x:v>19</x:v>
      </x:c>
      <x:c r="H2698" t="n">
        <x:f>ROUND(F2698*G2698/100,2)</x:f>
        <x:v>30.4</x:v>
      </x:c>
      <x:c r="I2698" t="n">
        <x:v>1</x:v>
      </x:c>
      <x:c r="J2698" t="n">
        <x:f>ROUND(F2698*I2698/100,2)</x:f>
        <x:v>1.6</x:v>
      </x:c>
      <x:c r="K2698" t="n">
        <x:v>4.1</x:v>
      </x:c>
      <x:c r="L2698" t="n">
        <x:f>ROUND(F2698*K2698/100,2)</x:f>
        <x:v>6.56</x:v>
      </x:c>
      <x:c r="M2698" t="n">
        <x:v>0.2</x:v>
      </x:c>
      <x:c r="N2698" t="n">
        <x:f>ROUND(F2698*M2698/100,2)</x:f>
        <x:v>0.32</x:v>
      </x:c>
      <x:c r="O2698" t="str">
        <x:v>生重</x:v>
      </x:c>
    </x:row>
    <x:row r="2699" ht="23" customHeight="1">
      <x:c r="A2699" t="n">
        <x:v>450</x:v>
      </x:c>
      <x:c r="B2699" t="n">
        <x:v>225</x:v>
      </x:c>
      <x:c r="C2699" t="str">
        <x:v>晚餐</x:v>
      </x:c>
      <x:c r="D2699" t="str">
        <x:v>菌菇</x:v>
      </x:c>
      <x:c r="E2699" t="str">
        <x:v>金针菇</x:v>
      </x:c>
      <x:c r="F2699" t="n">
        <x:v>140</x:v>
      </x:c>
      <x:c r="G2699" t="n">
        <x:v>32</x:v>
      </x:c>
      <x:c r="H2699" t="n">
        <x:f>ROUND(F2699*G2699/100,2)</x:f>
        <x:v>44.8</x:v>
      </x:c>
      <x:c r="I2699" t="n">
        <x:v>2.4</x:v>
      </x:c>
      <x:c r="J2699" t="n">
        <x:f>ROUND(F2699*I2699/100,2)</x:f>
        <x:v>3.36</x:v>
      </x:c>
      <x:c r="K2699" t="n">
        <x:v>6.4</x:v>
      </x:c>
      <x:c r="L2699" t="n">
        <x:f>ROUND(F2699*K2699/100,2)</x:f>
        <x:v>8.96</x:v>
      </x:c>
      <x:c r="M2699" t="n">
        <x:v>0.2</x:v>
      </x:c>
      <x:c r="N2699" t="n">
        <x:f>ROUND(F2699*M2699/100,2)</x:f>
        <x:v>0.28</x:v>
      </x:c>
      <x:c r="O2699" t="str">
        <x:v>生重</x:v>
      </x:c>
    </x:row>
    <x:row r="2700" ht="23" customHeight="1">
      <x:c r="A2700" t="n">
        <x:v>450</x:v>
      </x:c>
      <x:c r="B2700" t="n">
        <x:v>225</x:v>
      </x:c>
      <x:c r="C2700" t="str">
        <x:v>晚餐</x:v>
      </x:c>
      <x:c r="D2700" t="str">
        <x:v>主食</x:v>
      </x:c>
      <x:c r="E2700" t="str">
        <x:v>糙米饭</x:v>
      </x:c>
      <x:c r="F2700" t="n">
        <x:v>125</x:v>
      </x:c>
      <x:c r="G2700" t="n">
        <x:v>112</x:v>
      </x:c>
      <x:c r="H2700" t="n">
        <x:f>ROUND(F2700*G2700/100,2)</x:f>
        <x:v>140</x:v>
      </x:c>
      <x:c r="I2700" t="n">
        <x:v>2.6</x:v>
      </x:c>
      <x:c r="J2700" t="n">
        <x:f>ROUND(F2700*I2700/100,2)</x:f>
        <x:v>3.25</x:v>
      </x:c>
      <x:c r="K2700" t="n">
        <x:v>23.5</x:v>
      </x:c>
      <x:c r="L2700" t="n">
        <x:f>ROUND(F2700*K2700/100,2)</x:f>
        <x:v>29.38</x:v>
      </x:c>
      <x:c r="M2700" t="n">
        <x:v>0.9</x:v>
      </x:c>
      <x:c r="N2700" t="n">
        <x:f>ROUND(F2700*M2700/100,2)</x:f>
        <x:v>1.13</x:v>
      </x:c>
      <x:c r="O2700" t="str">
        <x:v>熟重</x:v>
      </x:c>
    </x:row>
    <x:row r="2701" ht="23" customHeight="1">
      <x:c r="A2701" t="n">
        <x:v>450</x:v>
      </x:c>
      <x:c r="B2701" t="n">
        <x:v>225</x:v>
      </x:c>
      <x:c r="C2701" t="str">
        <x:v>晚餐</x:v>
      </x:c>
      <x:c r="D2701" t="str">
        <x:v>油脂</x:v>
      </x:c>
      <x:c r="E2701" t="str">
        <x:v>烹调油</x:v>
      </x:c>
      <x:c r="F2701" t="n">
        <x:v>6</x:v>
      </x:c>
      <x:c r="G2701" t="n">
        <x:v>900</x:v>
      </x:c>
      <x:c r="H2701" t="n">
        <x:f>ROUND(F2701*G2701/100,2)</x:f>
        <x:v>54</x:v>
      </x:c>
      <x:c r="I2701" t="n">
        <x:v>0</x:v>
      </x:c>
      <x:c r="J2701" t="n">
        <x:f>ROUND(F2701*I2701/100,2)</x:f>
        <x:v>0</x:v>
      </x:c>
      <x:c r="K2701" t="n">
        <x:v>0</x:v>
      </x:c>
      <x:c r="L2701" t="n">
        <x:f>ROUND(F2701*K2701/100,2)</x:f>
        <x:v>0</x:v>
      </x:c>
      <x:c r="M2701" t="n">
        <x:v>100</x:v>
      </x:c>
      <x:c r="N2701" t="n">
        <x:f>ROUND(F2701*M2701/100,2)</x:f>
        <x:v>6</x:v>
      </x:c>
      <x:c r="O2701" t="str">
        <x:v>实际用油重</x:v>
      </x:c>
    </x:row>
    <x:row r="2702" ht="23" customHeight="1">
      <x:c r="A2702" t="n">
        <x:v>451</x:v>
      </x:c>
      <x:c r="B2702" t="n">
        <x:v>226</x:v>
      </x:c>
      <x:c r="C2702" t="str">
        <x:v>午餐</x:v>
      </x:c>
      <x:c r="D2702" t="str">
        <x:v>禽肉</x:v>
      </x:c>
      <x:c r="E2702" t="str">
        <x:v>鸡胸肉</x:v>
      </x:c>
      <x:c r="F2702" t="n">
        <x:v>175</x:v>
      </x:c>
      <x:c r="G2702" t="n">
        <x:v>110</x:v>
      </x:c>
      <x:c r="H2702" t="n">
        <x:f>ROUND(F2702*G2702/100,2)</x:f>
        <x:v>192.5</x:v>
      </x:c>
      <x:c r="I2702" t="n">
        <x:v>23</x:v>
      </x:c>
      <x:c r="J2702" t="n">
        <x:f>ROUND(F2702*I2702/100,2)</x:f>
        <x:v>40.25</x:v>
      </x:c>
      <x:c r="K2702" t="n">
        <x:v>0</x:v>
      </x:c>
      <x:c r="L2702" t="n">
        <x:f>ROUND(F2702*K2702/100,2)</x:f>
        <x:v>0</x:v>
      </x:c>
      <x:c r="M2702" t="n">
        <x:v>2</x:v>
      </x:c>
      <x:c r="N2702" t="n">
        <x:f>ROUND(F2702*M2702/100,2)</x:f>
        <x:v>3.5</x:v>
      </x:c>
      <x:c r="O2702" t="str">
        <x:v>生重</x:v>
      </x:c>
    </x:row>
    <x:row r="2703" ht="23" customHeight="1">
      <x:c r="A2703" t="n">
        <x:v>451</x:v>
      </x:c>
      <x:c r="B2703" t="n">
        <x:v>226</x:v>
      </x:c>
      <x:c r="C2703" t="str">
        <x:v>午餐</x:v>
      </x:c>
      <x:c r="D2703" t="str"/>
      <x:c r="E2703" t="str"/>
      <x:c r="F2703" t="n">
        <x:v>0</x:v>
      </x:c>
      <x:c r="G2703" t="n">
        <x:v>0</x:v>
      </x:c>
      <x:c r="H2703" t="n">
        <x:f>ROUND(F2703*G2703/100,2)</x:f>
        <x:v>0</x:v>
      </x:c>
      <x:c r="I2703" t="n">
        <x:v>0</x:v>
      </x:c>
      <x:c r="J2703" t="n">
        <x:f>ROUND(F2703*I2703/100,2)</x:f>
        <x:v>0</x:v>
      </x:c>
      <x:c r="K2703" t="n">
        <x:v>0</x:v>
      </x:c>
      <x:c r="L2703" t="n">
        <x:f>ROUND(F2703*K2703/100,2)</x:f>
        <x:v>0</x:v>
      </x:c>
      <x:c r="M2703" t="n">
        <x:v>0</x:v>
      </x:c>
      <x:c r="N2703" t="n">
        <x:f>ROUND(F2703*M2703/100,2)</x:f>
        <x:v>0</x:v>
      </x:c>
      <x:c r="O2703" t="str"/>
    </x:row>
    <x:row r="2704" ht="23" customHeight="1">
      <x:c r="A2704" t="n">
        <x:v>451</x:v>
      </x:c>
      <x:c r="B2704" t="n">
        <x:v>226</x:v>
      </x:c>
      <x:c r="C2704" t="str">
        <x:v>午餐</x:v>
      </x:c>
      <x:c r="D2704" t="str">
        <x:v>蔬菜</x:v>
      </x:c>
      <x:c r="E2704" t="str">
        <x:v>西葫芦</x:v>
      </x:c>
      <x:c r="F2704" t="n">
        <x:v>190</x:v>
      </x:c>
      <x:c r="G2704" t="n">
        <x:v>17</x:v>
      </x:c>
      <x:c r="H2704" t="n">
        <x:f>ROUND(F2704*G2704/100,2)</x:f>
        <x:v>32.3</x:v>
      </x:c>
      <x:c r="I2704" t="n">
        <x:v>1.2</x:v>
      </x:c>
      <x:c r="J2704" t="n">
        <x:f>ROUND(F2704*I2704/100,2)</x:f>
        <x:v>2.28</x:v>
      </x:c>
      <x:c r="K2704" t="n">
        <x:v>3.1</x:v>
      </x:c>
      <x:c r="L2704" t="n">
        <x:f>ROUND(F2704*K2704/100,2)</x:f>
        <x:v>5.89</x:v>
      </x:c>
      <x:c r="M2704" t="n">
        <x:v>0.3</x:v>
      </x:c>
      <x:c r="N2704" t="n">
        <x:f>ROUND(F2704*M2704/100,2)</x:f>
        <x:v>0.57</x:v>
      </x:c>
      <x:c r="O2704" t="str">
        <x:v>生重</x:v>
      </x:c>
    </x:row>
    <x:row r="2705" ht="23" customHeight="1">
      <x:c r="A2705" t="n">
        <x:v>451</x:v>
      </x:c>
      <x:c r="B2705" t="n">
        <x:v>226</x:v>
      </x:c>
      <x:c r="C2705" t="str">
        <x:v>午餐</x:v>
      </x:c>
      <x:c r="D2705" t="str">
        <x:v>菌菇</x:v>
      </x:c>
      <x:c r="E2705" t="str">
        <x:v>香菇</x:v>
      </x:c>
      <x:c r="F2705" t="n">
        <x:v>155</x:v>
      </x:c>
      <x:c r="G2705" t="n">
        <x:v>34</x:v>
      </x:c>
      <x:c r="H2705" t="n">
        <x:f>ROUND(F2705*G2705/100,2)</x:f>
        <x:v>52.7</x:v>
      </x:c>
      <x:c r="I2705" t="n">
        <x:v>2.2</x:v>
      </x:c>
      <x:c r="J2705" t="n">
        <x:f>ROUND(F2705*I2705/100,2)</x:f>
        <x:v>3.41</x:v>
      </x:c>
      <x:c r="K2705" t="n">
        <x:v>6.8</x:v>
      </x:c>
      <x:c r="L2705" t="n">
        <x:f>ROUND(F2705*K2705/100,2)</x:f>
        <x:v>10.54</x:v>
      </x:c>
      <x:c r="M2705" t="n">
        <x:v>0.5</x:v>
      </x:c>
      <x:c r="N2705" t="n">
        <x:f>ROUND(F2705*M2705/100,2)</x:f>
        <x:v>0.78</x:v>
      </x:c>
      <x:c r="O2705" t="str">
        <x:v>生重</x:v>
      </x:c>
    </x:row>
    <x:row r="2706" ht="23" customHeight="1">
      <x:c r="A2706" t="n">
        <x:v>451</x:v>
      </x:c>
      <x:c r="B2706" t="n">
        <x:v>226</x:v>
      </x:c>
      <x:c r="C2706" t="str">
        <x:v>午餐</x:v>
      </x:c>
      <x:c r="D2706" t="str">
        <x:v>主食</x:v>
      </x:c>
      <x:c r="E2706" t="str">
        <x:v>荞麦饭</x:v>
      </x:c>
      <x:c r="F2706" t="n">
        <x:v>165</x:v>
      </x:c>
      <x:c r="G2706" t="n">
        <x:v>110</x:v>
      </x:c>
      <x:c r="H2706" t="n">
        <x:f>ROUND(F2706*G2706/100,2)</x:f>
        <x:v>181.5</x:v>
      </x:c>
      <x:c r="I2706" t="n">
        <x:v>3.4</x:v>
      </x:c>
      <x:c r="J2706" t="n">
        <x:f>ROUND(F2706*I2706/100,2)</x:f>
        <x:v>5.61</x:v>
      </x:c>
      <x:c r="K2706" t="n">
        <x:v>22</x:v>
      </x:c>
      <x:c r="L2706" t="n">
        <x:f>ROUND(F2706*K2706/100,2)</x:f>
        <x:v>36.3</x:v>
      </x:c>
      <x:c r="M2706" t="n">
        <x:v>1.1</x:v>
      </x:c>
      <x:c r="N2706" t="n">
        <x:f>ROUND(F2706*M2706/100,2)</x:f>
        <x:v>1.82</x:v>
      </x:c>
      <x:c r="O2706" t="str">
        <x:v>熟重</x:v>
      </x:c>
    </x:row>
    <x:row r="2707" ht="23" customHeight="1">
      <x:c r="A2707" t="n">
        <x:v>451</x:v>
      </x:c>
      <x:c r="B2707" t="n">
        <x:v>226</x:v>
      </x:c>
      <x:c r="C2707" t="str">
        <x:v>午餐</x:v>
      </x:c>
      <x:c r="D2707" t="str">
        <x:v>油脂</x:v>
      </x:c>
      <x:c r="E2707" t="str">
        <x:v>烹调油</x:v>
      </x:c>
      <x:c r="F2707" t="n">
        <x:v>5</x:v>
      </x:c>
      <x:c r="G2707" t="n">
        <x:v>900</x:v>
      </x:c>
      <x:c r="H2707" t="n">
        <x:f>ROUND(F2707*G2707/100,2)</x:f>
        <x:v>45</x:v>
      </x:c>
      <x:c r="I2707" t="n">
        <x:v>0</x:v>
      </x:c>
      <x:c r="J2707" t="n">
        <x:f>ROUND(F2707*I2707/100,2)</x:f>
        <x:v>0</x:v>
      </x:c>
      <x:c r="K2707" t="n">
        <x:v>0</x:v>
      </x:c>
      <x:c r="L2707" t="n">
        <x:f>ROUND(F2707*K2707/100,2)</x:f>
        <x:v>0</x:v>
      </x:c>
      <x:c r="M2707" t="n">
        <x:v>100</x:v>
      </x:c>
      <x:c r="N2707" t="n">
        <x:f>ROUND(F2707*M2707/100,2)</x:f>
        <x:v>5</x:v>
      </x:c>
      <x:c r="O2707" t="str">
        <x:v>实际用油重</x:v>
      </x:c>
    </x:row>
    <x:row r="2708" ht="23" customHeight="1">
      <x:c r="A2708" t="n">
        <x:v>452</x:v>
      </x:c>
      <x:c r="B2708" t="n">
        <x:v>226</x:v>
      </x:c>
      <x:c r="C2708" t="str">
        <x:v>晚餐</x:v>
      </x:c>
      <x:c r="D2708" t="str">
        <x:v>豆蛋</x:v>
      </x:c>
      <x:c r="E2708" t="str">
        <x:v>北豆腐</x:v>
      </x:c>
      <x:c r="F2708" t="n">
        <x:v>260</x:v>
      </x:c>
      <x:c r="G2708" t="n">
        <x:v>90</x:v>
      </x:c>
      <x:c r="H2708" t="n">
        <x:f>ROUND(F2708*G2708/100,2)</x:f>
        <x:v>234</x:v>
      </x:c>
      <x:c r="I2708" t="n">
        <x:v>10</x:v>
      </x:c>
      <x:c r="J2708" t="n">
        <x:f>ROUND(F2708*I2708/100,2)</x:f>
        <x:v>26</x:v>
      </x:c>
      <x:c r="K2708" t="n">
        <x:v>2</x:v>
      </x:c>
      <x:c r="L2708" t="n">
        <x:f>ROUND(F2708*K2708/100,2)</x:f>
        <x:v>5.2</x:v>
      </x:c>
      <x:c r="M2708" t="n">
        <x:v>5</x:v>
      </x:c>
      <x:c r="N2708" t="n">
        <x:f>ROUND(F2708*M2708/100,2)</x:f>
        <x:v>13</x:v>
      </x:c>
      <x:c r="O2708" t="str">
        <x:v>净重</x:v>
      </x:c>
    </x:row>
    <x:row r="2709" ht="23" customHeight="1">
      <x:c r="A2709" t="n">
        <x:v>452</x:v>
      </x:c>
      <x:c r="B2709" t="n">
        <x:v>226</x:v>
      </x:c>
      <x:c r="C2709" t="str">
        <x:v>晚餐</x:v>
      </x:c>
      <x:c r="D2709" t="str"/>
      <x:c r="E2709" t="str"/>
      <x:c r="F2709" t="n">
        <x:v>0</x:v>
      </x:c>
      <x:c r="G2709" t="n">
        <x:v>0</x:v>
      </x:c>
      <x:c r="H2709" t="n">
        <x:f>ROUND(F2709*G2709/100,2)</x:f>
        <x:v>0</x:v>
      </x:c>
      <x:c r="I2709" t="n">
        <x:v>0</x:v>
      </x:c>
      <x:c r="J2709" t="n">
        <x:f>ROUND(F2709*I2709/100,2)</x:f>
        <x:v>0</x:v>
      </x:c>
      <x:c r="K2709" t="n">
        <x:v>0</x:v>
      </x:c>
      <x:c r="L2709" t="n">
        <x:f>ROUND(F2709*K2709/100,2)</x:f>
        <x:v>0</x:v>
      </x:c>
      <x:c r="M2709" t="n">
        <x:v>0</x:v>
      </x:c>
      <x:c r="N2709" t="n">
        <x:f>ROUND(F2709*M2709/100,2)</x:f>
        <x:v>0</x:v>
      </x:c>
      <x:c r="O2709" t="str"/>
    </x:row>
    <x:row r="2710" ht="23" customHeight="1">
      <x:c r="A2710" t="n">
        <x:v>452</x:v>
      </x:c>
      <x:c r="B2710" t="n">
        <x:v>226</x:v>
      </x:c>
      <x:c r="C2710" t="str">
        <x:v>晚餐</x:v>
      </x:c>
      <x:c r="D2710" t="str">
        <x:v>蔬菜</x:v>
      </x:c>
      <x:c r="E2710" t="str">
        <x:v>番茄</x:v>
      </x:c>
      <x:c r="F2710" t="n">
        <x:v>160</x:v>
      </x:c>
      <x:c r="G2710" t="n">
        <x:v>20</x:v>
      </x:c>
      <x:c r="H2710" t="n">
        <x:f>ROUND(F2710*G2710/100,2)</x:f>
        <x:v>32</x:v>
      </x:c>
      <x:c r="I2710" t="n">
        <x:v>0.9</x:v>
      </x:c>
      <x:c r="J2710" t="n">
        <x:f>ROUND(F2710*I2710/100,2)</x:f>
        <x:v>1.44</x:v>
      </x:c>
      <x:c r="K2710" t="n">
        <x:v>4</x:v>
      </x:c>
      <x:c r="L2710" t="n">
        <x:f>ROUND(F2710*K2710/100,2)</x:f>
        <x:v>6.4</x:v>
      </x:c>
      <x:c r="M2710" t="n">
        <x:v>0.2</x:v>
      </x:c>
      <x:c r="N2710" t="n">
        <x:f>ROUND(F2710*M2710/100,2)</x:f>
        <x:v>0.32</x:v>
      </x:c>
      <x:c r="O2710" t="str">
        <x:v>生重</x:v>
      </x:c>
    </x:row>
    <x:row r="2711" ht="23" customHeight="1">
      <x:c r="A2711" t="n">
        <x:v>452</x:v>
      </x:c>
      <x:c r="B2711" t="n">
        <x:v>226</x:v>
      </x:c>
      <x:c r="C2711" t="str">
        <x:v>晚餐</x:v>
      </x:c>
      <x:c r="D2711" t="str">
        <x:v>蔬菜</x:v>
      </x:c>
      <x:c r="E2711" t="str">
        <x:v>小白菜</x:v>
      </x:c>
      <x:c r="F2711" t="n">
        <x:v>125</x:v>
      </x:c>
      <x:c r="G2711" t="n">
        <x:v>17</x:v>
      </x:c>
      <x:c r="H2711" t="n">
        <x:f>ROUND(F2711*G2711/100,2)</x:f>
        <x:v>21.25</x:v>
      </x:c>
      <x:c r="I2711" t="n">
        <x:v>1.6</x:v>
      </x:c>
      <x:c r="J2711" t="n">
        <x:f>ROUND(F2711*I2711/100,2)</x:f>
        <x:v>2</x:v>
      </x:c>
      <x:c r="K2711" t="n">
        <x:v>2.8</x:v>
      </x:c>
      <x:c r="L2711" t="n">
        <x:f>ROUND(F2711*K2711/100,2)</x:f>
        <x:v>3.5</x:v>
      </x:c>
      <x:c r="M2711" t="n">
        <x:v>0.2</x:v>
      </x:c>
      <x:c r="N2711" t="n">
        <x:f>ROUND(F2711*M2711/100,2)</x:f>
        <x:v>0.25</x:v>
      </x:c>
      <x:c r="O2711" t="str">
        <x:v>生重</x:v>
      </x:c>
    </x:row>
    <x:row r="2712" ht="23" customHeight="1">
      <x:c r="A2712" t="n">
        <x:v>452</x:v>
      </x:c>
      <x:c r="B2712" t="n">
        <x:v>226</x:v>
      </x:c>
      <x:c r="C2712" t="str">
        <x:v>晚餐</x:v>
      </x:c>
      <x:c r="D2712" t="str">
        <x:v>主食</x:v>
      </x:c>
      <x:c r="E2712" t="str">
        <x:v>燕麦饭</x:v>
      </x:c>
      <x:c r="F2712" t="n">
        <x:v>135</x:v>
      </x:c>
      <x:c r="G2712" t="n">
        <x:v>110</x:v>
      </x:c>
      <x:c r="H2712" t="n">
        <x:f>ROUND(F2712*G2712/100,2)</x:f>
        <x:v>148.5</x:v>
      </x:c>
      <x:c r="I2712" t="n">
        <x:v>3.2</x:v>
      </x:c>
      <x:c r="J2712" t="n">
        <x:f>ROUND(F2712*I2712/100,2)</x:f>
        <x:v>4.32</x:v>
      </x:c>
      <x:c r="K2712" t="n">
        <x:v>21</x:v>
      </x:c>
      <x:c r="L2712" t="n">
        <x:f>ROUND(F2712*K2712/100,2)</x:f>
        <x:v>28.35</x:v>
      </x:c>
      <x:c r="M2712" t="n">
        <x:v>1.8</x:v>
      </x:c>
      <x:c r="N2712" t="n">
        <x:f>ROUND(F2712*M2712/100,2)</x:f>
        <x:v>2.43</x:v>
      </x:c>
      <x:c r="O2712" t="str">
        <x:v>熟重</x:v>
      </x:c>
    </x:row>
    <x:row r="2713" ht="23" customHeight="1">
      <x:c r="A2713" t="n">
        <x:v>452</x:v>
      </x:c>
      <x:c r="B2713" t="n">
        <x:v>226</x:v>
      </x:c>
      <x:c r="C2713" t="str">
        <x:v>晚餐</x:v>
      </x:c>
      <x:c r="D2713" t="str">
        <x:v>油脂</x:v>
      </x:c>
      <x:c r="E2713" t="str">
        <x:v>烹调油</x:v>
      </x:c>
      <x:c r="F2713" t="n">
        <x:v>5</x:v>
      </x:c>
      <x:c r="G2713" t="n">
        <x:v>900</x:v>
      </x:c>
      <x:c r="H2713" t="n">
        <x:f>ROUND(F2713*G2713/100,2)</x:f>
        <x:v>45</x:v>
      </x:c>
      <x:c r="I2713" t="n">
        <x:v>0</x:v>
      </x:c>
      <x:c r="J2713" t="n">
        <x:f>ROUND(F2713*I2713/100,2)</x:f>
        <x:v>0</x:v>
      </x:c>
      <x:c r="K2713" t="n">
        <x:v>0</x:v>
      </x:c>
      <x:c r="L2713" t="n">
        <x:f>ROUND(F2713*K2713/100,2)</x:f>
        <x:v>0</x:v>
      </x:c>
      <x:c r="M2713" t="n">
        <x:v>100</x:v>
      </x:c>
      <x:c r="N2713" t="n">
        <x:f>ROUND(F2713*M2713/100,2)</x:f>
        <x:v>5</x:v>
      </x:c>
      <x:c r="O2713" t="str">
        <x:v>实际用油重</x:v>
      </x:c>
    </x:row>
    <x:row r="2714" ht="23" customHeight="1">
      <x:c r="A2714" t="n">
        <x:v>453</x:v>
      </x:c>
      <x:c r="B2714" t="n">
        <x:v>227</x:v>
      </x:c>
      <x:c r="C2714" t="str">
        <x:v>午餐</x:v>
      </x:c>
      <x:c r="D2714" t="str">
        <x:v>牛肉</x:v>
      </x:c>
      <x:c r="E2714" t="str">
        <x:v>牛腱子</x:v>
      </x:c>
      <x:c r="F2714" t="n">
        <x:v>165</x:v>
      </x:c>
      <x:c r="G2714" t="n">
        <x:v>140</x:v>
      </x:c>
      <x:c r="H2714" t="n">
        <x:f>ROUND(F2714*G2714/100,2)</x:f>
        <x:v>231</x:v>
      </x:c>
      <x:c r="I2714" t="n">
        <x:v>21</x:v>
      </x:c>
      <x:c r="J2714" t="n">
        <x:f>ROUND(F2714*I2714/100,2)</x:f>
        <x:v>34.65</x:v>
      </x:c>
      <x:c r="K2714" t="n">
        <x:v>0</x:v>
      </x:c>
      <x:c r="L2714" t="n">
        <x:f>ROUND(F2714*K2714/100,2)</x:f>
        <x:v>0</x:v>
      </x:c>
      <x:c r="M2714" t="n">
        <x:v>6</x:v>
      </x:c>
      <x:c r="N2714" t="n">
        <x:f>ROUND(F2714*M2714/100,2)</x:f>
        <x:v>9.9</x:v>
      </x:c>
      <x:c r="O2714" t="str">
        <x:v>生重</x:v>
      </x:c>
    </x:row>
    <x:row r="2715" ht="23" customHeight="1">
      <x:c r="A2715" t="n">
        <x:v>453</x:v>
      </x:c>
      <x:c r="B2715" t="n">
        <x:v>227</x:v>
      </x:c>
      <x:c r="C2715" t="str">
        <x:v>午餐</x:v>
      </x:c>
      <x:c r="D2715" t="str"/>
      <x:c r="E2715" t="str"/>
      <x:c r="F2715" t="n">
        <x:v>0</x:v>
      </x:c>
      <x:c r="G2715" t="n">
        <x:v>0</x:v>
      </x:c>
      <x:c r="H2715" t="n">
        <x:f>ROUND(F2715*G2715/100,2)</x:f>
        <x:v>0</x:v>
      </x:c>
      <x:c r="I2715" t="n">
        <x:v>0</x:v>
      </x:c>
      <x:c r="J2715" t="n">
        <x:f>ROUND(F2715*I2715/100,2)</x:f>
        <x:v>0</x:v>
      </x:c>
      <x:c r="K2715" t="n">
        <x:v>0</x:v>
      </x:c>
      <x:c r="L2715" t="n">
        <x:f>ROUND(F2715*K2715/100,2)</x:f>
        <x:v>0</x:v>
      </x:c>
      <x:c r="M2715" t="n">
        <x:v>0</x:v>
      </x:c>
      <x:c r="N2715" t="n">
        <x:f>ROUND(F2715*M2715/100,2)</x:f>
        <x:v>0</x:v>
      </x:c>
      <x:c r="O2715" t="str"/>
    </x:row>
    <x:row r="2716" ht="23" customHeight="1">
      <x:c r="A2716" t="n">
        <x:v>453</x:v>
      </x:c>
      <x:c r="B2716" t="n">
        <x:v>227</x:v>
      </x:c>
      <x:c r="C2716" t="str">
        <x:v>午餐</x:v>
      </x:c>
      <x:c r="D2716" t="str">
        <x:v>蔬菜</x:v>
      </x:c>
      <x:c r="E2716" t="str">
        <x:v>小白菜</x:v>
      </x:c>
      <x:c r="F2716" t="n">
        <x:v>140</x:v>
      </x:c>
      <x:c r="G2716" t="n">
        <x:v>17</x:v>
      </x:c>
      <x:c r="H2716" t="n">
        <x:f>ROUND(F2716*G2716/100,2)</x:f>
        <x:v>23.8</x:v>
      </x:c>
      <x:c r="I2716" t="n">
        <x:v>1.6</x:v>
      </x:c>
      <x:c r="J2716" t="n">
        <x:f>ROUND(F2716*I2716/100,2)</x:f>
        <x:v>2.24</x:v>
      </x:c>
      <x:c r="K2716" t="n">
        <x:v>2.8</x:v>
      </x:c>
      <x:c r="L2716" t="n">
        <x:f>ROUND(F2716*K2716/100,2)</x:f>
        <x:v>3.92</x:v>
      </x:c>
      <x:c r="M2716" t="n">
        <x:v>0.2</x:v>
      </x:c>
      <x:c r="N2716" t="n">
        <x:f>ROUND(F2716*M2716/100,2)</x:f>
        <x:v>0.28</x:v>
      </x:c>
      <x:c r="O2716" t="str">
        <x:v>生重</x:v>
      </x:c>
    </x:row>
    <x:row r="2717" ht="23" customHeight="1">
      <x:c r="A2717" t="n">
        <x:v>453</x:v>
      </x:c>
      <x:c r="B2717" t="n">
        <x:v>227</x:v>
      </x:c>
      <x:c r="C2717" t="str">
        <x:v>午餐</x:v>
      </x:c>
      <x:c r="D2717" t="str">
        <x:v>蔬菜</x:v>
      </x:c>
      <x:c r="E2717" t="str">
        <x:v>荷兰豆</x:v>
      </x:c>
      <x:c r="F2717" t="n">
        <x:v>125</x:v>
      </x:c>
      <x:c r="G2717" t="n">
        <x:v>42</x:v>
      </x:c>
      <x:c r="H2717" t="n">
        <x:f>ROUND(F2717*G2717/100,2)</x:f>
        <x:v>52.5</x:v>
      </x:c>
      <x:c r="I2717" t="n">
        <x:v>2.8</x:v>
      </x:c>
      <x:c r="J2717" t="n">
        <x:f>ROUND(F2717*I2717/100,2)</x:f>
        <x:v>3.5</x:v>
      </x:c>
      <x:c r="K2717" t="n">
        <x:v>7.5</x:v>
      </x:c>
      <x:c r="L2717" t="n">
        <x:f>ROUND(F2717*K2717/100,2)</x:f>
        <x:v>9.38</x:v>
      </x:c>
      <x:c r="M2717" t="n">
        <x:v>0.3</x:v>
      </x:c>
      <x:c r="N2717" t="n">
        <x:f>ROUND(F2717*M2717/100,2)</x:f>
        <x:v>0.38</x:v>
      </x:c>
      <x:c r="O2717" t="str">
        <x:v>生重</x:v>
      </x:c>
    </x:row>
    <x:row r="2718" ht="23" customHeight="1">
      <x:c r="A2718" t="n">
        <x:v>453</x:v>
      </x:c>
      <x:c r="B2718" t="n">
        <x:v>227</x:v>
      </x:c>
      <x:c r="C2718" t="str">
        <x:v>午餐</x:v>
      </x:c>
      <x:c r="D2718" t="str">
        <x:v>主食</x:v>
      </x:c>
      <x:c r="E2718" t="str">
        <x:v>杂粮饭</x:v>
      </x:c>
      <x:c r="F2718" t="n">
        <x:v>150</x:v>
      </x:c>
      <x:c r="G2718" t="n">
        <x:v>115</x:v>
      </x:c>
      <x:c r="H2718" t="n">
        <x:f>ROUND(F2718*G2718/100,2)</x:f>
        <x:v>172.5</x:v>
      </x:c>
      <x:c r="I2718" t="n">
        <x:v>3.1</x:v>
      </x:c>
      <x:c r="J2718" t="n">
        <x:f>ROUND(F2718*I2718/100,2)</x:f>
        <x:v>4.65</x:v>
      </x:c>
      <x:c r="K2718" t="n">
        <x:v>23.5</x:v>
      </x:c>
      <x:c r="L2718" t="n">
        <x:f>ROUND(F2718*K2718/100,2)</x:f>
        <x:v>35.25</x:v>
      </x:c>
      <x:c r="M2718" t="n">
        <x:v>1.1</x:v>
      </x:c>
      <x:c r="N2718" t="n">
        <x:f>ROUND(F2718*M2718/100,2)</x:f>
        <x:v>1.65</x:v>
      </x:c>
      <x:c r="O2718" t="str">
        <x:v>熟重</x:v>
      </x:c>
    </x:row>
    <x:row r="2719" ht="23" customHeight="1">
      <x:c r="A2719" t="n">
        <x:v>453</x:v>
      </x:c>
      <x:c r="B2719" t="n">
        <x:v>227</x:v>
      </x:c>
      <x:c r="C2719" t="str">
        <x:v>午餐</x:v>
      </x:c>
      <x:c r="D2719" t="str">
        <x:v>油脂</x:v>
      </x:c>
      <x:c r="E2719" t="str">
        <x:v>烹调油</x:v>
      </x:c>
      <x:c r="F2719" t="n">
        <x:v>3</x:v>
      </x:c>
      <x:c r="G2719" t="n">
        <x:v>900</x:v>
      </x:c>
      <x:c r="H2719" t="n">
        <x:f>ROUND(F2719*G2719/100,2)</x:f>
        <x:v>27</x:v>
      </x:c>
      <x:c r="I2719" t="n">
        <x:v>0</x:v>
      </x:c>
      <x:c r="J2719" t="n">
        <x:f>ROUND(F2719*I2719/100,2)</x:f>
        <x:v>0</x:v>
      </x:c>
      <x:c r="K2719" t="n">
        <x:v>0</x:v>
      </x:c>
      <x:c r="L2719" t="n">
        <x:f>ROUND(F2719*K2719/100,2)</x:f>
        <x:v>0</x:v>
      </x:c>
      <x:c r="M2719" t="n">
        <x:v>100</x:v>
      </x:c>
      <x:c r="N2719" t="n">
        <x:f>ROUND(F2719*M2719/100,2)</x:f>
        <x:v>3</x:v>
      </x:c>
      <x:c r="O2719" t="str">
        <x:v>实际用油重</x:v>
      </x:c>
    </x:row>
    <x:row r="2720" ht="23" customHeight="1">
      <x:c r="A2720" t="n">
        <x:v>454</x:v>
      </x:c>
      <x:c r="B2720" t="n">
        <x:v>227</x:v>
      </x:c>
      <x:c r="C2720" t="str">
        <x:v>晚餐</x:v>
      </x:c>
      <x:c r="D2720" t="str">
        <x:v>海鲜</x:v>
      </x:c>
      <x:c r="E2720" t="str">
        <x:v>虾仁</x:v>
      </x:c>
      <x:c r="F2720" t="n">
        <x:v>190</x:v>
      </x:c>
      <x:c r="G2720" t="n">
        <x:v>90</x:v>
      </x:c>
      <x:c r="H2720" t="n">
        <x:f>ROUND(F2720*G2720/100,2)</x:f>
        <x:v>171</x:v>
      </x:c>
      <x:c r="I2720" t="n">
        <x:v>19</x:v>
      </x:c>
      <x:c r="J2720" t="n">
        <x:f>ROUND(F2720*I2720/100,2)</x:f>
        <x:v>36.1</x:v>
      </x:c>
      <x:c r="K2720" t="n">
        <x:v>0.4</x:v>
      </x:c>
      <x:c r="L2720" t="n">
        <x:f>ROUND(F2720*K2720/100,2)</x:f>
        <x:v>0.76</x:v>
      </x:c>
      <x:c r="M2720" t="n">
        <x:v>1.1</x:v>
      </x:c>
      <x:c r="N2720" t="n">
        <x:f>ROUND(F2720*M2720/100,2)</x:f>
        <x:v>2.09</x:v>
      </x:c>
      <x:c r="O2720" t="str">
        <x:v>生重</x:v>
      </x:c>
    </x:row>
    <x:row r="2721" ht="23" customHeight="1">
      <x:c r="A2721" t="n">
        <x:v>454</x:v>
      </x:c>
      <x:c r="B2721" t="n">
        <x:v>227</x:v>
      </x:c>
      <x:c r="C2721" t="str">
        <x:v>晚餐</x:v>
      </x:c>
      <x:c r="D2721" t="str"/>
      <x:c r="E2721" t="str"/>
      <x:c r="F2721" t="n">
        <x:v>0</x:v>
      </x:c>
      <x:c r="G2721" t="n">
        <x:v>0</x:v>
      </x:c>
      <x:c r="H2721" t="n">
        <x:f>ROUND(F2721*G2721/100,2)</x:f>
        <x:v>0</x:v>
      </x:c>
      <x:c r="I2721" t="n">
        <x:v>0</x:v>
      </x:c>
      <x:c r="J2721" t="n">
        <x:f>ROUND(F2721*I2721/100,2)</x:f>
        <x:v>0</x:v>
      </x:c>
      <x:c r="K2721" t="n">
        <x:v>0</x:v>
      </x:c>
      <x:c r="L2721" t="n">
        <x:f>ROUND(F2721*K2721/100,2)</x:f>
        <x:v>0</x:v>
      </x:c>
      <x:c r="M2721" t="n">
        <x:v>0</x:v>
      </x:c>
      <x:c r="N2721" t="n">
        <x:f>ROUND(F2721*M2721/100,2)</x:f>
        <x:v>0</x:v>
      </x:c>
      <x:c r="O2721" t="str"/>
    </x:row>
    <x:row r="2722" ht="23" customHeight="1">
      <x:c r="A2722" t="n">
        <x:v>454</x:v>
      </x:c>
      <x:c r="B2722" t="n">
        <x:v>227</x:v>
      </x:c>
      <x:c r="C2722" t="str">
        <x:v>晚餐</x:v>
      </x:c>
      <x:c r="D2722" t="str">
        <x:v>蔬菜</x:v>
      </x:c>
      <x:c r="E2722" t="str">
        <x:v>小白菜</x:v>
      </x:c>
      <x:c r="F2722" t="n">
        <x:v>140</x:v>
      </x:c>
      <x:c r="G2722" t="n">
        <x:v>17</x:v>
      </x:c>
      <x:c r="H2722" t="n">
        <x:f>ROUND(F2722*G2722/100,2)</x:f>
        <x:v>23.8</x:v>
      </x:c>
      <x:c r="I2722" t="n">
        <x:v>1.6</x:v>
      </x:c>
      <x:c r="J2722" t="n">
        <x:f>ROUND(F2722*I2722/100,2)</x:f>
        <x:v>2.24</x:v>
      </x:c>
      <x:c r="K2722" t="n">
        <x:v>2.8</x:v>
      </x:c>
      <x:c r="L2722" t="n">
        <x:f>ROUND(F2722*K2722/100,2)</x:f>
        <x:v>3.92</x:v>
      </x:c>
      <x:c r="M2722" t="n">
        <x:v>0.2</x:v>
      </x:c>
      <x:c r="N2722" t="n">
        <x:f>ROUND(F2722*M2722/100,2)</x:f>
        <x:v>0.28</x:v>
      </x:c>
      <x:c r="O2722" t="str">
        <x:v>生重</x:v>
      </x:c>
    </x:row>
    <x:row r="2723" ht="23" customHeight="1">
      <x:c r="A2723" t="n">
        <x:v>454</x:v>
      </x:c>
      <x:c r="B2723" t="n">
        <x:v>227</x:v>
      </x:c>
      <x:c r="C2723" t="str">
        <x:v>晚餐</x:v>
      </x:c>
      <x:c r="D2723" t="str">
        <x:v>菌菇</x:v>
      </x:c>
      <x:c r="E2723" t="str">
        <x:v>金针菇</x:v>
      </x:c>
      <x:c r="F2723" t="n">
        <x:v>155</x:v>
      </x:c>
      <x:c r="G2723" t="n">
        <x:v>32</x:v>
      </x:c>
      <x:c r="H2723" t="n">
        <x:f>ROUND(F2723*G2723/100,2)</x:f>
        <x:v>49.6</x:v>
      </x:c>
      <x:c r="I2723" t="n">
        <x:v>2.4</x:v>
      </x:c>
      <x:c r="J2723" t="n">
        <x:f>ROUND(F2723*I2723/100,2)</x:f>
        <x:v>3.72</x:v>
      </x:c>
      <x:c r="K2723" t="n">
        <x:v>6.4</x:v>
      </x:c>
      <x:c r="L2723" t="n">
        <x:f>ROUND(F2723*K2723/100,2)</x:f>
        <x:v>9.92</x:v>
      </x:c>
      <x:c r="M2723" t="n">
        <x:v>0.2</x:v>
      </x:c>
      <x:c r="N2723" t="n">
        <x:f>ROUND(F2723*M2723/100,2)</x:f>
        <x:v>0.31</x:v>
      </x:c>
      <x:c r="O2723" t="str">
        <x:v>生重</x:v>
      </x:c>
    </x:row>
    <x:row r="2724" ht="23" customHeight="1">
      <x:c r="A2724" t="n">
        <x:v>454</x:v>
      </x:c>
      <x:c r="B2724" t="n">
        <x:v>227</x:v>
      </x:c>
      <x:c r="C2724" t="str">
        <x:v>晚餐</x:v>
      </x:c>
      <x:c r="D2724" t="str">
        <x:v>主食</x:v>
      </x:c>
      <x:c r="E2724" t="str">
        <x:v>红薯</x:v>
      </x:c>
      <x:c r="F2724" t="n">
        <x:v>95</x:v>
      </x:c>
      <x:c r="G2724" t="n">
        <x:v>88</x:v>
      </x:c>
      <x:c r="H2724" t="n">
        <x:f>ROUND(F2724*G2724/100,2)</x:f>
        <x:v>83.6</x:v>
      </x:c>
      <x:c r="I2724" t="n">
        <x:v>1.6</x:v>
      </x:c>
      <x:c r="J2724" t="n">
        <x:f>ROUND(F2724*I2724/100,2)</x:f>
        <x:v>1.52</x:v>
      </x:c>
      <x:c r="K2724" t="n">
        <x:v>20.5</x:v>
      </x:c>
      <x:c r="L2724" t="n">
        <x:f>ROUND(F2724*K2724/100,2)</x:f>
        <x:v>19.48</x:v>
      </x:c>
      <x:c r="M2724" t="n">
        <x:v>0.1</x:v>
      </x:c>
      <x:c r="N2724" t="n">
        <x:f>ROUND(F2724*M2724/100,2)</x:f>
        <x:v>0.1</x:v>
      </x:c>
      <x:c r="O2724" t="str">
        <x:v>蒸熟净重</x:v>
      </x:c>
    </x:row>
    <x:row r="2725" ht="23" customHeight="1">
      <x:c r="A2725" t="n">
        <x:v>454</x:v>
      </x:c>
      <x:c r="B2725" t="n">
        <x:v>227</x:v>
      </x:c>
      <x:c r="C2725" t="str">
        <x:v>晚餐</x:v>
      </x:c>
      <x:c r="D2725" t="str">
        <x:v>油脂</x:v>
      </x:c>
      <x:c r="E2725" t="str">
        <x:v>烹调油</x:v>
      </x:c>
      <x:c r="F2725" t="n">
        <x:v>5</x:v>
      </x:c>
      <x:c r="G2725" t="n">
        <x:v>900</x:v>
      </x:c>
      <x:c r="H2725" t="n">
        <x:f>ROUND(F2725*G2725/100,2)</x:f>
        <x:v>45</x:v>
      </x:c>
      <x:c r="I2725" t="n">
        <x:v>0</x:v>
      </x:c>
      <x:c r="J2725" t="n">
        <x:f>ROUND(F2725*I2725/100,2)</x:f>
        <x:v>0</x:v>
      </x:c>
      <x:c r="K2725" t="n">
        <x:v>0</x:v>
      </x:c>
      <x:c r="L2725" t="n">
        <x:f>ROUND(F2725*K2725/100,2)</x:f>
        <x:v>0</x:v>
      </x:c>
      <x:c r="M2725" t="n">
        <x:v>100</x:v>
      </x:c>
      <x:c r="N2725" t="n">
        <x:f>ROUND(F2725*M2725/100,2)</x:f>
        <x:v>5</x:v>
      </x:c>
      <x:c r="O2725" t="str">
        <x:v>实际用油重</x:v>
      </x:c>
    </x:row>
    <x:row r="2726" ht="23" customHeight="1">
      <x:c r="A2726" t="n">
        <x:v>455</x:v>
      </x:c>
      <x:c r="B2726" t="n">
        <x:v>228</x:v>
      </x:c>
      <x:c r="C2726" t="str">
        <x:v>午餐</x:v>
      </x:c>
      <x:c r="D2726" t="str">
        <x:v>禽肉</x:v>
      </x:c>
      <x:c r="E2726" t="str">
        <x:v>去皮鸡腿肉</x:v>
      </x:c>
      <x:c r="F2726" t="n">
        <x:v>155</x:v>
      </x:c>
      <x:c r="G2726" t="n">
        <x:v>125</x:v>
      </x:c>
      <x:c r="H2726" t="n">
        <x:f>ROUND(F2726*G2726/100,2)</x:f>
        <x:v>193.75</x:v>
      </x:c>
      <x:c r="I2726" t="n">
        <x:v>20</x:v>
      </x:c>
      <x:c r="J2726" t="n">
        <x:f>ROUND(F2726*I2726/100,2)</x:f>
        <x:v>31</x:v>
      </x:c>
      <x:c r="K2726" t="n">
        <x:v>0</x:v>
      </x:c>
      <x:c r="L2726" t="n">
        <x:f>ROUND(F2726*K2726/100,2)</x:f>
        <x:v>0</x:v>
      </x:c>
      <x:c r="M2726" t="n">
        <x:v>5</x:v>
      </x:c>
      <x:c r="N2726" t="n">
        <x:f>ROUND(F2726*M2726/100,2)</x:f>
        <x:v>7.75</x:v>
      </x:c>
      <x:c r="O2726" t="str">
        <x:v>生重</x:v>
      </x:c>
    </x:row>
    <x:row r="2727" ht="23" customHeight="1">
      <x:c r="A2727" t="n">
        <x:v>455</x:v>
      </x:c>
      <x:c r="B2727" t="n">
        <x:v>228</x:v>
      </x:c>
      <x:c r="C2727" t="str">
        <x:v>午餐</x:v>
      </x:c>
      <x:c r="D2727" t="str"/>
      <x:c r="E2727" t="str"/>
      <x:c r="F2727" t="n">
        <x:v>0</x:v>
      </x:c>
      <x:c r="G2727" t="n">
        <x:v>0</x:v>
      </x:c>
      <x:c r="H2727" t="n">
        <x:f>ROUND(F2727*G2727/100,2)</x:f>
        <x:v>0</x:v>
      </x:c>
      <x:c r="I2727" t="n">
        <x:v>0</x:v>
      </x:c>
      <x:c r="J2727" t="n">
        <x:f>ROUND(F2727*I2727/100,2)</x:f>
        <x:v>0</x:v>
      </x:c>
      <x:c r="K2727" t="n">
        <x:v>0</x:v>
      </x:c>
      <x:c r="L2727" t="n">
        <x:f>ROUND(F2727*K2727/100,2)</x:f>
        <x:v>0</x:v>
      </x:c>
      <x:c r="M2727" t="n">
        <x:v>0</x:v>
      </x:c>
      <x:c r="N2727" t="n">
        <x:f>ROUND(F2727*M2727/100,2)</x:f>
        <x:v>0</x:v>
      </x:c>
      <x:c r="O2727" t="str"/>
    </x:row>
    <x:row r="2728" ht="23" customHeight="1">
      <x:c r="A2728" t="n">
        <x:v>455</x:v>
      </x:c>
      <x:c r="B2728" t="n">
        <x:v>228</x:v>
      </x:c>
      <x:c r="C2728" t="str">
        <x:v>午餐</x:v>
      </x:c>
      <x:c r="D2728" t="str">
        <x:v>蔬菜</x:v>
      </x:c>
      <x:c r="E2728" t="str">
        <x:v>西葫芦</x:v>
      </x:c>
      <x:c r="F2728" t="n">
        <x:v>175</x:v>
      </x:c>
      <x:c r="G2728" t="n">
        <x:v>17</x:v>
      </x:c>
      <x:c r="H2728" t="n">
        <x:f>ROUND(F2728*G2728/100,2)</x:f>
        <x:v>29.75</x:v>
      </x:c>
      <x:c r="I2728" t="n">
        <x:v>1.2</x:v>
      </x:c>
      <x:c r="J2728" t="n">
        <x:f>ROUND(F2728*I2728/100,2)</x:f>
        <x:v>2.1</x:v>
      </x:c>
      <x:c r="K2728" t="n">
        <x:v>3.1</x:v>
      </x:c>
      <x:c r="L2728" t="n">
        <x:f>ROUND(F2728*K2728/100,2)</x:f>
        <x:v>5.43</x:v>
      </x:c>
      <x:c r="M2728" t="n">
        <x:v>0.3</x:v>
      </x:c>
      <x:c r="N2728" t="n">
        <x:f>ROUND(F2728*M2728/100,2)</x:f>
        <x:v>0.53</x:v>
      </x:c>
      <x:c r="O2728" t="str">
        <x:v>生重</x:v>
      </x:c>
    </x:row>
    <x:row r="2729" ht="23" customHeight="1">
      <x:c r="A2729" t="n">
        <x:v>455</x:v>
      </x:c>
      <x:c r="B2729" t="n">
        <x:v>228</x:v>
      </x:c>
      <x:c r="C2729" t="str">
        <x:v>午餐</x:v>
      </x:c>
      <x:c r="D2729" t="str">
        <x:v>菌菇</x:v>
      </x:c>
      <x:c r="E2729" t="str">
        <x:v>香菇</x:v>
      </x:c>
      <x:c r="F2729" t="n">
        <x:v>140</x:v>
      </x:c>
      <x:c r="G2729" t="n">
        <x:v>34</x:v>
      </x:c>
      <x:c r="H2729" t="n">
        <x:f>ROUND(F2729*G2729/100,2)</x:f>
        <x:v>47.6</x:v>
      </x:c>
      <x:c r="I2729" t="n">
        <x:v>2.2</x:v>
      </x:c>
      <x:c r="J2729" t="n">
        <x:f>ROUND(F2729*I2729/100,2)</x:f>
        <x:v>3.08</x:v>
      </x:c>
      <x:c r="K2729" t="n">
        <x:v>6.8</x:v>
      </x:c>
      <x:c r="L2729" t="n">
        <x:f>ROUND(F2729*K2729/100,2)</x:f>
        <x:v>9.52</x:v>
      </x:c>
      <x:c r="M2729" t="n">
        <x:v>0.5</x:v>
      </x:c>
      <x:c r="N2729" t="n">
        <x:f>ROUND(F2729*M2729/100,2)</x:f>
        <x:v>0.7</x:v>
      </x:c>
      <x:c r="O2729" t="str">
        <x:v>生重</x:v>
      </x:c>
    </x:row>
    <x:row r="2730" ht="23" customHeight="1">
      <x:c r="A2730" t="n">
        <x:v>455</x:v>
      </x:c>
      <x:c r="B2730" t="n">
        <x:v>228</x:v>
      </x:c>
      <x:c r="C2730" t="str">
        <x:v>午餐</x:v>
      </x:c>
      <x:c r="D2730" t="str">
        <x:v>主食</x:v>
      </x:c>
      <x:c r="E2730" t="str">
        <x:v>杂粮饭</x:v>
      </x:c>
      <x:c r="F2730" t="n">
        <x:v>165</x:v>
      </x:c>
      <x:c r="G2730" t="n">
        <x:v>115</x:v>
      </x:c>
      <x:c r="H2730" t="n">
        <x:f>ROUND(F2730*G2730/100,2)</x:f>
        <x:v>189.75</x:v>
      </x:c>
      <x:c r="I2730" t="n">
        <x:v>3.1</x:v>
      </x:c>
      <x:c r="J2730" t="n">
        <x:f>ROUND(F2730*I2730/100,2)</x:f>
        <x:v>5.12</x:v>
      </x:c>
      <x:c r="K2730" t="n">
        <x:v>23.5</x:v>
      </x:c>
      <x:c r="L2730" t="n">
        <x:f>ROUND(F2730*K2730/100,2)</x:f>
        <x:v>38.78</x:v>
      </x:c>
      <x:c r="M2730" t="n">
        <x:v>1.1</x:v>
      </x:c>
      <x:c r="N2730" t="n">
        <x:f>ROUND(F2730*M2730/100,2)</x:f>
        <x:v>1.82</x:v>
      </x:c>
      <x:c r="O2730" t="str">
        <x:v>熟重</x:v>
      </x:c>
    </x:row>
    <x:row r="2731" ht="23" customHeight="1">
      <x:c r="A2731" t="n">
        <x:v>455</x:v>
      </x:c>
      <x:c r="B2731" t="n">
        <x:v>228</x:v>
      </x:c>
      <x:c r="C2731" t="str">
        <x:v>午餐</x:v>
      </x:c>
      <x:c r="D2731" t="str">
        <x:v>油脂</x:v>
      </x:c>
      <x:c r="E2731" t="str">
        <x:v>烹调油</x:v>
      </x:c>
      <x:c r="F2731" t="n">
        <x:v>5</x:v>
      </x:c>
      <x:c r="G2731" t="n">
        <x:v>900</x:v>
      </x:c>
      <x:c r="H2731" t="n">
        <x:f>ROUND(F2731*G2731/100,2)</x:f>
        <x:v>45</x:v>
      </x:c>
      <x:c r="I2731" t="n">
        <x:v>0</x:v>
      </x:c>
      <x:c r="J2731" t="n">
        <x:f>ROUND(F2731*I2731/100,2)</x:f>
        <x:v>0</x:v>
      </x:c>
      <x:c r="K2731" t="n">
        <x:v>0</x:v>
      </x:c>
      <x:c r="L2731" t="n">
        <x:f>ROUND(F2731*K2731/100,2)</x:f>
        <x:v>0</x:v>
      </x:c>
      <x:c r="M2731" t="n">
        <x:v>100</x:v>
      </x:c>
      <x:c r="N2731" t="n">
        <x:f>ROUND(F2731*M2731/100,2)</x:f>
        <x:v>5</x:v>
      </x:c>
      <x:c r="O2731" t="str">
        <x:v>实际用油重</x:v>
      </x:c>
    </x:row>
    <x:row r="2732" ht="23" customHeight="1">
      <x:c r="A2732" t="n">
        <x:v>456</x:v>
      </x:c>
      <x:c r="B2732" t="n">
        <x:v>228</x:v>
      </x:c>
      <x:c r="C2732" t="str">
        <x:v>晚餐</x:v>
      </x:c>
      <x:c r="D2732" t="str">
        <x:v>猪肉</x:v>
      </x:c>
      <x:c r="E2732" t="str">
        <x:v>猪瘦肉</x:v>
      </x:c>
      <x:c r="F2732" t="n">
        <x:v>160</x:v>
      </x:c>
      <x:c r="G2732" t="n">
        <x:v>130</x:v>
      </x:c>
      <x:c r="H2732" t="n">
        <x:f>ROUND(F2732*G2732/100,2)</x:f>
        <x:v>208</x:v>
      </x:c>
      <x:c r="I2732" t="n">
        <x:v>20</x:v>
      </x:c>
      <x:c r="J2732" t="n">
        <x:f>ROUND(F2732*I2732/100,2)</x:f>
        <x:v>32</x:v>
      </x:c>
      <x:c r="K2732" t="n">
        <x:v>0</x:v>
      </x:c>
      <x:c r="L2732" t="n">
        <x:f>ROUND(F2732*K2732/100,2)</x:f>
        <x:v>0</x:v>
      </x:c>
      <x:c r="M2732" t="n">
        <x:v>5.5</x:v>
      </x:c>
      <x:c r="N2732" t="n">
        <x:f>ROUND(F2732*M2732/100,2)</x:f>
        <x:v>8.8</x:v>
      </x:c>
      <x:c r="O2732" t="str">
        <x:v>生重</x:v>
      </x:c>
    </x:row>
    <x:row r="2733" ht="23" customHeight="1">
      <x:c r="A2733" t="n">
        <x:v>456</x:v>
      </x:c>
      <x:c r="B2733" t="n">
        <x:v>228</x:v>
      </x:c>
      <x:c r="C2733" t="str">
        <x:v>晚餐</x:v>
      </x:c>
      <x:c r="D2733" t="str"/>
      <x:c r="E2733" t="str"/>
      <x:c r="F2733" t="n">
        <x:v>0</x:v>
      </x:c>
      <x:c r="G2733" t="n">
        <x:v>0</x:v>
      </x:c>
      <x:c r="H2733" t="n">
        <x:f>ROUND(F2733*G2733/100,2)</x:f>
        <x:v>0</x:v>
      </x:c>
      <x:c r="I2733" t="n">
        <x:v>0</x:v>
      </x:c>
      <x:c r="J2733" t="n">
        <x:f>ROUND(F2733*I2733/100,2)</x:f>
        <x:v>0</x:v>
      </x:c>
      <x:c r="K2733" t="n">
        <x:v>0</x:v>
      </x:c>
      <x:c r="L2733" t="n">
        <x:f>ROUND(F2733*K2733/100,2)</x:f>
        <x:v>0</x:v>
      </x:c>
      <x:c r="M2733" t="n">
        <x:v>0</x:v>
      </x:c>
      <x:c r="N2733" t="n">
        <x:f>ROUND(F2733*M2733/100,2)</x:f>
        <x:v>0</x:v>
      </x:c>
      <x:c r="O2733" t="str"/>
    </x:row>
    <x:row r="2734" ht="23" customHeight="1">
      <x:c r="A2734" t="n">
        <x:v>456</x:v>
      </x:c>
      <x:c r="B2734" t="n">
        <x:v>228</x:v>
      </x:c>
      <x:c r="C2734" t="str">
        <x:v>晚餐</x:v>
      </x:c>
      <x:c r="D2734" t="str">
        <x:v>蔬菜</x:v>
      </x:c>
      <x:c r="E2734" t="str">
        <x:v>番茄</x:v>
      </x:c>
      <x:c r="F2734" t="n">
        <x:v>175</x:v>
      </x:c>
      <x:c r="G2734" t="n">
        <x:v>20</x:v>
      </x:c>
      <x:c r="H2734" t="n">
        <x:f>ROUND(F2734*G2734/100,2)</x:f>
        <x:v>35</x:v>
      </x:c>
      <x:c r="I2734" t="n">
        <x:v>0.9</x:v>
      </x:c>
      <x:c r="J2734" t="n">
        <x:f>ROUND(F2734*I2734/100,2)</x:f>
        <x:v>1.58</x:v>
      </x:c>
      <x:c r="K2734" t="n">
        <x:v>4</x:v>
      </x:c>
      <x:c r="L2734" t="n">
        <x:f>ROUND(F2734*K2734/100,2)</x:f>
        <x:v>7</x:v>
      </x:c>
      <x:c r="M2734" t="n">
        <x:v>0.2</x:v>
      </x:c>
      <x:c r="N2734" t="n">
        <x:f>ROUND(F2734*M2734/100,2)</x:f>
        <x:v>0.35</x:v>
      </x:c>
      <x:c r="O2734" t="str">
        <x:v>生重</x:v>
      </x:c>
    </x:row>
    <x:row r="2735" ht="23" customHeight="1">
      <x:c r="A2735" t="n">
        <x:v>456</x:v>
      </x:c>
      <x:c r="B2735" t="n">
        <x:v>228</x:v>
      </x:c>
      <x:c r="C2735" t="str">
        <x:v>晚餐</x:v>
      </x:c>
      <x:c r="D2735" t="str">
        <x:v>菌菇</x:v>
      </x:c>
      <x:c r="E2735" t="str">
        <x:v>杏鲍菇</x:v>
      </x:c>
      <x:c r="F2735" t="n">
        <x:v>125</x:v>
      </x:c>
      <x:c r="G2735" t="n">
        <x:v>35</x:v>
      </x:c>
      <x:c r="H2735" t="n">
        <x:f>ROUND(F2735*G2735/100,2)</x:f>
        <x:v>43.75</x:v>
      </x:c>
      <x:c r="I2735" t="n">
        <x:v>2</x:v>
      </x:c>
      <x:c r="J2735" t="n">
        <x:f>ROUND(F2735*I2735/100,2)</x:f>
        <x:v>2.5</x:v>
      </x:c>
      <x:c r="K2735" t="n">
        <x:v>7.4</x:v>
      </x:c>
      <x:c r="L2735" t="n">
        <x:f>ROUND(F2735*K2735/100,2)</x:f>
        <x:v>9.25</x:v>
      </x:c>
      <x:c r="M2735" t="n">
        <x:v>0.3</x:v>
      </x:c>
      <x:c r="N2735" t="n">
        <x:f>ROUND(F2735*M2735/100,2)</x:f>
        <x:v>0.38</x:v>
      </x:c>
      <x:c r="O2735" t="str">
        <x:v>生重</x:v>
      </x:c>
    </x:row>
    <x:row r="2736" ht="23" customHeight="1">
      <x:c r="A2736" t="n">
        <x:v>456</x:v>
      </x:c>
      <x:c r="B2736" t="n">
        <x:v>228</x:v>
      </x:c>
      <x:c r="C2736" t="str">
        <x:v>晚餐</x:v>
      </x:c>
      <x:c r="D2736" t="str">
        <x:v>主食</x:v>
      </x:c>
      <x:c r="E2736" t="str">
        <x:v>全麦面</x:v>
      </x:c>
      <x:c r="F2736" t="n">
        <x:v>80</x:v>
      </x:c>
      <x:c r="G2736" t="n">
        <x:v>124</x:v>
      </x:c>
      <x:c r="H2736" t="n">
        <x:f>ROUND(F2736*G2736/100,2)</x:f>
        <x:v>99.2</x:v>
      </x:c>
      <x:c r="I2736" t="n">
        <x:v>5</x:v>
      </x:c>
      <x:c r="J2736" t="n">
        <x:f>ROUND(F2736*I2736/100,2)</x:f>
        <x:v>4</x:v>
      </x:c>
      <x:c r="K2736" t="n">
        <x:v>25</x:v>
      </x:c>
      <x:c r="L2736" t="n">
        <x:f>ROUND(F2736*K2736/100,2)</x:f>
        <x:v>20</x:v>
      </x:c>
      <x:c r="M2736" t="n">
        <x:v>1.1</x:v>
      </x:c>
      <x:c r="N2736" t="n">
        <x:f>ROUND(F2736*M2736/100,2)</x:f>
        <x:v>0.88</x:v>
      </x:c>
      <x:c r="O2736" t="str">
        <x:v>煮熟沥水重</x:v>
      </x:c>
    </x:row>
    <x:row r="2737" ht="23" customHeight="1">
      <x:c r="A2737" t="n">
        <x:v>456</x:v>
      </x:c>
      <x:c r="B2737" t="n">
        <x:v>228</x:v>
      </x:c>
      <x:c r="C2737" t="str">
        <x:v>晚餐</x:v>
      </x:c>
      <x:c r="D2737" t="str">
        <x:v>油脂</x:v>
      </x:c>
      <x:c r="E2737" t="str">
        <x:v>烹调油</x:v>
      </x:c>
      <x:c r="F2737" t="n">
        <x:v>5</x:v>
      </x:c>
      <x:c r="G2737" t="n">
        <x:v>900</x:v>
      </x:c>
      <x:c r="H2737" t="n">
        <x:f>ROUND(F2737*G2737/100,2)</x:f>
        <x:v>45</x:v>
      </x:c>
      <x:c r="I2737" t="n">
        <x:v>0</x:v>
      </x:c>
      <x:c r="J2737" t="n">
        <x:f>ROUND(F2737*I2737/100,2)</x:f>
        <x:v>0</x:v>
      </x:c>
      <x:c r="K2737" t="n">
        <x:v>0</x:v>
      </x:c>
      <x:c r="L2737" t="n">
        <x:f>ROUND(F2737*K2737/100,2)</x:f>
        <x:v>0</x:v>
      </x:c>
      <x:c r="M2737" t="n">
        <x:v>100</x:v>
      </x:c>
      <x:c r="N2737" t="n">
        <x:f>ROUND(F2737*M2737/100,2)</x:f>
        <x:v>5</x:v>
      </x:c>
      <x:c r="O2737" t="str">
        <x:v>实际用油重</x:v>
      </x:c>
    </x:row>
    <x:row r="2738" ht="23" customHeight="1">
      <x:c r="A2738" t="n">
        <x:v>457</x:v>
      </x:c>
      <x:c r="B2738" t="n">
        <x:v>229</x:v>
      </x:c>
      <x:c r="C2738" t="str">
        <x:v>午餐</x:v>
      </x:c>
      <x:c r="D2738" t="str">
        <x:v>牛肉</x:v>
      </x:c>
      <x:c r="E2738" t="str">
        <x:v>瘦牛肉</x:v>
      </x:c>
      <x:c r="F2738" t="n">
        <x:v>155</x:v>
      </x:c>
      <x:c r="G2738" t="n">
        <x:v>125</x:v>
      </x:c>
      <x:c r="H2738" t="n">
        <x:f>ROUND(F2738*G2738/100,2)</x:f>
        <x:v>193.75</x:v>
      </x:c>
      <x:c r="I2738" t="n">
        <x:v>21</x:v>
      </x:c>
      <x:c r="J2738" t="n">
        <x:f>ROUND(F2738*I2738/100,2)</x:f>
        <x:v>32.55</x:v>
      </x:c>
      <x:c r="K2738" t="n">
        <x:v>0</x:v>
      </x:c>
      <x:c r="L2738" t="n">
        <x:f>ROUND(F2738*K2738/100,2)</x:f>
        <x:v>0</x:v>
      </x:c>
      <x:c r="M2738" t="n">
        <x:v>4</x:v>
      </x:c>
      <x:c r="N2738" t="n">
        <x:f>ROUND(F2738*M2738/100,2)</x:f>
        <x:v>6.2</x:v>
      </x:c>
      <x:c r="O2738" t="str">
        <x:v>生重</x:v>
      </x:c>
    </x:row>
    <x:row r="2739" ht="23" customHeight="1">
      <x:c r="A2739" t="n">
        <x:v>457</x:v>
      </x:c>
      <x:c r="B2739" t="n">
        <x:v>229</x:v>
      </x:c>
      <x:c r="C2739" t="str">
        <x:v>午餐</x:v>
      </x:c>
      <x:c r="D2739" t="str"/>
      <x:c r="E2739" t="str"/>
      <x:c r="F2739" t="n">
        <x:v>0</x:v>
      </x:c>
      <x:c r="G2739" t="n">
        <x:v>0</x:v>
      </x:c>
      <x:c r="H2739" t="n">
        <x:f>ROUND(F2739*G2739/100,2)</x:f>
        <x:v>0</x:v>
      </x:c>
      <x:c r="I2739" t="n">
        <x:v>0</x:v>
      </x:c>
      <x:c r="J2739" t="n">
        <x:f>ROUND(F2739*I2739/100,2)</x:f>
        <x:v>0</x:v>
      </x:c>
      <x:c r="K2739" t="n">
        <x:v>0</x:v>
      </x:c>
      <x:c r="L2739" t="n">
        <x:f>ROUND(F2739*K2739/100,2)</x:f>
        <x:v>0</x:v>
      </x:c>
      <x:c r="M2739" t="n">
        <x:v>0</x:v>
      </x:c>
      <x:c r="N2739" t="n">
        <x:f>ROUND(F2739*M2739/100,2)</x:f>
        <x:v>0</x:v>
      </x:c>
      <x:c r="O2739" t="str"/>
    </x:row>
    <x:row r="2740" ht="23" customHeight="1">
      <x:c r="A2740" t="n">
        <x:v>457</x:v>
      </x:c>
      <x:c r="B2740" t="n">
        <x:v>229</x:v>
      </x:c>
      <x:c r="C2740" t="str">
        <x:v>午餐</x:v>
      </x:c>
      <x:c r="D2740" t="str">
        <x:v>蔬菜</x:v>
      </x:c>
      <x:c r="E2740" t="str">
        <x:v>西兰花</x:v>
      </x:c>
      <x:c r="F2740" t="n">
        <x:v>160</x:v>
      </x:c>
      <x:c r="G2740" t="n">
        <x:v>34</x:v>
      </x:c>
      <x:c r="H2740" t="n">
        <x:f>ROUND(F2740*G2740/100,2)</x:f>
        <x:v>54.4</x:v>
      </x:c>
      <x:c r="I2740" t="n">
        <x:v>2.8</x:v>
      </x:c>
      <x:c r="J2740" t="n">
        <x:f>ROUND(F2740*I2740/100,2)</x:f>
        <x:v>4.48</x:v>
      </x:c>
      <x:c r="K2740" t="n">
        <x:v>7</x:v>
      </x:c>
      <x:c r="L2740" t="n">
        <x:f>ROUND(F2740*K2740/100,2)</x:f>
        <x:v>11.2</x:v>
      </x:c>
      <x:c r="M2740" t="n">
        <x:v>0.4</x:v>
      </x:c>
      <x:c r="N2740" t="n">
        <x:f>ROUND(F2740*M2740/100,2)</x:f>
        <x:v>0.64</x:v>
      </x:c>
      <x:c r="O2740" t="str">
        <x:v>生重</x:v>
      </x:c>
    </x:row>
    <x:row r="2741" ht="23" customHeight="1">
      <x:c r="A2741" t="n">
        <x:v>457</x:v>
      </x:c>
      <x:c r="B2741" t="n">
        <x:v>229</x:v>
      </x:c>
      <x:c r="C2741" t="str">
        <x:v>午餐</x:v>
      </x:c>
      <x:c r="D2741" t="str">
        <x:v>蔬菜</x:v>
      </x:c>
      <x:c r="E2741" t="str">
        <x:v>洋葱</x:v>
      </x:c>
      <x:c r="F2741" t="n">
        <x:v>155</x:v>
      </x:c>
      <x:c r="G2741" t="n">
        <x:v>40</x:v>
      </x:c>
      <x:c r="H2741" t="n">
        <x:f>ROUND(F2741*G2741/100,2)</x:f>
        <x:v>62</x:v>
      </x:c>
      <x:c r="I2741" t="n">
        <x:v>1.1</x:v>
      </x:c>
      <x:c r="J2741" t="n">
        <x:f>ROUND(F2741*I2741/100,2)</x:f>
        <x:v>1.71</x:v>
      </x:c>
      <x:c r="K2741" t="n">
        <x:v>9.3</x:v>
      </x:c>
      <x:c r="L2741" t="n">
        <x:f>ROUND(F2741*K2741/100,2)</x:f>
        <x:v>14.42</x:v>
      </x:c>
      <x:c r="M2741" t="n">
        <x:v>0.1</x:v>
      </x:c>
      <x:c r="N2741" t="n">
        <x:f>ROUND(F2741*M2741/100,2)</x:f>
        <x:v>0.16</x:v>
      </x:c>
      <x:c r="O2741" t="str">
        <x:v>生重</x:v>
      </x:c>
    </x:row>
    <x:row r="2742" ht="23" customHeight="1">
      <x:c r="A2742" t="n">
        <x:v>457</x:v>
      </x:c>
      <x:c r="B2742" t="n">
        <x:v>229</x:v>
      </x:c>
      <x:c r="C2742" t="str">
        <x:v>午餐</x:v>
      </x:c>
      <x:c r="D2742" t="str">
        <x:v>主食</x:v>
      </x:c>
      <x:c r="E2742" t="str">
        <x:v>燕麦饭</x:v>
      </x:c>
      <x:c r="F2742" t="n">
        <x:v>165</x:v>
      </x:c>
      <x:c r="G2742" t="n">
        <x:v>110</x:v>
      </x:c>
      <x:c r="H2742" t="n">
        <x:f>ROUND(F2742*G2742/100,2)</x:f>
        <x:v>181.5</x:v>
      </x:c>
      <x:c r="I2742" t="n">
        <x:v>3.2</x:v>
      </x:c>
      <x:c r="J2742" t="n">
        <x:f>ROUND(F2742*I2742/100,2)</x:f>
        <x:v>5.28</x:v>
      </x:c>
      <x:c r="K2742" t="n">
        <x:v>21</x:v>
      </x:c>
      <x:c r="L2742" t="n">
        <x:f>ROUND(F2742*K2742/100,2)</x:f>
        <x:v>34.65</x:v>
      </x:c>
      <x:c r="M2742" t="n">
        <x:v>1.8</x:v>
      </x:c>
      <x:c r="N2742" t="n">
        <x:f>ROUND(F2742*M2742/100,2)</x:f>
        <x:v>2.97</x:v>
      </x:c>
      <x:c r="O2742" t="str">
        <x:v>熟重</x:v>
      </x:c>
    </x:row>
    <x:row r="2743" ht="23" customHeight="1">
      <x:c r="A2743" t="n">
        <x:v>457</x:v>
      </x:c>
      <x:c r="B2743" t="n">
        <x:v>229</x:v>
      </x:c>
      <x:c r="C2743" t="str">
        <x:v>午餐</x:v>
      </x:c>
      <x:c r="D2743" t="str">
        <x:v>油脂</x:v>
      </x:c>
      <x:c r="E2743" t="str">
        <x:v>烹调油</x:v>
      </x:c>
      <x:c r="F2743" t="n">
        <x:v>5</x:v>
      </x:c>
      <x:c r="G2743" t="n">
        <x:v>900</x:v>
      </x:c>
      <x:c r="H2743" t="n">
        <x:f>ROUND(F2743*G2743/100,2)</x:f>
        <x:v>45</x:v>
      </x:c>
      <x:c r="I2743" t="n">
        <x:v>0</x:v>
      </x:c>
      <x:c r="J2743" t="n">
        <x:f>ROUND(F2743*I2743/100,2)</x:f>
        <x:v>0</x:v>
      </x:c>
      <x:c r="K2743" t="n">
        <x:v>0</x:v>
      </x:c>
      <x:c r="L2743" t="n">
        <x:f>ROUND(F2743*K2743/100,2)</x:f>
        <x:v>0</x:v>
      </x:c>
      <x:c r="M2743" t="n">
        <x:v>100</x:v>
      </x:c>
      <x:c r="N2743" t="n">
        <x:f>ROUND(F2743*M2743/100,2)</x:f>
        <x:v>5</x:v>
      </x:c>
      <x:c r="O2743" t="str">
        <x:v>实际用油重</x:v>
      </x:c>
    </x:row>
    <x:row r="2744" ht="23" customHeight="1">
      <x:c r="A2744" t="n">
        <x:v>458</x:v>
      </x:c>
      <x:c r="B2744" t="n">
        <x:v>229</x:v>
      </x:c>
      <x:c r="C2744" t="str">
        <x:v>晚餐</x:v>
      </x:c>
      <x:c r="D2744" t="str">
        <x:v>豆蛋</x:v>
      </x:c>
      <x:c r="E2744" t="str">
        <x:v>鸡蛋</x:v>
      </x:c>
      <x:c r="F2744" t="n">
        <x:v>100</x:v>
      </x:c>
      <x:c r="G2744" t="n">
        <x:v>144</x:v>
      </x:c>
      <x:c r="H2744" t="n">
        <x:f>ROUND(F2744*G2744/100,2)</x:f>
        <x:v>144</x:v>
      </x:c>
      <x:c r="I2744" t="n">
        <x:v>13</x:v>
      </x:c>
      <x:c r="J2744" t="n">
        <x:f>ROUND(F2744*I2744/100,2)</x:f>
        <x:v>13</x:v>
      </x:c>
      <x:c r="K2744" t="n">
        <x:v>1.1</x:v>
      </x:c>
      <x:c r="L2744" t="n">
        <x:f>ROUND(F2744*K2744/100,2)</x:f>
        <x:v>1.1</x:v>
      </x:c>
      <x:c r="M2744" t="n">
        <x:v>10</x:v>
      </x:c>
      <x:c r="N2744" t="n">
        <x:f>ROUND(F2744*M2744/100,2)</x:f>
        <x:v>10</x:v>
      </x:c>
      <x:c r="O2744" t="str">
        <x:v>去壳可食重</x:v>
      </x:c>
    </x:row>
    <x:row r="2745" ht="23" customHeight="1">
      <x:c r="A2745" t="n">
        <x:v>458</x:v>
      </x:c>
      <x:c r="B2745" t="n">
        <x:v>229</x:v>
      </x:c>
      <x:c r="C2745" t="str">
        <x:v>晚餐</x:v>
      </x:c>
      <x:c r="D2745" t="str">
        <x:v>豆蛋</x:v>
      </x:c>
      <x:c r="E2745" t="str">
        <x:v>北豆腐</x:v>
      </x:c>
      <x:c r="F2745" t="n">
        <x:v>130</x:v>
      </x:c>
      <x:c r="G2745" t="n">
        <x:v>90</x:v>
      </x:c>
      <x:c r="H2745" t="n">
        <x:f>ROUND(F2745*G2745/100,2)</x:f>
        <x:v>117</x:v>
      </x:c>
      <x:c r="I2745" t="n">
        <x:v>10</x:v>
      </x:c>
      <x:c r="J2745" t="n">
        <x:f>ROUND(F2745*I2745/100,2)</x:f>
        <x:v>13</x:v>
      </x:c>
      <x:c r="K2745" t="n">
        <x:v>2</x:v>
      </x:c>
      <x:c r="L2745" t="n">
        <x:f>ROUND(F2745*K2745/100,2)</x:f>
        <x:v>2.6</x:v>
      </x:c>
      <x:c r="M2745" t="n">
        <x:v>5</x:v>
      </x:c>
      <x:c r="N2745" t="n">
        <x:f>ROUND(F2745*M2745/100,2)</x:f>
        <x:v>6.5</x:v>
      </x:c>
      <x:c r="O2745" t="str">
        <x:v>净重</x:v>
      </x:c>
    </x:row>
    <x:row r="2746" ht="23" customHeight="1">
      <x:c r="A2746" t="n">
        <x:v>458</x:v>
      </x:c>
      <x:c r="B2746" t="n">
        <x:v>229</x:v>
      </x:c>
      <x:c r="C2746" t="str">
        <x:v>晚餐</x:v>
      </x:c>
      <x:c r="D2746" t="str">
        <x:v>蔬菜</x:v>
      </x:c>
      <x:c r="E2746" t="str">
        <x:v>小白菜</x:v>
      </x:c>
      <x:c r="F2746" t="n">
        <x:v>140</x:v>
      </x:c>
      <x:c r="G2746" t="n">
        <x:v>17</x:v>
      </x:c>
      <x:c r="H2746" t="n">
        <x:f>ROUND(F2746*G2746/100,2)</x:f>
        <x:v>23.8</x:v>
      </x:c>
      <x:c r="I2746" t="n">
        <x:v>1.6</x:v>
      </x:c>
      <x:c r="J2746" t="n">
        <x:f>ROUND(F2746*I2746/100,2)</x:f>
        <x:v>2.24</x:v>
      </x:c>
      <x:c r="K2746" t="n">
        <x:v>2.8</x:v>
      </x:c>
      <x:c r="L2746" t="n">
        <x:f>ROUND(F2746*K2746/100,2)</x:f>
        <x:v>3.92</x:v>
      </x:c>
      <x:c r="M2746" t="n">
        <x:v>0.2</x:v>
      </x:c>
      <x:c r="N2746" t="n">
        <x:f>ROUND(F2746*M2746/100,2)</x:f>
        <x:v>0.28</x:v>
      </x:c>
      <x:c r="O2746" t="str">
        <x:v>生重</x:v>
      </x:c>
    </x:row>
    <x:row r="2747" ht="23" customHeight="1">
      <x:c r="A2747" t="n">
        <x:v>458</x:v>
      </x:c>
      <x:c r="B2747" t="n">
        <x:v>229</x:v>
      </x:c>
      <x:c r="C2747" t="str">
        <x:v>晚餐</x:v>
      </x:c>
      <x:c r="D2747" t="str">
        <x:v>蔬菜</x:v>
      </x:c>
      <x:c r="E2747" t="str">
        <x:v>彩椒</x:v>
      </x:c>
      <x:c r="F2747" t="n">
        <x:v>155</x:v>
      </x:c>
      <x:c r="G2747" t="n">
        <x:v>27</x:v>
      </x:c>
      <x:c r="H2747" t="n">
        <x:f>ROUND(F2747*G2747/100,2)</x:f>
        <x:v>41.85</x:v>
      </x:c>
      <x:c r="I2747" t="n">
        <x:v>1</x:v>
      </x:c>
      <x:c r="J2747" t="n">
        <x:f>ROUND(F2747*I2747/100,2)</x:f>
        <x:v>1.55</x:v>
      </x:c>
      <x:c r="K2747" t="n">
        <x:v>6.1</x:v>
      </x:c>
      <x:c r="L2747" t="n">
        <x:f>ROUND(F2747*K2747/100,2)</x:f>
        <x:v>9.46</x:v>
      </x:c>
      <x:c r="M2747" t="n">
        <x:v>0.2</x:v>
      </x:c>
      <x:c r="N2747" t="n">
        <x:f>ROUND(F2747*M2747/100,2)</x:f>
        <x:v>0.31</x:v>
      </x:c>
      <x:c r="O2747" t="str">
        <x:v>生重</x:v>
      </x:c>
    </x:row>
    <x:row r="2748" ht="23" customHeight="1">
      <x:c r="A2748" t="n">
        <x:v>458</x:v>
      </x:c>
      <x:c r="B2748" t="n">
        <x:v>229</x:v>
      </x:c>
      <x:c r="C2748" t="str">
        <x:v>晚餐</x:v>
      </x:c>
      <x:c r="D2748" t="str">
        <x:v>主食</x:v>
      </x:c>
      <x:c r="E2748" t="str">
        <x:v>燕麦饭</x:v>
      </x:c>
      <x:c r="F2748" t="n">
        <x:v>110</x:v>
      </x:c>
      <x:c r="G2748" t="n">
        <x:v>110</x:v>
      </x:c>
      <x:c r="H2748" t="n">
        <x:f>ROUND(F2748*G2748/100,2)</x:f>
        <x:v>121</x:v>
      </x:c>
      <x:c r="I2748" t="n">
        <x:v>3.2</x:v>
      </x:c>
      <x:c r="J2748" t="n">
        <x:f>ROUND(F2748*I2748/100,2)</x:f>
        <x:v>3.52</x:v>
      </x:c>
      <x:c r="K2748" t="n">
        <x:v>21</x:v>
      </x:c>
      <x:c r="L2748" t="n">
        <x:f>ROUND(F2748*K2748/100,2)</x:f>
        <x:v>23.1</x:v>
      </x:c>
      <x:c r="M2748" t="n">
        <x:v>1.8</x:v>
      </x:c>
      <x:c r="N2748" t="n">
        <x:f>ROUND(F2748*M2748/100,2)</x:f>
        <x:v>1.98</x:v>
      </x:c>
      <x:c r="O2748" t="str">
        <x:v>熟重</x:v>
      </x:c>
    </x:row>
    <x:row r="2749" ht="23" customHeight="1">
      <x:c r="A2749" t="n">
        <x:v>458</x:v>
      </x:c>
      <x:c r="B2749" t="n">
        <x:v>229</x:v>
      </x:c>
      <x:c r="C2749" t="str">
        <x:v>晚餐</x:v>
      </x:c>
      <x:c r="D2749" t="str">
        <x:v>油脂</x:v>
      </x:c>
      <x:c r="E2749" t="str">
        <x:v>烹调油</x:v>
      </x:c>
      <x:c r="F2749" t="n">
        <x:v>5</x:v>
      </x:c>
      <x:c r="G2749" t="n">
        <x:v>900</x:v>
      </x:c>
      <x:c r="H2749" t="n">
        <x:f>ROUND(F2749*G2749/100,2)</x:f>
        <x:v>45</x:v>
      </x:c>
      <x:c r="I2749" t="n">
        <x:v>0</x:v>
      </x:c>
      <x:c r="J2749" t="n">
        <x:f>ROUND(F2749*I2749/100,2)</x:f>
        <x:v>0</x:v>
      </x:c>
      <x:c r="K2749" t="n">
        <x:v>0</x:v>
      </x:c>
      <x:c r="L2749" t="n">
        <x:f>ROUND(F2749*K2749/100,2)</x:f>
        <x:v>0</x:v>
      </x:c>
      <x:c r="M2749" t="n">
        <x:v>100</x:v>
      </x:c>
      <x:c r="N2749" t="n">
        <x:f>ROUND(F2749*M2749/100,2)</x:f>
        <x:v>5</x:v>
      </x:c>
      <x:c r="O2749" t="str">
        <x:v>实际用油重</x:v>
      </x:c>
    </x:row>
    <x:row r="2750" ht="23" customHeight="1">
      <x:c r="A2750" t="n">
        <x:v>459</x:v>
      </x:c>
      <x:c r="B2750" t="n">
        <x:v>230</x:v>
      </x:c>
      <x:c r="C2750" t="str">
        <x:v>午餐</x:v>
      </x:c>
      <x:c r="D2750" t="str">
        <x:v>豆蛋</x:v>
      </x:c>
      <x:c r="E2750" t="str">
        <x:v>北豆腐</x:v>
      </x:c>
      <x:c r="F2750" t="n">
        <x:v>280</x:v>
      </x:c>
      <x:c r="G2750" t="n">
        <x:v>90</x:v>
      </x:c>
      <x:c r="H2750" t="n">
        <x:f>ROUND(F2750*G2750/100,2)</x:f>
        <x:v>252</x:v>
      </x:c>
      <x:c r="I2750" t="n">
        <x:v>10</x:v>
      </x:c>
      <x:c r="J2750" t="n">
        <x:f>ROUND(F2750*I2750/100,2)</x:f>
        <x:v>28</x:v>
      </x:c>
      <x:c r="K2750" t="n">
        <x:v>2</x:v>
      </x:c>
      <x:c r="L2750" t="n">
        <x:f>ROUND(F2750*K2750/100,2)</x:f>
        <x:v>5.6</x:v>
      </x:c>
      <x:c r="M2750" t="n">
        <x:v>5</x:v>
      </x:c>
      <x:c r="N2750" t="n">
        <x:f>ROUND(F2750*M2750/100,2)</x:f>
        <x:v>14</x:v>
      </x:c>
      <x:c r="O2750" t="str">
        <x:v>净重</x:v>
      </x:c>
    </x:row>
    <x:row r="2751" ht="23" customHeight="1">
      <x:c r="A2751" t="n">
        <x:v>459</x:v>
      </x:c>
      <x:c r="B2751" t="n">
        <x:v>230</x:v>
      </x:c>
      <x:c r="C2751" t="str">
        <x:v>午餐</x:v>
      </x:c>
      <x:c r="D2751" t="str">
        <x:v>豆蛋</x:v>
      </x:c>
      <x:c r="E2751" t="str">
        <x:v>鸡蛋</x:v>
      </x:c>
      <x:c r="F2751" t="n">
        <x:v>60</x:v>
      </x:c>
      <x:c r="G2751" t="n">
        <x:v>144</x:v>
      </x:c>
      <x:c r="H2751" t="n">
        <x:f>ROUND(F2751*G2751/100,2)</x:f>
        <x:v>86.4</x:v>
      </x:c>
      <x:c r="I2751" t="n">
        <x:v>13</x:v>
      </x:c>
      <x:c r="J2751" t="n">
        <x:f>ROUND(F2751*I2751/100,2)</x:f>
        <x:v>7.8</x:v>
      </x:c>
      <x:c r="K2751" t="n">
        <x:v>1.1</x:v>
      </x:c>
      <x:c r="L2751" t="n">
        <x:f>ROUND(F2751*K2751/100,2)</x:f>
        <x:v>0.66</x:v>
      </x:c>
      <x:c r="M2751" t="n">
        <x:v>10</x:v>
      </x:c>
      <x:c r="N2751" t="n">
        <x:f>ROUND(F2751*M2751/100,2)</x:f>
        <x:v>6</x:v>
      </x:c>
      <x:c r="O2751" t="str">
        <x:v>去壳可食重</x:v>
      </x:c>
    </x:row>
    <x:row r="2752" ht="23" customHeight="1">
      <x:c r="A2752" t="n">
        <x:v>459</x:v>
      </x:c>
      <x:c r="B2752" t="n">
        <x:v>230</x:v>
      </x:c>
      <x:c r="C2752" t="str">
        <x:v>午餐</x:v>
      </x:c>
      <x:c r="D2752" t="str">
        <x:v>蔬菜</x:v>
      </x:c>
      <x:c r="E2752" t="str">
        <x:v>西兰花</x:v>
      </x:c>
      <x:c r="F2752" t="n">
        <x:v>160</x:v>
      </x:c>
      <x:c r="G2752" t="n">
        <x:v>34</x:v>
      </x:c>
      <x:c r="H2752" t="n">
        <x:f>ROUND(F2752*G2752/100,2)</x:f>
        <x:v>54.4</x:v>
      </x:c>
      <x:c r="I2752" t="n">
        <x:v>2.8</x:v>
      </x:c>
      <x:c r="J2752" t="n">
        <x:f>ROUND(F2752*I2752/100,2)</x:f>
        <x:v>4.48</x:v>
      </x:c>
      <x:c r="K2752" t="n">
        <x:v>7</x:v>
      </x:c>
      <x:c r="L2752" t="n">
        <x:f>ROUND(F2752*K2752/100,2)</x:f>
        <x:v>11.2</x:v>
      </x:c>
      <x:c r="M2752" t="n">
        <x:v>0.4</x:v>
      </x:c>
      <x:c r="N2752" t="n">
        <x:f>ROUND(F2752*M2752/100,2)</x:f>
        <x:v>0.64</x:v>
      </x:c>
      <x:c r="O2752" t="str">
        <x:v>生重</x:v>
      </x:c>
    </x:row>
    <x:row r="2753" ht="23" customHeight="1">
      <x:c r="A2753" t="n">
        <x:v>459</x:v>
      </x:c>
      <x:c r="B2753" t="n">
        <x:v>230</x:v>
      </x:c>
      <x:c r="C2753" t="str">
        <x:v>午餐</x:v>
      </x:c>
      <x:c r="D2753" t="str">
        <x:v>菌菇</x:v>
      </x:c>
      <x:c r="E2753" t="str">
        <x:v>杏鲍菇</x:v>
      </x:c>
      <x:c r="F2753" t="n">
        <x:v>140</x:v>
      </x:c>
      <x:c r="G2753" t="n">
        <x:v>35</x:v>
      </x:c>
      <x:c r="H2753" t="n">
        <x:f>ROUND(F2753*G2753/100,2)</x:f>
        <x:v>49</x:v>
      </x:c>
      <x:c r="I2753" t="n">
        <x:v>2</x:v>
      </x:c>
      <x:c r="J2753" t="n">
        <x:f>ROUND(F2753*I2753/100,2)</x:f>
        <x:v>2.8</x:v>
      </x:c>
      <x:c r="K2753" t="n">
        <x:v>7.4</x:v>
      </x:c>
      <x:c r="L2753" t="n">
        <x:f>ROUND(F2753*K2753/100,2)</x:f>
        <x:v>10.36</x:v>
      </x:c>
      <x:c r="M2753" t="n">
        <x:v>0.3</x:v>
      </x:c>
      <x:c r="N2753" t="n">
        <x:f>ROUND(F2753*M2753/100,2)</x:f>
        <x:v>0.42</x:v>
      </x:c>
      <x:c r="O2753" t="str">
        <x:v>生重</x:v>
      </x:c>
    </x:row>
    <x:row r="2754" ht="23" customHeight="1">
      <x:c r="A2754" t="n">
        <x:v>459</x:v>
      </x:c>
      <x:c r="B2754" t="n">
        <x:v>230</x:v>
      </x:c>
      <x:c r="C2754" t="str">
        <x:v>午餐</x:v>
      </x:c>
      <x:c r="D2754" t="str">
        <x:v>主食</x:v>
      </x:c>
      <x:c r="E2754" t="str">
        <x:v>荞麦面</x:v>
      </x:c>
      <x:c r="F2754" t="n">
        <x:v>165</x:v>
      </x:c>
      <x:c r="G2754" t="n">
        <x:v>105</x:v>
      </x:c>
      <x:c r="H2754" t="n">
        <x:f>ROUND(F2754*G2754/100,2)</x:f>
        <x:v>173.25</x:v>
      </x:c>
      <x:c r="I2754" t="n">
        <x:v>4</x:v>
      </x:c>
      <x:c r="J2754" t="n">
        <x:f>ROUND(F2754*I2754/100,2)</x:f>
        <x:v>6.6</x:v>
      </x:c>
      <x:c r="K2754" t="n">
        <x:v>21</x:v>
      </x:c>
      <x:c r="L2754" t="n">
        <x:f>ROUND(F2754*K2754/100,2)</x:f>
        <x:v>34.65</x:v>
      </x:c>
      <x:c r="M2754" t="n">
        <x:v>0.7</x:v>
      </x:c>
      <x:c r="N2754" t="n">
        <x:f>ROUND(F2754*M2754/100,2)</x:f>
        <x:v>1.15</x:v>
      </x:c>
      <x:c r="O2754" t="str">
        <x:v>煮熟沥水重</x:v>
      </x:c>
    </x:row>
    <x:row r="2755" ht="23" customHeight="1">
      <x:c r="A2755" t="n">
        <x:v>459</x:v>
      </x:c>
      <x:c r="B2755" t="n">
        <x:v>230</x:v>
      </x:c>
      <x:c r="C2755" t="str">
        <x:v>午餐</x:v>
      </x:c>
      <x:c r="D2755" t="str">
        <x:v>油脂</x:v>
      </x:c>
      <x:c r="E2755" t="str">
        <x:v>烹调油</x:v>
      </x:c>
      <x:c r="F2755" t="n">
        <x:v>3</x:v>
      </x:c>
      <x:c r="G2755" t="n">
        <x:v>900</x:v>
      </x:c>
      <x:c r="H2755" t="n">
        <x:f>ROUND(F2755*G2755/100,2)</x:f>
        <x:v>27</x:v>
      </x:c>
      <x:c r="I2755" t="n">
        <x:v>0</x:v>
      </x:c>
      <x:c r="J2755" t="n">
        <x:f>ROUND(F2755*I2755/100,2)</x:f>
        <x:v>0</x:v>
      </x:c>
      <x:c r="K2755" t="n">
        <x:v>0</x:v>
      </x:c>
      <x:c r="L2755" t="n">
        <x:f>ROUND(F2755*K2755/100,2)</x:f>
        <x:v>0</x:v>
      </x:c>
      <x:c r="M2755" t="n">
        <x:v>100</x:v>
      </x:c>
      <x:c r="N2755" t="n">
        <x:f>ROUND(F2755*M2755/100,2)</x:f>
        <x:v>3</x:v>
      </x:c>
      <x:c r="O2755" t="str">
        <x:v>实际用油重</x:v>
      </x:c>
    </x:row>
    <x:row r="2756" ht="23" customHeight="1">
      <x:c r="A2756" t="n">
        <x:v>460</x:v>
      </x:c>
      <x:c r="B2756" t="n">
        <x:v>230</x:v>
      </x:c>
      <x:c r="C2756" t="str">
        <x:v>晚餐</x:v>
      </x:c>
      <x:c r="D2756" t="str">
        <x:v>猪肉</x:v>
      </x:c>
      <x:c r="E2756" t="str">
        <x:v>猪里脊</x:v>
      </x:c>
      <x:c r="F2756" t="n">
        <x:v>170</x:v>
      </x:c>
      <x:c r="G2756" t="n">
        <x:v>120</x:v>
      </x:c>
      <x:c r="H2756" t="n">
        <x:f>ROUND(F2756*G2756/100,2)</x:f>
        <x:v>204</x:v>
      </x:c>
      <x:c r="I2756" t="n">
        <x:v>21</x:v>
      </x:c>
      <x:c r="J2756" t="n">
        <x:f>ROUND(F2756*I2756/100,2)</x:f>
        <x:v>35.7</x:v>
      </x:c>
      <x:c r="K2756" t="n">
        <x:v>0</x:v>
      </x:c>
      <x:c r="L2756" t="n">
        <x:f>ROUND(F2756*K2756/100,2)</x:f>
        <x:v>0</x:v>
      </x:c>
      <x:c r="M2756" t="n">
        <x:v>3.5</x:v>
      </x:c>
      <x:c r="N2756" t="n">
        <x:f>ROUND(F2756*M2756/100,2)</x:f>
        <x:v>5.95</x:v>
      </x:c>
      <x:c r="O2756" t="str">
        <x:v>生重</x:v>
      </x:c>
    </x:row>
    <x:row r="2757" ht="23" customHeight="1">
      <x:c r="A2757" t="n">
        <x:v>460</x:v>
      </x:c>
      <x:c r="B2757" t="n">
        <x:v>230</x:v>
      </x:c>
      <x:c r="C2757" t="str">
        <x:v>晚餐</x:v>
      </x:c>
      <x:c r="D2757" t="str">
        <x:v>豆蛋</x:v>
      </x:c>
      <x:c r="E2757" t="str">
        <x:v>熟毛豆仁</x:v>
      </x:c>
      <x:c r="F2757" t="n">
        <x:v>50</x:v>
      </x:c>
      <x:c r="G2757" t="n">
        <x:v>120</x:v>
      </x:c>
      <x:c r="H2757" t="n">
        <x:f>ROUND(F2757*G2757/100,2)</x:f>
        <x:v>60</x:v>
      </x:c>
      <x:c r="I2757" t="n">
        <x:v>12</x:v>
      </x:c>
      <x:c r="J2757" t="n">
        <x:f>ROUND(F2757*I2757/100,2)</x:f>
        <x:v>6</x:v>
      </x:c>
      <x:c r="K2757" t="n">
        <x:v>9</x:v>
      </x:c>
      <x:c r="L2757" t="n">
        <x:f>ROUND(F2757*K2757/100,2)</x:f>
        <x:v>4.5</x:v>
      </x:c>
      <x:c r="M2757" t="n">
        <x:v>5</x:v>
      </x:c>
      <x:c r="N2757" t="n">
        <x:f>ROUND(F2757*M2757/100,2)</x:f>
        <x:v>2.5</x:v>
      </x:c>
      <x:c r="O2757" t="str">
        <x:v>熟重</x:v>
      </x:c>
    </x:row>
    <x:row r="2758" ht="23" customHeight="1">
      <x:c r="A2758" t="n">
        <x:v>460</x:v>
      </x:c>
      <x:c r="B2758" t="n">
        <x:v>230</x:v>
      </x:c>
      <x:c r="C2758" t="str">
        <x:v>晚餐</x:v>
      </x:c>
      <x:c r="D2758" t="str">
        <x:v>蔬菜</x:v>
      </x:c>
      <x:c r="E2758" t="str">
        <x:v>芦笋</x:v>
      </x:c>
      <x:c r="F2758" t="n">
        <x:v>140</x:v>
      </x:c>
      <x:c r="G2758" t="n">
        <x:v>20</x:v>
      </x:c>
      <x:c r="H2758" t="n">
        <x:f>ROUND(F2758*G2758/100,2)</x:f>
        <x:v>28</x:v>
      </x:c>
      <x:c r="I2758" t="n">
        <x:v>2.2</x:v>
      </x:c>
      <x:c r="J2758" t="n">
        <x:f>ROUND(F2758*I2758/100,2)</x:f>
        <x:v>3.08</x:v>
      </x:c>
      <x:c r="K2758" t="n">
        <x:v>3.9</x:v>
      </x:c>
      <x:c r="L2758" t="n">
        <x:f>ROUND(F2758*K2758/100,2)</x:f>
        <x:v>5.46</x:v>
      </x:c>
      <x:c r="M2758" t="n">
        <x:v>0.1</x:v>
      </x:c>
      <x:c r="N2758" t="n">
        <x:f>ROUND(F2758*M2758/100,2)</x:f>
        <x:v>0.14</x:v>
      </x:c>
      <x:c r="O2758" t="str">
        <x:v>生重</x:v>
      </x:c>
    </x:row>
    <x:row r="2759" ht="23" customHeight="1">
      <x:c r="A2759" t="n">
        <x:v>460</x:v>
      </x:c>
      <x:c r="B2759" t="n">
        <x:v>230</x:v>
      </x:c>
      <x:c r="C2759" t="str">
        <x:v>晚餐</x:v>
      </x:c>
      <x:c r="D2759" t="str">
        <x:v>菌菇</x:v>
      </x:c>
      <x:c r="E2759" t="str">
        <x:v>香菇</x:v>
      </x:c>
      <x:c r="F2759" t="n">
        <x:v>140</x:v>
      </x:c>
      <x:c r="G2759" t="n">
        <x:v>34</x:v>
      </x:c>
      <x:c r="H2759" t="n">
        <x:f>ROUND(F2759*G2759/100,2)</x:f>
        <x:v>47.6</x:v>
      </x:c>
      <x:c r="I2759" t="n">
        <x:v>2.2</x:v>
      </x:c>
      <x:c r="J2759" t="n">
        <x:f>ROUND(F2759*I2759/100,2)</x:f>
        <x:v>3.08</x:v>
      </x:c>
      <x:c r="K2759" t="n">
        <x:v>6.8</x:v>
      </x:c>
      <x:c r="L2759" t="n">
        <x:f>ROUND(F2759*K2759/100,2)</x:f>
        <x:v>9.52</x:v>
      </x:c>
      <x:c r="M2759" t="n">
        <x:v>0.5</x:v>
      </x:c>
      <x:c r="N2759" t="n">
        <x:f>ROUND(F2759*M2759/100,2)</x:f>
        <x:v>0.7</x:v>
      </x:c>
      <x:c r="O2759" t="str">
        <x:v>生重</x:v>
      </x:c>
    </x:row>
    <x:row r="2760" ht="23" customHeight="1">
      <x:c r="A2760" t="n">
        <x:v>460</x:v>
      </x:c>
      <x:c r="B2760" t="n">
        <x:v>230</x:v>
      </x:c>
      <x:c r="C2760" t="str">
        <x:v>晚餐</x:v>
      </x:c>
      <x:c r="D2760" t="str">
        <x:v>低主食</x:v>
      </x:c>
      <x:c r="E2760" t="str">
        <x:v>魔芋丝</x:v>
      </x:c>
      <x:c r="F2760" t="n">
        <x:v>130</x:v>
      </x:c>
      <x:c r="G2760" t="n">
        <x:v>9</x:v>
      </x:c>
      <x:c r="H2760" t="n">
        <x:f>ROUND(F2760*G2760/100,2)</x:f>
        <x:v>11.7</x:v>
      </x:c>
      <x:c r="I2760" t="n">
        <x:v>0.3</x:v>
      </x:c>
      <x:c r="J2760" t="n">
        <x:f>ROUND(F2760*I2760/100,2)</x:f>
        <x:v>0.39</x:v>
      </x:c>
      <x:c r="K2760" t="n">
        <x:v>2</x:v>
      </x:c>
      <x:c r="L2760" t="n">
        <x:f>ROUND(F2760*K2760/100,2)</x:f>
        <x:v>2.6</x:v>
      </x:c>
      <x:c r="M2760" t="n">
        <x:v>0</x:v>
      </x:c>
      <x:c r="N2760" t="n">
        <x:f>ROUND(F2760*M2760/100,2)</x:f>
        <x:v>0</x:v>
      </x:c>
      <x:c r="O2760" t="str">
        <x:v>沥水重</x:v>
      </x:c>
    </x:row>
    <x:row r="2761" ht="23" customHeight="1">
      <x:c r="A2761" t="n">
        <x:v>460</x:v>
      </x:c>
      <x:c r="B2761" t="n">
        <x:v>230</x:v>
      </x:c>
      <x:c r="C2761" t="str">
        <x:v>晚餐</x:v>
      </x:c>
      <x:c r="D2761" t="str">
        <x:v>油脂</x:v>
      </x:c>
      <x:c r="E2761" t="str">
        <x:v>烹调油</x:v>
      </x:c>
      <x:c r="F2761" t="n">
        <x:v>5</x:v>
      </x:c>
      <x:c r="G2761" t="n">
        <x:v>900</x:v>
      </x:c>
      <x:c r="H2761" t="n">
        <x:f>ROUND(F2761*G2761/100,2)</x:f>
        <x:v>45</x:v>
      </x:c>
      <x:c r="I2761" t="n">
        <x:v>0</x:v>
      </x:c>
      <x:c r="J2761" t="n">
        <x:f>ROUND(F2761*I2761/100,2)</x:f>
        <x:v>0</x:v>
      </x:c>
      <x:c r="K2761" t="n">
        <x:v>0</x:v>
      </x:c>
      <x:c r="L2761" t="n">
        <x:f>ROUND(F2761*K2761/100,2)</x:f>
        <x:v>0</x:v>
      </x:c>
      <x:c r="M2761" t="n">
        <x:v>100</x:v>
      </x:c>
      <x:c r="N2761" t="n">
        <x:f>ROUND(F2761*M2761/100,2)</x:f>
        <x:v>5</x:v>
      </x:c>
      <x:c r="O2761" t="str">
        <x:v>实际用油重</x:v>
      </x:c>
    </x:row>
    <x:row r="2762" ht="23" customHeight="1">
      <x:c r="A2762" t="n">
        <x:v>461</x:v>
      </x:c>
      <x:c r="B2762" t="n">
        <x:v>231</x:v>
      </x:c>
      <x:c r="C2762" t="str">
        <x:v>午餐</x:v>
      </x:c>
      <x:c r="D2762" t="str">
        <x:v>牛肉</x:v>
      </x:c>
      <x:c r="E2762" t="str">
        <x:v>瘦牛肉</x:v>
      </x:c>
      <x:c r="F2762" t="n">
        <x:v>175</x:v>
      </x:c>
      <x:c r="G2762" t="n">
        <x:v>125</x:v>
      </x:c>
      <x:c r="H2762" t="n">
        <x:f>ROUND(F2762*G2762/100,2)</x:f>
        <x:v>218.75</x:v>
      </x:c>
      <x:c r="I2762" t="n">
        <x:v>21</x:v>
      </x:c>
      <x:c r="J2762" t="n">
        <x:f>ROUND(F2762*I2762/100,2)</x:f>
        <x:v>36.75</x:v>
      </x:c>
      <x:c r="K2762" t="n">
        <x:v>0</x:v>
      </x:c>
      <x:c r="L2762" t="n">
        <x:f>ROUND(F2762*K2762/100,2)</x:f>
        <x:v>0</x:v>
      </x:c>
      <x:c r="M2762" t="n">
        <x:v>4</x:v>
      </x:c>
      <x:c r="N2762" t="n">
        <x:f>ROUND(F2762*M2762/100,2)</x:f>
        <x:v>7</x:v>
      </x:c>
      <x:c r="O2762" t="str">
        <x:v>生重</x:v>
      </x:c>
    </x:row>
    <x:row r="2763" ht="23" customHeight="1">
      <x:c r="A2763" t="n">
        <x:v>461</x:v>
      </x:c>
      <x:c r="B2763" t="n">
        <x:v>231</x:v>
      </x:c>
      <x:c r="C2763" t="str">
        <x:v>午餐</x:v>
      </x:c>
      <x:c r="D2763" t="str"/>
      <x:c r="E2763" t="str"/>
      <x:c r="F2763" t="n">
        <x:v>0</x:v>
      </x:c>
      <x:c r="G2763" t="n">
        <x:v>0</x:v>
      </x:c>
      <x:c r="H2763" t="n">
        <x:f>ROUND(F2763*G2763/100,2)</x:f>
        <x:v>0</x:v>
      </x:c>
      <x:c r="I2763" t="n">
        <x:v>0</x:v>
      </x:c>
      <x:c r="J2763" t="n">
        <x:f>ROUND(F2763*I2763/100,2)</x:f>
        <x:v>0</x:v>
      </x:c>
      <x:c r="K2763" t="n">
        <x:v>0</x:v>
      </x:c>
      <x:c r="L2763" t="n">
        <x:f>ROUND(F2763*K2763/100,2)</x:f>
        <x:v>0</x:v>
      </x:c>
      <x:c r="M2763" t="n">
        <x:v>0</x:v>
      </x:c>
      <x:c r="N2763" t="n">
        <x:f>ROUND(F2763*M2763/100,2)</x:f>
        <x:v>0</x:v>
      </x:c>
      <x:c r="O2763" t="str"/>
    </x:row>
    <x:row r="2764" ht="23" customHeight="1">
      <x:c r="A2764" t="n">
        <x:v>461</x:v>
      </x:c>
      <x:c r="B2764" t="n">
        <x:v>231</x:v>
      </x:c>
      <x:c r="C2764" t="str">
        <x:v>午餐</x:v>
      </x:c>
      <x:c r="D2764" t="str">
        <x:v>蔬菜</x:v>
      </x:c>
      <x:c r="E2764" t="str">
        <x:v>紫甘蓝</x:v>
      </x:c>
      <x:c r="F2764" t="n">
        <x:v>175</x:v>
      </x:c>
      <x:c r="G2764" t="n">
        <x:v>31</x:v>
      </x:c>
      <x:c r="H2764" t="n">
        <x:f>ROUND(F2764*G2764/100,2)</x:f>
        <x:v>54.25</x:v>
      </x:c>
      <x:c r="I2764" t="n">
        <x:v>1.4</x:v>
      </x:c>
      <x:c r="J2764" t="n">
        <x:f>ROUND(F2764*I2764/100,2)</x:f>
        <x:v>2.45</x:v>
      </x:c>
      <x:c r="K2764" t="n">
        <x:v>7.3</x:v>
      </x:c>
      <x:c r="L2764" t="n">
        <x:f>ROUND(F2764*K2764/100,2)</x:f>
        <x:v>12.78</x:v>
      </x:c>
      <x:c r="M2764" t="n">
        <x:v>0.1</x:v>
      </x:c>
      <x:c r="N2764" t="n">
        <x:f>ROUND(F2764*M2764/100,2)</x:f>
        <x:v>0.18</x:v>
      </x:c>
      <x:c r="O2764" t="str">
        <x:v>生重</x:v>
      </x:c>
    </x:row>
    <x:row r="2765" ht="23" customHeight="1">
      <x:c r="A2765" t="n">
        <x:v>461</x:v>
      </x:c>
      <x:c r="B2765" t="n">
        <x:v>231</x:v>
      </x:c>
      <x:c r="C2765" t="str">
        <x:v>午餐</x:v>
      </x:c>
      <x:c r="D2765" t="str">
        <x:v>蔬菜</x:v>
      </x:c>
      <x:c r="E2765" t="str">
        <x:v>花菜</x:v>
      </x:c>
      <x:c r="F2765" t="n">
        <x:v>140</x:v>
      </x:c>
      <x:c r="G2765" t="n">
        <x:v>25</x:v>
      </x:c>
      <x:c r="H2765" t="n">
        <x:f>ROUND(F2765*G2765/100,2)</x:f>
        <x:v>35</x:v>
      </x:c>
      <x:c r="I2765" t="n">
        <x:v>2</x:v>
      </x:c>
      <x:c r="J2765" t="n">
        <x:f>ROUND(F2765*I2765/100,2)</x:f>
        <x:v>2.8</x:v>
      </x:c>
      <x:c r="K2765" t="n">
        <x:v>5</x:v>
      </x:c>
      <x:c r="L2765" t="n">
        <x:f>ROUND(F2765*K2765/100,2)</x:f>
        <x:v>7</x:v>
      </x:c>
      <x:c r="M2765" t="n">
        <x:v>0.3</x:v>
      </x:c>
      <x:c r="N2765" t="n">
        <x:f>ROUND(F2765*M2765/100,2)</x:f>
        <x:v>0.42</x:v>
      </x:c>
      <x:c r="O2765" t="str">
        <x:v>生重</x:v>
      </x:c>
    </x:row>
    <x:row r="2766" ht="23" customHeight="1">
      <x:c r="A2766" t="n">
        <x:v>461</x:v>
      </x:c>
      <x:c r="B2766" t="n">
        <x:v>231</x:v>
      </x:c>
      <x:c r="C2766" t="str">
        <x:v>午餐</x:v>
      </x:c>
      <x:c r="D2766" t="str">
        <x:v>主食</x:v>
      </x:c>
      <x:c r="E2766" t="str">
        <x:v>糙米饭</x:v>
      </x:c>
      <x:c r="F2766" t="n">
        <x:v>150</x:v>
      </x:c>
      <x:c r="G2766" t="n">
        <x:v>112</x:v>
      </x:c>
      <x:c r="H2766" t="n">
        <x:f>ROUND(F2766*G2766/100,2)</x:f>
        <x:v>168</x:v>
      </x:c>
      <x:c r="I2766" t="n">
        <x:v>2.6</x:v>
      </x:c>
      <x:c r="J2766" t="n">
        <x:f>ROUND(F2766*I2766/100,2)</x:f>
        <x:v>3.9</x:v>
      </x:c>
      <x:c r="K2766" t="n">
        <x:v>23.5</x:v>
      </x:c>
      <x:c r="L2766" t="n">
        <x:f>ROUND(F2766*K2766/100,2)</x:f>
        <x:v>35.25</x:v>
      </x:c>
      <x:c r="M2766" t="n">
        <x:v>0.9</x:v>
      </x:c>
      <x:c r="N2766" t="n">
        <x:f>ROUND(F2766*M2766/100,2)</x:f>
        <x:v>1.35</x:v>
      </x:c>
      <x:c r="O2766" t="str">
        <x:v>熟重</x:v>
      </x:c>
    </x:row>
    <x:row r="2767" ht="23" customHeight="1">
      <x:c r="A2767" t="n">
        <x:v>461</x:v>
      </x:c>
      <x:c r="B2767" t="n">
        <x:v>231</x:v>
      </x:c>
      <x:c r="C2767" t="str">
        <x:v>午餐</x:v>
      </x:c>
      <x:c r="D2767" t="str">
        <x:v>油脂</x:v>
      </x:c>
      <x:c r="E2767" t="str">
        <x:v>烹调油</x:v>
      </x:c>
      <x:c r="F2767" t="n">
        <x:v>6</x:v>
      </x:c>
      <x:c r="G2767" t="n">
        <x:v>900</x:v>
      </x:c>
      <x:c r="H2767" t="n">
        <x:f>ROUND(F2767*G2767/100,2)</x:f>
        <x:v>54</x:v>
      </x:c>
      <x:c r="I2767" t="n">
        <x:v>0</x:v>
      </x:c>
      <x:c r="J2767" t="n">
        <x:f>ROUND(F2767*I2767/100,2)</x:f>
        <x:v>0</x:v>
      </x:c>
      <x:c r="K2767" t="n">
        <x:v>0</x:v>
      </x:c>
      <x:c r="L2767" t="n">
        <x:f>ROUND(F2767*K2767/100,2)</x:f>
        <x:v>0</x:v>
      </x:c>
      <x:c r="M2767" t="n">
        <x:v>100</x:v>
      </x:c>
      <x:c r="N2767" t="n">
        <x:f>ROUND(F2767*M2767/100,2)</x:f>
        <x:v>6</x:v>
      </x:c>
      <x:c r="O2767" t="str">
        <x:v>实际用油重</x:v>
      </x:c>
    </x:row>
    <x:row r="2768" ht="23" customHeight="1">
      <x:c r="A2768" t="n">
        <x:v>462</x:v>
      </x:c>
      <x:c r="B2768" t="n">
        <x:v>231</x:v>
      </x:c>
      <x:c r="C2768" t="str">
        <x:v>晚餐</x:v>
      </x:c>
      <x:c r="D2768" t="str">
        <x:v>禽肉</x:v>
      </x:c>
      <x:c r="E2768" t="str">
        <x:v>鸡胸肉</x:v>
      </x:c>
      <x:c r="F2768" t="n">
        <x:v>160</x:v>
      </x:c>
      <x:c r="G2768" t="n">
        <x:v>110</x:v>
      </x:c>
      <x:c r="H2768" t="n">
        <x:f>ROUND(F2768*G2768/100,2)</x:f>
        <x:v>176</x:v>
      </x:c>
      <x:c r="I2768" t="n">
        <x:v>23</x:v>
      </x:c>
      <x:c r="J2768" t="n">
        <x:f>ROUND(F2768*I2768/100,2)</x:f>
        <x:v>36.8</x:v>
      </x:c>
      <x:c r="K2768" t="n">
        <x:v>0</x:v>
      </x:c>
      <x:c r="L2768" t="n">
        <x:f>ROUND(F2768*K2768/100,2)</x:f>
        <x:v>0</x:v>
      </x:c>
      <x:c r="M2768" t="n">
        <x:v>2</x:v>
      </x:c>
      <x:c r="N2768" t="n">
        <x:f>ROUND(F2768*M2768/100,2)</x:f>
        <x:v>3.2</x:v>
      </x:c>
      <x:c r="O2768" t="str">
        <x:v>生重</x:v>
      </x:c>
    </x:row>
    <x:row r="2769" ht="23" customHeight="1">
      <x:c r="A2769" t="n">
        <x:v>462</x:v>
      </x:c>
      <x:c r="B2769" t="n">
        <x:v>231</x:v>
      </x:c>
      <x:c r="C2769" t="str">
        <x:v>晚餐</x:v>
      </x:c>
      <x:c r="D2769" t="str"/>
      <x:c r="E2769" t="str"/>
      <x:c r="F2769" t="n">
        <x:v>0</x:v>
      </x:c>
      <x:c r="G2769" t="n">
        <x:v>0</x:v>
      </x:c>
      <x:c r="H2769" t="n">
        <x:f>ROUND(F2769*G2769/100,2)</x:f>
        <x:v>0</x:v>
      </x:c>
      <x:c r="I2769" t="n">
        <x:v>0</x:v>
      </x:c>
      <x:c r="J2769" t="n">
        <x:f>ROUND(F2769*I2769/100,2)</x:f>
        <x:v>0</x:v>
      </x:c>
      <x:c r="K2769" t="n">
        <x:v>0</x:v>
      </x:c>
      <x:c r="L2769" t="n">
        <x:f>ROUND(F2769*K2769/100,2)</x:f>
        <x:v>0</x:v>
      </x:c>
      <x:c r="M2769" t="n">
        <x:v>0</x:v>
      </x:c>
      <x:c r="N2769" t="n">
        <x:f>ROUND(F2769*M2769/100,2)</x:f>
        <x:v>0</x:v>
      </x:c>
      <x:c r="O2769" t="str"/>
    </x:row>
    <x:row r="2770" ht="23" customHeight="1">
      <x:c r="A2770" t="n">
        <x:v>462</x:v>
      </x:c>
      <x:c r="B2770" t="n">
        <x:v>231</x:v>
      </x:c>
      <x:c r="C2770" t="str">
        <x:v>晚餐</x:v>
      </x:c>
      <x:c r="D2770" t="str">
        <x:v>蔬菜</x:v>
      </x:c>
      <x:c r="E2770" t="str">
        <x:v>芹菜</x:v>
      </x:c>
      <x:c r="F2770" t="n">
        <x:v>175</x:v>
      </x:c>
      <x:c r="G2770" t="n">
        <x:v>17</x:v>
      </x:c>
      <x:c r="H2770" t="n">
        <x:f>ROUND(F2770*G2770/100,2)</x:f>
        <x:v>29.75</x:v>
      </x:c>
      <x:c r="I2770" t="n">
        <x:v>1</x:v>
      </x:c>
      <x:c r="J2770" t="n">
        <x:f>ROUND(F2770*I2770/100,2)</x:f>
        <x:v>1.75</x:v>
      </x:c>
      <x:c r="K2770" t="n">
        <x:v>3.5</x:v>
      </x:c>
      <x:c r="L2770" t="n">
        <x:f>ROUND(F2770*K2770/100,2)</x:f>
        <x:v>6.13</x:v>
      </x:c>
      <x:c r="M2770" t="n">
        <x:v>0.1</x:v>
      </x:c>
      <x:c r="N2770" t="n">
        <x:f>ROUND(F2770*M2770/100,2)</x:f>
        <x:v>0.18</x:v>
      </x:c>
      <x:c r="O2770" t="str">
        <x:v>生重</x:v>
      </x:c>
    </x:row>
    <x:row r="2771" ht="23" customHeight="1">
      <x:c r="A2771" t="n">
        <x:v>462</x:v>
      </x:c>
      <x:c r="B2771" t="n">
        <x:v>231</x:v>
      </x:c>
      <x:c r="C2771" t="str">
        <x:v>晚餐</x:v>
      </x:c>
      <x:c r="D2771" t="str">
        <x:v>蔬菜</x:v>
      </x:c>
      <x:c r="E2771" t="str">
        <x:v>绿豆芽</x:v>
      </x:c>
      <x:c r="F2771" t="n">
        <x:v>110</x:v>
      </x:c>
      <x:c r="G2771" t="n">
        <x:v>31</x:v>
      </x:c>
      <x:c r="H2771" t="n">
        <x:f>ROUND(F2771*G2771/100,2)</x:f>
        <x:v>34.1</x:v>
      </x:c>
      <x:c r="I2771" t="n">
        <x:v>3</x:v>
      </x:c>
      <x:c r="J2771" t="n">
        <x:f>ROUND(F2771*I2771/100,2)</x:f>
        <x:v>3.3</x:v>
      </x:c>
      <x:c r="K2771" t="n">
        <x:v>6</x:v>
      </x:c>
      <x:c r="L2771" t="n">
        <x:f>ROUND(F2771*K2771/100,2)</x:f>
        <x:v>6.6</x:v>
      </x:c>
      <x:c r="M2771" t="n">
        <x:v>0.2</x:v>
      </x:c>
      <x:c r="N2771" t="n">
        <x:f>ROUND(F2771*M2771/100,2)</x:f>
        <x:v>0.22</x:v>
      </x:c>
      <x:c r="O2771" t="str">
        <x:v>生重</x:v>
      </x:c>
    </x:row>
    <x:row r="2772" ht="23" customHeight="1">
      <x:c r="A2772" t="n">
        <x:v>462</x:v>
      </x:c>
      <x:c r="B2772" t="n">
        <x:v>231</x:v>
      </x:c>
      <x:c r="C2772" t="str">
        <x:v>晚餐</x:v>
      </x:c>
      <x:c r="D2772" t="str">
        <x:v>主食</x:v>
      </x:c>
      <x:c r="E2772" t="str">
        <x:v>藜麦饭</x:v>
      </x:c>
      <x:c r="F2772" t="n">
        <x:v>110</x:v>
      </x:c>
      <x:c r="G2772" t="n">
        <x:v>120</x:v>
      </x:c>
      <x:c r="H2772" t="n">
        <x:f>ROUND(F2772*G2772/100,2)</x:f>
        <x:v>132</x:v>
      </x:c>
      <x:c r="I2772" t="n">
        <x:v>4.4</x:v>
      </x:c>
      <x:c r="J2772" t="n">
        <x:f>ROUND(F2772*I2772/100,2)</x:f>
        <x:v>4.84</x:v>
      </x:c>
      <x:c r="K2772" t="n">
        <x:v>21.3</x:v>
      </x:c>
      <x:c r="L2772" t="n">
        <x:f>ROUND(F2772*K2772/100,2)</x:f>
        <x:v>23.43</x:v>
      </x:c>
      <x:c r="M2772" t="n">
        <x:v>1.9</x:v>
      </x:c>
      <x:c r="N2772" t="n">
        <x:f>ROUND(F2772*M2772/100,2)</x:f>
        <x:v>2.09</x:v>
      </x:c>
      <x:c r="O2772" t="str">
        <x:v>熟重</x:v>
      </x:c>
    </x:row>
    <x:row r="2773" ht="23" customHeight="1">
      <x:c r="A2773" t="n">
        <x:v>462</x:v>
      </x:c>
      <x:c r="B2773" t="n">
        <x:v>231</x:v>
      </x:c>
      <x:c r="C2773" t="str">
        <x:v>晚餐</x:v>
      </x:c>
      <x:c r="D2773" t="str">
        <x:v>油脂</x:v>
      </x:c>
      <x:c r="E2773" t="str">
        <x:v>烹调油</x:v>
      </x:c>
      <x:c r="F2773" t="n">
        <x:v>5</x:v>
      </x:c>
      <x:c r="G2773" t="n">
        <x:v>900</x:v>
      </x:c>
      <x:c r="H2773" t="n">
        <x:f>ROUND(F2773*G2773/100,2)</x:f>
        <x:v>45</x:v>
      </x:c>
      <x:c r="I2773" t="n">
        <x:v>0</x:v>
      </x:c>
      <x:c r="J2773" t="n">
        <x:f>ROUND(F2773*I2773/100,2)</x:f>
        <x:v>0</x:v>
      </x:c>
      <x:c r="K2773" t="n">
        <x:v>0</x:v>
      </x:c>
      <x:c r="L2773" t="n">
        <x:f>ROUND(F2773*K2773/100,2)</x:f>
        <x:v>0</x:v>
      </x:c>
      <x:c r="M2773" t="n">
        <x:v>100</x:v>
      </x:c>
      <x:c r="N2773" t="n">
        <x:f>ROUND(F2773*M2773/100,2)</x:f>
        <x:v>5</x:v>
      </x:c>
      <x:c r="O2773" t="str">
        <x:v>实际用油重</x:v>
      </x:c>
    </x:row>
    <x:row r="2774" ht="23" customHeight="1">
      <x:c r="A2774" t="n">
        <x:v>463</x:v>
      </x:c>
      <x:c r="B2774" t="n">
        <x:v>232</x:v>
      </x:c>
      <x:c r="C2774" t="str">
        <x:v>午餐</x:v>
      </x:c>
      <x:c r="D2774" t="str">
        <x:v>牛肉</x:v>
      </x:c>
      <x:c r="E2774" t="str">
        <x:v>牛里脊</x:v>
      </x:c>
      <x:c r="F2774" t="n">
        <x:v>165</x:v>
      </x:c>
      <x:c r="G2774" t="n">
        <x:v>130</x:v>
      </x:c>
      <x:c r="H2774" t="n">
        <x:f>ROUND(F2774*G2774/100,2)</x:f>
        <x:v>214.5</x:v>
      </x:c>
      <x:c r="I2774" t="n">
        <x:v>21</x:v>
      </x:c>
      <x:c r="J2774" t="n">
        <x:f>ROUND(F2774*I2774/100,2)</x:f>
        <x:v>34.65</x:v>
      </x:c>
      <x:c r="K2774" t="n">
        <x:v>0</x:v>
      </x:c>
      <x:c r="L2774" t="n">
        <x:f>ROUND(F2774*K2774/100,2)</x:f>
        <x:v>0</x:v>
      </x:c>
      <x:c r="M2774" t="n">
        <x:v>4.8</x:v>
      </x:c>
      <x:c r="N2774" t="n">
        <x:f>ROUND(F2774*M2774/100,2)</x:f>
        <x:v>7.92</x:v>
      </x:c>
      <x:c r="O2774" t="str">
        <x:v>生重</x:v>
      </x:c>
    </x:row>
    <x:row r="2775" ht="23" customHeight="1">
      <x:c r="A2775" t="n">
        <x:v>463</x:v>
      </x:c>
      <x:c r="B2775" t="n">
        <x:v>232</x:v>
      </x:c>
      <x:c r="C2775" t="str">
        <x:v>午餐</x:v>
      </x:c>
      <x:c r="D2775" t="str"/>
      <x:c r="E2775" t="str"/>
      <x:c r="F2775" t="n">
        <x:v>0</x:v>
      </x:c>
      <x:c r="G2775" t="n">
        <x:v>0</x:v>
      </x:c>
      <x:c r="H2775" t="n">
        <x:f>ROUND(F2775*G2775/100,2)</x:f>
        <x:v>0</x:v>
      </x:c>
      <x:c r="I2775" t="n">
        <x:v>0</x:v>
      </x:c>
      <x:c r="J2775" t="n">
        <x:f>ROUND(F2775*I2775/100,2)</x:f>
        <x:v>0</x:v>
      </x:c>
      <x:c r="K2775" t="n">
        <x:v>0</x:v>
      </x:c>
      <x:c r="L2775" t="n">
        <x:f>ROUND(F2775*K2775/100,2)</x:f>
        <x:v>0</x:v>
      </x:c>
      <x:c r="M2775" t="n">
        <x:v>0</x:v>
      </x:c>
      <x:c r="N2775" t="n">
        <x:f>ROUND(F2775*M2775/100,2)</x:f>
        <x:v>0</x:v>
      </x:c>
      <x:c r="O2775" t="str"/>
    </x:row>
    <x:row r="2776" ht="23" customHeight="1">
      <x:c r="A2776" t="n">
        <x:v>463</x:v>
      </x:c>
      <x:c r="B2776" t="n">
        <x:v>232</x:v>
      </x:c>
      <x:c r="C2776" t="str">
        <x:v>午餐</x:v>
      </x:c>
      <x:c r="D2776" t="str">
        <x:v>蔬菜</x:v>
      </x:c>
      <x:c r="E2776" t="str">
        <x:v>芦笋</x:v>
      </x:c>
      <x:c r="F2776" t="n">
        <x:v>175</x:v>
      </x:c>
      <x:c r="G2776" t="n">
        <x:v>20</x:v>
      </x:c>
      <x:c r="H2776" t="n">
        <x:f>ROUND(F2776*G2776/100,2)</x:f>
        <x:v>35</x:v>
      </x:c>
      <x:c r="I2776" t="n">
        <x:v>2.2</x:v>
      </x:c>
      <x:c r="J2776" t="n">
        <x:f>ROUND(F2776*I2776/100,2)</x:f>
        <x:v>3.85</x:v>
      </x:c>
      <x:c r="K2776" t="n">
        <x:v>3.9</x:v>
      </x:c>
      <x:c r="L2776" t="n">
        <x:f>ROUND(F2776*K2776/100,2)</x:f>
        <x:v>6.83</x:v>
      </x:c>
      <x:c r="M2776" t="n">
        <x:v>0.1</x:v>
      </x:c>
      <x:c r="N2776" t="n">
        <x:f>ROUND(F2776*M2776/100,2)</x:f>
        <x:v>0.18</x:v>
      </x:c>
      <x:c r="O2776" t="str">
        <x:v>生重</x:v>
      </x:c>
    </x:row>
    <x:row r="2777" ht="23" customHeight="1">
      <x:c r="A2777" t="n">
        <x:v>463</x:v>
      </x:c>
      <x:c r="B2777" t="n">
        <x:v>232</x:v>
      </x:c>
      <x:c r="C2777" t="str">
        <x:v>午餐</x:v>
      </x:c>
      <x:c r="D2777" t="str">
        <x:v>蔬菜</x:v>
      </x:c>
      <x:c r="E2777" t="str">
        <x:v>西兰花</x:v>
      </x:c>
      <x:c r="F2777" t="n">
        <x:v>110</x:v>
      </x:c>
      <x:c r="G2777" t="n">
        <x:v>34</x:v>
      </x:c>
      <x:c r="H2777" t="n">
        <x:f>ROUND(F2777*G2777/100,2)</x:f>
        <x:v>37.4</x:v>
      </x:c>
      <x:c r="I2777" t="n">
        <x:v>2.8</x:v>
      </x:c>
      <x:c r="J2777" t="n">
        <x:f>ROUND(F2777*I2777/100,2)</x:f>
        <x:v>3.08</x:v>
      </x:c>
      <x:c r="K2777" t="n">
        <x:v>7</x:v>
      </x:c>
      <x:c r="L2777" t="n">
        <x:f>ROUND(F2777*K2777/100,2)</x:f>
        <x:v>7.7</x:v>
      </x:c>
      <x:c r="M2777" t="n">
        <x:v>0.4</x:v>
      </x:c>
      <x:c r="N2777" t="n">
        <x:f>ROUND(F2777*M2777/100,2)</x:f>
        <x:v>0.44</x:v>
      </x:c>
      <x:c r="O2777" t="str">
        <x:v>生重</x:v>
      </x:c>
    </x:row>
    <x:row r="2778" ht="23" customHeight="1">
      <x:c r="A2778" t="n">
        <x:v>463</x:v>
      </x:c>
      <x:c r="B2778" t="n">
        <x:v>232</x:v>
      </x:c>
      <x:c r="C2778" t="str">
        <x:v>午餐</x:v>
      </x:c>
      <x:c r="D2778" t="str">
        <x:v>主食</x:v>
      </x:c>
      <x:c r="E2778" t="str">
        <x:v>山药</x:v>
      </x:c>
      <x:c r="F2778" t="n">
        <x:v>125</x:v>
      </x:c>
      <x:c r="G2778" t="n">
        <x:v>62</x:v>
      </x:c>
      <x:c r="H2778" t="n">
        <x:f>ROUND(F2778*G2778/100,2)</x:f>
        <x:v>77.5</x:v>
      </x:c>
      <x:c r="I2778" t="n">
        <x:v>1.5</x:v>
      </x:c>
      <x:c r="J2778" t="n">
        <x:f>ROUND(F2778*I2778/100,2)</x:f>
        <x:v>1.88</x:v>
      </x:c>
      <x:c r="K2778" t="n">
        <x:v>14.1</x:v>
      </x:c>
      <x:c r="L2778" t="n">
        <x:f>ROUND(F2778*K2778/100,2)</x:f>
        <x:v>17.63</x:v>
      </x:c>
      <x:c r="M2778" t="n">
        <x:v>0.1</x:v>
      </x:c>
      <x:c r="N2778" t="n">
        <x:f>ROUND(F2778*M2778/100,2)</x:f>
        <x:v>0.13</x:v>
      </x:c>
      <x:c r="O2778" t="str">
        <x:v>蒸熟净重</x:v>
      </x:c>
    </x:row>
    <x:row r="2779" ht="23" customHeight="1">
      <x:c r="A2779" t="n">
        <x:v>463</x:v>
      </x:c>
      <x:c r="B2779" t="n">
        <x:v>232</x:v>
      </x:c>
      <x:c r="C2779" t="str">
        <x:v>午餐</x:v>
      </x:c>
      <x:c r="D2779" t="str">
        <x:v>油脂</x:v>
      </x:c>
      <x:c r="E2779" t="str">
        <x:v>烹调油</x:v>
      </x:c>
      <x:c r="F2779" t="n">
        <x:v>5</x:v>
      </x:c>
      <x:c r="G2779" t="n">
        <x:v>900</x:v>
      </x:c>
      <x:c r="H2779" t="n">
        <x:f>ROUND(F2779*G2779/100,2)</x:f>
        <x:v>45</x:v>
      </x:c>
      <x:c r="I2779" t="n">
        <x:v>0</x:v>
      </x:c>
      <x:c r="J2779" t="n">
        <x:f>ROUND(F2779*I2779/100,2)</x:f>
        <x:v>0</x:v>
      </x:c>
      <x:c r="K2779" t="n">
        <x:v>0</x:v>
      </x:c>
      <x:c r="L2779" t="n">
        <x:f>ROUND(F2779*K2779/100,2)</x:f>
        <x:v>0</x:v>
      </x:c>
      <x:c r="M2779" t="n">
        <x:v>100</x:v>
      </x:c>
      <x:c r="N2779" t="n">
        <x:f>ROUND(F2779*M2779/100,2)</x:f>
        <x:v>5</x:v>
      </x:c>
      <x:c r="O2779" t="str">
        <x:v>实际用油重</x:v>
      </x:c>
    </x:row>
    <x:row r="2780" ht="23" customHeight="1">
      <x:c r="A2780" t="n">
        <x:v>464</x:v>
      </x:c>
      <x:c r="B2780" t="n">
        <x:v>232</x:v>
      </x:c>
      <x:c r="C2780" t="str">
        <x:v>晚餐</x:v>
      </x:c>
      <x:c r="D2780" t="str">
        <x:v>牛肉</x:v>
      </x:c>
      <x:c r="E2780" t="str">
        <x:v>瘦牛肉</x:v>
      </x:c>
      <x:c r="F2780" t="n">
        <x:v>180</x:v>
      </x:c>
      <x:c r="G2780" t="n">
        <x:v>125</x:v>
      </x:c>
      <x:c r="H2780" t="n">
        <x:f>ROUND(F2780*G2780/100,2)</x:f>
        <x:v>225</x:v>
      </x:c>
      <x:c r="I2780" t="n">
        <x:v>21</x:v>
      </x:c>
      <x:c r="J2780" t="n">
        <x:f>ROUND(F2780*I2780/100,2)</x:f>
        <x:v>37.8</x:v>
      </x:c>
      <x:c r="K2780" t="n">
        <x:v>0</x:v>
      </x:c>
      <x:c r="L2780" t="n">
        <x:f>ROUND(F2780*K2780/100,2)</x:f>
        <x:v>0</x:v>
      </x:c>
      <x:c r="M2780" t="n">
        <x:v>4</x:v>
      </x:c>
      <x:c r="N2780" t="n">
        <x:f>ROUND(F2780*M2780/100,2)</x:f>
        <x:v>7.2</x:v>
      </x:c>
      <x:c r="O2780" t="str">
        <x:v>生重</x:v>
      </x:c>
    </x:row>
    <x:row r="2781" ht="23" customHeight="1">
      <x:c r="A2781" t="n">
        <x:v>464</x:v>
      </x:c>
      <x:c r="B2781" t="n">
        <x:v>232</x:v>
      </x:c>
      <x:c r="C2781" t="str">
        <x:v>晚餐</x:v>
      </x:c>
      <x:c r="D2781" t="str"/>
      <x:c r="E2781" t="str"/>
      <x:c r="F2781" t="n">
        <x:v>0</x:v>
      </x:c>
      <x:c r="G2781" t="n">
        <x:v>0</x:v>
      </x:c>
      <x:c r="H2781" t="n">
        <x:f>ROUND(F2781*G2781/100,2)</x:f>
        <x:v>0</x:v>
      </x:c>
      <x:c r="I2781" t="n">
        <x:v>0</x:v>
      </x:c>
      <x:c r="J2781" t="n">
        <x:f>ROUND(F2781*I2781/100,2)</x:f>
        <x:v>0</x:v>
      </x:c>
      <x:c r="K2781" t="n">
        <x:v>0</x:v>
      </x:c>
      <x:c r="L2781" t="n">
        <x:f>ROUND(F2781*K2781/100,2)</x:f>
        <x:v>0</x:v>
      </x:c>
      <x:c r="M2781" t="n">
        <x:v>0</x:v>
      </x:c>
      <x:c r="N2781" t="n">
        <x:f>ROUND(F2781*M2781/100,2)</x:f>
        <x:v>0</x:v>
      </x:c>
      <x:c r="O2781" t="str"/>
    </x:row>
    <x:row r="2782" ht="23" customHeight="1">
      <x:c r="A2782" t="n">
        <x:v>464</x:v>
      </x:c>
      <x:c r="B2782" t="n">
        <x:v>232</x:v>
      </x:c>
      <x:c r="C2782" t="str">
        <x:v>晚餐</x:v>
      </x:c>
      <x:c r="D2782" t="str">
        <x:v>蔬菜</x:v>
      </x:c>
      <x:c r="E2782" t="str">
        <x:v>彩椒</x:v>
      </x:c>
      <x:c r="F2782" t="n">
        <x:v>160</x:v>
      </x:c>
      <x:c r="G2782" t="n">
        <x:v>27</x:v>
      </x:c>
      <x:c r="H2782" t="n">
        <x:f>ROUND(F2782*G2782/100,2)</x:f>
        <x:v>43.2</x:v>
      </x:c>
      <x:c r="I2782" t="n">
        <x:v>1</x:v>
      </x:c>
      <x:c r="J2782" t="n">
        <x:f>ROUND(F2782*I2782/100,2)</x:f>
        <x:v>1.6</x:v>
      </x:c>
      <x:c r="K2782" t="n">
        <x:v>6.1</x:v>
      </x:c>
      <x:c r="L2782" t="n">
        <x:f>ROUND(F2782*K2782/100,2)</x:f>
        <x:v>9.76</x:v>
      </x:c>
      <x:c r="M2782" t="n">
        <x:v>0.2</x:v>
      </x:c>
      <x:c r="N2782" t="n">
        <x:f>ROUND(F2782*M2782/100,2)</x:f>
        <x:v>0.32</x:v>
      </x:c>
      <x:c r="O2782" t="str">
        <x:v>生重</x:v>
      </x:c>
    </x:row>
    <x:row r="2783" ht="23" customHeight="1">
      <x:c r="A2783" t="n">
        <x:v>464</x:v>
      </x:c>
      <x:c r="B2783" t="n">
        <x:v>232</x:v>
      </x:c>
      <x:c r="C2783" t="str">
        <x:v>晚餐</x:v>
      </x:c>
      <x:c r="D2783" t="str">
        <x:v>蔬菜</x:v>
      </x:c>
      <x:c r="E2783" t="str">
        <x:v>芦笋</x:v>
      </x:c>
      <x:c r="F2783" t="n">
        <x:v>140</x:v>
      </x:c>
      <x:c r="G2783" t="n">
        <x:v>20</x:v>
      </x:c>
      <x:c r="H2783" t="n">
        <x:f>ROUND(F2783*G2783/100,2)</x:f>
        <x:v>28</x:v>
      </x:c>
      <x:c r="I2783" t="n">
        <x:v>2.2</x:v>
      </x:c>
      <x:c r="J2783" t="n">
        <x:f>ROUND(F2783*I2783/100,2)</x:f>
        <x:v>3.08</x:v>
      </x:c>
      <x:c r="K2783" t="n">
        <x:v>3.9</x:v>
      </x:c>
      <x:c r="L2783" t="n">
        <x:f>ROUND(F2783*K2783/100,2)</x:f>
        <x:v>5.46</x:v>
      </x:c>
      <x:c r="M2783" t="n">
        <x:v>0.1</x:v>
      </x:c>
      <x:c r="N2783" t="n">
        <x:f>ROUND(F2783*M2783/100,2)</x:f>
        <x:v>0.14</x:v>
      </x:c>
      <x:c r="O2783" t="str">
        <x:v>生重</x:v>
      </x:c>
    </x:row>
    <x:row r="2784" ht="23" customHeight="1">
      <x:c r="A2784" t="n">
        <x:v>464</x:v>
      </x:c>
      <x:c r="B2784" t="n">
        <x:v>232</x:v>
      </x:c>
      <x:c r="C2784" t="str">
        <x:v>晚餐</x:v>
      </x:c>
      <x:c r="D2784" t="str">
        <x:v>主食</x:v>
      </x:c>
      <x:c r="E2784" t="str">
        <x:v>山药</x:v>
      </x:c>
      <x:c r="F2784" t="n">
        <x:v>125</x:v>
      </x:c>
      <x:c r="G2784" t="n">
        <x:v>62</x:v>
      </x:c>
      <x:c r="H2784" t="n">
        <x:f>ROUND(F2784*G2784/100,2)</x:f>
        <x:v>77.5</x:v>
      </x:c>
      <x:c r="I2784" t="n">
        <x:v>1.5</x:v>
      </x:c>
      <x:c r="J2784" t="n">
        <x:f>ROUND(F2784*I2784/100,2)</x:f>
        <x:v>1.88</x:v>
      </x:c>
      <x:c r="K2784" t="n">
        <x:v>14.1</x:v>
      </x:c>
      <x:c r="L2784" t="n">
        <x:f>ROUND(F2784*K2784/100,2)</x:f>
        <x:v>17.63</x:v>
      </x:c>
      <x:c r="M2784" t="n">
        <x:v>0.1</x:v>
      </x:c>
      <x:c r="N2784" t="n">
        <x:f>ROUND(F2784*M2784/100,2)</x:f>
        <x:v>0.13</x:v>
      </x:c>
      <x:c r="O2784" t="str">
        <x:v>蒸熟净重</x:v>
      </x:c>
    </x:row>
    <x:row r="2785" ht="23" customHeight="1">
      <x:c r="A2785" t="n">
        <x:v>464</x:v>
      </x:c>
      <x:c r="B2785" t="n">
        <x:v>232</x:v>
      </x:c>
      <x:c r="C2785" t="str">
        <x:v>晚餐</x:v>
      </x:c>
      <x:c r="D2785" t="str">
        <x:v>油脂</x:v>
      </x:c>
      <x:c r="E2785" t="str">
        <x:v>烹调油</x:v>
      </x:c>
      <x:c r="F2785" t="n">
        <x:v>4</x:v>
      </x:c>
      <x:c r="G2785" t="n">
        <x:v>900</x:v>
      </x:c>
      <x:c r="H2785" t="n">
        <x:f>ROUND(F2785*G2785/100,2)</x:f>
        <x:v>36</x:v>
      </x:c>
      <x:c r="I2785" t="n">
        <x:v>0</x:v>
      </x:c>
      <x:c r="J2785" t="n">
        <x:f>ROUND(F2785*I2785/100,2)</x:f>
        <x:v>0</x:v>
      </x:c>
      <x:c r="K2785" t="n">
        <x:v>0</x:v>
      </x:c>
      <x:c r="L2785" t="n">
        <x:f>ROUND(F2785*K2785/100,2)</x:f>
        <x:v>0</x:v>
      </x:c>
      <x:c r="M2785" t="n">
        <x:v>100</x:v>
      </x:c>
      <x:c r="N2785" t="n">
        <x:f>ROUND(F2785*M2785/100,2)</x:f>
        <x:v>4</x:v>
      </x:c>
      <x:c r="O2785" t="str">
        <x:v>实际用油重</x:v>
      </x:c>
    </x:row>
    <x:row r="2786" ht="23" customHeight="1">
      <x:c r="A2786" t="n">
        <x:v>465</x:v>
      </x:c>
      <x:c r="B2786" t="n">
        <x:v>233</x:v>
      </x:c>
      <x:c r="C2786" t="str">
        <x:v>午餐</x:v>
      </x:c>
      <x:c r="D2786" t="str">
        <x:v>禽肉</x:v>
      </x:c>
      <x:c r="E2786" t="str">
        <x:v>鸡胸肉</x:v>
      </x:c>
      <x:c r="F2786" t="n">
        <x:v>165</x:v>
      </x:c>
      <x:c r="G2786" t="n">
        <x:v>110</x:v>
      </x:c>
      <x:c r="H2786" t="n">
        <x:f>ROUND(F2786*G2786/100,2)</x:f>
        <x:v>181.5</x:v>
      </x:c>
      <x:c r="I2786" t="n">
        <x:v>23</x:v>
      </x:c>
      <x:c r="J2786" t="n">
        <x:f>ROUND(F2786*I2786/100,2)</x:f>
        <x:v>37.95</x:v>
      </x:c>
      <x:c r="K2786" t="n">
        <x:v>0</x:v>
      </x:c>
      <x:c r="L2786" t="n">
        <x:f>ROUND(F2786*K2786/100,2)</x:f>
        <x:v>0</x:v>
      </x:c>
      <x:c r="M2786" t="n">
        <x:v>2</x:v>
      </x:c>
      <x:c r="N2786" t="n">
        <x:f>ROUND(F2786*M2786/100,2)</x:f>
        <x:v>3.3</x:v>
      </x:c>
      <x:c r="O2786" t="str">
        <x:v>生重</x:v>
      </x:c>
    </x:row>
    <x:row r="2787" ht="23" customHeight="1">
      <x:c r="A2787" t="n">
        <x:v>465</x:v>
      </x:c>
      <x:c r="B2787" t="n">
        <x:v>233</x:v>
      </x:c>
      <x:c r="C2787" t="str">
        <x:v>午餐</x:v>
      </x:c>
      <x:c r="D2787" t="str"/>
      <x:c r="E2787" t="str"/>
      <x:c r="F2787" t="n">
        <x:v>0</x:v>
      </x:c>
      <x:c r="G2787" t="n">
        <x:v>0</x:v>
      </x:c>
      <x:c r="H2787" t="n">
        <x:f>ROUND(F2787*G2787/100,2)</x:f>
        <x:v>0</x:v>
      </x:c>
      <x:c r="I2787" t="n">
        <x:v>0</x:v>
      </x:c>
      <x:c r="J2787" t="n">
        <x:f>ROUND(F2787*I2787/100,2)</x:f>
        <x:v>0</x:v>
      </x:c>
      <x:c r="K2787" t="n">
        <x:v>0</x:v>
      </x:c>
      <x:c r="L2787" t="n">
        <x:f>ROUND(F2787*K2787/100,2)</x:f>
        <x:v>0</x:v>
      </x:c>
      <x:c r="M2787" t="n">
        <x:v>0</x:v>
      </x:c>
      <x:c r="N2787" t="n">
        <x:f>ROUND(F2787*M2787/100,2)</x:f>
        <x:v>0</x:v>
      </x:c>
      <x:c r="O2787" t="str"/>
    </x:row>
    <x:row r="2788" ht="23" customHeight="1">
      <x:c r="A2788" t="n">
        <x:v>465</x:v>
      </x:c>
      <x:c r="B2788" t="n">
        <x:v>233</x:v>
      </x:c>
      <x:c r="C2788" t="str">
        <x:v>午餐</x:v>
      </x:c>
      <x:c r="D2788" t="str">
        <x:v>蔬菜</x:v>
      </x:c>
      <x:c r="E2788" t="str">
        <x:v>丝瓜</x:v>
      </x:c>
      <x:c r="F2788" t="n">
        <x:v>140</x:v>
      </x:c>
      <x:c r="G2788" t="n">
        <x:v>20</x:v>
      </x:c>
      <x:c r="H2788" t="n">
        <x:f>ROUND(F2788*G2788/100,2)</x:f>
        <x:v>28</x:v>
      </x:c>
      <x:c r="I2788" t="n">
        <x:v>1</x:v>
      </x:c>
      <x:c r="J2788" t="n">
        <x:f>ROUND(F2788*I2788/100,2)</x:f>
        <x:v>1.4</x:v>
      </x:c>
      <x:c r="K2788" t="n">
        <x:v>4</x:v>
      </x:c>
      <x:c r="L2788" t="n">
        <x:f>ROUND(F2788*K2788/100,2)</x:f>
        <x:v>5.6</x:v>
      </x:c>
      <x:c r="M2788" t="n">
        <x:v>0.2</x:v>
      </x:c>
      <x:c r="N2788" t="n">
        <x:f>ROUND(F2788*M2788/100,2)</x:f>
        <x:v>0.28</x:v>
      </x:c>
      <x:c r="O2788" t="str">
        <x:v>生重</x:v>
      </x:c>
    </x:row>
    <x:row r="2789" ht="23" customHeight="1">
      <x:c r="A2789" t="n">
        <x:v>465</x:v>
      </x:c>
      <x:c r="B2789" t="n">
        <x:v>233</x:v>
      </x:c>
      <x:c r="C2789" t="str">
        <x:v>午餐</x:v>
      </x:c>
      <x:c r="D2789" t="str">
        <x:v>菌菇</x:v>
      </x:c>
      <x:c r="E2789" t="str">
        <x:v>口蘑</x:v>
      </x:c>
      <x:c r="F2789" t="n">
        <x:v>125</x:v>
      </x:c>
      <x:c r="G2789" t="n">
        <x:v>22</x:v>
      </x:c>
      <x:c r="H2789" t="n">
        <x:f>ROUND(F2789*G2789/100,2)</x:f>
        <x:v>27.5</x:v>
      </x:c>
      <x:c r="I2789" t="n">
        <x:v>3.1</x:v>
      </x:c>
      <x:c r="J2789" t="n">
        <x:f>ROUND(F2789*I2789/100,2)</x:f>
        <x:v>3.88</x:v>
      </x:c>
      <x:c r="K2789" t="n">
        <x:v>3.3</x:v>
      </x:c>
      <x:c r="L2789" t="n">
        <x:f>ROUND(F2789*K2789/100,2)</x:f>
        <x:v>4.13</x:v>
      </x:c>
      <x:c r="M2789" t="n">
        <x:v>0.3</x:v>
      </x:c>
      <x:c r="N2789" t="n">
        <x:f>ROUND(F2789*M2789/100,2)</x:f>
        <x:v>0.38</x:v>
      </x:c>
      <x:c r="O2789" t="str">
        <x:v>生重</x:v>
      </x:c>
    </x:row>
    <x:row r="2790" ht="23" customHeight="1">
      <x:c r="A2790" t="n">
        <x:v>465</x:v>
      </x:c>
      <x:c r="B2790" t="n">
        <x:v>233</x:v>
      </x:c>
      <x:c r="C2790" t="str">
        <x:v>午餐</x:v>
      </x:c>
      <x:c r="D2790" t="str">
        <x:v>主食</x:v>
      </x:c>
      <x:c r="E2790" t="str">
        <x:v>糙米饭</x:v>
      </x:c>
      <x:c r="F2790" t="n">
        <x:v>125</x:v>
      </x:c>
      <x:c r="G2790" t="n">
        <x:v>112</x:v>
      </x:c>
      <x:c r="H2790" t="n">
        <x:f>ROUND(F2790*G2790/100,2)</x:f>
        <x:v>140</x:v>
      </x:c>
      <x:c r="I2790" t="n">
        <x:v>2.6</x:v>
      </x:c>
      <x:c r="J2790" t="n">
        <x:f>ROUND(F2790*I2790/100,2)</x:f>
        <x:v>3.25</x:v>
      </x:c>
      <x:c r="K2790" t="n">
        <x:v>23.5</x:v>
      </x:c>
      <x:c r="L2790" t="n">
        <x:f>ROUND(F2790*K2790/100,2)</x:f>
        <x:v>29.38</x:v>
      </x:c>
      <x:c r="M2790" t="n">
        <x:v>0.9</x:v>
      </x:c>
      <x:c r="N2790" t="n">
        <x:f>ROUND(F2790*M2790/100,2)</x:f>
        <x:v>1.13</x:v>
      </x:c>
      <x:c r="O2790" t="str">
        <x:v>熟重</x:v>
      </x:c>
    </x:row>
    <x:row r="2791" ht="23" customHeight="1">
      <x:c r="A2791" t="n">
        <x:v>465</x:v>
      </x:c>
      <x:c r="B2791" t="n">
        <x:v>233</x:v>
      </x:c>
      <x:c r="C2791" t="str">
        <x:v>午餐</x:v>
      </x:c>
      <x:c r="D2791" t="str">
        <x:v>油脂</x:v>
      </x:c>
      <x:c r="E2791" t="str">
        <x:v>烹调油</x:v>
      </x:c>
      <x:c r="F2791" t="n">
        <x:v>5</x:v>
      </x:c>
      <x:c r="G2791" t="n">
        <x:v>900</x:v>
      </x:c>
      <x:c r="H2791" t="n">
        <x:f>ROUND(F2791*G2791/100,2)</x:f>
        <x:v>45</x:v>
      </x:c>
      <x:c r="I2791" t="n">
        <x:v>0</x:v>
      </x:c>
      <x:c r="J2791" t="n">
        <x:f>ROUND(F2791*I2791/100,2)</x:f>
        <x:v>0</x:v>
      </x:c>
      <x:c r="K2791" t="n">
        <x:v>0</x:v>
      </x:c>
      <x:c r="L2791" t="n">
        <x:f>ROUND(F2791*K2791/100,2)</x:f>
        <x:v>0</x:v>
      </x:c>
      <x:c r="M2791" t="n">
        <x:v>100</x:v>
      </x:c>
      <x:c r="N2791" t="n">
        <x:f>ROUND(F2791*M2791/100,2)</x:f>
        <x:v>5</x:v>
      </x:c>
      <x:c r="O2791" t="str">
        <x:v>实际用油重</x:v>
      </x:c>
    </x:row>
    <x:row r="2792" ht="23" customHeight="1">
      <x:c r="A2792" t="n">
        <x:v>466</x:v>
      </x:c>
      <x:c r="B2792" t="n">
        <x:v>233</x:v>
      </x:c>
      <x:c r="C2792" t="str">
        <x:v>晚餐</x:v>
      </x:c>
      <x:c r="D2792" t="str">
        <x:v>豆蛋</x:v>
      </x:c>
      <x:c r="E2792" t="str">
        <x:v>北豆腐</x:v>
      </x:c>
      <x:c r="F2792" t="n">
        <x:v>280</x:v>
      </x:c>
      <x:c r="G2792" t="n">
        <x:v>90</x:v>
      </x:c>
      <x:c r="H2792" t="n">
        <x:f>ROUND(F2792*G2792/100,2)</x:f>
        <x:v>252</x:v>
      </x:c>
      <x:c r="I2792" t="n">
        <x:v>10</x:v>
      </x:c>
      <x:c r="J2792" t="n">
        <x:f>ROUND(F2792*I2792/100,2)</x:f>
        <x:v>28</x:v>
      </x:c>
      <x:c r="K2792" t="n">
        <x:v>2</x:v>
      </x:c>
      <x:c r="L2792" t="n">
        <x:f>ROUND(F2792*K2792/100,2)</x:f>
        <x:v>5.6</x:v>
      </x:c>
      <x:c r="M2792" t="n">
        <x:v>5</x:v>
      </x:c>
      <x:c r="N2792" t="n">
        <x:f>ROUND(F2792*M2792/100,2)</x:f>
        <x:v>14</x:v>
      </x:c>
      <x:c r="O2792" t="str">
        <x:v>净重</x:v>
      </x:c>
    </x:row>
    <x:row r="2793" ht="23" customHeight="1">
      <x:c r="A2793" t="n">
        <x:v>466</x:v>
      </x:c>
      <x:c r="B2793" t="n">
        <x:v>233</x:v>
      </x:c>
      <x:c r="C2793" t="str">
        <x:v>晚餐</x:v>
      </x:c>
      <x:c r="D2793" t="str">
        <x:v>豆蛋</x:v>
      </x:c>
      <x:c r="E2793" t="str">
        <x:v>鸡蛋</x:v>
      </x:c>
      <x:c r="F2793" t="n">
        <x:v>60</x:v>
      </x:c>
      <x:c r="G2793" t="n">
        <x:v>144</x:v>
      </x:c>
      <x:c r="H2793" t="n">
        <x:f>ROUND(F2793*G2793/100,2)</x:f>
        <x:v>86.4</x:v>
      </x:c>
      <x:c r="I2793" t="n">
        <x:v>13</x:v>
      </x:c>
      <x:c r="J2793" t="n">
        <x:f>ROUND(F2793*I2793/100,2)</x:f>
        <x:v>7.8</x:v>
      </x:c>
      <x:c r="K2793" t="n">
        <x:v>1.1</x:v>
      </x:c>
      <x:c r="L2793" t="n">
        <x:f>ROUND(F2793*K2793/100,2)</x:f>
        <x:v>0.66</x:v>
      </x:c>
      <x:c r="M2793" t="n">
        <x:v>10</x:v>
      </x:c>
      <x:c r="N2793" t="n">
        <x:f>ROUND(F2793*M2793/100,2)</x:f>
        <x:v>6</x:v>
      </x:c>
      <x:c r="O2793" t="str">
        <x:v>去壳可食重</x:v>
      </x:c>
    </x:row>
    <x:row r="2794" ht="23" customHeight="1">
      <x:c r="A2794" t="n">
        <x:v>466</x:v>
      </x:c>
      <x:c r="B2794" t="n">
        <x:v>233</x:v>
      </x:c>
      <x:c r="C2794" t="str">
        <x:v>晚餐</x:v>
      </x:c>
      <x:c r="D2794" t="str">
        <x:v>蔬菜</x:v>
      </x:c>
      <x:c r="E2794" t="str">
        <x:v>小白菜</x:v>
      </x:c>
      <x:c r="F2794" t="n">
        <x:v>140</x:v>
      </x:c>
      <x:c r="G2794" t="n">
        <x:v>17</x:v>
      </x:c>
      <x:c r="H2794" t="n">
        <x:f>ROUND(F2794*G2794/100,2)</x:f>
        <x:v>23.8</x:v>
      </x:c>
      <x:c r="I2794" t="n">
        <x:v>1.6</x:v>
      </x:c>
      <x:c r="J2794" t="n">
        <x:f>ROUND(F2794*I2794/100,2)</x:f>
        <x:v>2.24</x:v>
      </x:c>
      <x:c r="K2794" t="n">
        <x:v>2.8</x:v>
      </x:c>
      <x:c r="L2794" t="n">
        <x:f>ROUND(F2794*K2794/100,2)</x:f>
        <x:v>3.92</x:v>
      </x:c>
      <x:c r="M2794" t="n">
        <x:v>0.2</x:v>
      </x:c>
      <x:c r="N2794" t="n">
        <x:f>ROUND(F2794*M2794/100,2)</x:f>
        <x:v>0.28</x:v>
      </x:c>
      <x:c r="O2794" t="str">
        <x:v>生重</x:v>
      </x:c>
    </x:row>
    <x:row r="2795" ht="23" customHeight="1">
      <x:c r="A2795" t="n">
        <x:v>466</x:v>
      </x:c>
      <x:c r="B2795" t="n">
        <x:v>233</x:v>
      </x:c>
      <x:c r="C2795" t="str">
        <x:v>晚餐</x:v>
      </x:c>
      <x:c r="D2795" t="str">
        <x:v>菌菇</x:v>
      </x:c>
      <x:c r="E2795" t="str">
        <x:v>泡发木耳</x:v>
      </x:c>
      <x:c r="F2795" t="n">
        <x:v>155</x:v>
      </x:c>
      <x:c r="G2795" t="n">
        <x:v>25</x:v>
      </x:c>
      <x:c r="H2795" t="n">
        <x:f>ROUND(F2795*G2795/100,2)</x:f>
        <x:v>38.75</x:v>
      </x:c>
      <x:c r="I2795" t="n">
        <x:v>1.5</x:v>
      </x:c>
      <x:c r="J2795" t="n">
        <x:f>ROUND(F2795*I2795/100,2)</x:f>
        <x:v>2.33</x:v>
      </x:c>
      <x:c r="K2795" t="n">
        <x:v>6</x:v>
      </x:c>
      <x:c r="L2795" t="n">
        <x:f>ROUND(F2795*K2795/100,2)</x:f>
        <x:v>9.3</x:v>
      </x:c>
      <x:c r="M2795" t="n">
        <x:v>0.1</x:v>
      </x:c>
      <x:c r="N2795" t="n">
        <x:f>ROUND(F2795*M2795/100,2)</x:f>
        <x:v>0.16</x:v>
      </x:c>
      <x:c r="O2795" t="str">
        <x:v>泡发沥水重</x:v>
      </x:c>
    </x:row>
    <x:row r="2796" ht="23" customHeight="1">
      <x:c r="A2796" t="n">
        <x:v>466</x:v>
      </x:c>
      <x:c r="B2796" t="n">
        <x:v>233</x:v>
      </x:c>
      <x:c r="C2796" t="str">
        <x:v>晚餐</x:v>
      </x:c>
      <x:c r="D2796" t="str">
        <x:v>主食</x:v>
      </x:c>
      <x:c r="E2796" t="str">
        <x:v>全麦面</x:v>
      </x:c>
      <x:c r="F2796" t="n">
        <x:v>80</x:v>
      </x:c>
      <x:c r="G2796" t="n">
        <x:v>124</x:v>
      </x:c>
      <x:c r="H2796" t="n">
        <x:f>ROUND(F2796*G2796/100,2)</x:f>
        <x:v>99.2</x:v>
      </x:c>
      <x:c r="I2796" t="n">
        <x:v>5</x:v>
      </x:c>
      <x:c r="J2796" t="n">
        <x:f>ROUND(F2796*I2796/100,2)</x:f>
        <x:v>4</x:v>
      </x:c>
      <x:c r="K2796" t="n">
        <x:v>25</x:v>
      </x:c>
      <x:c r="L2796" t="n">
        <x:f>ROUND(F2796*K2796/100,2)</x:f>
        <x:v>20</x:v>
      </x:c>
      <x:c r="M2796" t="n">
        <x:v>1.1</x:v>
      </x:c>
      <x:c r="N2796" t="n">
        <x:f>ROUND(F2796*M2796/100,2)</x:f>
        <x:v>0.88</x:v>
      </x:c>
      <x:c r="O2796" t="str">
        <x:v>煮熟沥水重</x:v>
      </x:c>
    </x:row>
    <x:row r="2797" ht="23" customHeight="1">
      <x:c r="A2797" t="n">
        <x:v>466</x:v>
      </x:c>
      <x:c r="B2797" t="n">
        <x:v>233</x:v>
      </x:c>
      <x:c r="C2797" t="str">
        <x:v>晚餐</x:v>
      </x:c>
      <x:c r="D2797" t="str">
        <x:v>油脂</x:v>
      </x:c>
      <x:c r="E2797" t="str">
        <x:v>烹调油</x:v>
      </x:c>
      <x:c r="F2797" t="n">
        <x:v>5</x:v>
      </x:c>
      <x:c r="G2797" t="n">
        <x:v>900</x:v>
      </x:c>
      <x:c r="H2797" t="n">
        <x:f>ROUND(F2797*G2797/100,2)</x:f>
        <x:v>45</x:v>
      </x:c>
      <x:c r="I2797" t="n">
        <x:v>0</x:v>
      </x:c>
      <x:c r="J2797" t="n">
        <x:f>ROUND(F2797*I2797/100,2)</x:f>
        <x:v>0</x:v>
      </x:c>
      <x:c r="K2797" t="n">
        <x:v>0</x:v>
      </x:c>
      <x:c r="L2797" t="n">
        <x:f>ROUND(F2797*K2797/100,2)</x:f>
        <x:v>0</x:v>
      </x:c>
      <x:c r="M2797" t="n">
        <x:v>100</x:v>
      </x:c>
      <x:c r="N2797" t="n">
        <x:f>ROUND(F2797*M2797/100,2)</x:f>
        <x:v>5</x:v>
      </x:c>
      <x:c r="O2797" t="str">
        <x:v>实际用油重</x:v>
      </x:c>
    </x:row>
    <x:row r="2798" ht="23" customHeight="1">
      <x:c r="A2798" t="n">
        <x:v>467</x:v>
      </x:c>
      <x:c r="B2798" t="n">
        <x:v>234</x:v>
      </x:c>
      <x:c r="C2798" t="str">
        <x:v>午餐</x:v>
      </x:c>
      <x:c r="D2798" t="str">
        <x:v>牛肉</x:v>
      </x:c>
      <x:c r="E2798" t="str">
        <x:v>牛里脊</x:v>
      </x:c>
      <x:c r="F2798" t="n">
        <x:v>185</x:v>
      </x:c>
      <x:c r="G2798" t="n">
        <x:v>130</x:v>
      </x:c>
      <x:c r="H2798" t="n">
        <x:f>ROUND(F2798*G2798/100,2)</x:f>
        <x:v>240.5</x:v>
      </x:c>
      <x:c r="I2798" t="n">
        <x:v>21</x:v>
      </x:c>
      <x:c r="J2798" t="n">
        <x:f>ROUND(F2798*I2798/100,2)</x:f>
        <x:v>38.85</x:v>
      </x:c>
      <x:c r="K2798" t="n">
        <x:v>0</x:v>
      </x:c>
      <x:c r="L2798" t="n">
        <x:f>ROUND(F2798*K2798/100,2)</x:f>
        <x:v>0</x:v>
      </x:c>
      <x:c r="M2798" t="n">
        <x:v>4.8</x:v>
      </x:c>
      <x:c r="N2798" t="n">
        <x:f>ROUND(F2798*M2798/100,2)</x:f>
        <x:v>8.88</x:v>
      </x:c>
      <x:c r="O2798" t="str">
        <x:v>生重</x:v>
      </x:c>
    </x:row>
    <x:row r="2799" ht="23" customHeight="1">
      <x:c r="A2799" t="n">
        <x:v>467</x:v>
      </x:c>
      <x:c r="B2799" t="n">
        <x:v>234</x:v>
      </x:c>
      <x:c r="C2799" t="str">
        <x:v>午餐</x:v>
      </x:c>
      <x:c r="D2799" t="str"/>
      <x:c r="E2799" t="str"/>
      <x:c r="F2799" t="n">
        <x:v>0</x:v>
      </x:c>
      <x:c r="G2799" t="n">
        <x:v>0</x:v>
      </x:c>
      <x:c r="H2799" t="n">
        <x:f>ROUND(F2799*G2799/100,2)</x:f>
        <x:v>0</x:v>
      </x:c>
      <x:c r="I2799" t="n">
        <x:v>0</x:v>
      </x:c>
      <x:c r="J2799" t="n">
        <x:f>ROUND(F2799*I2799/100,2)</x:f>
        <x:v>0</x:v>
      </x:c>
      <x:c r="K2799" t="n">
        <x:v>0</x:v>
      </x:c>
      <x:c r="L2799" t="n">
        <x:f>ROUND(F2799*K2799/100,2)</x:f>
        <x:v>0</x:v>
      </x:c>
      <x:c r="M2799" t="n">
        <x:v>0</x:v>
      </x:c>
      <x:c r="N2799" t="n">
        <x:f>ROUND(F2799*M2799/100,2)</x:f>
        <x:v>0</x:v>
      </x:c>
      <x:c r="O2799" t="str"/>
    </x:row>
    <x:row r="2800" ht="23" customHeight="1">
      <x:c r="A2800" t="n">
        <x:v>467</x:v>
      </x:c>
      <x:c r="B2800" t="n">
        <x:v>234</x:v>
      </x:c>
      <x:c r="C2800" t="str">
        <x:v>午餐</x:v>
      </x:c>
      <x:c r="D2800" t="str">
        <x:v>蔬菜</x:v>
      </x:c>
      <x:c r="E2800" t="str">
        <x:v>莴笋</x:v>
      </x:c>
      <x:c r="F2800" t="n">
        <x:v>190</x:v>
      </x:c>
      <x:c r="G2800" t="n">
        <x:v>15</x:v>
      </x:c>
      <x:c r="H2800" t="n">
        <x:f>ROUND(F2800*G2800/100,2)</x:f>
        <x:v>28.5</x:v>
      </x:c>
      <x:c r="I2800" t="n">
        <x:v>1</x:v>
      </x:c>
      <x:c r="J2800" t="n">
        <x:f>ROUND(F2800*I2800/100,2)</x:f>
        <x:v>1.9</x:v>
      </x:c>
      <x:c r="K2800" t="n">
        <x:v>2.8</x:v>
      </x:c>
      <x:c r="L2800" t="n">
        <x:f>ROUND(F2800*K2800/100,2)</x:f>
        <x:v>5.32</x:v>
      </x:c>
      <x:c r="M2800" t="n">
        <x:v>0.1</x:v>
      </x:c>
      <x:c r="N2800" t="n">
        <x:f>ROUND(F2800*M2800/100,2)</x:f>
        <x:v>0.19</x:v>
      </x:c>
      <x:c r="O2800" t="str">
        <x:v>生重</x:v>
      </x:c>
    </x:row>
    <x:row r="2801" ht="23" customHeight="1">
      <x:c r="A2801" t="n">
        <x:v>467</x:v>
      </x:c>
      <x:c r="B2801" t="n">
        <x:v>234</x:v>
      </x:c>
      <x:c r="C2801" t="str">
        <x:v>午餐</x:v>
      </x:c>
      <x:c r="D2801" t="str">
        <x:v>蔬菜</x:v>
      </x:c>
      <x:c r="E2801" t="str">
        <x:v>玉米笋</x:v>
      </x:c>
      <x:c r="F2801" t="n">
        <x:v>110</x:v>
      </x:c>
      <x:c r="G2801" t="n">
        <x:v>26</x:v>
      </x:c>
      <x:c r="H2801" t="n">
        <x:f>ROUND(F2801*G2801/100,2)</x:f>
        <x:v>28.6</x:v>
      </x:c>
      <x:c r="I2801" t="n">
        <x:v>2</x:v>
      </x:c>
      <x:c r="J2801" t="n">
        <x:f>ROUND(F2801*I2801/100,2)</x:f>
        <x:v>2.2</x:v>
      </x:c>
      <x:c r="K2801" t="n">
        <x:v>4.9</x:v>
      </x:c>
      <x:c r="L2801" t="n">
        <x:f>ROUND(F2801*K2801/100,2)</x:f>
        <x:v>5.39</x:v>
      </x:c>
      <x:c r="M2801" t="n">
        <x:v>0.1</x:v>
      </x:c>
      <x:c r="N2801" t="n">
        <x:f>ROUND(F2801*M2801/100,2)</x:f>
        <x:v>0.11</x:v>
      </x:c>
      <x:c r="O2801" t="str">
        <x:v>生重</x:v>
      </x:c>
    </x:row>
    <x:row r="2802" ht="23" customHeight="1">
      <x:c r="A2802" t="n">
        <x:v>467</x:v>
      </x:c>
      <x:c r="B2802" t="n">
        <x:v>234</x:v>
      </x:c>
      <x:c r="C2802" t="str">
        <x:v>午餐</x:v>
      </x:c>
      <x:c r="D2802" t="str">
        <x:v>主食</x:v>
      </x:c>
      <x:c r="E2802" t="str">
        <x:v>燕麦饭</x:v>
      </x:c>
      <x:c r="F2802" t="n">
        <x:v>125</x:v>
      </x:c>
      <x:c r="G2802" t="n">
        <x:v>110</x:v>
      </x:c>
      <x:c r="H2802" t="n">
        <x:f>ROUND(F2802*G2802/100,2)</x:f>
        <x:v>137.5</x:v>
      </x:c>
      <x:c r="I2802" t="n">
        <x:v>3.2</x:v>
      </x:c>
      <x:c r="J2802" t="n">
        <x:f>ROUND(F2802*I2802/100,2)</x:f>
        <x:v>4</x:v>
      </x:c>
      <x:c r="K2802" t="n">
        <x:v>21</x:v>
      </x:c>
      <x:c r="L2802" t="n">
        <x:f>ROUND(F2802*K2802/100,2)</x:f>
        <x:v>26.25</x:v>
      </x:c>
      <x:c r="M2802" t="n">
        <x:v>1.8</x:v>
      </x:c>
      <x:c r="N2802" t="n">
        <x:f>ROUND(F2802*M2802/100,2)</x:f>
        <x:v>2.25</x:v>
      </x:c>
      <x:c r="O2802" t="str">
        <x:v>熟重</x:v>
      </x:c>
    </x:row>
    <x:row r="2803" ht="23" customHeight="1">
      <x:c r="A2803" t="n">
        <x:v>467</x:v>
      </x:c>
      <x:c r="B2803" t="n">
        <x:v>234</x:v>
      </x:c>
      <x:c r="C2803" t="str">
        <x:v>午餐</x:v>
      </x:c>
      <x:c r="D2803" t="str">
        <x:v>油脂</x:v>
      </x:c>
      <x:c r="E2803" t="str">
        <x:v>烹调油</x:v>
      </x:c>
      <x:c r="F2803" t="n">
        <x:v>6</x:v>
      </x:c>
      <x:c r="G2803" t="n">
        <x:v>900</x:v>
      </x:c>
      <x:c r="H2803" t="n">
        <x:f>ROUND(F2803*G2803/100,2)</x:f>
        <x:v>54</x:v>
      </x:c>
      <x:c r="I2803" t="n">
        <x:v>0</x:v>
      </x:c>
      <x:c r="J2803" t="n">
        <x:f>ROUND(F2803*I2803/100,2)</x:f>
        <x:v>0</x:v>
      </x:c>
      <x:c r="K2803" t="n">
        <x:v>0</x:v>
      </x:c>
      <x:c r="L2803" t="n">
        <x:f>ROUND(F2803*K2803/100,2)</x:f>
        <x:v>0</x:v>
      </x:c>
      <x:c r="M2803" t="n">
        <x:v>100</x:v>
      </x:c>
      <x:c r="N2803" t="n">
        <x:f>ROUND(F2803*M2803/100,2)</x:f>
        <x:v>6</x:v>
      </x:c>
      <x:c r="O2803" t="str">
        <x:v>实际用油重</x:v>
      </x:c>
    </x:row>
    <x:row r="2804" ht="23" customHeight="1">
      <x:c r="A2804" t="n">
        <x:v>468</x:v>
      </x:c>
      <x:c r="B2804" t="n">
        <x:v>234</x:v>
      </x:c>
      <x:c r="C2804" t="str">
        <x:v>晚餐</x:v>
      </x:c>
      <x:c r="D2804" t="str">
        <x:v>猪肉</x:v>
      </x:c>
      <x:c r="E2804" t="str">
        <x:v>猪瘦肉</x:v>
      </x:c>
      <x:c r="F2804" t="n">
        <x:v>180</x:v>
      </x:c>
      <x:c r="G2804" t="n">
        <x:v>130</x:v>
      </x:c>
      <x:c r="H2804" t="n">
        <x:f>ROUND(F2804*G2804/100,2)</x:f>
        <x:v>234</x:v>
      </x:c>
      <x:c r="I2804" t="n">
        <x:v>20</x:v>
      </x:c>
      <x:c r="J2804" t="n">
        <x:f>ROUND(F2804*I2804/100,2)</x:f>
        <x:v>36</x:v>
      </x:c>
      <x:c r="K2804" t="n">
        <x:v>0</x:v>
      </x:c>
      <x:c r="L2804" t="n">
        <x:f>ROUND(F2804*K2804/100,2)</x:f>
        <x:v>0</x:v>
      </x:c>
      <x:c r="M2804" t="n">
        <x:v>5.5</x:v>
      </x:c>
      <x:c r="N2804" t="n">
        <x:f>ROUND(F2804*M2804/100,2)</x:f>
        <x:v>9.9</x:v>
      </x:c>
      <x:c r="O2804" t="str">
        <x:v>生重</x:v>
      </x:c>
    </x:row>
    <x:row r="2805" ht="23" customHeight="1">
      <x:c r="A2805" t="n">
        <x:v>468</x:v>
      </x:c>
      <x:c r="B2805" t="n">
        <x:v>234</x:v>
      </x:c>
      <x:c r="C2805" t="str">
        <x:v>晚餐</x:v>
      </x:c>
      <x:c r="D2805" t="str"/>
      <x:c r="E2805" t="str"/>
      <x:c r="F2805" t="n">
        <x:v>0</x:v>
      </x:c>
      <x:c r="G2805" t="n">
        <x:v>0</x:v>
      </x:c>
      <x:c r="H2805" t="n">
        <x:f>ROUND(F2805*G2805/100,2)</x:f>
        <x:v>0</x:v>
      </x:c>
      <x:c r="I2805" t="n">
        <x:v>0</x:v>
      </x:c>
      <x:c r="J2805" t="n">
        <x:f>ROUND(F2805*I2805/100,2)</x:f>
        <x:v>0</x:v>
      </x:c>
      <x:c r="K2805" t="n">
        <x:v>0</x:v>
      </x:c>
      <x:c r="L2805" t="n">
        <x:f>ROUND(F2805*K2805/100,2)</x:f>
        <x:v>0</x:v>
      </x:c>
      <x:c r="M2805" t="n">
        <x:v>0</x:v>
      </x:c>
      <x:c r="N2805" t="n">
        <x:f>ROUND(F2805*M2805/100,2)</x:f>
        <x:v>0</x:v>
      </x:c>
      <x:c r="O2805" t="str"/>
    </x:row>
    <x:row r="2806" ht="23" customHeight="1">
      <x:c r="A2806" t="n">
        <x:v>468</x:v>
      </x:c>
      <x:c r="B2806" t="n">
        <x:v>234</x:v>
      </x:c>
      <x:c r="C2806" t="str">
        <x:v>晚餐</x:v>
      </x:c>
      <x:c r="D2806" t="str">
        <x:v>蔬菜</x:v>
      </x:c>
      <x:c r="E2806" t="str">
        <x:v>番茄</x:v>
      </x:c>
      <x:c r="F2806" t="n">
        <x:v>140</x:v>
      </x:c>
      <x:c r="G2806" t="n">
        <x:v>20</x:v>
      </x:c>
      <x:c r="H2806" t="n">
        <x:f>ROUND(F2806*G2806/100,2)</x:f>
        <x:v>28</x:v>
      </x:c>
      <x:c r="I2806" t="n">
        <x:v>0.9</x:v>
      </x:c>
      <x:c r="J2806" t="n">
        <x:f>ROUND(F2806*I2806/100,2)</x:f>
        <x:v>1.26</x:v>
      </x:c>
      <x:c r="K2806" t="n">
        <x:v>4</x:v>
      </x:c>
      <x:c r="L2806" t="n">
        <x:f>ROUND(F2806*K2806/100,2)</x:f>
        <x:v>5.6</x:v>
      </x:c>
      <x:c r="M2806" t="n">
        <x:v>0.2</x:v>
      </x:c>
      <x:c r="N2806" t="n">
        <x:f>ROUND(F2806*M2806/100,2)</x:f>
        <x:v>0.28</x:v>
      </x:c>
      <x:c r="O2806" t="str">
        <x:v>生重</x:v>
      </x:c>
    </x:row>
    <x:row r="2807" ht="23" customHeight="1">
      <x:c r="A2807" t="n">
        <x:v>468</x:v>
      </x:c>
      <x:c r="B2807" t="n">
        <x:v>234</x:v>
      </x:c>
      <x:c r="C2807" t="str">
        <x:v>晚餐</x:v>
      </x:c>
      <x:c r="D2807" t="str">
        <x:v>蔬菜</x:v>
      </x:c>
      <x:c r="E2807" t="str">
        <x:v>冬瓜</x:v>
      </x:c>
      <x:c r="F2807" t="n">
        <x:v>125</x:v>
      </x:c>
      <x:c r="G2807" t="n">
        <x:v>13</x:v>
      </x:c>
      <x:c r="H2807" t="n">
        <x:f>ROUND(F2807*G2807/100,2)</x:f>
        <x:v>16.25</x:v>
      </x:c>
      <x:c r="I2807" t="n">
        <x:v>0.4</x:v>
      </x:c>
      <x:c r="J2807" t="n">
        <x:f>ROUND(F2807*I2807/100,2)</x:f>
        <x:v>0.5</x:v>
      </x:c>
      <x:c r="K2807" t="n">
        <x:v>3</x:v>
      </x:c>
      <x:c r="L2807" t="n">
        <x:f>ROUND(F2807*K2807/100,2)</x:f>
        <x:v>3.75</x:v>
      </x:c>
      <x:c r="M2807" t="n">
        <x:v>0.2</x:v>
      </x:c>
      <x:c r="N2807" t="n">
        <x:f>ROUND(F2807*M2807/100,2)</x:f>
        <x:v>0.25</x:v>
      </x:c>
      <x:c r="O2807" t="str">
        <x:v>生重</x:v>
      </x:c>
    </x:row>
    <x:row r="2808" ht="23" customHeight="1">
      <x:c r="A2808" t="n">
        <x:v>468</x:v>
      </x:c>
      <x:c r="B2808" t="n">
        <x:v>234</x:v>
      </x:c>
      <x:c r="C2808" t="str">
        <x:v>晚餐</x:v>
      </x:c>
      <x:c r="D2808" t="str">
        <x:v>主食</x:v>
      </x:c>
      <x:c r="E2808" t="str">
        <x:v>糙米饭</x:v>
      </x:c>
      <x:c r="F2808" t="n">
        <x:v>135</x:v>
      </x:c>
      <x:c r="G2808" t="n">
        <x:v>112</x:v>
      </x:c>
      <x:c r="H2808" t="n">
        <x:f>ROUND(F2808*G2808/100,2)</x:f>
        <x:v>151.2</x:v>
      </x:c>
      <x:c r="I2808" t="n">
        <x:v>2.6</x:v>
      </x:c>
      <x:c r="J2808" t="n">
        <x:f>ROUND(F2808*I2808/100,2)</x:f>
        <x:v>3.51</x:v>
      </x:c>
      <x:c r="K2808" t="n">
        <x:v>23.5</x:v>
      </x:c>
      <x:c r="L2808" t="n">
        <x:f>ROUND(F2808*K2808/100,2)</x:f>
        <x:v>31.73</x:v>
      </x:c>
      <x:c r="M2808" t="n">
        <x:v>0.9</x:v>
      </x:c>
      <x:c r="N2808" t="n">
        <x:f>ROUND(F2808*M2808/100,2)</x:f>
        <x:v>1.22</x:v>
      </x:c>
      <x:c r="O2808" t="str">
        <x:v>熟重</x:v>
      </x:c>
    </x:row>
    <x:row r="2809" ht="23" customHeight="1">
      <x:c r="A2809" t="n">
        <x:v>468</x:v>
      </x:c>
      <x:c r="B2809" t="n">
        <x:v>234</x:v>
      </x:c>
      <x:c r="C2809" t="str">
        <x:v>晚餐</x:v>
      </x:c>
      <x:c r="D2809" t="str">
        <x:v>油脂</x:v>
      </x:c>
      <x:c r="E2809" t="str">
        <x:v>烹调油</x:v>
      </x:c>
      <x:c r="F2809" t="n">
        <x:v>5</x:v>
      </x:c>
      <x:c r="G2809" t="n">
        <x:v>900</x:v>
      </x:c>
      <x:c r="H2809" t="n">
        <x:f>ROUND(F2809*G2809/100,2)</x:f>
        <x:v>45</x:v>
      </x:c>
      <x:c r="I2809" t="n">
        <x:v>0</x:v>
      </x:c>
      <x:c r="J2809" t="n">
        <x:f>ROUND(F2809*I2809/100,2)</x:f>
        <x:v>0</x:v>
      </x:c>
      <x:c r="K2809" t="n">
        <x:v>0</x:v>
      </x:c>
      <x:c r="L2809" t="n">
        <x:f>ROUND(F2809*K2809/100,2)</x:f>
        <x:v>0</x:v>
      </x:c>
      <x:c r="M2809" t="n">
        <x:v>100</x:v>
      </x:c>
      <x:c r="N2809" t="n">
        <x:f>ROUND(F2809*M2809/100,2)</x:f>
        <x:v>5</x:v>
      </x:c>
      <x:c r="O2809" t="str">
        <x:v>实际用油重</x:v>
      </x:c>
    </x:row>
    <x:row r="2810" ht="23" customHeight="1">
      <x:c r="A2810" t="n">
        <x:v>469</x:v>
      </x:c>
      <x:c r="B2810" t="n">
        <x:v>235</x:v>
      </x:c>
      <x:c r="C2810" t="str">
        <x:v>午餐</x:v>
      </x:c>
      <x:c r="D2810" t="str">
        <x:v>禽肉</x:v>
      </x:c>
      <x:c r="E2810" t="str">
        <x:v>去皮鸡腿肉</x:v>
      </x:c>
      <x:c r="F2810" t="n">
        <x:v>155</x:v>
      </x:c>
      <x:c r="G2810" t="n">
        <x:v>125</x:v>
      </x:c>
      <x:c r="H2810" t="n">
        <x:f>ROUND(F2810*G2810/100,2)</x:f>
        <x:v>193.75</x:v>
      </x:c>
      <x:c r="I2810" t="n">
        <x:v>20</x:v>
      </x:c>
      <x:c r="J2810" t="n">
        <x:f>ROUND(F2810*I2810/100,2)</x:f>
        <x:v>31</x:v>
      </x:c>
      <x:c r="K2810" t="n">
        <x:v>0</x:v>
      </x:c>
      <x:c r="L2810" t="n">
        <x:f>ROUND(F2810*K2810/100,2)</x:f>
        <x:v>0</x:v>
      </x:c>
      <x:c r="M2810" t="n">
        <x:v>5</x:v>
      </x:c>
      <x:c r="N2810" t="n">
        <x:f>ROUND(F2810*M2810/100,2)</x:f>
        <x:v>7.75</x:v>
      </x:c>
      <x:c r="O2810" t="str">
        <x:v>生重</x:v>
      </x:c>
    </x:row>
    <x:row r="2811" ht="23" customHeight="1">
      <x:c r="A2811" t="n">
        <x:v>469</x:v>
      </x:c>
      <x:c r="B2811" t="n">
        <x:v>235</x:v>
      </x:c>
      <x:c r="C2811" t="str">
        <x:v>午餐</x:v>
      </x:c>
      <x:c r="D2811" t="str"/>
      <x:c r="E2811" t="str"/>
      <x:c r="F2811" t="n">
        <x:v>0</x:v>
      </x:c>
      <x:c r="G2811" t="n">
        <x:v>0</x:v>
      </x:c>
      <x:c r="H2811" t="n">
        <x:f>ROUND(F2811*G2811/100,2)</x:f>
        <x:v>0</x:v>
      </x:c>
      <x:c r="I2811" t="n">
        <x:v>0</x:v>
      </x:c>
      <x:c r="J2811" t="n">
        <x:f>ROUND(F2811*I2811/100,2)</x:f>
        <x:v>0</x:v>
      </x:c>
      <x:c r="K2811" t="n">
        <x:v>0</x:v>
      </x:c>
      <x:c r="L2811" t="n">
        <x:f>ROUND(F2811*K2811/100,2)</x:f>
        <x:v>0</x:v>
      </x:c>
      <x:c r="M2811" t="n">
        <x:v>0</x:v>
      </x:c>
      <x:c r="N2811" t="n">
        <x:f>ROUND(F2811*M2811/100,2)</x:f>
        <x:v>0</x:v>
      </x:c>
      <x:c r="O2811" t="str"/>
    </x:row>
    <x:row r="2812" ht="23" customHeight="1">
      <x:c r="A2812" t="n">
        <x:v>469</x:v>
      </x:c>
      <x:c r="B2812" t="n">
        <x:v>235</x:v>
      </x:c>
      <x:c r="C2812" t="str">
        <x:v>午餐</x:v>
      </x:c>
      <x:c r="D2812" t="str">
        <x:v>蔬菜</x:v>
      </x:c>
      <x:c r="E2812" t="str">
        <x:v>丝瓜</x:v>
      </x:c>
      <x:c r="F2812" t="n">
        <x:v>175</x:v>
      </x:c>
      <x:c r="G2812" t="n">
        <x:v>20</x:v>
      </x:c>
      <x:c r="H2812" t="n">
        <x:f>ROUND(F2812*G2812/100,2)</x:f>
        <x:v>35</x:v>
      </x:c>
      <x:c r="I2812" t="n">
        <x:v>1</x:v>
      </x:c>
      <x:c r="J2812" t="n">
        <x:f>ROUND(F2812*I2812/100,2)</x:f>
        <x:v>1.75</x:v>
      </x:c>
      <x:c r="K2812" t="n">
        <x:v>4</x:v>
      </x:c>
      <x:c r="L2812" t="n">
        <x:f>ROUND(F2812*K2812/100,2)</x:f>
        <x:v>7</x:v>
      </x:c>
      <x:c r="M2812" t="n">
        <x:v>0.2</x:v>
      </x:c>
      <x:c r="N2812" t="n">
        <x:f>ROUND(F2812*M2812/100,2)</x:f>
        <x:v>0.35</x:v>
      </x:c>
      <x:c r="O2812" t="str">
        <x:v>生重</x:v>
      </x:c>
    </x:row>
    <x:row r="2813" ht="23" customHeight="1">
      <x:c r="A2813" t="n">
        <x:v>469</x:v>
      </x:c>
      <x:c r="B2813" t="n">
        <x:v>235</x:v>
      </x:c>
      <x:c r="C2813" t="str">
        <x:v>午餐</x:v>
      </x:c>
      <x:c r="D2813" t="str">
        <x:v>菌菇</x:v>
      </x:c>
      <x:c r="E2813" t="str">
        <x:v>金针菇</x:v>
      </x:c>
      <x:c r="F2813" t="n">
        <x:v>155</x:v>
      </x:c>
      <x:c r="G2813" t="n">
        <x:v>32</x:v>
      </x:c>
      <x:c r="H2813" t="n">
        <x:f>ROUND(F2813*G2813/100,2)</x:f>
        <x:v>49.6</x:v>
      </x:c>
      <x:c r="I2813" t="n">
        <x:v>2.4</x:v>
      </x:c>
      <x:c r="J2813" t="n">
        <x:f>ROUND(F2813*I2813/100,2)</x:f>
        <x:v>3.72</x:v>
      </x:c>
      <x:c r="K2813" t="n">
        <x:v>6.4</x:v>
      </x:c>
      <x:c r="L2813" t="n">
        <x:f>ROUND(F2813*K2813/100,2)</x:f>
        <x:v>9.92</x:v>
      </x:c>
      <x:c r="M2813" t="n">
        <x:v>0.2</x:v>
      </x:c>
      <x:c r="N2813" t="n">
        <x:f>ROUND(F2813*M2813/100,2)</x:f>
        <x:v>0.31</x:v>
      </x:c>
      <x:c r="O2813" t="str">
        <x:v>生重</x:v>
      </x:c>
    </x:row>
    <x:row r="2814" ht="23" customHeight="1">
      <x:c r="A2814" t="n">
        <x:v>469</x:v>
      </x:c>
      <x:c r="B2814" t="n">
        <x:v>235</x:v>
      </x:c>
      <x:c r="C2814" t="str">
        <x:v>午餐</x:v>
      </x:c>
      <x:c r="D2814" t="str">
        <x:v>主食</x:v>
      </x:c>
      <x:c r="E2814" t="str">
        <x:v>荞麦饭</x:v>
      </x:c>
      <x:c r="F2814" t="n">
        <x:v>110</x:v>
      </x:c>
      <x:c r="G2814" t="n">
        <x:v>110</x:v>
      </x:c>
      <x:c r="H2814" t="n">
        <x:f>ROUND(F2814*G2814/100,2)</x:f>
        <x:v>121</x:v>
      </x:c>
      <x:c r="I2814" t="n">
        <x:v>3.4</x:v>
      </x:c>
      <x:c r="J2814" t="n">
        <x:f>ROUND(F2814*I2814/100,2)</x:f>
        <x:v>3.74</x:v>
      </x:c>
      <x:c r="K2814" t="n">
        <x:v>22</x:v>
      </x:c>
      <x:c r="L2814" t="n">
        <x:f>ROUND(F2814*K2814/100,2)</x:f>
        <x:v>24.2</x:v>
      </x:c>
      <x:c r="M2814" t="n">
        <x:v>1.1</x:v>
      </x:c>
      <x:c r="N2814" t="n">
        <x:f>ROUND(F2814*M2814/100,2)</x:f>
        <x:v>1.21</x:v>
      </x:c>
      <x:c r="O2814" t="str">
        <x:v>熟重</x:v>
      </x:c>
    </x:row>
    <x:row r="2815" ht="23" customHeight="1">
      <x:c r="A2815" t="n">
        <x:v>469</x:v>
      </x:c>
      <x:c r="B2815" t="n">
        <x:v>235</x:v>
      </x:c>
      <x:c r="C2815" t="str">
        <x:v>午餐</x:v>
      </x:c>
      <x:c r="D2815" t="str">
        <x:v>油脂</x:v>
      </x:c>
      <x:c r="E2815" t="str">
        <x:v>烹调油</x:v>
      </x:c>
      <x:c r="F2815" t="n">
        <x:v>5</x:v>
      </x:c>
      <x:c r="G2815" t="n">
        <x:v>900</x:v>
      </x:c>
      <x:c r="H2815" t="n">
        <x:f>ROUND(F2815*G2815/100,2)</x:f>
        <x:v>45</x:v>
      </x:c>
      <x:c r="I2815" t="n">
        <x:v>0</x:v>
      </x:c>
      <x:c r="J2815" t="n">
        <x:f>ROUND(F2815*I2815/100,2)</x:f>
        <x:v>0</x:v>
      </x:c>
      <x:c r="K2815" t="n">
        <x:v>0</x:v>
      </x:c>
      <x:c r="L2815" t="n">
        <x:f>ROUND(F2815*K2815/100,2)</x:f>
        <x:v>0</x:v>
      </x:c>
      <x:c r="M2815" t="n">
        <x:v>100</x:v>
      </x:c>
      <x:c r="N2815" t="n">
        <x:f>ROUND(F2815*M2815/100,2)</x:f>
        <x:v>5</x:v>
      </x:c>
      <x:c r="O2815" t="str">
        <x:v>实际用油重</x:v>
      </x:c>
    </x:row>
    <x:row r="2816" ht="23" customHeight="1">
      <x:c r="A2816" t="n">
        <x:v>470</x:v>
      </x:c>
      <x:c r="B2816" t="n">
        <x:v>235</x:v>
      </x:c>
      <x:c r="C2816" t="str">
        <x:v>晚餐</x:v>
      </x:c>
      <x:c r="D2816" t="str">
        <x:v>禽肉</x:v>
      </x:c>
      <x:c r="E2816" t="str">
        <x:v>鸡胸肉</x:v>
      </x:c>
      <x:c r="F2816" t="n">
        <x:v>180</x:v>
      </x:c>
      <x:c r="G2816" t="n">
        <x:v>110</x:v>
      </x:c>
      <x:c r="H2816" t="n">
        <x:f>ROUND(F2816*G2816/100,2)</x:f>
        <x:v>198</x:v>
      </x:c>
      <x:c r="I2816" t="n">
        <x:v>23</x:v>
      </x:c>
      <x:c r="J2816" t="n">
        <x:f>ROUND(F2816*I2816/100,2)</x:f>
        <x:v>41.4</x:v>
      </x:c>
      <x:c r="K2816" t="n">
        <x:v>0</x:v>
      </x:c>
      <x:c r="L2816" t="n">
        <x:f>ROUND(F2816*K2816/100,2)</x:f>
        <x:v>0</x:v>
      </x:c>
      <x:c r="M2816" t="n">
        <x:v>2</x:v>
      </x:c>
      <x:c r="N2816" t="n">
        <x:f>ROUND(F2816*M2816/100,2)</x:f>
        <x:v>3.6</x:v>
      </x:c>
      <x:c r="O2816" t="str">
        <x:v>生重</x:v>
      </x:c>
    </x:row>
    <x:row r="2817" ht="23" customHeight="1">
      <x:c r="A2817" t="n">
        <x:v>470</x:v>
      </x:c>
      <x:c r="B2817" t="n">
        <x:v>235</x:v>
      </x:c>
      <x:c r="C2817" t="str">
        <x:v>晚餐</x:v>
      </x:c>
      <x:c r="D2817" t="str"/>
      <x:c r="E2817" t="str"/>
      <x:c r="F2817" t="n">
        <x:v>0</x:v>
      </x:c>
      <x:c r="G2817" t="n">
        <x:v>0</x:v>
      </x:c>
      <x:c r="H2817" t="n">
        <x:f>ROUND(F2817*G2817/100,2)</x:f>
        <x:v>0</x:v>
      </x:c>
      <x:c r="I2817" t="n">
        <x:v>0</x:v>
      </x:c>
      <x:c r="J2817" t="n">
        <x:f>ROUND(F2817*I2817/100,2)</x:f>
        <x:v>0</x:v>
      </x:c>
      <x:c r="K2817" t="n">
        <x:v>0</x:v>
      </x:c>
      <x:c r="L2817" t="n">
        <x:f>ROUND(F2817*K2817/100,2)</x:f>
        <x:v>0</x:v>
      </x:c>
      <x:c r="M2817" t="n">
        <x:v>0</x:v>
      </x:c>
      <x:c r="N2817" t="n">
        <x:f>ROUND(F2817*M2817/100,2)</x:f>
        <x:v>0</x:v>
      </x:c>
      <x:c r="O2817" t="str"/>
    </x:row>
    <x:row r="2818" ht="23" customHeight="1">
      <x:c r="A2818" t="n">
        <x:v>470</x:v>
      </x:c>
      <x:c r="B2818" t="n">
        <x:v>235</x:v>
      </x:c>
      <x:c r="C2818" t="str">
        <x:v>晚餐</x:v>
      </x:c>
      <x:c r="D2818" t="str">
        <x:v>蔬菜</x:v>
      </x:c>
      <x:c r="E2818" t="str">
        <x:v>荷兰豆</x:v>
      </x:c>
      <x:c r="F2818" t="n">
        <x:v>140</x:v>
      </x:c>
      <x:c r="G2818" t="n">
        <x:v>42</x:v>
      </x:c>
      <x:c r="H2818" t="n">
        <x:f>ROUND(F2818*G2818/100,2)</x:f>
        <x:v>58.8</x:v>
      </x:c>
      <x:c r="I2818" t="n">
        <x:v>2.8</x:v>
      </x:c>
      <x:c r="J2818" t="n">
        <x:f>ROUND(F2818*I2818/100,2)</x:f>
        <x:v>3.92</x:v>
      </x:c>
      <x:c r="K2818" t="n">
        <x:v>7.5</x:v>
      </x:c>
      <x:c r="L2818" t="n">
        <x:f>ROUND(F2818*K2818/100,2)</x:f>
        <x:v>10.5</x:v>
      </x:c>
      <x:c r="M2818" t="n">
        <x:v>0.3</x:v>
      </x:c>
      <x:c r="N2818" t="n">
        <x:f>ROUND(F2818*M2818/100,2)</x:f>
        <x:v>0.42</x:v>
      </x:c>
      <x:c r="O2818" t="str">
        <x:v>生重</x:v>
      </x:c>
    </x:row>
    <x:row r="2819" ht="23" customHeight="1">
      <x:c r="A2819" t="n">
        <x:v>470</x:v>
      </x:c>
      <x:c r="B2819" t="n">
        <x:v>235</x:v>
      </x:c>
      <x:c r="C2819" t="str">
        <x:v>晚餐</x:v>
      </x:c>
      <x:c r="D2819" t="str">
        <x:v>蔬菜</x:v>
      </x:c>
      <x:c r="E2819" t="str">
        <x:v>黄瓜</x:v>
      </x:c>
      <x:c r="F2819" t="n">
        <x:v>125</x:v>
      </x:c>
      <x:c r="G2819" t="n">
        <x:v>16</x:v>
      </x:c>
      <x:c r="H2819" t="n">
        <x:f>ROUND(F2819*G2819/100,2)</x:f>
        <x:v>20</x:v>
      </x:c>
      <x:c r="I2819" t="n">
        <x:v>0.7</x:v>
      </x:c>
      <x:c r="J2819" t="n">
        <x:f>ROUND(F2819*I2819/100,2)</x:f>
        <x:v>0.88</x:v>
      </x:c>
      <x:c r="K2819" t="n">
        <x:v>3.6</x:v>
      </x:c>
      <x:c r="L2819" t="n">
        <x:f>ROUND(F2819*K2819/100,2)</x:f>
        <x:v>4.5</x:v>
      </x:c>
      <x:c r="M2819" t="n">
        <x:v>0.1</x:v>
      </x:c>
      <x:c r="N2819" t="n">
        <x:f>ROUND(F2819*M2819/100,2)</x:f>
        <x:v>0.13</x:v>
      </x:c>
      <x:c r="O2819" t="str">
        <x:v>生重</x:v>
      </x:c>
    </x:row>
    <x:row r="2820" ht="23" customHeight="1">
      <x:c r="A2820" t="n">
        <x:v>470</x:v>
      </x:c>
      <x:c r="B2820" t="n">
        <x:v>235</x:v>
      </x:c>
      <x:c r="C2820" t="str">
        <x:v>晚餐</x:v>
      </x:c>
      <x:c r="D2820" t="str">
        <x:v>主食</x:v>
      </x:c>
      <x:c r="E2820" t="str">
        <x:v>杂粮饭</x:v>
      </x:c>
      <x:c r="F2820" t="n">
        <x:v>125</x:v>
      </x:c>
      <x:c r="G2820" t="n">
        <x:v>115</x:v>
      </x:c>
      <x:c r="H2820" t="n">
        <x:f>ROUND(F2820*G2820/100,2)</x:f>
        <x:v>143.75</x:v>
      </x:c>
      <x:c r="I2820" t="n">
        <x:v>3.1</x:v>
      </x:c>
      <x:c r="J2820" t="n">
        <x:f>ROUND(F2820*I2820/100,2)</x:f>
        <x:v>3.88</x:v>
      </x:c>
      <x:c r="K2820" t="n">
        <x:v>23.5</x:v>
      </x:c>
      <x:c r="L2820" t="n">
        <x:f>ROUND(F2820*K2820/100,2)</x:f>
        <x:v>29.38</x:v>
      </x:c>
      <x:c r="M2820" t="n">
        <x:v>1.1</x:v>
      </x:c>
      <x:c r="N2820" t="n">
        <x:f>ROUND(F2820*M2820/100,2)</x:f>
        <x:v>1.38</x:v>
      </x:c>
      <x:c r="O2820" t="str">
        <x:v>熟重</x:v>
      </x:c>
    </x:row>
    <x:row r="2821" ht="23" customHeight="1">
      <x:c r="A2821" t="n">
        <x:v>470</x:v>
      </x:c>
      <x:c r="B2821" t="n">
        <x:v>235</x:v>
      </x:c>
      <x:c r="C2821" t="str">
        <x:v>晚餐</x:v>
      </x:c>
      <x:c r="D2821" t="str">
        <x:v>油脂</x:v>
      </x:c>
      <x:c r="E2821" t="str">
        <x:v>烹调油</x:v>
      </x:c>
      <x:c r="F2821" t="n">
        <x:v>4</x:v>
      </x:c>
      <x:c r="G2821" t="n">
        <x:v>900</x:v>
      </x:c>
      <x:c r="H2821" t="n">
        <x:f>ROUND(F2821*G2821/100,2)</x:f>
        <x:v>36</x:v>
      </x:c>
      <x:c r="I2821" t="n">
        <x:v>0</x:v>
      </x:c>
      <x:c r="J2821" t="n">
        <x:f>ROUND(F2821*I2821/100,2)</x:f>
        <x:v>0</x:v>
      </x:c>
      <x:c r="K2821" t="n">
        <x:v>0</x:v>
      </x:c>
      <x:c r="L2821" t="n">
        <x:f>ROUND(F2821*K2821/100,2)</x:f>
        <x:v>0</x:v>
      </x:c>
      <x:c r="M2821" t="n">
        <x:v>100</x:v>
      </x:c>
      <x:c r="N2821" t="n">
        <x:f>ROUND(F2821*M2821/100,2)</x:f>
        <x:v>4</x:v>
      </x:c>
      <x:c r="O2821" t="str">
        <x:v>实际用油重</x:v>
      </x:c>
    </x:row>
    <x:row r="2822" ht="23" customHeight="1">
      <x:c r="A2822" t="n">
        <x:v>471</x:v>
      </x:c>
      <x:c r="B2822" t="n">
        <x:v>236</x:v>
      </x:c>
      <x:c r="C2822" t="str">
        <x:v>午餐</x:v>
      </x:c>
      <x:c r="D2822" t="str">
        <x:v>禽肉</x:v>
      </x:c>
      <x:c r="E2822" t="str">
        <x:v>去皮鸡腿肉</x:v>
      </x:c>
      <x:c r="F2822" t="n">
        <x:v>185</x:v>
      </x:c>
      <x:c r="G2822" t="n">
        <x:v>125</x:v>
      </x:c>
      <x:c r="H2822" t="n">
        <x:f>ROUND(F2822*G2822/100,2)</x:f>
        <x:v>231.25</x:v>
      </x:c>
      <x:c r="I2822" t="n">
        <x:v>20</x:v>
      </x:c>
      <x:c r="J2822" t="n">
        <x:f>ROUND(F2822*I2822/100,2)</x:f>
        <x:v>37</x:v>
      </x:c>
      <x:c r="K2822" t="n">
        <x:v>0</x:v>
      </x:c>
      <x:c r="L2822" t="n">
        <x:f>ROUND(F2822*K2822/100,2)</x:f>
        <x:v>0</x:v>
      </x:c>
      <x:c r="M2822" t="n">
        <x:v>5</x:v>
      </x:c>
      <x:c r="N2822" t="n">
        <x:f>ROUND(F2822*M2822/100,2)</x:f>
        <x:v>9.25</x:v>
      </x:c>
      <x:c r="O2822" t="str">
        <x:v>生重</x:v>
      </x:c>
    </x:row>
    <x:row r="2823" ht="23" customHeight="1">
      <x:c r="A2823" t="n">
        <x:v>471</x:v>
      </x:c>
      <x:c r="B2823" t="n">
        <x:v>236</x:v>
      </x:c>
      <x:c r="C2823" t="str">
        <x:v>午餐</x:v>
      </x:c>
      <x:c r="D2823" t="str">
        <x:v>豆蛋</x:v>
      </x:c>
      <x:c r="E2823" t="str">
        <x:v>嫩豆腐</x:v>
      </x:c>
      <x:c r="F2823" t="n">
        <x:v>135</x:v>
      </x:c>
      <x:c r="G2823" t="n">
        <x:v>55</x:v>
      </x:c>
      <x:c r="H2823" t="n">
        <x:f>ROUND(F2823*G2823/100,2)</x:f>
        <x:v>74.25</x:v>
      </x:c>
      <x:c r="I2823" t="n">
        <x:v>5</x:v>
      </x:c>
      <x:c r="J2823" t="n">
        <x:f>ROUND(F2823*I2823/100,2)</x:f>
        <x:v>6.75</x:v>
      </x:c>
      <x:c r="K2823" t="n">
        <x:v>2</x:v>
      </x:c>
      <x:c r="L2823" t="n">
        <x:f>ROUND(F2823*K2823/100,2)</x:f>
        <x:v>2.7</x:v>
      </x:c>
      <x:c r="M2823" t="n">
        <x:v>2.8</x:v>
      </x:c>
      <x:c r="N2823" t="n">
        <x:f>ROUND(F2823*M2823/100,2)</x:f>
        <x:v>3.78</x:v>
      </x:c>
      <x:c r="O2823" t="str">
        <x:v>净重</x:v>
      </x:c>
    </x:row>
    <x:row r="2824" ht="23" customHeight="1">
      <x:c r="A2824" t="n">
        <x:v>471</x:v>
      </x:c>
      <x:c r="B2824" t="n">
        <x:v>236</x:v>
      </x:c>
      <x:c r="C2824" t="str">
        <x:v>午餐</x:v>
      </x:c>
      <x:c r="D2824" t="str">
        <x:v>蔬菜</x:v>
      </x:c>
      <x:c r="E2824" t="str">
        <x:v>芦笋</x:v>
      </x:c>
      <x:c r="F2824" t="n">
        <x:v>190</x:v>
      </x:c>
      <x:c r="G2824" t="n">
        <x:v>20</x:v>
      </x:c>
      <x:c r="H2824" t="n">
        <x:f>ROUND(F2824*G2824/100,2)</x:f>
        <x:v>38</x:v>
      </x:c>
      <x:c r="I2824" t="n">
        <x:v>2.2</x:v>
      </x:c>
      <x:c r="J2824" t="n">
        <x:f>ROUND(F2824*I2824/100,2)</x:f>
        <x:v>4.18</x:v>
      </x:c>
      <x:c r="K2824" t="n">
        <x:v>3.9</x:v>
      </x:c>
      <x:c r="L2824" t="n">
        <x:f>ROUND(F2824*K2824/100,2)</x:f>
        <x:v>7.41</x:v>
      </x:c>
      <x:c r="M2824" t="n">
        <x:v>0.1</x:v>
      </x:c>
      <x:c r="N2824" t="n">
        <x:f>ROUND(F2824*M2824/100,2)</x:f>
        <x:v>0.19</x:v>
      </x:c>
      <x:c r="O2824" t="str">
        <x:v>生重</x:v>
      </x:c>
    </x:row>
    <x:row r="2825" ht="23" customHeight="1">
      <x:c r="A2825" t="n">
        <x:v>471</x:v>
      </x:c>
      <x:c r="B2825" t="n">
        <x:v>236</x:v>
      </x:c>
      <x:c r="C2825" t="str">
        <x:v>午餐</x:v>
      </x:c>
      <x:c r="D2825" t="str">
        <x:v>蔬菜</x:v>
      </x:c>
      <x:c r="E2825" t="str">
        <x:v>洋葱</x:v>
      </x:c>
      <x:c r="F2825" t="n">
        <x:v>125</x:v>
      </x:c>
      <x:c r="G2825" t="n">
        <x:v>40</x:v>
      </x:c>
      <x:c r="H2825" t="n">
        <x:f>ROUND(F2825*G2825/100,2)</x:f>
        <x:v>50</x:v>
      </x:c>
      <x:c r="I2825" t="n">
        <x:v>1.1</x:v>
      </x:c>
      <x:c r="J2825" t="n">
        <x:f>ROUND(F2825*I2825/100,2)</x:f>
        <x:v>1.38</x:v>
      </x:c>
      <x:c r="K2825" t="n">
        <x:v>9.3</x:v>
      </x:c>
      <x:c r="L2825" t="n">
        <x:f>ROUND(F2825*K2825/100,2)</x:f>
        <x:v>11.63</x:v>
      </x:c>
      <x:c r="M2825" t="n">
        <x:v>0.1</x:v>
      </x:c>
      <x:c r="N2825" t="n">
        <x:f>ROUND(F2825*M2825/100,2)</x:f>
        <x:v>0.13</x:v>
      </x:c>
      <x:c r="O2825" t="str">
        <x:v>生重</x:v>
      </x:c>
    </x:row>
    <x:row r="2826" ht="23" customHeight="1">
      <x:c r="A2826" t="n">
        <x:v>471</x:v>
      </x:c>
      <x:c r="B2826" t="n">
        <x:v>236</x:v>
      </x:c>
      <x:c r="C2826" t="str">
        <x:v>午餐</x:v>
      </x:c>
      <x:c r="D2826" t="str">
        <x:v>主食</x:v>
      </x:c>
      <x:c r="E2826" t="str">
        <x:v>紫薯</x:v>
      </x:c>
      <x:c r="F2826" t="n">
        <x:v>150</x:v>
      </x:c>
      <x:c r="G2826" t="n">
        <x:v>95</x:v>
      </x:c>
      <x:c r="H2826" t="n">
        <x:f>ROUND(F2826*G2826/100,2)</x:f>
        <x:v>142.5</x:v>
      </x:c>
      <x:c r="I2826" t="n">
        <x:v>1.6</x:v>
      </x:c>
      <x:c r="J2826" t="n">
        <x:f>ROUND(F2826*I2826/100,2)</x:f>
        <x:v>2.4</x:v>
      </x:c>
      <x:c r="K2826" t="n">
        <x:v>22</x:v>
      </x:c>
      <x:c r="L2826" t="n">
        <x:f>ROUND(F2826*K2826/100,2)</x:f>
        <x:v>33</x:v>
      </x:c>
      <x:c r="M2826" t="n">
        <x:v>0.1</x:v>
      </x:c>
      <x:c r="N2826" t="n">
        <x:f>ROUND(F2826*M2826/100,2)</x:f>
        <x:v>0.15</x:v>
      </x:c>
      <x:c r="O2826" t="str">
        <x:v>蒸熟净重</x:v>
      </x:c>
    </x:row>
    <x:row r="2827" ht="23" customHeight="1">
      <x:c r="A2827" t="n">
        <x:v>471</x:v>
      </x:c>
      <x:c r="B2827" t="n">
        <x:v>236</x:v>
      </x:c>
      <x:c r="C2827" t="str">
        <x:v>午餐</x:v>
      </x:c>
      <x:c r="D2827" t="str">
        <x:v>油脂</x:v>
      </x:c>
      <x:c r="E2827" t="str">
        <x:v>烹调油</x:v>
      </x:c>
      <x:c r="F2827" t="n">
        <x:v>3</x:v>
      </x:c>
      <x:c r="G2827" t="n">
        <x:v>900</x:v>
      </x:c>
      <x:c r="H2827" t="n">
        <x:f>ROUND(F2827*G2827/100,2)</x:f>
        <x:v>27</x:v>
      </x:c>
      <x:c r="I2827" t="n">
        <x:v>0</x:v>
      </x:c>
      <x:c r="J2827" t="n">
        <x:f>ROUND(F2827*I2827/100,2)</x:f>
        <x:v>0</x:v>
      </x:c>
      <x:c r="K2827" t="n">
        <x:v>0</x:v>
      </x:c>
      <x:c r="L2827" t="n">
        <x:f>ROUND(F2827*K2827/100,2)</x:f>
        <x:v>0</x:v>
      </x:c>
      <x:c r="M2827" t="n">
        <x:v>100</x:v>
      </x:c>
      <x:c r="N2827" t="n">
        <x:f>ROUND(F2827*M2827/100,2)</x:f>
        <x:v>3</x:v>
      </x:c>
      <x:c r="O2827" t="str">
        <x:v>实际用油重</x:v>
      </x:c>
    </x:row>
    <x:row r="2828" ht="23" customHeight="1">
      <x:c r="A2828" t="n">
        <x:v>472</x:v>
      </x:c>
      <x:c r="B2828" t="n">
        <x:v>236</x:v>
      </x:c>
      <x:c r="C2828" t="str">
        <x:v>晚餐</x:v>
      </x:c>
      <x:c r="D2828" t="str">
        <x:v>海鲜</x:v>
      </x:c>
      <x:c r="E2828" t="str">
        <x:v>鱿鱼</x:v>
      </x:c>
      <x:c r="F2828" t="n">
        <x:v>160</x:v>
      </x:c>
      <x:c r="G2828" t="n">
        <x:v>95</x:v>
      </x:c>
      <x:c r="H2828" t="n">
        <x:f>ROUND(F2828*G2828/100,2)</x:f>
        <x:v>152</x:v>
      </x:c>
      <x:c r="I2828" t="n">
        <x:v>17</x:v>
      </x:c>
      <x:c r="J2828" t="n">
        <x:f>ROUND(F2828*I2828/100,2)</x:f>
        <x:v>27.2</x:v>
      </x:c>
      <x:c r="K2828" t="n">
        <x:v>2</x:v>
      </x:c>
      <x:c r="L2828" t="n">
        <x:f>ROUND(F2828*K2828/100,2)</x:f>
        <x:v>3.2</x:v>
      </x:c>
      <x:c r="M2828" t="n">
        <x:v>1.4</x:v>
      </x:c>
      <x:c r="N2828" t="n">
        <x:f>ROUND(F2828*M2828/100,2)</x:f>
        <x:v>2.24</x:v>
      </x:c>
      <x:c r="O2828" t="str">
        <x:v>生重</x:v>
      </x:c>
    </x:row>
    <x:row r="2829" ht="23" customHeight="1">
      <x:c r="A2829" t="n">
        <x:v>472</x:v>
      </x:c>
      <x:c r="B2829" t="n">
        <x:v>236</x:v>
      </x:c>
      <x:c r="C2829" t="str">
        <x:v>晚餐</x:v>
      </x:c>
      <x:c r="D2829" t="str"/>
      <x:c r="E2829" t="str"/>
      <x:c r="F2829" t="n">
        <x:v>0</x:v>
      </x:c>
      <x:c r="G2829" t="n">
        <x:v>0</x:v>
      </x:c>
      <x:c r="H2829" t="n">
        <x:f>ROUND(F2829*G2829/100,2)</x:f>
        <x:v>0</x:v>
      </x:c>
      <x:c r="I2829" t="n">
        <x:v>0</x:v>
      </x:c>
      <x:c r="J2829" t="n">
        <x:f>ROUND(F2829*I2829/100,2)</x:f>
        <x:v>0</x:v>
      </x:c>
      <x:c r="K2829" t="n">
        <x:v>0</x:v>
      </x:c>
      <x:c r="L2829" t="n">
        <x:f>ROUND(F2829*K2829/100,2)</x:f>
        <x:v>0</x:v>
      </x:c>
      <x:c r="M2829" t="n">
        <x:v>0</x:v>
      </x:c>
      <x:c r="N2829" t="n">
        <x:f>ROUND(F2829*M2829/100,2)</x:f>
        <x:v>0</x:v>
      </x:c>
      <x:c r="O2829" t="str"/>
    </x:row>
    <x:row r="2830" ht="23" customHeight="1">
      <x:c r="A2830" t="n">
        <x:v>472</x:v>
      </x:c>
      <x:c r="B2830" t="n">
        <x:v>236</x:v>
      </x:c>
      <x:c r="C2830" t="str">
        <x:v>晚餐</x:v>
      </x:c>
      <x:c r="D2830" t="str">
        <x:v>蔬菜</x:v>
      </x:c>
      <x:c r="E2830" t="str">
        <x:v>四季豆</x:v>
      </x:c>
      <x:c r="F2830" t="n">
        <x:v>140</x:v>
      </x:c>
      <x:c r="G2830" t="n">
        <x:v>31</x:v>
      </x:c>
      <x:c r="H2830" t="n">
        <x:f>ROUND(F2830*G2830/100,2)</x:f>
        <x:v>43.4</x:v>
      </x:c>
      <x:c r="I2830" t="n">
        <x:v>1.8</x:v>
      </x:c>
      <x:c r="J2830" t="n">
        <x:f>ROUND(F2830*I2830/100,2)</x:f>
        <x:v>2.52</x:v>
      </x:c>
      <x:c r="K2830" t="n">
        <x:v>7</x:v>
      </x:c>
      <x:c r="L2830" t="n">
        <x:f>ROUND(F2830*K2830/100,2)</x:f>
        <x:v>9.8</x:v>
      </x:c>
      <x:c r="M2830" t="n">
        <x:v>0.1</x:v>
      </x:c>
      <x:c r="N2830" t="n">
        <x:f>ROUND(F2830*M2830/100,2)</x:f>
        <x:v>0.14</x:v>
      </x:c>
      <x:c r="O2830" t="str">
        <x:v>生重</x:v>
      </x:c>
    </x:row>
    <x:row r="2831" ht="23" customHeight="1">
      <x:c r="A2831" t="n">
        <x:v>472</x:v>
      </x:c>
      <x:c r="B2831" t="n">
        <x:v>236</x:v>
      </x:c>
      <x:c r="C2831" t="str">
        <x:v>晚餐</x:v>
      </x:c>
      <x:c r="D2831" t="str">
        <x:v>菌菇</x:v>
      </x:c>
      <x:c r="E2831" t="str">
        <x:v>杏鲍菇</x:v>
      </x:c>
      <x:c r="F2831" t="n">
        <x:v>140</x:v>
      </x:c>
      <x:c r="G2831" t="n">
        <x:v>35</x:v>
      </x:c>
      <x:c r="H2831" t="n">
        <x:f>ROUND(F2831*G2831/100,2)</x:f>
        <x:v>49</x:v>
      </x:c>
      <x:c r="I2831" t="n">
        <x:v>2</x:v>
      </x:c>
      <x:c r="J2831" t="n">
        <x:f>ROUND(F2831*I2831/100,2)</x:f>
        <x:v>2.8</x:v>
      </x:c>
      <x:c r="K2831" t="n">
        <x:v>7.4</x:v>
      </x:c>
      <x:c r="L2831" t="n">
        <x:f>ROUND(F2831*K2831/100,2)</x:f>
        <x:v>10.36</x:v>
      </x:c>
      <x:c r="M2831" t="n">
        <x:v>0.3</x:v>
      </x:c>
      <x:c r="N2831" t="n">
        <x:f>ROUND(F2831*M2831/100,2)</x:f>
        <x:v>0.42</x:v>
      </x:c>
      <x:c r="O2831" t="str">
        <x:v>生重</x:v>
      </x:c>
    </x:row>
    <x:row r="2832" ht="23" customHeight="1">
      <x:c r="A2832" t="n">
        <x:v>472</x:v>
      </x:c>
      <x:c r="B2832" t="n">
        <x:v>236</x:v>
      </x:c>
      <x:c r="C2832" t="str">
        <x:v>晚餐</x:v>
      </x:c>
      <x:c r="D2832" t="str">
        <x:v>主食</x:v>
      </x:c>
      <x:c r="E2832" t="str">
        <x:v>全麦面</x:v>
      </x:c>
      <x:c r="F2832" t="n">
        <x:v>80</x:v>
      </x:c>
      <x:c r="G2832" t="n">
        <x:v>124</x:v>
      </x:c>
      <x:c r="H2832" t="n">
        <x:f>ROUND(F2832*G2832/100,2)</x:f>
        <x:v>99.2</x:v>
      </x:c>
      <x:c r="I2832" t="n">
        <x:v>5</x:v>
      </x:c>
      <x:c r="J2832" t="n">
        <x:f>ROUND(F2832*I2832/100,2)</x:f>
        <x:v>4</x:v>
      </x:c>
      <x:c r="K2832" t="n">
        <x:v>25</x:v>
      </x:c>
      <x:c r="L2832" t="n">
        <x:f>ROUND(F2832*K2832/100,2)</x:f>
        <x:v>20</x:v>
      </x:c>
      <x:c r="M2832" t="n">
        <x:v>1.1</x:v>
      </x:c>
      <x:c r="N2832" t="n">
        <x:f>ROUND(F2832*M2832/100,2)</x:f>
        <x:v>0.88</x:v>
      </x:c>
      <x:c r="O2832" t="str">
        <x:v>煮熟沥水重</x:v>
      </x:c>
    </x:row>
    <x:row r="2833" ht="23" customHeight="1">
      <x:c r="A2833" t="n">
        <x:v>472</x:v>
      </x:c>
      <x:c r="B2833" t="n">
        <x:v>236</x:v>
      </x:c>
      <x:c r="C2833" t="str">
        <x:v>晚餐</x:v>
      </x:c>
      <x:c r="D2833" t="str">
        <x:v>油脂</x:v>
      </x:c>
      <x:c r="E2833" t="str">
        <x:v>烹调油</x:v>
      </x:c>
      <x:c r="F2833" t="n">
        <x:v>3</x:v>
      </x:c>
      <x:c r="G2833" t="n">
        <x:v>900</x:v>
      </x:c>
      <x:c r="H2833" t="n">
        <x:f>ROUND(F2833*G2833/100,2)</x:f>
        <x:v>27</x:v>
      </x:c>
      <x:c r="I2833" t="n">
        <x:v>0</x:v>
      </x:c>
      <x:c r="J2833" t="n">
        <x:f>ROUND(F2833*I2833/100,2)</x:f>
        <x:v>0</x:v>
      </x:c>
      <x:c r="K2833" t="n">
        <x:v>0</x:v>
      </x:c>
      <x:c r="L2833" t="n">
        <x:f>ROUND(F2833*K2833/100,2)</x:f>
        <x:v>0</x:v>
      </x:c>
      <x:c r="M2833" t="n">
        <x:v>100</x:v>
      </x:c>
      <x:c r="N2833" t="n">
        <x:f>ROUND(F2833*M2833/100,2)</x:f>
        <x:v>3</x:v>
      </x:c>
      <x:c r="O2833" t="str">
        <x:v>实际用油重</x:v>
      </x:c>
    </x:row>
    <x:row r="2834" ht="23" customHeight="1">
      <x:c r="A2834" t="n">
        <x:v>473</x:v>
      </x:c>
      <x:c r="B2834" t="n">
        <x:v>237</x:v>
      </x:c>
      <x:c r="C2834" t="str">
        <x:v>午餐</x:v>
      </x:c>
      <x:c r="D2834" t="str">
        <x:v>鱼类</x:v>
      </x:c>
      <x:c r="E2834" t="str">
        <x:v>三文鱼</x:v>
      </x:c>
      <x:c r="F2834" t="n">
        <x:v>135</x:v>
      </x:c>
      <x:c r="G2834" t="n">
        <x:v>205</x:v>
      </x:c>
      <x:c r="H2834" t="n">
        <x:f>ROUND(F2834*G2834/100,2)</x:f>
        <x:v>276.75</x:v>
      </x:c>
      <x:c r="I2834" t="n">
        <x:v>20</x:v>
      </x:c>
      <x:c r="J2834" t="n">
        <x:f>ROUND(F2834*I2834/100,2)</x:f>
        <x:v>27</x:v>
      </x:c>
      <x:c r="K2834" t="n">
        <x:v>0</x:v>
      </x:c>
      <x:c r="L2834" t="n">
        <x:f>ROUND(F2834*K2834/100,2)</x:f>
        <x:v>0</x:v>
      </x:c>
      <x:c r="M2834" t="n">
        <x:v>13</x:v>
      </x:c>
      <x:c r="N2834" t="n">
        <x:f>ROUND(F2834*M2834/100,2)</x:f>
        <x:v>17.55</x:v>
      </x:c>
      <x:c r="O2834" t="str">
        <x:v>净鱼肉生重</x:v>
      </x:c>
    </x:row>
    <x:row r="2835" ht="23" customHeight="1">
      <x:c r="A2835" t="n">
        <x:v>473</x:v>
      </x:c>
      <x:c r="B2835" t="n">
        <x:v>237</x:v>
      </x:c>
      <x:c r="C2835" t="str">
        <x:v>午餐</x:v>
      </x:c>
      <x:c r="D2835" t="str"/>
      <x:c r="E2835" t="str"/>
      <x:c r="F2835" t="n">
        <x:v>0</x:v>
      </x:c>
      <x:c r="G2835" t="n">
        <x:v>0</x:v>
      </x:c>
      <x:c r="H2835" t="n">
        <x:f>ROUND(F2835*G2835/100,2)</x:f>
        <x:v>0</x:v>
      </x:c>
      <x:c r="I2835" t="n">
        <x:v>0</x:v>
      </x:c>
      <x:c r="J2835" t="n">
        <x:f>ROUND(F2835*I2835/100,2)</x:f>
        <x:v>0</x:v>
      </x:c>
      <x:c r="K2835" t="n">
        <x:v>0</x:v>
      </x:c>
      <x:c r="L2835" t="n">
        <x:f>ROUND(F2835*K2835/100,2)</x:f>
        <x:v>0</x:v>
      </x:c>
      <x:c r="M2835" t="n">
        <x:v>0</x:v>
      </x:c>
      <x:c r="N2835" t="n">
        <x:f>ROUND(F2835*M2835/100,2)</x:f>
        <x:v>0</x:v>
      </x:c>
      <x:c r="O2835" t="str"/>
    </x:row>
    <x:row r="2836" ht="23" customHeight="1">
      <x:c r="A2836" t="n">
        <x:v>473</x:v>
      </x:c>
      <x:c r="B2836" t="n">
        <x:v>237</x:v>
      </x:c>
      <x:c r="C2836" t="str">
        <x:v>午餐</x:v>
      </x:c>
      <x:c r="D2836" t="str">
        <x:v>蔬菜</x:v>
      </x:c>
      <x:c r="E2836" t="str">
        <x:v>荷兰豆</x:v>
      </x:c>
      <x:c r="F2836" t="n">
        <x:v>160</x:v>
      </x:c>
      <x:c r="G2836" t="n">
        <x:v>42</x:v>
      </x:c>
      <x:c r="H2836" t="n">
        <x:f>ROUND(F2836*G2836/100,2)</x:f>
        <x:v>67.2</x:v>
      </x:c>
      <x:c r="I2836" t="n">
        <x:v>2.8</x:v>
      </x:c>
      <x:c r="J2836" t="n">
        <x:f>ROUND(F2836*I2836/100,2)</x:f>
        <x:v>4.48</x:v>
      </x:c>
      <x:c r="K2836" t="n">
        <x:v>7.5</x:v>
      </x:c>
      <x:c r="L2836" t="n">
        <x:f>ROUND(F2836*K2836/100,2)</x:f>
        <x:v>12</x:v>
      </x:c>
      <x:c r="M2836" t="n">
        <x:v>0.3</x:v>
      </x:c>
      <x:c r="N2836" t="n">
        <x:f>ROUND(F2836*M2836/100,2)</x:f>
        <x:v>0.48</x:v>
      </x:c>
      <x:c r="O2836" t="str">
        <x:v>生重</x:v>
      </x:c>
    </x:row>
    <x:row r="2837" ht="23" customHeight="1">
      <x:c r="A2837" t="n">
        <x:v>473</x:v>
      </x:c>
      <x:c r="B2837" t="n">
        <x:v>237</x:v>
      </x:c>
      <x:c r="C2837" t="str">
        <x:v>午餐</x:v>
      </x:c>
      <x:c r="D2837" t="str">
        <x:v>菌菇</x:v>
      </x:c>
      <x:c r="E2837" t="str">
        <x:v>口蘑</x:v>
      </x:c>
      <x:c r="F2837" t="n">
        <x:v>155</x:v>
      </x:c>
      <x:c r="G2837" t="n">
        <x:v>22</x:v>
      </x:c>
      <x:c r="H2837" t="n">
        <x:f>ROUND(F2837*G2837/100,2)</x:f>
        <x:v>34.1</x:v>
      </x:c>
      <x:c r="I2837" t="n">
        <x:v>3.1</x:v>
      </x:c>
      <x:c r="J2837" t="n">
        <x:f>ROUND(F2837*I2837/100,2)</x:f>
        <x:v>4.81</x:v>
      </x:c>
      <x:c r="K2837" t="n">
        <x:v>3.3</x:v>
      </x:c>
      <x:c r="L2837" t="n">
        <x:f>ROUND(F2837*K2837/100,2)</x:f>
        <x:v>5.12</x:v>
      </x:c>
      <x:c r="M2837" t="n">
        <x:v>0.3</x:v>
      </x:c>
      <x:c r="N2837" t="n">
        <x:f>ROUND(F2837*M2837/100,2)</x:f>
        <x:v>0.47</x:v>
      </x:c>
      <x:c r="O2837" t="str">
        <x:v>生重</x:v>
      </x:c>
    </x:row>
    <x:row r="2838" ht="23" customHeight="1">
      <x:c r="A2838" t="n">
        <x:v>473</x:v>
      </x:c>
      <x:c r="B2838" t="n">
        <x:v>237</x:v>
      </x:c>
      <x:c r="C2838" t="str">
        <x:v>午餐</x:v>
      </x:c>
      <x:c r="D2838" t="str">
        <x:v>主食</x:v>
      </x:c>
      <x:c r="E2838" t="str">
        <x:v>燕麦饭</x:v>
      </x:c>
      <x:c r="F2838" t="n">
        <x:v>150</x:v>
      </x:c>
      <x:c r="G2838" t="n">
        <x:v>110</x:v>
      </x:c>
      <x:c r="H2838" t="n">
        <x:f>ROUND(F2838*G2838/100,2)</x:f>
        <x:v>165</x:v>
      </x:c>
      <x:c r="I2838" t="n">
        <x:v>3.2</x:v>
      </x:c>
      <x:c r="J2838" t="n">
        <x:f>ROUND(F2838*I2838/100,2)</x:f>
        <x:v>4.8</x:v>
      </x:c>
      <x:c r="K2838" t="n">
        <x:v>21</x:v>
      </x:c>
      <x:c r="L2838" t="n">
        <x:f>ROUND(F2838*K2838/100,2)</x:f>
        <x:v>31.5</x:v>
      </x:c>
      <x:c r="M2838" t="n">
        <x:v>1.8</x:v>
      </x:c>
      <x:c r="N2838" t="n">
        <x:f>ROUND(F2838*M2838/100,2)</x:f>
        <x:v>2.7</x:v>
      </x:c>
      <x:c r="O2838" t="str">
        <x:v>熟重</x:v>
      </x:c>
    </x:row>
    <x:row r="2839" ht="23" customHeight="1">
      <x:c r="A2839" t="n">
        <x:v>473</x:v>
      </x:c>
      <x:c r="B2839" t="n">
        <x:v>237</x:v>
      </x:c>
      <x:c r="C2839" t="str">
        <x:v>午餐</x:v>
      </x:c>
      <x:c r="D2839" t="str">
        <x:v>油脂</x:v>
      </x:c>
      <x:c r="E2839" t="str">
        <x:v>烹调油</x:v>
      </x:c>
      <x:c r="F2839" t="n">
        <x:v>2</x:v>
      </x:c>
      <x:c r="G2839" t="n">
        <x:v>900</x:v>
      </x:c>
      <x:c r="H2839" t="n">
        <x:f>ROUND(F2839*G2839/100,2)</x:f>
        <x:v>18</x:v>
      </x:c>
      <x:c r="I2839" t="n">
        <x:v>0</x:v>
      </x:c>
      <x:c r="J2839" t="n">
        <x:f>ROUND(F2839*I2839/100,2)</x:f>
        <x:v>0</x:v>
      </x:c>
      <x:c r="K2839" t="n">
        <x:v>0</x:v>
      </x:c>
      <x:c r="L2839" t="n">
        <x:f>ROUND(F2839*K2839/100,2)</x:f>
        <x:v>0</x:v>
      </x:c>
      <x:c r="M2839" t="n">
        <x:v>100</x:v>
      </x:c>
      <x:c r="N2839" t="n">
        <x:f>ROUND(F2839*M2839/100,2)</x:f>
        <x:v>2</x:v>
      </x:c>
      <x:c r="O2839" t="str">
        <x:v>实际用油重</x:v>
      </x:c>
    </x:row>
    <x:row r="2840" ht="23" customHeight="1">
      <x:c r="A2840" t="n">
        <x:v>474</x:v>
      </x:c>
      <x:c r="B2840" t="n">
        <x:v>237</x:v>
      </x:c>
      <x:c r="C2840" t="str">
        <x:v>晚餐</x:v>
      </x:c>
      <x:c r="D2840" t="str">
        <x:v>牛肉</x:v>
      </x:c>
      <x:c r="E2840" t="str">
        <x:v>瘦牛肉</x:v>
      </x:c>
      <x:c r="F2840" t="n">
        <x:v>170</x:v>
      </x:c>
      <x:c r="G2840" t="n">
        <x:v>125</x:v>
      </x:c>
      <x:c r="H2840" t="n">
        <x:f>ROUND(F2840*G2840/100,2)</x:f>
        <x:v>212.5</x:v>
      </x:c>
      <x:c r="I2840" t="n">
        <x:v>21</x:v>
      </x:c>
      <x:c r="J2840" t="n">
        <x:f>ROUND(F2840*I2840/100,2)</x:f>
        <x:v>35.7</x:v>
      </x:c>
      <x:c r="K2840" t="n">
        <x:v>0</x:v>
      </x:c>
      <x:c r="L2840" t="n">
        <x:f>ROUND(F2840*K2840/100,2)</x:f>
        <x:v>0</x:v>
      </x:c>
      <x:c r="M2840" t="n">
        <x:v>4</x:v>
      </x:c>
      <x:c r="N2840" t="n">
        <x:f>ROUND(F2840*M2840/100,2)</x:f>
        <x:v>6.8</x:v>
      </x:c>
      <x:c r="O2840" t="str">
        <x:v>生重</x:v>
      </x:c>
    </x:row>
    <x:row r="2841" ht="23" customHeight="1">
      <x:c r="A2841" t="n">
        <x:v>474</x:v>
      </x:c>
      <x:c r="B2841" t="n">
        <x:v>237</x:v>
      </x:c>
      <x:c r="C2841" t="str">
        <x:v>晚餐</x:v>
      </x:c>
      <x:c r="D2841" t="str"/>
      <x:c r="E2841" t="str"/>
      <x:c r="F2841" t="n">
        <x:v>0</x:v>
      </x:c>
      <x:c r="G2841" t="n">
        <x:v>0</x:v>
      </x:c>
      <x:c r="H2841" t="n">
        <x:f>ROUND(F2841*G2841/100,2)</x:f>
        <x:v>0</x:v>
      </x:c>
      <x:c r="I2841" t="n">
        <x:v>0</x:v>
      </x:c>
      <x:c r="J2841" t="n">
        <x:f>ROUND(F2841*I2841/100,2)</x:f>
        <x:v>0</x:v>
      </x:c>
      <x:c r="K2841" t="n">
        <x:v>0</x:v>
      </x:c>
      <x:c r="L2841" t="n">
        <x:f>ROUND(F2841*K2841/100,2)</x:f>
        <x:v>0</x:v>
      </x:c>
      <x:c r="M2841" t="n">
        <x:v>0</x:v>
      </x:c>
      <x:c r="N2841" t="n">
        <x:f>ROUND(F2841*M2841/100,2)</x:f>
        <x:v>0</x:v>
      </x:c>
      <x:c r="O2841" t="str"/>
    </x:row>
    <x:row r="2842" ht="23" customHeight="1">
      <x:c r="A2842" t="n">
        <x:v>474</x:v>
      </x:c>
      <x:c r="B2842" t="n">
        <x:v>237</x:v>
      </x:c>
      <x:c r="C2842" t="str">
        <x:v>晚餐</x:v>
      </x:c>
      <x:c r="D2842" t="str">
        <x:v>蔬菜</x:v>
      </x:c>
      <x:c r="E2842" t="str">
        <x:v>花菜</x:v>
      </x:c>
      <x:c r="F2842" t="n">
        <x:v>190</x:v>
      </x:c>
      <x:c r="G2842" t="n">
        <x:v>25</x:v>
      </x:c>
      <x:c r="H2842" t="n">
        <x:f>ROUND(F2842*G2842/100,2)</x:f>
        <x:v>47.5</x:v>
      </x:c>
      <x:c r="I2842" t="n">
        <x:v>2</x:v>
      </x:c>
      <x:c r="J2842" t="n">
        <x:f>ROUND(F2842*I2842/100,2)</x:f>
        <x:v>3.8</x:v>
      </x:c>
      <x:c r="K2842" t="n">
        <x:v>5</x:v>
      </x:c>
      <x:c r="L2842" t="n">
        <x:f>ROUND(F2842*K2842/100,2)</x:f>
        <x:v>9.5</x:v>
      </x:c>
      <x:c r="M2842" t="n">
        <x:v>0.3</x:v>
      </x:c>
      <x:c r="N2842" t="n">
        <x:f>ROUND(F2842*M2842/100,2)</x:f>
        <x:v>0.57</x:v>
      </x:c>
      <x:c r="O2842" t="str">
        <x:v>生重</x:v>
      </x:c>
    </x:row>
    <x:row r="2843" ht="23" customHeight="1">
      <x:c r="A2843" t="n">
        <x:v>474</x:v>
      </x:c>
      <x:c r="B2843" t="n">
        <x:v>237</x:v>
      </x:c>
      <x:c r="C2843" t="str">
        <x:v>晚餐</x:v>
      </x:c>
      <x:c r="D2843" t="str">
        <x:v>蔬菜</x:v>
      </x:c>
      <x:c r="E2843" t="str">
        <x:v>芦笋</x:v>
      </x:c>
      <x:c r="F2843" t="n">
        <x:v>140</x:v>
      </x:c>
      <x:c r="G2843" t="n">
        <x:v>20</x:v>
      </x:c>
      <x:c r="H2843" t="n">
        <x:f>ROUND(F2843*G2843/100,2)</x:f>
        <x:v>28</x:v>
      </x:c>
      <x:c r="I2843" t="n">
        <x:v>2.2</x:v>
      </x:c>
      <x:c r="J2843" t="n">
        <x:f>ROUND(F2843*I2843/100,2)</x:f>
        <x:v>3.08</x:v>
      </x:c>
      <x:c r="K2843" t="n">
        <x:v>3.9</x:v>
      </x:c>
      <x:c r="L2843" t="n">
        <x:f>ROUND(F2843*K2843/100,2)</x:f>
        <x:v>5.46</x:v>
      </x:c>
      <x:c r="M2843" t="n">
        <x:v>0.1</x:v>
      </x:c>
      <x:c r="N2843" t="n">
        <x:f>ROUND(F2843*M2843/100,2)</x:f>
        <x:v>0.14</x:v>
      </x:c>
      <x:c r="O2843" t="str">
        <x:v>生重</x:v>
      </x:c>
    </x:row>
    <x:row r="2844" ht="23" customHeight="1">
      <x:c r="A2844" t="n">
        <x:v>474</x:v>
      </x:c>
      <x:c r="B2844" t="n">
        <x:v>237</x:v>
      </x:c>
      <x:c r="C2844" t="str">
        <x:v>晚餐</x:v>
      </x:c>
      <x:c r="D2844" t="str">
        <x:v>主食</x:v>
      </x:c>
      <x:c r="E2844" t="str">
        <x:v>糙米饭</x:v>
      </x:c>
      <x:c r="F2844" t="n">
        <x:v>110</x:v>
      </x:c>
      <x:c r="G2844" t="n">
        <x:v>112</x:v>
      </x:c>
      <x:c r="H2844" t="n">
        <x:f>ROUND(F2844*G2844/100,2)</x:f>
        <x:v>123.2</x:v>
      </x:c>
      <x:c r="I2844" t="n">
        <x:v>2.6</x:v>
      </x:c>
      <x:c r="J2844" t="n">
        <x:f>ROUND(F2844*I2844/100,2)</x:f>
        <x:v>2.86</x:v>
      </x:c>
      <x:c r="K2844" t="n">
        <x:v>23.5</x:v>
      </x:c>
      <x:c r="L2844" t="n">
        <x:f>ROUND(F2844*K2844/100,2)</x:f>
        <x:v>25.85</x:v>
      </x:c>
      <x:c r="M2844" t="n">
        <x:v>0.9</x:v>
      </x:c>
      <x:c r="N2844" t="n">
        <x:f>ROUND(F2844*M2844/100,2)</x:f>
        <x:v>0.99</x:v>
      </x:c>
      <x:c r="O2844" t="str">
        <x:v>熟重</x:v>
      </x:c>
    </x:row>
    <x:row r="2845" ht="23" customHeight="1">
      <x:c r="A2845" t="n">
        <x:v>474</x:v>
      </x:c>
      <x:c r="B2845" t="n">
        <x:v>237</x:v>
      </x:c>
      <x:c r="C2845" t="str">
        <x:v>晚餐</x:v>
      </x:c>
      <x:c r="D2845" t="str">
        <x:v>油脂</x:v>
      </x:c>
      <x:c r="E2845" t="str">
        <x:v>烹调油</x:v>
      </x:c>
      <x:c r="F2845" t="n">
        <x:v>6</x:v>
      </x:c>
      <x:c r="G2845" t="n">
        <x:v>900</x:v>
      </x:c>
      <x:c r="H2845" t="n">
        <x:f>ROUND(F2845*G2845/100,2)</x:f>
        <x:v>54</x:v>
      </x:c>
      <x:c r="I2845" t="n">
        <x:v>0</x:v>
      </x:c>
      <x:c r="J2845" t="n">
        <x:f>ROUND(F2845*I2845/100,2)</x:f>
        <x:v>0</x:v>
      </x:c>
      <x:c r="K2845" t="n">
        <x:v>0</x:v>
      </x:c>
      <x:c r="L2845" t="n">
        <x:f>ROUND(F2845*K2845/100,2)</x:f>
        <x:v>0</x:v>
      </x:c>
      <x:c r="M2845" t="n">
        <x:v>100</x:v>
      </x:c>
      <x:c r="N2845" t="n">
        <x:f>ROUND(F2845*M2845/100,2)</x:f>
        <x:v>6</x:v>
      </x:c>
      <x:c r="O2845" t="str">
        <x:v>实际用油重</x:v>
      </x:c>
    </x:row>
    <x:row r="2846" ht="23" customHeight="1">
      <x:c r="A2846" t="n">
        <x:v>475</x:v>
      </x:c>
      <x:c r="B2846" t="n">
        <x:v>238</x:v>
      </x:c>
      <x:c r="C2846" t="str">
        <x:v>午餐</x:v>
      </x:c>
      <x:c r="D2846" t="str">
        <x:v>鱼类</x:v>
      </x:c>
      <x:c r="E2846" t="str">
        <x:v>鲈鱼</x:v>
      </x:c>
      <x:c r="F2846" t="n">
        <x:v>175</x:v>
      </x:c>
      <x:c r="G2846" t="n">
        <x:v>105</x:v>
      </x:c>
      <x:c r="H2846" t="n">
        <x:f>ROUND(F2846*G2846/100,2)</x:f>
        <x:v>183.75</x:v>
      </x:c>
      <x:c r="I2846" t="n">
        <x:v>19</x:v>
      </x:c>
      <x:c r="J2846" t="n">
        <x:f>ROUND(F2846*I2846/100,2)</x:f>
        <x:v>33.25</x:v>
      </x:c>
      <x:c r="K2846" t="n">
        <x:v>0</x:v>
      </x:c>
      <x:c r="L2846" t="n">
        <x:f>ROUND(F2846*K2846/100,2)</x:f>
        <x:v>0</x:v>
      </x:c>
      <x:c r="M2846" t="n">
        <x:v>3</x:v>
      </x:c>
      <x:c r="N2846" t="n">
        <x:f>ROUND(F2846*M2846/100,2)</x:f>
        <x:v>5.25</x:v>
      </x:c>
      <x:c r="O2846" t="str">
        <x:v>净鱼肉生重</x:v>
      </x:c>
    </x:row>
    <x:row r="2847" ht="23" customHeight="1">
      <x:c r="A2847" t="n">
        <x:v>475</x:v>
      </x:c>
      <x:c r="B2847" t="n">
        <x:v>238</x:v>
      </x:c>
      <x:c r="C2847" t="str">
        <x:v>午餐</x:v>
      </x:c>
      <x:c r="D2847" t="str"/>
      <x:c r="E2847" t="str"/>
      <x:c r="F2847" t="n">
        <x:v>0</x:v>
      </x:c>
      <x:c r="G2847" t="n">
        <x:v>0</x:v>
      </x:c>
      <x:c r="H2847" t="n">
        <x:f>ROUND(F2847*G2847/100,2)</x:f>
        <x:v>0</x:v>
      </x:c>
      <x:c r="I2847" t="n">
        <x:v>0</x:v>
      </x:c>
      <x:c r="J2847" t="n">
        <x:f>ROUND(F2847*I2847/100,2)</x:f>
        <x:v>0</x:v>
      </x:c>
      <x:c r="K2847" t="n">
        <x:v>0</x:v>
      </x:c>
      <x:c r="L2847" t="n">
        <x:f>ROUND(F2847*K2847/100,2)</x:f>
        <x:v>0</x:v>
      </x:c>
      <x:c r="M2847" t="n">
        <x:v>0</x:v>
      </x:c>
      <x:c r="N2847" t="n">
        <x:f>ROUND(F2847*M2847/100,2)</x:f>
        <x:v>0</x:v>
      </x:c>
      <x:c r="O2847" t="str"/>
    </x:row>
    <x:row r="2848" ht="23" customHeight="1">
      <x:c r="A2848" t="n">
        <x:v>475</x:v>
      </x:c>
      <x:c r="B2848" t="n">
        <x:v>238</x:v>
      </x:c>
      <x:c r="C2848" t="str">
        <x:v>午餐</x:v>
      </x:c>
      <x:c r="D2848" t="str">
        <x:v>蔬菜</x:v>
      </x:c>
      <x:c r="E2848" t="str">
        <x:v>菜心</x:v>
      </x:c>
      <x:c r="F2848" t="n">
        <x:v>190</x:v>
      </x:c>
      <x:c r="G2848" t="n">
        <x:v>20</x:v>
      </x:c>
      <x:c r="H2848" t="n">
        <x:f>ROUND(F2848*G2848/100,2)</x:f>
        <x:v>38</x:v>
      </x:c>
      <x:c r="I2848" t="n">
        <x:v>2</x:v>
      </x:c>
      <x:c r="J2848" t="n">
        <x:f>ROUND(F2848*I2848/100,2)</x:f>
        <x:v>3.8</x:v>
      </x:c>
      <x:c r="K2848" t="n">
        <x:v>3.5</x:v>
      </x:c>
      <x:c r="L2848" t="n">
        <x:f>ROUND(F2848*K2848/100,2)</x:f>
        <x:v>6.65</x:v>
      </x:c>
      <x:c r="M2848" t="n">
        <x:v>0.3</x:v>
      </x:c>
      <x:c r="N2848" t="n">
        <x:f>ROUND(F2848*M2848/100,2)</x:f>
        <x:v>0.57</x:v>
      </x:c>
      <x:c r="O2848" t="str">
        <x:v>生重</x:v>
      </x:c>
    </x:row>
    <x:row r="2849" ht="23" customHeight="1">
      <x:c r="A2849" t="n">
        <x:v>475</x:v>
      </x:c>
      <x:c r="B2849" t="n">
        <x:v>238</x:v>
      </x:c>
      <x:c r="C2849" t="str">
        <x:v>午餐</x:v>
      </x:c>
      <x:c r="D2849" t="str">
        <x:v>蔬菜</x:v>
      </x:c>
      <x:c r="E2849" t="str">
        <x:v>白萝卜</x:v>
      </x:c>
      <x:c r="F2849" t="n">
        <x:v>155</x:v>
      </x:c>
      <x:c r="G2849" t="n">
        <x:v>18</x:v>
      </x:c>
      <x:c r="H2849" t="n">
        <x:f>ROUND(F2849*G2849/100,2)</x:f>
        <x:v>27.9</x:v>
      </x:c>
      <x:c r="I2849" t="n">
        <x:v>0.6</x:v>
      </x:c>
      <x:c r="J2849" t="n">
        <x:f>ROUND(F2849*I2849/100,2)</x:f>
        <x:v>0.93</x:v>
      </x:c>
      <x:c r="K2849" t="n">
        <x:v>4</x:v>
      </x:c>
      <x:c r="L2849" t="n">
        <x:f>ROUND(F2849*K2849/100,2)</x:f>
        <x:v>6.2</x:v>
      </x:c>
      <x:c r="M2849" t="n">
        <x:v>0.1</x:v>
      </x:c>
      <x:c r="N2849" t="n">
        <x:f>ROUND(F2849*M2849/100,2)</x:f>
        <x:v>0.16</x:v>
      </x:c>
      <x:c r="O2849" t="str">
        <x:v>生重</x:v>
      </x:c>
    </x:row>
    <x:row r="2850" ht="23" customHeight="1">
      <x:c r="A2850" t="n">
        <x:v>475</x:v>
      </x:c>
      <x:c r="B2850" t="n">
        <x:v>238</x:v>
      </x:c>
      <x:c r="C2850" t="str">
        <x:v>午餐</x:v>
      </x:c>
      <x:c r="D2850" t="str">
        <x:v>主食</x:v>
      </x:c>
      <x:c r="E2850" t="str">
        <x:v>玉米</x:v>
      </x:c>
      <x:c r="F2850" t="n">
        <x:v>165</x:v>
      </x:c>
      <x:c r="G2850" t="n">
        <x:v>105</x:v>
      </x:c>
      <x:c r="H2850" t="n">
        <x:f>ROUND(F2850*G2850/100,2)</x:f>
        <x:v>173.25</x:v>
      </x:c>
      <x:c r="I2850" t="n">
        <x:v>3.4</x:v>
      </x:c>
      <x:c r="J2850" t="n">
        <x:f>ROUND(F2850*I2850/100,2)</x:f>
        <x:v>5.61</x:v>
      </x:c>
      <x:c r="K2850" t="n">
        <x:v>22</x:v>
      </x:c>
      <x:c r="L2850" t="n">
        <x:f>ROUND(F2850*K2850/100,2)</x:f>
        <x:v>36.3</x:v>
      </x:c>
      <x:c r="M2850" t="n">
        <x:v>1.5</x:v>
      </x:c>
      <x:c r="N2850" t="n">
        <x:f>ROUND(F2850*M2850/100,2)</x:f>
        <x:v>2.48</x:v>
      </x:c>
      <x:c r="O2850" t="str">
        <x:v>蒸熟净重</x:v>
      </x:c>
    </x:row>
    <x:row r="2851" ht="23" customHeight="1">
      <x:c r="A2851" t="n">
        <x:v>475</x:v>
      </x:c>
      <x:c r="B2851" t="n">
        <x:v>238</x:v>
      </x:c>
      <x:c r="C2851" t="str">
        <x:v>午餐</x:v>
      </x:c>
      <x:c r="D2851" t="str">
        <x:v>油脂</x:v>
      </x:c>
      <x:c r="E2851" t="str">
        <x:v>烹调油</x:v>
      </x:c>
      <x:c r="F2851" t="n">
        <x:v>5</x:v>
      </x:c>
      <x:c r="G2851" t="n">
        <x:v>900</x:v>
      </x:c>
      <x:c r="H2851" t="n">
        <x:f>ROUND(F2851*G2851/100,2)</x:f>
        <x:v>45</x:v>
      </x:c>
      <x:c r="I2851" t="n">
        <x:v>0</x:v>
      </x:c>
      <x:c r="J2851" t="n">
        <x:f>ROUND(F2851*I2851/100,2)</x:f>
        <x:v>0</x:v>
      </x:c>
      <x:c r="K2851" t="n">
        <x:v>0</x:v>
      </x:c>
      <x:c r="L2851" t="n">
        <x:f>ROUND(F2851*K2851/100,2)</x:f>
        <x:v>0</x:v>
      </x:c>
      <x:c r="M2851" t="n">
        <x:v>100</x:v>
      </x:c>
      <x:c r="N2851" t="n">
        <x:f>ROUND(F2851*M2851/100,2)</x:f>
        <x:v>5</x:v>
      </x:c>
      <x:c r="O2851" t="str">
        <x:v>实际用油重</x:v>
      </x:c>
    </x:row>
    <x:row r="2852" ht="23" customHeight="1">
      <x:c r="A2852" t="n">
        <x:v>476</x:v>
      </x:c>
      <x:c r="B2852" t="n">
        <x:v>238</x:v>
      </x:c>
      <x:c r="C2852" t="str">
        <x:v>晚餐</x:v>
      </x:c>
      <x:c r="D2852" t="str">
        <x:v>禽肉</x:v>
      </x:c>
      <x:c r="E2852" t="str">
        <x:v>去皮鸡腿肉</x:v>
      </x:c>
      <x:c r="F2852" t="n">
        <x:v>160</x:v>
      </x:c>
      <x:c r="G2852" t="n">
        <x:v>125</x:v>
      </x:c>
      <x:c r="H2852" t="n">
        <x:f>ROUND(F2852*G2852/100,2)</x:f>
        <x:v>200</x:v>
      </x:c>
      <x:c r="I2852" t="n">
        <x:v>20</x:v>
      </x:c>
      <x:c r="J2852" t="n">
        <x:f>ROUND(F2852*I2852/100,2)</x:f>
        <x:v>32</x:v>
      </x:c>
      <x:c r="K2852" t="n">
        <x:v>0</x:v>
      </x:c>
      <x:c r="L2852" t="n">
        <x:f>ROUND(F2852*K2852/100,2)</x:f>
        <x:v>0</x:v>
      </x:c>
      <x:c r="M2852" t="n">
        <x:v>5</x:v>
      </x:c>
      <x:c r="N2852" t="n">
        <x:f>ROUND(F2852*M2852/100,2)</x:f>
        <x:v>8</x:v>
      </x:c>
      <x:c r="O2852" t="str">
        <x:v>生重</x:v>
      </x:c>
    </x:row>
    <x:row r="2853" ht="23" customHeight="1">
      <x:c r="A2853" t="n">
        <x:v>476</x:v>
      </x:c>
      <x:c r="B2853" t="n">
        <x:v>238</x:v>
      </x:c>
      <x:c r="C2853" t="str">
        <x:v>晚餐</x:v>
      </x:c>
      <x:c r="D2853" t="str"/>
      <x:c r="E2853" t="str"/>
      <x:c r="F2853" t="n">
        <x:v>0</x:v>
      </x:c>
      <x:c r="G2853" t="n">
        <x:v>0</x:v>
      </x:c>
      <x:c r="H2853" t="n">
        <x:f>ROUND(F2853*G2853/100,2)</x:f>
        <x:v>0</x:v>
      </x:c>
      <x:c r="I2853" t="n">
        <x:v>0</x:v>
      </x:c>
      <x:c r="J2853" t="n">
        <x:f>ROUND(F2853*I2853/100,2)</x:f>
        <x:v>0</x:v>
      </x:c>
      <x:c r="K2853" t="n">
        <x:v>0</x:v>
      </x:c>
      <x:c r="L2853" t="n">
        <x:f>ROUND(F2853*K2853/100,2)</x:f>
        <x:v>0</x:v>
      </x:c>
      <x:c r="M2853" t="n">
        <x:v>0</x:v>
      </x:c>
      <x:c r="N2853" t="n">
        <x:f>ROUND(F2853*M2853/100,2)</x:f>
        <x:v>0</x:v>
      </x:c>
      <x:c r="O2853" t="str"/>
    </x:row>
    <x:row r="2854" ht="23" customHeight="1">
      <x:c r="A2854" t="n">
        <x:v>476</x:v>
      </x:c>
      <x:c r="B2854" t="n">
        <x:v>238</x:v>
      </x:c>
      <x:c r="C2854" t="str">
        <x:v>晚餐</x:v>
      </x:c>
      <x:c r="D2854" t="str">
        <x:v>蔬菜</x:v>
      </x:c>
      <x:c r="E2854" t="str">
        <x:v>西葫芦</x:v>
      </x:c>
      <x:c r="F2854" t="n">
        <x:v>160</x:v>
      </x:c>
      <x:c r="G2854" t="n">
        <x:v>17</x:v>
      </x:c>
      <x:c r="H2854" t="n">
        <x:f>ROUND(F2854*G2854/100,2)</x:f>
        <x:v>27.2</x:v>
      </x:c>
      <x:c r="I2854" t="n">
        <x:v>1.2</x:v>
      </x:c>
      <x:c r="J2854" t="n">
        <x:f>ROUND(F2854*I2854/100,2)</x:f>
        <x:v>1.92</x:v>
      </x:c>
      <x:c r="K2854" t="n">
        <x:v>3.1</x:v>
      </x:c>
      <x:c r="L2854" t="n">
        <x:f>ROUND(F2854*K2854/100,2)</x:f>
        <x:v>4.96</x:v>
      </x:c>
      <x:c r="M2854" t="n">
        <x:v>0.3</x:v>
      </x:c>
      <x:c r="N2854" t="n">
        <x:f>ROUND(F2854*M2854/100,2)</x:f>
        <x:v>0.48</x:v>
      </x:c>
      <x:c r="O2854" t="str">
        <x:v>生重</x:v>
      </x:c>
    </x:row>
    <x:row r="2855" ht="23" customHeight="1">
      <x:c r="A2855" t="n">
        <x:v>476</x:v>
      </x:c>
      <x:c r="B2855" t="n">
        <x:v>238</x:v>
      </x:c>
      <x:c r="C2855" t="str">
        <x:v>晚餐</x:v>
      </x:c>
      <x:c r="D2855" t="str">
        <x:v>蔬菜</x:v>
      </x:c>
      <x:c r="E2855" t="str">
        <x:v>玉米笋</x:v>
      </x:c>
      <x:c r="F2855" t="n">
        <x:v>140</x:v>
      </x:c>
      <x:c r="G2855" t="n">
        <x:v>26</x:v>
      </x:c>
      <x:c r="H2855" t="n">
        <x:f>ROUND(F2855*G2855/100,2)</x:f>
        <x:v>36.4</x:v>
      </x:c>
      <x:c r="I2855" t="n">
        <x:v>2</x:v>
      </x:c>
      <x:c r="J2855" t="n">
        <x:f>ROUND(F2855*I2855/100,2)</x:f>
        <x:v>2.8</x:v>
      </x:c>
      <x:c r="K2855" t="n">
        <x:v>4.9</x:v>
      </x:c>
      <x:c r="L2855" t="n">
        <x:f>ROUND(F2855*K2855/100,2)</x:f>
        <x:v>6.86</x:v>
      </x:c>
      <x:c r="M2855" t="n">
        <x:v>0.1</x:v>
      </x:c>
      <x:c r="N2855" t="n">
        <x:f>ROUND(F2855*M2855/100,2)</x:f>
        <x:v>0.14</x:v>
      </x:c>
      <x:c r="O2855" t="str">
        <x:v>生重</x:v>
      </x:c>
    </x:row>
    <x:row r="2856" ht="23" customHeight="1">
      <x:c r="A2856" t="n">
        <x:v>476</x:v>
      </x:c>
      <x:c r="B2856" t="n">
        <x:v>238</x:v>
      </x:c>
      <x:c r="C2856" t="str">
        <x:v>晚餐</x:v>
      </x:c>
      <x:c r="D2856" t="str">
        <x:v>主食</x:v>
      </x:c>
      <x:c r="E2856" t="str">
        <x:v>糙米饭</x:v>
      </x:c>
      <x:c r="F2856" t="n">
        <x:v>95</x:v>
      </x:c>
      <x:c r="G2856" t="n">
        <x:v>112</x:v>
      </x:c>
      <x:c r="H2856" t="n">
        <x:f>ROUND(F2856*G2856/100,2)</x:f>
        <x:v>106.4</x:v>
      </x:c>
      <x:c r="I2856" t="n">
        <x:v>2.6</x:v>
      </x:c>
      <x:c r="J2856" t="n">
        <x:f>ROUND(F2856*I2856/100,2)</x:f>
        <x:v>2.47</x:v>
      </x:c>
      <x:c r="K2856" t="n">
        <x:v>23.5</x:v>
      </x:c>
      <x:c r="L2856" t="n">
        <x:f>ROUND(F2856*K2856/100,2)</x:f>
        <x:v>22.33</x:v>
      </x:c>
      <x:c r="M2856" t="n">
        <x:v>0.9</x:v>
      </x:c>
      <x:c r="N2856" t="n">
        <x:f>ROUND(F2856*M2856/100,2)</x:f>
        <x:v>0.86</x:v>
      </x:c>
      <x:c r="O2856" t="str">
        <x:v>熟重</x:v>
      </x:c>
    </x:row>
    <x:row r="2857" ht="23" customHeight="1">
      <x:c r="A2857" t="n">
        <x:v>476</x:v>
      </x:c>
      <x:c r="B2857" t="n">
        <x:v>238</x:v>
      </x:c>
      <x:c r="C2857" t="str">
        <x:v>晚餐</x:v>
      </x:c>
      <x:c r="D2857" t="str">
        <x:v>油脂</x:v>
      </x:c>
      <x:c r="E2857" t="str">
        <x:v>烹调油</x:v>
      </x:c>
      <x:c r="F2857" t="n">
        <x:v>6</x:v>
      </x:c>
      <x:c r="G2857" t="n">
        <x:v>900</x:v>
      </x:c>
      <x:c r="H2857" t="n">
        <x:f>ROUND(F2857*G2857/100,2)</x:f>
        <x:v>54</x:v>
      </x:c>
      <x:c r="I2857" t="n">
        <x:v>0</x:v>
      </x:c>
      <x:c r="J2857" t="n">
        <x:f>ROUND(F2857*I2857/100,2)</x:f>
        <x:v>0</x:v>
      </x:c>
      <x:c r="K2857" t="n">
        <x:v>0</x:v>
      </x:c>
      <x:c r="L2857" t="n">
        <x:f>ROUND(F2857*K2857/100,2)</x:f>
        <x:v>0</x:v>
      </x:c>
      <x:c r="M2857" t="n">
        <x:v>100</x:v>
      </x:c>
      <x:c r="N2857" t="n">
        <x:f>ROUND(F2857*M2857/100,2)</x:f>
        <x:v>6</x:v>
      </x:c>
      <x:c r="O2857" t="str">
        <x:v>实际用油重</x:v>
      </x:c>
    </x:row>
    <x:row r="2858" ht="23" customHeight="1">
      <x:c r="A2858" t="n">
        <x:v>477</x:v>
      </x:c>
      <x:c r="B2858" t="n">
        <x:v>239</x:v>
      </x:c>
      <x:c r="C2858" t="str">
        <x:v>午餐</x:v>
      </x:c>
      <x:c r="D2858" t="str">
        <x:v>牛肉</x:v>
      </x:c>
      <x:c r="E2858" t="str">
        <x:v>牛里脊</x:v>
      </x:c>
      <x:c r="F2858" t="n">
        <x:v>175</x:v>
      </x:c>
      <x:c r="G2858" t="n">
        <x:v>130</x:v>
      </x:c>
      <x:c r="H2858" t="n">
        <x:f>ROUND(F2858*G2858/100,2)</x:f>
        <x:v>227.5</x:v>
      </x:c>
      <x:c r="I2858" t="n">
        <x:v>21</x:v>
      </x:c>
      <x:c r="J2858" t="n">
        <x:f>ROUND(F2858*I2858/100,2)</x:f>
        <x:v>36.75</x:v>
      </x:c>
      <x:c r="K2858" t="n">
        <x:v>0</x:v>
      </x:c>
      <x:c r="L2858" t="n">
        <x:f>ROUND(F2858*K2858/100,2)</x:f>
        <x:v>0</x:v>
      </x:c>
      <x:c r="M2858" t="n">
        <x:v>4.8</x:v>
      </x:c>
      <x:c r="N2858" t="n">
        <x:f>ROUND(F2858*M2858/100,2)</x:f>
        <x:v>8.4</x:v>
      </x:c>
      <x:c r="O2858" t="str">
        <x:v>生重</x:v>
      </x:c>
    </x:row>
    <x:row r="2859" ht="23" customHeight="1">
      <x:c r="A2859" t="n">
        <x:v>477</x:v>
      </x:c>
      <x:c r="B2859" t="n">
        <x:v>239</x:v>
      </x:c>
      <x:c r="C2859" t="str">
        <x:v>午餐</x:v>
      </x:c>
      <x:c r="D2859" t="str"/>
      <x:c r="E2859" t="str"/>
      <x:c r="F2859" t="n">
        <x:v>0</x:v>
      </x:c>
      <x:c r="G2859" t="n">
        <x:v>0</x:v>
      </x:c>
      <x:c r="H2859" t="n">
        <x:f>ROUND(F2859*G2859/100,2)</x:f>
        <x:v>0</x:v>
      </x:c>
      <x:c r="I2859" t="n">
        <x:v>0</x:v>
      </x:c>
      <x:c r="J2859" t="n">
        <x:f>ROUND(F2859*I2859/100,2)</x:f>
        <x:v>0</x:v>
      </x:c>
      <x:c r="K2859" t="n">
        <x:v>0</x:v>
      </x:c>
      <x:c r="L2859" t="n">
        <x:f>ROUND(F2859*K2859/100,2)</x:f>
        <x:v>0</x:v>
      </x:c>
      <x:c r="M2859" t="n">
        <x:v>0</x:v>
      </x:c>
      <x:c r="N2859" t="n">
        <x:f>ROUND(F2859*M2859/100,2)</x:f>
        <x:v>0</x:v>
      </x:c>
      <x:c r="O2859" t="str"/>
    </x:row>
    <x:row r="2860" ht="23" customHeight="1">
      <x:c r="A2860" t="n">
        <x:v>477</x:v>
      </x:c>
      <x:c r="B2860" t="n">
        <x:v>239</x:v>
      </x:c>
      <x:c r="C2860" t="str">
        <x:v>午餐</x:v>
      </x:c>
      <x:c r="D2860" t="str">
        <x:v>蔬菜</x:v>
      </x:c>
      <x:c r="E2860" t="str">
        <x:v>茼蒿</x:v>
      </x:c>
      <x:c r="F2860" t="n">
        <x:v>140</x:v>
      </x:c>
      <x:c r="G2860" t="n">
        <x:v>24</x:v>
      </x:c>
      <x:c r="H2860" t="n">
        <x:f>ROUND(F2860*G2860/100,2)</x:f>
        <x:v>33.6</x:v>
      </x:c>
      <x:c r="I2860" t="n">
        <x:v>1.9</x:v>
      </x:c>
      <x:c r="J2860" t="n">
        <x:f>ROUND(F2860*I2860/100,2)</x:f>
        <x:v>2.66</x:v>
      </x:c>
      <x:c r="K2860" t="n">
        <x:v>4.3</x:v>
      </x:c>
      <x:c r="L2860" t="n">
        <x:f>ROUND(F2860*K2860/100,2)</x:f>
        <x:v>6.02</x:v>
      </x:c>
      <x:c r="M2860" t="n">
        <x:v>0.3</x:v>
      </x:c>
      <x:c r="N2860" t="n">
        <x:f>ROUND(F2860*M2860/100,2)</x:f>
        <x:v>0.42</x:v>
      </x:c>
      <x:c r="O2860" t="str">
        <x:v>生重</x:v>
      </x:c>
    </x:row>
    <x:row r="2861" ht="23" customHeight="1">
      <x:c r="A2861" t="n">
        <x:v>477</x:v>
      </x:c>
      <x:c r="B2861" t="n">
        <x:v>239</x:v>
      </x:c>
      <x:c r="C2861" t="str">
        <x:v>午餐</x:v>
      </x:c>
      <x:c r="D2861" t="str">
        <x:v>蔬菜</x:v>
      </x:c>
      <x:c r="E2861" t="str">
        <x:v>芦笋</x:v>
      </x:c>
      <x:c r="F2861" t="n">
        <x:v>155</x:v>
      </x:c>
      <x:c r="G2861" t="n">
        <x:v>20</x:v>
      </x:c>
      <x:c r="H2861" t="n">
        <x:f>ROUND(F2861*G2861/100,2)</x:f>
        <x:v>31</x:v>
      </x:c>
      <x:c r="I2861" t="n">
        <x:v>2.2</x:v>
      </x:c>
      <x:c r="J2861" t="n">
        <x:f>ROUND(F2861*I2861/100,2)</x:f>
        <x:v>3.41</x:v>
      </x:c>
      <x:c r="K2861" t="n">
        <x:v>3.9</x:v>
      </x:c>
      <x:c r="L2861" t="n">
        <x:f>ROUND(F2861*K2861/100,2)</x:f>
        <x:v>6.05</x:v>
      </x:c>
      <x:c r="M2861" t="n">
        <x:v>0.1</x:v>
      </x:c>
      <x:c r="N2861" t="n">
        <x:f>ROUND(F2861*M2861/100,2)</x:f>
        <x:v>0.16</x:v>
      </x:c>
      <x:c r="O2861" t="str">
        <x:v>生重</x:v>
      </x:c>
    </x:row>
    <x:row r="2862" ht="23" customHeight="1">
      <x:c r="A2862" t="n">
        <x:v>477</x:v>
      </x:c>
      <x:c r="B2862" t="n">
        <x:v>239</x:v>
      </x:c>
      <x:c r="C2862" t="str">
        <x:v>午餐</x:v>
      </x:c>
      <x:c r="D2862" t="str">
        <x:v>主食</x:v>
      </x:c>
      <x:c r="E2862" t="str">
        <x:v>山药</x:v>
      </x:c>
      <x:c r="F2862" t="n">
        <x:v>150</x:v>
      </x:c>
      <x:c r="G2862" t="n">
        <x:v>62</x:v>
      </x:c>
      <x:c r="H2862" t="n">
        <x:f>ROUND(F2862*G2862/100,2)</x:f>
        <x:v>93</x:v>
      </x:c>
      <x:c r="I2862" t="n">
        <x:v>1.5</x:v>
      </x:c>
      <x:c r="J2862" t="n">
        <x:f>ROUND(F2862*I2862/100,2)</x:f>
        <x:v>2.25</x:v>
      </x:c>
      <x:c r="K2862" t="n">
        <x:v>14.1</x:v>
      </x:c>
      <x:c r="L2862" t="n">
        <x:f>ROUND(F2862*K2862/100,2)</x:f>
        <x:v>21.15</x:v>
      </x:c>
      <x:c r="M2862" t="n">
        <x:v>0.1</x:v>
      </x:c>
      <x:c r="N2862" t="n">
        <x:f>ROUND(F2862*M2862/100,2)</x:f>
        <x:v>0.15</x:v>
      </x:c>
      <x:c r="O2862" t="str">
        <x:v>蒸熟净重</x:v>
      </x:c>
    </x:row>
    <x:row r="2863" ht="23" customHeight="1">
      <x:c r="A2863" t="n">
        <x:v>477</x:v>
      </x:c>
      <x:c r="B2863" t="n">
        <x:v>239</x:v>
      </x:c>
      <x:c r="C2863" t="str">
        <x:v>午餐</x:v>
      </x:c>
      <x:c r="D2863" t="str">
        <x:v>油脂</x:v>
      </x:c>
      <x:c r="E2863" t="str">
        <x:v>烹调油</x:v>
      </x:c>
      <x:c r="F2863" t="n">
        <x:v>5</x:v>
      </x:c>
      <x:c r="G2863" t="n">
        <x:v>900</x:v>
      </x:c>
      <x:c r="H2863" t="n">
        <x:f>ROUND(F2863*G2863/100,2)</x:f>
        <x:v>45</x:v>
      </x:c>
      <x:c r="I2863" t="n">
        <x:v>0</x:v>
      </x:c>
      <x:c r="J2863" t="n">
        <x:f>ROUND(F2863*I2863/100,2)</x:f>
        <x:v>0</x:v>
      </x:c>
      <x:c r="K2863" t="n">
        <x:v>0</x:v>
      </x:c>
      <x:c r="L2863" t="n">
        <x:f>ROUND(F2863*K2863/100,2)</x:f>
        <x:v>0</x:v>
      </x:c>
      <x:c r="M2863" t="n">
        <x:v>100</x:v>
      </x:c>
      <x:c r="N2863" t="n">
        <x:f>ROUND(F2863*M2863/100,2)</x:f>
        <x:v>5</x:v>
      </x:c>
      <x:c r="O2863" t="str">
        <x:v>实际用油重</x:v>
      </x:c>
    </x:row>
    <x:row r="2864" ht="23" customHeight="1">
      <x:c r="A2864" t="n">
        <x:v>478</x:v>
      </x:c>
      <x:c r="B2864" t="n">
        <x:v>239</x:v>
      </x:c>
      <x:c r="C2864" t="str">
        <x:v>晚餐</x:v>
      </x:c>
      <x:c r="D2864" t="str">
        <x:v>海鲜</x:v>
      </x:c>
      <x:c r="E2864" t="str">
        <x:v>鱿鱼</x:v>
      </x:c>
      <x:c r="F2864" t="n">
        <x:v>265</x:v>
      </x:c>
      <x:c r="G2864" t="n">
        <x:v>95</x:v>
      </x:c>
      <x:c r="H2864" t="n">
        <x:f>ROUND(F2864*G2864/100,2)</x:f>
        <x:v>251.75</x:v>
      </x:c>
      <x:c r="I2864" t="n">
        <x:v>17</x:v>
      </x:c>
      <x:c r="J2864" t="n">
        <x:f>ROUND(F2864*I2864/100,2)</x:f>
        <x:v>45.05</x:v>
      </x:c>
      <x:c r="K2864" t="n">
        <x:v>2</x:v>
      </x:c>
      <x:c r="L2864" t="n">
        <x:f>ROUND(F2864*K2864/100,2)</x:f>
        <x:v>5.3</x:v>
      </x:c>
      <x:c r="M2864" t="n">
        <x:v>1.4</x:v>
      </x:c>
      <x:c r="N2864" t="n">
        <x:f>ROUND(F2864*M2864/100,2)</x:f>
        <x:v>3.71</x:v>
      </x:c>
      <x:c r="O2864" t="str">
        <x:v>生重</x:v>
      </x:c>
    </x:row>
    <x:row r="2865" ht="23" customHeight="1">
      <x:c r="A2865" t="n">
        <x:v>478</x:v>
      </x:c>
      <x:c r="B2865" t="n">
        <x:v>239</x:v>
      </x:c>
      <x:c r="C2865" t="str">
        <x:v>晚餐</x:v>
      </x:c>
      <x:c r="D2865" t="str"/>
      <x:c r="E2865" t="str"/>
      <x:c r="F2865" t="n">
        <x:v>0</x:v>
      </x:c>
      <x:c r="G2865" t="n">
        <x:v>0</x:v>
      </x:c>
      <x:c r="H2865" t="n">
        <x:f>ROUND(F2865*G2865/100,2)</x:f>
        <x:v>0</x:v>
      </x:c>
      <x:c r="I2865" t="n">
        <x:v>0</x:v>
      </x:c>
      <x:c r="J2865" t="n">
        <x:f>ROUND(F2865*I2865/100,2)</x:f>
        <x:v>0</x:v>
      </x:c>
      <x:c r="K2865" t="n">
        <x:v>0</x:v>
      </x:c>
      <x:c r="L2865" t="n">
        <x:f>ROUND(F2865*K2865/100,2)</x:f>
        <x:v>0</x:v>
      </x:c>
      <x:c r="M2865" t="n">
        <x:v>0</x:v>
      </x:c>
      <x:c r="N2865" t="n">
        <x:f>ROUND(F2865*M2865/100,2)</x:f>
        <x:v>0</x:v>
      </x:c>
      <x:c r="O2865" t="str"/>
    </x:row>
    <x:row r="2866" ht="23" customHeight="1">
      <x:c r="A2866" t="n">
        <x:v>478</x:v>
      </x:c>
      <x:c r="B2866" t="n">
        <x:v>239</x:v>
      </x:c>
      <x:c r="C2866" t="str">
        <x:v>晚餐</x:v>
      </x:c>
      <x:c r="D2866" t="str">
        <x:v>蔬菜</x:v>
      </x:c>
      <x:c r="E2866" t="str">
        <x:v>冬瓜</x:v>
      </x:c>
      <x:c r="F2866" t="n">
        <x:v>140</x:v>
      </x:c>
      <x:c r="G2866" t="n">
        <x:v>13</x:v>
      </x:c>
      <x:c r="H2866" t="n">
        <x:f>ROUND(F2866*G2866/100,2)</x:f>
        <x:v>18.2</x:v>
      </x:c>
      <x:c r="I2866" t="n">
        <x:v>0.4</x:v>
      </x:c>
      <x:c r="J2866" t="n">
        <x:f>ROUND(F2866*I2866/100,2)</x:f>
        <x:v>0.56</x:v>
      </x:c>
      <x:c r="K2866" t="n">
        <x:v>3</x:v>
      </x:c>
      <x:c r="L2866" t="n">
        <x:f>ROUND(F2866*K2866/100,2)</x:f>
        <x:v>4.2</x:v>
      </x:c>
      <x:c r="M2866" t="n">
        <x:v>0.2</x:v>
      </x:c>
      <x:c r="N2866" t="n">
        <x:f>ROUND(F2866*M2866/100,2)</x:f>
        <x:v>0.28</x:v>
      </x:c>
      <x:c r="O2866" t="str">
        <x:v>生重</x:v>
      </x:c>
    </x:row>
    <x:row r="2867" ht="23" customHeight="1">
      <x:c r="A2867" t="n">
        <x:v>478</x:v>
      </x:c>
      <x:c r="B2867" t="n">
        <x:v>239</x:v>
      </x:c>
      <x:c r="C2867" t="str">
        <x:v>晚餐</x:v>
      </x:c>
      <x:c r="D2867" t="str">
        <x:v>蔬菜</x:v>
      </x:c>
      <x:c r="E2867" t="str">
        <x:v>胡萝卜</x:v>
      </x:c>
      <x:c r="F2867" t="n">
        <x:v>110</x:v>
      </x:c>
      <x:c r="G2867" t="n">
        <x:v>41</x:v>
      </x:c>
      <x:c r="H2867" t="n">
        <x:f>ROUND(F2867*G2867/100,2)</x:f>
        <x:v>45.1</x:v>
      </x:c>
      <x:c r="I2867" t="n">
        <x:v>0.9</x:v>
      </x:c>
      <x:c r="J2867" t="n">
        <x:f>ROUND(F2867*I2867/100,2)</x:f>
        <x:v>0.99</x:v>
      </x:c>
      <x:c r="K2867" t="n">
        <x:v>10</x:v>
      </x:c>
      <x:c r="L2867" t="n">
        <x:f>ROUND(F2867*K2867/100,2)</x:f>
        <x:v>11</x:v>
      </x:c>
      <x:c r="M2867" t="n">
        <x:v>0.2</x:v>
      </x:c>
      <x:c r="N2867" t="n">
        <x:f>ROUND(F2867*M2867/100,2)</x:f>
        <x:v>0.22</x:v>
      </x:c>
      <x:c r="O2867" t="str">
        <x:v>生重</x:v>
      </x:c>
    </x:row>
    <x:row r="2868" ht="23" customHeight="1">
      <x:c r="A2868" t="n">
        <x:v>478</x:v>
      </x:c>
      <x:c r="B2868" t="n">
        <x:v>239</x:v>
      </x:c>
      <x:c r="C2868" t="str">
        <x:v>晚餐</x:v>
      </x:c>
      <x:c r="D2868" t="str">
        <x:v>低主食</x:v>
      </x:c>
      <x:c r="E2868" t="str">
        <x:v>魔芋丝</x:v>
      </x:c>
      <x:c r="F2868" t="n">
        <x:v>160</x:v>
      </x:c>
      <x:c r="G2868" t="n">
        <x:v>9</x:v>
      </x:c>
      <x:c r="H2868" t="n">
        <x:f>ROUND(F2868*G2868/100,2)</x:f>
        <x:v>14.4</x:v>
      </x:c>
      <x:c r="I2868" t="n">
        <x:v>0.3</x:v>
      </x:c>
      <x:c r="J2868" t="n">
        <x:f>ROUND(F2868*I2868/100,2)</x:f>
        <x:v>0.48</x:v>
      </x:c>
      <x:c r="K2868" t="n">
        <x:v>2</x:v>
      </x:c>
      <x:c r="L2868" t="n">
        <x:f>ROUND(F2868*K2868/100,2)</x:f>
        <x:v>3.2</x:v>
      </x:c>
      <x:c r="M2868" t="n">
        <x:v>0</x:v>
      </x:c>
      <x:c r="N2868" t="n">
        <x:f>ROUND(F2868*M2868/100,2)</x:f>
        <x:v>0</x:v>
      </x:c>
      <x:c r="O2868" t="str">
        <x:v>沥水重</x:v>
      </x:c>
    </x:row>
    <x:row r="2869" ht="23" customHeight="1">
      <x:c r="A2869" t="n">
        <x:v>478</x:v>
      </x:c>
      <x:c r="B2869" t="n">
        <x:v>239</x:v>
      </x:c>
      <x:c r="C2869" t="str">
        <x:v>晚餐</x:v>
      </x:c>
      <x:c r="D2869" t="str">
        <x:v>油脂</x:v>
      </x:c>
      <x:c r="E2869" t="str">
        <x:v>烹调油</x:v>
      </x:c>
      <x:c r="F2869" t="n">
        <x:v>5</x:v>
      </x:c>
      <x:c r="G2869" t="n">
        <x:v>900</x:v>
      </x:c>
      <x:c r="H2869" t="n">
        <x:f>ROUND(F2869*G2869/100,2)</x:f>
        <x:v>45</x:v>
      </x:c>
      <x:c r="I2869" t="n">
        <x:v>0</x:v>
      </x:c>
      <x:c r="J2869" t="n">
        <x:f>ROUND(F2869*I2869/100,2)</x:f>
        <x:v>0</x:v>
      </x:c>
      <x:c r="K2869" t="n">
        <x:v>0</x:v>
      </x:c>
      <x:c r="L2869" t="n">
        <x:f>ROUND(F2869*K2869/100,2)</x:f>
        <x:v>0</x:v>
      </x:c>
      <x:c r="M2869" t="n">
        <x:v>100</x:v>
      </x:c>
      <x:c r="N2869" t="n">
        <x:f>ROUND(F2869*M2869/100,2)</x:f>
        <x:v>5</x:v>
      </x:c>
      <x:c r="O2869" t="str">
        <x:v>实际用油重</x:v>
      </x:c>
    </x:row>
    <x:row r="2870" ht="23" customHeight="1">
      <x:c r="A2870" t="n">
        <x:v>479</x:v>
      </x:c>
      <x:c r="B2870" t="n">
        <x:v>240</x:v>
      </x:c>
      <x:c r="C2870" t="str">
        <x:v>午餐</x:v>
      </x:c>
      <x:c r="D2870" t="str">
        <x:v>海鲜</x:v>
      </x:c>
      <x:c r="E2870" t="str">
        <x:v>虾仁</x:v>
      </x:c>
      <x:c r="F2870" t="n">
        <x:v>175</x:v>
      </x:c>
      <x:c r="G2870" t="n">
        <x:v>90</x:v>
      </x:c>
      <x:c r="H2870" t="n">
        <x:f>ROUND(F2870*G2870/100,2)</x:f>
        <x:v>157.5</x:v>
      </x:c>
      <x:c r="I2870" t="n">
        <x:v>19</x:v>
      </x:c>
      <x:c r="J2870" t="n">
        <x:f>ROUND(F2870*I2870/100,2)</x:f>
        <x:v>33.25</x:v>
      </x:c>
      <x:c r="K2870" t="n">
        <x:v>0.4</x:v>
      </x:c>
      <x:c r="L2870" t="n">
        <x:f>ROUND(F2870*K2870/100,2)</x:f>
        <x:v>0.7</x:v>
      </x:c>
      <x:c r="M2870" t="n">
        <x:v>1.1</x:v>
      </x:c>
      <x:c r="N2870" t="n">
        <x:f>ROUND(F2870*M2870/100,2)</x:f>
        <x:v>1.93</x:v>
      </x:c>
      <x:c r="O2870" t="str">
        <x:v>生重</x:v>
      </x:c>
    </x:row>
    <x:row r="2871" ht="23" customHeight="1">
      <x:c r="A2871" t="n">
        <x:v>479</x:v>
      </x:c>
      <x:c r="B2871" t="n">
        <x:v>240</x:v>
      </x:c>
      <x:c r="C2871" t="str">
        <x:v>午餐</x:v>
      </x:c>
      <x:c r="D2871" t="str"/>
      <x:c r="E2871" t="str"/>
      <x:c r="F2871" t="n">
        <x:v>0</x:v>
      </x:c>
      <x:c r="G2871" t="n">
        <x:v>0</x:v>
      </x:c>
      <x:c r="H2871" t="n">
        <x:f>ROUND(F2871*G2871/100,2)</x:f>
        <x:v>0</x:v>
      </x:c>
      <x:c r="I2871" t="n">
        <x:v>0</x:v>
      </x:c>
      <x:c r="J2871" t="n">
        <x:f>ROUND(F2871*I2871/100,2)</x:f>
        <x:v>0</x:v>
      </x:c>
      <x:c r="K2871" t="n">
        <x:v>0</x:v>
      </x:c>
      <x:c r="L2871" t="n">
        <x:f>ROUND(F2871*K2871/100,2)</x:f>
        <x:v>0</x:v>
      </x:c>
      <x:c r="M2871" t="n">
        <x:v>0</x:v>
      </x:c>
      <x:c r="N2871" t="n">
        <x:f>ROUND(F2871*M2871/100,2)</x:f>
        <x:v>0</x:v>
      </x:c>
      <x:c r="O2871" t="str"/>
    </x:row>
    <x:row r="2872" ht="23" customHeight="1">
      <x:c r="A2872" t="n">
        <x:v>479</x:v>
      </x:c>
      <x:c r="B2872" t="n">
        <x:v>240</x:v>
      </x:c>
      <x:c r="C2872" t="str">
        <x:v>午餐</x:v>
      </x:c>
      <x:c r="D2872" t="str">
        <x:v>蔬菜</x:v>
      </x:c>
      <x:c r="E2872" t="str">
        <x:v>油麦菜</x:v>
      </x:c>
      <x:c r="F2872" t="n">
        <x:v>140</x:v>
      </x:c>
      <x:c r="G2872" t="n">
        <x:v>18</x:v>
      </x:c>
      <x:c r="H2872" t="n">
        <x:f>ROUND(F2872*G2872/100,2)</x:f>
        <x:v>25.2</x:v>
      </x:c>
      <x:c r="I2872" t="n">
        <x:v>1.4</x:v>
      </x:c>
      <x:c r="J2872" t="n">
        <x:f>ROUND(F2872*I2872/100,2)</x:f>
        <x:v>1.96</x:v>
      </x:c>
      <x:c r="K2872" t="n">
        <x:v>3.1</x:v>
      </x:c>
      <x:c r="L2872" t="n">
        <x:f>ROUND(F2872*K2872/100,2)</x:f>
        <x:v>4.34</x:v>
      </x:c>
      <x:c r="M2872" t="n">
        <x:v>0.2</x:v>
      </x:c>
      <x:c r="N2872" t="n">
        <x:f>ROUND(F2872*M2872/100,2)</x:f>
        <x:v>0.28</x:v>
      </x:c>
      <x:c r="O2872" t="str">
        <x:v>生重</x:v>
      </x:c>
    </x:row>
    <x:row r="2873" ht="23" customHeight="1">
      <x:c r="A2873" t="n">
        <x:v>479</x:v>
      </x:c>
      <x:c r="B2873" t="n">
        <x:v>240</x:v>
      </x:c>
      <x:c r="C2873" t="str">
        <x:v>午餐</x:v>
      </x:c>
      <x:c r="D2873" t="str">
        <x:v>菌菇</x:v>
      </x:c>
      <x:c r="E2873" t="str">
        <x:v>口蘑</x:v>
      </x:c>
      <x:c r="F2873" t="n">
        <x:v>125</x:v>
      </x:c>
      <x:c r="G2873" t="n">
        <x:v>22</x:v>
      </x:c>
      <x:c r="H2873" t="n">
        <x:f>ROUND(F2873*G2873/100,2)</x:f>
        <x:v>27.5</x:v>
      </x:c>
      <x:c r="I2873" t="n">
        <x:v>3.1</x:v>
      </x:c>
      <x:c r="J2873" t="n">
        <x:f>ROUND(F2873*I2873/100,2)</x:f>
        <x:v>3.88</x:v>
      </x:c>
      <x:c r="K2873" t="n">
        <x:v>3.3</x:v>
      </x:c>
      <x:c r="L2873" t="n">
        <x:f>ROUND(F2873*K2873/100,2)</x:f>
        <x:v>4.13</x:v>
      </x:c>
      <x:c r="M2873" t="n">
        <x:v>0.3</x:v>
      </x:c>
      <x:c r="N2873" t="n">
        <x:f>ROUND(F2873*M2873/100,2)</x:f>
        <x:v>0.38</x:v>
      </x:c>
      <x:c r="O2873" t="str">
        <x:v>生重</x:v>
      </x:c>
    </x:row>
    <x:row r="2874" ht="23" customHeight="1">
      <x:c r="A2874" t="n">
        <x:v>479</x:v>
      </x:c>
      <x:c r="B2874" t="n">
        <x:v>240</x:v>
      </x:c>
      <x:c r="C2874" t="str">
        <x:v>午餐</x:v>
      </x:c>
      <x:c r="D2874" t="str">
        <x:v>主食</x:v>
      </x:c>
      <x:c r="E2874" t="str">
        <x:v>杂粮饭</x:v>
      </x:c>
      <x:c r="F2874" t="n">
        <x:v>135</x:v>
      </x:c>
      <x:c r="G2874" t="n">
        <x:v>115</x:v>
      </x:c>
      <x:c r="H2874" t="n">
        <x:f>ROUND(F2874*G2874/100,2)</x:f>
        <x:v>155.25</x:v>
      </x:c>
      <x:c r="I2874" t="n">
        <x:v>3.1</x:v>
      </x:c>
      <x:c r="J2874" t="n">
        <x:f>ROUND(F2874*I2874/100,2)</x:f>
        <x:v>4.18</x:v>
      </x:c>
      <x:c r="K2874" t="n">
        <x:v>23.5</x:v>
      </x:c>
      <x:c r="L2874" t="n">
        <x:f>ROUND(F2874*K2874/100,2)</x:f>
        <x:v>31.73</x:v>
      </x:c>
      <x:c r="M2874" t="n">
        <x:v>1.1</x:v>
      </x:c>
      <x:c r="N2874" t="n">
        <x:f>ROUND(F2874*M2874/100,2)</x:f>
        <x:v>1.49</x:v>
      </x:c>
      <x:c r="O2874" t="str">
        <x:v>熟重</x:v>
      </x:c>
    </x:row>
    <x:row r="2875" ht="23" customHeight="1">
      <x:c r="A2875" t="n">
        <x:v>479</x:v>
      </x:c>
      <x:c r="B2875" t="n">
        <x:v>240</x:v>
      </x:c>
      <x:c r="C2875" t="str">
        <x:v>午餐</x:v>
      </x:c>
      <x:c r="D2875" t="str">
        <x:v>油脂</x:v>
      </x:c>
      <x:c r="E2875" t="str">
        <x:v>烹调油</x:v>
      </x:c>
      <x:c r="F2875" t="n">
        <x:v>5</x:v>
      </x:c>
      <x:c r="G2875" t="n">
        <x:v>900</x:v>
      </x:c>
      <x:c r="H2875" t="n">
        <x:f>ROUND(F2875*G2875/100,2)</x:f>
        <x:v>45</x:v>
      </x:c>
      <x:c r="I2875" t="n">
        <x:v>0</x:v>
      </x:c>
      <x:c r="J2875" t="n">
        <x:f>ROUND(F2875*I2875/100,2)</x:f>
        <x:v>0</x:v>
      </x:c>
      <x:c r="K2875" t="n">
        <x:v>0</x:v>
      </x:c>
      <x:c r="L2875" t="n">
        <x:f>ROUND(F2875*K2875/100,2)</x:f>
        <x:v>0</x:v>
      </x:c>
      <x:c r="M2875" t="n">
        <x:v>100</x:v>
      </x:c>
      <x:c r="N2875" t="n">
        <x:f>ROUND(F2875*M2875/100,2)</x:f>
        <x:v>5</x:v>
      </x:c>
      <x:c r="O2875" t="str">
        <x:v>实际用油重</x:v>
      </x:c>
    </x:row>
    <x:row r="2876" ht="23" customHeight="1">
      <x:c r="A2876" t="n">
        <x:v>480</x:v>
      </x:c>
      <x:c r="B2876" t="n">
        <x:v>240</x:v>
      </x:c>
      <x:c r="C2876" t="str">
        <x:v>晚餐</x:v>
      </x:c>
      <x:c r="D2876" t="str">
        <x:v>鱼类</x:v>
      </x:c>
      <x:c r="E2876" t="str">
        <x:v>鲈鱼</x:v>
      </x:c>
      <x:c r="F2876" t="n">
        <x:v>185</x:v>
      </x:c>
      <x:c r="G2876" t="n">
        <x:v>105</x:v>
      </x:c>
      <x:c r="H2876" t="n">
        <x:f>ROUND(F2876*G2876/100,2)</x:f>
        <x:v>194.25</x:v>
      </x:c>
      <x:c r="I2876" t="n">
        <x:v>19</x:v>
      </x:c>
      <x:c r="J2876" t="n">
        <x:f>ROUND(F2876*I2876/100,2)</x:f>
        <x:v>35.15</x:v>
      </x:c>
      <x:c r="K2876" t="n">
        <x:v>0</x:v>
      </x:c>
      <x:c r="L2876" t="n">
        <x:f>ROUND(F2876*K2876/100,2)</x:f>
        <x:v>0</x:v>
      </x:c>
      <x:c r="M2876" t="n">
        <x:v>3</x:v>
      </x:c>
      <x:c r="N2876" t="n">
        <x:f>ROUND(F2876*M2876/100,2)</x:f>
        <x:v>5.55</x:v>
      </x:c>
      <x:c r="O2876" t="str">
        <x:v>净鱼肉生重</x:v>
      </x:c>
    </x:row>
    <x:row r="2877" ht="23" customHeight="1">
      <x:c r="A2877" t="n">
        <x:v>480</x:v>
      </x:c>
      <x:c r="B2877" t="n">
        <x:v>240</x:v>
      </x:c>
      <x:c r="C2877" t="str">
        <x:v>晚餐</x:v>
      </x:c>
      <x:c r="D2877" t="str"/>
      <x:c r="E2877" t="str"/>
      <x:c r="F2877" t="n">
        <x:v>0</x:v>
      </x:c>
      <x:c r="G2877" t="n">
        <x:v>0</x:v>
      </x:c>
      <x:c r="H2877" t="n">
        <x:f>ROUND(F2877*G2877/100,2)</x:f>
        <x:v>0</x:v>
      </x:c>
      <x:c r="I2877" t="n">
        <x:v>0</x:v>
      </x:c>
      <x:c r="J2877" t="n">
        <x:f>ROUND(F2877*I2877/100,2)</x:f>
        <x:v>0</x:v>
      </x:c>
      <x:c r="K2877" t="n">
        <x:v>0</x:v>
      </x:c>
      <x:c r="L2877" t="n">
        <x:f>ROUND(F2877*K2877/100,2)</x:f>
        <x:v>0</x:v>
      </x:c>
      <x:c r="M2877" t="n">
        <x:v>0</x:v>
      </x:c>
      <x:c r="N2877" t="n">
        <x:f>ROUND(F2877*M2877/100,2)</x:f>
        <x:v>0</x:v>
      </x:c>
      <x:c r="O2877" t="str"/>
    </x:row>
    <x:row r="2878" ht="23" customHeight="1">
      <x:c r="A2878" t="n">
        <x:v>480</x:v>
      </x:c>
      <x:c r="B2878" t="n">
        <x:v>240</x:v>
      </x:c>
      <x:c r="C2878" t="str">
        <x:v>晚餐</x:v>
      </x:c>
      <x:c r="D2878" t="str">
        <x:v>蔬菜</x:v>
      </x:c>
      <x:c r="E2878" t="str">
        <x:v>黄瓜</x:v>
      </x:c>
      <x:c r="F2878" t="n">
        <x:v>175</x:v>
      </x:c>
      <x:c r="G2878" t="n">
        <x:v>16</x:v>
      </x:c>
      <x:c r="H2878" t="n">
        <x:f>ROUND(F2878*G2878/100,2)</x:f>
        <x:v>28</x:v>
      </x:c>
      <x:c r="I2878" t="n">
        <x:v>0.7</x:v>
      </x:c>
      <x:c r="J2878" t="n">
        <x:f>ROUND(F2878*I2878/100,2)</x:f>
        <x:v>1.22</x:v>
      </x:c>
      <x:c r="K2878" t="n">
        <x:v>3.6</x:v>
      </x:c>
      <x:c r="L2878" t="n">
        <x:f>ROUND(F2878*K2878/100,2)</x:f>
        <x:v>6.3</x:v>
      </x:c>
      <x:c r="M2878" t="n">
        <x:v>0.1</x:v>
      </x:c>
      <x:c r="N2878" t="n">
        <x:f>ROUND(F2878*M2878/100,2)</x:f>
        <x:v>0.18</x:v>
      </x:c>
      <x:c r="O2878" t="str">
        <x:v>生重</x:v>
      </x:c>
    </x:row>
    <x:row r="2879" ht="23" customHeight="1">
      <x:c r="A2879" t="n">
        <x:v>480</x:v>
      </x:c>
      <x:c r="B2879" t="n">
        <x:v>240</x:v>
      </x:c>
      <x:c r="C2879" t="str">
        <x:v>晚餐</x:v>
      </x:c>
      <x:c r="D2879" t="str">
        <x:v>蔬菜</x:v>
      </x:c>
      <x:c r="E2879" t="str">
        <x:v>小白菜</x:v>
      </x:c>
      <x:c r="F2879" t="n">
        <x:v>125</x:v>
      </x:c>
      <x:c r="G2879" t="n">
        <x:v>17</x:v>
      </x:c>
      <x:c r="H2879" t="n">
        <x:f>ROUND(F2879*G2879/100,2)</x:f>
        <x:v>21.25</x:v>
      </x:c>
      <x:c r="I2879" t="n">
        <x:v>1.6</x:v>
      </x:c>
      <x:c r="J2879" t="n">
        <x:f>ROUND(F2879*I2879/100,2)</x:f>
        <x:v>2</x:v>
      </x:c>
      <x:c r="K2879" t="n">
        <x:v>2.8</x:v>
      </x:c>
      <x:c r="L2879" t="n">
        <x:f>ROUND(F2879*K2879/100,2)</x:f>
        <x:v>3.5</x:v>
      </x:c>
      <x:c r="M2879" t="n">
        <x:v>0.2</x:v>
      </x:c>
      <x:c r="N2879" t="n">
        <x:f>ROUND(F2879*M2879/100,2)</x:f>
        <x:v>0.25</x:v>
      </x:c>
      <x:c r="O2879" t="str">
        <x:v>生重</x:v>
      </x:c>
    </x:row>
    <x:row r="2880" ht="23" customHeight="1">
      <x:c r="A2880" t="n">
        <x:v>480</x:v>
      </x:c>
      <x:c r="B2880" t="n">
        <x:v>240</x:v>
      </x:c>
      <x:c r="C2880" t="str">
        <x:v>晚餐</x:v>
      </x:c>
      <x:c r="D2880" t="str">
        <x:v>主食</x:v>
      </x:c>
      <x:c r="E2880" t="str">
        <x:v>燕麦饭</x:v>
      </x:c>
      <x:c r="F2880" t="n">
        <x:v>135</x:v>
      </x:c>
      <x:c r="G2880" t="n">
        <x:v>110</x:v>
      </x:c>
      <x:c r="H2880" t="n">
        <x:f>ROUND(F2880*G2880/100,2)</x:f>
        <x:v>148.5</x:v>
      </x:c>
      <x:c r="I2880" t="n">
        <x:v>3.2</x:v>
      </x:c>
      <x:c r="J2880" t="n">
        <x:f>ROUND(F2880*I2880/100,2)</x:f>
        <x:v>4.32</x:v>
      </x:c>
      <x:c r="K2880" t="n">
        <x:v>21</x:v>
      </x:c>
      <x:c r="L2880" t="n">
        <x:f>ROUND(F2880*K2880/100,2)</x:f>
        <x:v>28.35</x:v>
      </x:c>
      <x:c r="M2880" t="n">
        <x:v>1.8</x:v>
      </x:c>
      <x:c r="N2880" t="n">
        <x:f>ROUND(F2880*M2880/100,2)</x:f>
        <x:v>2.43</x:v>
      </x:c>
      <x:c r="O2880" t="str">
        <x:v>熟重</x:v>
      </x:c>
    </x:row>
    <x:row r="2881" ht="23" customHeight="1">
      <x:c r="A2881" t="n">
        <x:v>480</x:v>
      </x:c>
      <x:c r="B2881" t="n">
        <x:v>240</x:v>
      </x:c>
      <x:c r="C2881" t="str">
        <x:v>晚餐</x:v>
      </x:c>
      <x:c r="D2881" t="str">
        <x:v>油脂</x:v>
      </x:c>
      <x:c r="E2881" t="str">
        <x:v>烹调油</x:v>
      </x:c>
      <x:c r="F2881" t="n">
        <x:v>6</x:v>
      </x:c>
      <x:c r="G2881" t="n">
        <x:v>900</x:v>
      </x:c>
      <x:c r="H2881" t="n">
        <x:f>ROUND(F2881*G2881/100,2)</x:f>
        <x:v>54</x:v>
      </x:c>
      <x:c r="I2881" t="n">
        <x:v>0</x:v>
      </x:c>
      <x:c r="J2881" t="n">
        <x:f>ROUND(F2881*I2881/100,2)</x:f>
        <x:v>0</x:v>
      </x:c>
      <x:c r="K2881" t="n">
        <x:v>0</x:v>
      </x:c>
      <x:c r="L2881" t="n">
        <x:f>ROUND(F2881*K2881/100,2)</x:f>
        <x:v>0</x:v>
      </x:c>
      <x:c r="M2881" t="n">
        <x:v>100</x:v>
      </x:c>
      <x:c r="N2881" t="n">
        <x:f>ROUND(F2881*M2881/100,2)</x:f>
        <x:v>6</x:v>
      </x:c>
      <x:c r="O2881" t="str">
        <x:v>实际用油重</x:v>
      </x:c>
    </x:row>
    <x:row r="2882" ht="23" customHeight="1">
      <x:c r="A2882" t="n">
        <x:v>481</x:v>
      </x:c>
      <x:c r="B2882" t="n">
        <x:v>241</x:v>
      </x:c>
      <x:c r="C2882" t="str">
        <x:v>午餐</x:v>
      </x:c>
      <x:c r="D2882" t="str">
        <x:v>牛肉</x:v>
      </x:c>
      <x:c r="E2882" t="str">
        <x:v>牛腱子</x:v>
      </x:c>
      <x:c r="F2882" t="n">
        <x:v>155</x:v>
      </x:c>
      <x:c r="G2882" t="n">
        <x:v>140</x:v>
      </x:c>
      <x:c r="H2882" t="n">
        <x:f>ROUND(F2882*G2882/100,2)</x:f>
        <x:v>217</x:v>
      </x:c>
      <x:c r="I2882" t="n">
        <x:v>21</x:v>
      </x:c>
      <x:c r="J2882" t="n">
        <x:f>ROUND(F2882*I2882/100,2)</x:f>
        <x:v>32.55</x:v>
      </x:c>
      <x:c r="K2882" t="n">
        <x:v>0</x:v>
      </x:c>
      <x:c r="L2882" t="n">
        <x:f>ROUND(F2882*K2882/100,2)</x:f>
        <x:v>0</x:v>
      </x:c>
      <x:c r="M2882" t="n">
        <x:v>6</x:v>
      </x:c>
      <x:c r="N2882" t="n">
        <x:f>ROUND(F2882*M2882/100,2)</x:f>
        <x:v>9.3</x:v>
      </x:c>
      <x:c r="O2882" t="str">
        <x:v>生重</x:v>
      </x:c>
    </x:row>
    <x:row r="2883" ht="23" customHeight="1">
      <x:c r="A2883" t="n">
        <x:v>481</x:v>
      </x:c>
      <x:c r="B2883" t="n">
        <x:v>241</x:v>
      </x:c>
      <x:c r="C2883" t="str">
        <x:v>午餐</x:v>
      </x:c>
      <x:c r="D2883" t="str"/>
      <x:c r="E2883" t="str"/>
      <x:c r="F2883" t="n">
        <x:v>0</x:v>
      </x:c>
      <x:c r="G2883" t="n">
        <x:v>0</x:v>
      </x:c>
      <x:c r="H2883" t="n">
        <x:f>ROUND(F2883*G2883/100,2)</x:f>
        <x:v>0</x:v>
      </x:c>
      <x:c r="I2883" t="n">
        <x:v>0</x:v>
      </x:c>
      <x:c r="J2883" t="n">
        <x:f>ROUND(F2883*I2883/100,2)</x:f>
        <x:v>0</x:v>
      </x:c>
      <x:c r="K2883" t="n">
        <x:v>0</x:v>
      </x:c>
      <x:c r="L2883" t="n">
        <x:f>ROUND(F2883*K2883/100,2)</x:f>
        <x:v>0</x:v>
      </x:c>
      <x:c r="M2883" t="n">
        <x:v>0</x:v>
      </x:c>
      <x:c r="N2883" t="n">
        <x:f>ROUND(F2883*M2883/100,2)</x:f>
        <x:v>0</x:v>
      </x:c>
      <x:c r="O2883" t="str"/>
    </x:row>
    <x:row r="2884" ht="23" customHeight="1">
      <x:c r="A2884" t="n">
        <x:v>481</x:v>
      </x:c>
      <x:c r="B2884" t="n">
        <x:v>241</x:v>
      </x:c>
      <x:c r="C2884" t="str">
        <x:v>午餐</x:v>
      </x:c>
      <x:c r="D2884" t="str">
        <x:v>蔬菜</x:v>
      </x:c>
      <x:c r="E2884" t="str">
        <x:v>番茄</x:v>
      </x:c>
      <x:c r="F2884" t="n">
        <x:v>175</x:v>
      </x:c>
      <x:c r="G2884" t="n">
        <x:v>20</x:v>
      </x:c>
      <x:c r="H2884" t="n">
        <x:f>ROUND(F2884*G2884/100,2)</x:f>
        <x:v>35</x:v>
      </x:c>
      <x:c r="I2884" t="n">
        <x:v>0.9</x:v>
      </x:c>
      <x:c r="J2884" t="n">
        <x:f>ROUND(F2884*I2884/100,2)</x:f>
        <x:v>1.58</x:v>
      </x:c>
      <x:c r="K2884" t="n">
        <x:v>4</x:v>
      </x:c>
      <x:c r="L2884" t="n">
        <x:f>ROUND(F2884*K2884/100,2)</x:f>
        <x:v>7</x:v>
      </x:c>
      <x:c r="M2884" t="n">
        <x:v>0.2</x:v>
      </x:c>
      <x:c r="N2884" t="n">
        <x:f>ROUND(F2884*M2884/100,2)</x:f>
        <x:v>0.35</x:v>
      </x:c>
      <x:c r="O2884" t="str">
        <x:v>生重</x:v>
      </x:c>
    </x:row>
    <x:row r="2885" ht="23" customHeight="1">
      <x:c r="A2885" t="n">
        <x:v>481</x:v>
      </x:c>
      <x:c r="B2885" t="n">
        <x:v>241</x:v>
      </x:c>
      <x:c r="C2885" t="str">
        <x:v>午餐</x:v>
      </x:c>
      <x:c r="D2885" t="str">
        <x:v>蔬菜</x:v>
      </x:c>
      <x:c r="E2885" t="str">
        <x:v>白萝卜</x:v>
      </x:c>
      <x:c r="F2885" t="n">
        <x:v>155</x:v>
      </x:c>
      <x:c r="G2885" t="n">
        <x:v>18</x:v>
      </x:c>
      <x:c r="H2885" t="n">
        <x:f>ROUND(F2885*G2885/100,2)</x:f>
        <x:v>27.9</x:v>
      </x:c>
      <x:c r="I2885" t="n">
        <x:v>0.6</x:v>
      </x:c>
      <x:c r="J2885" t="n">
        <x:f>ROUND(F2885*I2885/100,2)</x:f>
        <x:v>0.93</x:v>
      </x:c>
      <x:c r="K2885" t="n">
        <x:v>4</x:v>
      </x:c>
      <x:c r="L2885" t="n">
        <x:f>ROUND(F2885*K2885/100,2)</x:f>
        <x:v>6.2</x:v>
      </x:c>
      <x:c r="M2885" t="n">
        <x:v>0.1</x:v>
      </x:c>
      <x:c r="N2885" t="n">
        <x:f>ROUND(F2885*M2885/100,2)</x:f>
        <x:v>0.16</x:v>
      </x:c>
      <x:c r="O2885" t="str">
        <x:v>生重</x:v>
      </x:c>
    </x:row>
    <x:row r="2886" ht="23" customHeight="1">
      <x:c r="A2886" t="n">
        <x:v>481</x:v>
      </x:c>
      <x:c r="B2886" t="n">
        <x:v>241</x:v>
      </x:c>
      <x:c r="C2886" t="str">
        <x:v>午餐</x:v>
      </x:c>
      <x:c r="D2886" t="str">
        <x:v>主食</x:v>
      </x:c>
      <x:c r="E2886" t="str">
        <x:v>糙米饭</x:v>
      </x:c>
      <x:c r="F2886" t="n">
        <x:v>135</x:v>
      </x:c>
      <x:c r="G2886" t="n">
        <x:v>112</x:v>
      </x:c>
      <x:c r="H2886" t="n">
        <x:f>ROUND(F2886*G2886/100,2)</x:f>
        <x:v>151.2</x:v>
      </x:c>
      <x:c r="I2886" t="n">
        <x:v>2.6</x:v>
      </x:c>
      <x:c r="J2886" t="n">
        <x:f>ROUND(F2886*I2886/100,2)</x:f>
        <x:v>3.51</x:v>
      </x:c>
      <x:c r="K2886" t="n">
        <x:v>23.5</x:v>
      </x:c>
      <x:c r="L2886" t="n">
        <x:f>ROUND(F2886*K2886/100,2)</x:f>
        <x:v>31.73</x:v>
      </x:c>
      <x:c r="M2886" t="n">
        <x:v>0.9</x:v>
      </x:c>
      <x:c r="N2886" t="n">
        <x:f>ROUND(F2886*M2886/100,2)</x:f>
        <x:v>1.22</x:v>
      </x:c>
      <x:c r="O2886" t="str">
        <x:v>熟重</x:v>
      </x:c>
    </x:row>
    <x:row r="2887" ht="23" customHeight="1">
      <x:c r="A2887" t="n">
        <x:v>481</x:v>
      </x:c>
      <x:c r="B2887" t="n">
        <x:v>241</x:v>
      </x:c>
      <x:c r="C2887" t="str">
        <x:v>午餐</x:v>
      </x:c>
      <x:c r="D2887" t="str">
        <x:v>油脂</x:v>
      </x:c>
      <x:c r="E2887" t="str">
        <x:v>烹调油</x:v>
      </x:c>
      <x:c r="F2887" t="n">
        <x:v>6</x:v>
      </x:c>
      <x:c r="G2887" t="n">
        <x:v>900</x:v>
      </x:c>
      <x:c r="H2887" t="n">
        <x:f>ROUND(F2887*G2887/100,2)</x:f>
        <x:v>54</x:v>
      </x:c>
      <x:c r="I2887" t="n">
        <x:v>0</x:v>
      </x:c>
      <x:c r="J2887" t="n">
        <x:f>ROUND(F2887*I2887/100,2)</x:f>
        <x:v>0</x:v>
      </x:c>
      <x:c r="K2887" t="n">
        <x:v>0</x:v>
      </x:c>
      <x:c r="L2887" t="n">
        <x:f>ROUND(F2887*K2887/100,2)</x:f>
        <x:v>0</x:v>
      </x:c>
      <x:c r="M2887" t="n">
        <x:v>100</x:v>
      </x:c>
      <x:c r="N2887" t="n">
        <x:f>ROUND(F2887*M2887/100,2)</x:f>
        <x:v>6</x:v>
      </x:c>
      <x:c r="O2887" t="str">
        <x:v>实际用油重</x:v>
      </x:c>
    </x:row>
    <x:row r="2888" ht="23" customHeight="1">
      <x:c r="A2888" t="n">
        <x:v>482</x:v>
      </x:c>
      <x:c r="B2888" t="n">
        <x:v>241</x:v>
      </x:c>
      <x:c r="C2888" t="str">
        <x:v>晚餐</x:v>
      </x:c>
      <x:c r="D2888" t="str">
        <x:v>禽肉</x:v>
      </x:c>
      <x:c r="E2888" t="str">
        <x:v>鸡胸肉</x:v>
      </x:c>
      <x:c r="F2888" t="n">
        <x:v>145</x:v>
      </x:c>
      <x:c r="G2888" t="n">
        <x:v>110</x:v>
      </x:c>
      <x:c r="H2888" t="n">
        <x:f>ROUND(F2888*G2888/100,2)</x:f>
        <x:v>159.5</x:v>
      </x:c>
      <x:c r="I2888" t="n">
        <x:v>23</x:v>
      </x:c>
      <x:c r="J2888" t="n">
        <x:f>ROUND(F2888*I2888/100,2)</x:f>
        <x:v>33.35</x:v>
      </x:c>
      <x:c r="K2888" t="n">
        <x:v>0</x:v>
      </x:c>
      <x:c r="L2888" t="n">
        <x:f>ROUND(F2888*K2888/100,2)</x:f>
        <x:v>0</x:v>
      </x:c>
      <x:c r="M2888" t="n">
        <x:v>2</x:v>
      </x:c>
      <x:c r="N2888" t="n">
        <x:f>ROUND(F2888*M2888/100,2)</x:f>
        <x:v>2.9</x:v>
      </x:c>
      <x:c r="O2888" t="str">
        <x:v>生重</x:v>
      </x:c>
    </x:row>
    <x:row r="2889" ht="23" customHeight="1">
      <x:c r="A2889" t="n">
        <x:v>482</x:v>
      </x:c>
      <x:c r="B2889" t="n">
        <x:v>241</x:v>
      </x:c>
      <x:c r="C2889" t="str">
        <x:v>晚餐</x:v>
      </x:c>
      <x:c r="D2889" t="str"/>
      <x:c r="E2889" t="str"/>
      <x:c r="F2889" t="n">
        <x:v>0</x:v>
      </x:c>
      <x:c r="G2889" t="n">
        <x:v>0</x:v>
      </x:c>
      <x:c r="H2889" t="n">
        <x:f>ROUND(F2889*G2889/100,2)</x:f>
        <x:v>0</x:v>
      </x:c>
      <x:c r="I2889" t="n">
        <x:v>0</x:v>
      </x:c>
      <x:c r="J2889" t="n">
        <x:f>ROUND(F2889*I2889/100,2)</x:f>
        <x:v>0</x:v>
      </x:c>
      <x:c r="K2889" t="n">
        <x:v>0</x:v>
      </x:c>
      <x:c r="L2889" t="n">
        <x:f>ROUND(F2889*K2889/100,2)</x:f>
        <x:v>0</x:v>
      </x:c>
      <x:c r="M2889" t="n">
        <x:v>0</x:v>
      </x:c>
      <x:c r="N2889" t="n">
        <x:f>ROUND(F2889*M2889/100,2)</x:f>
        <x:v>0</x:v>
      </x:c>
      <x:c r="O2889" t="str"/>
    </x:row>
    <x:row r="2890" ht="23" customHeight="1">
      <x:c r="A2890" t="n">
        <x:v>482</x:v>
      </x:c>
      <x:c r="B2890" t="n">
        <x:v>241</x:v>
      </x:c>
      <x:c r="C2890" t="str">
        <x:v>晚餐</x:v>
      </x:c>
      <x:c r="D2890" t="str">
        <x:v>蔬菜</x:v>
      </x:c>
      <x:c r="E2890" t="str">
        <x:v>番茄</x:v>
      </x:c>
      <x:c r="F2890" t="n">
        <x:v>140</x:v>
      </x:c>
      <x:c r="G2890" t="n">
        <x:v>20</x:v>
      </x:c>
      <x:c r="H2890" t="n">
        <x:f>ROUND(F2890*G2890/100,2)</x:f>
        <x:v>28</x:v>
      </x:c>
      <x:c r="I2890" t="n">
        <x:v>0.9</x:v>
      </x:c>
      <x:c r="J2890" t="n">
        <x:f>ROUND(F2890*I2890/100,2)</x:f>
        <x:v>1.26</x:v>
      </x:c>
      <x:c r="K2890" t="n">
        <x:v>4</x:v>
      </x:c>
      <x:c r="L2890" t="n">
        <x:f>ROUND(F2890*K2890/100,2)</x:f>
        <x:v>5.6</x:v>
      </x:c>
      <x:c r="M2890" t="n">
        <x:v>0.2</x:v>
      </x:c>
      <x:c r="N2890" t="n">
        <x:f>ROUND(F2890*M2890/100,2)</x:f>
        <x:v>0.28</x:v>
      </x:c>
      <x:c r="O2890" t="str">
        <x:v>生重</x:v>
      </x:c>
    </x:row>
    <x:row r="2891" ht="23" customHeight="1">
      <x:c r="A2891" t="n">
        <x:v>482</x:v>
      </x:c>
      <x:c r="B2891" t="n">
        <x:v>241</x:v>
      </x:c>
      <x:c r="C2891" t="str">
        <x:v>晚餐</x:v>
      </x:c>
      <x:c r="D2891" t="str">
        <x:v>菌菇</x:v>
      </x:c>
      <x:c r="E2891" t="str">
        <x:v>香菇</x:v>
      </x:c>
      <x:c r="F2891" t="n">
        <x:v>155</x:v>
      </x:c>
      <x:c r="G2891" t="n">
        <x:v>34</x:v>
      </x:c>
      <x:c r="H2891" t="n">
        <x:f>ROUND(F2891*G2891/100,2)</x:f>
        <x:v>52.7</x:v>
      </x:c>
      <x:c r="I2891" t="n">
        <x:v>2.2</x:v>
      </x:c>
      <x:c r="J2891" t="n">
        <x:f>ROUND(F2891*I2891/100,2)</x:f>
        <x:v>3.41</x:v>
      </x:c>
      <x:c r="K2891" t="n">
        <x:v>6.8</x:v>
      </x:c>
      <x:c r="L2891" t="n">
        <x:f>ROUND(F2891*K2891/100,2)</x:f>
        <x:v>10.54</x:v>
      </x:c>
      <x:c r="M2891" t="n">
        <x:v>0.5</x:v>
      </x:c>
      <x:c r="N2891" t="n">
        <x:f>ROUND(F2891*M2891/100,2)</x:f>
        <x:v>0.78</x:v>
      </x:c>
      <x:c r="O2891" t="str">
        <x:v>生重</x:v>
      </x:c>
    </x:row>
    <x:row r="2892" ht="23" customHeight="1">
      <x:c r="A2892" t="n">
        <x:v>482</x:v>
      </x:c>
      <x:c r="B2892" t="n">
        <x:v>241</x:v>
      </x:c>
      <x:c r="C2892" t="str">
        <x:v>晚餐</x:v>
      </x:c>
      <x:c r="D2892" t="str">
        <x:v>主食</x:v>
      </x:c>
      <x:c r="E2892" t="str">
        <x:v>藜麦饭</x:v>
      </x:c>
      <x:c r="F2892" t="n">
        <x:v>125</x:v>
      </x:c>
      <x:c r="G2892" t="n">
        <x:v>120</x:v>
      </x:c>
      <x:c r="H2892" t="n">
        <x:f>ROUND(F2892*G2892/100,2)</x:f>
        <x:v>150</x:v>
      </x:c>
      <x:c r="I2892" t="n">
        <x:v>4.4</x:v>
      </x:c>
      <x:c r="J2892" t="n">
        <x:f>ROUND(F2892*I2892/100,2)</x:f>
        <x:v>5.5</x:v>
      </x:c>
      <x:c r="K2892" t="n">
        <x:v>21.3</x:v>
      </x:c>
      <x:c r="L2892" t="n">
        <x:f>ROUND(F2892*K2892/100,2)</x:f>
        <x:v>26.63</x:v>
      </x:c>
      <x:c r="M2892" t="n">
        <x:v>1.9</x:v>
      </x:c>
      <x:c r="N2892" t="n">
        <x:f>ROUND(F2892*M2892/100,2)</x:f>
        <x:v>2.38</x:v>
      </x:c>
      <x:c r="O2892" t="str">
        <x:v>熟重</x:v>
      </x:c>
    </x:row>
    <x:row r="2893" ht="23" customHeight="1">
      <x:c r="A2893" t="n">
        <x:v>482</x:v>
      </x:c>
      <x:c r="B2893" t="n">
        <x:v>241</x:v>
      </x:c>
      <x:c r="C2893" t="str">
        <x:v>晚餐</x:v>
      </x:c>
      <x:c r="D2893" t="str">
        <x:v>油脂</x:v>
      </x:c>
      <x:c r="E2893" t="str">
        <x:v>烹调油</x:v>
      </x:c>
      <x:c r="F2893" t="n">
        <x:v>5</x:v>
      </x:c>
      <x:c r="G2893" t="n">
        <x:v>900</x:v>
      </x:c>
      <x:c r="H2893" t="n">
        <x:f>ROUND(F2893*G2893/100,2)</x:f>
        <x:v>45</x:v>
      </x:c>
      <x:c r="I2893" t="n">
        <x:v>0</x:v>
      </x:c>
      <x:c r="J2893" t="n">
        <x:f>ROUND(F2893*I2893/100,2)</x:f>
        <x:v>0</x:v>
      </x:c>
      <x:c r="K2893" t="n">
        <x:v>0</x:v>
      </x:c>
      <x:c r="L2893" t="n">
        <x:f>ROUND(F2893*K2893/100,2)</x:f>
        <x:v>0</x:v>
      </x:c>
      <x:c r="M2893" t="n">
        <x:v>100</x:v>
      </x:c>
      <x:c r="N2893" t="n">
        <x:f>ROUND(F2893*M2893/100,2)</x:f>
        <x:v>5</x:v>
      </x:c>
      <x:c r="O2893" t="str">
        <x:v>实际用油重</x:v>
      </x:c>
    </x:row>
    <x:row r="2894" ht="23" customHeight="1">
      <x:c r="A2894" t="n">
        <x:v>483</x:v>
      </x:c>
      <x:c r="B2894" t="n">
        <x:v>242</x:v>
      </x:c>
      <x:c r="C2894" t="str">
        <x:v>午餐</x:v>
      </x:c>
      <x:c r="D2894" t="str">
        <x:v>禽肉</x:v>
      </x:c>
      <x:c r="E2894" t="str">
        <x:v>鸡胸肉</x:v>
      </x:c>
      <x:c r="F2894" t="n">
        <x:v>185</x:v>
      </x:c>
      <x:c r="G2894" t="n">
        <x:v>110</x:v>
      </x:c>
      <x:c r="H2894" t="n">
        <x:f>ROUND(F2894*G2894/100,2)</x:f>
        <x:v>203.5</x:v>
      </x:c>
      <x:c r="I2894" t="n">
        <x:v>23</x:v>
      </x:c>
      <x:c r="J2894" t="n">
        <x:f>ROUND(F2894*I2894/100,2)</x:f>
        <x:v>42.55</x:v>
      </x:c>
      <x:c r="K2894" t="n">
        <x:v>0</x:v>
      </x:c>
      <x:c r="L2894" t="n">
        <x:f>ROUND(F2894*K2894/100,2)</x:f>
        <x:v>0</x:v>
      </x:c>
      <x:c r="M2894" t="n">
        <x:v>2</x:v>
      </x:c>
      <x:c r="N2894" t="n">
        <x:f>ROUND(F2894*M2894/100,2)</x:f>
        <x:v>3.7</x:v>
      </x:c>
      <x:c r="O2894" t="str">
        <x:v>生重</x:v>
      </x:c>
    </x:row>
    <x:row r="2895" ht="23" customHeight="1">
      <x:c r="A2895" t="n">
        <x:v>483</x:v>
      </x:c>
      <x:c r="B2895" t="n">
        <x:v>242</x:v>
      </x:c>
      <x:c r="C2895" t="str">
        <x:v>午餐</x:v>
      </x:c>
      <x:c r="D2895" t="str">
        <x:v>豆蛋</x:v>
      </x:c>
      <x:c r="E2895" t="str">
        <x:v>熟毛豆仁</x:v>
      </x:c>
      <x:c r="F2895" t="n">
        <x:v>50</x:v>
      </x:c>
      <x:c r="G2895" t="n">
        <x:v>120</x:v>
      </x:c>
      <x:c r="H2895" t="n">
        <x:f>ROUND(F2895*G2895/100,2)</x:f>
        <x:v>60</x:v>
      </x:c>
      <x:c r="I2895" t="n">
        <x:v>12</x:v>
      </x:c>
      <x:c r="J2895" t="n">
        <x:f>ROUND(F2895*I2895/100,2)</x:f>
        <x:v>6</x:v>
      </x:c>
      <x:c r="K2895" t="n">
        <x:v>9</x:v>
      </x:c>
      <x:c r="L2895" t="n">
        <x:f>ROUND(F2895*K2895/100,2)</x:f>
        <x:v>4.5</x:v>
      </x:c>
      <x:c r="M2895" t="n">
        <x:v>5</x:v>
      </x:c>
      <x:c r="N2895" t="n">
        <x:f>ROUND(F2895*M2895/100,2)</x:f>
        <x:v>2.5</x:v>
      </x:c>
      <x:c r="O2895" t="str">
        <x:v>熟重</x:v>
      </x:c>
    </x:row>
    <x:row r="2896" ht="23" customHeight="1">
      <x:c r="A2896" t="n">
        <x:v>483</x:v>
      </x:c>
      <x:c r="B2896" t="n">
        <x:v>242</x:v>
      </x:c>
      <x:c r="C2896" t="str">
        <x:v>午餐</x:v>
      </x:c>
      <x:c r="D2896" t="str">
        <x:v>蔬菜</x:v>
      </x:c>
      <x:c r="E2896" t="str">
        <x:v>四季豆</x:v>
      </x:c>
      <x:c r="F2896" t="n">
        <x:v>175</x:v>
      </x:c>
      <x:c r="G2896" t="n">
        <x:v>31</x:v>
      </x:c>
      <x:c r="H2896" t="n">
        <x:f>ROUND(F2896*G2896/100,2)</x:f>
        <x:v>54.25</x:v>
      </x:c>
      <x:c r="I2896" t="n">
        <x:v>1.8</x:v>
      </x:c>
      <x:c r="J2896" t="n">
        <x:f>ROUND(F2896*I2896/100,2)</x:f>
        <x:v>3.15</x:v>
      </x:c>
      <x:c r="K2896" t="n">
        <x:v>7</x:v>
      </x:c>
      <x:c r="L2896" t="n">
        <x:f>ROUND(F2896*K2896/100,2)</x:f>
        <x:v>12.25</x:v>
      </x:c>
      <x:c r="M2896" t="n">
        <x:v>0.1</x:v>
      </x:c>
      <x:c r="N2896" t="n">
        <x:f>ROUND(F2896*M2896/100,2)</x:f>
        <x:v>0.18</x:v>
      </x:c>
      <x:c r="O2896" t="str">
        <x:v>生重</x:v>
      </x:c>
    </x:row>
    <x:row r="2897" ht="23" customHeight="1">
      <x:c r="A2897" t="n">
        <x:v>483</x:v>
      </x:c>
      <x:c r="B2897" t="n">
        <x:v>242</x:v>
      </x:c>
      <x:c r="C2897" t="str">
        <x:v>午餐</x:v>
      </x:c>
      <x:c r="D2897" t="str">
        <x:v>蔬菜</x:v>
      </x:c>
      <x:c r="E2897" t="str">
        <x:v>莴笋</x:v>
      </x:c>
      <x:c r="F2897" t="n">
        <x:v>155</x:v>
      </x:c>
      <x:c r="G2897" t="n">
        <x:v>15</x:v>
      </x:c>
      <x:c r="H2897" t="n">
        <x:f>ROUND(F2897*G2897/100,2)</x:f>
        <x:v>23.25</x:v>
      </x:c>
      <x:c r="I2897" t="n">
        <x:v>1</x:v>
      </x:c>
      <x:c r="J2897" t="n">
        <x:f>ROUND(F2897*I2897/100,2)</x:f>
        <x:v>1.55</x:v>
      </x:c>
      <x:c r="K2897" t="n">
        <x:v>2.8</x:v>
      </x:c>
      <x:c r="L2897" t="n">
        <x:f>ROUND(F2897*K2897/100,2)</x:f>
        <x:v>4.34</x:v>
      </x:c>
      <x:c r="M2897" t="n">
        <x:v>0.1</x:v>
      </x:c>
      <x:c r="N2897" t="n">
        <x:f>ROUND(F2897*M2897/100,2)</x:f>
        <x:v>0.16</x:v>
      </x:c>
      <x:c r="O2897" t="str">
        <x:v>生重</x:v>
      </x:c>
    </x:row>
    <x:row r="2898" ht="23" customHeight="1">
      <x:c r="A2898" t="n">
        <x:v>483</x:v>
      </x:c>
      <x:c r="B2898" t="n">
        <x:v>242</x:v>
      </x:c>
      <x:c r="C2898" t="str">
        <x:v>午餐</x:v>
      </x:c>
      <x:c r="D2898" t="str">
        <x:v>主食</x:v>
      </x:c>
      <x:c r="E2898" t="str">
        <x:v>藜麦饭</x:v>
      </x:c>
      <x:c r="F2898" t="n">
        <x:v>150</x:v>
      </x:c>
      <x:c r="G2898" t="n">
        <x:v>120</x:v>
      </x:c>
      <x:c r="H2898" t="n">
        <x:f>ROUND(F2898*G2898/100,2)</x:f>
        <x:v>180</x:v>
      </x:c>
      <x:c r="I2898" t="n">
        <x:v>4.4</x:v>
      </x:c>
      <x:c r="J2898" t="n">
        <x:f>ROUND(F2898*I2898/100,2)</x:f>
        <x:v>6.6</x:v>
      </x:c>
      <x:c r="K2898" t="n">
        <x:v>21.3</x:v>
      </x:c>
      <x:c r="L2898" t="n">
        <x:f>ROUND(F2898*K2898/100,2)</x:f>
        <x:v>31.95</x:v>
      </x:c>
      <x:c r="M2898" t="n">
        <x:v>1.9</x:v>
      </x:c>
      <x:c r="N2898" t="n">
        <x:f>ROUND(F2898*M2898/100,2)</x:f>
        <x:v>2.85</x:v>
      </x:c>
      <x:c r="O2898" t="str">
        <x:v>熟重</x:v>
      </x:c>
    </x:row>
    <x:row r="2899" ht="23" customHeight="1">
      <x:c r="A2899" t="n">
        <x:v>483</x:v>
      </x:c>
      <x:c r="B2899" t="n">
        <x:v>242</x:v>
      </x:c>
      <x:c r="C2899" t="str">
        <x:v>午餐</x:v>
      </x:c>
      <x:c r="D2899" t="str">
        <x:v>油脂</x:v>
      </x:c>
      <x:c r="E2899" t="str">
        <x:v>烹调油</x:v>
      </x:c>
      <x:c r="F2899" t="n">
        <x:v>6</x:v>
      </x:c>
      <x:c r="G2899" t="n">
        <x:v>900</x:v>
      </x:c>
      <x:c r="H2899" t="n">
        <x:f>ROUND(F2899*G2899/100,2)</x:f>
        <x:v>54</x:v>
      </x:c>
      <x:c r="I2899" t="n">
        <x:v>0</x:v>
      </x:c>
      <x:c r="J2899" t="n">
        <x:f>ROUND(F2899*I2899/100,2)</x:f>
        <x:v>0</x:v>
      </x:c>
      <x:c r="K2899" t="n">
        <x:v>0</x:v>
      </x:c>
      <x:c r="L2899" t="n">
        <x:f>ROUND(F2899*K2899/100,2)</x:f>
        <x:v>0</x:v>
      </x:c>
      <x:c r="M2899" t="n">
        <x:v>100</x:v>
      </x:c>
      <x:c r="N2899" t="n">
        <x:f>ROUND(F2899*M2899/100,2)</x:f>
        <x:v>6</x:v>
      </x:c>
      <x:c r="O2899" t="str">
        <x:v>实际用油重</x:v>
      </x:c>
    </x:row>
    <x:row r="2900" ht="23" customHeight="1">
      <x:c r="A2900" t="n">
        <x:v>484</x:v>
      </x:c>
      <x:c r="B2900" t="n">
        <x:v>242</x:v>
      </x:c>
      <x:c r="C2900" t="str">
        <x:v>晚餐</x:v>
      </x:c>
      <x:c r="D2900" t="str">
        <x:v>禽肉</x:v>
      </x:c>
      <x:c r="E2900" t="str">
        <x:v>鸡里脊肉</x:v>
      </x:c>
      <x:c r="F2900" t="n">
        <x:v>180</x:v>
      </x:c>
      <x:c r="G2900" t="n">
        <x:v>110</x:v>
      </x:c>
      <x:c r="H2900" t="n">
        <x:f>ROUND(F2900*G2900/100,2)</x:f>
        <x:v>198</x:v>
      </x:c>
      <x:c r="I2900" t="n">
        <x:v>23</x:v>
      </x:c>
      <x:c r="J2900" t="n">
        <x:f>ROUND(F2900*I2900/100,2)</x:f>
        <x:v>41.4</x:v>
      </x:c>
      <x:c r="K2900" t="n">
        <x:v>0</x:v>
      </x:c>
      <x:c r="L2900" t="n">
        <x:f>ROUND(F2900*K2900/100,2)</x:f>
        <x:v>0</x:v>
      </x:c>
      <x:c r="M2900" t="n">
        <x:v>1.8</x:v>
      </x:c>
      <x:c r="N2900" t="n">
        <x:f>ROUND(F2900*M2900/100,2)</x:f>
        <x:v>3.24</x:v>
      </x:c>
      <x:c r="O2900" t="str">
        <x:v>生重</x:v>
      </x:c>
    </x:row>
    <x:row r="2901" ht="23" customHeight="1">
      <x:c r="A2901" t="n">
        <x:v>484</x:v>
      </x:c>
      <x:c r="B2901" t="n">
        <x:v>242</x:v>
      </x:c>
      <x:c r="C2901" t="str">
        <x:v>晚餐</x:v>
      </x:c>
      <x:c r="D2901" t="str"/>
      <x:c r="E2901" t="str"/>
      <x:c r="F2901" t="n">
        <x:v>0</x:v>
      </x:c>
      <x:c r="G2901" t="n">
        <x:v>0</x:v>
      </x:c>
      <x:c r="H2901" t="n">
        <x:f>ROUND(F2901*G2901/100,2)</x:f>
        <x:v>0</x:v>
      </x:c>
      <x:c r="I2901" t="n">
        <x:v>0</x:v>
      </x:c>
      <x:c r="J2901" t="n">
        <x:f>ROUND(F2901*I2901/100,2)</x:f>
        <x:v>0</x:v>
      </x:c>
      <x:c r="K2901" t="n">
        <x:v>0</x:v>
      </x:c>
      <x:c r="L2901" t="n">
        <x:f>ROUND(F2901*K2901/100,2)</x:f>
        <x:v>0</x:v>
      </x:c>
      <x:c r="M2901" t="n">
        <x:v>0</x:v>
      </x:c>
      <x:c r="N2901" t="n">
        <x:f>ROUND(F2901*M2901/100,2)</x:f>
        <x:v>0</x:v>
      </x:c>
      <x:c r="O2901" t="str"/>
    </x:row>
    <x:row r="2902" ht="23" customHeight="1">
      <x:c r="A2902" t="n">
        <x:v>484</x:v>
      </x:c>
      <x:c r="B2902" t="n">
        <x:v>242</x:v>
      </x:c>
      <x:c r="C2902" t="str">
        <x:v>晚餐</x:v>
      </x:c>
      <x:c r="D2902" t="str">
        <x:v>蔬菜</x:v>
      </x:c>
      <x:c r="E2902" t="str">
        <x:v>娃娃菜</x:v>
      </x:c>
      <x:c r="F2902" t="n">
        <x:v>190</x:v>
      </x:c>
      <x:c r="G2902" t="n">
        <x:v>17</x:v>
      </x:c>
      <x:c r="H2902" t="n">
        <x:f>ROUND(F2902*G2902/100,2)</x:f>
        <x:v>32.3</x:v>
      </x:c>
      <x:c r="I2902" t="n">
        <x:v>1.3</x:v>
      </x:c>
      <x:c r="J2902" t="n">
        <x:f>ROUND(F2902*I2902/100,2)</x:f>
        <x:v>2.47</x:v>
      </x:c>
      <x:c r="K2902" t="n">
        <x:v>3</x:v>
      </x:c>
      <x:c r="L2902" t="n">
        <x:f>ROUND(F2902*K2902/100,2)</x:f>
        <x:v>5.7</x:v>
      </x:c>
      <x:c r="M2902" t="n">
        <x:v>0.2</x:v>
      </x:c>
      <x:c r="N2902" t="n">
        <x:f>ROUND(F2902*M2902/100,2)</x:f>
        <x:v>0.38</x:v>
      </x:c>
      <x:c r="O2902" t="str">
        <x:v>生重</x:v>
      </x:c>
    </x:row>
    <x:row r="2903" ht="23" customHeight="1">
      <x:c r="A2903" t="n">
        <x:v>484</x:v>
      </x:c>
      <x:c r="B2903" t="n">
        <x:v>242</x:v>
      </x:c>
      <x:c r="C2903" t="str">
        <x:v>晚餐</x:v>
      </x:c>
      <x:c r="D2903" t="str">
        <x:v>蔬菜</x:v>
      </x:c>
      <x:c r="E2903" t="str">
        <x:v>绿豆芽</x:v>
      </x:c>
      <x:c r="F2903" t="n">
        <x:v>155</x:v>
      </x:c>
      <x:c r="G2903" t="n">
        <x:v>31</x:v>
      </x:c>
      <x:c r="H2903" t="n">
        <x:f>ROUND(F2903*G2903/100,2)</x:f>
        <x:v>48.05</x:v>
      </x:c>
      <x:c r="I2903" t="n">
        <x:v>3</x:v>
      </x:c>
      <x:c r="J2903" t="n">
        <x:f>ROUND(F2903*I2903/100,2)</x:f>
        <x:v>4.65</x:v>
      </x:c>
      <x:c r="K2903" t="n">
        <x:v>6</x:v>
      </x:c>
      <x:c r="L2903" t="n">
        <x:f>ROUND(F2903*K2903/100,2)</x:f>
        <x:v>9.3</x:v>
      </x:c>
      <x:c r="M2903" t="n">
        <x:v>0.2</x:v>
      </x:c>
      <x:c r="N2903" t="n">
        <x:f>ROUND(F2903*M2903/100,2)</x:f>
        <x:v>0.31</x:v>
      </x:c>
      <x:c r="O2903" t="str">
        <x:v>生重</x:v>
      </x:c>
    </x:row>
    <x:row r="2904" ht="23" customHeight="1">
      <x:c r="A2904" t="n">
        <x:v>484</x:v>
      </x:c>
      <x:c r="B2904" t="n">
        <x:v>242</x:v>
      </x:c>
      <x:c r="C2904" t="str">
        <x:v>晚餐</x:v>
      </x:c>
      <x:c r="D2904" t="str">
        <x:v>主食</x:v>
      </x:c>
      <x:c r="E2904" t="str">
        <x:v>杂粮饭</x:v>
      </x:c>
      <x:c r="F2904" t="n">
        <x:v>135</x:v>
      </x:c>
      <x:c r="G2904" t="n">
        <x:v>115</x:v>
      </x:c>
      <x:c r="H2904" t="n">
        <x:f>ROUND(F2904*G2904/100,2)</x:f>
        <x:v>155.25</x:v>
      </x:c>
      <x:c r="I2904" t="n">
        <x:v>3.1</x:v>
      </x:c>
      <x:c r="J2904" t="n">
        <x:f>ROUND(F2904*I2904/100,2)</x:f>
        <x:v>4.18</x:v>
      </x:c>
      <x:c r="K2904" t="n">
        <x:v>23.5</x:v>
      </x:c>
      <x:c r="L2904" t="n">
        <x:f>ROUND(F2904*K2904/100,2)</x:f>
        <x:v>31.73</x:v>
      </x:c>
      <x:c r="M2904" t="n">
        <x:v>1.1</x:v>
      </x:c>
      <x:c r="N2904" t="n">
        <x:f>ROUND(F2904*M2904/100,2)</x:f>
        <x:v>1.49</x:v>
      </x:c>
      <x:c r="O2904" t="str">
        <x:v>熟重</x:v>
      </x:c>
    </x:row>
    <x:row r="2905" ht="23" customHeight="1">
      <x:c r="A2905" t="n">
        <x:v>484</x:v>
      </x:c>
      <x:c r="B2905" t="n">
        <x:v>242</x:v>
      </x:c>
      <x:c r="C2905" t="str">
        <x:v>晚餐</x:v>
      </x:c>
      <x:c r="D2905" t="str">
        <x:v>油脂</x:v>
      </x:c>
      <x:c r="E2905" t="str">
        <x:v>烹调油</x:v>
      </x:c>
      <x:c r="F2905" t="n">
        <x:v>5</x:v>
      </x:c>
      <x:c r="G2905" t="n">
        <x:v>900</x:v>
      </x:c>
      <x:c r="H2905" t="n">
        <x:f>ROUND(F2905*G2905/100,2)</x:f>
        <x:v>45</x:v>
      </x:c>
      <x:c r="I2905" t="n">
        <x:v>0</x:v>
      </x:c>
      <x:c r="J2905" t="n">
        <x:f>ROUND(F2905*I2905/100,2)</x:f>
        <x:v>0</x:v>
      </x:c>
      <x:c r="K2905" t="n">
        <x:v>0</x:v>
      </x:c>
      <x:c r="L2905" t="n">
        <x:f>ROUND(F2905*K2905/100,2)</x:f>
        <x:v>0</x:v>
      </x:c>
      <x:c r="M2905" t="n">
        <x:v>100</x:v>
      </x:c>
      <x:c r="N2905" t="n">
        <x:f>ROUND(F2905*M2905/100,2)</x:f>
        <x:v>5</x:v>
      </x:c>
      <x:c r="O2905" t="str">
        <x:v>实际用油重</x:v>
      </x:c>
    </x:row>
    <x:row r="2906" ht="23" customHeight="1">
      <x:c r="A2906" t="n">
        <x:v>485</x:v>
      </x:c>
      <x:c r="B2906" t="n">
        <x:v>243</x:v>
      </x:c>
      <x:c r="C2906" t="str">
        <x:v>午餐</x:v>
      </x:c>
      <x:c r="D2906" t="str">
        <x:v>海鲜</x:v>
      </x:c>
      <x:c r="E2906" t="str">
        <x:v>鱿鱼</x:v>
      </x:c>
      <x:c r="F2906" t="n">
        <x:v>160</x:v>
      </x:c>
      <x:c r="G2906" t="n">
        <x:v>95</x:v>
      </x:c>
      <x:c r="H2906" t="n">
        <x:f>ROUND(F2906*G2906/100,2)</x:f>
        <x:v>152</x:v>
      </x:c>
      <x:c r="I2906" t="n">
        <x:v>17</x:v>
      </x:c>
      <x:c r="J2906" t="n">
        <x:f>ROUND(F2906*I2906/100,2)</x:f>
        <x:v>27.2</x:v>
      </x:c>
      <x:c r="K2906" t="n">
        <x:v>2</x:v>
      </x:c>
      <x:c r="L2906" t="n">
        <x:f>ROUND(F2906*K2906/100,2)</x:f>
        <x:v>3.2</x:v>
      </x:c>
      <x:c r="M2906" t="n">
        <x:v>1.4</x:v>
      </x:c>
      <x:c r="N2906" t="n">
        <x:f>ROUND(F2906*M2906/100,2)</x:f>
        <x:v>2.24</x:v>
      </x:c>
      <x:c r="O2906" t="str">
        <x:v>生重</x:v>
      </x:c>
    </x:row>
    <x:row r="2907" ht="23" customHeight="1">
      <x:c r="A2907" t="n">
        <x:v>485</x:v>
      </x:c>
      <x:c r="B2907" t="n">
        <x:v>243</x:v>
      </x:c>
      <x:c r="C2907" t="str">
        <x:v>午餐</x:v>
      </x:c>
      <x:c r="D2907" t="str"/>
      <x:c r="E2907" t="str"/>
      <x:c r="F2907" t="n">
        <x:v>0</x:v>
      </x:c>
      <x:c r="G2907" t="n">
        <x:v>0</x:v>
      </x:c>
      <x:c r="H2907" t="n">
        <x:f>ROUND(F2907*G2907/100,2)</x:f>
        <x:v>0</x:v>
      </x:c>
      <x:c r="I2907" t="n">
        <x:v>0</x:v>
      </x:c>
      <x:c r="J2907" t="n">
        <x:f>ROUND(F2907*I2907/100,2)</x:f>
        <x:v>0</x:v>
      </x:c>
      <x:c r="K2907" t="n">
        <x:v>0</x:v>
      </x:c>
      <x:c r="L2907" t="n">
        <x:f>ROUND(F2907*K2907/100,2)</x:f>
        <x:v>0</x:v>
      </x:c>
      <x:c r="M2907" t="n">
        <x:v>0</x:v>
      </x:c>
      <x:c r="N2907" t="n">
        <x:f>ROUND(F2907*M2907/100,2)</x:f>
        <x:v>0</x:v>
      </x:c>
      <x:c r="O2907" t="str"/>
    </x:row>
    <x:row r="2908" ht="23" customHeight="1">
      <x:c r="A2908" t="n">
        <x:v>485</x:v>
      </x:c>
      <x:c r="B2908" t="n">
        <x:v>243</x:v>
      </x:c>
      <x:c r="C2908" t="str">
        <x:v>午餐</x:v>
      </x:c>
      <x:c r="D2908" t="str">
        <x:v>蔬菜</x:v>
      </x:c>
      <x:c r="E2908" t="str">
        <x:v>冬瓜</x:v>
      </x:c>
      <x:c r="F2908" t="n">
        <x:v>140</x:v>
      </x:c>
      <x:c r="G2908" t="n">
        <x:v>13</x:v>
      </x:c>
      <x:c r="H2908" t="n">
        <x:f>ROUND(F2908*G2908/100,2)</x:f>
        <x:v>18.2</x:v>
      </x:c>
      <x:c r="I2908" t="n">
        <x:v>0.4</x:v>
      </x:c>
      <x:c r="J2908" t="n">
        <x:f>ROUND(F2908*I2908/100,2)</x:f>
        <x:v>0.56</x:v>
      </x:c>
      <x:c r="K2908" t="n">
        <x:v>3</x:v>
      </x:c>
      <x:c r="L2908" t="n">
        <x:f>ROUND(F2908*K2908/100,2)</x:f>
        <x:v>4.2</x:v>
      </x:c>
      <x:c r="M2908" t="n">
        <x:v>0.2</x:v>
      </x:c>
      <x:c r="N2908" t="n">
        <x:f>ROUND(F2908*M2908/100,2)</x:f>
        <x:v>0.28</x:v>
      </x:c>
      <x:c r="O2908" t="str">
        <x:v>生重</x:v>
      </x:c>
    </x:row>
    <x:row r="2909" ht="23" customHeight="1">
      <x:c r="A2909" t="n">
        <x:v>485</x:v>
      </x:c>
      <x:c r="B2909" t="n">
        <x:v>243</x:v>
      </x:c>
      <x:c r="C2909" t="str">
        <x:v>午餐</x:v>
      </x:c>
      <x:c r="D2909" t="str">
        <x:v>蔬菜</x:v>
      </x:c>
      <x:c r="E2909" t="str">
        <x:v>荷兰豆</x:v>
      </x:c>
      <x:c r="F2909" t="n">
        <x:v>110</x:v>
      </x:c>
      <x:c r="G2909" t="n">
        <x:v>42</x:v>
      </x:c>
      <x:c r="H2909" t="n">
        <x:f>ROUND(F2909*G2909/100,2)</x:f>
        <x:v>46.2</x:v>
      </x:c>
      <x:c r="I2909" t="n">
        <x:v>2.8</x:v>
      </x:c>
      <x:c r="J2909" t="n">
        <x:f>ROUND(F2909*I2909/100,2)</x:f>
        <x:v>3.08</x:v>
      </x:c>
      <x:c r="K2909" t="n">
        <x:v>7.5</x:v>
      </x:c>
      <x:c r="L2909" t="n">
        <x:f>ROUND(F2909*K2909/100,2)</x:f>
        <x:v>8.25</x:v>
      </x:c>
      <x:c r="M2909" t="n">
        <x:v>0.3</x:v>
      </x:c>
      <x:c r="N2909" t="n">
        <x:f>ROUND(F2909*M2909/100,2)</x:f>
        <x:v>0.33</x:v>
      </x:c>
      <x:c r="O2909" t="str">
        <x:v>生重</x:v>
      </x:c>
    </x:row>
    <x:row r="2910" ht="23" customHeight="1">
      <x:c r="A2910" t="n">
        <x:v>485</x:v>
      </x:c>
      <x:c r="B2910" t="n">
        <x:v>243</x:v>
      </x:c>
      <x:c r="C2910" t="str">
        <x:v>午餐</x:v>
      </x:c>
      <x:c r="D2910" t="str">
        <x:v>主食</x:v>
      </x:c>
      <x:c r="E2910" t="str">
        <x:v>藜麦饭</x:v>
      </x:c>
      <x:c r="F2910" t="n">
        <x:v>165</x:v>
      </x:c>
      <x:c r="G2910" t="n">
        <x:v>120</x:v>
      </x:c>
      <x:c r="H2910" t="n">
        <x:f>ROUND(F2910*G2910/100,2)</x:f>
        <x:v>198</x:v>
      </x:c>
      <x:c r="I2910" t="n">
        <x:v>4.4</x:v>
      </x:c>
      <x:c r="J2910" t="n">
        <x:f>ROUND(F2910*I2910/100,2)</x:f>
        <x:v>7.26</x:v>
      </x:c>
      <x:c r="K2910" t="n">
        <x:v>21.3</x:v>
      </x:c>
      <x:c r="L2910" t="n">
        <x:f>ROUND(F2910*K2910/100,2)</x:f>
        <x:v>35.15</x:v>
      </x:c>
      <x:c r="M2910" t="n">
        <x:v>1.9</x:v>
      </x:c>
      <x:c r="N2910" t="n">
        <x:f>ROUND(F2910*M2910/100,2)</x:f>
        <x:v>3.14</x:v>
      </x:c>
      <x:c r="O2910" t="str">
        <x:v>熟重</x:v>
      </x:c>
    </x:row>
    <x:row r="2911" ht="23" customHeight="1">
      <x:c r="A2911" t="n">
        <x:v>485</x:v>
      </x:c>
      <x:c r="B2911" t="n">
        <x:v>243</x:v>
      </x:c>
      <x:c r="C2911" t="str">
        <x:v>午餐</x:v>
      </x:c>
      <x:c r="D2911" t="str">
        <x:v>油脂</x:v>
      </x:c>
      <x:c r="E2911" t="str">
        <x:v>烹调油</x:v>
      </x:c>
      <x:c r="F2911" t="n">
        <x:v>4</x:v>
      </x:c>
      <x:c r="G2911" t="n">
        <x:v>900</x:v>
      </x:c>
      <x:c r="H2911" t="n">
        <x:f>ROUND(F2911*G2911/100,2)</x:f>
        <x:v>36</x:v>
      </x:c>
      <x:c r="I2911" t="n">
        <x:v>0</x:v>
      </x:c>
      <x:c r="J2911" t="n">
        <x:f>ROUND(F2911*I2911/100,2)</x:f>
        <x:v>0</x:v>
      </x:c>
      <x:c r="K2911" t="n">
        <x:v>0</x:v>
      </x:c>
      <x:c r="L2911" t="n">
        <x:f>ROUND(F2911*K2911/100,2)</x:f>
        <x:v>0</x:v>
      </x:c>
      <x:c r="M2911" t="n">
        <x:v>100</x:v>
      </x:c>
      <x:c r="N2911" t="n">
        <x:f>ROUND(F2911*M2911/100,2)</x:f>
        <x:v>4</x:v>
      </x:c>
      <x:c r="O2911" t="str">
        <x:v>实际用油重</x:v>
      </x:c>
    </x:row>
    <x:row r="2912" ht="23" customHeight="1">
      <x:c r="A2912" t="n">
        <x:v>486</x:v>
      </x:c>
      <x:c r="B2912" t="n">
        <x:v>243</x:v>
      </x:c>
      <x:c r="C2912" t="str">
        <x:v>晚餐</x:v>
      </x:c>
      <x:c r="D2912" t="str">
        <x:v>豆蛋</x:v>
      </x:c>
      <x:c r="E2912" t="str">
        <x:v>北豆腐</x:v>
      </x:c>
      <x:c r="F2912" t="n">
        <x:v>300</x:v>
      </x:c>
      <x:c r="G2912" t="n">
        <x:v>90</x:v>
      </x:c>
      <x:c r="H2912" t="n">
        <x:f>ROUND(F2912*G2912/100,2)</x:f>
        <x:v>270</x:v>
      </x:c>
      <x:c r="I2912" t="n">
        <x:v>10</x:v>
      </x:c>
      <x:c r="J2912" t="n">
        <x:f>ROUND(F2912*I2912/100,2)</x:f>
        <x:v>30</x:v>
      </x:c>
      <x:c r="K2912" t="n">
        <x:v>2</x:v>
      </x:c>
      <x:c r="L2912" t="n">
        <x:f>ROUND(F2912*K2912/100,2)</x:f>
        <x:v>6</x:v>
      </x:c>
      <x:c r="M2912" t="n">
        <x:v>5</x:v>
      </x:c>
      <x:c r="N2912" t="n">
        <x:f>ROUND(F2912*M2912/100,2)</x:f>
        <x:v>15</x:v>
      </x:c>
      <x:c r="O2912" t="str">
        <x:v>净重</x:v>
      </x:c>
    </x:row>
    <x:row r="2913" ht="23" customHeight="1">
      <x:c r="A2913" t="n">
        <x:v>486</x:v>
      </x:c>
      <x:c r="B2913" t="n">
        <x:v>243</x:v>
      </x:c>
      <x:c r="C2913" t="str">
        <x:v>晚餐</x:v>
      </x:c>
      <x:c r="D2913" t="str">
        <x:v>海鲜</x:v>
      </x:c>
      <x:c r="E2913" t="str">
        <x:v>虾仁</x:v>
      </x:c>
      <x:c r="F2913" t="n">
        <x:v>85</x:v>
      </x:c>
      <x:c r="G2913" t="n">
        <x:v>90</x:v>
      </x:c>
      <x:c r="H2913" t="n">
        <x:f>ROUND(F2913*G2913/100,2)</x:f>
        <x:v>76.5</x:v>
      </x:c>
      <x:c r="I2913" t="n">
        <x:v>19</x:v>
      </x:c>
      <x:c r="J2913" t="n">
        <x:f>ROUND(F2913*I2913/100,2)</x:f>
        <x:v>16.15</x:v>
      </x:c>
      <x:c r="K2913" t="n">
        <x:v>0.4</x:v>
      </x:c>
      <x:c r="L2913" t="n">
        <x:f>ROUND(F2913*K2913/100,2)</x:f>
        <x:v>0.34</x:v>
      </x:c>
      <x:c r="M2913" t="n">
        <x:v>1.1</x:v>
      </x:c>
      <x:c r="N2913" t="n">
        <x:f>ROUND(F2913*M2913/100,2)</x:f>
        <x:v>0.94</x:v>
      </x:c>
      <x:c r="O2913" t="str">
        <x:v>生重</x:v>
      </x:c>
    </x:row>
    <x:row r="2914" ht="23" customHeight="1">
      <x:c r="A2914" t="n">
        <x:v>486</x:v>
      </x:c>
      <x:c r="B2914" t="n">
        <x:v>243</x:v>
      </x:c>
      <x:c r="C2914" t="str">
        <x:v>晚餐</x:v>
      </x:c>
      <x:c r="D2914" t="str">
        <x:v>蔬菜</x:v>
      </x:c>
      <x:c r="E2914" t="str">
        <x:v>大白菜</x:v>
      </x:c>
      <x:c r="F2914" t="n">
        <x:v>190</x:v>
      </x:c>
      <x:c r="G2914" t="n">
        <x:v>17</x:v>
      </x:c>
      <x:c r="H2914" t="n">
        <x:f>ROUND(F2914*G2914/100,2)</x:f>
        <x:v>32.3</x:v>
      </x:c>
      <x:c r="I2914" t="n">
        <x:v>1.5</x:v>
      </x:c>
      <x:c r="J2914" t="n">
        <x:f>ROUND(F2914*I2914/100,2)</x:f>
        <x:v>2.85</x:v>
      </x:c>
      <x:c r="K2914" t="n">
        <x:v>3.2</x:v>
      </x:c>
      <x:c r="L2914" t="n">
        <x:f>ROUND(F2914*K2914/100,2)</x:f>
        <x:v>6.08</x:v>
      </x:c>
      <x:c r="M2914" t="n">
        <x:v>0.1</x:v>
      </x:c>
      <x:c r="N2914" t="n">
        <x:f>ROUND(F2914*M2914/100,2)</x:f>
        <x:v>0.19</x:v>
      </x:c>
      <x:c r="O2914" t="str">
        <x:v>生重</x:v>
      </x:c>
    </x:row>
    <x:row r="2915" ht="23" customHeight="1">
      <x:c r="A2915" t="n">
        <x:v>486</x:v>
      </x:c>
      <x:c r="B2915" t="n">
        <x:v>243</x:v>
      </x:c>
      <x:c r="C2915" t="str">
        <x:v>晚餐</x:v>
      </x:c>
      <x:c r="D2915" t="str">
        <x:v>蔬菜</x:v>
      </x:c>
      <x:c r="E2915" t="str">
        <x:v>莴笋</x:v>
      </x:c>
      <x:c r="F2915" t="n">
        <x:v>155</x:v>
      </x:c>
      <x:c r="G2915" t="n">
        <x:v>15</x:v>
      </x:c>
      <x:c r="H2915" t="n">
        <x:f>ROUND(F2915*G2915/100,2)</x:f>
        <x:v>23.25</x:v>
      </x:c>
      <x:c r="I2915" t="n">
        <x:v>1</x:v>
      </x:c>
      <x:c r="J2915" t="n">
        <x:f>ROUND(F2915*I2915/100,2)</x:f>
        <x:v>1.55</x:v>
      </x:c>
      <x:c r="K2915" t="n">
        <x:v>2.8</x:v>
      </x:c>
      <x:c r="L2915" t="n">
        <x:f>ROUND(F2915*K2915/100,2)</x:f>
        <x:v>4.34</x:v>
      </x:c>
      <x:c r="M2915" t="n">
        <x:v>0.1</x:v>
      </x:c>
      <x:c r="N2915" t="n">
        <x:f>ROUND(F2915*M2915/100,2)</x:f>
        <x:v>0.16</x:v>
      </x:c>
      <x:c r="O2915" t="str">
        <x:v>生重</x:v>
      </x:c>
    </x:row>
    <x:row r="2916" ht="23" customHeight="1">
      <x:c r="A2916" t="n">
        <x:v>486</x:v>
      </x:c>
      <x:c r="B2916" t="n">
        <x:v>243</x:v>
      </x:c>
      <x:c r="C2916" t="str">
        <x:v>晚餐</x:v>
      </x:c>
      <x:c r="D2916" t="str">
        <x:v>主食</x:v>
      </x:c>
      <x:c r="E2916" t="str">
        <x:v>紫薯</x:v>
      </x:c>
      <x:c r="F2916" t="n">
        <x:v>135</x:v>
      </x:c>
      <x:c r="G2916" t="n">
        <x:v>95</x:v>
      </x:c>
      <x:c r="H2916" t="n">
        <x:f>ROUND(F2916*G2916/100,2)</x:f>
        <x:v>128.25</x:v>
      </x:c>
      <x:c r="I2916" t="n">
        <x:v>1.6</x:v>
      </x:c>
      <x:c r="J2916" t="n">
        <x:f>ROUND(F2916*I2916/100,2)</x:f>
        <x:v>2.16</x:v>
      </x:c>
      <x:c r="K2916" t="n">
        <x:v>22</x:v>
      </x:c>
      <x:c r="L2916" t="n">
        <x:f>ROUND(F2916*K2916/100,2)</x:f>
        <x:v>29.7</x:v>
      </x:c>
      <x:c r="M2916" t="n">
        <x:v>0.1</x:v>
      </x:c>
      <x:c r="N2916" t="n">
        <x:f>ROUND(F2916*M2916/100,2)</x:f>
        <x:v>0.14</x:v>
      </x:c>
      <x:c r="O2916" t="str">
        <x:v>蒸熟净重</x:v>
      </x:c>
    </x:row>
    <x:row r="2917" ht="23" customHeight="1">
      <x:c r="A2917" t="n">
        <x:v>486</x:v>
      </x:c>
      <x:c r="B2917" t="n">
        <x:v>243</x:v>
      </x:c>
      <x:c r="C2917" t="str">
        <x:v>晚餐</x:v>
      </x:c>
      <x:c r="D2917" t="str">
        <x:v>油脂</x:v>
      </x:c>
      <x:c r="E2917" t="str">
        <x:v>烹调油</x:v>
      </x:c>
      <x:c r="F2917" t="n">
        <x:v>5</x:v>
      </x:c>
      <x:c r="G2917" t="n">
        <x:v>900</x:v>
      </x:c>
      <x:c r="H2917" t="n">
        <x:f>ROUND(F2917*G2917/100,2)</x:f>
        <x:v>45</x:v>
      </x:c>
      <x:c r="I2917" t="n">
        <x:v>0</x:v>
      </x:c>
      <x:c r="J2917" t="n">
        <x:f>ROUND(F2917*I2917/100,2)</x:f>
        <x:v>0</x:v>
      </x:c>
      <x:c r="K2917" t="n">
        <x:v>0</x:v>
      </x:c>
      <x:c r="L2917" t="n">
        <x:f>ROUND(F2917*K2917/100,2)</x:f>
        <x:v>0</x:v>
      </x:c>
      <x:c r="M2917" t="n">
        <x:v>100</x:v>
      </x:c>
      <x:c r="N2917" t="n">
        <x:f>ROUND(F2917*M2917/100,2)</x:f>
        <x:v>5</x:v>
      </x:c>
      <x:c r="O2917" t="str">
        <x:v>实际用油重</x:v>
      </x:c>
    </x:row>
    <x:row r="2918" ht="23" customHeight="1">
      <x:c r="A2918" t="n">
        <x:v>487</x:v>
      </x:c>
      <x:c r="B2918" t="n">
        <x:v>244</x:v>
      </x:c>
      <x:c r="C2918" t="str">
        <x:v>午餐</x:v>
      </x:c>
      <x:c r="D2918" t="str">
        <x:v>海鲜</x:v>
      </x:c>
      <x:c r="E2918" t="str">
        <x:v>虾仁</x:v>
      </x:c>
      <x:c r="F2918" t="n">
        <x:v>190</x:v>
      </x:c>
      <x:c r="G2918" t="n">
        <x:v>90</x:v>
      </x:c>
      <x:c r="H2918" t="n">
        <x:f>ROUND(F2918*G2918/100,2)</x:f>
        <x:v>171</x:v>
      </x:c>
      <x:c r="I2918" t="n">
        <x:v>19</x:v>
      </x:c>
      <x:c r="J2918" t="n">
        <x:f>ROUND(F2918*I2918/100,2)</x:f>
        <x:v>36.1</x:v>
      </x:c>
      <x:c r="K2918" t="n">
        <x:v>0.4</x:v>
      </x:c>
      <x:c r="L2918" t="n">
        <x:f>ROUND(F2918*K2918/100,2)</x:f>
        <x:v>0.76</x:v>
      </x:c>
      <x:c r="M2918" t="n">
        <x:v>1.1</x:v>
      </x:c>
      <x:c r="N2918" t="n">
        <x:f>ROUND(F2918*M2918/100,2)</x:f>
        <x:v>2.09</x:v>
      </x:c>
      <x:c r="O2918" t="str">
        <x:v>生重</x:v>
      </x:c>
    </x:row>
    <x:row r="2919" ht="23" customHeight="1">
      <x:c r="A2919" t="n">
        <x:v>487</x:v>
      </x:c>
      <x:c r="B2919" t="n">
        <x:v>244</x:v>
      </x:c>
      <x:c r="C2919" t="str">
        <x:v>午餐</x:v>
      </x:c>
      <x:c r="D2919" t="str">
        <x:v>豆蛋</x:v>
      </x:c>
      <x:c r="E2919" t="str">
        <x:v>熟毛豆仁</x:v>
      </x:c>
      <x:c r="F2919" t="n">
        <x:v>50</x:v>
      </x:c>
      <x:c r="G2919" t="n">
        <x:v>120</x:v>
      </x:c>
      <x:c r="H2919" t="n">
        <x:f>ROUND(F2919*G2919/100,2)</x:f>
        <x:v>60</x:v>
      </x:c>
      <x:c r="I2919" t="n">
        <x:v>12</x:v>
      </x:c>
      <x:c r="J2919" t="n">
        <x:f>ROUND(F2919*I2919/100,2)</x:f>
        <x:v>6</x:v>
      </x:c>
      <x:c r="K2919" t="n">
        <x:v>9</x:v>
      </x:c>
      <x:c r="L2919" t="n">
        <x:f>ROUND(F2919*K2919/100,2)</x:f>
        <x:v>4.5</x:v>
      </x:c>
      <x:c r="M2919" t="n">
        <x:v>5</x:v>
      </x:c>
      <x:c r="N2919" t="n">
        <x:f>ROUND(F2919*M2919/100,2)</x:f>
        <x:v>2.5</x:v>
      </x:c>
      <x:c r="O2919" t="str">
        <x:v>熟重</x:v>
      </x:c>
    </x:row>
    <x:row r="2920" ht="23" customHeight="1">
      <x:c r="A2920" t="n">
        <x:v>487</x:v>
      </x:c>
      <x:c r="B2920" t="n">
        <x:v>244</x:v>
      </x:c>
      <x:c r="C2920" t="str">
        <x:v>午餐</x:v>
      </x:c>
      <x:c r="D2920" t="str">
        <x:v>蔬菜</x:v>
      </x:c>
      <x:c r="E2920" t="str">
        <x:v>竹笋</x:v>
      </x:c>
      <x:c r="F2920" t="n">
        <x:v>190</x:v>
      </x:c>
      <x:c r="G2920" t="n">
        <x:v>27</x:v>
      </x:c>
      <x:c r="H2920" t="n">
        <x:f>ROUND(F2920*G2920/100,2)</x:f>
        <x:v>51.3</x:v>
      </x:c>
      <x:c r="I2920" t="n">
        <x:v>2.6</x:v>
      </x:c>
      <x:c r="J2920" t="n">
        <x:f>ROUND(F2920*I2920/100,2)</x:f>
        <x:v>4.94</x:v>
      </x:c>
      <x:c r="K2920" t="n">
        <x:v>5.2</x:v>
      </x:c>
      <x:c r="L2920" t="n">
        <x:f>ROUND(F2920*K2920/100,2)</x:f>
        <x:v>9.88</x:v>
      </x:c>
      <x:c r="M2920" t="n">
        <x:v>0.3</x:v>
      </x:c>
      <x:c r="N2920" t="n">
        <x:f>ROUND(F2920*M2920/100,2)</x:f>
        <x:v>0.57</x:v>
      </x:c>
      <x:c r="O2920" t="str">
        <x:v>生重</x:v>
      </x:c>
    </x:row>
    <x:row r="2921" ht="23" customHeight="1">
      <x:c r="A2921" t="n">
        <x:v>487</x:v>
      </x:c>
      <x:c r="B2921" t="n">
        <x:v>244</x:v>
      </x:c>
      <x:c r="C2921" t="str">
        <x:v>午餐</x:v>
      </x:c>
      <x:c r="D2921" t="str">
        <x:v>蔬菜</x:v>
      </x:c>
      <x:c r="E2921" t="str">
        <x:v>绿豆芽</x:v>
      </x:c>
      <x:c r="F2921" t="n">
        <x:v>155</x:v>
      </x:c>
      <x:c r="G2921" t="n">
        <x:v>31</x:v>
      </x:c>
      <x:c r="H2921" t="n">
        <x:f>ROUND(F2921*G2921/100,2)</x:f>
        <x:v>48.05</x:v>
      </x:c>
      <x:c r="I2921" t="n">
        <x:v>3</x:v>
      </x:c>
      <x:c r="J2921" t="n">
        <x:f>ROUND(F2921*I2921/100,2)</x:f>
        <x:v>4.65</x:v>
      </x:c>
      <x:c r="K2921" t="n">
        <x:v>6</x:v>
      </x:c>
      <x:c r="L2921" t="n">
        <x:f>ROUND(F2921*K2921/100,2)</x:f>
        <x:v>9.3</x:v>
      </x:c>
      <x:c r="M2921" t="n">
        <x:v>0.2</x:v>
      </x:c>
      <x:c r="N2921" t="n">
        <x:f>ROUND(F2921*M2921/100,2)</x:f>
        <x:v>0.31</x:v>
      </x:c>
      <x:c r="O2921" t="str">
        <x:v>生重</x:v>
      </x:c>
    </x:row>
    <x:row r="2922" ht="23" customHeight="1">
      <x:c r="A2922" t="n">
        <x:v>487</x:v>
      </x:c>
      <x:c r="B2922" t="n">
        <x:v>244</x:v>
      </x:c>
      <x:c r="C2922" t="str">
        <x:v>午餐</x:v>
      </x:c>
      <x:c r="D2922" t="str">
        <x:v>主食</x:v>
      </x:c>
      <x:c r="E2922" t="str">
        <x:v>土豆</x:v>
      </x:c>
      <x:c r="F2922" t="n">
        <x:v>125</x:v>
      </x:c>
      <x:c r="G2922" t="n">
        <x:v>78</x:v>
      </x:c>
      <x:c r="H2922" t="n">
        <x:f>ROUND(F2922*G2922/100,2)</x:f>
        <x:v>97.5</x:v>
      </x:c>
      <x:c r="I2922" t="n">
        <x:v>2</x:v>
      </x:c>
      <x:c r="J2922" t="n">
        <x:f>ROUND(F2922*I2922/100,2)</x:f>
        <x:v>2.5</x:v>
      </x:c>
      <x:c r="K2922" t="n">
        <x:v>17.2</x:v>
      </x:c>
      <x:c r="L2922" t="n">
        <x:f>ROUND(F2922*K2922/100,2)</x:f>
        <x:v>21.5</x:v>
      </x:c>
      <x:c r="M2922" t="n">
        <x:v>0.1</x:v>
      </x:c>
      <x:c r="N2922" t="n">
        <x:f>ROUND(F2922*M2922/100,2)</x:f>
        <x:v>0.13</x:v>
      </x:c>
      <x:c r="O2922" t="str">
        <x:v>蒸熟净重</x:v>
      </x:c>
    </x:row>
    <x:row r="2923" ht="23" customHeight="1">
      <x:c r="A2923" t="n">
        <x:v>487</x:v>
      </x:c>
      <x:c r="B2923" t="n">
        <x:v>244</x:v>
      </x:c>
      <x:c r="C2923" t="str">
        <x:v>午餐</x:v>
      </x:c>
      <x:c r="D2923" t="str">
        <x:v>油脂</x:v>
      </x:c>
      <x:c r="E2923" t="str">
        <x:v>烹调油</x:v>
      </x:c>
      <x:c r="F2923" t="n">
        <x:v>5</x:v>
      </x:c>
      <x:c r="G2923" t="n">
        <x:v>900</x:v>
      </x:c>
      <x:c r="H2923" t="n">
        <x:f>ROUND(F2923*G2923/100,2)</x:f>
        <x:v>45</x:v>
      </x:c>
      <x:c r="I2923" t="n">
        <x:v>0</x:v>
      </x:c>
      <x:c r="J2923" t="n">
        <x:f>ROUND(F2923*I2923/100,2)</x:f>
        <x:v>0</x:v>
      </x:c>
      <x:c r="K2923" t="n">
        <x:v>0</x:v>
      </x:c>
      <x:c r="L2923" t="n">
        <x:f>ROUND(F2923*K2923/100,2)</x:f>
        <x:v>0</x:v>
      </x:c>
      <x:c r="M2923" t="n">
        <x:v>100</x:v>
      </x:c>
      <x:c r="N2923" t="n">
        <x:f>ROUND(F2923*M2923/100,2)</x:f>
        <x:v>5</x:v>
      </x:c>
      <x:c r="O2923" t="str">
        <x:v>实际用油重</x:v>
      </x:c>
    </x:row>
    <x:row r="2924" ht="23" customHeight="1">
      <x:c r="A2924" t="n">
        <x:v>488</x:v>
      </x:c>
      <x:c r="B2924" t="n">
        <x:v>244</x:v>
      </x:c>
      <x:c r="C2924" t="str">
        <x:v>晚餐</x:v>
      </x:c>
      <x:c r="D2924" t="str">
        <x:v>鱼类</x:v>
      </x:c>
      <x:c r="E2924" t="str">
        <x:v>巴沙鱼</x:v>
      </x:c>
      <x:c r="F2924" t="n">
        <x:v>200</x:v>
      </x:c>
      <x:c r="G2924" t="n">
        <x:v>90</x:v>
      </x:c>
      <x:c r="H2924" t="n">
        <x:f>ROUND(F2924*G2924/100,2)</x:f>
        <x:v>180</x:v>
      </x:c>
      <x:c r="I2924" t="n">
        <x:v>17</x:v>
      </x:c>
      <x:c r="J2924" t="n">
        <x:f>ROUND(F2924*I2924/100,2)</x:f>
        <x:v>34</x:v>
      </x:c>
      <x:c r="K2924" t="n">
        <x:v>0</x:v>
      </x:c>
      <x:c r="L2924" t="n">
        <x:f>ROUND(F2924*K2924/100,2)</x:f>
        <x:v>0</x:v>
      </x:c>
      <x:c r="M2924" t="n">
        <x:v>2.3</x:v>
      </x:c>
      <x:c r="N2924" t="n">
        <x:f>ROUND(F2924*M2924/100,2)</x:f>
        <x:v>4.6</x:v>
      </x:c>
      <x:c r="O2924" t="str">
        <x:v>净鱼肉生重</x:v>
      </x:c>
    </x:row>
    <x:row r="2925" ht="23" customHeight="1">
      <x:c r="A2925" t="n">
        <x:v>488</x:v>
      </x:c>
      <x:c r="B2925" t="n">
        <x:v>244</x:v>
      </x:c>
      <x:c r="C2925" t="str">
        <x:v>晚餐</x:v>
      </x:c>
      <x:c r="D2925" t="str"/>
      <x:c r="E2925" t="str"/>
      <x:c r="F2925" t="n">
        <x:v>0</x:v>
      </x:c>
      <x:c r="G2925" t="n">
        <x:v>0</x:v>
      </x:c>
      <x:c r="H2925" t="n">
        <x:f>ROUND(F2925*G2925/100,2)</x:f>
        <x:v>0</x:v>
      </x:c>
      <x:c r="I2925" t="n">
        <x:v>0</x:v>
      </x:c>
      <x:c r="J2925" t="n">
        <x:f>ROUND(F2925*I2925/100,2)</x:f>
        <x:v>0</x:v>
      </x:c>
      <x:c r="K2925" t="n">
        <x:v>0</x:v>
      </x:c>
      <x:c r="L2925" t="n">
        <x:f>ROUND(F2925*K2925/100,2)</x:f>
        <x:v>0</x:v>
      </x:c>
      <x:c r="M2925" t="n">
        <x:v>0</x:v>
      </x:c>
      <x:c r="N2925" t="n">
        <x:f>ROUND(F2925*M2925/100,2)</x:f>
        <x:v>0</x:v>
      </x:c>
      <x:c r="O2925" t="str"/>
    </x:row>
    <x:row r="2926" ht="23" customHeight="1">
      <x:c r="A2926" t="n">
        <x:v>488</x:v>
      </x:c>
      <x:c r="B2926" t="n">
        <x:v>244</x:v>
      </x:c>
      <x:c r="C2926" t="str">
        <x:v>晚餐</x:v>
      </x:c>
      <x:c r="D2926" t="str">
        <x:v>蔬菜</x:v>
      </x:c>
      <x:c r="E2926" t="str">
        <x:v>四季豆</x:v>
      </x:c>
      <x:c r="F2926" t="n">
        <x:v>190</x:v>
      </x:c>
      <x:c r="G2926" t="n">
        <x:v>31</x:v>
      </x:c>
      <x:c r="H2926" t="n">
        <x:f>ROUND(F2926*G2926/100,2)</x:f>
        <x:v>58.9</x:v>
      </x:c>
      <x:c r="I2926" t="n">
        <x:v>1.8</x:v>
      </x:c>
      <x:c r="J2926" t="n">
        <x:f>ROUND(F2926*I2926/100,2)</x:f>
        <x:v>3.42</x:v>
      </x:c>
      <x:c r="K2926" t="n">
        <x:v>7</x:v>
      </x:c>
      <x:c r="L2926" t="n">
        <x:f>ROUND(F2926*K2926/100,2)</x:f>
        <x:v>13.3</x:v>
      </x:c>
      <x:c r="M2926" t="n">
        <x:v>0.1</x:v>
      </x:c>
      <x:c r="N2926" t="n">
        <x:f>ROUND(F2926*M2926/100,2)</x:f>
        <x:v>0.19</x:v>
      </x:c>
      <x:c r="O2926" t="str">
        <x:v>生重</x:v>
      </x:c>
    </x:row>
    <x:row r="2927" ht="23" customHeight="1">
      <x:c r="A2927" t="n">
        <x:v>488</x:v>
      </x:c>
      <x:c r="B2927" t="n">
        <x:v>244</x:v>
      </x:c>
      <x:c r="C2927" t="str">
        <x:v>晚餐</x:v>
      </x:c>
      <x:c r="D2927" t="str">
        <x:v>菌菇</x:v>
      </x:c>
      <x:c r="E2927" t="str">
        <x:v>泡发木耳</x:v>
      </x:c>
      <x:c r="F2927" t="n">
        <x:v>125</x:v>
      </x:c>
      <x:c r="G2927" t="n">
        <x:v>25</x:v>
      </x:c>
      <x:c r="H2927" t="n">
        <x:f>ROUND(F2927*G2927/100,2)</x:f>
        <x:v>31.25</x:v>
      </x:c>
      <x:c r="I2927" t="n">
        <x:v>1.5</x:v>
      </x:c>
      <x:c r="J2927" t="n">
        <x:f>ROUND(F2927*I2927/100,2)</x:f>
        <x:v>1.88</x:v>
      </x:c>
      <x:c r="K2927" t="n">
        <x:v>6</x:v>
      </x:c>
      <x:c r="L2927" t="n">
        <x:f>ROUND(F2927*K2927/100,2)</x:f>
        <x:v>7.5</x:v>
      </x:c>
      <x:c r="M2927" t="n">
        <x:v>0.1</x:v>
      </x:c>
      <x:c r="N2927" t="n">
        <x:f>ROUND(F2927*M2927/100,2)</x:f>
        <x:v>0.13</x:v>
      </x:c>
      <x:c r="O2927" t="str">
        <x:v>泡发沥水重</x:v>
      </x:c>
    </x:row>
    <x:row r="2928" ht="23" customHeight="1">
      <x:c r="A2928" t="n">
        <x:v>488</x:v>
      </x:c>
      <x:c r="B2928" t="n">
        <x:v>244</x:v>
      </x:c>
      <x:c r="C2928" t="str">
        <x:v>晚餐</x:v>
      </x:c>
      <x:c r="D2928" t="str">
        <x:v>主食</x:v>
      </x:c>
      <x:c r="E2928" t="str">
        <x:v>乌冬面</x:v>
      </x:c>
      <x:c r="F2928" t="n">
        <x:v>110</x:v>
      </x:c>
      <x:c r="G2928" t="n">
        <x:v>120</x:v>
      </x:c>
      <x:c r="H2928" t="n">
        <x:f>ROUND(F2928*G2928/100,2)</x:f>
        <x:v>132</x:v>
      </x:c>
      <x:c r="I2928" t="n">
        <x:v>2.5</x:v>
      </x:c>
      <x:c r="J2928" t="n">
        <x:f>ROUND(F2928*I2928/100,2)</x:f>
        <x:v>2.75</x:v>
      </x:c>
      <x:c r="K2928" t="n">
        <x:v>25</x:v>
      </x:c>
      <x:c r="L2928" t="n">
        <x:f>ROUND(F2928*K2928/100,2)</x:f>
        <x:v>27.5</x:v>
      </x:c>
      <x:c r="M2928" t="n">
        <x:v>0.6</x:v>
      </x:c>
      <x:c r="N2928" t="n">
        <x:f>ROUND(F2928*M2928/100,2)</x:f>
        <x:v>0.66</x:v>
      </x:c>
      <x:c r="O2928" t="str">
        <x:v>煮熟沥水重</x:v>
      </x:c>
    </x:row>
    <x:row r="2929" ht="23" customHeight="1">
      <x:c r="A2929" t="n">
        <x:v>488</x:v>
      </x:c>
      <x:c r="B2929" t="n">
        <x:v>244</x:v>
      </x:c>
      <x:c r="C2929" t="str">
        <x:v>晚餐</x:v>
      </x:c>
      <x:c r="D2929" t="str">
        <x:v>油脂</x:v>
      </x:c>
      <x:c r="E2929" t="str">
        <x:v>烹调油</x:v>
      </x:c>
      <x:c r="F2929" t="n">
        <x:v>5</x:v>
      </x:c>
      <x:c r="G2929" t="n">
        <x:v>900</x:v>
      </x:c>
      <x:c r="H2929" t="n">
        <x:f>ROUND(F2929*G2929/100,2)</x:f>
        <x:v>45</x:v>
      </x:c>
      <x:c r="I2929" t="n">
        <x:v>0</x:v>
      </x:c>
      <x:c r="J2929" t="n">
        <x:f>ROUND(F2929*I2929/100,2)</x:f>
        <x:v>0</x:v>
      </x:c>
      <x:c r="K2929" t="n">
        <x:v>0</x:v>
      </x:c>
      <x:c r="L2929" t="n">
        <x:f>ROUND(F2929*K2929/100,2)</x:f>
        <x:v>0</x:v>
      </x:c>
      <x:c r="M2929" t="n">
        <x:v>100</x:v>
      </x:c>
      <x:c r="N2929" t="n">
        <x:f>ROUND(F2929*M2929/100,2)</x:f>
        <x:v>5</x:v>
      </x:c>
      <x:c r="O2929" t="str">
        <x:v>实际用油重</x:v>
      </x:c>
    </x:row>
    <x:row r="2930" ht="23" customHeight="1">
      <x:c r="A2930" t="n">
        <x:v>489</x:v>
      </x:c>
      <x:c r="B2930" t="n">
        <x:v>245</x:v>
      </x:c>
      <x:c r="C2930" t="str">
        <x:v>午餐</x:v>
      </x:c>
      <x:c r="D2930" t="str">
        <x:v>牛肉</x:v>
      </x:c>
      <x:c r="E2930" t="str">
        <x:v>瘦牛肉</x:v>
      </x:c>
      <x:c r="F2930" t="n">
        <x:v>175</x:v>
      </x:c>
      <x:c r="G2930" t="n">
        <x:v>125</x:v>
      </x:c>
      <x:c r="H2930" t="n">
        <x:f>ROUND(F2930*G2930/100,2)</x:f>
        <x:v>218.75</x:v>
      </x:c>
      <x:c r="I2930" t="n">
        <x:v>21</x:v>
      </x:c>
      <x:c r="J2930" t="n">
        <x:f>ROUND(F2930*I2930/100,2)</x:f>
        <x:v>36.75</x:v>
      </x:c>
      <x:c r="K2930" t="n">
        <x:v>0</x:v>
      </x:c>
      <x:c r="L2930" t="n">
        <x:f>ROUND(F2930*K2930/100,2)</x:f>
        <x:v>0</x:v>
      </x:c>
      <x:c r="M2930" t="n">
        <x:v>4</x:v>
      </x:c>
      <x:c r="N2930" t="n">
        <x:f>ROUND(F2930*M2930/100,2)</x:f>
        <x:v>7</x:v>
      </x:c>
      <x:c r="O2930" t="str">
        <x:v>生重</x:v>
      </x:c>
    </x:row>
    <x:row r="2931" ht="23" customHeight="1">
      <x:c r="A2931" t="n">
        <x:v>489</x:v>
      </x:c>
      <x:c r="B2931" t="n">
        <x:v>245</x:v>
      </x:c>
      <x:c r="C2931" t="str">
        <x:v>午餐</x:v>
      </x:c>
      <x:c r="D2931" t="str"/>
      <x:c r="E2931" t="str"/>
      <x:c r="F2931" t="n">
        <x:v>0</x:v>
      </x:c>
      <x:c r="G2931" t="n">
        <x:v>0</x:v>
      </x:c>
      <x:c r="H2931" t="n">
        <x:f>ROUND(F2931*G2931/100,2)</x:f>
        <x:v>0</x:v>
      </x:c>
      <x:c r="I2931" t="n">
        <x:v>0</x:v>
      </x:c>
      <x:c r="J2931" t="n">
        <x:f>ROUND(F2931*I2931/100,2)</x:f>
        <x:v>0</x:v>
      </x:c>
      <x:c r="K2931" t="n">
        <x:v>0</x:v>
      </x:c>
      <x:c r="L2931" t="n">
        <x:f>ROUND(F2931*K2931/100,2)</x:f>
        <x:v>0</x:v>
      </x:c>
      <x:c r="M2931" t="n">
        <x:v>0</x:v>
      </x:c>
      <x:c r="N2931" t="n">
        <x:f>ROUND(F2931*M2931/100,2)</x:f>
        <x:v>0</x:v>
      </x:c>
      <x:c r="O2931" t="str"/>
    </x:row>
    <x:row r="2932" ht="23" customHeight="1">
      <x:c r="A2932" t="n">
        <x:v>489</x:v>
      </x:c>
      <x:c r="B2932" t="n">
        <x:v>245</x:v>
      </x:c>
      <x:c r="C2932" t="str">
        <x:v>午餐</x:v>
      </x:c>
      <x:c r="D2932" t="str">
        <x:v>蔬菜</x:v>
      </x:c>
      <x:c r="E2932" t="str">
        <x:v>花菜</x:v>
      </x:c>
      <x:c r="F2932" t="n">
        <x:v>175</x:v>
      </x:c>
      <x:c r="G2932" t="n">
        <x:v>25</x:v>
      </x:c>
      <x:c r="H2932" t="n">
        <x:f>ROUND(F2932*G2932/100,2)</x:f>
        <x:v>43.75</x:v>
      </x:c>
      <x:c r="I2932" t="n">
        <x:v>2</x:v>
      </x:c>
      <x:c r="J2932" t="n">
        <x:f>ROUND(F2932*I2932/100,2)</x:f>
        <x:v>3.5</x:v>
      </x:c>
      <x:c r="K2932" t="n">
        <x:v>5</x:v>
      </x:c>
      <x:c r="L2932" t="n">
        <x:f>ROUND(F2932*K2932/100,2)</x:f>
        <x:v>8.75</x:v>
      </x:c>
      <x:c r="M2932" t="n">
        <x:v>0.3</x:v>
      </x:c>
      <x:c r="N2932" t="n">
        <x:f>ROUND(F2932*M2932/100,2)</x:f>
        <x:v>0.53</x:v>
      </x:c>
      <x:c r="O2932" t="str">
        <x:v>生重</x:v>
      </x:c>
    </x:row>
    <x:row r="2933" ht="23" customHeight="1">
      <x:c r="A2933" t="n">
        <x:v>489</x:v>
      </x:c>
      <x:c r="B2933" t="n">
        <x:v>245</x:v>
      </x:c>
      <x:c r="C2933" t="str">
        <x:v>午餐</x:v>
      </x:c>
      <x:c r="D2933" t="str">
        <x:v>菌菇</x:v>
      </x:c>
      <x:c r="E2933" t="str">
        <x:v>泡发木耳</x:v>
      </x:c>
      <x:c r="F2933" t="n">
        <x:v>125</x:v>
      </x:c>
      <x:c r="G2933" t="n">
        <x:v>25</x:v>
      </x:c>
      <x:c r="H2933" t="n">
        <x:f>ROUND(F2933*G2933/100,2)</x:f>
        <x:v>31.25</x:v>
      </x:c>
      <x:c r="I2933" t="n">
        <x:v>1.5</x:v>
      </x:c>
      <x:c r="J2933" t="n">
        <x:f>ROUND(F2933*I2933/100,2)</x:f>
        <x:v>1.88</x:v>
      </x:c>
      <x:c r="K2933" t="n">
        <x:v>6</x:v>
      </x:c>
      <x:c r="L2933" t="n">
        <x:f>ROUND(F2933*K2933/100,2)</x:f>
        <x:v>7.5</x:v>
      </x:c>
      <x:c r="M2933" t="n">
        <x:v>0.1</x:v>
      </x:c>
      <x:c r="N2933" t="n">
        <x:f>ROUND(F2933*M2933/100,2)</x:f>
        <x:v>0.13</x:v>
      </x:c>
      <x:c r="O2933" t="str">
        <x:v>泡发沥水重</x:v>
      </x:c>
    </x:row>
    <x:row r="2934" ht="23" customHeight="1">
      <x:c r="A2934" t="n">
        <x:v>489</x:v>
      </x:c>
      <x:c r="B2934" t="n">
        <x:v>245</x:v>
      </x:c>
      <x:c r="C2934" t="str">
        <x:v>午餐</x:v>
      </x:c>
      <x:c r="D2934" t="str">
        <x:v>主食</x:v>
      </x:c>
      <x:c r="E2934" t="str">
        <x:v>杂粮饭</x:v>
      </x:c>
      <x:c r="F2934" t="n">
        <x:v>150</x:v>
      </x:c>
      <x:c r="G2934" t="n">
        <x:v>115</x:v>
      </x:c>
      <x:c r="H2934" t="n">
        <x:f>ROUND(F2934*G2934/100,2)</x:f>
        <x:v>172.5</x:v>
      </x:c>
      <x:c r="I2934" t="n">
        <x:v>3.1</x:v>
      </x:c>
      <x:c r="J2934" t="n">
        <x:f>ROUND(F2934*I2934/100,2)</x:f>
        <x:v>4.65</x:v>
      </x:c>
      <x:c r="K2934" t="n">
        <x:v>23.5</x:v>
      </x:c>
      <x:c r="L2934" t="n">
        <x:f>ROUND(F2934*K2934/100,2)</x:f>
        <x:v>35.25</x:v>
      </x:c>
      <x:c r="M2934" t="n">
        <x:v>1.1</x:v>
      </x:c>
      <x:c r="N2934" t="n">
        <x:f>ROUND(F2934*M2934/100,2)</x:f>
        <x:v>1.65</x:v>
      </x:c>
      <x:c r="O2934" t="str">
        <x:v>熟重</x:v>
      </x:c>
    </x:row>
    <x:row r="2935" ht="23" customHeight="1">
      <x:c r="A2935" t="n">
        <x:v>489</x:v>
      </x:c>
      <x:c r="B2935" t="n">
        <x:v>245</x:v>
      </x:c>
      <x:c r="C2935" t="str">
        <x:v>午餐</x:v>
      </x:c>
      <x:c r="D2935" t="str">
        <x:v>油脂</x:v>
      </x:c>
      <x:c r="E2935" t="str">
        <x:v>烹调油</x:v>
      </x:c>
      <x:c r="F2935" t="n">
        <x:v>5</x:v>
      </x:c>
      <x:c r="G2935" t="n">
        <x:v>900</x:v>
      </x:c>
      <x:c r="H2935" t="n">
        <x:f>ROUND(F2935*G2935/100,2)</x:f>
        <x:v>45</x:v>
      </x:c>
      <x:c r="I2935" t="n">
        <x:v>0</x:v>
      </x:c>
      <x:c r="J2935" t="n">
        <x:f>ROUND(F2935*I2935/100,2)</x:f>
        <x:v>0</x:v>
      </x:c>
      <x:c r="K2935" t="n">
        <x:v>0</x:v>
      </x:c>
      <x:c r="L2935" t="n">
        <x:f>ROUND(F2935*K2935/100,2)</x:f>
        <x:v>0</x:v>
      </x:c>
      <x:c r="M2935" t="n">
        <x:v>100</x:v>
      </x:c>
      <x:c r="N2935" t="n">
        <x:f>ROUND(F2935*M2935/100,2)</x:f>
        <x:v>5</x:v>
      </x:c>
      <x:c r="O2935" t="str">
        <x:v>实际用油重</x:v>
      </x:c>
    </x:row>
    <x:row r="2936" ht="23" customHeight="1">
      <x:c r="A2936" t="n">
        <x:v>490</x:v>
      </x:c>
      <x:c r="B2936" t="n">
        <x:v>245</x:v>
      </x:c>
      <x:c r="C2936" t="str">
        <x:v>晚餐</x:v>
      </x:c>
      <x:c r="D2936" t="str">
        <x:v>牛肉</x:v>
      </x:c>
      <x:c r="E2936" t="str">
        <x:v>牛里脊</x:v>
      </x:c>
      <x:c r="F2936" t="n">
        <x:v>180</x:v>
      </x:c>
      <x:c r="G2936" t="n">
        <x:v>130</x:v>
      </x:c>
      <x:c r="H2936" t="n">
        <x:f>ROUND(F2936*G2936/100,2)</x:f>
        <x:v>234</x:v>
      </x:c>
      <x:c r="I2936" t="n">
        <x:v>21</x:v>
      </x:c>
      <x:c r="J2936" t="n">
        <x:f>ROUND(F2936*I2936/100,2)</x:f>
        <x:v>37.8</x:v>
      </x:c>
      <x:c r="K2936" t="n">
        <x:v>0</x:v>
      </x:c>
      <x:c r="L2936" t="n">
        <x:f>ROUND(F2936*K2936/100,2)</x:f>
        <x:v>0</x:v>
      </x:c>
      <x:c r="M2936" t="n">
        <x:v>4.8</x:v>
      </x:c>
      <x:c r="N2936" t="n">
        <x:f>ROUND(F2936*M2936/100,2)</x:f>
        <x:v>8.64</x:v>
      </x:c>
      <x:c r="O2936" t="str">
        <x:v>生重</x:v>
      </x:c>
    </x:row>
    <x:row r="2937" ht="23" customHeight="1">
      <x:c r="A2937" t="n">
        <x:v>490</x:v>
      </x:c>
      <x:c r="B2937" t="n">
        <x:v>245</x:v>
      </x:c>
      <x:c r="C2937" t="str">
        <x:v>晚餐</x:v>
      </x:c>
      <x:c r="D2937" t="str"/>
      <x:c r="E2937" t="str"/>
      <x:c r="F2937" t="n">
        <x:v>0</x:v>
      </x:c>
      <x:c r="G2937" t="n">
        <x:v>0</x:v>
      </x:c>
      <x:c r="H2937" t="n">
        <x:f>ROUND(F2937*G2937/100,2)</x:f>
        <x:v>0</x:v>
      </x:c>
      <x:c r="I2937" t="n">
        <x:v>0</x:v>
      </x:c>
      <x:c r="J2937" t="n">
        <x:f>ROUND(F2937*I2937/100,2)</x:f>
        <x:v>0</x:v>
      </x:c>
      <x:c r="K2937" t="n">
        <x:v>0</x:v>
      </x:c>
      <x:c r="L2937" t="n">
        <x:f>ROUND(F2937*K2937/100,2)</x:f>
        <x:v>0</x:v>
      </x:c>
      <x:c r="M2937" t="n">
        <x:v>0</x:v>
      </x:c>
      <x:c r="N2937" t="n">
        <x:f>ROUND(F2937*M2937/100,2)</x:f>
        <x:v>0</x:v>
      </x:c>
      <x:c r="O2937" t="str"/>
    </x:row>
    <x:row r="2938" ht="23" customHeight="1">
      <x:c r="A2938" t="n">
        <x:v>490</x:v>
      </x:c>
      <x:c r="B2938" t="n">
        <x:v>245</x:v>
      </x:c>
      <x:c r="C2938" t="str">
        <x:v>晚餐</x:v>
      </x:c>
      <x:c r="D2938" t="str">
        <x:v>蔬菜</x:v>
      </x:c>
      <x:c r="E2938" t="str">
        <x:v>茼蒿</x:v>
      </x:c>
      <x:c r="F2938" t="n">
        <x:v>140</x:v>
      </x:c>
      <x:c r="G2938" t="n">
        <x:v>24</x:v>
      </x:c>
      <x:c r="H2938" t="n">
        <x:f>ROUND(F2938*G2938/100,2)</x:f>
        <x:v>33.6</x:v>
      </x:c>
      <x:c r="I2938" t="n">
        <x:v>1.9</x:v>
      </x:c>
      <x:c r="J2938" t="n">
        <x:f>ROUND(F2938*I2938/100,2)</x:f>
        <x:v>2.66</x:v>
      </x:c>
      <x:c r="K2938" t="n">
        <x:v>4.3</x:v>
      </x:c>
      <x:c r="L2938" t="n">
        <x:f>ROUND(F2938*K2938/100,2)</x:f>
        <x:v>6.02</x:v>
      </x:c>
      <x:c r="M2938" t="n">
        <x:v>0.3</x:v>
      </x:c>
      <x:c r="N2938" t="n">
        <x:f>ROUND(F2938*M2938/100,2)</x:f>
        <x:v>0.42</x:v>
      </x:c>
      <x:c r="O2938" t="str">
        <x:v>生重</x:v>
      </x:c>
    </x:row>
    <x:row r="2939" ht="23" customHeight="1">
      <x:c r="A2939" t="n">
        <x:v>490</x:v>
      </x:c>
      <x:c r="B2939" t="n">
        <x:v>245</x:v>
      </x:c>
      <x:c r="C2939" t="str">
        <x:v>晚餐</x:v>
      </x:c>
      <x:c r="D2939" t="str">
        <x:v>蔬菜</x:v>
      </x:c>
      <x:c r="E2939" t="str">
        <x:v>莴笋</x:v>
      </x:c>
      <x:c r="F2939" t="n">
        <x:v>125</x:v>
      </x:c>
      <x:c r="G2939" t="n">
        <x:v>15</x:v>
      </x:c>
      <x:c r="H2939" t="n">
        <x:f>ROUND(F2939*G2939/100,2)</x:f>
        <x:v>18.75</x:v>
      </x:c>
      <x:c r="I2939" t="n">
        <x:v>1</x:v>
      </x:c>
      <x:c r="J2939" t="n">
        <x:f>ROUND(F2939*I2939/100,2)</x:f>
        <x:v>1.25</x:v>
      </x:c>
      <x:c r="K2939" t="n">
        <x:v>2.8</x:v>
      </x:c>
      <x:c r="L2939" t="n">
        <x:f>ROUND(F2939*K2939/100,2)</x:f>
        <x:v>3.5</x:v>
      </x:c>
      <x:c r="M2939" t="n">
        <x:v>0.1</x:v>
      </x:c>
      <x:c r="N2939" t="n">
        <x:f>ROUND(F2939*M2939/100,2)</x:f>
        <x:v>0.13</x:v>
      </x:c>
      <x:c r="O2939" t="str">
        <x:v>生重</x:v>
      </x:c>
    </x:row>
    <x:row r="2940" ht="23" customHeight="1">
      <x:c r="A2940" t="n">
        <x:v>490</x:v>
      </x:c>
      <x:c r="B2940" t="n">
        <x:v>245</x:v>
      </x:c>
      <x:c r="C2940" t="str">
        <x:v>晚餐</x:v>
      </x:c>
      <x:c r="D2940" t="str">
        <x:v>主食</x:v>
      </x:c>
      <x:c r="E2940" t="str">
        <x:v>糙米饭</x:v>
      </x:c>
      <x:c r="F2940" t="n">
        <x:v>95</x:v>
      </x:c>
      <x:c r="G2940" t="n">
        <x:v>112</x:v>
      </x:c>
      <x:c r="H2940" t="n">
        <x:f>ROUND(F2940*G2940/100,2)</x:f>
        <x:v>106.4</x:v>
      </x:c>
      <x:c r="I2940" t="n">
        <x:v>2.6</x:v>
      </x:c>
      <x:c r="J2940" t="n">
        <x:f>ROUND(F2940*I2940/100,2)</x:f>
        <x:v>2.47</x:v>
      </x:c>
      <x:c r="K2940" t="n">
        <x:v>23.5</x:v>
      </x:c>
      <x:c r="L2940" t="n">
        <x:f>ROUND(F2940*K2940/100,2)</x:f>
        <x:v>22.33</x:v>
      </x:c>
      <x:c r="M2940" t="n">
        <x:v>0.9</x:v>
      </x:c>
      <x:c r="N2940" t="n">
        <x:f>ROUND(F2940*M2940/100,2)</x:f>
        <x:v>0.86</x:v>
      </x:c>
      <x:c r="O2940" t="str">
        <x:v>熟重</x:v>
      </x:c>
    </x:row>
    <x:row r="2941" ht="23" customHeight="1">
      <x:c r="A2941" t="n">
        <x:v>490</x:v>
      </x:c>
      <x:c r="B2941" t="n">
        <x:v>245</x:v>
      </x:c>
      <x:c r="C2941" t="str">
        <x:v>晚餐</x:v>
      </x:c>
      <x:c r="D2941" t="str">
        <x:v>油脂</x:v>
      </x:c>
      <x:c r="E2941" t="str">
        <x:v>烹调油</x:v>
      </x:c>
      <x:c r="F2941" t="n">
        <x:v>5</x:v>
      </x:c>
      <x:c r="G2941" t="n">
        <x:v>900</x:v>
      </x:c>
      <x:c r="H2941" t="n">
        <x:f>ROUND(F2941*G2941/100,2)</x:f>
        <x:v>45</x:v>
      </x:c>
      <x:c r="I2941" t="n">
        <x:v>0</x:v>
      </x:c>
      <x:c r="J2941" t="n">
        <x:f>ROUND(F2941*I2941/100,2)</x:f>
        <x:v>0</x:v>
      </x:c>
      <x:c r="K2941" t="n">
        <x:v>0</x:v>
      </x:c>
      <x:c r="L2941" t="n">
        <x:f>ROUND(F2941*K2941/100,2)</x:f>
        <x:v>0</x:v>
      </x:c>
      <x:c r="M2941" t="n">
        <x:v>100</x:v>
      </x:c>
      <x:c r="N2941" t="n">
        <x:f>ROUND(F2941*M2941/100,2)</x:f>
        <x:v>5</x:v>
      </x:c>
      <x:c r="O2941" t="str">
        <x:v>实际用油重</x:v>
      </x:c>
    </x:row>
    <x:row r="2942" ht="23" customHeight="1">
      <x:c r="A2942" t="n">
        <x:v>491</x:v>
      </x:c>
      <x:c r="B2942" t="n">
        <x:v>246</x:v>
      </x:c>
      <x:c r="C2942" t="str">
        <x:v>午餐</x:v>
      </x:c>
      <x:c r="D2942" t="str">
        <x:v>豆蛋</x:v>
      </x:c>
      <x:c r="E2942" t="str">
        <x:v>北豆腐</x:v>
      </x:c>
      <x:c r="F2942" t="n">
        <x:v>240</x:v>
      </x:c>
      <x:c r="G2942" t="n">
        <x:v>90</x:v>
      </x:c>
      <x:c r="H2942" t="n">
        <x:f>ROUND(F2942*G2942/100,2)</x:f>
        <x:v>216</x:v>
      </x:c>
      <x:c r="I2942" t="n">
        <x:v>10</x:v>
      </x:c>
      <x:c r="J2942" t="n">
        <x:f>ROUND(F2942*I2942/100,2)</x:f>
        <x:v>24</x:v>
      </x:c>
      <x:c r="K2942" t="n">
        <x:v>2</x:v>
      </x:c>
      <x:c r="L2942" t="n">
        <x:f>ROUND(F2942*K2942/100,2)</x:f>
        <x:v>4.8</x:v>
      </x:c>
      <x:c r="M2942" t="n">
        <x:v>5</x:v>
      </x:c>
      <x:c r="N2942" t="n">
        <x:f>ROUND(F2942*M2942/100,2)</x:f>
        <x:v>12</x:v>
      </x:c>
      <x:c r="O2942" t="str">
        <x:v>净重</x:v>
      </x:c>
    </x:row>
    <x:row r="2943" ht="23" customHeight="1">
      <x:c r="A2943" t="n">
        <x:v>491</x:v>
      </x:c>
      <x:c r="B2943" t="n">
        <x:v>246</x:v>
      </x:c>
      <x:c r="C2943" t="str">
        <x:v>午餐</x:v>
      </x:c>
      <x:c r="D2943" t="str">
        <x:v>海鲜</x:v>
      </x:c>
      <x:c r="E2943" t="str">
        <x:v>虾仁</x:v>
      </x:c>
      <x:c r="F2943" t="n">
        <x:v>85</x:v>
      </x:c>
      <x:c r="G2943" t="n">
        <x:v>90</x:v>
      </x:c>
      <x:c r="H2943" t="n">
        <x:f>ROUND(F2943*G2943/100,2)</x:f>
        <x:v>76.5</x:v>
      </x:c>
      <x:c r="I2943" t="n">
        <x:v>19</x:v>
      </x:c>
      <x:c r="J2943" t="n">
        <x:f>ROUND(F2943*I2943/100,2)</x:f>
        <x:v>16.15</x:v>
      </x:c>
      <x:c r="K2943" t="n">
        <x:v>0.4</x:v>
      </x:c>
      <x:c r="L2943" t="n">
        <x:f>ROUND(F2943*K2943/100,2)</x:f>
        <x:v>0.34</x:v>
      </x:c>
      <x:c r="M2943" t="n">
        <x:v>1.1</x:v>
      </x:c>
      <x:c r="N2943" t="n">
        <x:f>ROUND(F2943*M2943/100,2)</x:f>
        <x:v>0.94</x:v>
      </x:c>
      <x:c r="O2943" t="str">
        <x:v>生重</x:v>
      </x:c>
    </x:row>
    <x:row r="2944" ht="23" customHeight="1">
      <x:c r="A2944" t="n">
        <x:v>491</x:v>
      </x:c>
      <x:c r="B2944" t="n">
        <x:v>246</x:v>
      </x:c>
      <x:c r="C2944" t="str">
        <x:v>午餐</x:v>
      </x:c>
      <x:c r="D2944" t="str">
        <x:v>蔬菜</x:v>
      </x:c>
      <x:c r="E2944" t="str">
        <x:v>莴笋</x:v>
      </x:c>
      <x:c r="F2944" t="n">
        <x:v>190</x:v>
      </x:c>
      <x:c r="G2944" t="n">
        <x:v>15</x:v>
      </x:c>
      <x:c r="H2944" t="n">
        <x:f>ROUND(F2944*G2944/100,2)</x:f>
        <x:v>28.5</x:v>
      </x:c>
      <x:c r="I2944" t="n">
        <x:v>1</x:v>
      </x:c>
      <x:c r="J2944" t="n">
        <x:f>ROUND(F2944*I2944/100,2)</x:f>
        <x:v>1.9</x:v>
      </x:c>
      <x:c r="K2944" t="n">
        <x:v>2.8</x:v>
      </x:c>
      <x:c r="L2944" t="n">
        <x:f>ROUND(F2944*K2944/100,2)</x:f>
        <x:v>5.32</x:v>
      </x:c>
      <x:c r="M2944" t="n">
        <x:v>0.1</x:v>
      </x:c>
      <x:c r="N2944" t="n">
        <x:f>ROUND(F2944*M2944/100,2)</x:f>
        <x:v>0.19</x:v>
      </x:c>
      <x:c r="O2944" t="str">
        <x:v>生重</x:v>
      </x:c>
    </x:row>
    <x:row r="2945" ht="23" customHeight="1">
      <x:c r="A2945" t="n">
        <x:v>491</x:v>
      </x:c>
      <x:c r="B2945" t="n">
        <x:v>246</x:v>
      </x:c>
      <x:c r="C2945" t="str">
        <x:v>午餐</x:v>
      </x:c>
      <x:c r="D2945" t="str">
        <x:v>蔬菜</x:v>
      </x:c>
      <x:c r="E2945" t="str">
        <x:v>彩椒</x:v>
      </x:c>
      <x:c r="F2945" t="n">
        <x:v>125</x:v>
      </x:c>
      <x:c r="G2945" t="n">
        <x:v>27</x:v>
      </x:c>
      <x:c r="H2945" t="n">
        <x:f>ROUND(F2945*G2945/100,2)</x:f>
        <x:v>33.75</x:v>
      </x:c>
      <x:c r="I2945" t="n">
        <x:v>1</x:v>
      </x:c>
      <x:c r="J2945" t="n">
        <x:f>ROUND(F2945*I2945/100,2)</x:f>
        <x:v>1.25</x:v>
      </x:c>
      <x:c r="K2945" t="n">
        <x:v>6.1</x:v>
      </x:c>
      <x:c r="L2945" t="n">
        <x:f>ROUND(F2945*K2945/100,2)</x:f>
        <x:v>7.63</x:v>
      </x:c>
      <x:c r="M2945" t="n">
        <x:v>0.2</x:v>
      </x:c>
      <x:c r="N2945" t="n">
        <x:f>ROUND(F2945*M2945/100,2)</x:f>
        <x:v>0.25</x:v>
      </x:c>
      <x:c r="O2945" t="str">
        <x:v>生重</x:v>
      </x:c>
    </x:row>
    <x:row r="2946" ht="23" customHeight="1">
      <x:c r="A2946" t="n">
        <x:v>491</x:v>
      </x:c>
      <x:c r="B2946" t="n">
        <x:v>246</x:v>
      </x:c>
      <x:c r="C2946" t="str">
        <x:v>午餐</x:v>
      </x:c>
      <x:c r="D2946" t="str">
        <x:v>主食</x:v>
      </x:c>
      <x:c r="E2946" t="str">
        <x:v>燕麦饭</x:v>
      </x:c>
      <x:c r="F2946" t="n">
        <x:v>150</x:v>
      </x:c>
      <x:c r="G2946" t="n">
        <x:v>110</x:v>
      </x:c>
      <x:c r="H2946" t="n">
        <x:f>ROUND(F2946*G2946/100,2)</x:f>
        <x:v>165</x:v>
      </x:c>
      <x:c r="I2946" t="n">
        <x:v>3.2</x:v>
      </x:c>
      <x:c r="J2946" t="n">
        <x:f>ROUND(F2946*I2946/100,2)</x:f>
        <x:v>4.8</x:v>
      </x:c>
      <x:c r="K2946" t="n">
        <x:v>21</x:v>
      </x:c>
      <x:c r="L2946" t="n">
        <x:f>ROUND(F2946*K2946/100,2)</x:f>
        <x:v>31.5</x:v>
      </x:c>
      <x:c r="M2946" t="n">
        <x:v>1.8</x:v>
      </x:c>
      <x:c r="N2946" t="n">
        <x:f>ROUND(F2946*M2946/100,2)</x:f>
        <x:v>2.7</x:v>
      </x:c>
      <x:c r="O2946" t="str">
        <x:v>熟重</x:v>
      </x:c>
    </x:row>
    <x:row r="2947" ht="23" customHeight="1">
      <x:c r="A2947" t="n">
        <x:v>491</x:v>
      </x:c>
      <x:c r="B2947" t="n">
        <x:v>246</x:v>
      </x:c>
      <x:c r="C2947" t="str">
        <x:v>午餐</x:v>
      </x:c>
      <x:c r="D2947" t="str">
        <x:v>油脂</x:v>
      </x:c>
      <x:c r="E2947" t="str">
        <x:v>烹调油</x:v>
      </x:c>
      <x:c r="F2947" t="n">
        <x:v>4</x:v>
      </x:c>
      <x:c r="G2947" t="n">
        <x:v>900</x:v>
      </x:c>
      <x:c r="H2947" t="n">
        <x:f>ROUND(F2947*G2947/100,2)</x:f>
        <x:v>36</x:v>
      </x:c>
      <x:c r="I2947" t="n">
        <x:v>0</x:v>
      </x:c>
      <x:c r="J2947" t="n">
        <x:f>ROUND(F2947*I2947/100,2)</x:f>
        <x:v>0</x:v>
      </x:c>
      <x:c r="K2947" t="n">
        <x:v>0</x:v>
      </x:c>
      <x:c r="L2947" t="n">
        <x:f>ROUND(F2947*K2947/100,2)</x:f>
        <x:v>0</x:v>
      </x:c>
      <x:c r="M2947" t="n">
        <x:v>100</x:v>
      </x:c>
      <x:c r="N2947" t="n">
        <x:f>ROUND(F2947*M2947/100,2)</x:f>
        <x:v>4</x:v>
      </x:c>
      <x:c r="O2947" t="str">
        <x:v>实际用油重</x:v>
      </x:c>
    </x:row>
    <x:row r="2948" ht="23" customHeight="1">
      <x:c r="A2948" t="n">
        <x:v>492</x:v>
      </x:c>
      <x:c r="B2948" t="n">
        <x:v>246</x:v>
      </x:c>
      <x:c r="C2948" t="str">
        <x:v>晚餐</x:v>
      </x:c>
      <x:c r="D2948" t="str">
        <x:v>牛肉</x:v>
      </x:c>
      <x:c r="E2948" t="str">
        <x:v>瘦牛肉</x:v>
      </x:c>
      <x:c r="F2948" t="n">
        <x:v>160</x:v>
      </x:c>
      <x:c r="G2948" t="n">
        <x:v>125</x:v>
      </x:c>
      <x:c r="H2948" t="n">
        <x:f>ROUND(F2948*G2948/100,2)</x:f>
        <x:v>200</x:v>
      </x:c>
      <x:c r="I2948" t="n">
        <x:v>21</x:v>
      </x:c>
      <x:c r="J2948" t="n">
        <x:f>ROUND(F2948*I2948/100,2)</x:f>
        <x:v>33.6</x:v>
      </x:c>
      <x:c r="K2948" t="n">
        <x:v>0</x:v>
      </x:c>
      <x:c r="L2948" t="n">
        <x:f>ROUND(F2948*K2948/100,2)</x:f>
        <x:v>0</x:v>
      </x:c>
      <x:c r="M2948" t="n">
        <x:v>4</x:v>
      </x:c>
      <x:c r="N2948" t="n">
        <x:f>ROUND(F2948*M2948/100,2)</x:f>
        <x:v>6.4</x:v>
      </x:c>
      <x:c r="O2948" t="str">
        <x:v>生重</x:v>
      </x:c>
    </x:row>
    <x:row r="2949" ht="23" customHeight="1">
      <x:c r="A2949" t="n">
        <x:v>492</x:v>
      </x:c>
      <x:c r="B2949" t="n">
        <x:v>246</x:v>
      </x:c>
      <x:c r="C2949" t="str">
        <x:v>晚餐</x:v>
      </x:c>
      <x:c r="D2949" t="str"/>
      <x:c r="E2949" t="str"/>
      <x:c r="F2949" t="n">
        <x:v>0</x:v>
      </x:c>
      <x:c r="G2949" t="n">
        <x:v>0</x:v>
      </x:c>
      <x:c r="H2949" t="n">
        <x:f>ROUND(F2949*G2949/100,2)</x:f>
        <x:v>0</x:v>
      </x:c>
      <x:c r="I2949" t="n">
        <x:v>0</x:v>
      </x:c>
      <x:c r="J2949" t="n">
        <x:f>ROUND(F2949*I2949/100,2)</x:f>
        <x:v>0</x:v>
      </x:c>
      <x:c r="K2949" t="n">
        <x:v>0</x:v>
      </x:c>
      <x:c r="L2949" t="n">
        <x:f>ROUND(F2949*K2949/100,2)</x:f>
        <x:v>0</x:v>
      </x:c>
      <x:c r="M2949" t="n">
        <x:v>0</x:v>
      </x:c>
      <x:c r="N2949" t="n">
        <x:f>ROUND(F2949*M2949/100,2)</x:f>
        <x:v>0</x:v>
      </x:c>
      <x:c r="O2949" t="str"/>
    </x:row>
    <x:row r="2950" ht="23" customHeight="1">
      <x:c r="A2950" t="n">
        <x:v>492</x:v>
      </x:c>
      <x:c r="B2950" t="n">
        <x:v>246</x:v>
      </x:c>
      <x:c r="C2950" t="str">
        <x:v>晚餐</x:v>
      </x:c>
      <x:c r="D2950" t="str">
        <x:v>蔬菜</x:v>
      </x:c>
      <x:c r="E2950" t="str">
        <x:v>番茄</x:v>
      </x:c>
      <x:c r="F2950" t="n">
        <x:v>190</x:v>
      </x:c>
      <x:c r="G2950" t="n">
        <x:v>20</x:v>
      </x:c>
      <x:c r="H2950" t="n">
        <x:f>ROUND(F2950*G2950/100,2)</x:f>
        <x:v>38</x:v>
      </x:c>
      <x:c r="I2950" t="n">
        <x:v>0.9</x:v>
      </x:c>
      <x:c r="J2950" t="n">
        <x:f>ROUND(F2950*I2950/100,2)</x:f>
        <x:v>1.71</x:v>
      </x:c>
      <x:c r="K2950" t="n">
        <x:v>4</x:v>
      </x:c>
      <x:c r="L2950" t="n">
        <x:f>ROUND(F2950*K2950/100,2)</x:f>
        <x:v>7.6</x:v>
      </x:c>
      <x:c r="M2950" t="n">
        <x:v>0.2</x:v>
      </x:c>
      <x:c r="N2950" t="n">
        <x:f>ROUND(F2950*M2950/100,2)</x:f>
        <x:v>0.38</x:v>
      </x:c>
      <x:c r="O2950" t="str">
        <x:v>生重</x:v>
      </x:c>
    </x:row>
    <x:row r="2951" ht="23" customHeight="1">
      <x:c r="A2951" t="n">
        <x:v>492</x:v>
      </x:c>
      <x:c r="B2951" t="n">
        <x:v>246</x:v>
      </x:c>
      <x:c r="C2951" t="str">
        <x:v>晚餐</x:v>
      </x:c>
      <x:c r="D2951" t="str">
        <x:v>蔬菜</x:v>
      </x:c>
      <x:c r="E2951" t="str">
        <x:v>白萝卜</x:v>
      </x:c>
      <x:c r="F2951" t="n">
        <x:v>125</x:v>
      </x:c>
      <x:c r="G2951" t="n">
        <x:v>18</x:v>
      </x:c>
      <x:c r="H2951" t="n">
        <x:f>ROUND(F2951*G2951/100,2)</x:f>
        <x:v>22.5</x:v>
      </x:c>
      <x:c r="I2951" t="n">
        <x:v>0.6</x:v>
      </x:c>
      <x:c r="J2951" t="n">
        <x:f>ROUND(F2951*I2951/100,2)</x:f>
        <x:v>0.75</x:v>
      </x:c>
      <x:c r="K2951" t="n">
        <x:v>4</x:v>
      </x:c>
      <x:c r="L2951" t="n">
        <x:f>ROUND(F2951*K2951/100,2)</x:f>
        <x:v>5</x:v>
      </x:c>
      <x:c r="M2951" t="n">
        <x:v>0.1</x:v>
      </x:c>
      <x:c r="N2951" t="n">
        <x:f>ROUND(F2951*M2951/100,2)</x:f>
        <x:v>0.13</x:v>
      </x:c>
      <x:c r="O2951" t="str">
        <x:v>生重</x:v>
      </x:c>
    </x:row>
    <x:row r="2952" ht="23" customHeight="1">
      <x:c r="A2952" t="n">
        <x:v>492</x:v>
      </x:c>
      <x:c r="B2952" t="n">
        <x:v>246</x:v>
      </x:c>
      <x:c r="C2952" t="str">
        <x:v>晚餐</x:v>
      </x:c>
      <x:c r="D2952" t="str">
        <x:v>主食</x:v>
      </x:c>
      <x:c r="E2952" t="str">
        <x:v>糙米饭</x:v>
      </x:c>
      <x:c r="F2952" t="n">
        <x:v>125</x:v>
      </x:c>
      <x:c r="G2952" t="n">
        <x:v>112</x:v>
      </x:c>
      <x:c r="H2952" t="n">
        <x:f>ROUND(F2952*G2952/100,2)</x:f>
        <x:v>140</x:v>
      </x:c>
      <x:c r="I2952" t="n">
        <x:v>2.6</x:v>
      </x:c>
      <x:c r="J2952" t="n">
        <x:f>ROUND(F2952*I2952/100,2)</x:f>
        <x:v>3.25</x:v>
      </x:c>
      <x:c r="K2952" t="n">
        <x:v>23.5</x:v>
      </x:c>
      <x:c r="L2952" t="n">
        <x:f>ROUND(F2952*K2952/100,2)</x:f>
        <x:v>29.38</x:v>
      </x:c>
      <x:c r="M2952" t="n">
        <x:v>0.9</x:v>
      </x:c>
      <x:c r="N2952" t="n">
        <x:f>ROUND(F2952*M2952/100,2)</x:f>
        <x:v>1.13</x:v>
      </x:c>
      <x:c r="O2952" t="str">
        <x:v>熟重</x:v>
      </x:c>
    </x:row>
    <x:row r="2953" ht="23" customHeight="1">
      <x:c r="A2953" t="n">
        <x:v>492</x:v>
      </x:c>
      <x:c r="B2953" t="n">
        <x:v>246</x:v>
      </x:c>
      <x:c r="C2953" t="str">
        <x:v>晚餐</x:v>
      </x:c>
      <x:c r="D2953" t="str">
        <x:v>油脂</x:v>
      </x:c>
      <x:c r="E2953" t="str">
        <x:v>烹调油</x:v>
      </x:c>
      <x:c r="F2953" t="n">
        <x:v>3</x:v>
      </x:c>
      <x:c r="G2953" t="n">
        <x:v>900</x:v>
      </x:c>
      <x:c r="H2953" t="n">
        <x:f>ROUND(F2953*G2953/100,2)</x:f>
        <x:v>27</x:v>
      </x:c>
      <x:c r="I2953" t="n">
        <x:v>0</x:v>
      </x:c>
      <x:c r="J2953" t="n">
        <x:f>ROUND(F2953*I2953/100,2)</x:f>
        <x:v>0</x:v>
      </x:c>
      <x:c r="K2953" t="n">
        <x:v>0</x:v>
      </x:c>
      <x:c r="L2953" t="n">
        <x:f>ROUND(F2953*K2953/100,2)</x:f>
        <x:v>0</x:v>
      </x:c>
      <x:c r="M2953" t="n">
        <x:v>100</x:v>
      </x:c>
      <x:c r="N2953" t="n">
        <x:f>ROUND(F2953*M2953/100,2)</x:f>
        <x:v>3</x:v>
      </x:c>
      <x:c r="O2953" t="str">
        <x:v>实际用油重</x:v>
      </x:c>
    </x:row>
    <x:row r="2954" ht="23" customHeight="1">
      <x:c r="A2954" t="n">
        <x:v>493</x:v>
      </x:c>
      <x:c r="B2954" t="n">
        <x:v>247</x:v>
      </x:c>
      <x:c r="C2954" t="str">
        <x:v>午餐</x:v>
      </x:c>
      <x:c r="D2954" t="str">
        <x:v>鱼类</x:v>
      </x:c>
      <x:c r="E2954" t="str">
        <x:v>鲈鱼</x:v>
      </x:c>
      <x:c r="F2954" t="n">
        <x:v>175</x:v>
      </x:c>
      <x:c r="G2954" t="n">
        <x:v>105</x:v>
      </x:c>
      <x:c r="H2954" t="n">
        <x:f>ROUND(F2954*G2954/100,2)</x:f>
        <x:v>183.75</x:v>
      </x:c>
      <x:c r="I2954" t="n">
        <x:v>19</x:v>
      </x:c>
      <x:c r="J2954" t="n">
        <x:f>ROUND(F2954*I2954/100,2)</x:f>
        <x:v>33.25</x:v>
      </x:c>
      <x:c r="K2954" t="n">
        <x:v>0</x:v>
      </x:c>
      <x:c r="L2954" t="n">
        <x:f>ROUND(F2954*K2954/100,2)</x:f>
        <x:v>0</x:v>
      </x:c>
      <x:c r="M2954" t="n">
        <x:v>3</x:v>
      </x:c>
      <x:c r="N2954" t="n">
        <x:f>ROUND(F2954*M2954/100,2)</x:f>
        <x:v>5.25</x:v>
      </x:c>
      <x:c r="O2954" t="str">
        <x:v>净鱼肉生重</x:v>
      </x:c>
    </x:row>
    <x:row r="2955" ht="23" customHeight="1">
      <x:c r="A2955" t="n">
        <x:v>493</x:v>
      </x:c>
      <x:c r="B2955" t="n">
        <x:v>247</x:v>
      </x:c>
      <x:c r="C2955" t="str">
        <x:v>午餐</x:v>
      </x:c>
      <x:c r="D2955" t="str">
        <x:v>豆蛋</x:v>
      </x:c>
      <x:c r="E2955" t="str">
        <x:v>嫩豆腐</x:v>
      </x:c>
      <x:c r="F2955" t="n">
        <x:v>110</x:v>
      </x:c>
      <x:c r="G2955" t="n">
        <x:v>55</x:v>
      </x:c>
      <x:c r="H2955" t="n">
        <x:f>ROUND(F2955*G2955/100,2)</x:f>
        <x:v>60.5</x:v>
      </x:c>
      <x:c r="I2955" t="n">
        <x:v>5</x:v>
      </x:c>
      <x:c r="J2955" t="n">
        <x:f>ROUND(F2955*I2955/100,2)</x:f>
        <x:v>5.5</x:v>
      </x:c>
      <x:c r="K2955" t="n">
        <x:v>2</x:v>
      </x:c>
      <x:c r="L2955" t="n">
        <x:f>ROUND(F2955*K2955/100,2)</x:f>
        <x:v>2.2</x:v>
      </x:c>
      <x:c r="M2955" t="n">
        <x:v>2.8</x:v>
      </x:c>
      <x:c r="N2955" t="n">
        <x:f>ROUND(F2955*M2955/100,2)</x:f>
        <x:v>3.08</x:v>
      </x:c>
      <x:c r="O2955" t="str">
        <x:v>净重</x:v>
      </x:c>
    </x:row>
    <x:row r="2956" ht="23" customHeight="1">
      <x:c r="A2956" t="n">
        <x:v>493</x:v>
      </x:c>
      <x:c r="B2956" t="n">
        <x:v>247</x:v>
      </x:c>
      <x:c r="C2956" t="str">
        <x:v>午餐</x:v>
      </x:c>
      <x:c r="D2956" t="str">
        <x:v>蔬菜</x:v>
      </x:c>
      <x:c r="E2956" t="str">
        <x:v>番茄</x:v>
      </x:c>
      <x:c r="F2956" t="n">
        <x:v>175</x:v>
      </x:c>
      <x:c r="G2956" t="n">
        <x:v>20</x:v>
      </x:c>
      <x:c r="H2956" t="n">
        <x:f>ROUND(F2956*G2956/100,2)</x:f>
        <x:v>35</x:v>
      </x:c>
      <x:c r="I2956" t="n">
        <x:v>0.9</x:v>
      </x:c>
      <x:c r="J2956" t="n">
        <x:f>ROUND(F2956*I2956/100,2)</x:f>
        <x:v>1.58</x:v>
      </x:c>
      <x:c r="K2956" t="n">
        <x:v>4</x:v>
      </x:c>
      <x:c r="L2956" t="n">
        <x:f>ROUND(F2956*K2956/100,2)</x:f>
        <x:v>7</x:v>
      </x:c>
      <x:c r="M2956" t="n">
        <x:v>0.2</x:v>
      </x:c>
      <x:c r="N2956" t="n">
        <x:f>ROUND(F2956*M2956/100,2)</x:f>
        <x:v>0.35</x:v>
      </x:c>
      <x:c r="O2956" t="str">
        <x:v>生重</x:v>
      </x:c>
    </x:row>
    <x:row r="2957" ht="23" customHeight="1">
      <x:c r="A2957" t="n">
        <x:v>493</x:v>
      </x:c>
      <x:c r="B2957" t="n">
        <x:v>247</x:v>
      </x:c>
      <x:c r="C2957" t="str">
        <x:v>午餐</x:v>
      </x:c>
      <x:c r="D2957" t="str">
        <x:v>蔬菜</x:v>
      </x:c>
      <x:c r="E2957" t="str">
        <x:v>绿豆芽</x:v>
      </x:c>
      <x:c r="F2957" t="n">
        <x:v>155</x:v>
      </x:c>
      <x:c r="G2957" t="n">
        <x:v>31</x:v>
      </x:c>
      <x:c r="H2957" t="n">
        <x:f>ROUND(F2957*G2957/100,2)</x:f>
        <x:v>48.05</x:v>
      </x:c>
      <x:c r="I2957" t="n">
        <x:v>3</x:v>
      </x:c>
      <x:c r="J2957" t="n">
        <x:f>ROUND(F2957*I2957/100,2)</x:f>
        <x:v>4.65</x:v>
      </x:c>
      <x:c r="K2957" t="n">
        <x:v>6</x:v>
      </x:c>
      <x:c r="L2957" t="n">
        <x:f>ROUND(F2957*K2957/100,2)</x:f>
        <x:v>9.3</x:v>
      </x:c>
      <x:c r="M2957" t="n">
        <x:v>0.2</x:v>
      </x:c>
      <x:c r="N2957" t="n">
        <x:f>ROUND(F2957*M2957/100,2)</x:f>
        <x:v>0.31</x:v>
      </x:c>
      <x:c r="O2957" t="str">
        <x:v>生重</x:v>
      </x:c>
    </x:row>
    <x:row r="2958" ht="23" customHeight="1">
      <x:c r="A2958" t="n">
        <x:v>493</x:v>
      </x:c>
      <x:c r="B2958" t="n">
        <x:v>247</x:v>
      </x:c>
      <x:c r="C2958" t="str">
        <x:v>午餐</x:v>
      </x:c>
      <x:c r="D2958" t="str">
        <x:v>主食</x:v>
      </x:c>
      <x:c r="E2958" t="str">
        <x:v>糙米饭</x:v>
      </x:c>
      <x:c r="F2958" t="n">
        <x:v>150</x:v>
      </x:c>
      <x:c r="G2958" t="n">
        <x:v>112</x:v>
      </x:c>
      <x:c r="H2958" t="n">
        <x:f>ROUND(F2958*G2958/100,2)</x:f>
        <x:v>168</x:v>
      </x:c>
      <x:c r="I2958" t="n">
        <x:v>2.6</x:v>
      </x:c>
      <x:c r="J2958" t="n">
        <x:f>ROUND(F2958*I2958/100,2)</x:f>
        <x:v>3.9</x:v>
      </x:c>
      <x:c r="K2958" t="n">
        <x:v>23.5</x:v>
      </x:c>
      <x:c r="L2958" t="n">
        <x:f>ROUND(F2958*K2958/100,2)</x:f>
        <x:v>35.25</x:v>
      </x:c>
      <x:c r="M2958" t="n">
        <x:v>0.9</x:v>
      </x:c>
      <x:c r="N2958" t="n">
        <x:f>ROUND(F2958*M2958/100,2)</x:f>
        <x:v>1.35</x:v>
      </x:c>
      <x:c r="O2958" t="str">
        <x:v>熟重</x:v>
      </x:c>
    </x:row>
    <x:row r="2959" ht="23" customHeight="1">
      <x:c r="A2959" t="n">
        <x:v>493</x:v>
      </x:c>
      <x:c r="B2959" t="n">
        <x:v>247</x:v>
      </x:c>
      <x:c r="C2959" t="str">
        <x:v>午餐</x:v>
      </x:c>
      <x:c r="D2959" t="str">
        <x:v>油脂</x:v>
      </x:c>
      <x:c r="E2959" t="str">
        <x:v>烹调油</x:v>
      </x:c>
      <x:c r="F2959" t="n">
        <x:v>3</x:v>
      </x:c>
      <x:c r="G2959" t="n">
        <x:v>900</x:v>
      </x:c>
      <x:c r="H2959" t="n">
        <x:f>ROUND(F2959*G2959/100,2)</x:f>
        <x:v>27</x:v>
      </x:c>
      <x:c r="I2959" t="n">
        <x:v>0</x:v>
      </x:c>
      <x:c r="J2959" t="n">
        <x:f>ROUND(F2959*I2959/100,2)</x:f>
        <x:v>0</x:v>
      </x:c>
      <x:c r="K2959" t="n">
        <x:v>0</x:v>
      </x:c>
      <x:c r="L2959" t="n">
        <x:f>ROUND(F2959*K2959/100,2)</x:f>
        <x:v>0</x:v>
      </x:c>
      <x:c r="M2959" t="n">
        <x:v>100</x:v>
      </x:c>
      <x:c r="N2959" t="n">
        <x:f>ROUND(F2959*M2959/100,2)</x:f>
        <x:v>3</x:v>
      </x:c>
      <x:c r="O2959" t="str">
        <x:v>实际用油重</x:v>
      </x:c>
    </x:row>
    <x:row r="2960" ht="23" customHeight="1">
      <x:c r="A2960" t="n">
        <x:v>494</x:v>
      </x:c>
      <x:c r="B2960" t="n">
        <x:v>247</x:v>
      </x:c>
      <x:c r="C2960" t="str">
        <x:v>晚餐</x:v>
      </x:c>
      <x:c r="D2960" t="str">
        <x:v>猪肉</x:v>
      </x:c>
      <x:c r="E2960" t="str">
        <x:v>猪里脊</x:v>
      </x:c>
      <x:c r="F2960" t="n">
        <x:v>170</x:v>
      </x:c>
      <x:c r="G2960" t="n">
        <x:v>120</x:v>
      </x:c>
      <x:c r="H2960" t="n">
        <x:f>ROUND(F2960*G2960/100,2)</x:f>
        <x:v>204</x:v>
      </x:c>
      <x:c r="I2960" t="n">
        <x:v>21</x:v>
      </x:c>
      <x:c r="J2960" t="n">
        <x:f>ROUND(F2960*I2960/100,2)</x:f>
        <x:v>35.7</x:v>
      </x:c>
      <x:c r="K2960" t="n">
        <x:v>0</x:v>
      </x:c>
      <x:c r="L2960" t="n">
        <x:f>ROUND(F2960*K2960/100,2)</x:f>
        <x:v>0</x:v>
      </x:c>
      <x:c r="M2960" t="n">
        <x:v>3.5</x:v>
      </x:c>
      <x:c r="N2960" t="n">
        <x:f>ROUND(F2960*M2960/100,2)</x:f>
        <x:v>5.95</x:v>
      </x:c>
      <x:c r="O2960" t="str">
        <x:v>生重</x:v>
      </x:c>
    </x:row>
    <x:row r="2961" ht="23" customHeight="1">
      <x:c r="A2961" t="n">
        <x:v>494</x:v>
      </x:c>
      <x:c r="B2961" t="n">
        <x:v>247</x:v>
      </x:c>
      <x:c r="C2961" t="str">
        <x:v>晚餐</x:v>
      </x:c>
      <x:c r="D2961" t="str"/>
      <x:c r="E2961" t="str"/>
      <x:c r="F2961" t="n">
        <x:v>0</x:v>
      </x:c>
      <x:c r="G2961" t="n">
        <x:v>0</x:v>
      </x:c>
      <x:c r="H2961" t="n">
        <x:f>ROUND(F2961*G2961/100,2)</x:f>
        <x:v>0</x:v>
      </x:c>
      <x:c r="I2961" t="n">
        <x:v>0</x:v>
      </x:c>
      <x:c r="J2961" t="n">
        <x:f>ROUND(F2961*I2961/100,2)</x:f>
        <x:v>0</x:v>
      </x:c>
      <x:c r="K2961" t="n">
        <x:v>0</x:v>
      </x:c>
      <x:c r="L2961" t="n">
        <x:f>ROUND(F2961*K2961/100,2)</x:f>
        <x:v>0</x:v>
      </x:c>
      <x:c r="M2961" t="n">
        <x:v>0</x:v>
      </x:c>
      <x:c r="N2961" t="n">
        <x:f>ROUND(F2961*M2961/100,2)</x:f>
        <x:v>0</x:v>
      </x:c>
      <x:c r="O2961" t="str"/>
    </x:row>
    <x:row r="2962" ht="23" customHeight="1">
      <x:c r="A2962" t="n">
        <x:v>494</x:v>
      </x:c>
      <x:c r="B2962" t="n">
        <x:v>247</x:v>
      </x:c>
      <x:c r="C2962" t="str">
        <x:v>晚餐</x:v>
      </x:c>
      <x:c r="D2962" t="str">
        <x:v>蔬菜</x:v>
      </x:c>
      <x:c r="E2962" t="str">
        <x:v>西葫芦</x:v>
      </x:c>
      <x:c r="F2962" t="n">
        <x:v>175</x:v>
      </x:c>
      <x:c r="G2962" t="n">
        <x:v>17</x:v>
      </x:c>
      <x:c r="H2962" t="n">
        <x:f>ROUND(F2962*G2962/100,2)</x:f>
        <x:v>29.75</x:v>
      </x:c>
      <x:c r="I2962" t="n">
        <x:v>1.2</x:v>
      </x:c>
      <x:c r="J2962" t="n">
        <x:f>ROUND(F2962*I2962/100,2)</x:f>
        <x:v>2.1</x:v>
      </x:c>
      <x:c r="K2962" t="n">
        <x:v>3.1</x:v>
      </x:c>
      <x:c r="L2962" t="n">
        <x:f>ROUND(F2962*K2962/100,2)</x:f>
        <x:v>5.43</x:v>
      </x:c>
      <x:c r="M2962" t="n">
        <x:v>0.3</x:v>
      </x:c>
      <x:c r="N2962" t="n">
        <x:f>ROUND(F2962*M2962/100,2)</x:f>
        <x:v>0.53</x:v>
      </x:c>
      <x:c r="O2962" t="str">
        <x:v>生重</x:v>
      </x:c>
    </x:row>
    <x:row r="2963" ht="23" customHeight="1">
      <x:c r="A2963" t="n">
        <x:v>494</x:v>
      </x:c>
      <x:c r="B2963" t="n">
        <x:v>247</x:v>
      </x:c>
      <x:c r="C2963" t="str">
        <x:v>晚餐</x:v>
      </x:c>
      <x:c r="D2963" t="str">
        <x:v>蔬菜</x:v>
      </x:c>
      <x:c r="E2963" t="str">
        <x:v>番茄</x:v>
      </x:c>
      <x:c r="F2963" t="n">
        <x:v>155</x:v>
      </x:c>
      <x:c r="G2963" t="n">
        <x:v>20</x:v>
      </x:c>
      <x:c r="H2963" t="n">
        <x:f>ROUND(F2963*G2963/100,2)</x:f>
        <x:v>31</x:v>
      </x:c>
      <x:c r="I2963" t="n">
        <x:v>0.9</x:v>
      </x:c>
      <x:c r="J2963" t="n">
        <x:f>ROUND(F2963*I2963/100,2)</x:f>
        <x:v>1.4</x:v>
      </x:c>
      <x:c r="K2963" t="n">
        <x:v>4</x:v>
      </x:c>
      <x:c r="L2963" t="n">
        <x:f>ROUND(F2963*K2963/100,2)</x:f>
        <x:v>6.2</x:v>
      </x:c>
      <x:c r="M2963" t="n">
        <x:v>0.2</x:v>
      </x:c>
      <x:c r="N2963" t="n">
        <x:f>ROUND(F2963*M2963/100,2)</x:f>
        <x:v>0.31</x:v>
      </x:c>
      <x:c r="O2963" t="str">
        <x:v>生重</x:v>
      </x:c>
    </x:row>
    <x:row r="2964" ht="23" customHeight="1">
      <x:c r="A2964" t="n">
        <x:v>494</x:v>
      </x:c>
      <x:c r="B2964" t="n">
        <x:v>247</x:v>
      </x:c>
      <x:c r="C2964" t="str">
        <x:v>晚餐</x:v>
      </x:c>
      <x:c r="D2964" t="str">
        <x:v>主食</x:v>
      </x:c>
      <x:c r="E2964" t="str">
        <x:v>藜麦饭</x:v>
      </x:c>
      <x:c r="F2964" t="n">
        <x:v>125</x:v>
      </x:c>
      <x:c r="G2964" t="n">
        <x:v>120</x:v>
      </x:c>
      <x:c r="H2964" t="n">
        <x:f>ROUND(F2964*G2964/100,2)</x:f>
        <x:v>150</x:v>
      </x:c>
      <x:c r="I2964" t="n">
        <x:v>4.4</x:v>
      </x:c>
      <x:c r="J2964" t="n">
        <x:f>ROUND(F2964*I2964/100,2)</x:f>
        <x:v>5.5</x:v>
      </x:c>
      <x:c r="K2964" t="n">
        <x:v>21.3</x:v>
      </x:c>
      <x:c r="L2964" t="n">
        <x:f>ROUND(F2964*K2964/100,2)</x:f>
        <x:v>26.63</x:v>
      </x:c>
      <x:c r="M2964" t="n">
        <x:v>1.9</x:v>
      </x:c>
      <x:c r="N2964" t="n">
        <x:f>ROUND(F2964*M2964/100,2)</x:f>
        <x:v>2.38</x:v>
      </x:c>
      <x:c r="O2964" t="str">
        <x:v>熟重</x:v>
      </x:c>
    </x:row>
    <x:row r="2965" ht="23" customHeight="1">
      <x:c r="A2965" t="n">
        <x:v>494</x:v>
      </x:c>
      <x:c r="B2965" t="n">
        <x:v>247</x:v>
      </x:c>
      <x:c r="C2965" t="str">
        <x:v>晚餐</x:v>
      </x:c>
      <x:c r="D2965" t="str">
        <x:v>油脂</x:v>
      </x:c>
      <x:c r="E2965" t="str">
        <x:v>烹调油</x:v>
      </x:c>
      <x:c r="F2965" t="n">
        <x:v>6</x:v>
      </x:c>
      <x:c r="G2965" t="n">
        <x:v>900</x:v>
      </x:c>
      <x:c r="H2965" t="n">
        <x:f>ROUND(F2965*G2965/100,2)</x:f>
        <x:v>54</x:v>
      </x:c>
      <x:c r="I2965" t="n">
        <x:v>0</x:v>
      </x:c>
      <x:c r="J2965" t="n">
        <x:f>ROUND(F2965*I2965/100,2)</x:f>
        <x:v>0</x:v>
      </x:c>
      <x:c r="K2965" t="n">
        <x:v>0</x:v>
      </x:c>
      <x:c r="L2965" t="n">
        <x:f>ROUND(F2965*K2965/100,2)</x:f>
        <x:v>0</x:v>
      </x:c>
      <x:c r="M2965" t="n">
        <x:v>100</x:v>
      </x:c>
      <x:c r="N2965" t="n">
        <x:f>ROUND(F2965*M2965/100,2)</x:f>
        <x:v>6</x:v>
      </x:c>
      <x:c r="O2965" t="str">
        <x:v>实际用油重</x:v>
      </x:c>
    </x:row>
    <x:row r="2966" ht="23" customHeight="1">
      <x:c r="A2966" t="n">
        <x:v>495</x:v>
      </x:c>
      <x:c r="B2966" t="n">
        <x:v>248</x:v>
      </x:c>
      <x:c r="C2966" t="str">
        <x:v>午餐</x:v>
      </x:c>
      <x:c r="D2966" t="str">
        <x:v>鱼类</x:v>
      </x:c>
      <x:c r="E2966" t="str">
        <x:v>鳕鱼</x:v>
      </x:c>
      <x:c r="F2966" t="n">
        <x:v>215</x:v>
      </x:c>
      <x:c r="G2966" t="n">
        <x:v>85</x:v>
      </x:c>
      <x:c r="H2966" t="n">
        <x:f>ROUND(F2966*G2966/100,2)</x:f>
        <x:v>182.75</x:v>
      </x:c>
      <x:c r="I2966" t="n">
        <x:v>18</x:v>
      </x:c>
      <x:c r="J2966" t="n">
        <x:f>ROUND(F2966*I2966/100,2)</x:f>
        <x:v>38.7</x:v>
      </x:c>
      <x:c r="K2966" t="n">
        <x:v>0</x:v>
      </x:c>
      <x:c r="L2966" t="n">
        <x:f>ROUND(F2966*K2966/100,2)</x:f>
        <x:v>0</x:v>
      </x:c>
      <x:c r="M2966" t="n">
        <x:v>0.8</x:v>
      </x:c>
      <x:c r="N2966" t="n">
        <x:f>ROUND(F2966*M2966/100,2)</x:f>
        <x:v>1.72</x:v>
      </x:c>
      <x:c r="O2966" t="str">
        <x:v>净鱼肉生重</x:v>
      </x:c>
    </x:row>
    <x:row r="2967" ht="23" customHeight="1">
      <x:c r="A2967" t="n">
        <x:v>495</x:v>
      </x:c>
      <x:c r="B2967" t="n">
        <x:v>248</x:v>
      </x:c>
      <x:c r="C2967" t="str">
        <x:v>午餐</x:v>
      </x:c>
      <x:c r="D2967" t="str"/>
      <x:c r="E2967" t="str"/>
      <x:c r="F2967" t="n">
        <x:v>0</x:v>
      </x:c>
      <x:c r="G2967" t="n">
        <x:v>0</x:v>
      </x:c>
      <x:c r="H2967" t="n">
        <x:f>ROUND(F2967*G2967/100,2)</x:f>
        <x:v>0</x:v>
      </x:c>
      <x:c r="I2967" t="n">
        <x:v>0</x:v>
      </x:c>
      <x:c r="J2967" t="n">
        <x:f>ROUND(F2967*I2967/100,2)</x:f>
        <x:v>0</x:v>
      </x:c>
      <x:c r="K2967" t="n">
        <x:v>0</x:v>
      </x:c>
      <x:c r="L2967" t="n">
        <x:f>ROUND(F2967*K2967/100,2)</x:f>
        <x:v>0</x:v>
      </x:c>
      <x:c r="M2967" t="n">
        <x:v>0</x:v>
      </x:c>
      <x:c r="N2967" t="n">
        <x:f>ROUND(F2967*M2967/100,2)</x:f>
        <x:v>0</x:v>
      </x:c>
      <x:c r="O2967" t="str"/>
    </x:row>
    <x:row r="2968" ht="23" customHeight="1">
      <x:c r="A2968" t="n">
        <x:v>495</x:v>
      </x:c>
      <x:c r="B2968" t="n">
        <x:v>248</x:v>
      </x:c>
      <x:c r="C2968" t="str">
        <x:v>午餐</x:v>
      </x:c>
      <x:c r="D2968" t="str">
        <x:v>蔬菜</x:v>
      </x:c>
      <x:c r="E2968" t="str">
        <x:v>大白菜</x:v>
      </x:c>
      <x:c r="F2968" t="n">
        <x:v>175</x:v>
      </x:c>
      <x:c r="G2968" t="n">
        <x:v>17</x:v>
      </x:c>
      <x:c r="H2968" t="n">
        <x:f>ROUND(F2968*G2968/100,2)</x:f>
        <x:v>29.75</x:v>
      </x:c>
      <x:c r="I2968" t="n">
        <x:v>1.5</x:v>
      </x:c>
      <x:c r="J2968" t="n">
        <x:f>ROUND(F2968*I2968/100,2)</x:f>
        <x:v>2.63</x:v>
      </x:c>
      <x:c r="K2968" t="n">
        <x:v>3.2</x:v>
      </x:c>
      <x:c r="L2968" t="n">
        <x:f>ROUND(F2968*K2968/100,2)</x:f>
        <x:v>5.6</x:v>
      </x:c>
      <x:c r="M2968" t="n">
        <x:v>0.1</x:v>
      </x:c>
      <x:c r="N2968" t="n">
        <x:f>ROUND(F2968*M2968/100,2)</x:f>
        <x:v>0.18</x:v>
      </x:c>
      <x:c r="O2968" t="str">
        <x:v>生重</x:v>
      </x:c>
    </x:row>
    <x:row r="2969" ht="23" customHeight="1">
      <x:c r="A2969" t="n">
        <x:v>495</x:v>
      </x:c>
      <x:c r="B2969" t="n">
        <x:v>248</x:v>
      </x:c>
      <x:c r="C2969" t="str">
        <x:v>午餐</x:v>
      </x:c>
      <x:c r="D2969" t="str">
        <x:v>菌菇</x:v>
      </x:c>
      <x:c r="E2969" t="str">
        <x:v>口蘑</x:v>
      </x:c>
      <x:c r="F2969" t="n">
        <x:v>125</x:v>
      </x:c>
      <x:c r="G2969" t="n">
        <x:v>22</x:v>
      </x:c>
      <x:c r="H2969" t="n">
        <x:f>ROUND(F2969*G2969/100,2)</x:f>
        <x:v>27.5</x:v>
      </x:c>
      <x:c r="I2969" t="n">
        <x:v>3.1</x:v>
      </x:c>
      <x:c r="J2969" t="n">
        <x:f>ROUND(F2969*I2969/100,2)</x:f>
        <x:v>3.88</x:v>
      </x:c>
      <x:c r="K2969" t="n">
        <x:v>3.3</x:v>
      </x:c>
      <x:c r="L2969" t="n">
        <x:f>ROUND(F2969*K2969/100,2)</x:f>
        <x:v>4.13</x:v>
      </x:c>
      <x:c r="M2969" t="n">
        <x:v>0.3</x:v>
      </x:c>
      <x:c r="N2969" t="n">
        <x:f>ROUND(F2969*M2969/100,2)</x:f>
        <x:v>0.38</x:v>
      </x:c>
      <x:c r="O2969" t="str">
        <x:v>生重</x:v>
      </x:c>
    </x:row>
    <x:row r="2970" ht="23" customHeight="1">
      <x:c r="A2970" t="n">
        <x:v>495</x:v>
      </x:c>
      <x:c r="B2970" t="n">
        <x:v>248</x:v>
      </x:c>
      <x:c r="C2970" t="str">
        <x:v>午餐</x:v>
      </x:c>
      <x:c r="D2970" t="str">
        <x:v>主食</x:v>
      </x:c>
      <x:c r="E2970" t="str">
        <x:v>乌冬面</x:v>
      </x:c>
      <x:c r="F2970" t="n">
        <x:v>125</x:v>
      </x:c>
      <x:c r="G2970" t="n">
        <x:v>120</x:v>
      </x:c>
      <x:c r="H2970" t="n">
        <x:f>ROUND(F2970*G2970/100,2)</x:f>
        <x:v>150</x:v>
      </x:c>
      <x:c r="I2970" t="n">
        <x:v>2.5</x:v>
      </x:c>
      <x:c r="J2970" t="n">
        <x:f>ROUND(F2970*I2970/100,2)</x:f>
        <x:v>3.13</x:v>
      </x:c>
      <x:c r="K2970" t="n">
        <x:v>25</x:v>
      </x:c>
      <x:c r="L2970" t="n">
        <x:f>ROUND(F2970*K2970/100,2)</x:f>
        <x:v>31.25</x:v>
      </x:c>
      <x:c r="M2970" t="n">
        <x:v>0.6</x:v>
      </x:c>
      <x:c r="N2970" t="n">
        <x:f>ROUND(F2970*M2970/100,2)</x:f>
        <x:v>0.75</x:v>
      </x:c>
      <x:c r="O2970" t="str">
        <x:v>煮熟沥水重</x:v>
      </x:c>
    </x:row>
    <x:row r="2971" ht="23" customHeight="1">
      <x:c r="A2971" t="n">
        <x:v>495</x:v>
      </x:c>
      <x:c r="B2971" t="n">
        <x:v>248</x:v>
      </x:c>
      <x:c r="C2971" t="str">
        <x:v>午餐</x:v>
      </x:c>
      <x:c r="D2971" t="str">
        <x:v>油脂</x:v>
      </x:c>
      <x:c r="E2971" t="str">
        <x:v>烹调油</x:v>
      </x:c>
      <x:c r="F2971" t="n">
        <x:v>3</x:v>
      </x:c>
      <x:c r="G2971" t="n">
        <x:v>900</x:v>
      </x:c>
      <x:c r="H2971" t="n">
        <x:f>ROUND(F2971*G2971/100,2)</x:f>
        <x:v>27</x:v>
      </x:c>
      <x:c r="I2971" t="n">
        <x:v>0</x:v>
      </x:c>
      <x:c r="J2971" t="n">
        <x:f>ROUND(F2971*I2971/100,2)</x:f>
        <x:v>0</x:v>
      </x:c>
      <x:c r="K2971" t="n">
        <x:v>0</x:v>
      </x:c>
      <x:c r="L2971" t="n">
        <x:f>ROUND(F2971*K2971/100,2)</x:f>
        <x:v>0</x:v>
      </x:c>
      <x:c r="M2971" t="n">
        <x:v>100</x:v>
      </x:c>
      <x:c r="N2971" t="n">
        <x:f>ROUND(F2971*M2971/100,2)</x:f>
        <x:v>3</x:v>
      </x:c>
      <x:c r="O2971" t="str">
        <x:v>实际用油重</x:v>
      </x:c>
    </x:row>
    <x:row r="2972" ht="23" customHeight="1">
      <x:c r="A2972" t="n">
        <x:v>496</x:v>
      </x:c>
      <x:c r="B2972" t="n">
        <x:v>248</x:v>
      </x:c>
      <x:c r="C2972" t="str">
        <x:v>晚餐</x:v>
      </x:c>
      <x:c r="D2972" t="str">
        <x:v>豆蛋</x:v>
      </x:c>
      <x:c r="E2972" t="str">
        <x:v>北豆腐</x:v>
      </x:c>
      <x:c r="F2972" t="n">
        <x:v>240</x:v>
      </x:c>
      <x:c r="G2972" t="n">
        <x:v>90</x:v>
      </x:c>
      <x:c r="H2972" t="n">
        <x:f>ROUND(F2972*G2972/100,2)</x:f>
        <x:v>216</x:v>
      </x:c>
      <x:c r="I2972" t="n">
        <x:v>10</x:v>
      </x:c>
      <x:c r="J2972" t="n">
        <x:f>ROUND(F2972*I2972/100,2)</x:f>
        <x:v>24</x:v>
      </x:c>
      <x:c r="K2972" t="n">
        <x:v>2</x:v>
      </x:c>
      <x:c r="L2972" t="n">
        <x:f>ROUND(F2972*K2972/100,2)</x:f>
        <x:v>4.8</x:v>
      </x:c>
      <x:c r="M2972" t="n">
        <x:v>5</x:v>
      </x:c>
      <x:c r="N2972" t="n">
        <x:f>ROUND(F2972*M2972/100,2)</x:f>
        <x:v>12</x:v>
      </x:c>
      <x:c r="O2972" t="str">
        <x:v>净重</x:v>
      </x:c>
    </x:row>
    <x:row r="2973" ht="23" customHeight="1">
      <x:c r="A2973" t="n">
        <x:v>496</x:v>
      </x:c>
      <x:c r="B2973" t="n">
        <x:v>248</x:v>
      </x:c>
      <x:c r="C2973" t="str">
        <x:v>晚餐</x:v>
      </x:c>
      <x:c r="D2973" t="str">
        <x:v>豆蛋</x:v>
      </x:c>
      <x:c r="E2973" t="str">
        <x:v>熟毛豆仁</x:v>
      </x:c>
      <x:c r="F2973" t="n">
        <x:v>50</x:v>
      </x:c>
      <x:c r="G2973" t="n">
        <x:v>120</x:v>
      </x:c>
      <x:c r="H2973" t="n">
        <x:f>ROUND(F2973*G2973/100,2)</x:f>
        <x:v>60</x:v>
      </x:c>
      <x:c r="I2973" t="n">
        <x:v>12</x:v>
      </x:c>
      <x:c r="J2973" t="n">
        <x:f>ROUND(F2973*I2973/100,2)</x:f>
        <x:v>6</x:v>
      </x:c>
      <x:c r="K2973" t="n">
        <x:v>9</x:v>
      </x:c>
      <x:c r="L2973" t="n">
        <x:f>ROUND(F2973*K2973/100,2)</x:f>
        <x:v>4.5</x:v>
      </x:c>
      <x:c r="M2973" t="n">
        <x:v>5</x:v>
      </x:c>
      <x:c r="N2973" t="n">
        <x:f>ROUND(F2973*M2973/100,2)</x:f>
        <x:v>2.5</x:v>
      </x:c>
      <x:c r="O2973" t="str">
        <x:v>熟重</x:v>
      </x:c>
    </x:row>
    <x:row r="2974" ht="23" customHeight="1">
      <x:c r="A2974" t="n">
        <x:v>496</x:v>
      </x:c>
      <x:c r="B2974" t="n">
        <x:v>248</x:v>
      </x:c>
      <x:c r="C2974" t="str">
        <x:v>晚餐</x:v>
      </x:c>
      <x:c r="D2974" t="str">
        <x:v>蔬菜</x:v>
      </x:c>
      <x:c r="E2974" t="str">
        <x:v>芹菜</x:v>
      </x:c>
      <x:c r="F2974" t="n">
        <x:v>190</x:v>
      </x:c>
      <x:c r="G2974" t="n">
        <x:v>17</x:v>
      </x:c>
      <x:c r="H2974" t="n">
        <x:f>ROUND(F2974*G2974/100,2)</x:f>
        <x:v>32.3</x:v>
      </x:c>
      <x:c r="I2974" t="n">
        <x:v>1</x:v>
      </x:c>
      <x:c r="J2974" t="n">
        <x:f>ROUND(F2974*I2974/100,2)</x:f>
        <x:v>1.9</x:v>
      </x:c>
      <x:c r="K2974" t="n">
        <x:v>3.5</x:v>
      </x:c>
      <x:c r="L2974" t="n">
        <x:f>ROUND(F2974*K2974/100,2)</x:f>
        <x:v>6.65</x:v>
      </x:c>
      <x:c r="M2974" t="n">
        <x:v>0.1</x:v>
      </x:c>
      <x:c r="N2974" t="n">
        <x:f>ROUND(F2974*M2974/100,2)</x:f>
        <x:v>0.19</x:v>
      </x:c>
      <x:c r="O2974" t="str">
        <x:v>生重</x:v>
      </x:c>
    </x:row>
    <x:row r="2975" ht="23" customHeight="1">
      <x:c r="A2975" t="n">
        <x:v>496</x:v>
      </x:c>
      <x:c r="B2975" t="n">
        <x:v>248</x:v>
      </x:c>
      <x:c r="C2975" t="str">
        <x:v>晚餐</x:v>
      </x:c>
      <x:c r="D2975" t="str">
        <x:v>菌菇</x:v>
      </x:c>
      <x:c r="E2975" t="str">
        <x:v>香菇</x:v>
      </x:c>
      <x:c r="F2975" t="n">
        <x:v>155</x:v>
      </x:c>
      <x:c r="G2975" t="n">
        <x:v>34</x:v>
      </x:c>
      <x:c r="H2975" t="n">
        <x:f>ROUND(F2975*G2975/100,2)</x:f>
        <x:v>52.7</x:v>
      </x:c>
      <x:c r="I2975" t="n">
        <x:v>2.2</x:v>
      </x:c>
      <x:c r="J2975" t="n">
        <x:f>ROUND(F2975*I2975/100,2)</x:f>
        <x:v>3.41</x:v>
      </x:c>
      <x:c r="K2975" t="n">
        <x:v>6.8</x:v>
      </x:c>
      <x:c r="L2975" t="n">
        <x:f>ROUND(F2975*K2975/100,2)</x:f>
        <x:v>10.54</x:v>
      </x:c>
      <x:c r="M2975" t="n">
        <x:v>0.5</x:v>
      </x:c>
      <x:c r="N2975" t="n">
        <x:f>ROUND(F2975*M2975/100,2)</x:f>
        <x:v>0.78</x:v>
      </x:c>
      <x:c r="O2975" t="str">
        <x:v>生重</x:v>
      </x:c>
    </x:row>
    <x:row r="2976" ht="23" customHeight="1">
      <x:c r="A2976" t="n">
        <x:v>496</x:v>
      </x:c>
      <x:c r="B2976" t="n">
        <x:v>248</x:v>
      </x:c>
      <x:c r="C2976" t="str">
        <x:v>晚餐</x:v>
      </x:c>
      <x:c r="D2976" t="str">
        <x:v>主食</x:v>
      </x:c>
      <x:c r="E2976" t="str">
        <x:v>杂粮饭</x:v>
      </x:c>
      <x:c r="F2976" t="n">
        <x:v>110</x:v>
      </x:c>
      <x:c r="G2976" t="n">
        <x:v>115</x:v>
      </x:c>
      <x:c r="H2976" t="n">
        <x:f>ROUND(F2976*G2976/100,2)</x:f>
        <x:v>126.5</x:v>
      </x:c>
      <x:c r="I2976" t="n">
        <x:v>3.1</x:v>
      </x:c>
      <x:c r="J2976" t="n">
        <x:f>ROUND(F2976*I2976/100,2)</x:f>
        <x:v>3.41</x:v>
      </x:c>
      <x:c r="K2976" t="n">
        <x:v>23.5</x:v>
      </x:c>
      <x:c r="L2976" t="n">
        <x:f>ROUND(F2976*K2976/100,2)</x:f>
        <x:v>25.85</x:v>
      </x:c>
      <x:c r="M2976" t="n">
        <x:v>1.1</x:v>
      </x:c>
      <x:c r="N2976" t="n">
        <x:f>ROUND(F2976*M2976/100,2)</x:f>
        <x:v>1.21</x:v>
      </x:c>
      <x:c r="O2976" t="str">
        <x:v>熟重</x:v>
      </x:c>
    </x:row>
    <x:row r="2977" ht="23" customHeight="1">
      <x:c r="A2977" t="n">
        <x:v>496</x:v>
      </x:c>
      <x:c r="B2977" t="n">
        <x:v>248</x:v>
      </x:c>
      <x:c r="C2977" t="str">
        <x:v>晚餐</x:v>
      </x:c>
      <x:c r="D2977" t="str">
        <x:v>油脂</x:v>
      </x:c>
      <x:c r="E2977" t="str">
        <x:v>烹调油</x:v>
      </x:c>
      <x:c r="F2977" t="n">
        <x:v>6</x:v>
      </x:c>
      <x:c r="G2977" t="n">
        <x:v>900</x:v>
      </x:c>
      <x:c r="H2977" t="n">
        <x:f>ROUND(F2977*G2977/100,2)</x:f>
        <x:v>54</x:v>
      </x:c>
      <x:c r="I2977" t="n">
        <x:v>0</x:v>
      </x:c>
      <x:c r="J2977" t="n">
        <x:f>ROUND(F2977*I2977/100,2)</x:f>
        <x:v>0</x:v>
      </x:c>
      <x:c r="K2977" t="n">
        <x:v>0</x:v>
      </x:c>
      <x:c r="L2977" t="n">
        <x:f>ROUND(F2977*K2977/100,2)</x:f>
        <x:v>0</x:v>
      </x:c>
      <x:c r="M2977" t="n">
        <x:v>100</x:v>
      </x:c>
      <x:c r="N2977" t="n">
        <x:f>ROUND(F2977*M2977/100,2)</x:f>
        <x:v>6</x:v>
      </x:c>
      <x:c r="O2977" t="str">
        <x:v>实际用油重</x:v>
      </x:c>
    </x:row>
    <x:row r="2978" ht="23" customHeight="1">
      <x:c r="A2978" t="n">
        <x:v>497</x:v>
      </x:c>
      <x:c r="B2978" t="n">
        <x:v>249</x:v>
      </x:c>
      <x:c r="C2978" t="str">
        <x:v>午餐</x:v>
      </x:c>
      <x:c r="D2978" t="str">
        <x:v>禽肉</x:v>
      </x:c>
      <x:c r="E2978" t="str">
        <x:v>鸡胸肉</x:v>
      </x:c>
      <x:c r="F2978" t="n">
        <x:v>155</x:v>
      </x:c>
      <x:c r="G2978" t="n">
        <x:v>110</x:v>
      </x:c>
      <x:c r="H2978" t="n">
        <x:f>ROUND(F2978*G2978/100,2)</x:f>
        <x:v>170.5</x:v>
      </x:c>
      <x:c r="I2978" t="n">
        <x:v>23</x:v>
      </x:c>
      <x:c r="J2978" t="n">
        <x:f>ROUND(F2978*I2978/100,2)</x:f>
        <x:v>35.65</x:v>
      </x:c>
      <x:c r="K2978" t="n">
        <x:v>0</x:v>
      </x:c>
      <x:c r="L2978" t="n">
        <x:f>ROUND(F2978*K2978/100,2)</x:f>
        <x:v>0</x:v>
      </x:c>
      <x:c r="M2978" t="n">
        <x:v>2</x:v>
      </x:c>
      <x:c r="N2978" t="n">
        <x:f>ROUND(F2978*M2978/100,2)</x:f>
        <x:v>3.1</x:v>
      </x:c>
      <x:c r="O2978" t="str">
        <x:v>生重</x:v>
      </x:c>
    </x:row>
    <x:row r="2979" ht="23" customHeight="1">
      <x:c r="A2979" t="n">
        <x:v>497</x:v>
      </x:c>
      <x:c r="B2979" t="n">
        <x:v>249</x:v>
      </x:c>
      <x:c r="C2979" t="str">
        <x:v>午餐</x:v>
      </x:c>
      <x:c r="D2979" t="str"/>
      <x:c r="E2979" t="str"/>
      <x:c r="F2979" t="n">
        <x:v>0</x:v>
      </x:c>
      <x:c r="G2979" t="n">
        <x:v>0</x:v>
      </x:c>
      <x:c r="H2979" t="n">
        <x:f>ROUND(F2979*G2979/100,2)</x:f>
        <x:v>0</x:v>
      </x:c>
      <x:c r="I2979" t="n">
        <x:v>0</x:v>
      </x:c>
      <x:c r="J2979" t="n">
        <x:f>ROUND(F2979*I2979/100,2)</x:f>
        <x:v>0</x:v>
      </x:c>
      <x:c r="K2979" t="n">
        <x:v>0</x:v>
      </x:c>
      <x:c r="L2979" t="n">
        <x:f>ROUND(F2979*K2979/100,2)</x:f>
        <x:v>0</x:v>
      </x:c>
      <x:c r="M2979" t="n">
        <x:v>0</x:v>
      </x:c>
      <x:c r="N2979" t="n">
        <x:f>ROUND(F2979*M2979/100,2)</x:f>
        <x:v>0</x:v>
      </x:c>
      <x:c r="O2979" t="str"/>
    </x:row>
    <x:row r="2980" ht="23" customHeight="1">
      <x:c r="A2980" t="n">
        <x:v>497</x:v>
      </x:c>
      <x:c r="B2980" t="n">
        <x:v>249</x:v>
      </x:c>
      <x:c r="C2980" t="str">
        <x:v>午餐</x:v>
      </x:c>
      <x:c r="D2980" t="str">
        <x:v>蔬菜</x:v>
      </x:c>
      <x:c r="E2980" t="str">
        <x:v>秋葵</x:v>
      </x:c>
      <x:c r="F2980" t="n">
        <x:v>175</x:v>
      </x:c>
      <x:c r="G2980" t="n">
        <x:v>33</x:v>
      </x:c>
      <x:c r="H2980" t="n">
        <x:f>ROUND(F2980*G2980/100,2)</x:f>
        <x:v>57.75</x:v>
      </x:c>
      <x:c r="I2980" t="n">
        <x:v>1.9</x:v>
      </x:c>
      <x:c r="J2980" t="n">
        <x:f>ROUND(F2980*I2980/100,2)</x:f>
        <x:v>3.33</x:v>
      </x:c>
      <x:c r="K2980" t="n">
        <x:v>7.5</x:v>
      </x:c>
      <x:c r="L2980" t="n">
        <x:f>ROUND(F2980*K2980/100,2)</x:f>
        <x:v>13.13</x:v>
      </x:c>
      <x:c r="M2980" t="n">
        <x:v>0.2</x:v>
      </x:c>
      <x:c r="N2980" t="n">
        <x:f>ROUND(F2980*M2980/100,2)</x:f>
        <x:v>0.35</x:v>
      </x:c>
      <x:c r="O2980" t="str">
        <x:v>生重</x:v>
      </x:c>
    </x:row>
    <x:row r="2981" ht="23" customHeight="1">
      <x:c r="A2981" t="n">
        <x:v>497</x:v>
      </x:c>
      <x:c r="B2981" t="n">
        <x:v>249</x:v>
      </x:c>
      <x:c r="C2981" t="str">
        <x:v>午餐</x:v>
      </x:c>
      <x:c r="D2981" t="str">
        <x:v>蔬菜</x:v>
      </x:c>
      <x:c r="E2981" t="str">
        <x:v>紫甘蓝</x:v>
      </x:c>
      <x:c r="F2981" t="n">
        <x:v>140</x:v>
      </x:c>
      <x:c r="G2981" t="n">
        <x:v>31</x:v>
      </x:c>
      <x:c r="H2981" t="n">
        <x:f>ROUND(F2981*G2981/100,2)</x:f>
        <x:v>43.4</x:v>
      </x:c>
      <x:c r="I2981" t="n">
        <x:v>1.4</x:v>
      </x:c>
      <x:c r="J2981" t="n">
        <x:f>ROUND(F2981*I2981/100,2)</x:f>
        <x:v>1.96</x:v>
      </x:c>
      <x:c r="K2981" t="n">
        <x:v>7.3</x:v>
      </x:c>
      <x:c r="L2981" t="n">
        <x:f>ROUND(F2981*K2981/100,2)</x:f>
        <x:v>10.22</x:v>
      </x:c>
      <x:c r="M2981" t="n">
        <x:v>0.1</x:v>
      </x:c>
      <x:c r="N2981" t="n">
        <x:f>ROUND(F2981*M2981/100,2)</x:f>
        <x:v>0.14</x:v>
      </x:c>
      <x:c r="O2981" t="str">
        <x:v>生重</x:v>
      </x:c>
    </x:row>
    <x:row r="2982" ht="23" customHeight="1">
      <x:c r="A2982" t="n">
        <x:v>497</x:v>
      </x:c>
      <x:c r="B2982" t="n">
        <x:v>249</x:v>
      </x:c>
      <x:c r="C2982" t="str">
        <x:v>午餐</x:v>
      </x:c>
      <x:c r="D2982" t="str">
        <x:v>主食</x:v>
      </x:c>
      <x:c r="E2982" t="str">
        <x:v>糙米饭</x:v>
      </x:c>
      <x:c r="F2982" t="n">
        <x:v>150</x:v>
      </x:c>
      <x:c r="G2982" t="n">
        <x:v>112</x:v>
      </x:c>
      <x:c r="H2982" t="n">
        <x:f>ROUND(F2982*G2982/100,2)</x:f>
        <x:v>168</x:v>
      </x:c>
      <x:c r="I2982" t="n">
        <x:v>2.6</x:v>
      </x:c>
      <x:c r="J2982" t="n">
        <x:f>ROUND(F2982*I2982/100,2)</x:f>
        <x:v>3.9</x:v>
      </x:c>
      <x:c r="K2982" t="n">
        <x:v>23.5</x:v>
      </x:c>
      <x:c r="L2982" t="n">
        <x:f>ROUND(F2982*K2982/100,2)</x:f>
        <x:v>35.25</x:v>
      </x:c>
      <x:c r="M2982" t="n">
        <x:v>0.9</x:v>
      </x:c>
      <x:c r="N2982" t="n">
        <x:f>ROUND(F2982*M2982/100,2)</x:f>
        <x:v>1.35</x:v>
      </x:c>
      <x:c r="O2982" t="str">
        <x:v>熟重</x:v>
      </x:c>
    </x:row>
    <x:row r="2983" ht="23" customHeight="1">
      <x:c r="A2983" t="n">
        <x:v>497</x:v>
      </x:c>
      <x:c r="B2983" t="n">
        <x:v>249</x:v>
      </x:c>
      <x:c r="C2983" t="str">
        <x:v>午餐</x:v>
      </x:c>
      <x:c r="D2983" t="str">
        <x:v>油脂</x:v>
      </x:c>
      <x:c r="E2983" t="str">
        <x:v>烹调油</x:v>
      </x:c>
      <x:c r="F2983" t="n">
        <x:v>3</x:v>
      </x:c>
      <x:c r="G2983" t="n">
        <x:v>900</x:v>
      </x:c>
      <x:c r="H2983" t="n">
        <x:f>ROUND(F2983*G2983/100,2)</x:f>
        <x:v>27</x:v>
      </x:c>
      <x:c r="I2983" t="n">
        <x:v>0</x:v>
      </x:c>
      <x:c r="J2983" t="n">
        <x:f>ROUND(F2983*I2983/100,2)</x:f>
        <x:v>0</x:v>
      </x:c>
      <x:c r="K2983" t="n">
        <x:v>0</x:v>
      </x:c>
      <x:c r="L2983" t="n">
        <x:f>ROUND(F2983*K2983/100,2)</x:f>
        <x:v>0</x:v>
      </x:c>
      <x:c r="M2983" t="n">
        <x:v>100</x:v>
      </x:c>
      <x:c r="N2983" t="n">
        <x:f>ROUND(F2983*M2983/100,2)</x:f>
        <x:v>3</x:v>
      </x:c>
      <x:c r="O2983" t="str">
        <x:v>实际用油重</x:v>
      </x:c>
    </x:row>
    <x:row r="2984" ht="23" customHeight="1">
      <x:c r="A2984" t="n">
        <x:v>498</x:v>
      </x:c>
      <x:c r="B2984" t="n">
        <x:v>249</x:v>
      </x:c>
      <x:c r="C2984" t="str">
        <x:v>晚餐</x:v>
      </x:c>
      <x:c r="D2984" t="str">
        <x:v>海鲜</x:v>
      </x:c>
      <x:c r="E2984" t="str">
        <x:v>虾仁</x:v>
      </x:c>
      <x:c r="F2984" t="n">
        <x:v>160</x:v>
      </x:c>
      <x:c r="G2984" t="n">
        <x:v>90</x:v>
      </x:c>
      <x:c r="H2984" t="n">
        <x:f>ROUND(F2984*G2984/100,2)</x:f>
        <x:v>144</x:v>
      </x:c>
      <x:c r="I2984" t="n">
        <x:v>19</x:v>
      </x:c>
      <x:c r="J2984" t="n">
        <x:f>ROUND(F2984*I2984/100,2)</x:f>
        <x:v>30.4</x:v>
      </x:c>
      <x:c r="K2984" t="n">
        <x:v>0.4</x:v>
      </x:c>
      <x:c r="L2984" t="n">
        <x:f>ROUND(F2984*K2984/100,2)</x:f>
        <x:v>0.64</x:v>
      </x:c>
      <x:c r="M2984" t="n">
        <x:v>1.1</x:v>
      </x:c>
      <x:c r="N2984" t="n">
        <x:f>ROUND(F2984*M2984/100,2)</x:f>
        <x:v>1.76</x:v>
      </x:c>
      <x:c r="O2984" t="str">
        <x:v>生重</x:v>
      </x:c>
    </x:row>
    <x:row r="2985" ht="23" customHeight="1">
      <x:c r="A2985" t="n">
        <x:v>498</x:v>
      </x:c>
      <x:c r="B2985" t="n">
        <x:v>249</x:v>
      </x:c>
      <x:c r="C2985" t="str">
        <x:v>晚餐</x:v>
      </x:c>
      <x:c r="D2985" t="str">
        <x:v>豆蛋</x:v>
      </x:c>
      <x:c r="E2985" t="str">
        <x:v>熟毛豆仁</x:v>
      </x:c>
      <x:c r="F2985" t="n">
        <x:v>50</x:v>
      </x:c>
      <x:c r="G2985" t="n">
        <x:v>120</x:v>
      </x:c>
      <x:c r="H2985" t="n">
        <x:f>ROUND(F2985*G2985/100,2)</x:f>
        <x:v>60</x:v>
      </x:c>
      <x:c r="I2985" t="n">
        <x:v>12</x:v>
      </x:c>
      <x:c r="J2985" t="n">
        <x:f>ROUND(F2985*I2985/100,2)</x:f>
        <x:v>6</x:v>
      </x:c>
      <x:c r="K2985" t="n">
        <x:v>9</x:v>
      </x:c>
      <x:c r="L2985" t="n">
        <x:f>ROUND(F2985*K2985/100,2)</x:f>
        <x:v>4.5</x:v>
      </x:c>
      <x:c r="M2985" t="n">
        <x:v>5</x:v>
      </x:c>
      <x:c r="N2985" t="n">
        <x:f>ROUND(F2985*M2985/100,2)</x:f>
        <x:v>2.5</x:v>
      </x:c>
      <x:c r="O2985" t="str">
        <x:v>熟重</x:v>
      </x:c>
    </x:row>
    <x:row r="2986" ht="23" customHeight="1">
      <x:c r="A2986" t="n">
        <x:v>498</x:v>
      </x:c>
      <x:c r="B2986" t="n">
        <x:v>249</x:v>
      </x:c>
      <x:c r="C2986" t="str">
        <x:v>晚餐</x:v>
      </x:c>
      <x:c r="D2986" t="str">
        <x:v>蔬菜</x:v>
      </x:c>
      <x:c r="E2986" t="str">
        <x:v>白萝卜</x:v>
      </x:c>
      <x:c r="F2986" t="n">
        <x:v>140</x:v>
      </x:c>
      <x:c r="G2986" t="n">
        <x:v>18</x:v>
      </x:c>
      <x:c r="H2986" t="n">
        <x:f>ROUND(F2986*G2986/100,2)</x:f>
        <x:v>25.2</x:v>
      </x:c>
      <x:c r="I2986" t="n">
        <x:v>0.6</x:v>
      </x:c>
      <x:c r="J2986" t="n">
        <x:f>ROUND(F2986*I2986/100,2)</x:f>
        <x:v>0.84</x:v>
      </x:c>
      <x:c r="K2986" t="n">
        <x:v>4</x:v>
      </x:c>
      <x:c r="L2986" t="n">
        <x:f>ROUND(F2986*K2986/100,2)</x:f>
        <x:v>5.6</x:v>
      </x:c>
      <x:c r="M2986" t="n">
        <x:v>0.1</x:v>
      </x:c>
      <x:c r="N2986" t="n">
        <x:f>ROUND(F2986*M2986/100,2)</x:f>
        <x:v>0.14</x:v>
      </x:c>
      <x:c r="O2986" t="str">
        <x:v>生重</x:v>
      </x:c>
    </x:row>
    <x:row r="2987" ht="23" customHeight="1">
      <x:c r="A2987" t="n">
        <x:v>498</x:v>
      </x:c>
      <x:c r="B2987" t="n">
        <x:v>249</x:v>
      </x:c>
      <x:c r="C2987" t="str">
        <x:v>晚餐</x:v>
      </x:c>
      <x:c r="D2987" t="str">
        <x:v>蔬菜</x:v>
      </x:c>
      <x:c r="E2987" t="str">
        <x:v>番茄</x:v>
      </x:c>
      <x:c r="F2987" t="n">
        <x:v>140</x:v>
      </x:c>
      <x:c r="G2987" t="n">
        <x:v>20</x:v>
      </x:c>
      <x:c r="H2987" t="n">
        <x:f>ROUND(F2987*G2987/100,2)</x:f>
        <x:v>28</x:v>
      </x:c>
      <x:c r="I2987" t="n">
        <x:v>0.9</x:v>
      </x:c>
      <x:c r="J2987" t="n">
        <x:f>ROUND(F2987*I2987/100,2)</x:f>
        <x:v>1.26</x:v>
      </x:c>
      <x:c r="K2987" t="n">
        <x:v>4</x:v>
      </x:c>
      <x:c r="L2987" t="n">
        <x:f>ROUND(F2987*K2987/100,2)</x:f>
        <x:v>5.6</x:v>
      </x:c>
      <x:c r="M2987" t="n">
        <x:v>0.2</x:v>
      </x:c>
      <x:c r="N2987" t="n">
        <x:f>ROUND(F2987*M2987/100,2)</x:f>
        <x:v>0.28</x:v>
      </x:c>
      <x:c r="O2987" t="str">
        <x:v>生重</x:v>
      </x:c>
    </x:row>
    <x:row r="2988" ht="23" customHeight="1">
      <x:c r="A2988" t="n">
        <x:v>498</x:v>
      </x:c>
      <x:c r="B2988" t="n">
        <x:v>249</x:v>
      </x:c>
      <x:c r="C2988" t="str">
        <x:v>晚餐</x:v>
      </x:c>
      <x:c r="D2988" t="str">
        <x:v>主食</x:v>
      </x:c>
      <x:c r="E2988" t="str">
        <x:v>玉米</x:v>
      </x:c>
      <x:c r="F2988" t="n">
        <x:v>125</x:v>
      </x:c>
      <x:c r="G2988" t="n">
        <x:v>105</x:v>
      </x:c>
      <x:c r="H2988" t="n">
        <x:f>ROUND(F2988*G2988/100,2)</x:f>
        <x:v>131.25</x:v>
      </x:c>
      <x:c r="I2988" t="n">
        <x:v>3.4</x:v>
      </x:c>
      <x:c r="J2988" t="n">
        <x:f>ROUND(F2988*I2988/100,2)</x:f>
        <x:v>4.25</x:v>
      </x:c>
      <x:c r="K2988" t="n">
        <x:v>22</x:v>
      </x:c>
      <x:c r="L2988" t="n">
        <x:f>ROUND(F2988*K2988/100,2)</x:f>
        <x:v>27.5</x:v>
      </x:c>
      <x:c r="M2988" t="n">
        <x:v>1.5</x:v>
      </x:c>
      <x:c r="N2988" t="n">
        <x:f>ROUND(F2988*M2988/100,2)</x:f>
        <x:v>1.88</x:v>
      </x:c>
      <x:c r="O2988" t="str">
        <x:v>蒸熟净重</x:v>
      </x:c>
    </x:row>
    <x:row r="2989" ht="23" customHeight="1">
      <x:c r="A2989" t="n">
        <x:v>498</x:v>
      </x:c>
      <x:c r="B2989" t="n">
        <x:v>249</x:v>
      </x:c>
      <x:c r="C2989" t="str">
        <x:v>晚餐</x:v>
      </x:c>
      <x:c r="D2989" t="str">
        <x:v>油脂</x:v>
      </x:c>
      <x:c r="E2989" t="str">
        <x:v>烹调油</x:v>
      </x:c>
      <x:c r="F2989" t="n">
        <x:v>5</x:v>
      </x:c>
      <x:c r="G2989" t="n">
        <x:v>900</x:v>
      </x:c>
      <x:c r="H2989" t="n">
        <x:f>ROUND(F2989*G2989/100,2)</x:f>
        <x:v>45</x:v>
      </x:c>
      <x:c r="I2989" t="n">
        <x:v>0</x:v>
      </x:c>
      <x:c r="J2989" t="n">
        <x:f>ROUND(F2989*I2989/100,2)</x:f>
        <x:v>0</x:v>
      </x:c>
      <x:c r="K2989" t="n">
        <x:v>0</x:v>
      </x:c>
      <x:c r="L2989" t="n">
        <x:f>ROUND(F2989*K2989/100,2)</x:f>
        <x:v>0</x:v>
      </x:c>
      <x:c r="M2989" t="n">
        <x:v>100</x:v>
      </x:c>
      <x:c r="N2989" t="n">
        <x:f>ROUND(F2989*M2989/100,2)</x:f>
        <x:v>5</x:v>
      </x:c>
      <x:c r="O2989" t="str">
        <x:v>实际用油重</x:v>
      </x:c>
    </x:row>
    <x:row r="2990" ht="23" customHeight="1">
      <x:c r="A2990" t="n">
        <x:v>499</x:v>
      </x:c>
      <x:c r="B2990" t="n">
        <x:v>250</x:v>
      </x:c>
      <x:c r="C2990" t="str">
        <x:v>午餐</x:v>
      </x:c>
      <x:c r="D2990" t="str">
        <x:v>豆蛋</x:v>
      </x:c>
      <x:c r="E2990" t="str">
        <x:v>北豆腐</x:v>
      </x:c>
      <x:c r="F2990" t="n">
        <x:v>300</x:v>
      </x:c>
      <x:c r="G2990" t="n">
        <x:v>90</x:v>
      </x:c>
      <x:c r="H2990" t="n">
        <x:f>ROUND(F2990*G2990/100,2)</x:f>
        <x:v>270</x:v>
      </x:c>
      <x:c r="I2990" t="n">
        <x:v>10</x:v>
      </x:c>
      <x:c r="J2990" t="n">
        <x:f>ROUND(F2990*I2990/100,2)</x:f>
        <x:v>30</x:v>
      </x:c>
      <x:c r="K2990" t="n">
        <x:v>2</x:v>
      </x:c>
      <x:c r="L2990" t="n">
        <x:f>ROUND(F2990*K2990/100,2)</x:f>
        <x:v>6</x:v>
      </x:c>
      <x:c r="M2990" t="n">
        <x:v>5</x:v>
      </x:c>
      <x:c r="N2990" t="n">
        <x:f>ROUND(F2990*M2990/100,2)</x:f>
        <x:v>15</x:v>
      </x:c>
      <x:c r="O2990" t="str">
        <x:v>净重</x:v>
      </x:c>
    </x:row>
    <x:row r="2991" ht="23" customHeight="1">
      <x:c r="A2991" t="n">
        <x:v>499</x:v>
      </x:c>
      <x:c r="B2991" t="n">
        <x:v>250</x:v>
      </x:c>
      <x:c r="C2991" t="str">
        <x:v>午餐</x:v>
      </x:c>
      <x:c r="D2991" t="str"/>
      <x:c r="E2991" t="str"/>
      <x:c r="F2991" t="n">
        <x:v>0</x:v>
      </x:c>
      <x:c r="G2991" t="n">
        <x:v>0</x:v>
      </x:c>
      <x:c r="H2991" t="n">
        <x:f>ROUND(F2991*G2991/100,2)</x:f>
        <x:v>0</x:v>
      </x:c>
      <x:c r="I2991" t="n">
        <x:v>0</x:v>
      </x:c>
      <x:c r="J2991" t="n">
        <x:f>ROUND(F2991*I2991/100,2)</x:f>
        <x:v>0</x:v>
      </x:c>
      <x:c r="K2991" t="n">
        <x:v>0</x:v>
      </x:c>
      <x:c r="L2991" t="n">
        <x:f>ROUND(F2991*K2991/100,2)</x:f>
        <x:v>0</x:v>
      </x:c>
      <x:c r="M2991" t="n">
        <x:v>0</x:v>
      </x:c>
      <x:c r="N2991" t="n">
        <x:f>ROUND(F2991*M2991/100,2)</x:f>
        <x:v>0</x:v>
      </x:c>
      <x:c r="O2991" t="str"/>
    </x:row>
    <x:row r="2992" ht="23" customHeight="1">
      <x:c r="A2992" t="n">
        <x:v>499</x:v>
      </x:c>
      <x:c r="B2992" t="n">
        <x:v>250</x:v>
      </x:c>
      <x:c r="C2992" t="str">
        <x:v>午餐</x:v>
      </x:c>
      <x:c r="D2992" t="str">
        <x:v>蔬菜</x:v>
      </x:c>
      <x:c r="E2992" t="str">
        <x:v>彩椒</x:v>
      </x:c>
      <x:c r="F2992" t="n">
        <x:v>175</x:v>
      </x:c>
      <x:c r="G2992" t="n">
        <x:v>27</x:v>
      </x:c>
      <x:c r="H2992" t="n">
        <x:f>ROUND(F2992*G2992/100,2)</x:f>
        <x:v>47.25</x:v>
      </x:c>
      <x:c r="I2992" t="n">
        <x:v>1</x:v>
      </x:c>
      <x:c r="J2992" t="n">
        <x:f>ROUND(F2992*I2992/100,2)</x:f>
        <x:v>1.75</x:v>
      </x:c>
      <x:c r="K2992" t="n">
        <x:v>6.1</x:v>
      </x:c>
      <x:c r="L2992" t="n">
        <x:f>ROUND(F2992*K2992/100,2)</x:f>
        <x:v>10.68</x:v>
      </x:c>
      <x:c r="M2992" t="n">
        <x:v>0.2</x:v>
      </x:c>
      <x:c r="N2992" t="n">
        <x:f>ROUND(F2992*M2992/100,2)</x:f>
        <x:v>0.35</x:v>
      </x:c>
      <x:c r="O2992" t="str">
        <x:v>生重</x:v>
      </x:c>
    </x:row>
    <x:row r="2993" ht="23" customHeight="1">
      <x:c r="A2993" t="n">
        <x:v>499</x:v>
      </x:c>
      <x:c r="B2993" t="n">
        <x:v>250</x:v>
      </x:c>
      <x:c r="C2993" t="str">
        <x:v>午餐</x:v>
      </x:c>
      <x:c r="D2993" t="str">
        <x:v>蔬菜</x:v>
      </x:c>
      <x:c r="E2993" t="str">
        <x:v>荷兰豆</x:v>
      </x:c>
      <x:c r="F2993" t="n">
        <x:v>155</x:v>
      </x:c>
      <x:c r="G2993" t="n">
        <x:v>42</x:v>
      </x:c>
      <x:c r="H2993" t="n">
        <x:f>ROUND(F2993*G2993/100,2)</x:f>
        <x:v>65.1</x:v>
      </x:c>
      <x:c r="I2993" t="n">
        <x:v>2.8</x:v>
      </x:c>
      <x:c r="J2993" t="n">
        <x:f>ROUND(F2993*I2993/100,2)</x:f>
        <x:v>4.34</x:v>
      </x:c>
      <x:c r="K2993" t="n">
        <x:v>7.5</x:v>
      </x:c>
      <x:c r="L2993" t="n">
        <x:f>ROUND(F2993*K2993/100,2)</x:f>
        <x:v>11.63</x:v>
      </x:c>
      <x:c r="M2993" t="n">
        <x:v>0.3</x:v>
      </x:c>
      <x:c r="N2993" t="n">
        <x:f>ROUND(F2993*M2993/100,2)</x:f>
        <x:v>0.47</x:v>
      </x:c>
      <x:c r="O2993" t="str">
        <x:v>生重</x:v>
      </x:c>
    </x:row>
    <x:row r="2994" ht="23" customHeight="1">
      <x:c r="A2994" t="n">
        <x:v>499</x:v>
      </x:c>
      <x:c r="B2994" t="n">
        <x:v>250</x:v>
      </x:c>
      <x:c r="C2994" t="str">
        <x:v>午餐</x:v>
      </x:c>
      <x:c r="D2994" t="str">
        <x:v>主食</x:v>
      </x:c>
      <x:c r="E2994" t="str">
        <x:v>杂粮饭</x:v>
      </x:c>
      <x:c r="F2994" t="n">
        <x:v>135</x:v>
      </x:c>
      <x:c r="G2994" t="n">
        <x:v>115</x:v>
      </x:c>
      <x:c r="H2994" t="n">
        <x:f>ROUND(F2994*G2994/100,2)</x:f>
        <x:v>155.25</x:v>
      </x:c>
      <x:c r="I2994" t="n">
        <x:v>3.1</x:v>
      </x:c>
      <x:c r="J2994" t="n">
        <x:f>ROUND(F2994*I2994/100,2)</x:f>
        <x:v>4.18</x:v>
      </x:c>
      <x:c r="K2994" t="n">
        <x:v>23.5</x:v>
      </x:c>
      <x:c r="L2994" t="n">
        <x:f>ROUND(F2994*K2994/100,2)</x:f>
        <x:v>31.73</x:v>
      </x:c>
      <x:c r="M2994" t="n">
        <x:v>1.1</x:v>
      </x:c>
      <x:c r="N2994" t="n">
        <x:f>ROUND(F2994*M2994/100,2)</x:f>
        <x:v>1.49</x:v>
      </x:c>
      <x:c r="O2994" t="str">
        <x:v>熟重</x:v>
      </x:c>
    </x:row>
    <x:row r="2995" ht="23" customHeight="1">
      <x:c r="A2995" t="n">
        <x:v>499</x:v>
      </x:c>
      <x:c r="B2995" t="n">
        <x:v>250</x:v>
      </x:c>
      <x:c r="C2995" t="str">
        <x:v>午餐</x:v>
      </x:c>
      <x:c r="D2995" t="str">
        <x:v>油脂</x:v>
      </x:c>
      <x:c r="E2995" t="str">
        <x:v>烹调油</x:v>
      </x:c>
      <x:c r="F2995" t="n">
        <x:v>5</x:v>
      </x:c>
      <x:c r="G2995" t="n">
        <x:v>900</x:v>
      </x:c>
      <x:c r="H2995" t="n">
        <x:f>ROUND(F2995*G2995/100,2)</x:f>
        <x:v>45</x:v>
      </x:c>
      <x:c r="I2995" t="n">
        <x:v>0</x:v>
      </x:c>
      <x:c r="J2995" t="n">
        <x:f>ROUND(F2995*I2995/100,2)</x:f>
        <x:v>0</x:v>
      </x:c>
      <x:c r="K2995" t="n">
        <x:v>0</x:v>
      </x:c>
      <x:c r="L2995" t="n">
        <x:f>ROUND(F2995*K2995/100,2)</x:f>
        <x:v>0</x:v>
      </x:c>
      <x:c r="M2995" t="n">
        <x:v>100</x:v>
      </x:c>
      <x:c r="N2995" t="n">
        <x:f>ROUND(F2995*M2995/100,2)</x:f>
        <x:v>5</x:v>
      </x:c>
      <x:c r="O2995" t="str">
        <x:v>实际用油重</x:v>
      </x:c>
    </x:row>
    <x:row r="2996" ht="23" customHeight="1">
      <x:c r="A2996" t="n">
        <x:v>500</x:v>
      </x:c>
      <x:c r="B2996" t="n">
        <x:v>250</x:v>
      </x:c>
      <x:c r="C2996" t="str">
        <x:v>晚餐</x:v>
      </x:c>
      <x:c r="D2996" t="str">
        <x:v>禽肉</x:v>
      </x:c>
      <x:c r="E2996" t="str">
        <x:v>去皮鸡腿肉</x:v>
      </x:c>
      <x:c r="F2996" t="n">
        <x:v>145</x:v>
      </x:c>
      <x:c r="G2996" t="n">
        <x:v>125</x:v>
      </x:c>
      <x:c r="H2996" t="n">
        <x:f>ROUND(F2996*G2996/100,2)</x:f>
        <x:v>181.25</x:v>
      </x:c>
      <x:c r="I2996" t="n">
        <x:v>20</x:v>
      </x:c>
      <x:c r="J2996" t="n">
        <x:f>ROUND(F2996*I2996/100,2)</x:f>
        <x:v>29</x:v>
      </x:c>
      <x:c r="K2996" t="n">
        <x:v>0</x:v>
      </x:c>
      <x:c r="L2996" t="n">
        <x:f>ROUND(F2996*K2996/100,2)</x:f>
        <x:v>0</x:v>
      </x:c>
      <x:c r="M2996" t="n">
        <x:v>5</x:v>
      </x:c>
      <x:c r="N2996" t="n">
        <x:f>ROUND(F2996*M2996/100,2)</x:f>
        <x:v>7.25</x:v>
      </x:c>
      <x:c r="O2996" t="str">
        <x:v>生重</x:v>
      </x:c>
    </x:row>
    <x:row r="2997" ht="23" customHeight="1">
      <x:c r="A2997" t="n">
        <x:v>500</x:v>
      </x:c>
      <x:c r="B2997" t="n">
        <x:v>250</x:v>
      </x:c>
      <x:c r="C2997" t="str">
        <x:v>晚餐</x:v>
      </x:c>
      <x:c r="D2997" t="str"/>
      <x:c r="E2997" t="str"/>
      <x:c r="F2997" t="n">
        <x:v>0</x:v>
      </x:c>
      <x:c r="G2997" t="n">
        <x:v>0</x:v>
      </x:c>
      <x:c r="H2997" t="n">
        <x:f>ROUND(F2997*G2997/100,2)</x:f>
        <x:v>0</x:v>
      </x:c>
      <x:c r="I2997" t="n">
        <x:v>0</x:v>
      </x:c>
      <x:c r="J2997" t="n">
        <x:f>ROUND(F2997*I2997/100,2)</x:f>
        <x:v>0</x:v>
      </x:c>
      <x:c r="K2997" t="n">
        <x:v>0</x:v>
      </x:c>
      <x:c r="L2997" t="n">
        <x:f>ROUND(F2997*K2997/100,2)</x:f>
        <x:v>0</x:v>
      </x:c>
      <x:c r="M2997" t="n">
        <x:v>0</x:v>
      </x:c>
      <x:c r="N2997" t="n">
        <x:f>ROUND(F2997*M2997/100,2)</x:f>
        <x:v>0</x:v>
      </x:c>
      <x:c r="O2997" t="str"/>
    </x:row>
    <x:row r="2998" ht="23" customHeight="1">
      <x:c r="A2998" t="n">
        <x:v>500</x:v>
      </x:c>
      <x:c r="B2998" t="n">
        <x:v>250</x:v>
      </x:c>
      <x:c r="C2998" t="str">
        <x:v>晚餐</x:v>
      </x:c>
      <x:c r="D2998" t="str">
        <x:v>蔬菜</x:v>
      </x:c>
      <x:c r="E2998" t="str">
        <x:v>西葫芦</x:v>
      </x:c>
      <x:c r="F2998" t="n">
        <x:v>190</x:v>
      </x:c>
      <x:c r="G2998" t="n">
        <x:v>17</x:v>
      </x:c>
      <x:c r="H2998" t="n">
        <x:f>ROUND(F2998*G2998/100,2)</x:f>
        <x:v>32.3</x:v>
      </x:c>
      <x:c r="I2998" t="n">
        <x:v>1.2</x:v>
      </x:c>
      <x:c r="J2998" t="n">
        <x:f>ROUND(F2998*I2998/100,2)</x:f>
        <x:v>2.28</x:v>
      </x:c>
      <x:c r="K2998" t="n">
        <x:v>3.1</x:v>
      </x:c>
      <x:c r="L2998" t="n">
        <x:f>ROUND(F2998*K2998/100,2)</x:f>
        <x:v>5.89</x:v>
      </x:c>
      <x:c r="M2998" t="n">
        <x:v>0.3</x:v>
      </x:c>
      <x:c r="N2998" t="n">
        <x:f>ROUND(F2998*M2998/100,2)</x:f>
        <x:v>0.57</x:v>
      </x:c>
      <x:c r="O2998" t="str">
        <x:v>生重</x:v>
      </x:c>
    </x:row>
    <x:row r="2999" ht="23" customHeight="1">
      <x:c r="A2999" t="n">
        <x:v>500</x:v>
      </x:c>
      <x:c r="B2999" t="n">
        <x:v>250</x:v>
      </x:c>
      <x:c r="C2999" t="str">
        <x:v>晚餐</x:v>
      </x:c>
      <x:c r="D2999" t="str">
        <x:v>蔬菜</x:v>
      </x:c>
      <x:c r="E2999" t="str">
        <x:v>菜心</x:v>
      </x:c>
      <x:c r="F2999" t="n">
        <x:v>110</x:v>
      </x:c>
      <x:c r="G2999" t="n">
        <x:v>20</x:v>
      </x:c>
      <x:c r="H2999" t="n">
        <x:f>ROUND(F2999*G2999/100,2)</x:f>
        <x:v>22</x:v>
      </x:c>
      <x:c r="I2999" t="n">
        <x:v>2</x:v>
      </x:c>
      <x:c r="J2999" t="n">
        <x:f>ROUND(F2999*I2999/100,2)</x:f>
        <x:v>2.2</x:v>
      </x:c>
      <x:c r="K2999" t="n">
        <x:v>3.5</x:v>
      </x:c>
      <x:c r="L2999" t="n">
        <x:f>ROUND(F2999*K2999/100,2)</x:f>
        <x:v>3.85</x:v>
      </x:c>
      <x:c r="M2999" t="n">
        <x:v>0.3</x:v>
      </x:c>
      <x:c r="N2999" t="n">
        <x:f>ROUND(F2999*M2999/100,2)</x:f>
        <x:v>0.33</x:v>
      </x:c>
      <x:c r="O2999" t="str">
        <x:v>生重</x:v>
      </x:c>
    </x:row>
    <x:row r="3000" ht="23" customHeight="1">
      <x:c r="A3000" t="n">
        <x:v>500</x:v>
      </x:c>
      <x:c r="B3000" t="n">
        <x:v>250</x:v>
      </x:c>
      <x:c r="C3000" t="str">
        <x:v>晚餐</x:v>
      </x:c>
      <x:c r="D3000" t="str">
        <x:v>主食</x:v>
      </x:c>
      <x:c r="E3000" t="str">
        <x:v>米粉</x:v>
      </x:c>
      <x:c r="F3000" t="n">
        <x:v>95</x:v>
      </x:c>
      <x:c r="G3000" t="n">
        <x:v>110</x:v>
      </x:c>
      <x:c r="H3000" t="n">
        <x:f>ROUND(F3000*G3000/100,2)</x:f>
        <x:v>104.5</x:v>
      </x:c>
      <x:c r="I3000" t="n">
        <x:v>2</x:v>
      </x:c>
      <x:c r="J3000" t="n">
        <x:f>ROUND(F3000*I3000/100,2)</x:f>
        <x:v>1.9</x:v>
      </x:c>
      <x:c r="K3000" t="n">
        <x:v>24</x:v>
      </x:c>
      <x:c r="L3000" t="n">
        <x:f>ROUND(F3000*K3000/100,2)</x:f>
        <x:v>22.8</x:v>
      </x:c>
      <x:c r="M3000" t="n">
        <x:v>0.4</x:v>
      </x:c>
      <x:c r="N3000" t="n">
        <x:f>ROUND(F3000*M3000/100,2)</x:f>
        <x:v>0.38</x:v>
      </x:c>
      <x:c r="O3000" t="str">
        <x:v>煮熟沥水重</x:v>
      </x:c>
    </x:row>
    <x:row r="3001" ht="23" customHeight="1">
      <x:c r="A3001" t="n">
        <x:v>500</x:v>
      </x:c>
      <x:c r="B3001" t="n">
        <x:v>250</x:v>
      </x:c>
      <x:c r="C3001" t="str">
        <x:v>晚餐</x:v>
      </x:c>
      <x:c r="D3001" t="str">
        <x:v>油脂</x:v>
      </x:c>
      <x:c r="E3001" t="str">
        <x:v>烹调油</x:v>
      </x:c>
      <x:c r="F3001" t="n">
        <x:v>3</x:v>
      </x:c>
      <x:c r="G3001" t="n">
        <x:v>900</x:v>
      </x:c>
      <x:c r="H3001" t="n">
        <x:f>ROUND(F3001*G3001/100,2)</x:f>
        <x:v>27</x:v>
      </x:c>
      <x:c r="I3001" t="n">
        <x:v>0</x:v>
      </x:c>
      <x:c r="J3001" t="n">
        <x:f>ROUND(F3001*I3001/100,2)</x:f>
        <x:v>0</x:v>
      </x:c>
      <x:c r="K3001" t="n">
        <x:v>0</x:v>
      </x:c>
      <x:c r="L3001" t="n">
        <x:f>ROUND(F3001*K3001/100,2)</x:f>
        <x:v>0</x:v>
      </x:c>
      <x:c r="M3001" t="n">
        <x:v>100</x:v>
      </x:c>
      <x:c r="N3001" t="n">
        <x:f>ROUND(F3001*M3001/100,2)</x:f>
        <x:v>3</x:v>
      </x:c>
      <x:c r="O3001" t="str">
        <x:v>实际用油重</x:v>
      </x:c>
    </x:row>
    <x:row r="3002" ht="23" customHeight="1">
      <x:c r="A3002" t="n">
        <x:v>501</x:v>
      </x:c>
      <x:c r="B3002" t="n">
        <x:v>251</x:v>
      </x:c>
      <x:c r="C3002" t="str">
        <x:v>午餐</x:v>
      </x:c>
      <x:c r="D3002" t="str">
        <x:v>鱼类</x:v>
      </x:c>
      <x:c r="E3002" t="str">
        <x:v>鳕鱼</x:v>
      </x:c>
      <x:c r="F3002" t="n">
        <x:v>200</x:v>
      </x:c>
      <x:c r="G3002" t="n">
        <x:v>85</x:v>
      </x:c>
      <x:c r="H3002" t="n">
        <x:f>ROUND(F3002*G3002/100,2)</x:f>
        <x:v>170</x:v>
      </x:c>
      <x:c r="I3002" t="n">
        <x:v>18</x:v>
      </x:c>
      <x:c r="J3002" t="n">
        <x:f>ROUND(F3002*I3002/100,2)</x:f>
        <x:v>36</x:v>
      </x:c>
      <x:c r="K3002" t="n">
        <x:v>0</x:v>
      </x:c>
      <x:c r="L3002" t="n">
        <x:f>ROUND(F3002*K3002/100,2)</x:f>
        <x:v>0</x:v>
      </x:c>
      <x:c r="M3002" t="n">
        <x:v>0.8</x:v>
      </x:c>
      <x:c r="N3002" t="n">
        <x:f>ROUND(F3002*M3002/100,2)</x:f>
        <x:v>1.6</x:v>
      </x:c>
      <x:c r="O3002" t="str">
        <x:v>净鱼肉生重</x:v>
      </x:c>
    </x:row>
    <x:row r="3003" ht="23" customHeight="1">
      <x:c r="A3003" t="n">
        <x:v>501</x:v>
      </x:c>
      <x:c r="B3003" t="n">
        <x:v>251</x:v>
      </x:c>
      <x:c r="C3003" t="str">
        <x:v>午餐</x:v>
      </x:c>
      <x:c r="D3003" t="str"/>
      <x:c r="E3003" t="str"/>
      <x:c r="F3003" t="n">
        <x:v>0</x:v>
      </x:c>
      <x:c r="G3003" t="n">
        <x:v>0</x:v>
      </x:c>
      <x:c r="H3003" t="n">
        <x:f>ROUND(F3003*G3003/100,2)</x:f>
        <x:v>0</x:v>
      </x:c>
      <x:c r="I3003" t="n">
        <x:v>0</x:v>
      </x:c>
      <x:c r="J3003" t="n">
        <x:f>ROUND(F3003*I3003/100,2)</x:f>
        <x:v>0</x:v>
      </x:c>
      <x:c r="K3003" t="n">
        <x:v>0</x:v>
      </x:c>
      <x:c r="L3003" t="n">
        <x:f>ROUND(F3003*K3003/100,2)</x:f>
        <x:v>0</x:v>
      </x:c>
      <x:c r="M3003" t="n">
        <x:v>0</x:v>
      </x:c>
      <x:c r="N3003" t="n">
        <x:f>ROUND(F3003*M3003/100,2)</x:f>
        <x:v>0</x:v>
      </x:c>
      <x:c r="O3003" t="str"/>
    </x:row>
    <x:row r="3004" ht="23" customHeight="1">
      <x:c r="A3004" t="n">
        <x:v>501</x:v>
      </x:c>
      <x:c r="B3004" t="n">
        <x:v>251</x:v>
      </x:c>
      <x:c r="C3004" t="str">
        <x:v>午餐</x:v>
      </x:c>
      <x:c r="D3004" t="str">
        <x:v>蔬菜</x:v>
      </x:c>
      <x:c r="E3004" t="str">
        <x:v>娃娃菜</x:v>
      </x:c>
      <x:c r="F3004" t="n">
        <x:v>190</x:v>
      </x:c>
      <x:c r="G3004" t="n">
        <x:v>17</x:v>
      </x:c>
      <x:c r="H3004" t="n">
        <x:f>ROUND(F3004*G3004/100,2)</x:f>
        <x:v>32.3</x:v>
      </x:c>
      <x:c r="I3004" t="n">
        <x:v>1.3</x:v>
      </x:c>
      <x:c r="J3004" t="n">
        <x:f>ROUND(F3004*I3004/100,2)</x:f>
        <x:v>2.47</x:v>
      </x:c>
      <x:c r="K3004" t="n">
        <x:v>3</x:v>
      </x:c>
      <x:c r="L3004" t="n">
        <x:f>ROUND(F3004*K3004/100,2)</x:f>
        <x:v>5.7</x:v>
      </x:c>
      <x:c r="M3004" t="n">
        <x:v>0.2</x:v>
      </x:c>
      <x:c r="N3004" t="n">
        <x:f>ROUND(F3004*M3004/100,2)</x:f>
        <x:v>0.38</x:v>
      </x:c>
      <x:c r="O3004" t="str">
        <x:v>生重</x:v>
      </x:c>
    </x:row>
    <x:row r="3005" ht="23" customHeight="1">
      <x:c r="A3005" t="n">
        <x:v>501</x:v>
      </x:c>
      <x:c r="B3005" t="n">
        <x:v>251</x:v>
      </x:c>
      <x:c r="C3005" t="str">
        <x:v>午餐</x:v>
      </x:c>
      <x:c r="D3005" t="str">
        <x:v>蔬菜</x:v>
      </x:c>
      <x:c r="E3005" t="str">
        <x:v>彩椒</x:v>
      </x:c>
      <x:c r="F3005" t="n">
        <x:v>155</x:v>
      </x:c>
      <x:c r="G3005" t="n">
        <x:v>27</x:v>
      </x:c>
      <x:c r="H3005" t="n">
        <x:f>ROUND(F3005*G3005/100,2)</x:f>
        <x:v>41.85</x:v>
      </x:c>
      <x:c r="I3005" t="n">
        <x:v>1</x:v>
      </x:c>
      <x:c r="J3005" t="n">
        <x:f>ROUND(F3005*I3005/100,2)</x:f>
        <x:v>1.55</x:v>
      </x:c>
      <x:c r="K3005" t="n">
        <x:v>6.1</x:v>
      </x:c>
      <x:c r="L3005" t="n">
        <x:f>ROUND(F3005*K3005/100,2)</x:f>
        <x:v>9.46</x:v>
      </x:c>
      <x:c r="M3005" t="n">
        <x:v>0.2</x:v>
      </x:c>
      <x:c r="N3005" t="n">
        <x:f>ROUND(F3005*M3005/100,2)</x:f>
        <x:v>0.31</x:v>
      </x:c>
      <x:c r="O3005" t="str">
        <x:v>生重</x:v>
      </x:c>
    </x:row>
    <x:row r="3006" ht="23" customHeight="1">
      <x:c r="A3006" t="n">
        <x:v>501</x:v>
      </x:c>
      <x:c r="B3006" t="n">
        <x:v>251</x:v>
      </x:c>
      <x:c r="C3006" t="str">
        <x:v>午餐</x:v>
      </x:c>
      <x:c r="D3006" t="str">
        <x:v>主食</x:v>
      </x:c>
      <x:c r="E3006" t="str">
        <x:v>糙米饭</x:v>
      </x:c>
      <x:c r="F3006" t="n">
        <x:v>110</x:v>
      </x:c>
      <x:c r="G3006" t="n">
        <x:v>112</x:v>
      </x:c>
      <x:c r="H3006" t="n">
        <x:f>ROUND(F3006*G3006/100,2)</x:f>
        <x:v>123.2</x:v>
      </x:c>
      <x:c r="I3006" t="n">
        <x:v>2.6</x:v>
      </x:c>
      <x:c r="J3006" t="n">
        <x:f>ROUND(F3006*I3006/100,2)</x:f>
        <x:v>2.86</x:v>
      </x:c>
      <x:c r="K3006" t="n">
        <x:v>23.5</x:v>
      </x:c>
      <x:c r="L3006" t="n">
        <x:f>ROUND(F3006*K3006/100,2)</x:f>
        <x:v>25.85</x:v>
      </x:c>
      <x:c r="M3006" t="n">
        <x:v>0.9</x:v>
      </x:c>
      <x:c r="N3006" t="n">
        <x:f>ROUND(F3006*M3006/100,2)</x:f>
        <x:v>0.99</x:v>
      </x:c>
      <x:c r="O3006" t="str">
        <x:v>熟重</x:v>
      </x:c>
    </x:row>
    <x:row r="3007" ht="23" customHeight="1">
      <x:c r="A3007" t="n">
        <x:v>501</x:v>
      </x:c>
      <x:c r="B3007" t="n">
        <x:v>251</x:v>
      </x:c>
      <x:c r="C3007" t="str">
        <x:v>午餐</x:v>
      </x:c>
      <x:c r="D3007" t="str">
        <x:v>油脂</x:v>
      </x:c>
      <x:c r="E3007" t="str">
        <x:v>烹调油</x:v>
      </x:c>
      <x:c r="F3007" t="n">
        <x:v>6</x:v>
      </x:c>
      <x:c r="G3007" t="n">
        <x:v>900</x:v>
      </x:c>
      <x:c r="H3007" t="n">
        <x:f>ROUND(F3007*G3007/100,2)</x:f>
        <x:v>54</x:v>
      </x:c>
      <x:c r="I3007" t="n">
        <x:v>0</x:v>
      </x:c>
      <x:c r="J3007" t="n">
        <x:f>ROUND(F3007*I3007/100,2)</x:f>
        <x:v>0</x:v>
      </x:c>
      <x:c r="K3007" t="n">
        <x:v>0</x:v>
      </x:c>
      <x:c r="L3007" t="n">
        <x:f>ROUND(F3007*K3007/100,2)</x:f>
        <x:v>0</x:v>
      </x:c>
      <x:c r="M3007" t="n">
        <x:v>100</x:v>
      </x:c>
      <x:c r="N3007" t="n">
        <x:f>ROUND(F3007*M3007/100,2)</x:f>
        <x:v>6</x:v>
      </x:c>
      <x:c r="O3007" t="str">
        <x:v>实际用油重</x:v>
      </x:c>
    </x:row>
    <x:row r="3008" ht="23" customHeight="1">
      <x:c r="A3008" t="n">
        <x:v>502</x:v>
      </x:c>
      <x:c r="B3008" t="n">
        <x:v>251</x:v>
      </x:c>
      <x:c r="C3008" t="str">
        <x:v>晚餐</x:v>
      </x:c>
      <x:c r="D3008" t="str">
        <x:v>豆蛋</x:v>
      </x:c>
      <x:c r="E3008" t="str">
        <x:v>北豆腐</x:v>
      </x:c>
      <x:c r="F3008" t="n">
        <x:v>300</x:v>
      </x:c>
      <x:c r="G3008" t="n">
        <x:v>90</x:v>
      </x:c>
      <x:c r="H3008" t="n">
        <x:f>ROUND(F3008*G3008/100,2)</x:f>
        <x:v>270</x:v>
      </x:c>
      <x:c r="I3008" t="n">
        <x:v>10</x:v>
      </x:c>
      <x:c r="J3008" t="n">
        <x:f>ROUND(F3008*I3008/100,2)</x:f>
        <x:v>30</x:v>
      </x:c>
      <x:c r="K3008" t="n">
        <x:v>2</x:v>
      </x:c>
      <x:c r="L3008" t="n">
        <x:f>ROUND(F3008*K3008/100,2)</x:f>
        <x:v>6</x:v>
      </x:c>
      <x:c r="M3008" t="n">
        <x:v>5</x:v>
      </x:c>
      <x:c r="N3008" t="n">
        <x:f>ROUND(F3008*M3008/100,2)</x:f>
        <x:v>15</x:v>
      </x:c>
      <x:c r="O3008" t="str">
        <x:v>净重</x:v>
      </x:c>
    </x:row>
    <x:row r="3009" ht="23" customHeight="1">
      <x:c r="A3009" t="n">
        <x:v>502</x:v>
      </x:c>
      <x:c r="B3009" t="n">
        <x:v>251</x:v>
      </x:c>
      <x:c r="C3009" t="str">
        <x:v>晚餐</x:v>
      </x:c>
      <x:c r="D3009" t="str">
        <x:v>豆蛋</x:v>
      </x:c>
      <x:c r="E3009" t="str">
        <x:v>熟毛豆仁</x:v>
      </x:c>
      <x:c r="F3009" t="n">
        <x:v>50</x:v>
      </x:c>
      <x:c r="G3009" t="n">
        <x:v>120</x:v>
      </x:c>
      <x:c r="H3009" t="n">
        <x:f>ROUND(F3009*G3009/100,2)</x:f>
        <x:v>60</x:v>
      </x:c>
      <x:c r="I3009" t="n">
        <x:v>12</x:v>
      </x:c>
      <x:c r="J3009" t="n">
        <x:f>ROUND(F3009*I3009/100,2)</x:f>
        <x:v>6</x:v>
      </x:c>
      <x:c r="K3009" t="n">
        <x:v>9</x:v>
      </x:c>
      <x:c r="L3009" t="n">
        <x:f>ROUND(F3009*K3009/100,2)</x:f>
        <x:v>4.5</x:v>
      </x:c>
      <x:c r="M3009" t="n">
        <x:v>5</x:v>
      </x:c>
      <x:c r="N3009" t="n">
        <x:f>ROUND(F3009*M3009/100,2)</x:f>
        <x:v>2.5</x:v>
      </x:c>
      <x:c r="O3009" t="str">
        <x:v>熟重</x:v>
      </x:c>
    </x:row>
    <x:row r="3010" ht="23" customHeight="1">
      <x:c r="A3010" t="n">
        <x:v>502</x:v>
      </x:c>
      <x:c r="B3010" t="n">
        <x:v>251</x:v>
      </x:c>
      <x:c r="C3010" t="str">
        <x:v>晚餐</x:v>
      </x:c>
      <x:c r="D3010" t="str">
        <x:v>蔬菜</x:v>
      </x:c>
      <x:c r="E3010" t="str">
        <x:v>芹菜</x:v>
      </x:c>
      <x:c r="F3010" t="n">
        <x:v>140</x:v>
      </x:c>
      <x:c r="G3010" t="n">
        <x:v>17</x:v>
      </x:c>
      <x:c r="H3010" t="n">
        <x:f>ROUND(F3010*G3010/100,2)</x:f>
        <x:v>23.8</x:v>
      </x:c>
      <x:c r="I3010" t="n">
        <x:v>1</x:v>
      </x:c>
      <x:c r="J3010" t="n">
        <x:f>ROUND(F3010*I3010/100,2)</x:f>
        <x:v>1.4</x:v>
      </x:c>
      <x:c r="K3010" t="n">
        <x:v>3.5</x:v>
      </x:c>
      <x:c r="L3010" t="n">
        <x:f>ROUND(F3010*K3010/100,2)</x:f>
        <x:v>4.9</x:v>
      </x:c>
      <x:c r="M3010" t="n">
        <x:v>0.1</x:v>
      </x:c>
      <x:c r="N3010" t="n">
        <x:f>ROUND(F3010*M3010/100,2)</x:f>
        <x:v>0.14</x:v>
      </x:c>
      <x:c r="O3010" t="str">
        <x:v>生重</x:v>
      </x:c>
    </x:row>
    <x:row r="3011" ht="23" customHeight="1">
      <x:c r="A3011" t="n">
        <x:v>502</x:v>
      </x:c>
      <x:c r="B3011" t="n">
        <x:v>251</x:v>
      </x:c>
      <x:c r="C3011" t="str">
        <x:v>晚餐</x:v>
      </x:c>
      <x:c r="D3011" t="str">
        <x:v>蔬菜</x:v>
      </x:c>
      <x:c r="E3011" t="str">
        <x:v>黄瓜</x:v>
      </x:c>
      <x:c r="F3011" t="n">
        <x:v>155</x:v>
      </x:c>
      <x:c r="G3011" t="n">
        <x:v>16</x:v>
      </x:c>
      <x:c r="H3011" t="n">
        <x:f>ROUND(F3011*G3011/100,2)</x:f>
        <x:v>24.8</x:v>
      </x:c>
      <x:c r="I3011" t="n">
        <x:v>0.7</x:v>
      </x:c>
      <x:c r="J3011" t="n">
        <x:f>ROUND(F3011*I3011/100,2)</x:f>
        <x:v>1.09</x:v>
      </x:c>
      <x:c r="K3011" t="n">
        <x:v>3.6</x:v>
      </x:c>
      <x:c r="L3011" t="n">
        <x:f>ROUND(F3011*K3011/100,2)</x:f>
        <x:v>5.58</x:v>
      </x:c>
      <x:c r="M3011" t="n">
        <x:v>0.1</x:v>
      </x:c>
      <x:c r="N3011" t="n">
        <x:f>ROUND(F3011*M3011/100,2)</x:f>
        <x:v>0.16</x:v>
      </x:c>
      <x:c r="O3011" t="str">
        <x:v>生重</x:v>
      </x:c>
    </x:row>
    <x:row r="3012" ht="23" customHeight="1">
      <x:c r="A3012" t="n">
        <x:v>502</x:v>
      </x:c>
      <x:c r="B3012" t="n">
        <x:v>251</x:v>
      </x:c>
      <x:c r="C3012" t="str">
        <x:v>晚餐</x:v>
      </x:c>
      <x:c r="D3012" t="str">
        <x:v>主食</x:v>
      </x:c>
      <x:c r="E3012" t="str">
        <x:v>荞麦面</x:v>
      </x:c>
      <x:c r="F3012" t="n">
        <x:v>110</x:v>
      </x:c>
      <x:c r="G3012" t="n">
        <x:v>105</x:v>
      </x:c>
      <x:c r="H3012" t="n">
        <x:f>ROUND(F3012*G3012/100,2)</x:f>
        <x:v>115.5</x:v>
      </x:c>
      <x:c r="I3012" t="n">
        <x:v>4</x:v>
      </x:c>
      <x:c r="J3012" t="n">
        <x:f>ROUND(F3012*I3012/100,2)</x:f>
        <x:v>4.4</x:v>
      </x:c>
      <x:c r="K3012" t="n">
        <x:v>21</x:v>
      </x:c>
      <x:c r="L3012" t="n">
        <x:f>ROUND(F3012*K3012/100,2)</x:f>
        <x:v>23.1</x:v>
      </x:c>
      <x:c r="M3012" t="n">
        <x:v>0.7</x:v>
      </x:c>
      <x:c r="N3012" t="n">
        <x:f>ROUND(F3012*M3012/100,2)</x:f>
        <x:v>0.77</x:v>
      </x:c>
      <x:c r="O3012" t="str">
        <x:v>煮熟沥水重</x:v>
      </x:c>
    </x:row>
    <x:row r="3013" ht="23" customHeight="1">
      <x:c r="A3013" t="n">
        <x:v>502</x:v>
      </x:c>
      <x:c r="B3013" t="n">
        <x:v>251</x:v>
      </x:c>
      <x:c r="C3013" t="str">
        <x:v>晚餐</x:v>
      </x:c>
      <x:c r="D3013" t="str">
        <x:v>油脂</x:v>
      </x:c>
      <x:c r="E3013" t="str">
        <x:v>烹调油</x:v>
      </x:c>
      <x:c r="F3013" t="n">
        <x:v>5</x:v>
      </x:c>
      <x:c r="G3013" t="n">
        <x:v>900</x:v>
      </x:c>
      <x:c r="H3013" t="n">
        <x:f>ROUND(F3013*G3013/100,2)</x:f>
        <x:v>45</x:v>
      </x:c>
      <x:c r="I3013" t="n">
        <x:v>0</x:v>
      </x:c>
      <x:c r="J3013" t="n">
        <x:f>ROUND(F3013*I3013/100,2)</x:f>
        <x:v>0</x:v>
      </x:c>
      <x:c r="K3013" t="n">
        <x:v>0</x:v>
      </x:c>
      <x:c r="L3013" t="n">
        <x:f>ROUND(F3013*K3013/100,2)</x:f>
        <x:v>0</x:v>
      </x:c>
      <x:c r="M3013" t="n">
        <x:v>100</x:v>
      </x:c>
      <x:c r="N3013" t="n">
        <x:f>ROUND(F3013*M3013/100,2)</x:f>
        <x:v>5</x:v>
      </x:c>
      <x:c r="O3013" t="str">
        <x:v>实际用油重</x:v>
      </x:c>
    </x:row>
    <x:row r="3014" ht="23" customHeight="1">
      <x:c r="A3014" t="n">
        <x:v>503</x:v>
      </x:c>
      <x:c r="B3014" t="n">
        <x:v>252</x:v>
      </x:c>
      <x:c r="C3014" t="str">
        <x:v>午餐</x:v>
      </x:c>
      <x:c r="D3014" t="str">
        <x:v>鱼类</x:v>
      </x:c>
      <x:c r="E3014" t="str">
        <x:v>鲈鱼</x:v>
      </x:c>
      <x:c r="F3014" t="n">
        <x:v>175</x:v>
      </x:c>
      <x:c r="G3014" t="n">
        <x:v>105</x:v>
      </x:c>
      <x:c r="H3014" t="n">
        <x:f>ROUND(F3014*G3014/100,2)</x:f>
        <x:v>183.75</x:v>
      </x:c>
      <x:c r="I3014" t="n">
        <x:v>19</x:v>
      </x:c>
      <x:c r="J3014" t="n">
        <x:f>ROUND(F3014*I3014/100,2)</x:f>
        <x:v>33.25</x:v>
      </x:c>
      <x:c r="K3014" t="n">
        <x:v>0</x:v>
      </x:c>
      <x:c r="L3014" t="n">
        <x:f>ROUND(F3014*K3014/100,2)</x:f>
        <x:v>0</x:v>
      </x:c>
      <x:c r="M3014" t="n">
        <x:v>3</x:v>
      </x:c>
      <x:c r="N3014" t="n">
        <x:f>ROUND(F3014*M3014/100,2)</x:f>
        <x:v>5.25</x:v>
      </x:c>
      <x:c r="O3014" t="str">
        <x:v>净鱼肉生重</x:v>
      </x:c>
    </x:row>
    <x:row r="3015" ht="23" customHeight="1">
      <x:c r="A3015" t="n">
        <x:v>503</x:v>
      </x:c>
      <x:c r="B3015" t="n">
        <x:v>252</x:v>
      </x:c>
      <x:c r="C3015" t="str">
        <x:v>午餐</x:v>
      </x:c>
      <x:c r="D3015" t="str"/>
      <x:c r="E3015" t="str"/>
      <x:c r="F3015" t="n">
        <x:v>0</x:v>
      </x:c>
      <x:c r="G3015" t="n">
        <x:v>0</x:v>
      </x:c>
      <x:c r="H3015" t="n">
        <x:f>ROUND(F3015*G3015/100,2)</x:f>
        <x:v>0</x:v>
      </x:c>
      <x:c r="I3015" t="n">
        <x:v>0</x:v>
      </x:c>
      <x:c r="J3015" t="n">
        <x:f>ROUND(F3015*I3015/100,2)</x:f>
        <x:v>0</x:v>
      </x:c>
      <x:c r="K3015" t="n">
        <x:v>0</x:v>
      </x:c>
      <x:c r="L3015" t="n">
        <x:f>ROUND(F3015*K3015/100,2)</x:f>
        <x:v>0</x:v>
      </x:c>
      <x:c r="M3015" t="n">
        <x:v>0</x:v>
      </x:c>
      <x:c r="N3015" t="n">
        <x:f>ROUND(F3015*M3015/100,2)</x:f>
        <x:v>0</x:v>
      </x:c>
      <x:c r="O3015" t="str"/>
    </x:row>
    <x:row r="3016" ht="23" customHeight="1">
      <x:c r="A3016" t="n">
        <x:v>503</x:v>
      </x:c>
      <x:c r="B3016" t="n">
        <x:v>252</x:v>
      </x:c>
      <x:c r="C3016" t="str">
        <x:v>午餐</x:v>
      </x:c>
      <x:c r="D3016" t="str">
        <x:v>蔬菜</x:v>
      </x:c>
      <x:c r="E3016" t="str">
        <x:v>荷兰豆</x:v>
      </x:c>
      <x:c r="F3016" t="n">
        <x:v>190</x:v>
      </x:c>
      <x:c r="G3016" t="n">
        <x:v>42</x:v>
      </x:c>
      <x:c r="H3016" t="n">
        <x:f>ROUND(F3016*G3016/100,2)</x:f>
        <x:v>79.8</x:v>
      </x:c>
      <x:c r="I3016" t="n">
        <x:v>2.8</x:v>
      </x:c>
      <x:c r="J3016" t="n">
        <x:f>ROUND(F3016*I3016/100,2)</x:f>
        <x:v>5.32</x:v>
      </x:c>
      <x:c r="K3016" t="n">
        <x:v>7.5</x:v>
      </x:c>
      <x:c r="L3016" t="n">
        <x:f>ROUND(F3016*K3016/100,2)</x:f>
        <x:v>14.25</x:v>
      </x:c>
      <x:c r="M3016" t="n">
        <x:v>0.3</x:v>
      </x:c>
      <x:c r="N3016" t="n">
        <x:f>ROUND(F3016*M3016/100,2)</x:f>
        <x:v>0.57</x:v>
      </x:c>
      <x:c r="O3016" t="str">
        <x:v>生重</x:v>
      </x:c>
    </x:row>
    <x:row r="3017" ht="23" customHeight="1">
      <x:c r="A3017" t="n">
        <x:v>503</x:v>
      </x:c>
      <x:c r="B3017" t="n">
        <x:v>252</x:v>
      </x:c>
      <x:c r="C3017" t="str">
        <x:v>午餐</x:v>
      </x:c>
      <x:c r="D3017" t="str">
        <x:v>蔬菜</x:v>
      </x:c>
      <x:c r="E3017" t="str">
        <x:v>西兰花</x:v>
      </x:c>
      <x:c r="F3017" t="n">
        <x:v>140</x:v>
      </x:c>
      <x:c r="G3017" t="n">
        <x:v>34</x:v>
      </x:c>
      <x:c r="H3017" t="n">
        <x:f>ROUND(F3017*G3017/100,2)</x:f>
        <x:v>47.6</x:v>
      </x:c>
      <x:c r="I3017" t="n">
        <x:v>2.8</x:v>
      </x:c>
      <x:c r="J3017" t="n">
        <x:f>ROUND(F3017*I3017/100,2)</x:f>
        <x:v>3.92</x:v>
      </x:c>
      <x:c r="K3017" t="n">
        <x:v>7</x:v>
      </x:c>
      <x:c r="L3017" t="n">
        <x:f>ROUND(F3017*K3017/100,2)</x:f>
        <x:v>9.8</x:v>
      </x:c>
      <x:c r="M3017" t="n">
        <x:v>0.4</x:v>
      </x:c>
      <x:c r="N3017" t="n">
        <x:f>ROUND(F3017*M3017/100,2)</x:f>
        <x:v>0.56</x:v>
      </x:c>
      <x:c r="O3017" t="str">
        <x:v>生重</x:v>
      </x:c>
    </x:row>
    <x:row r="3018" ht="23" customHeight="1">
      <x:c r="A3018" t="n">
        <x:v>503</x:v>
      </x:c>
      <x:c r="B3018" t="n">
        <x:v>252</x:v>
      </x:c>
      <x:c r="C3018" t="str">
        <x:v>午餐</x:v>
      </x:c>
      <x:c r="D3018" t="str">
        <x:v>主食</x:v>
      </x:c>
      <x:c r="E3018" t="str">
        <x:v>紫薯</x:v>
      </x:c>
      <x:c r="F3018" t="n">
        <x:v>135</x:v>
      </x:c>
      <x:c r="G3018" t="n">
        <x:v>95</x:v>
      </x:c>
      <x:c r="H3018" t="n">
        <x:f>ROUND(F3018*G3018/100,2)</x:f>
        <x:v>128.25</x:v>
      </x:c>
      <x:c r="I3018" t="n">
        <x:v>1.6</x:v>
      </x:c>
      <x:c r="J3018" t="n">
        <x:f>ROUND(F3018*I3018/100,2)</x:f>
        <x:v>2.16</x:v>
      </x:c>
      <x:c r="K3018" t="n">
        <x:v>22</x:v>
      </x:c>
      <x:c r="L3018" t="n">
        <x:f>ROUND(F3018*K3018/100,2)</x:f>
        <x:v>29.7</x:v>
      </x:c>
      <x:c r="M3018" t="n">
        <x:v>0.1</x:v>
      </x:c>
      <x:c r="N3018" t="n">
        <x:f>ROUND(F3018*M3018/100,2)</x:f>
        <x:v>0.14</x:v>
      </x:c>
      <x:c r="O3018" t="str">
        <x:v>蒸熟净重</x:v>
      </x:c>
    </x:row>
    <x:row r="3019" ht="23" customHeight="1">
      <x:c r="A3019" t="n">
        <x:v>503</x:v>
      </x:c>
      <x:c r="B3019" t="n">
        <x:v>252</x:v>
      </x:c>
      <x:c r="C3019" t="str">
        <x:v>午餐</x:v>
      </x:c>
      <x:c r="D3019" t="str">
        <x:v>油脂</x:v>
      </x:c>
      <x:c r="E3019" t="str">
        <x:v>烹调油</x:v>
      </x:c>
      <x:c r="F3019" t="n">
        <x:v>4</x:v>
      </x:c>
      <x:c r="G3019" t="n">
        <x:v>900</x:v>
      </x:c>
      <x:c r="H3019" t="n">
        <x:f>ROUND(F3019*G3019/100,2)</x:f>
        <x:v>36</x:v>
      </x:c>
      <x:c r="I3019" t="n">
        <x:v>0</x:v>
      </x:c>
      <x:c r="J3019" t="n">
        <x:f>ROUND(F3019*I3019/100,2)</x:f>
        <x:v>0</x:v>
      </x:c>
      <x:c r="K3019" t="n">
        <x:v>0</x:v>
      </x:c>
      <x:c r="L3019" t="n">
        <x:f>ROUND(F3019*K3019/100,2)</x:f>
        <x:v>0</x:v>
      </x:c>
      <x:c r="M3019" t="n">
        <x:v>100</x:v>
      </x:c>
      <x:c r="N3019" t="n">
        <x:f>ROUND(F3019*M3019/100,2)</x:f>
        <x:v>4</x:v>
      </x:c>
      <x:c r="O3019" t="str">
        <x:v>实际用油重</x:v>
      </x:c>
    </x:row>
    <x:row r="3020" ht="23" customHeight="1">
      <x:c r="A3020" t="n">
        <x:v>504</x:v>
      </x:c>
      <x:c r="B3020" t="n">
        <x:v>252</x:v>
      </x:c>
      <x:c r="C3020" t="str">
        <x:v>晚餐</x:v>
      </x:c>
      <x:c r="D3020" t="str">
        <x:v>海鲜</x:v>
      </x:c>
      <x:c r="E3020" t="str">
        <x:v>花蛤肉</x:v>
      </x:c>
      <x:c r="F3020" t="n">
        <x:v>170</x:v>
      </x:c>
      <x:c r="G3020" t="n">
        <x:v>75</x:v>
      </x:c>
      <x:c r="H3020" t="n">
        <x:f>ROUND(F3020*G3020/100,2)</x:f>
        <x:v>127.5</x:v>
      </x:c>
      <x:c r="I3020" t="n">
        <x:v>13</x:v>
      </x:c>
      <x:c r="J3020" t="n">
        <x:f>ROUND(F3020*I3020/100,2)</x:f>
        <x:v>22.1</x:v>
      </x:c>
      <x:c r="K3020" t="n">
        <x:v>3.5</x:v>
      </x:c>
      <x:c r="L3020" t="n">
        <x:f>ROUND(F3020*K3020/100,2)</x:f>
        <x:v>5.95</x:v>
      </x:c>
      <x:c r="M3020" t="n">
        <x:v>1</x:v>
      </x:c>
      <x:c r="N3020" t="n">
        <x:f>ROUND(F3020*M3020/100,2)</x:f>
        <x:v>1.7</x:v>
      </x:c>
      <x:c r="O3020" t="str">
        <x:v>净肉生重</x:v>
      </x:c>
    </x:row>
    <x:row r="3021" ht="23" customHeight="1">
      <x:c r="A3021" t="n">
        <x:v>504</x:v>
      </x:c>
      <x:c r="B3021" t="n">
        <x:v>252</x:v>
      </x:c>
      <x:c r="C3021" t="str">
        <x:v>晚餐</x:v>
      </x:c>
      <x:c r="D3021" t="str"/>
      <x:c r="E3021" t="str"/>
      <x:c r="F3021" t="n">
        <x:v>0</x:v>
      </x:c>
      <x:c r="G3021" t="n">
        <x:v>0</x:v>
      </x:c>
      <x:c r="H3021" t="n">
        <x:f>ROUND(F3021*G3021/100,2)</x:f>
        <x:v>0</x:v>
      </x:c>
      <x:c r="I3021" t="n">
        <x:v>0</x:v>
      </x:c>
      <x:c r="J3021" t="n">
        <x:f>ROUND(F3021*I3021/100,2)</x:f>
        <x:v>0</x:v>
      </x:c>
      <x:c r="K3021" t="n">
        <x:v>0</x:v>
      </x:c>
      <x:c r="L3021" t="n">
        <x:f>ROUND(F3021*K3021/100,2)</x:f>
        <x:v>0</x:v>
      </x:c>
      <x:c r="M3021" t="n">
        <x:v>0</x:v>
      </x:c>
      <x:c r="N3021" t="n">
        <x:f>ROUND(F3021*M3021/100,2)</x:f>
        <x:v>0</x:v>
      </x:c>
      <x:c r="O3021" t="str"/>
    </x:row>
    <x:row r="3022" ht="23" customHeight="1">
      <x:c r="A3022" t="n">
        <x:v>504</x:v>
      </x:c>
      <x:c r="B3022" t="n">
        <x:v>252</x:v>
      </x:c>
      <x:c r="C3022" t="str">
        <x:v>晚餐</x:v>
      </x:c>
      <x:c r="D3022" t="str">
        <x:v>蔬菜</x:v>
      </x:c>
      <x:c r="E3022" t="str">
        <x:v>小白菜</x:v>
      </x:c>
      <x:c r="F3022" t="n">
        <x:v>140</x:v>
      </x:c>
      <x:c r="G3022" t="n">
        <x:v>17</x:v>
      </x:c>
      <x:c r="H3022" t="n">
        <x:f>ROUND(F3022*G3022/100,2)</x:f>
        <x:v>23.8</x:v>
      </x:c>
      <x:c r="I3022" t="n">
        <x:v>1.6</x:v>
      </x:c>
      <x:c r="J3022" t="n">
        <x:f>ROUND(F3022*I3022/100,2)</x:f>
        <x:v>2.24</x:v>
      </x:c>
      <x:c r="K3022" t="n">
        <x:v>2.8</x:v>
      </x:c>
      <x:c r="L3022" t="n">
        <x:f>ROUND(F3022*K3022/100,2)</x:f>
        <x:v>3.92</x:v>
      </x:c>
      <x:c r="M3022" t="n">
        <x:v>0.2</x:v>
      </x:c>
      <x:c r="N3022" t="n">
        <x:f>ROUND(F3022*M3022/100,2)</x:f>
        <x:v>0.28</x:v>
      </x:c>
      <x:c r="O3022" t="str">
        <x:v>生重</x:v>
      </x:c>
    </x:row>
    <x:row r="3023" ht="23" customHeight="1">
      <x:c r="A3023" t="n">
        <x:v>504</x:v>
      </x:c>
      <x:c r="B3023" t="n">
        <x:v>252</x:v>
      </x:c>
      <x:c r="C3023" t="str">
        <x:v>晚餐</x:v>
      </x:c>
      <x:c r="D3023" t="str">
        <x:v>蔬菜</x:v>
      </x:c>
      <x:c r="E3023" t="str">
        <x:v>海带</x:v>
      </x:c>
      <x:c r="F3023" t="n">
        <x:v>140</x:v>
      </x:c>
      <x:c r="G3023" t="n">
        <x:v>25</x:v>
      </x:c>
      <x:c r="H3023" t="n">
        <x:f>ROUND(F3023*G3023/100,2)</x:f>
        <x:v>35</x:v>
      </x:c>
      <x:c r="I3023" t="n">
        <x:v>1</x:v>
      </x:c>
      <x:c r="J3023" t="n">
        <x:f>ROUND(F3023*I3023/100,2)</x:f>
        <x:v>1.4</x:v>
      </x:c>
      <x:c r="K3023" t="n">
        <x:v>5</x:v>
      </x:c>
      <x:c r="L3023" t="n">
        <x:f>ROUND(F3023*K3023/100,2)</x:f>
        <x:v>7</x:v>
      </x:c>
      <x:c r="M3023" t="n">
        <x:v>0.1</x:v>
      </x:c>
      <x:c r="N3023" t="n">
        <x:f>ROUND(F3023*M3023/100,2)</x:f>
        <x:v>0.14</x:v>
      </x:c>
      <x:c r="O3023" t="str">
        <x:v>泡发沥水重</x:v>
      </x:c>
    </x:row>
    <x:row r="3024" ht="23" customHeight="1">
      <x:c r="A3024" t="n">
        <x:v>504</x:v>
      </x:c>
      <x:c r="B3024" t="n">
        <x:v>252</x:v>
      </x:c>
      <x:c r="C3024" t="str">
        <x:v>晚餐</x:v>
      </x:c>
      <x:c r="D3024" t="str">
        <x:v>主食</x:v>
      </x:c>
      <x:c r="E3024" t="str">
        <x:v>糙米饭</x:v>
      </x:c>
      <x:c r="F3024" t="n">
        <x:v>120</x:v>
      </x:c>
      <x:c r="G3024" t="n">
        <x:v>112</x:v>
      </x:c>
      <x:c r="H3024" t="n">
        <x:f>ROUND(F3024*G3024/100,2)</x:f>
        <x:v>134.4</x:v>
      </x:c>
      <x:c r="I3024" t="n">
        <x:v>2.6</x:v>
      </x:c>
      <x:c r="J3024" t="n">
        <x:f>ROUND(F3024*I3024/100,2)</x:f>
        <x:v>3.12</x:v>
      </x:c>
      <x:c r="K3024" t="n">
        <x:v>23.5</x:v>
      </x:c>
      <x:c r="L3024" t="n">
        <x:f>ROUND(F3024*K3024/100,2)</x:f>
        <x:v>28.2</x:v>
      </x:c>
      <x:c r="M3024" t="n">
        <x:v>0.9</x:v>
      </x:c>
      <x:c r="N3024" t="n">
        <x:f>ROUND(F3024*M3024/100,2)</x:f>
        <x:v>1.08</x:v>
      </x:c>
      <x:c r="O3024" t="str">
        <x:v>熟重</x:v>
      </x:c>
    </x:row>
    <x:row r="3025" ht="23" customHeight="1">
      <x:c r="A3025" t="n">
        <x:v>504</x:v>
      </x:c>
      <x:c r="B3025" t="n">
        <x:v>252</x:v>
      </x:c>
      <x:c r="C3025" t="str">
        <x:v>晚餐</x:v>
      </x:c>
      <x:c r="D3025" t="str">
        <x:v>油脂</x:v>
      </x:c>
      <x:c r="E3025" t="str">
        <x:v>烹调油</x:v>
      </x:c>
      <x:c r="F3025" t="n">
        <x:v>5</x:v>
      </x:c>
      <x:c r="G3025" t="n">
        <x:v>900</x:v>
      </x:c>
      <x:c r="H3025" t="n">
        <x:f>ROUND(F3025*G3025/100,2)</x:f>
        <x:v>45</x:v>
      </x:c>
      <x:c r="I3025" t="n">
        <x:v>0</x:v>
      </x:c>
      <x:c r="J3025" t="n">
        <x:f>ROUND(F3025*I3025/100,2)</x:f>
        <x:v>0</x:v>
      </x:c>
      <x:c r="K3025" t="n">
        <x:v>0</x:v>
      </x:c>
      <x:c r="L3025" t="n">
        <x:f>ROUND(F3025*K3025/100,2)</x:f>
        <x:v>0</x:v>
      </x:c>
      <x:c r="M3025" t="n">
        <x:v>100</x:v>
      </x:c>
      <x:c r="N3025" t="n">
        <x:f>ROUND(F3025*M3025/100,2)</x:f>
        <x:v>5</x:v>
      </x:c>
      <x:c r="O3025" t="str">
        <x:v>实际用油重</x:v>
      </x:c>
    </x:row>
    <x:row r="3026" ht="23" customHeight="1">
      <x:c r="A3026" t="n">
        <x:v>505</x:v>
      </x:c>
      <x:c r="B3026" t="n">
        <x:v>253</x:v>
      </x:c>
      <x:c r="C3026" t="str">
        <x:v>午餐</x:v>
      </x:c>
      <x:c r="D3026" t="str">
        <x:v>豆蛋</x:v>
      </x:c>
      <x:c r="E3026" t="str">
        <x:v>鸡蛋</x:v>
      </x:c>
      <x:c r="F3026" t="n">
        <x:v>100</x:v>
      </x:c>
      <x:c r="G3026" t="n">
        <x:v>144</x:v>
      </x:c>
      <x:c r="H3026" t="n">
        <x:f>ROUND(F3026*G3026/100,2)</x:f>
        <x:v>144</x:v>
      </x:c>
      <x:c r="I3026" t="n">
        <x:v>13</x:v>
      </x:c>
      <x:c r="J3026" t="n">
        <x:f>ROUND(F3026*I3026/100,2)</x:f>
        <x:v>13</x:v>
      </x:c>
      <x:c r="K3026" t="n">
        <x:v>1.1</x:v>
      </x:c>
      <x:c r="L3026" t="n">
        <x:f>ROUND(F3026*K3026/100,2)</x:f>
        <x:v>1.1</x:v>
      </x:c>
      <x:c r="M3026" t="n">
        <x:v>10</x:v>
      </x:c>
      <x:c r="N3026" t="n">
        <x:f>ROUND(F3026*M3026/100,2)</x:f>
        <x:v>10</x:v>
      </x:c>
      <x:c r="O3026" t="str">
        <x:v>去壳可食重</x:v>
      </x:c>
    </x:row>
    <x:row r="3027" ht="23" customHeight="1">
      <x:c r="A3027" t="n">
        <x:v>505</x:v>
      </x:c>
      <x:c r="B3027" t="n">
        <x:v>253</x:v>
      </x:c>
      <x:c r="C3027" t="str">
        <x:v>午餐</x:v>
      </x:c>
      <x:c r="D3027" t="str">
        <x:v>豆蛋</x:v>
      </x:c>
      <x:c r="E3027" t="str">
        <x:v>北豆腐</x:v>
      </x:c>
      <x:c r="F3027" t="n">
        <x:v>110</x:v>
      </x:c>
      <x:c r="G3027" t="n">
        <x:v>90</x:v>
      </x:c>
      <x:c r="H3027" t="n">
        <x:f>ROUND(F3027*G3027/100,2)</x:f>
        <x:v>99</x:v>
      </x:c>
      <x:c r="I3027" t="n">
        <x:v>10</x:v>
      </x:c>
      <x:c r="J3027" t="n">
        <x:f>ROUND(F3027*I3027/100,2)</x:f>
        <x:v>11</x:v>
      </x:c>
      <x:c r="K3027" t="n">
        <x:v>2</x:v>
      </x:c>
      <x:c r="L3027" t="n">
        <x:f>ROUND(F3027*K3027/100,2)</x:f>
        <x:v>2.2</x:v>
      </x:c>
      <x:c r="M3027" t="n">
        <x:v>5</x:v>
      </x:c>
      <x:c r="N3027" t="n">
        <x:f>ROUND(F3027*M3027/100,2)</x:f>
        <x:v>5.5</x:v>
      </x:c>
      <x:c r="O3027" t="str">
        <x:v>净重</x:v>
      </x:c>
    </x:row>
    <x:row r="3028" ht="23" customHeight="1">
      <x:c r="A3028" t="n">
        <x:v>505</x:v>
      </x:c>
      <x:c r="B3028" t="n">
        <x:v>253</x:v>
      </x:c>
      <x:c r="C3028" t="str">
        <x:v>午餐</x:v>
      </x:c>
      <x:c r="D3028" t="str">
        <x:v>蔬菜</x:v>
      </x:c>
      <x:c r="E3028" t="str">
        <x:v>小白菜</x:v>
      </x:c>
      <x:c r="F3028" t="n">
        <x:v>160</x:v>
      </x:c>
      <x:c r="G3028" t="n">
        <x:v>17</x:v>
      </x:c>
      <x:c r="H3028" t="n">
        <x:f>ROUND(F3028*G3028/100,2)</x:f>
        <x:v>27.2</x:v>
      </x:c>
      <x:c r="I3028" t="n">
        <x:v>1.6</x:v>
      </x:c>
      <x:c r="J3028" t="n">
        <x:f>ROUND(F3028*I3028/100,2)</x:f>
        <x:v>2.56</x:v>
      </x:c>
      <x:c r="K3028" t="n">
        <x:v>2.8</x:v>
      </x:c>
      <x:c r="L3028" t="n">
        <x:f>ROUND(F3028*K3028/100,2)</x:f>
        <x:v>4.48</x:v>
      </x:c>
      <x:c r="M3028" t="n">
        <x:v>0.2</x:v>
      </x:c>
      <x:c r="N3028" t="n">
        <x:f>ROUND(F3028*M3028/100,2)</x:f>
        <x:v>0.32</x:v>
      </x:c>
      <x:c r="O3028" t="str">
        <x:v>生重</x:v>
      </x:c>
    </x:row>
    <x:row r="3029" ht="23" customHeight="1">
      <x:c r="A3029" t="n">
        <x:v>505</x:v>
      </x:c>
      <x:c r="B3029" t="n">
        <x:v>253</x:v>
      </x:c>
      <x:c r="C3029" t="str">
        <x:v>午餐</x:v>
      </x:c>
      <x:c r="D3029" t="str">
        <x:v>菌菇</x:v>
      </x:c>
      <x:c r="E3029" t="str">
        <x:v>香菇</x:v>
      </x:c>
      <x:c r="F3029" t="n">
        <x:v>110</x:v>
      </x:c>
      <x:c r="G3029" t="n">
        <x:v>34</x:v>
      </x:c>
      <x:c r="H3029" t="n">
        <x:f>ROUND(F3029*G3029/100,2)</x:f>
        <x:v>37.4</x:v>
      </x:c>
      <x:c r="I3029" t="n">
        <x:v>2.2</x:v>
      </x:c>
      <x:c r="J3029" t="n">
        <x:f>ROUND(F3029*I3029/100,2)</x:f>
        <x:v>2.42</x:v>
      </x:c>
      <x:c r="K3029" t="n">
        <x:v>6.8</x:v>
      </x:c>
      <x:c r="L3029" t="n">
        <x:f>ROUND(F3029*K3029/100,2)</x:f>
        <x:v>7.48</x:v>
      </x:c>
      <x:c r="M3029" t="n">
        <x:v>0.5</x:v>
      </x:c>
      <x:c r="N3029" t="n">
        <x:f>ROUND(F3029*M3029/100,2)</x:f>
        <x:v>0.55</x:v>
      </x:c>
      <x:c r="O3029" t="str">
        <x:v>生重</x:v>
      </x:c>
    </x:row>
    <x:row r="3030" ht="23" customHeight="1">
      <x:c r="A3030" t="n">
        <x:v>505</x:v>
      </x:c>
      <x:c r="B3030" t="n">
        <x:v>253</x:v>
      </x:c>
      <x:c r="C3030" t="str">
        <x:v>午餐</x:v>
      </x:c>
      <x:c r="D3030" t="str">
        <x:v>主食</x:v>
      </x:c>
      <x:c r="E3030" t="str">
        <x:v>燕麦饭</x:v>
      </x:c>
      <x:c r="F3030" t="n">
        <x:v>150</x:v>
      </x:c>
      <x:c r="G3030" t="n">
        <x:v>110</x:v>
      </x:c>
      <x:c r="H3030" t="n">
        <x:f>ROUND(F3030*G3030/100,2)</x:f>
        <x:v>165</x:v>
      </x:c>
      <x:c r="I3030" t="n">
        <x:v>3.2</x:v>
      </x:c>
      <x:c r="J3030" t="n">
        <x:f>ROUND(F3030*I3030/100,2)</x:f>
        <x:v>4.8</x:v>
      </x:c>
      <x:c r="K3030" t="n">
        <x:v>21</x:v>
      </x:c>
      <x:c r="L3030" t="n">
        <x:f>ROUND(F3030*K3030/100,2)</x:f>
        <x:v>31.5</x:v>
      </x:c>
      <x:c r="M3030" t="n">
        <x:v>1.8</x:v>
      </x:c>
      <x:c r="N3030" t="n">
        <x:f>ROUND(F3030*M3030/100,2)</x:f>
        <x:v>2.7</x:v>
      </x:c>
      <x:c r="O3030" t="str">
        <x:v>熟重</x:v>
      </x:c>
    </x:row>
    <x:row r="3031" ht="23" customHeight="1">
      <x:c r="A3031" t="n">
        <x:v>505</x:v>
      </x:c>
      <x:c r="B3031" t="n">
        <x:v>253</x:v>
      </x:c>
      <x:c r="C3031" t="str">
        <x:v>午餐</x:v>
      </x:c>
      <x:c r="D3031" t="str">
        <x:v>油脂</x:v>
      </x:c>
      <x:c r="E3031" t="str">
        <x:v>烹调油</x:v>
      </x:c>
      <x:c r="F3031" t="n">
        <x:v>3</x:v>
      </x:c>
      <x:c r="G3031" t="n">
        <x:v>900</x:v>
      </x:c>
      <x:c r="H3031" t="n">
        <x:f>ROUND(F3031*G3031/100,2)</x:f>
        <x:v>27</x:v>
      </x:c>
      <x:c r="I3031" t="n">
        <x:v>0</x:v>
      </x:c>
      <x:c r="J3031" t="n">
        <x:f>ROUND(F3031*I3031/100,2)</x:f>
        <x:v>0</x:v>
      </x:c>
      <x:c r="K3031" t="n">
        <x:v>0</x:v>
      </x:c>
      <x:c r="L3031" t="n">
        <x:f>ROUND(F3031*K3031/100,2)</x:f>
        <x:v>0</x:v>
      </x:c>
      <x:c r="M3031" t="n">
        <x:v>100</x:v>
      </x:c>
      <x:c r="N3031" t="n">
        <x:f>ROUND(F3031*M3031/100,2)</x:f>
        <x:v>3</x:v>
      </x:c>
      <x:c r="O3031" t="str">
        <x:v>实际用油重</x:v>
      </x:c>
    </x:row>
    <x:row r="3032" ht="23" customHeight="1">
      <x:c r="A3032" t="n">
        <x:v>506</x:v>
      </x:c>
      <x:c r="B3032" t="n">
        <x:v>253</x:v>
      </x:c>
      <x:c r="C3032" t="str">
        <x:v>晚餐</x:v>
      </x:c>
      <x:c r="D3032" t="str">
        <x:v>豆蛋</x:v>
      </x:c>
      <x:c r="E3032" t="str">
        <x:v>北豆腐</x:v>
      </x:c>
      <x:c r="F3032" t="n">
        <x:v>260</x:v>
      </x:c>
      <x:c r="G3032" t="n">
        <x:v>90</x:v>
      </x:c>
      <x:c r="H3032" t="n">
        <x:f>ROUND(F3032*G3032/100,2)</x:f>
        <x:v>234</x:v>
      </x:c>
      <x:c r="I3032" t="n">
        <x:v>10</x:v>
      </x:c>
      <x:c r="J3032" t="n">
        <x:f>ROUND(F3032*I3032/100,2)</x:f>
        <x:v>26</x:v>
      </x:c>
      <x:c r="K3032" t="n">
        <x:v>2</x:v>
      </x:c>
      <x:c r="L3032" t="n">
        <x:f>ROUND(F3032*K3032/100,2)</x:f>
        <x:v>5.2</x:v>
      </x:c>
      <x:c r="M3032" t="n">
        <x:v>5</x:v>
      </x:c>
      <x:c r="N3032" t="n">
        <x:f>ROUND(F3032*M3032/100,2)</x:f>
        <x:v>13</x:v>
      </x:c>
      <x:c r="O3032" t="str">
        <x:v>净重</x:v>
      </x:c>
    </x:row>
    <x:row r="3033" ht="23" customHeight="1">
      <x:c r="A3033" t="n">
        <x:v>506</x:v>
      </x:c>
      <x:c r="B3033" t="n">
        <x:v>253</x:v>
      </x:c>
      <x:c r="C3033" t="str">
        <x:v>晚餐</x:v>
      </x:c>
      <x:c r="D3033" t="str">
        <x:v>豆蛋</x:v>
      </x:c>
      <x:c r="E3033" t="str">
        <x:v>熟毛豆仁</x:v>
      </x:c>
      <x:c r="F3033" t="n">
        <x:v>50</x:v>
      </x:c>
      <x:c r="G3033" t="n">
        <x:v>120</x:v>
      </x:c>
      <x:c r="H3033" t="n">
        <x:f>ROUND(F3033*G3033/100,2)</x:f>
        <x:v>60</x:v>
      </x:c>
      <x:c r="I3033" t="n">
        <x:v>12</x:v>
      </x:c>
      <x:c r="J3033" t="n">
        <x:f>ROUND(F3033*I3033/100,2)</x:f>
        <x:v>6</x:v>
      </x:c>
      <x:c r="K3033" t="n">
        <x:v>9</x:v>
      </x:c>
      <x:c r="L3033" t="n">
        <x:f>ROUND(F3033*K3033/100,2)</x:f>
        <x:v>4.5</x:v>
      </x:c>
      <x:c r="M3033" t="n">
        <x:v>5</x:v>
      </x:c>
      <x:c r="N3033" t="n">
        <x:f>ROUND(F3033*M3033/100,2)</x:f>
        <x:v>2.5</x:v>
      </x:c>
      <x:c r="O3033" t="str">
        <x:v>熟重</x:v>
      </x:c>
    </x:row>
    <x:row r="3034" ht="23" customHeight="1">
      <x:c r="A3034" t="n">
        <x:v>506</x:v>
      </x:c>
      <x:c r="B3034" t="n">
        <x:v>253</x:v>
      </x:c>
      <x:c r="C3034" t="str">
        <x:v>晚餐</x:v>
      </x:c>
      <x:c r="D3034" t="str">
        <x:v>蔬菜</x:v>
      </x:c>
      <x:c r="E3034" t="str">
        <x:v>西兰花</x:v>
      </x:c>
      <x:c r="F3034" t="n">
        <x:v>140</x:v>
      </x:c>
      <x:c r="G3034" t="n">
        <x:v>34</x:v>
      </x:c>
      <x:c r="H3034" t="n">
        <x:f>ROUND(F3034*G3034/100,2)</x:f>
        <x:v>47.6</x:v>
      </x:c>
      <x:c r="I3034" t="n">
        <x:v>2.8</x:v>
      </x:c>
      <x:c r="J3034" t="n">
        <x:f>ROUND(F3034*I3034/100,2)</x:f>
        <x:v>3.92</x:v>
      </x:c>
      <x:c r="K3034" t="n">
        <x:v>7</x:v>
      </x:c>
      <x:c r="L3034" t="n">
        <x:f>ROUND(F3034*K3034/100,2)</x:f>
        <x:v>9.8</x:v>
      </x:c>
      <x:c r="M3034" t="n">
        <x:v>0.4</x:v>
      </x:c>
      <x:c r="N3034" t="n">
        <x:f>ROUND(F3034*M3034/100,2)</x:f>
        <x:v>0.56</x:v>
      </x:c>
      <x:c r="O3034" t="str">
        <x:v>生重</x:v>
      </x:c>
    </x:row>
    <x:row r="3035" ht="23" customHeight="1">
      <x:c r="A3035" t="n">
        <x:v>506</x:v>
      </x:c>
      <x:c r="B3035" t="n">
        <x:v>253</x:v>
      </x:c>
      <x:c r="C3035" t="str">
        <x:v>晚餐</x:v>
      </x:c>
      <x:c r="D3035" t="str">
        <x:v>菌菇</x:v>
      </x:c>
      <x:c r="E3035" t="str">
        <x:v>泡发木耳</x:v>
      </x:c>
      <x:c r="F3035" t="n">
        <x:v>110</x:v>
      </x:c>
      <x:c r="G3035" t="n">
        <x:v>25</x:v>
      </x:c>
      <x:c r="H3035" t="n">
        <x:f>ROUND(F3035*G3035/100,2)</x:f>
        <x:v>27.5</x:v>
      </x:c>
      <x:c r="I3035" t="n">
        <x:v>1.5</x:v>
      </x:c>
      <x:c r="J3035" t="n">
        <x:f>ROUND(F3035*I3035/100,2)</x:f>
        <x:v>1.65</x:v>
      </x:c>
      <x:c r="K3035" t="n">
        <x:v>6</x:v>
      </x:c>
      <x:c r="L3035" t="n">
        <x:f>ROUND(F3035*K3035/100,2)</x:f>
        <x:v>6.6</x:v>
      </x:c>
      <x:c r="M3035" t="n">
        <x:v>0.1</x:v>
      </x:c>
      <x:c r="N3035" t="n">
        <x:f>ROUND(F3035*M3035/100,2)</x:f>
        <x:v>0.11</x:v>
      </x:c>
      <x:c r="O3035" t="str">
        <x:v>泡发沥水重</x:v>
      </x:c>
    </x:row>
    <x:row r="3036" ht="23" customHeight="1">
      <x:c r="A3036" t="n">
        <x:v>506</x:v>
      </x:c>
      <x:c r="B3036" t="n">
        <x:v>253</x:v>
      </x:c>
      <x:c r="C3036" t="str">
        <x:v>晚餐</x:v>
      </x:c>
      <x:c r="D3036" t="str">
        <x:v>主食</x:v>
      </x:c>
      <x:c r="E3036" t="str">
        <x:v>糙米饭</x:v>
      </x:c>
      <x:c r="F3036" t="n">
        <x:v>135</x:v>
      </x:c>
      <x:c r="G3036" t="n">
        <x:v>112</x:v>
      </x:c>
      <x:c r="H3036" t="n">
        <x:f>ROUND(F3036*G3036/100,2)</x:f>
        <x:v>151.2</x:v>
      </x:c>
      <x:c r="I3036" t="n">
        <x:v>2.6</x:v>
      </x:c>
      <x:c r="J3036" t="n">
        <x:f>ROUND(F3036*I3036/100,2)</x:f>
        <x:v>3.51</x:v>
      </x:c>
      <x:c r="K3036" t="n">
        <x:v>23.5</x:v>
      </x:c>
      <x:c r="L3036" t="n">
        <x:f>ROUND(F3036*K3036/100,2)</x:f>
        <x:v>31.73</x:v>
      </x:c>
      <x:c r="M3036" t="n">
        <x:v>0.9</x:v>
      </x:c>
      <x:c r="N3036" t="n">
        <x:f>ROUND(F3036*M3036/100,2)</x:f>
        <x:v>1.22</x:v>
      </x:c>
      <x:c r="O3036" t="str">
        <x:v>熟重</x:v>
      </x:c>
    </x:row>
    <x:row r="3037" ht="23" customHeight="1">
      <x:c r="A3037" t="n">
        <x:v>506</x:v>
      </x:c>
      <x:c r="B3037" t="n">
        <x:v>253</x:v>
      </x:c>
      <x:c r="C3037" t="str">
        <x:v>晚餐</x:v>
      </x:c>
      <x:c r="D3037" t="str">
        <x:v>油脂</x:v>
      </x:c>
      <x:c r="E3037" t="str">
        <x:v>烹调油</x:v>
      </x:c>
      <x:c r="F3037" t="n">
        <x:v>5</x:v>
      </x:c>
      <x:c r="G3037" t="n">
        <x:v>900</x:v>
      </x:c>
      <x:c r="H3037" t="n">
        <x:f>ROUND(F3037*G3037/100,2)</x:f>
        <x:v>45</x:v>
      </x:c>
      <x:c r="I3037" t="n">
        <x:v>0</x:v>
      </x:c>
      <x:c r="J3037" t="n">
        <x:f>ROUND(F3037*I3037/100,2)</x:f>
        <x:v>0</x:v>
      </x:c>
      <x:c r="K3037" t="n">
        <x:v>0</x:v>
      </x:c>
      <x:c r="L3037" t="n">
        <x:f>ROUND(F3037*K3037/100,2)</x:f>
        <x:v>0</x:v>
      </x:c>
      <x:c r="M3037" t="n">
        <x:v>100</x:v>
      </x:c>
      <x:c r="N3037" t="n">
        <x:f>ROUND(F3037*M3037/100,2)</x:f>
        <x:v>5</x:v>
      </x:c>
      <x:c r="O3037" t="str">
        <x:v>实际用油重</x:v>
      </x:c>
    </x:row>
    <x:row r="3038" ht="23" customHeight="1">
      <x:c r="A3038" t="n">
        <x:v>507</x:v>
      </x:c>
      <x:c r="B3038" t="n">
        <x:v>254</x:v>
      </x:c>
      <x:c r="C3038" t="str">
        <x:v>午餐</x:v>
      </x:c>
      <x:c r="D3038" t="str">
        <x:v>海鲜</x:v>
      </x:c>
      <x:c r="E3038" t="str">
        <x:v>虾仁</x:v>
      </x:c>
      <x:c r="F3038" t="n">
        <x:v>175</x:v>
      </x:c>
      <x:c r="G3038" t="n">
        <x:v>90</x:v>
      </x:c>
      <x:c r="H3038" t="n">
        <x:f>ROUND(F3038*G3038/100,2)</x:f>
        <x:v>157.5</x:v>
      </x:c>
      <x:c r="I3038" t="n">
        <x:v>19</x:v>
      </x:c>
      <x:c r="J3038" t="n">
        <x:f>ROUND(F3038*I3038/100,2)</x:f>
        <x:v>33.25</x:v>
      </x:c>
      <x:c r="K3038" t="n">
        <x:v>0.4</x:v>
      </x:c>
      <x:c r="L3038" t="n">
        <x:f>ROUND(F3038*K3038/100,2)</x:f>
        <x:v>0.7</x:v>
      </x:c>
      <x:c r="M3038" t="n">
        <x:v>1.1</x:v>
      </x:c>
      <x:c r="N3038" t="n">
        <x:f>ROUND(F3038*M3038/100,2)</x:f>
        <x:v>1.93</x:v>
      </x:c>
      <x:c r="O3038" t="str">
        <x:v>生重</x:v>
      </x:c>
    </x:row>
    <x:row r="3039" ht="23" customHeight="1">
      <x:c r="A3039" t="n">
        <x:v>507</x:v>
      </x:c>
      <x:c r="B3039" t="n">
        <x:v>254</x:v>
      </x:c>
      <x:c r="C3039" t="str">
        <x:v>午餐</x:v>
      </x:c>
      <x:c r="D3039" t="str">
        <x:v>豆蛋</x:v>
      </x:c>
      <x:c r="E3039" t="str">
        <x:v>北豆腐</x:v>
      </x:c>
      <x:c r="F3039" t="n">
        <x:v>90</x:v>
      </x:c>
      <x:c r="G3039" t="n">
        <x:v>90</x:v>
      </x:c>
      <x:c r="H3039" t="n">
        <x:f>ROUND(F3039*G3039/100,2)</x:f>
        <x:v>81</x:v>
      </x:c>
      <x:c r="I3039" t="n">
        <x:v>10</x:v>
      </x:c>
      <x:c r="J3039" t="n">
        <x:f>ROUND(F3039*I3039/100,2)</x:f>
        <x:v>9</x:v>
      </x:c>
      <x:c r="K3039" t="n">
        <x:v>2</x:v>
      </x:c>
      <x:c r="L3039" t="n">
        <x:f>ROUND(F3039*K3039/100,2)</x:f>
        <x:v>1.8</x:v>
      </x:c>
      <x:c r="M3039" t="n">
        <x:v>5</x:v>
      </x:c>
      <x:c r="N3039" t="n">
        <x:f>ROUND(F3039*M3039/100,2)</x:f>
        <x:v>4.5</x:v>
      </x:c>
      <x:c r="O3039" t="str">
        <x:v>净重</x:v>
      </x:c>
    </x:row>
    <x:row r="3040" ht="23" customHeight="1">
      <x:c r="A3040" t="n">
        <x:v>507</x:v>
      </x:c>
      <x:c r="B3040" t="n">
        <x:v>254</x:v>
      </x:c>
      <x:c r="C3040" t="str">
        <x:v>午餐</x:v>
      </x:c>
      <x:c r="D3040" t="str">
        <x:v>蔬菜</x:v>
      </x:c>
      <x:c r="E3040" t="str">
        <x:v>番茄</x:v>
      </x:c>
      <x:c r="F3040" t="n">
        <x:v>190</x:v>
      </x:c>
      <x:c r="G3040" t="n">
        <x:v>20</x:v>
      </x:c>
      <x:c r="H3040" t="n">
        <x:f>ROUND(F3040*G3040/100,2)</x:f>
        <x:v>38</x:v>
      </x:c>
      <x:c r="I3040" t="n">
        <x:v>0.9</x:v>
      </x:c>
      <x:c r="J3040" t="n">
        <x:f>ROUND(F3040*I3040/100,2)</x:f>
        <x:v>1.71</x:v>
      </x:c>
      <x:c r="K3040" t="n">
        <x:v>4</x:v>
      </x:c>
      <x:c r="L3040" t="n">
        <x:f>ROUND(F3040*K3040/100,2)</x:f>
        <x:v>7.6</x:v>
      </x:c>
      <x:c r="M3040" t="n">
        <x:v>0.2</x:v>
      </x:c>
      <x:c r="N3040" t="n">
        <x:f>ROUND(F3040*M3040/100,2)</x:f>
        <x:v>0.38</x:v>
      </x:c>
      <x:c r="O3040" t="str">
        <x:v>生重</x:v>
      </x:c>
    </x:row>
    <x:row r="3041" ht="23" customHeight="1">
      <x:c r="A3041" t="n">
        <x:v>507</x:v>
      </x:c>
      <x:c r="B3041" t="n">
        <x:v>254</x:v>
      </x:c>
      <x:c r="C3041" t="str">
        <x:v>午餐</x:v>
      </x:c>
      <x:c r="D3041" t="str">
        <x:v>蔬菜</x:v>
      </x:c>
      <x:c r="E3041" t="str">
        <x:v>莴笋</x:v>
      </x:c>
      <x:c r="F3041" t="n">
        <x:v>155</x:v>
      </x:c>
      <x:c r="G3041" t="n">
        <x:v>15</x:v>
      </x:c>
      <x:c r="H3041" t="n">
        <x:f>ROUND(F3041*G3041/100,2)</x:f>
        <x:v>23.25</x:v>
      </x:c>
      <x:c r="I3041" t="n">
        <x:v>1</x:v>
      </x:c>
      <x:c r="J3041" t="n">
        <x:f>ROUND(F3041*I3041/100,2)</x:f>
        <x:v>1.55</x:v>
      </x:c>
      <x:c r="K3041" t="n">
        <x:v>2.8</x:v>
      </x:c>
      <x:c r="L3041" t="n">
        <x:f>ROUND(F3041*K3041/100,2)</x:f>
        <x:v>4.34</x:v>
      </x:c>
      <x:c r="M3041" t="n">
        <x:v>0.1</x:v>
      </x:c>
      <x:c r="N3041" t="n">
        <x:f>ROUND(F3041*M3041/100,2)</x:f>
        <x:v>0.16</x:v>
      </x:c>
      <x:c r="O3041" t="str">
        <x:v>生重</x:v>
      </x:c>
    </x:row>
    <x:row r="3042" ht="23" customHeight="1">
      <x:c r="A3042" t="n">
        <x:v>507</x:v>
      </x:c>
      <x:c r="B3042" t="n">
        <x:v>254</x:v>
      </x:c>
      <x:c r="C3042" t="str">
        <x:v>午餐</x:v>
      </x:c>
      <x:c r="D3042" t="str">
        <x:v>主食</x:v>
      </x:c>
      <x:c r="E3042" t="str">
        <x:v>糙米饭</x:v>
      </x:c>
      <x:c r="F3042" t="n">
        <x:v>110</x:v>
      </x:c>
      <x:c r="G3042" t="n">
        <x:v>112</x:v>
      </x:c>
      <x:c r="H3042" t="n">
        <x:f>ROUND(F3042*G3042/100,2)</x:f>
        <x:v>123.2</x:v>
      </x:c>
      <x:c r="I3042" t="n">
        <x:v>2.6</x:v>
      </x:c>
      <x:c r="J3042" t="n">
        <x:f>ROUND(F3042*I3042/100,2)</x:f>
        <x:v>2.86</x:v>
      </x:c>
      <x:c r="K3042" t="n">
        <x:v>23.5</x:v>
      </x:c>
      <x:c r="L3042" t="n">
        <x:f>ROUND(F3042*K3042/100,2)</x:f>
        <x:v>25.85</x:v>
      </x:c>
      <x:c r="M3042" t="n">
        <x:v>0.9</x:v>
      </x:c>
      <x:c r="N3042" t="n">
        <x:f>ROUND(F3042*M3042/100,2)</x:f>
        <x:v>0.99</x:v>
      </x:c>
      <x:c r="O3042" t="str">
        <x:v>熟重</x:v>
      </x:c>
    </x:row>
    <x:row r="3043" ht="23" customHeight="1">
      <x:c r="A3043" t="n">
        <x:v>507</x:v>
      </x:c>
      <x:c r="B3043" t="n">
        <x:v>254</x:v>
      </x:c>
      <x:c r="C3043" t="str">
        <x:v>午餐</x:v>
      </x:c>
      <x:c r="D3043" t="str">
        <x:v>油脂</x:v>
      </x:c>
      <x:c r="E3043" t="str">
        <x:v>烹调油</x:v>
      </x:c>
      <x:c r="F3043" t="n">
        <x:v>6</x:v>
      </x:c>
      <x:c r="G3043" t="n">
        <x:v>900</x:v>
      </x:c>
      <x:c r="H3043" t="n">
        <x:f>ROUND(F3043*G3043/100,2)</x:f>
        <x:v>54</x:v>
      </x:c>
      <x:c r="I3043" t="n">
        <x:v>0</x:v>
      </x:c>
      <x:c r="J3043" t="n">
        <x:f>ROUND(F3043*I3043/100,2)</x:f>
        <x:v>0</x:v>
      </x:c>
      <x:c r="K3043" t="n">
        <x:v>0</x:v>
      </x:c>
      <x:c r="L3043" t="n">
        <x:f>ROUND(F3043*K3043/100,2)</x:f>
        <x:v>0</x:v>
      </x:c>
      <x:c r="M3043" t="n">
        <x:v>100</x:v>
      </x:c>
      <x:c r="N3043" t="n">
        <x:f>ROUND(F3043*M3043/100,2)</x:f>
        <x:v>6</x:v>
      </x:c>
      <x:c r="O3043" t="str">
        <x:v>实际用油重</x:v>
      </x:c>
    </x:row>
    <x:row r="3044" ht="23" customHeight="1">
      <x:c r="A3044" t="n">
        <x:v>508</x:v>
      </x:c>
      <x:c r="B3044" t="n">
        <x:v>254</x:v>
      </x:c>
      <x:c r="C3044" t="str">
        <x:v>晚餐</x:v>
      </x:c>
      <x:c r="D3044" t="str">
        <x:v>豆蛋</x:v>
      </x:c>
      <x:c r="E3044" t="str">
        <x:v>鸡蛋</x:v>
      </x:c>
      <x:c r="F3044" t="n">
        <x:v>100</x:v>
      </x:c>
      <x:c r="G3044" t="n">
        <x:v>144</x:v>
      </x:c>
      <x:c r="H3044" t="n">
        <x:f>ROUND(F3044*G3044/100,2)</x:f>
        <x:v>144</x:v>
      </x:c>
      <x:c r="I3044" t="n">
        <x:v>13</x:v>
      </x:c>
      <x:c r="J3044" t="n">
        <x:f>ROUND(F3044*I3044/100,2)</x:f>
        <x:v>13</x:v>
      </x:c>
      <x:c r="K3044" t="n">
        <x:v>1.1</x:v>
      </x:c>
      <x:c r="L3044" t="n">
        <x:f>ROUND(F3044*K3044/100,2)</x:f>
        <x:v>1.1</x:v>
      </x:c>
      <x:c r="M3044" t="n">
        <x:v>10</x:v>
      </x:c>
      <x:c r="N3044" t="n">
        <x:f>ROUND(F3044*M3044/100,2)</x:f>
        <x:v>10</x:v>
      </x:c>
      <x:c r="O3044" t="str">
        <x:v>去壳可食重</x:v>
      </x:c>
    </x:row>
    <x:row r="3045" ht="23" customHeight="1">
      <x:c r="A3045" t="n">
        <x:v>508</x:v>
      </x:c>
      <x:c r="B3045" t="n">
        <x:v>254</x:v>
      </x:c>
      <x:c r="C3045" t="str">
        <x:v>晚餐</x:v>
      </x:c>
      <x:c r="D3045" t="str">
        <x:v>豆蛋</x:v>
      </x:c>
      <x:c r="E3045" t="str">
        <x:v>北豆腐</x:v>
      </x:c>
      <x:c r="F3045" t="n">
        <x:v>110</x:v>
      </x:c>
      <x:c r="G3045" t="n">
        <x:v>90</x:v>
      </x:c>
      <x:c r="H3045" t="n">
        <x:f>ROUND(F3045*G3045/100,2)</x:f>
        <x:v>99</x:v>
      </x:c>
      <x:c r="I3045" t="n">
        <x:v>10</x:v>
      </x:c>
      <x:c r="J3045" t="n">
        <x:f>ROUND(F3045*I3045/100,2)</x:f>
        <x:v>11</x:v>
      </x:c>
      <x:c r="K3045" t="n">
        <x:v>2</x:v>
      </x:c>
      <x:c r="L3045" t="n">
        <x:f>ROUND(F3045*K3045/100,2)</x:f>
        <x:v>2.2</x:v>
      </x:c>
      <x:c r="M3045" t="n">
        <x:v>5</x:v>
      </x:c>
      <x:c r="N3045" t="n">
        <x:f>ROUND(F3045*M3045/100,2)</x:f>
        <x:v>5.5</x:v>
      </x:c>
      <x:c r="O3045" t="str">
        <x:v>净重</x:v>
      </x:c>
    </x:row>
    <x:row r="3046" ht="23" customHeight="1">
      <x:c r="A3046" t="n">
        <x:v>508</x:v>
      </x:c>
      <x:c r="B3046" t="n">
        <x:v>254</x:v>
      </x:c>
      <x:c r="C3046" t="str">
        <x:v>晚餐</x:v>
      </x:c>
      <x:c r="D3046" t="str">
        <x:v>蔬菜</x:v>
      </x:c>
      <x:c r="E3046" t="str">
        <x:v>芦笋</x:v>
      </x:c>
      <x:c r="F3046" t="n">
        <x:v>175</x:v>
      </x:c>
      <x:c r="G3046" t="n">
        <x:v>20</x:v>
      </x:c>
      <x:c r="H3046" t="n">
        <x:f>ROUND(F3046*G3046/100,2)</x:f>
        <x:v>35</x:v>
      </x:c>
      <x:c r="I3046" t="n">
        <x:v>2.2</x:v>
      </x:c>
      <x:c r="J3046" t="n">
        <x:f>ROUND(F3046*I3046/100,2)</x:f>
        <x:v>3.85</x:v>
      </x:c>
      <x:c r="K3046" t="n">
        <x:v>3.9</x:v>
      </x:c>
      <x:c r="L3046" t="n">
        <x:f>ROUND(F3046*K3046/100,2)</x:f>
        <x:v>6.83</x:v>
      </x:c>
      <x:c r="M3046" t="n">
        <x:v>0.1</x:v>
      </x:c>
      <x:c r="N3046" t="n">
        <x:f>ROUND(F3046*M3046/100,2)</x:f>
        <x:v>0.18</x:v>
      </x:c>
      <x:c r="O3046" t="str">
        <x:v>生重</x:v>
      </x:c>
    </x:row>
    <x:row r="3047" ht="23" customHeight="1">
      <x:c r="A3047" t="n">
        <x:v>508</x:v>
      </x:c>
      <x:c r="B3047" t="n">
        <x:v>254</x:v>
      </x:c>
      <x:c r="C3047" t="str">
        <x:v>晚餐</x:v>
      </x:c>
      <x:c r="D3047" t="str">
        <x:v>菌菇</x:v>
      </x:c>
      <x:c r="E3047" t="str">
        <x:v>金针菇</x:v>
      </x:c>
      <x:c r="F3047" t="n">
        <x:v>125</x:v>
      </x:c>
      <x:c r="G3047" t="n">
        <x:v>32</x:v>
      </x:c>
      <x:c r="H3047" t="n">
        <x:f>ROUND(F3047*G3047/100,2)</x:f>
        <x:v>40</x:v>
      </x:c>
      <x:c r="I3047" t="n">
        <x:v>2.4</x:v>
      </x:c>
      <x:c r="J3047" t="n">
        <x:f>ROUND(F3047*I3047/100,2)</x:f>
        <x:v>3</x:v>
      </x:c>
      <x:c r="K3047" t="n">
        <x:v>6.4</x:v>
      </x:c>
      <x:c r="L3047" t="n">
        <x:f>ROUND(F3047*K3047/100,2)</x:f>
        <x:v>8</x:v>
      </x:c>
      <x:c r="M3047" t="n">
        <x:v>0.2</x:v>
      </x:c>
      <x:c r="N3047" t="n">
        <x:f>ROUND(F3047*M3047/100,2)</x:f>
        <x:v>0.25</x:v>
      </x:c>
      <x:c r="O3047" t="str">
        <x:v>生重</x:v>
      </x:c>
    </x:row>
    <x:row r="3048" ht="23" customHeight="1">
      <x:c r="A3048" t="n">
        <x:v>508</x:v>
      </x:c>
      <x:c r="B3048" t="n">
        <x:v>254</x:v>
      </x:c>
      <x:c r="C3048" t="str">
        <x:v>晚餐</x:v>
      </x:c>
      <x:c r="D3048" t="str">
        <x:v>主食</x:v>
      </x:c>
      <x:c r="E3048" t="str">
        <x:v>杂粮饭</x:v>
      </x:c>
      <x:c r="F3048" t="n">
        <x:v>135</x:v>
      </x:c>
      <x:c r="G3048" t="n">
        <x:v>115</x:v>
      </x:c>
      <x:c r="H3048" t="n">
        <x:f>ROUND(F3048*G3048/100,2)</x:f>
        <x:v>155.25</x:v>
      </x:c>
      <x:c r="I3048" t="n">
        <x:v>3.1</x:v>
      </x:c>
      <x:c r="J3048" t="n">
        <x:f>ROUND(F3048*I3048/100,2)</x:f>
        <x:v>4.18</x:v>
      </x:c>
      <x:c r="K3048" t="n">
        <x:v>23.5</x:v>
      </x:c>
      <x:c r="L3048" t="n">
        <x:f>ROUND(F3048*K3048/100,2)</x:f>
        <x:v>31.73</x:v>
      </x:c>
      <x:c r="M3048" t="n">
        <x:v>1.1</x:v>
      </x:c>
      <x:c r="N3048" t="n">
        <x:f>ROUND(F3048*M3048/100,2)</x:f>
        <x:v>1.49</x:v>
      </x:c>
      <x:c r="O3048" t="str">
        <x:v>熟重</x:v>
      </x:c>
    </x:row>
    <x:row r="3049" ht="23" customHeight="1">
      <x:c r="A3049" t="n">
        <x:v>508</x:v>
      </x:c>
      <x:c r="B3049" t="n">
        <x:v>254</x:v>
      </x:c>
      <x:c r="C3049" t="str">
        <x:v>晚餐</x:v>
      </x:c>
      <x:c r="D3049" t="str">
        <x:v>油脂</x:v>
      </x:c>
      <x:c r="E3049" t="str">
        <x:v>烹调油</x:v>
      </x:c>
      <x:c r="F3049" t="n">
        <x:v>5</x:v>
      </x:c>
      <x:c r="G3049" t="n">
        <x:v>900</x:v>
      </x:c>
      <x:c r="H3049" t="n">
        <x:f>ROUND(F3049*G3049/100,2)</x:f>
        <x:v>45</x:v>
      </x:c>
      <x:c r="I3049" t="n">
        <x:v>0</x:v>
      </x:c>
      <x:c r="J3049" t="n">
        <x:f>ROUND(F3049*I3049/100,2)</x:f>
        <x:v>0</x:v>
      </x:c>
      <x:c r="K3049" t="n">
        <x:v>0</x:v>
      </x:c>
      <x:c r="L3049" t="n">
        <x:f>ROUND(F3049*K3049/100,2)</x:f>
        <x:v>0</x:v>
      </x:c>
      <x:c r="M3049" t="n">
        <x:v>100</x:v>
      </x:c>
      <x:c r="N3049" t="n">
        <x:f>ROUND(F3049*M3049/100,2)</x:f>
        <x:v>5</x:v>
      </x:c>
      <x:c r="O3049" t="str">
        <x:v>实际用油重</x:v>
      </x:c>
    </x:row>
    <x:row r="3050" ht="23" customHeight="1">
      <x:c r="A3050" t="n">
        <x:v>509</x:v>
      </x:c>
      <x:c r="B3050" t="n">
        <x:v>255</x:v>
      </x:c>
      <x:c r="C3050" t="str">
        <x:v>午餐</x:v>
      </x:c>
      <x:c r="D3050" t="str">
        <x:v>鱼类</x:v>
      </x:c>
      <x:c r="E3050" t="str">
        <x:v>鳕鱼</x:v>
      </x:c>
      <x:c r="F3050" t="n">
        <x:v>200</x:v>
      </x:c>
      <x:c r="G3050" t="n">
        <x:v>85</x:v>
      </x:c>
      <x:c r="H3050" t="n">
        <x:f>ROUND(F3050*G3050/100,2)</x:f>
        <x:v>170</x:v>
      </x:c>
      <x:c r="I3050" t="n">
        <x:v>18</x:v>
      </x:c>
      <x:c r="J3050" t="n">
        <x:f>ROUND(F3050*I3050/100,2)</x:f>
        <x:v>36</x:v>
      </x:c>
      <x:c r="K3050" t="n">
        <x:v>0</x:v>
      </x:c>
      <x:c r="L3050" t="n">
        <x:f>ROUND(F3050*K3050/100,2)</x:f>
        <x:v>0</x:v>
      </x:c>
      <x:c r="M3050" t="n">
        <x:v>0.8</x:v>
      </x:c>
      <x:c r="N3050" t="n">
        <x:f>ROUND(F3050*M3050/100,2)</x:f>
        <x:v>1.6</x:v>
      </x:c>
      <x:c r="O3050" t="str">
        <x:v>净鱼肉生重</x:v>
      </x:c>
    </x:row>
    <x:row r="3051" ht="23" customHeight="1">
      <x:c r="A3051" t="n">
        <x:v>509</x:v>
      </x:c>
      <x:c r="B3051" t="n">
        <x:v>255</x:v>
      </x:c>
      <x:c r="C3051" t="str">
        <x:v>午餐</x:v>
      </x:c>
      <x:c r="D3051" t="str"/>
      <x:c r="E3051" t="str"/>
      <x:c r="F3051" t="n">
        <x:v>0</x:v>
      </x:c>
      <x:c r="G3051" t="n">
        <x:v>0</x:v>
      </x:c>
      <x:c r="H3051" t="n">
        <x:f>ROUND(F3051*G3051/100,2)</x:f>
        <x:v>0</x:v>
      </x:c>
      <x:c r="I3051" t="n">
        <x:v>0</x:v>
      </x:c>
      <x:c r="J3051" t="n">
        <x:f>ROUND(F3051*I3051/100,2)</x:f>
        <x:v>0</x:v>
      </x:c>
      <x:c r="K3051" t="n">
        <x:v>0</x:v>
      </x:c>
      <x:c r="L3051" t="n">
        <x:f>ROUND(F3051*K3051/100,2)</x:f>
        <x:v>0</x:v>
      </x:c>
      <x:c r="M3051" t="n">
        <x:v>0</x:v>
      </x:c>
      <x:c r="N3051" t="n">
        <x:f>ROUND(F3051*M3051/100,2)</x:f>
        <x:v>0</x:v>
      </x:c>
      <x:c r="O3051" t="str"/>
    </x:row>
    <x:row r="3052" ht="23" customHeight="1">
      <x:c r="A3052" t="n">
        <x:v>509</x:v>
      </x:c>
      <x:c r="B3052" t="n">
        <x:v>255</x:v>
      </x:c>
      <x:c r="C3052" t="str">
        <x:v>午餐</x:v>
      </x:c>
      <x:c r="D3052" t="str">
        <x:v>蔬菜</x:v>
      </x:c>
      <x:c r="E3052" t="str">
        <x:v>荷兰豆</x:v>
      </x:c>
      <x:c r="F3052" t="n">
        <x:v>190</x:v>
      </x:c>
      <x:c r="G3052" t="n">
        <x:v>42</x:v>
      </x:c>
      <x:c r="H3052" t="n">
        <x:f>ROUND(F3052*G3052/100,2)</x:f>
        <x:v>79.8</x:v>
      </x:c>
      <x:c r="I3052" t="n">
        <x:v>2.8</x:v>
      </x:c>
      <x:c r="J3052" t="n">
        <x:f>ROUND(F3052*I3052/100,2)</x:f>
        <x:v>5.32</x:v>
      </x:c>
      <x:c r="K3052" t="n">
        <x:v>7.5</x:v>
      </x:c>
      <x:c r="L3052" t="n">
        <x:f>ROUND(F3052*K3052/100,2)</x:f>
        <x:v>14.25</x:v>
      </x:c>
      <x:c r="M3052" t="n">
        <x:v>0.3</x:v>
      </x:c>
      <x:c r="N3052" t="n">
        <x:f>ROUND(F3052*M3052/100,2)</x:f>
        <x:v>0.57</x:v>
      </x:c>
      <x:c r="O3052" t="str">
        <x:v>生重</x:v>
      </x:c>
    </x:row>
    <x:row r="3053" ht="23" customHeight="1">
      <x:c r="A3053" t="n">
        <x:v>509</x:v>
      </x:c>
      <x:c r="B3053" t="n">
        <x:v>255</x:v>
      </x:c>
      <x:c r="C3053" t="str">
        <x:v>午餐</x:v>
      </x:c>
      <x:c r="D3053" t="str">
        <x:v>蔬菜</x:v>
      </x:c>
      <x:c r="E3053" t="str">
        <x:v>彩椒</x:v>
      </x:c>
      <x:c r="F3053" t="n">
        <x:v>140</x:v>
      </x:c>
      <x:c r="G3053" t="n">
        <x:v>27</x:v>
      </x:c>
      <x:c r="H3053" t="n">
        <x:f>ROUND(F3053*G3053/100,2)</x:f>
        <x:v>37.8</x:v>
      </x:c>
      <x:c r="I3053" t="n">
        <x:v>1</x:v>
      </x:c>
      <x:c r="J3053" t="n">
        <x:f>ROUND(F3053*I3053/100,2)</x:f>
        <x:v>1.4</x:v>
      </x:c>
      <x:c r="K3053" t="n">
        <x:v>6.1</x:v>
      </x:c>
      <x:c r="L3053" t="n">
        <x:f>ROUND(F3053*K3053/100,2)</x:f>
        <x:v>8.54</x:v>
      </x:c>
      <x:c r="M3053" t="n">
        <x:v>0.2</x:v>
      </x:c>
      <x:c r="N3053" t="n">
        <x:f>ROUND(F3053*M3053/100,2)</x:f>
        <x:v>0.28</x:v>
      </x:c>
      <x:c r="O3053" t="str">
        <x:v>生重</x:v>
      </x:c>
    </x:row>
    <x:row r="3054" ht="23" customHeight="1">
      <x:c r="A3054" t="n">
        <x:v>509</x:v>
      </x:c>
      <x:c r="B3054" t="n">
        <x:v>255</x:v>
      </x:c>
      <x:c r="C3054" t="str">
        <x:v>午餐</x:v>
      </x:c>
      <x:c r="D3054" t="str">
        <x:v>主食</x:v>
      </x:c>
      <x:c r="E3054" t="str">
        <x:v>糙米饭</x:v>
      </x:c>
      <x:c r="F3054" t="n">
        <x:v>110</x:v>
      </x:c>
      <x:c r="G3054" t="n">
        <x:v>112</x:v>
      </x:c>
      <x:c r="H3054" t="n">
        <x:f>ROUND(F3054*G3054/100,2)</x:f>
        <x:v>123.2</x:v>
      </x:c>
      <x:c r="I3054" t="n">
        <x:v>2.6</x:v>
      </x:c>
      <x:c r="J3054" t="n">
        <x:f>ROUND(F3054*I3054/100,2)</x:f>
        <x:v>2.86</x:v>
      </x:c>
      <x:c r="K3054" t="n">
        <x:v>23.5</x:v>
      </x:c>
      <x:c r="L3054" t="n">
        <x:f>ROUND(F3054*K3054/100,2)</x:f>
        <x:v>25.85</x:v>
      </x:c>
      <x:c r="M3054" t="n">
        <x:v>0.9</x:v>
      </x:c>
      <x:c r="N3054" t="n">
        <x:f>ROUND(F3054*M3054/100,2)</x:f>
        <x:v>0.99</x:v>
      </x:c>
      <x:c r="O3054" t="str">
        <x:v>熟重</x:v>
      </x:c>
    </x:row>
    <x:row r="3055" ht="23" customHeight="1">
      <x:c r="A3055" t="n">
        <x:v>509</x:v>
      </x:c>
      <x:c r="B3055" t="n">
        <x:v>255</x:v>
      </x:c>
      <x:c r="C3055" t="str">
        <x:v>午餐</x:v>
      </x:c>
      <x:c r="D3055" t="str">
        <x:v>油脂</x:v>
      </x:c>
      <x:c r="E3055" t="str">
        <x:v>烹调油</x:v>
      </x:c>
      <x:c r="F3055" t="n">
        <x:v>5</x:v>
      </x:c>
      <x:c r="G3055" t="n">
        <x:v>900</x:v>
      </x:c>
      <x:c r="H3055" t="n">
        <x:f>ROUND(F3055*G3055/100,2)</x:f>
        <x:v>45</x:v>
      </x:c>
      <x:c r="I3055" t="n">
        <x:v>0</x:v>
      </x:c>
      <x:c r="J3055" t="n">
        <x:f>ROUND(F3055*I3055/100,2)</x:f>
        <x:v>0</x:v>
      </x:c>
      <x:c r="K3055" t="n">
        <x:v>0</x:v>
      </x:c>
      <x:c r="L3055" t="n">
        <x:f>ROUND(F3055*K3055/100,2)</x:f>
        <x:v>0</x:v>
      </x:c>
      <x:c r="M3055" t="n">
        <x:v>100</x:v>
      </x:c>
      <x:c r="N3055" t="n">
        <x:f>ROUND(F3055*M3055/100,2)</x:f>
        <x:v>5</x:v>
      </x:c>
      <x:c r="O3055" t="str">
        <x:v>实际用油重</x:v>
      </x:c>
    </x:row>
    <x:row r="3056" ht="23" customHeight="1">
      <x:c r="A3056" t="n">
        <x:v>510</x:v>
      </x:c>
      <x:c r="B3056" t="n">
        <x:v>255</x:v>
      </x:c>
      <x:c r="C3056" t="str">
        <x:v>晚餐</x:v>
      </x:c>
      <x:c r="D3056" t="str">
        <x:v>鱼类</x:v>
      </x:c>
      <x:c r="E3056" t="str">
        <x:v>三文鱼</x:v>
      </x:c>
      <x:c r="F3056" t="n">
        <x:v>135</x:v>
      </x:c>
      <x:c r="G3056" t="n">
        <x:v>205</x:v>
      </x:c>
      <x:c r="H3056" t="n">
        <x:f>ROUND(F3056*G3056/100,2)</x:f>
        <x:v>276.75</x:v>
      </x:c>
      <x:c r="I3056" t="n">
        <x:v>20</x:v>
      </x:c>
      <x:c r="J3056" t="n">
        <x:f>ROUND(F3056*I3056/100,2)</x:f>
        <x:v>27</x:v>
      </x:c>
      <x:c r="K3056" t="n">
        <x:v>0</x:v>
      </x:c>
      <x:c r="L3056" t="n">
        <x:f>ROUND(F3056*K3056/100,2)</x:f>
        <x:v>0</x:v>
      </x:c>
      <x:c r="M3056" t="n">
        <x:v>13</x:v>
      </x:c>
      <x:c r="N3056" t="n">
        <x:f>ROUND(F3056*M3056/100,2)</x:f>
        <x:v>17.55</x:v>
      </x:c>
      <x:c r="O3056" t="str">
        <x:v>净鱼肉生重</x:v>
      </x:c>
    </x:row>
    <x:row r="3057" ht="23" customHeight="1">
      <x:c r="A3057" t="n">
        <x:v>510</x:v>
      </x:c>
      <x:c r="B3057" t="n">
        <x:v>255</x:v>
      </x:c>
      <x:c r="C3057" t="str">
        <x:v>晚餐</x:v>
      </x:c>
      <x:c r="D3057" t="str"/>
      <x:c r="E3057" t="str"/>
      <x:c r="F3057" t="n">
        <x:v>0</x:v>
      </x:c>
      <x:c r="G3057" t="n">
        <x:v>0</x:v>
      </x:c>
      <x:c r="H3057" t="n">
        <x:f>ROUND(F3057*G3057/100,2)</x:f>
        <x:v>0</x:v>
      </x:c>
      <x:c r="I3057" t="n">
        <x:v>0</x:v>
      </x:c>
      <x:c r="J3057" t="n">
        <x:f>ROUND(F3057*I3057/100,2)</x:f>
        <x:v>0</x:v>
      </x:c>
      <x:c r="K3057" t="n">
        <x:v>0</x:v>
      </x:c>
      <x:c r="L3057" t="n">
        <x:f>ROUND(F3057*K3057/100,2)</x:f>
        <x:v>0</x:v>
      </x:c>
      <x:c r="M3057" t="n">
        <x:v>0</x:v>
      </x:c>
      <x:c r="N3057" t="n">
        <x:f>ROUND(F3057*M3057/100,2)</x:f>
        <x:v>0</x:v>
      </x:c>
      <x:c r="O3057" t="str"/>
    </x:row>
    <x:row r="3058" ht="23" customHeight="1">
      <x:c r="A3058" t="n">
        <x:v>510</x:v>
      </x:c>
      <x:c r="B3058" t="n">
        <x:v>255</x:v>
      </x:c>
      <x:c r="C3058" t="str">
        <x:v>晚餐</x:v>
      </x:c>
      <x:c r="D3058" t="str">
        <x:v>蔬菜</x:v>
      </x:c>
      <x:c r="E3058" t="str">
        <x:v>番茄</x:v>
      </x:c>
      <x:c r="F3058" t="n">
        <x:v>140</x:v>
      </x:c>
      <x:c r="G3058" t="n">
        <x:v>20</x:v>
      </x:c>
      <x:c r="H3058" t="n">
        <x:f>ROUND(F3058*G3058/100,2)</x:f>
        <x:v>28</x:v>
      </x:c>
      <x:c r="I3058" t="n">
        <x:v>0.9</x:v>
      </x:c>
      <x:c r="J3058" t="n">
        <x:f>ROUND(F3058*I3058/100,2)</x:f>
        <x:v>1.26</x:v>
      </x:c>
      <x:c r="K3058" t="n">
        <x:v>4</x:v>
      </x:c>
      <x:c r="L3058" t="n">
        <x:f>ROUND(F3058*K3058/100,2)</x:f>
        <x:v>5.6</x:v>
      </x:c>
      <x:c r="M3058" t="n">
        <x:v>0.2</x:v>
      </x:c>
      <x:c r="N3058" t="n">
        <x:f>ROUND(F3058*M3058/100,2)</x:f>
        <x:v>0.28</x:v>
      </x:c>
      <x:c r="O3058" t="str">
        <x:v>生重</x:v>
      </x:c>
    </x:row>
    <x:row r="3059" ht="23" customHeight="1">
      <x:c r="A3059" t="n">
        <x:v>510</x:v>
      </x:c>
      <x:c r="B3059" t="n">
        <x:v>255</x:v>
      </x:c>
      <x:c r="C3059" t="str">
        <x:v>晚餐</x:v>
      </x:c>
      <x:c r="D3059" t="str">
        <x:v>蔬菜</x:v>
      </x:c>
      <x:c r="E3059" t="str">
        <x:v>荷兰豆</x:v>
      </x:c>
      <x:c r="F3059" t="n">
        <x:v>140</x:v>
      </x:c>
      <x:c r="G3059" t="n">
        <x:v>42</x:v>
      </x:c>
      <x:c r="H3059" t="n">
        <x:f>ROUND(F3059*G3059/100,2)</x:f>
        <x:v>58.8</x:v>
      </x:c>
      <x:c r="I3059" t="n">
        <x:v>2.8</x:v>
      </x:c>
      <x:c r="J3059" t="n">
        <x:f>ROUND(F3059*I3059/100,2)</x:f>
        <x:v>3.92</x:v>
      </x:c>
      <x:c r="K3059" t="n">
        <x:v>7.5</x:v>
      </x:c>
      <x:c r="L3059" t="n">
        <x:f>ROUND(F3059*K3059/100,2)</x:f>
        <x:v>10.5</x:v>
      </x:c>
      <x:c r="M3059" t="n">
        <x:v>0.3</x:v>
      </x:c>
      <x:c r="N3059" t="n">
        <x:f>ROUND(F3059*M3059/100,2)</x:f>
        <x:v>0.42</x:v>
      </x:c>
      <x:c r="O3059" t="str">
        <x:v>生重</x:v>
      </x:c>
    </x:row>
    <x:row r="3060" ht="23" customHeight="1">
      <x:c r="A3060" t="n">
        <x:v>510</x:v>
      </x:c>
      <x:c r="B3060" t="n">
        <x:v>255</x:v>
      </x:c>
      <x:c r="C3060" t="str">
        <x:v>晚餐</x:v>
      </x:c>
      <x:c r="D3060" t="str">
        <x:v>主食</x:v>
      </x:c>
      <x:c r="E3060" t="str">
        <x:v>白米饭</x:v>
      </x:c>
      <x:c r="F3060" t="n">
        <x:v>135</x:v>
      </x:c>
      <x:c r="G3060" t="n">
        <x:v>116</x:v>
      </x:c>
      <x:c r="H3060" t="n">
        <x:f>ROUND(F3060*G3060/100,2)</x:f>
        <x:v>156.6</x:v>
      </x:c>
      <x:c r="I3060" t="n">
        <x:v>2.6</x:v>
      </x:c>
      <x:c r="J3060" t="n">
        <x:f>ROUND(F3060*I3060/100,2)</x:f>
        <x:v>3.51</x:v>
      </x:c>
      <x:c r="K3060" t="n">
        <x:v>25.6</x:v>
      </x:c>
      <x:c r="L3060" t="n">
        <x:f>ROUND(F3060*K3060/100,2)</x:f>
        <x:v>34.56</x:v>
      </x:c>
      <x:c r="M3060" t="n">
        <x:v>0.3</x:v>
      </x:c>
      <x:c r="N3060" t="n">
        <x:f>ROUND(F3060*M3060/100,2)</x:f>
        <x:v>0.41</x:v>
      </x:c>
      <x:c r="O3060" t="str">
        <x:v>熟重</x:v>
      </x:c>
    </x:row>
    <x:row r="3061" ht="23" customHeight="1">
      <x:c r="A3061" t="n">
        <x:v>510</x:v>
      </x:c>
      <x:c r="B3061" t="n">
        <x:v>255</x:v>
      </x:c>
      <x:c r="C3061" t="str">
        <x:v>晚餐</x:v>
      </x:c>
      <x:c r="D3061" t="str">
        <x:v>油脂</x:v>
      </x:c>
      <x:c r="E3061" t="str">
        <x:v>烹调油</x:v>
      </x:c>
      <x:c r="F3061" t="n">
        <x:v>4</x:v>
      </x:c>
      <x:c r="G3061" t="n">
        <x:v>900</x:v>
      </x:c>
      <x:c r="H3061" t="n">
        <x:f>ROUND(F3061*G3061/100,2)</x:f>
        <x:v>36</x:v>
      </x:c>
      <x:c r="I3061" t="n">
        <x:v>0</x:v>
      </x:c>
      <x:c r="J3061" t="n">
        <x:f>ROUND(F3061*I3061/100,2)</x:f>
        <x:v>0</x:v>
      </x:c>
      <x:c r="K3061" t="n">
        <x:v>0</x:v>
      </x:c>
      <x:c r="L3061" t="n">
        <x:f>ROUND(F3061*K3061/100,2)</x:f>
        <x:v>0</x:v>
      </x:c>
      <x:c r="M3061" t="n">
        <x:v>100</x:v>
      </x:c>
      <x:c r="N3061" t="n">
        <x:f>ROUND(F3061*M3061/100,2)</x:f>
        <x:v>4</x:v>
      </x:c>
      <x:c r="O3061" t="str">
        <x:v>实际用油重</x:v>
      </x:c>
    </x:row>
    <x:row r="3062" ht="23" customHeight="1">
      <x:c r="A3062" t="n">
        <x:v>511</x:v>
      </x:c>
      <x:c r="B3062" t="n">
        <x:v>256</x:v>
      </x:c>
      <x:c r="C3062" t="str">
        <x:v>午餐</x:v>
      </x:c>
      <x:c r="D3062" t="str">
        <x:v>鱼类</x:v>
      </x:c>
      <x:c r="E3062" t="str">
        <x:v>鲈鱼</x:v>
      </x:c>
      <x:c r="F3062" t="n">
        <x:v>215</x:v>
      </x:c>
      <x:c r="G3062" t="n">
        <x:v>105</x:v>
      </x:c>
      <x:c r="H3062" t="n">
        <x:f>ROUND(F3062*G3062/100,2)</x:f>
        <x:v>225.75</x:v>
      </x:c>
      <x:c r="I3062" t="n">
        <x:v>19</x:v>
      </x:c>
      <x:c r="J3062" t="n">
        <x:f>ROUND(F3062*I3062/100,2)</x:f>
        <x:v>40.85</x:v>
      </x:c>
      <x:c r="K3062" t="n">
        <x:v>0</x:v>
      </x:c>
      <x:c r="L3062" t="n">
        <x:f>ROUND(F3062*K3062/100,2)</x:f>
        <x:v>0</x:v>
      </x:c>
      <x:c r="M3062" t="n">
        <x:v>3</x:v>
      </x:c>
      <x:c r="N3062" t="n">
        <x:f>ROUND(F3062*M3062/100,2)</x:f>
        <x:v>6.45</x:v>
      </x:c>
      <x:c r="O3062" t="str">
        <x:v>净鱼肉生重</x:v>
      </x:c>
    </x:row>
    <x:row r="3063" ht="23" customHeight="1">
      <x:c r="A3063" t="n">
        <x:v>511</x:v>
      </x:c>
      <x:c r="B3063" t="n">
        <x:v>256</x:v>
      </x:c>
      <x:c r="C3063" t="str">
        <x:v>午餐</x:v>
      </x:c>
      <x:c r="D3063" t="str"/>
      <x:c r="E3063" t="str"/>
      <x:c r="F3063" t="n">
        <x:v>0</x:v>
      </x:c>
      <x:c r="G3063" t="n">
        <x:v>0</x:v>
      </x:c>
      <x:c r="H3063" t="n">
        <x:f>ROUND(F3063*G3063/100,2)</x:f>
        <x:v>0</x:v>
      </x:c>
      <x:c r="I3063" t="n">
        <x:v>0</x:v>
      </x:c>
      <x:c r="J3063" t="n">
        <x:f>ROUND(F3063*I3063/100,2)</x:f>
        <x:v>0</x:v>
      </x:c>
      <x:c r="K3063" t="n">
        <x:v>0</x:v>
      </x:c>
      <x:c r="L3063" t="n">
        <x:f>ROUND(F3063*K3063/100,2)</x:f>
        <x:v>0</x:v>
      </x:c>
      <x:c r="M3063" t="n">
        <x:v>0</x:v>
      </x:c>
      <x:c r="N3063" t="n">
        <x:f>ROUND(F3063*M3063/100,2)</x:f>
        <x:v>0</x:v>
      </x:c>
      <x:c r="O3063" t="str"/>
    </x:row>
    <x:row r="3064" ht="23" customHeight="1">
      <x:c r="A3064" t="n">
        <x:v>511</x:v>
      </x:c>
      <x:c r="B3064" t="n">
        <x:v>256</x:v>
      </x:c>
      <x:c r="C3064" t="str">
        <x:v>午餐</x:v>
      </x:c>
      <x:c r="D3064" t="str">
        <x:v>蔬菜</x:v>
      </x:c>
      <x:c r="E3064" t="str">
        <x:v>西兰花</x:v>
      </x:c>
      <x:c r="F3064" t="n">
        <x:v>175</x:v>
      </x:c>
      <x:c r="G3064" t="n">
        <x:v>34</x:v>
      </x:c>
      <x:c r="H3064" t="n">
        <x:f>ROUND(F3064*G3064/100,2)</x:f>
        <x:v>59.5</x:v>
      </x:c>
      <x:c r="I3064" t="n">
        <x:v>2.8</x:v>
      </x:c>
      <x:c r="J3064" t="n">
        <x:f>ROUND(F3064*I3064/100,2)</x:f>
        <x:v>4.9</x:v>
      </x:c>
      <x:c r="K3064" t="n">
        <x:v>7</x:v>
      </x:c>
      <x:c r="L3064" t="n">
        <x:f>ROUND(F3064*K3064/100,2)</x:f>
        <x:v>12.25</x:v>
      </x:c>
      <x:c r="M3064" t="n">
        <x:v>0.4</x:v>
      </x:c>
      <x:c r="N3064" t="n">
        <x:f>ROUND(F3064*M3064/100,2)</x:f>
        <x:v>0.7</x:v>
      </x:c>
      <x:c r="O3064" t="str">
        <x:v>生重</x:v>
      </x:c>
    </x:row>
    <x:row r="3065" ht="23" customHeight="1">
      <x:c r="A3065" t="n">
        <x:v>511</x:v>
      </x:c>
      <x:c r="B3065" t="n">
        <x:v>256</x:v>
      </x:c>
      <x:c r="C3065" t="str">
        <x:v>午餐</x:v>
      </x:c>
      <x:c r="D3065" t="str">
        <x:v>蔬菜</x:v>
      </x:c>
      <x:c r="E3065" t="str">
        <x:v>番茄</x:v>
      </x:c>
      <x:c r="F3065" t="n">
        <x:v>125</x:v>
      </x:c>
      <x:c r="G3065" t="n">
        <x:v>20</x:v>
      </x:c>
      <x:c r="H3065" t="n">
        <x:f>ROUND(F3065*G3065/100,2)</x:f>
        <x:v>25</x:v>
      </x:c>
      <x:c r="I3065" t="n">
        <x:v>0.9</x:v>
      </x:c>
      <x:c r="J3065" t="n">
        <x:f>ROUND(F3065*I3065/100,2)</x:f>
        <x:v>1.13</x:v>
      </x:c>
      <x:c r="K3065" t="n">
        <x:v>4</x:v>
      </x:c>
      <x:c r="L3065" t="n">
        <x:f>ROUND(F3065*K3065/100,2)</x:f>
        <x:v>5</x:v>
      </x:c>
      <x:c r="M3065" t="n">
        <x:v>0.2</x:v>
      </x:c>
      <x:c r="N3065" t="n">
        <x:f>ROUND(F3065*M3065/100,2)</x:f>
        <x:v>0.25</x:v>
      </x:c>
      <x:c r="O3065" t="str">
        <x:v>生重</x:v>
      </x:c>
    </x:row>
    <x:row r="3066" ht="23" customHeight="1">
      <x:c r="A3066" t="n">
        <x:v>511</x:v>
      </x:c>
      <x:c r="B3066" t="n">
        <x:v>256</x:v>
      </x:c>
      <x:c r="C3066" t="str">
        <x:v>午餐</x:v>
      </x:c>
      <x:c r="D3066" t="str">
        <x:v>主食</x:v>
      </x:c>
      <x:c r="E3066" t="str">
        <x:v>藜麦饭</x:v>
      </x:c>
      <x:c r="F3066" t="n">
        <x:v>150</x:v>
      </x:c>
      <x:c r="G3066" t="n">
        <x:v>120</x:v>
      </x:c>
      <x:c r="H3066" t="n">
        <x:f>ROUND(F3066*G3066/100,2)</x:f>
        <x:v>180</x:v>
      </x:c>
      <x:c r="I3066" t="n">
        <x:v>4.4</x:v>
      </x:c>
      <x:c r="J3066" t="n">
        <x:f>ROUND(F3066*I3066/100,2)</x:f>
        <x:v>6.6</x:v>
      </x:c>
      <x:c r="K3066" t="n">
        <x:v>21.3</x:v>
      </x:c>
      <x:c r="L3066" t="n">
        <x:f>ROUND(F3066*K3066/100,2)</x:f>
        <x:v>31.95</x:v>
      </x:c>
      <x:c r="M3066" t="n">
        <x:v>1.9</x:v>
      </x:c>
      <x:c r="N3066" t="n">
        <x:f>ROUND(F3066*M3066/100,2)</x:f>
        <x:v>2.85</x:v>
      </x:c>
      <x:c r="O3066" t="str">
        <x:v>熟重</x:v>
      </x:c>
    </x:row>
    <x:row r="3067" ht="23" customHeight="1">
      <x:c r="A3067" t="n">
        <x:v>511</x:v>
      </x:c>
      <x:c r="B3067" t="n">
        <x:v>256</x:v>
      </x:c>
      <x:c r="C3067" t="str">
        <x:v>午餐</x:v>
      </x:c>
      <x:c r="D3067" t="str">
        <x:v>油脂</x:v>
      </x:c>
      <x:c r="E3067" t="str">
        <x:v>烹调油</x:v>
      </x:c>
      <x:c r="F3067" t="n">
        <x:v>4</x:v>
      </x:c>
      <x:c r="G3067" t="n">
        <x:v>900</x:v>
      </x:c>
      <x:c r="H3067" t="n">
        <x:f>ROUND(F3067*G3067/100,2)</x:f>
        <x:v>36</x:v>
      </x:c>
      <x:c r="I3067" t="n">
        <x:v>0</x:v>
      </x:c>
      <x:c r="J3067" t="n">
        <x:f>ROUND(F3067*I3067/100,2)</x:f>
        <x:v>0</x:v>
      </x:c>
      <x:c r="K3067" t="n">
        <x:v>0</x:v>
      </x:c>
      <x:c r="L3067" t="n">
        <x:f>ROUND(F3067*K3067/100,2)</x:f>
        <x:v>0</x:v>
      </x:c>
      <x:c r="M3067" t="n">
        <x:v>100</x:v>
      </x:c>
      <x:c r="N3067" t="n">
        <x:f>ROUND(F3067*M3067/100,2)</x:f>
        <x:v>4</x:v>
      </x:c>
      <x:c r="O3067" t="str">
        <x:v>实际用油重</x:v>
      </x:c>
    </x:row>
    <x:row r="3068" ht="23" customHeight="1">
      <x:c r="A3068" t="n">
        <x:v>512</x:v>
      </x:c>
      <x:c r="B3068" t="n">
        <x:v>256</x:v>
      </x:c>
      <x:c r="C3068" t="str">
        <x:v>晚餐</x:v>
      </x:c>
      <x:c r="D3068" t="str">
        <x:v>鱼类</x:v>
      </x:c>
      <x:c r="E3068" t="str">
        <x:v>三文鱼</x:v>
      </x:c>
      <x:c r="F3068" t="n">
        <x:v>120</x:v>
      </x:c>
      <x:c r="G3068" t="n">
        <x:v>205</x:v>
      </x:c>
      <x:c r="H3068" t="n">
        <x:f>ROUND(F3068*G3068/100,2)</x:f>
        <x:v>246</x:v>
      </x:c>
      <x:c r="I3068" t="n">
        <x:v>20</x:v>
      </x:c>
      <x:c r="J3068" t="n">
        <x:f>ROUND(F3068*I3068/100,2)</x:f>
        <x:v>24</x:v>
      </x:c>
      <x:c r="K3068" t="n">
        <x:v>0</x:v>
      </x:c>
      <x:c r="L3068" t="n">
        <x:f>ROUND(F3068*K3068/100,2)</x:f>
        <x:v>0</x:v>
      </x:c>
      <x:c r="M3068" t="n">
        <x:v>13</x:v>
      </x:c>
      <x:c r="N3068" t="n">
        <x:f>ROUND(F3068*M3068/100,2)</x:f>
        <x:v>15.6</x:v>
      </x:c>
      <x:c r="O3068" t="str">
        <x:v>净鱼肉生重</x:v>
      </x:c>
    </x:row>
    <x:row r="3069" ht="23" customHeight="1">
      <x:c r="A3069" t="n">
        <x:v>512</x:v>
      </x:c>
      <x:c r="B3069" t="n">
        <x:v>256</x:v>
      </x:c>
      <x:c r="C3069" t="str">
        <x:v>晚餐</x:v>
      </x:c>
      <x:c r="D3069" t="str"/>
      <x:c r="E3069" t="str"/>
      <x:c r="F3069" t="n">
        <x:v>0</x:v>
      </x:c>
      <x:c r="G3069" t="n">
        <x:v>0</x:v>
      </x:c>
      <x:c r="H3069" t="n">
        <x:f>ROUND(F3069*G3069/100,2)</x:f>
        <x:v>0</x:v>
      </x:c>
      <x:c r="I3069" t="n">
        <x:v>0</x:v>
      </x:c>
      <x:c r="J3069" t="n">
        <x:f>ROUND(F3069*I3069/100,2)</x:f>
        <x:v>0</x:v>
      </x:c>
      <x:c r="K3069" t="n">
        <x:v>0</x:v>
      </x:c>
      <x:c r="L3069" t="n">
        <x:f>ROUND(F3069*K3069/100,2)</x:f>
        <x:v>0</x:v>
      </x:c>
      <x:c r="M3069" t="n">
        <x:v>0</x:v>
      </x:c>
      <x:c r="N3069" t="n">
        <x:f>ROUND(F3069*M3069/100,2)</x:f>
        <x:v>0</x:v>
      </x:c>
      <x:c r="O3069" t="str"/>
    </x:row>
    <x:row r="3070" ht="23" customHeight="1">
      <x:c r="A3070" t="n">
        <x:v>512</x:v>
      </x:c>
      <x:c r="B3070" t="n">
        <x:v>256</x:v>
      </x:c>
      <x:c r="C3070" t="str">
        <x:v>晚餐</x:v>
      </x:c>
      <x:c r="D3070" t="str">
        <x:v>蔬菜</x:v>
      </x:c>
      <x:c r="E3070" t="str">
        <x:v>西兰花</x:v>
      </x:c>
      <x:c r="F3070" t="n">
        <x:v>140</x:v>
      </x:c>
      <x:c r="G3070" t="n">
        <x:v>34</x:v>
      </x:c>
      <x:c r="H3070" t="n">
        <x:f>ROUND(F3070*G3070/100,2)</x:f>
        <x:v>47.6</x:v>
      </x:c>
      <x:c r="I3070" t="n">
        <x:v>2.8</x:v>
      </x:c>
      <x:c r="J3070" t="n">
        <x:f>ROUND(F3070*I3070/100,2)</x:f>
        <x:v>3.92</x:v>
      </x:c>
      <x:c r="K3070" t="n">
        <x:v>7</x:v>
      </x:c>
      <x:c r="L3070" t="n">
        <x:f>ROUND(F3070*K3070/100,2)</x:f>
        <x:v>9.8</x:v>
      </x:c>
      <x:c r="M3070" t="n">
        <x:v>0.4</x:v>
      </x:c>
      <x:c r="N3070" t="n">
        <x:f>ROUND(F3070*M3070/100,2)</x:f>
        <x:v>0.56</x:v>
      </x:c>
      <x:c r="O3070" t="str">
        <x:v>生重</x:v>
      </x:c>
    </x:row>
    <x:row r="3071" ht="23" customHeight="1">
      <x:c r="A3071" t="n">
        <x:v>512</x:v>
      </x:c>
      <x:c r="B3071" t="n">
        <x:v>256</x:v>
      </x:c>
      <x:c r="C3071" t="str">
        <x:v>晚餐</x:v>
      </x:c>
      <x:c r="D3071" t="str">
        <x:v>蔬菜</x:v>
      </x:c>
      <x:c r="E3071" t="str">
        <x:v>紫甘蓝</x:v>
      </x:c>
      <x:c r="F3071" t="n">
        <x:v>125</x:v>
      </x:c>
      <x:c r="G3071" t="n">
        <x:v>31</x:v>
      </x:c>
      <x:c r="H3071" t="n">
        <x:f>ROUND(F3071*G3071/100,2)</x:f>
        <x:v>38.75</x:v>
      </x:c>
      <x:c r="I3071" t="n">
        <x:v>1.4</x:v>
      </x:c>
      <x:c r="J3071" t="n">
        <x:f>ROUND(F3071*I3071/100,2)</x:f>
        <x:v>1.75</x:v>
      </x:c>
      <x:c r="K3071" t="n">
        <x:v>7.3</x:v>
      </x:c>
      <x:c r="L3071" t="n">
        <x:f>ROUND(F3071*K3071/100,2)</x:f>
        <x:v>9.13</x:v>
      </x:c>
      <x:c r="M3071" t="n">
        <x:v>0.1</x:v>
      </x:c>
      <x:c r="N3071" t="n">
        <x:f>ROUND(F3071*M3071/100,2)</x:f>
        <x:v>0.13</x:v>
      </x:c>
      <x:c r="O3071" t="str">
        <x:v>生重</x:v>
      </x:c>
    </x:row>
    <x:row r="3072" ht="23" customHeight="1">
      <x:c r="A3072" t="n">
        <x:v>512</x:v>
      </x:c>
      <x:c r="B3072" t="n">
        <x:v>256</x:v>
      </x:c>
      <x:c r="C3072" t="str">
        <x:v>晚餐</x:v>
      </x:c>
      <x:c r="D3072" t="str">
        <x:v>主食</x:v>
      </x:c>
      <x:c r="E3072" t="str">
        <x:v>杂粮饭</x:v>
      </x:c>
      <x:c r="F3072" t="n">
        <x:v>95</x:v>
      </x:c>
      <x:c r="G3072" t="n">
        <x:v>115</x:v>
      </x:c>
      <x:c r="H3072" t="n">
        <x:f>ROUND(F3072*G3072/100,2)</x:f>
        <x:v>109.25</x:v>
      </x:c>
      <x:c r="I3072" t="n">
        <x:v>3.1</x:v>
      </x:c>
      <x:c r="J3072" t="n">
        <x:f>ROUND(F3072*I3072/100,2)</x:f>
        <x:v>2.95</x:v>
      </x:c>
      <x:c r="K3072" t="n">
        <x:v>23.5</x:v>
      </x:c>
      <x:c r="L3072" t="n">
        <x:f>ROUND(F3072*K3072/100,2)</x:f>
        <x:v>22.33</x:v>
      </x:c>
      <x:c r="M3072" t="n">
        <x:v>1.1</x:v>
      </x:c>
      <x:c r="N3072" t="n">
        <x:f>ROUND(F3072*M3072/100,2)</x:f>
        <x:v>1.05</x:v>
      </x:c>
      <x:c r="O3072" t="str">
        <x:v>熟重</x:v>
      </x:c>
    </x:row>
    <x:row r="3073" ht="23" customHeight="1">
      <x:c r="A3073" t="n">
        <x:v>512</x:v>
      </x:c>
      <x:c r="B3073" t="n">
        <x:v>256</x:v>
      </x:c>
      <x:c r="C3073" t="str">
        <x:v>晚餐</x:v>
      </x:c>
      <x:c r="D3073" t="str">
        <x:v>油脂</x:v>
      </x:c>
      <x:c r="E3073" t="str">
        <x:v>烹调油</x:v>
      </x:c>
      <x:c r="F3073" t="n">
        <x:v>2</x:v>
      </x:c>
      <x:c r="G3073" t="n">
        <x:v>900</x:v>
      </x:c>
      <x:c r="H3073" t="n">
        <x:f>ROUND(F3073*G3073/100,2)</x:f>
        <x:v>18</x:v>
      </x:c>
      <x:c r="I3073" t="n">
        <x:v>0</x:v>
      </x:c>
      <x:c r="J3073" t="n">
        <x:f>ROUND(F3073*I3073/100,2)</x:f>
        <x:v>0</x:v>
      </x:c>
      <x:c r="K3073" t="n">
        <x:v>0</x:v>
      </x:c>
      <x:c r="L3073" t="n">
        <x:f>ROUND(F3073*K3073/100,2)</x:f>
        <x:v>0</x:v>
      </x:c>
      <x:c r="M3073" t="n">
        <x:v>100</x:v>
      </x:c>
      <x:c r="N3073" t="n">
        <x:f>ROUND(F3073*M3073/100,2)</x:f>
        <x:v>2</x:v>
      </x:c>
      <x:c r="O3073" t="str">
        <x:v>实际用油重</x:v>
      </x:c>
    </x:row>
    <x:row r="3074" ht="23" customHeight="1">
      <x:c r="A3074" t="n">
        <x:v>513</x:v>
      </x:c>
      <x:c r="B3074" t="n">
        <x:v>257</x:v>
      </x:c>
      <x:c r="C3074" t="str">
        <x:v>午餐</x:v>
      </x:c>
      <x:c r="D3074" t="str">
        <x:v>猪肉</x:v>
      </x:c>
      <x:c r="E3074" t="str">
        <x:v>猪瘦肉</x:v>
      </x:c>
      <x:c r="F3074" t="n">
        <x:v>155</x:v>
      </x:c>
      <x:c r="G3074" t="n">
        <x:v>130</x:v>
      </x:c>
      <x:c r="H3074" t="n">
        <x:f>ROUND(F3074*G3074/100,2)</x:f>
        <x:v>201.5</x:v>
      </x:c>
      <x:c r="I3074" t="n">
        <x:v>20</x:v>
      </x:c>
      <x:c r="J3074" t="n">
        <x:f>ROUND(F3074*I3074/100,2)</x:f>
        <x:v>31</x:v>
      </x:c>
      <x:c r="K3074" t="n">
        <x:v>0</x:v>
      </x:c>
      <x:c r="L3074" t="n">
        <x:f>ROUND(F3074*K3074/100,2)</x:f>
        <x:v>0</x:v>
      </x:c>
      <x:c r="M3074" t="n">
        <x:v>5.5</x:v>
      </x:c>
      <x:c r="N3074" t="n">
        <x:f>ROUND(F3074*M3074/100,2)</x:f>
        <x:v>8.53</x:v>
      </x:c>
      <x:c r="O3074" t="str">
        <x:v>生重</x:v>
      </x:c>
    </x:row>
    <x:row r="3075" ht="23" customHeight="1">
      <x:c r="A3075" t="n">
        <x:v>513</x:v>
      </x:c>
      <x:c r="B3075" t="n">
        <x:v>257</x:v>
      </x:c>
      <x:c r="C3075" t="str">
        <x:v>午餐</x:v>
      </x:c>
      <x:c r="D3075" t="str"/>
      <x:c r="E3075" t="str"/>
      <x:c r="F3075" t="n">
        <x:v>0</x:v>
      </x:c>
      <x:c r="G3075" t="n">
        <x:v>0</x:v>
      </x:c>
      <x:c r="H3075" t="n">
        <x:f>ROUND(F3075*G3075/100,2)</x:f>
        <x:v>0</x:v>
      </x:c>
      <x:c r="I3075" t="n">
        <x:v>0</x:v>
      </x:c>
      <x:c r="J3075" t="n">
        <x:f>ROUND(F3075*I3075/100,2)</x:f>
        <x:v>0</x:v>
      </x:c>
      <x:c r="K3075" t="n">
        <x:v>0</x:v>
      </x:c>
      <x:c r="L3075" t="n">
        <x:f>ROUND(F3075*K3075/100,2)</x:f>
        <x:v>0</x:v>
      </x:c>
      <x:c r="M3075" t="n">
        <x:v>0</x:v>
      </x:c>
      <x:c r="N3075" t="n">
        <x:f>ROUND(F3075*M3075/100,2)</x:f>
        <x:v>0</x:v>
      </x:c>
      <x:c r="O3075" t="str"/>
    </x:row>
    <x:row r="3076" ht="23" customHeight="1">
      <x:c r="A3076" t="n">
        <x:v>513</x:v>
      </x:c>
      <x:c r="B3076" t="n">
        <x:v>257</x:v>
      </x:c>
      <x:c r="C3076" t="str">
        <x:v>午餐</x:v>
      </x:c>
      <x:c r="D3076" t="str">
        <x:v>蔬菜</x:v>
      </x:c>
      <x:c r="E3076" t="str">
        <x:v>番茄</x:v>
      </x:c>
      <x:c r="F3076" t="n">
        <x:v>175</x:v>
      </x:c>
      <x:c r="G3076" t="n">
        <x:v>20</x:v>
      </x:c>
      <x:c r="H3076" t="n">
        <x:f>ROUND(F3076*G3076/100,2)</x:f>
        <x:v>35</x:v>
      </x:c>
      <x:c r="I3076" t="n">
        <x:v>0.9</x:v>
      </x:c>
      <x:c r="J3076" t="n">
        <x:f>ROUND(F3076*I3076/100,2)</x:f>
        <x:v>1.58</x:v>
      </x:c>
      <x:c r="K3076" t="n">
        <x:v>4</x:v>
      </x:c>
      <x:c r="L3076" t="n">
        <x:f>ROUND(F3076*K3076/100,2)</x:f>
        <x:v>7</x:v>
      </x:c>
      <x:c r="M3076" t="n">
        <x:v>0.2</x:v>
      </x:c>
      <x:c r="N3076" t="n">
        <x:f>ROUND(F3076*M3076/100,2)</x:f>
        <x:v>0.35</x:v>
      </x:c>
      <x:c r="O3076" t="str">
        <x:v>生重</x:v>
      </x:c>
    </x:row>
    <x:row r="3077" ht="23" customHeight="1">
      <x:c r="A3077" t="n">
        <x:v>513</x:v>
      </x:c>
      <x:c r="B3077" t="n">
        <x:v>257</x:v>
      </x:c>
      <x:c r="C3077" t="str">
        <x:v>午餐</x:v>
      </x:c>
      <x:c r="D3077" t="str">
        <x:v>蔬菜</x:v>
      </x:c>
      <x:c r="E3077" t="str">
        <x:v>白萝卜</x:v>
      </x:c>
      <x:c r="F3077" t="n">
        <x:v>110</x:v>
      </x:c>
      <x:c r="G3077" t="n">
        <x:v>18</x:v>
      </x:c>
      <x:c r="H3077" t="n">
        <x:f>ROUND(F3077*G3077/100,2)</x:f>
        <x:v>19.8</x:v>
      </x:c>
      <x:c r="I3077" t="n">
        <x:v>0.6</x:v>
      </x:c>
      <x:c r="J3077" t="n">
        <x:f>ROUND(F3077*I3077/100,2)</x:f>
        <x:v>0.66</x:v>
      </x:c>
      <x:c r="K3077" t="n">
        <x:v>4</x:v>
      </x:c>
      <x:c r="L3077" t="n">
        <x:f>ROUND(F3077*K3077/100,2)</x:f>
        <x:v>4.4</x:v>
      </x:c>
      <x:c r="M3077" t="n">
        <x:v>0.1</x:v>
      </x:c>
      <x:c r="N3077" t="n">
        <x:f>ROUND(F3077*M3077/100,2)</x:f>
        <x:v>0.11</x:v>
      </x:c>
      <x:c r="O3077" t="str">
        <x:v>生重</x:v>
      </x:c>
    </x:row>
    <x:row r="3078" ht="23" customHeight="1">
      <x:c r="A3078" t="n">
        <x:v>513</x:v>
      </x:c>
      <x:c r="B3078" t="n">
        <x:v>257</x:v>
      </x:c>
      <x:c r="C3078" t="str">
        <x:v>午餐</x:v>
      </x:c>
      <x:c r="D3078" t="str">
        <x:v>主食</x:v>
      </x:c>
      <x:c r="E3078" t="str">
        <x:v>杂粮饭</x:v>
      </x:c>
      <x:c r="F3078" t="n">
        <x:v>150</x:v>
      </x:c>
      <x:c r="G3078" t="n">
        <x:v>115</x:v>
      </x:c>
      <x:c r="H3078" t="n">
        <x:f>ROUND(F3078*G3078/100,2)</x:f>
        <x:v>172.5</x:v>
      </x:c>
      <x:c r="I3078" t="n">
        <x:v>3.1</x:v>
      </x:c>
      <x:c r="J3078" t="n">
        <x:f>ROUND(F3078*I3078/100,2)</x:f>
        <x:v>4.65</x:v>
      </x:c>
      <x:c r="K3078" t="n">
        <x:v>23.5</x:v>
      </x:c>
      <x:c r="L3078" t="n">
        <x:f>ROUND(F3078*K3078/100,2)</x:f>
        <x:v>35.25</x:v>
      </x:c>
      <x:c r="M3078" t="n">
        <x:v>1.1</x:v>
      </x:c>
      <x:c r="N3078" t="n">
        <x:f>ROUND(F3078*M3078/100,2)</x:f>
        <x:v>1.65</x:v>
      </x:c>
      <x:c r="O3078" t="str">
        <x:v>熟重</x:v>
      </x:c>
    </x:row>
    <x:row r="3079" ht="23" customHeight="1">
      <x:c r="A3079" t="n">
        <x:v>513</x:v>
      </x:c>
      <x:c r="B3079" t="n">
        <x:v>257</x:v>
      </x:c>
      <x:c r="C3079" t="str">
        <x:v>午餐</x:v>
      </x:c>
      <x:c r="D3079" t="str">
        <x:v>油脂</x:v>
      </x:c>
      <x:c r="E3079" t="str">
        <x:v>烹调油</x:v>
      </x:c>
      <x:c r="F3079" t="n">
        <x:v>3</x:v>
      </x:c>
      <x:c r="G3079" t="n">
        <x:v>900</x:v>
      </x:c>
      <x:c r="H3079" t="n">
        <x:f>ROUND(F3079*G3079/100,2)</x:f>
        <x:v>27</x:v>
      </x:c>
      <x:c r="I3079" t="n">
        <x:v>0</x:v>
      </x:c>
      <x:c r="J3079" t="n">
        <x:f>ROUND(F3079*I3079/100,2)</x:f>
        <x:v>0</x:v>
      </x:c>
      <x:c r="K3079" t="n">
        <x:v>0</x:v>
      </x:c>
      <x:c r="L3079" t="n">
        <x:f>ROUND(F3079*K3079/100,2)</x:f>
        <x:v>0</x:v>
      </x:c>
      <x:c r="M3079" t="n">
        <x:v>100</x:v>
      </x:c>
      <x:c r="N3079" t="n">
        <x:f>ROUND(F3079*M3079/100,2)</x:f>
        <x:v>3</x:v>
      </x:c>
      <x:c r="O3079" t="str">
        <x:v>实际用油重</x:v>
      </x:c>
    </x:row>
    <x:row r="3080" ht="23" customHeight="1">
      <x:c r="A3080" t="n">
        <x:v>514</x:v>
      </x:c>
      <x:c r="B3080" t="n">
        <x:v>257</x:v>
      </x:c>
      <x:c r="C3080" t="str">
        <x:v>晚餐</x:v>
      </x:c>
      <x:c r="D3080" t="str">
        <x:v>豆蛋</x:v>
      </x:c>
      <x:c r="E3080" t="str">
        <x:v>鸡蛋</x:v>
      </x:c>
      <x:c r="F3080" t="n">
        <x:v>120</x:v>
      </x:c>
      <x:c r="G3080" t="n">
        <x:v>144</x:v>
      </x:c>
      <x:c r="H3080" t="n">
        <x:f>ROUND(F3080*G3080/100,2)</x:f>
        <x:v>172.8</x:v>
      </x:c>
      <x:c r="I3080" t="n">
        <x:v>13</x:v>
      </x:c>
      <x:c r="J3080" t="n">
        <x:f>ROUND(F3080*I3080/100,2)</x:f>
        <x:v>15.6</x:v>
      </x:c>
      <x:c r="K3080" t="n">
        <x:v>1.1</x:v>
      </x:c>
      <x:c r="L3080" t="n">
        <x:f>ROUND(F3080*K3080/100,2)</x:f>
        <x:v>1.32</x:v>
      </x:c>
      <x:c r="M3080" t="n">
        <x:v>10</x:v>
      </x:c>
      <x:c r="N3080" t="n">
        <x:f>ROUND(F3080*M3080/100,2)</x:f>
        <x:v>12</x:v>
      </x:c>
      <x:c r="O3080" t="str">
        <x:v>去壳可食重</x:v>
      </x:c>
    </x:row>
    <x:row r="3081" ht="23" customHeight="1">
      <x:c r="A3081" t="n">
        <x:v>514</x:v>
      </x:c>
      <x:c r="B3081" t="n">
        <x:v>257</x:v>
      </x:c>
      <x:c r="C3081" t="str">
        <x:v>晚餐</x:v>
      </x:c>
      <x:c r="D3081" t="str">
        <x:v>豆蛋</x:v>
      </x:c>
      <x:c r="E3081" t="str">
        <x:v>北豆腐</x:v>
      </x:c>
      <x:c r="F3081" t="n">
        <x:v>90</x:v>
      </x:c>
      <x:c r="G3081" t="n">
        <x:v>90</x:v>
      </x:c>
      <x:c r="H3081" t="n">
        <x:f>ROUND(F3081*G3081/100,2)</x:f>
        <x:v>81</x:v>
      </x:c>
      <x:c r="I3081" t="n">
        <x:v>10</x:v>
      </x:c>
      <x:c r="J3081" t="n">
        <x:f>ROUND(F3081*I3081/100,2)</x:f>
        <x:v>9</x:v>
      </x:c>
      <x:c r="K3081" t="n">
        <x:v>2</x:v>
      </x:c>
      <x:c r="L3081" t="n">
        <x:f>ROUND(F3081*K3081/100,2)</x:f>
        <x:v>1.8</x:v>
      </x:c>
      <x:c r="M3081" t="n">
        <x:v>5</x:v>
      </x:c>
      <x:c r="N3081" t="n">
        <x:f>ROUND(F3081*M3081/100,2)</x:f>
        <x:v>4.5</x:v>
      </x:c>
      <x:c r="O3081" t="str">
        <x:v>净重</x:v>
      </x:c>
    </x:row>
    <x:row r="3082" ht="23" customHeight="1">
      <x:c r="A3082" t="n">
        <x:v>514</x:v>
      </x:c>
      <x:c r="B3082" t="n">
        <x:v>257</x:v>
      </x:c>
      <x:c r="C3082" t="str">
        <x:v>晚餐</x:v>
      </x:c>
      <x:c r="D3082" t="str">
        <x:v>蔬菜</x:v>
      </x:c>
      <x:c r="E3082" t="str">
        <x:v>番茄</x:v>
      </x:c>
      <x:c r="F3082" t="n">
        <x:v>160</x:v>
      </x:c>
      <x:c r="G3082" t="n">
        <x:v>20</x:v>
      </x:c>
      <x:c r="H3082" t="n">
        <x:f>ROUND(F3082*G3082/100,2)</x:f>
        <x:v>32</x:v>
      </x:c>
      <x:c r="I3082" t="n">
        <x:v>0.9</x:v>
      </x:c>
      <x:c r="J3082" t="n">
        <x:f>ROUND(F3082*I3082/100,2)</x:f>
        <x:v>1.44</x:v>
      </x:c>
      <x:c r="K3082" t="n">
        <x:v>4</x:v>
      </x:c>
      <x:c r="L3082" t="n">
        <x:f>ROUND(F3082*K3082/100,2)</x:f>
        <x:v>6.4</x:v>
      </x:c>
      <x:c r="M3082" t="n">
        <x:v>0.2</x:v>
      </x:c>
      <x:c r="N3082" t="n">
        <x:f>ROUND(F3082*M3082/100,2)</x:f>
        <x:v>0.32</x:v>
      </x:c>
      <x:c r="O3082" t="str">
        <x:v>生重</x:v>
      </x:c>
    </x:row>
    <x:row r="3083" ht="23" customHeight="1">
      <x:c r="A3083" t="n">
        <x:v>514</x:v>
      </x:c>
      <x:c r="B3083" t="n">
        <x:v>257</x:v>
      </x:c>
      <x:c r="C3083" t="str">
        <x:v>晚餐</x:v>
      </x:c>
      <x:c r="D3083" t="str">
        <x:v>菌菇</x:v>
      </x:c>
      <x:c r="E3083" t="str">
        <x:v>金针菇</x:v>
      </x:c>
      <x:c r="F3083" t="n">
        <x:v>110</x:v>
      </x:c>
      <x:c r="G3083" t="n">
        <x:v>32</x:v>
      </x:c>
      <x:c r="H3083" t="n">
        <x:f>ROUND(F3083*G3083/100,2)</x:f>
        <x:v>35.2</x:v>
      </x:c>
      <x:c r="I3083" t="n">
        <x:v>2.4</x:v>
      </x:c>
      <x:c r="J3083" t="n">
        <x:f>ROUND(F3083*I3083/100,2)</x:f>
        <x:v>2.64</x:v>
      </x:c>
      <x:c r="K3083" t="n">
        <x:v>6.4</x:v>
      </x:c>
      <x:c r="L3083" t="n">
        <x:f>ROUND(F3083*K3083/100,2)</x:f>
        <x:v>7.04</x:v>
      </x:c>
      <x:c r="M3083" t="n">
        <x:v>0.2</x:v>
      </x:c>
      <x:c r="N3083" t="n">
        <x:f>ROUND(F3083*M3083/100,2)</x:f>
        <x:v>0.22</x:v>
      </x:c>
      <x:c r="O3083" t="str">
        <x:v>生重</x:v>
      </x:c>
    </x:row>
    <x:row r="3084" ht="23" customHeight="1">
      <x:c r="A3084" t="n">
        <x:v>514</x:v>
      </x:c>
      <x:c r="B3084" t="n">
        <x:v>257</x:v>
      </x:c>
      <x:c r="C3084" t="str">
        <x:v>晚餐</x:v>
      </x:c>
      <x:c r="D3084" t="str">
        <x:v>主食</x:v>
      </x:c>
      <x:c r="E3084" t="str">
        <x:v>紫薯</x:v>
      </x:c>
      <x:c r="F3084" t="n">
        <x:v>110</x:v>
      </x:c>
      <x:c r="G3084" t="n">
        <x:v>95</x:v>
      </x:c>
      <x:c r="H3084" t="n">
        <x:f>ROUND(F3084*G3084/100,2)</x:f>
        <x:v>104.5</x:v>
      </x:c>
      <x:c r="I3084" t="n">
        <x:v>1.6</x:v>
      </x:c>
      <x:c r="J3084" t="n">
        <x:f>ROUND(F3084*I3084/100,2)</x:f>
        <x:v>1.76</x:v>
      </x:c>
      <x:c r="K3084" t="n">
        <x:v>22</x:v>
      </x:c>
      <x:c r="L3084" t="n">
        <x:f>ROUND(F3084*K3084/100,2)</x:f>
        <x:v>24.2</x:v>
      </x:c>
      <x:c r="M3084" t="n">
        <x:v>0.1</x:v>
      </x:c>
      <x:c r="N3084" t="n">
        <x:f>ROUND(F3084*M3084/100,2)</x:f>
        <x:v>0.11</x:v>
      </x:c>
      <x:c r="O3084" t="str">
        <x:v>蒸熟净重</x:v>
      </x:c>
    </x:row>
    <x:row r="3085" ht="23" customHeight="1">
      <x:c r="A3085" t="n">
        <x:v>514</x:v>
      </x:c>
      <x:c r="B3085" t="n">
        <x:v>257</x:v>
      </x:c>
      <x:c r="C3085" t="str">
        <x:v>晚餐</x:v>
      </x:c>
      <x:c r="D3085" t="str">
        <x:v>油脂</x:v>
      </x:c>
      <x:c r="E3085" t="str">
        <x:v>烹调油</x:v>
      </x:c>
      <x:c r="F3085" t="n">
        <x:v>6</x:v>
      </x:c>
      <x:c r="G3085" t="n">
        <x:v>900</x:v>
      </x:c>
      <x:c r="H3085" t="n">
        <x:f>ROUND(F3085*G3085/100,2)</x:f>
        <x:v>54</x:v>
      </x:c>
      <x:c r="I3085" t="n">
        <x:v>0</x:v>
      </x:c>
      <x:c r="J3085" t="n">
        <x:f>ROUND(F3085*I3085/100,2)</x:f>
        <x:v>0</x:v>
      </x:c>
      <x:c r="K3085" t="n">
        <x:v>0</x:v>
      </x:c>
      <x:c r="L3085" t="n">
        <x:f>ROUND(F3085*K3085/100,2)</x:f>
        <x:v>0</x:v>
      </x:c>
      <x:c r="M3085" t="n">
        <x:v>100</x:v>
      </x:c>
      <x:c r="N3085" t="n">
        <x:f>ROUND(F3085*M3085/100,2)</x:f>
        <x:v>6</x:v>
      </x:c>
      <x:c r="O3085" t="str">
        <x:v>实际用油重</x:v>
      </x:c>
    </x:row>
    <x:row r="3086" ht="23" customHeight="1">
      <x:c r="A3086" t="n">
        <x:v>515</x:v>
      </x:c>
      <x:c r="B3086" t="n">
        <x:v>258</x:v>
      </x:c>
      <x:c r="C3086" t="str">
        <x:v>午餐</x:v>
      </x:c>
      <x:c r="D3086" t="str">
        <x:v>猪肉</x:v>
      </x:c>
      <x:c r="E3086" t="str">
        <x:v>猪瘦肉</x:v>
      </x:c>
      <x:c r="F3086" t="n">
        <x:v>175</x:v>
      </x:c>
      <x:c r="G3086" t="n">
        <x:v>130</x:v>
      </x:c>
      <x:c r="H3086" t="n">
        <x:f>ROUND(F3086*G3086/100,2)</x:f>
        <x:v>227.5</x:v>
      </x:c>
      <x:c r="I3086" t="n">
        <x:v>20</x:v>
      </x:c>
      <x:c r="J3086" t="n">
        <x:f>ROUND(F3086*I3086/100,2)</x:f>
        <x:v>35</x:v>
      </x:c>
      <x:c r="K3086" t="n">
        <x:v>0</x:v>
      </x:c>
      <x:c r="L3086" t="n">
        <x:f>ROUND(F3086*K3086/100,2)</x:f>
        <x:v>0</x:v>
      </x:c>
      <x:c r="M3086" t="n">
        <x:v>5.5</x:v>
      </x:c>
      <x:c r="N3086" t="n">
        <x:f>ROUND(F3086*M3086/100,2)</x:f>
        <x:v>9.63</x:v>
      </x:c>
      <x:c r="O3086" t="str">
        <x:v>生重</x:v>
      </x:c>
    </x:row>
    <x:row r="3087" ht="23" customHeight="1">
      <x:c r="A3087" t="n">
        <x:v>515</x:v>
      </x:c>
      <x:c r="B3087" t="n">
        <x:v>258</x:v>
      </x:c>
      <x:c r="C3087" t="str">
        <x:v>午餐</x:v>
      </x:c>
      <x:c r="D3087" t="str"/>
      <x:c r="E3087" t="str"/>
      <x:c r="F3087" t="n">
        <x:v>0</x:v>
      </x:c>
      <x:c r="G3087" t="n">
        <x:v>0</x:v>
      </x:c>
      <x:c r="H3087" t="n">
        <x:f>ROUND(F3087*G3087/100,2)</x:f>
        <x:v>0</x:v>
      </x:c>
      <x:c r="I3087" t="n">
        <x:v>0</x:v>
      </x:c>
      <x:c r="J3087" t="n">
        <x:f>ROUND(F3087*I3087/100,2)</x:f>
        <x:v>0</x:v>
      </x:c>
      <x:c r="K3087" t="n">
        <x:v>0</x:v>
      </x:c>
      <x:c r="L3087" t="n">
        <x:f>ROUND(F3087*K3087/100,2)</x:f>
        <x:v>0</x:v>
      </x:c>
      <x:c r="M3087" t="n">
        <x:v>0</x:v>
      </x:c>
      <x:c r="N3087" t="n">
        <x:f>ROUND(F3087*M3087/100,2)</x:f>
        <x:v>0</x:v>
      </x:c>
      <x:c r="O3087" t="str"/>
    </x:row>
    <x:row r="3088" ht="23" customHeight="1">
      <x:c r="A3088" t="n">
        <x:v>515</x:v>
      </x:c>
      <x:c r="B3088" t="n">
        <x:v>258</x:v>
      </x:c>
      <x:c r="C3088" t="str">
        <x:v>午餐</x:v>
      </x:c>
      <x:c r="D3088" t="str">
        <x:v>蔬菜</x:v>
      </x:c>
      <x:c r="E3088" t="str">
        <x:v>娃娃菜</x:v>
      </x:c>
      <x:c r="F3088" t="n">
        <x:v>140</x:v>
      </x:c>
      <x:c r="G3088" t="n">
        <x:v>17</x:v>
      </x:c>
      <x:c r="H3088" t="n">
        <x:f>ROUND(F3088*G3088/100,2)</x:f>
        <x:v>23.8</x:v>
      </x:c>
      <x:c r="I3088" t="n">
        <x:v>1.3</x:v>
      </x:c>
      <x:c r="J3088" t="n">
        <x:f>ROUND(F3088*I3088/100,2)</x:f>
        <x:v>1.82</x:v>
      </x:c>
      <x:c r="K3088" t="n">
        <x:v>3</x:v>
      </x:c>
      <x:c r="L3088" t="n">
        <x:f>ROUND(F3088*K3088/100,2)</x:f>
        <x:v>4.2</x:v>
      </x:c>
      <x:c r="M3088" t="n">
        <x:v>0.2</x:v>
      </x:c>
      <x:c r="N3088" t="n">
        <x:f>ROUND(F3088*M3088/100,2)</x:f>
        <x:v>0.28</x:v>
      </x:c>
      <x:c r="O3088" t="str">
        <x:v>生重</x:v>
      </x:c>
    </x:row>
    <x:row r="3089" ht="23" customHeight="1">
      <x:c r="A3089" t="n">
        <x:v>515</x:v>
      </x:c>
      <x:c r="B3089" t="n">
        <x:v>258</x:v>
      </x:c>
      <x:c r="C3089" t="str">
        <x:v>午餐</x:v>
      </x:c>
      <x:c r="D3089" t="str">
        <x:v>蔬菜</x:v>
      </x:c>
      <x:c r="E3089" t="str">
        <x:v>洋葱</x:v>
      </x:c>
      <x:c r="F3089" t="n">
        <x:v>140</x:v>
      </x:c>
      <x:c r="G3089" t="n">
        <x:v>40</x:v>
      </x:c>
      <x:c r="H3089" t="n">
        <x:f>ROUND(F3089*G3089/100,2)</x:f>
        <x:v>56</x:v>
      </x:c>
      <x:c r="I3089" t="n">
        <x:v>1.1</x:v>
      </x:c>
      <x:c r="J3089" t="n">
        <x:f>ROUND(F3089*I3089/100,2)</x:f>
        <x:v>1.54</x:v>
      </x:c>
      <x:c r="K3089" t="n">
        <x:v>9.3</x:v>
      </x:c>
      <x:c r="L3089" t="n">
        <x:f>ROUND(F3089*K3089/100,2)</x:f>
        <x:v>13.02</x:v>
      </x:c>
      <x:c r="M3089" t="n">
        <x:v>0.1</x:v>
      </x:c>
      <x:c r="N3089" t="n">
        <x:f>ROUND(F3089*M3089/100,2)</x:f>
        <x:v>0.14</x:v>
      </x:c>
      <x:c r="O3089" t="str">
        <x:v>生重</x:v>
      </x:c>
    </x:row>
    <x:row r="3090" ht="23" customHeight="1">
      <x:c r="A3090" t="n">
        <x:v>515</x:v>
      </x:c>
      <x:c r="B3090" t="n">
        <x:v>258</x:v>
      </x:c>
      <x:c r="C3090" t="str">
        <x:v>午餐</x:v>
      </x:c>
      <x:c r="D3090" t="str">
        <x:v>主食</x:v>
      </x:c>
      <x:c r="E3090" t="str">
        <x:v>乌冬面</x:v>
      </x:c>
      <x:c r="F3090" t="n">
        <x:v>165</x:v>
      </x:c>
      <x:c r="G3090" t="n">
        <x:v>120</x:v>
      </x:c>
      <x:c r="H3090" t="n">
        <x:f>ROUND(F3090*G3090/100,2)</x:f>
        <x:v>198</x:v>
      </x:c>
      <x:c r="I3090" t="n">
        <x:v>2.5</x:v>
      </x:c>
      <x:c r="J3090" t="n">
        <x:f>ROUND(F3090*I3090/100,2)</x:f>
        <x:v>4.13</x:v>
      </x:c>
      <x:c r="K3090" t="n">
        <x:v>25</x:v>
      </x:c>
      <x:c r="L3090" t="n">
        <x:f>ROUND(F3090*K3090/100,2)</x:f>
        <x:v>41.25</x:v>
      </x:c>
      <x:c r="M3090" t="n">
        <x:v>0.6</x:v>
      </x:c>
      <x:c r="N3090" t="n">
        <x:f>ROUND(F3090*M3090/100,2)</x:f>
        <x:v>0.99</x:v>
      </x:c>
      <x:c r="O3090" t="str">
        <x:v>煮熟沥水重</x:v>
      </x:c>
    </x:row>
    <x:row r="3091" ht="23" customHeight="1">
      <x:c r="A3091" t="n">
        <x:v>515</x:v>
      </x:c>
      <x:c r="B3091" t="n">
        <x:v>258</x:v>
      </x:c>
      <x:c r="C3091" t="str">
        <x:v>午餐</x:v>
      </x:c>
      <x:c r="D3091" t="str">
        <x:v>油脂</x:v>
      </x:c>
      <x:c r="E3091" t="str">
        <x:v>烹调油</x:v>
      </x:c>
      <x:c r="F3091" t="n">
        <x:v>6</x:v>
      </x:c>
      <x:c r="G3091" t="n">
        <x:v>900</x:v>
      </x:c>
      <x:c r="H3091" t="n">
        <x:f>ROUND(F3091*G3091/100,2)</x:f>
        <x:v>54</x:v>
      </x:c>
      <x:c r="I3091" t="n">
        <x:v>0</x:v>
      </x:c>
      <x:c r="J3091" t="n">
        <x:f>ROUND(F3091*I3091/100,2)</x:f>
        <x:v>0</x:v>
      </x:c>
      <x:c r="K3091" t="n">
        <x:v>0</x:v>
      </x:c>
      <x:c r="L3091" t="n">
        <x:f>ROUND(F3091*K3091/100,2)</x:f>
        <x:v>0</x:v>
      </x:c>
      <x:c r="M3091" t="n">
        <x:v>100</x:v>
      </x:c>
      <x:c r="N3091" t="n">
        <x:f>ROUND(F3091*M3091/100,2)</x:f>
        <x:v>6</x:v>
      </x:c>
      <x:c r="O3091" t="str">
        <x:v>实际用油重</x:v>
      </x:c>
    </x:row>
    <x:row r="3092" ht="23" customHeight="1">
      <x:c r="A3092" t="n">
        <x:v>516</x:v>
      </x:c>
      <x:c r="B3092" t="n">
        <x:v>258</x:v>
      </x:c>
      <x:c r="C3092" t="str">
        <x:v>晚餐</x:v>
      </x:c>
      <x:c r="D3092" t="str">
        <x:v>海鲜</x:v>
      </x:c>
      <x:c r="E3092" t="str">
        <x:v>虾仁</x:v>
      </x:c>
      <x:c r="F3092" t="n">
        <x:v>190</x:v>
      </x:c>
      <x:c r="G3092" t="n">
        <x:v>90</x:v>
      </x:c>
      <x:c r="H3092" t="n">
        <x:f>ROUND(F3092*G3092/100,2)</x:f>
        <x:v>171</x:v>
      </x:c>
      <x:c r="I3092" t="n">
        <x:v>19</x:v>
      </x:c>
      <x:c r="J3092" t="n">
        <x:f>ROUND(F3092*I3092/100,2)</x:f>
        <x:v>36.1</x:v>
      </x:c>
      <x:c r="K3092" t="n">
        <x:v>0.4</x:v>
      </x:c>
      <x:c r="L3092" t="n">
        <x:f>ROUND(F3092*K3092/100,2)</x:f>
        <x:v>0.76</x:v>
      </x:c>
      <x:c r="M3092" t="n">
        <x:v>1.1</x:v>
      </x:c>
      <x:c r="N3092" t="n">
        <x:f>ROUND(F3092*M3092/100,2)</x:f>
        <x:v>2.09</x:v>
      </x:c>
      <x:c r="O3092" t="str">
        <x:v>生重</x:v>
      </x:c>
    </x:row>
    <x:row r="3093" ht="23" customHeight="1">
      <x:c r="A3093" t="n">
        <x:v>516</x:v>
      </x:c>
      <x:c r="B3093" t="n">
        <x:v>258</x:v>
      </x:c>
      <x:c r="C3093" t="str">
        <x:v>晚餐</x:v>
      </x:c>
      <x:c r="D3093" t="str">
        <x:v>豆蛋</x:v>
      </x:c>
      <x:c r="E3093" t="str">
        <x:v>熟毛豆仁</x:v>
      </x:c>
      <x:c r="F3093" t="n">
        <x:v>70</x:v>
      </x:c>
      <x:c r="G3093" t="n">
        <x:v>120</x:v>
      </x:c>
      <x:c r="H3093" t="n">
        <x:f>ROUND(F3093*G3093/100,2)</x:f>
        <x:v>84</x:v>
      </x:c>
      <x:c r="I3093" t="n">
        <x:v>12</x:v>
      </x:c>
      <x:c r="J3093" t="n">
        <x:f>ROUND(F3093*I3093/100,2)</x:f>
        <x:v>8.4</x:v>
      </x:c>
      <x:c r="K3093" t="n">
        <x:v>9</x:v>
      </x:c>
      <x:c r="L3093" t="n">
        <x:f>ROUND(F3093*K3093/100,2)</x:f>
        <x:v>6.3</x:v>
      </x:c>
      <x:c r="M3093" t="n">
        <x:v>5</x:v>
      </x:c>
      <x:c r="N3093" t="n">
        <x:f>ROUND(F3093*M3093/100,2)</x:f>
        <x:v>3.5</x:v>
      </x:c>
      <x:c r="O3093" t="str">
        <x:v>熟重</x:v>
      </x:c>
    </x:row>
    <x:row r="3094" ht="23" customHeight="1">
      <x:c r="A3094" t="n">
        <x:v>516</x:v>
      </x:c>
      <x:c r="B3094" t="n">
        <x:v>258</x:v>
      </x:c>
      <x:c r="C3094" t="str">
        <x:v>晚餐</x:v>
      </x:c>
      <x:c r="D3094" t="str">
        <x:v>蔬菜</x:v>
      </x:c>
      <x:c r="E3094" t="str">
        <x:v>番茄</x:v>
      </x:c>
      <x:c r="F3094" t="n">
        <x:v>175</x:v>
      </x:c>
      <x:c r="G3094" t="n">
        <x:v>20</x:v>
      </x:c>
      <x:c r="H3094" t="n">
        <x:f>ROUND(F3094*G3094/100,2)</x:f>
        <x:v>35</x:v>
      </x:c>
      <x:c r="I3094" t="n">
        <x:v>0.9</x:v>
      </x:c>
      <x:c r="J3094" t="n">
        <x:f>ROUND(F3094*I3094/100,2)</x:f>
        <x:v>1.58</x:v>
      </x:c>
      <x:c r="K3094" t="n">
        <x:v>4</x:v>
      </x:c>
      <x:c r="L3094" t="n">
        <x:f>ROUND(F3094*K3094/100,2)</x:f>
        <x:v>7</x:v>
      </x:c>
      <x:c r="M3094" t="n">
        <x:v>0.2</x:v>
      </x:c>
      <x:c r="N3094" t="n">
        <x:f>ROUND(F3094*M3094/100,2)</x:f>
        <x:v>0.35</x:v>
      </x:c>
      <x:c r="O3094" t="str">
        <x:v>生重</x:v>
      </x:c>
    </x:row>
    <x:row r="3095" ht="23" customHeight="1">
      <x:c r="A3095" t="n">
        <x:v>516</x:v>
      </x:c>
      <x:c r="B3095" t="n">
        <x:v>258</x:v>
      </x:c>
      <x:c r="C3095" t="str">
        <x:v>晚餐</x:v>
      </x:c>
      <x:c r="D3095" t="str">
        <x:v>菌菇</x:v>
      </x:c>
      <x:c r="E3095" t="str">
        <x:v>金针菇</x:v>
      </x:c>
      <x:c r="F3095" t="n">
        <x:v>155</x:v>
      </x:c>
      <x:c r="G3095" t="n">
        <x:v>32</x:v>
      </x:c>
      <x:c r="H3095" t="n">
        <x:f>ROUND(F3095*G3095/100,2)</x:f>
        <x:v>49.6</x:v>
      </x:c>
      <x:c r="I3095" t="n">
        <x:v>2.4</x:v>
      </x:c>
      <x:c r="J3095" t="n">
        <x:f>ROUND(F3095*I3095/100,2)</x:f>
        <x:v>3.72</x:v>
      </x:c>
      <x:c r="K3095" t="n">
        <x:v>6.4</x:v>
      </x:c>
      <x:c r="L3095" t="n">
        <x:f>ROUND(F3095*K3095/100,2)</x:f>
        <x:v>9.92</x:v>
      </x:c>
      <x:c r="M3095" t="n">
        <x:v>0.2</x:v>
      </x:c>
      <x:c r="N3095" t="n">
        <x:f>ROUND(F3095*M3095/100,2)</x:f>
        <x:v>0.31</x:v>
      </x:c>
      <x:c r="O3095" t="str">
        <x:v>生重</x:v>
      </x:c>
    </x:row>
    <x:row r="3096" ht="23" customHeight="1">
      <x:c r="A3096" t="n">
        <x:v>516</x:v>
      </x:c>
      <x:c r="B3096" t="n">
        <x:v>258</x:v>
      </x:c>
      <x:c r="C3096" t="str">
        <x:v>晚餐</x:v>
      </x:c>
      <x:c r="D3096" t="str">
        <x:v>主食</x:v>
      </x:c>
      <x:c r="E3096" t="str">
        <x:v>全麦面</x:v>
      </x:c>
      <x:c r="F3096" t="n">
        <x:v>110</x:v>
      </x:c>
      <x:c r="G3096" t="n">
        <x:v>124</x:v>
      </x:c>
      <x:c r="H3096" t="n">
        <x:f>ROUND(F3096*G3096/100,2)</x:f>
        <x:v>136.4</x:v>
      </x:c>
      <x:c r="I3096" t="n">
        <x:v>5</x:v>
      </x:c>
      <x:c r="J3096" t="n">
        <x:f>ROUND(F3096*I3096/100,2)</x:f>
        <x:v>5.5</x:v>
      </x:c>
      <x:c r="K3096" t="n">
        <x:v>25</x:v>
      </x:c>
      <x:c r="L3096" t="n">
        <x:f>ROUND(F3096*K3096/100,2)</x:f>
        <x:v>27.5</x:v>
      </x:c>
      <x:c r="M3096" t="n">
        <x:v>1.1</x:v>
      </x:c>
      <x:c r="N3096" t="n">
        <x:f>ROUND(F3096*M3096/100,2)</x:f>
        <x:v>1.21</x:v>
      </x:c>
      <x:c r="O3096" t="str">
        <x:v>煮熟沥水重</x:v>
      </x:c>
    </x:row>
    <x:row r="3097" ht="23" customHeight="1">
      <x:c r="A3097" t="n">
        <x:v>516</x:v>
      </x:c>
      <x:c r="B3097" t="n">
        <x:v>258</x:v>
      </x:c>
      <x:c r="C3097" t="str">
        <x:v>晚餐</x:v>
      </x:c>
      <x:c r="D3097" t="str">
        <x:v>油脂</x:v>
      </x:c>
      <x:c r="E3097" t="str">
        <x:v>烹调油</x:v>
      </x:c>
      <x:c r="F3097" t="n">
        <x:v>5</x:v>
      </x:c>
      <x:c r="G3097" t="n">
        <x:v>900</x:v>
      </x:c>
      <x:c r="H3097" t="n">
        <x:f>ROUND(F3097*G3097/100,2)</x:f>
        <x:v>45</x:v>
      </x:c>
      <x:c r="I3097" t="n">
        <x:v>0</x:v>
      </x:c>
      <x:c r="J3097" t="n">
        <x:f>ROUND(F3097*I3097/100,2)</x:f>
        <x:v>0</x:v>
      </x:c>
      <x:c r="K3097" t="n">
        <x:v>0</x:v>
      </x:c>
      <x:c r="L3097" t="n">
        <x:f>ROUND(F3097*K3097/100,2)</x:f>
        <x:v>0</x:v>
      </x:c>
      <x:c r="M3097" t="n">
        <x:v>100</x:v>
      </x:c>
      <x:c r="N3097" t="n">
        <x:f>ROUND(F3097*M3097/100,2)</x:f>
        <x:v>5</x:v>
      </x:c>
      <x:c r="O3097" t="str">
        <x:v>实际用油重</x:v>
      </x:c>
    </x:row>
    <x:row r="3098" ht="23" customHeight="1">
      <x:c r="A3098" t="n">
        <x:v>517</x:v>
      </x:c>
      <x:c r="B3098" t="n">
        <x:v>259</x:v>
      </x:c>
      <x:c r="C3098" t="str">
        <x:v>午餐</x:v>
      </x:c>
      <x:c r="D3098" t="str">
        <x:v>禽肉</x:v>
      </x:c>
      <x:c r="E3098" t="str">
        <x:v>鸡里脊肉</x:v>
      </x:c>
      <x:c r="F3098" t="n">
        <x:v>155</x:v>
      </x:c>
      <x:c r="G3098" t="n">
        <x:v>110</x:v>
      </x:c>
      <x:c r="H3098" t="n">
        <x:f>ROUND(F3098*G3098/100,2)</x:f>
        <x:v>170.5</x:v>
      </x:c>
      <x:c r="I3098" t="n">
        <x:v>23</x:v>
      </x:c>
      <x:c r="J3098" t="n">
        <x:f>ROUND(F3098*I3098/100,2)</x:f>
        <x:v>35.65</x:v>
      </x:c>
      <x:c r="K3098" t="n">
        <x:v>0</x:v>
      </x:c>
      <x:c r="L3098" t="n">
        <x:f>ROUND(F3098*K3098/100,2)</x:f>
        <x:v>0</x:v>
      </x:c>
      <x:c r="M3098" t="n">
        <x:v>1.8</x:v>
      </x:c>
      <x:c r="N3098" t="n">
        <x:f>ROUND(F3098*M3098/100,2)</x:f>
        <x:v>2.79</x:v>
      </x:c>
      <x:c r="O3098" t="str">
        <x:v>生重</x:v>
      </x:c>
    </x:row>
    <x:row r="3099" ht="23" customHeight="1">
      <x:c r="A3099" t="n">
        <x:v>517</x:v>
      </x:c>
      <x:c r="B3099" t="n">
        <x:v>259</x:v>
      </x:c>
      <x:c r="C3099" t="str">
        <x:v>午餐</x:v>
      </x:c>
      <x:c r="D3099" t="str"/>
      <x:c r="E3099" t="str"/>
      <x:c r="F3099" t="n">
        <x:v>0</x:v>
      </x:c>
      <x:c r="G3099" t="n">
        <x:v>0</x:v>
      </x:c>
      <x:c r="H3099" t="n">
        <x:f>ROUND(F3099*G3099/100,2)</x:f>
        <x:v>0</x:v>
      </x:c>
      <x:c r="I3099" t="n">
        <x:v>0</x:v>
      </x:c>
      <x:c r="J3099" t="n">
        <x:f>ROUND(F3099*I3099/100,2)</x:f>
        <x:v>0</x:v>
      </x:c>
      <x:c r="K3099" t="n">
        <x:v>0</x:v>
      </x:c>
      <x:c r="L3099" t="n">
        <x:f>ROUND(F3099*K3099/100,2)</x:f>
        <x:v>0</x:v>
      </x:c>
      <x:c r="M3099" t="n">
        <x:v>0</x:v>
      </x:c>
      <x:c r="N3099" t="n">
        <x:f>ROUND(F3099*M3099/100,2)</x:f>
        <x:v>0</x:v>
      </x:c>
      <x:c r="O3099" t="str"/>
    </x:row>
    <x:row r="3100" ht="23" customHeight="1">
      <x:c r="A3100" t="n">
        <x:v>517</x:v>
      </x:c>
      <x:c r="B3100" t="n">
        <x:v>259</x:v>
      </x:c>
      <x:c r="C3100" t="str">
        <x:v>午餐</x:v>
      </x:c>
      <x:c r="D3100" t="str">
        <x:v>蔬菜</x:v>
      </x:c>
      <x:c r="E3100" t="str">
        <x:v>西兰花</x:v>
      </x:c>
      <x:c r="F3100" t="n">
        <x:v>190</x:v>
      </x:c>
      <x:c r="G3100" t="n">
        <x:v>34</x:v>
      </x:c>
      <x:c r="H3100" t="n">
        <x:f>ROUND(F3100*G3100/100,2)</x:f>
        <x:v>64.6</x:v>
      </x:c>
      <x:c r="I3100" t="n">
        <x:v>2.8</x:v>
      </x:c>
      <x:c r="J3100" t="n">
        <x:f>ROUND(F3100*I3100/100,2)</x:f>
        <x:v>5.32</x:v>
      </x:c>
      <x:c r="K3100" t="n">
        <x:v>7</x:v>
      </x:c>
      <x:c r="L3100" t="n">
        <x:f>ROUND(F3100*K3100/100,2)</x:f>
        <x:v>13.3</x:v>
      </x:c>
      <x:c r="M3100" t="n">
        <x:v>0.4</x:v>
      </x:c>
      <x:c r="N3100" t="n">
        <x:f>ROUND(F3100*M3100/100,2)</x:f>
        <x:v>0.76</x:v>
      </x:c>
      <x:c r="O3100" t="str">
        <x:v>生重</x:v>
      </x:c>
    </x:row>
    <x:row r="3101" ht="23" customHeight="1">
      <x:c r="A3101" t="n">
        <x:v>517</x:v>
      </x:c>
      <x:c r="B3101" t="n">
        <x:v>259</x:v>
      </x:c>
      <x:c r="C3101" t="str">
        <x:v>午餐</x:v>
      </x:c>
      <x:c r="D3101" t="str">
        <x:v>蔬菜</x:v>
      </x:c>
      <x:c r="E3101" t="str">
        <x:v>洋葱</x:v>
      </x:c>
      <x:c r="F3101" t="n">
        <x:v>155</x:v>
      </x:c>
      <x:c r="G3101" t="n">
        <x:v>40</x:v>
      </x:c>
      <x:c r="H3101" t="n">
        <x:f>ROUND(F3101*G3101/100,2)</x:f>
        <x:v>62</x:v>
      </x:c>
      <x:c r="I3101" t="n">
        <x:v>1.1</x:v>
      </x:c>
      <x:c r="J3101" t="n">
        <x:f>ROUND(F3101*I3101/100,2)</x:f>
        <x:v>1.71</x:v>
      </x:c>
      <x:c r="K3101" t="n">
        <x:v>9.3</x:v>
      </x:c>
      <x:c r="L3101" t="n">
        <x:f>ROUND(F3101*K3101/100,2)</x:f>
        <x:v>14.42</x:v>
      </x:c>
      <x:c r="M3101" t="n">
        <x:v>0.1</x:v>
      </x:c>
      <x:c r="N3101" t="n">
        <x:f>ROUND(F3101*M3101/100,2)</x:f>
        <x:v>0.16</x:v>
      </x:c>
      <x:c r="O3101" t="str">
        <x:v>生重</x:v>
      </x:c>
    </x:row>
    <x:row r="3102" ht="23" customHeight="1">
      <x:c r="A3102" t="n">
        <x:v>517</x:v>
      </x:c>
      <x:c r="B3102" t="n">
        <x:v>259</x:v>
      </x:c>
      <x:c r="C3102" t="str">
        <x:v>午餐</x:v>
      </x:c>
      <x:c r="D3102" t="str">
        <x:v>主食</x:v>
      </x:c>
      <x:c r="E3102" t="str">
        <x:v>全麦面</x:v>
      </x:c>
      <x:c r="F3102" t="n">
        <x:v>165</x:v>
      </x:c>
      <x:c r="G3102" t="n">
        <x:v>124</x:v>
      </x:c>
      <x:c r="H3102" t="n">
        <x:f>ROUND(F3102*G3102/100,2)</x:f>
        <x:v>204.6</x:v>
      </x:c>
      <x:c r="I3102" t="n">
        <x:v>5</x:v>
      </x:c>
      <x:c r="J3102" t="n">
        <x:f>ROUND(F3102*I3102/100,2)</x:f>
        <x:v>8.25</x:v>
      </x:c>
      <x:c r="K3102" t="n">
        <x:v>25</x:v>
      </x:c>
      <x:c r="L3102" t="n">
        <x:f>ROUND(F3102*K3102/100,2)</x:f>
        <x:v>41.25</x:v>
      </x:c>
      <x:c r="M3102" t="n">
        <x:v>1.1</x:v>
      </x:c>
      <x:c r="N3102" t="n">
        <x:f>ROUND(F3102*M3102/100,2)</x:f>
        <x:v>1.82</x:v>
      </x:c>
      <x:c r="O3102" t="str">
        <x:v>煮熟沥水重</x:v>
      </x:c>
    </x:row>
    <x:row r="3103" ht="23" customHeight="1">
      <x:c r="A3103" t="n">
        <x:v>517</x:v>
      </x:c>
      <x:c r="B3103" t="n">
        <x:v>259</x:v>
      </x:c>
      <x:c r="C3103" t="str">
        <x:v>午餐</x:v>
      </x:c>
      <x:c r="D3103" t="str">
        <x:v>油脂</x:v>
      </x:c>
      <x:c r="E3103" t="str">
        <x:v>烹调油</x:v>
      </x:c>
      <x:c r="F3103" t="n">
        <x:v>6</x:v>
      </x:c>
      <x:c r="G3103" t="n">
        <x:v>900</x:v>
      </x:c>
      <x:c r="H3103" t="n">
        <x:f>ROUND(F3103*G3103/100,2)</x:f>
        <x:v>54</x:v>
      </x:c>
      <x:c r="I3103" t="n">
        <x:v>0</x:v>
      </x:c>
      <x:c r="J3103" t="n">
        <x:f>ROUND(F3103*I3103/100,2)</x:f>
        <x:v>0</x:v>
      </x:c>
      <x:c r="K3103" t="n">
        <x:v>0</x:v>
      </x:c>
      <x:c r="L3103" t="n">
        <x:f>ROUND(F3103*K3103/100,2)</x:f>
        <x:v>0</x:v>
      </x:c>
      <x:c r="M3103" t="n">
        <x:v>100</x:v>
      </x:c>
      <x:c r="N3103" t="n">
        <x:f>ROUND(F3103*M3103/100,2)</x:f>
        <x:v>6</x:v>
      </x:c>
      <x:c r="O3103" t="str">
        <x:v>实际用油重</x:v>
      </x:c>
    </x:row>
    <x:row r="3104" ht="23" customHeight="1">
      <x:c r="A3104" t="n">
        <x:v>518</x:v>
      </x:c>
      <x:c r="B3104" t="n">
        <x:v>259</x:v>
      </x:c>
      <x:c r="C3104" t="str">
        <x:v>晚餐</x:v>
      </x:c>
      <x:c r="D3104" t="str">
        <x:v>海鲜</x:v>
      </x:c>
      <x:c r="E3104" t="str">
        <x:v>虾仁</x:v>
      </x:c>
      <x:c r="F3104" t="n">
        <x:v>190</x:v>
      </x:c>
      <x:c r="G3104" t="n">
        <x:v>90</x:v>
      </x:c>
      <x:c r="H3104" t="n">
        <x:f>ROUND(F3104*G3104/100,2)</x:f>
        <x:v>171</x:v>
      </x:c>
      <x:c r="I3104" t="n">
        <x:v>19</x:v>
      </x:c>
      <x:c r="J3104" t="n">
        <x:f>ROUND(F3104*I3104/100,2)</x:f>
        <x:v>36.1</x:v>
      </x:c>
      <x:c r="K3104" t="n">
        <x:v>0.4</x:v>
      </x:c>
      <x:c r="L3104" t="n">
        <x:f>ROUND(F3104*K3104/100,2)</x:f>
        <x:v>0.76</x:v>
      </x:c>
      <x:c r="M3104" t="n">
        <x:v>1.1</x:v>
      </x:c>
      <x:c r="N3104" t="n">
        <x:f>ROUND(F3104*M3104/100,2)</x:f>
        <x:v>2.09</x:v>
      </x:c>
      <x:c r="O3104" t="str">
        <x:v>生重</x:v>
      </x:c>
    </x:row>
    <x:row r="3105" ht="23" customHeight="1">
      <x:c r="A3105" t="n">
        <x:v>518</x:v>
      </x:c>
      <x:c r="B3105" t="n">
        <x:v>259</x:v>
      </x:c>
      <x:c r="C3105" t="str">
        <x:v>晚餐</x:v>
      </x:c>
      <x:c r="D3105" t="str"/>
      <x:c r="E3105" t="str"/>
      <x:c r="F3105" t="n">
        <x:v>0</x:v>
      </x:c>
      <x:c r="G3105" t="n">
        <x:v>0</x:v>
      </x:c>
      <x:c r="H3105" t="n">
        <x:f>ROUND(F3105*G3105/100,2)</x:f>
        <x:v>0</x:v>
      </x:c>
      <x:c r="I3105" t="n">
        <x:v>0</x:v>
      </x:c>
      <x:c r="J3105" t="n">
        <x:f>ROUND(F3105*I3105/100,2)</x:f>
        <x:v>0</x:v>
      </x:c>
      <x:c r="K3105" t="n">
        <x:v>0</x:v>
      </x:c>
      <x:c r="L3105" t="n">
        <x:f>ROUND(F3105*K3105/100,2)</x:f>
        <x:v>0</x:v>
      </x:c>
      <x:c r="M3105" t="n">
        <x:v>0</x:v>
      </x:c>
      <x:c r="N3105" t="n">
        <x:f>ROUND(F3105*M3105/100,2)</x:f>
        <x:v>0</x:v>
      </x:c>
      <x:c r="O3105" t="str"/>
    </x:row>
    <x:row r="3106" ht="23" customHeight="1">
      <x:c r="A3106" t="n">
        <x:v>518</x:v>
      </x:c>
      <x:c r="B3106" t="n">
        <x:v>259</x:v>
      </x:c>
      <x:c r="C3106" t="str">
        <x:v>晚餐</x:v>
      </x:c>
      <x:c r="D3106" t="str">
        <x:v>蔬菜</x:v>
      </x:c>
      <x:c r="E3106" t="str">
        <x:v>芦笋</x:v>
      </x:c>
      <x:c r="F3106" t="n">
        <x:v>140</x:v>
      </x:c>
      <x:c r="G3106" t="n">
        <x:v>20</x:v>
      </x:c>
      <x:c r="H3106" t="n">
        <x:f>ROUND(F3106*G3106/100,2)</x:f>
        <x:v>28</x:v>
      </x:c>
      <x:c r="I3106" t="n">
        <x:v>2.2</x:v>
      </x:c>
      <x:c r="J3106" t="n">
        <x:f>ROUND(F3106*I3106/100,2)</x:f>
        <x:v>3.08</x:v>
      </x:c>
      <x:c r="K3106" t="n">
        <x:v>3.9</x:v>
      </x:c>
      <x:c r="L3106" t="n">
        <x:f>ROUND(F3106*K3106/100,2)</x:f>
        <x:v>5.46</x:v>
      </x:c>
      <x:c r="M3106" t="n">
        <x:v>0.1</x:v>
      </x:c>
      <x:c r="N3106" t="n">
        <x:f>ROUND(F3106*M3106/100,2)</x:f>
        <x:v>0.14</x:v>
      </x:c>
      <x:c r="O3106" t="str">
        <x:v>生重</x:v>
      </x:c>
    </x:row>
    <x:row r="3107" ht="23" customHeight="1">
      <x:c r="A3107" t="n">
        <x:v>518</x:v>
      </x:c>
      <x:c r="B3107" t="n">
        <x:v>259</x:v>
      </x:c>
      <x:c r="C3107" t="str">
        <x:v>晚餐</x:v>
      </x:c>
      <x:c r="D3107" t="str">
        <x:v>蔬菜</x:v>
      </x:c>
      <x:c r="E3107" t="str">
        <x:v>花菜</x:v>
      </x:c>
      <x:c r="F3107" t="n">
        <x:v>155</x:v>
      </x:c>
      <x:c r="G3107" t="n">
        <x:v>25</x:v>
      </x:c>
      <x:c r="H3107" t="n">
        <x:f>ROUND(F3107*G3107/100,2)</x:f>
        <x:v>38.75</x:v>
      </x:c>
      <x:c r="I3107" t="n">
        <x:v>2</x:v>
      </x:c>
      <x:c r="J3107" t="n">
        <x:f>ROUND(F3107*I3107/100,2)</x:f>
        <x:v>3.1</x:v>
      </x:c>
      <x:c r="K3107" t="n">
        <x:v>5</x:v>
      </x:c>
      <x:c r="L3107" t="n">
        <x:f>ROUND(F3107*K3107/100,2)</x:f>
        <x:v>7.75</x:v>
      </x:c>
      <x:c r="M3107" t="n">
        <x:v>0.3</x:v>
      </x:c>
      <x:c r="N3107" t="n">
        <x:f>ROUND(F3107*M3107/100,2)</x:f>
        <x:v>0.47</x:v>
      </x:c>
      <x:c r="O3107" t="str">
        <x:v>生重</x:v>
      </x:c>
    </x:row>
    <x:row r="3108" ht="23" customHeight="1">
      <x:c r="A3108" t="n">
        <x:v>518</x:v>
      </x:c>
      <x:c r="B3108" t="n">
        <x:v>259</x:v>
      </x:c>
      <x:c r="C3108" t="str">
        <x:v>晚餐</x:v>
      </x:c>
      <x:c r="D3108" t="str">
        <x:v>主食</x:v>
      </x:c>
      <x:c r="E3108" t="str">
        <x:v>红薯</x:v>
      </x:c>
      <x:c r="F3108" t="n">
        <x:v>110</x:v>
      </x:c>
      <x:c r="G3108" t="n">
        <x:v>88</x:v>
      </x:c>
      <x:c r="H3108" t="n">
        <x:f>ROUND(F3108*G3108/100,2)</x:f>
        <x:v>96.8</x:v>
      </x:c>
      <x:c r="I3108" t="n">
        <x:v>1.6</x:v>
      </x:c>
      <x:c r="J3108" t="n">
        <x:f>ROUND(F3108*I3108/100,2)</x:f>
        <x:v>1.76</x:v>
      </x:c>
      <x:c r="K3108" t="n">
        <x:v>20.5</x:v>
      </x:c>
      <x:c r="L3108" t="n">
        <x:f>ROUND(F3108*K3108/100,2)</x:f>
        <x:v>22.55</x:v>
      </x:c>
      <x:c r="M3108" t="n">
        <x:v>0.1</x:v>
      </x:c>
      <x:c r="N3108" t="n">
        <x:f>ROUND(F3108*M3108/100,2)</x:f>
        <x:v>0.11</x:v>
      </x:c>
      <x:c r="O3108" t="str">
        <x:v>蒸熟净重</x:v>
      </x:c>
    </x:row>
    <x:row r="3109" ht="23" customHeight="1">
      <x:c r="A3109" t="n">
        <x:v>518</x:v>
      </x:c>
      <x:c r="B3109" t="n">
        <x:v>259</x:v>
      </x:c>
      <x:c r="C3109" t="str">
        <x:v>晚餐</x:v>
      </x:c>
      <x:c r="D3109" t="str">
        <x:v>油脂</x:v>
      </x:c>
      <x:c r="E3109" t="str">
        <x:v>烹调油</x:v>
      </x:c>
      <x:c r="F3109" t="n">
        <x:v>3</x:v>
      </x:c>
      <x:c r="G3109" t="n">
        <x:v>900</x:v>
      </x:c>
      <x:c r="H3109" t="n">
        <x:f>ROUND(F3109*G3109/100,2)</x:f>
        <x:v>27</x:v>
      </x:c>
      <x:c r="I3109" t="n">
        <x:v>0</x:v>
      </x:c>
      <x:c r="J3109" t="n">
        <x:f>ROUND(F3109*I3109/100,2)</x:f>
        <x:v>0</x:v>
      </x:c>
      <x:c r="K3109" t="n">
        <x:v>0</x:v>
      </x:c>
      <x:c r="L3109" t="n">
        <x:f>ROUND(F3109*K3109/100,2)</x:f>
        <x:v>0</x:v>
      </x:c>
      <x:c r="M3109" t="n">
        <x:v>100</x:v>
      </x:c>
      <x:c r="N3109" t="n">
        <x:f>ROUND(F3109*M3109/100,2)</x:f>
        <x:v>3</x:v>
      </x:c>
      <x:c r="O3109" t="str">
        <x:v>实际用油重</x:v>
      </x:c>
    </x:row>
    <x:row r="3110" ht="23" customHeight="1">
      <x:c r="A3110" t="n">
        <x:v>519</x:v>
      </x:c>
      <x:c r="B3110" t="n">
        <x:v>260</x:v>
      </x:c>
      <x:c r="C3110" t="str">
        <x:v>午餐</x:v>
      </x:c>
      <x:c r="D3110" t="str">
        <x:v>豆蛋</x:v>
      </x:c>
      <x:c r="E3110" t="str">
        <x:v>嫩豆腐</x:v>
      </x:c>
      <x:c r="F3110" t="n">
        <x:v>260</x:v>
      </x:c>
      <x:c r="G3110" t="n">
        <x:v>55</x:v>
      </x:c>
      <x:c r="H3110" t="n">
        <x:f>ROUND(F3110*G3110/100,2)</x:f>
        <x:v>143</x:v>
      </x:c>
      <x:c r="I3110" t="n">
        <x:v>5</x:v>
      </x:c>
      <x:c r="J3110" t="n">
        <x:f>ROUND(F3110*I3110/100,2)</x:f>
        <x:v>13</x:v>
      </x:c>
      <x:c r="K3110" t="n">
        <x:v>2</x:v>
      </x:c>
      <x:c r="L3110" t="n">
        <x:f>ROUND(F3110*K3110/100,2)</x:f>
        <x:v>5.2</x:v>
      </x:c>
      <x:c r="M3110" t="n">
        <x:v>2.8</x:v>
      </x:c>
      <x:c r="N3110" t="n">
        <x:f>ROUND(F3110*M3110/100,2)</x:f>
        <x:v>7.28</x:v>
      </x:c>
      <x:c r="O3110" t="str">
        <x:v>净重</x:v>
      </x:c>
    </x:row>
    <x:row r="3111" ht="23" customHeight="1">
      <x:c r="A3111" t="n">
        <x:v>519</x:v>
      </x:c>
      <x:c r="B3111" t="n">
        <x:v>260</x:v>
      </x:c>
      <x:c r="C3111" t="str">
        <x:v>午餐</x:v>
      </x:c>
      <x:c r="D3111" t="str">
        <x:v>豆蛋</x:v>
      </x:c>
      <x:c r="E3111" t="str">
        <x:v>熟毛豆仁</x:v>
      </x:c>
      <x:c r="F3111" t="n">
        <x:v>50</x:v>
      </x:c>
      <x:c r="G3111" t="n">
        <x:v>120</x:v>
      </x:c>
      <x:c r="H3111" t="n">
        <x:f>ROUND(F3111*G3111/100,2)</x:f>
        <x:v>60</x:v>
      </x:c>
      <x:c r="I3111" t="n">
        <x:v>12</x:v>
      </x:c>
      <x:c r="J3111" t="n">
        <x:f>ROUND(F3111*I3111/100,2)</x:f>
        <x:v>6</x:v>
      </x:c>
      <x:c r="K3111" t="n">
        <x:v>9</x:v>
      </x:c>
      <x:c r="L3111" t="n">
        <x:f>ROUND(F3111*K3111/100,2)</x:f>
        <x:v>4.5</x:v>
      </x:c>
      <x:c r="M3111" t="n">
        <x:v>5</x:v>
      </x:c>
      <x:c r="N3111" t="n">
        <x:f>ROUND(F3111*M3111/100,2)</x:f>
        <x:v>2.5</x:v>
      </x:c>
      <x:c r="O3111" t="str">
        <x:v>熟重</x:v>
      </x:c>
    </x:row>
    <x:row r="3112" ht="23" customHeight="1">
      <x:c r="A3112" t="n">
        <x:v>519</x:v>
      </x:c>
      <x:c r="B3112" t="n">
        <x:v>260</x:v>
      </x:c>
      <x:c r="C3112" t="str">
        <x:v>午餐</x:v>
      </x:c>
      <x:c r="D3112" t="str">
        <x:v>蔬菜</x:v>
      </x:c>
      <x:c r="E3112" t="str">
        <x:v>荷兰豆</x:v>
      </x:c>
      <x:c r="F3112" t="n">
        <x:v>160</x:v>
      </x:c>
      <x:c r="G3112" t="n">
        <x:v>42</x:v>
      </x:c>
      <x:c r="H3112" t="n">
        <x:f>ROUND(F3112*G3112/100,2)</x:f>
        <x:v>67.2</x:v>
      </x:c>
      <x:c r="I3112" t="n">
        <x:v>2.8</x:v>
      </x:c>
      <x:c r="J3112" t="n">
        <x:f>ROUND(F3112*I3112/100,2)</x:f>
        <x:v>4.48</x:v>
      </x:c>
      <x:c r="K3112" t="n">
        <x:v>7.5</x:v>
      </x:c>
      <x:c r="L3112" t="n">
        <x:f>ROUND(F3112*K3112/100,2)</x:f>
        <x:v>12</x:v>
      </x:c>
      <x:c r="M3112" t="n">
        <x:v>0.3</x:v>
      </x:c>
      <x:c r="N3112" t="n">
        <x:f>ROUND(F3112*M3112/100,2)</x:f>
        <x:v>0.48</x:v>
      </x:c>
      <x:c r="O3112" t="str">
        <x:v>生重</x:v>
      </x:c>
    </x:row>
    <x:row r="3113" ht="23" customHeight="1">
      <x:c r="A3113" t="n">
        <x:v>519</x:v>
      </x:c>
      <x:c r="B3113" t="n">
        <x:v>260</x:v>
      </x:c>
      <x:c r="C3113" t="str">
        <x:v>午餐</x:v>
      </x:c>
      <x:c r="D3113" t="str">
        <x:v>蔬菜</x:v>
      </x:c>
      <x:c r="E3113" t="str">
        <x:v>绿豆芽</x:v>
      </x:c>
      <x:c r="F3113" t="n">
        <x:v>140</x:v>
      </x:c>
      <x:c r="G3113" t="n">
        <x:v>31</x:v>
      </x:c>
      <x:c r="H3113" t="n">
        <x:f>ROUND(F3113*G3113/100,2)</x:f>
        <x:v>43.4</x:v>
      </x:c>
      <x:c r="I3113" t="n">
        <x:v>3</x:v>
      </x:c>
      <x:c r="J3113" t="n">
        <x:f>ROUND(F3113*I3113/100,2)</x:f>
        <x:v>4.2</x:v>
      </x:c>
      <x:c r="K3113" t="n">
        <x:v>6</x:v>
      </x:c>
      <x:c r="L3113" t="n">
        <x:f>ROUND(F3113*K3113/100,2)</x:f>
        <x:v>8.4</x:v>
      </x:c>
      <x:c r="M3113" t="n">
        <x:v>0.2</x:v>
      </x:c>
      <x:c r="N3113" t="n">
        <x:f>ROUND(F3113*M3113/100,2)</x:f>
        <x:v>0.28</x:v>
      </x:c>
      <x:c r="O3113" t="str">
        <x:v>生重</x:v>
      </x:c>
    </x:row>
    <x:row r="3114" ht="23" customHeight="1">
      <x:c r="A3114" t="n">
        <x:v>519</x:v>
      </x:c>
      <x:c r="B3114" t="n">
        <x:v>260</x:v>
      </x:c>
      <x:c r="C3114" t="str">
        <x:v>午餐</x:v>
      </x:c>
      <x:c r="D3114" t="str">
        <x:v>主食</x:v>
      </x:c>
      <x:c r="E3114" t="str">
        <x:v>荞麦面</x:v>
      </x:c>
      <x:c r="F3114" t="n">
        <x:v>110</x:v>
      </x:c>
      <x:c r="G3114" t="n">
        <x:v>105</x:v>
      </x:c>
      <x:c r="H3114" t="n">
        <x:f>ROUND(F3114*G3114/100,2)</x:f>
        <x:v>115.5</x:v>
      </x:c>
      <x:c r="I3114" t="n">
        <x:v>4</x:v>
      </x:c>
      <x:c r="J3114" t="n">
        <x:f>ROUND(F3114*I3114/100,2)</x:f>
        <x:v>4.4</x:v>
      </x:c>
      <x:c r="K3114" t="n">
        <x:v>21</x:v>
      </x:c>
      <x:c r="L3114" t="n">
        <x:f>ROUND(F3114*K3114/100,2)</x:f>
        <x:v>23.1</x:v>
      </x:c>
      <x:c r="M3114" t="n">
        <x:v>0.7</x:v>
      </x:c>
      <x:c r="N3114" t="n">
        <x:f>ROUND(F3114*M3114/100,2)</x:f>
        <x:v>0.77</x:v>
      </x:c>
      <x:c r="O3114" t="str">
        <x:v>煮熟沥水重</x:v>
      </x:c>
    </x:row>
    <x:row r="3115" ht="23" customHeight="1">
      <x:c r="A3115" t="n">
        <x:v>519</x:v>
      </x:c>
      <x:c r="B3115" t="n">
        <x:v>260</x:v>
      </x:c>
      <x:c r="C3115" t="str">
        <x:v>午餐</x:v>
      </x:c>
      <x:c r="D3115" t="str">
        <x:v>油脂</x:v>
      </x:c>
      <x:c r="E3115" t="str">
        <x:v>烹调油</x:v>
      </x:c>
      <x:c r="F3115" t="n">
        <x:v>4</x:v>
      </x:c>
      <x:c r="G3115" t="n">
        <x:v>900</x:v>
      </x:c>
      <x:c r="H3115" t="n">
        <x:f>ROUND(F3115*G3115/100,2)</x:f>
        <x:v>36</x:v>
      </x:c>
      <x:c r="I3115" t="n">
        <x:v>0</x:v>
      </x:c>
      <x:c r="J3115" t="n">
        <x:f>ROUND(F3115*I3115/100,2)</x:f>
        <x:v>0</x:v>
      </x:c>
      <x:c r="K3115" t="n">
        <x:v>0</x:v>
      </x:c>
      <x:c r="L3115" t="n">
        <x:f>ROUND(F3115*K3115/100,2)</x:f>
        <x:v>0</x:v>
      </x:c>
      <x:c r="M3115" t="n">
        <x:v>100</x:v>
      </x:c>
      <x:c r="N3115" t="n">
        <x:f>ROUND(F3115*M3115/100,2)</x:f>
        <x:v>4</x:v>
      </x:c>
      <x:c r="O3115" t="str">
        <x:v>实际用油重</x:v>
      </x:c>
    </x:row>
    <x:row r="3116" ht="23" customHeight="1">
      <x:c r="A3116" t="n">
        <x:v>520</x:v>
      </x:c>
      <x:c r="B3116" t="n">
        <x:v>260</x:v>
      </x:c>
      <x:c r="C3116" t="str">
        <x:v>晚餐</x:v>
      </x:c>
      <x:c r="D3116" t="str">
        <x:v>鱼类</x:v>
      </x:c>
      <x:c r="E3116" t="str">
        <x:v>鳕鱼</x:v>
      </x:c>
      <x:c r="F3116" t="n">
        <x:v>175</x:v>
      </x:c>
      <x:c r="G3116" t="n">
        <x:v>85</x:v>
      </x:c>
      <x:c r="H3116" t="n">
        <x:f>ROUND(F3116*G3116/100,2)</x:f>
        <x:v>148.75</x:v>
      </x:c>
      <x:c r="I3116" t="n">
        <x:v>18</x:v>
      </x:c>
      <x:c r="J3116" t="n">
        <x:f>ROUND(F3116*I3116/100,2)</x:f>
        <x:v>31.5</x:v>
      </x:c>
      <x:c r="K3116" t="n">
        <x:v>0</x:v>
      </x:c>
      <x:c r="L3116" t="n">
        <x:f>ROUND(F3116*K3116/100,2)</x:f>
        <x:v>0</x:v>
      </x:c>
      <x:c r="M3116" t="n">
        <x:v>0.8</x:v>
      </x:c>
      <x:c r="N3116" t="n">
        <x:f>ROUND(F3116*M3116/100,2)</x:f>
        <x:v>1.4</x:v>
      </x:c>
      <x:c r="O3116" t="str">
        <x:v>净鱼肉生重</x:v>
      </x:c>
    </x:row>
    <x:row r="3117" ht="23" customHeight="1">
      <x:c r="A3117" t="n">
        <x:v>520</x:v>
      </x:c>
      <x:c r="B3117" t="n">
        <x:v>260</x:v>
      </x:c>
      <x:c r="C3117" t="str">
        <x:v>晚餐</x:v>
      </x:c>
      <x:c r="D3117" t="str"/>
      <x:c r="E3117" t="str"/>
      <x:c r="F3117" t="n">
        <x:v>0</x:v>
      </x:c>
      <x:c r="G3117" t="n">
        <x:v>0</x:v>
      </x:c>
      <x:c r="H3117" t="n">
        <x:f>ROUND(F3117*G3117/100,2)</x:f>
        <x:v>0</x:v>
      </x:c>
      <x:c r="I3117" t="n">
        <x:v>0</x:v>
      </x:c>
      <x:c r="J3117" t="n">
        <x:f>ROUND(F3117*I3117/100,2)</x:f>
        <x:v>0</x:v>
      </x:c>
      <x:c r="K3117" t="n">
        <x:v>0</x:v>
      </x:c>
      <x:c r="L3117" t="n">
        <x:f>ROUND(F3117*K3117/100,2)</x:f>
        <x:v>0</x:v>
      </x:c>
      <x:c r="M3117" t="n">
        <x:v>0</x:v>
      </x:c>
      <x:c r="N3117" t="n">
        <x:f>ROUND(F3117*M3117/100,2)</x:f>
        <x:v>0</x:v>
      </x:c>
      <x:c r="O3117" t="str"/>
    </x:row>
    <x:row r="3118" ht="23" customHeight="1">
      <x:c r="A3118" t="n">
        <x:v>520</x:v>
      </x:c>
      <x:c r="B3118" t="n">
        <x:v>260</x:v>
      </x:c>
      <x:c r="C3118" t="str">
        <x:v>晚餐</x:v>
      </x:c>
      <x:c r="D3118" t="str">
        <x:v>蔬菜</x:v>
      </x:c>
      <x:c r="E3118" t="str">
        <x:v>芹菜</x:v>
      </x:c>
      <x:c r="F3118" t="n">
        <x:v>190</x:v>
      </x:c>
      <x:c r="G3118" t="n">
        <x:v>17</x:v>
      </x:c>
      <x:c r="H3118" t="n">
        <x:f>ROUND(F3118*G3118/100,2)</x:f>
        <x:v>32.3</x:v>
      </x:c>
      <x:c r="I3118" t="n">
        <x:v>1</x:v>
      </x:c>
      <x:c r="J3118" t="n">
        <x:f>ROUND(F3118*I3118/100,2)</x:f>
        <x:v>1.9</x:v>
      </x:c>
      <x:c r="K3118" t="n">
        <x:v>3.5</x:v>
      </x:c>
      <x:c r="L3118" t="n">
        <x:f>ROUND(F3118*K3118/100,2)</x:f>
        <x:v>6.65</x:v>
      </x:c>
      <x:c r="M3118" t="n">
        <x:v>0.1</x:v>
      </x:c>
      <x:c r="N3118" t="n">
        <x:f>ROUND(F3118*M3118/100,2)</x:f>
        <x:v>0.19</x:v>
      </x:c>
      <x:c r="O3118" t="str">
        <x:v>生重</x:v>
      </x:c>
    </x:row>
    <x:row r="3119" ht="23" customHeight="1">
      <x:c r="A3119" t="n">
        <x:v>520</x:v>
      </x:c>
      <x:c r="B3119" t="n">
        <x:v>260</x:v>
      </x:c>
      <x:c r="C3119" t="str">
        <x:v>晚餐</x:v>
      </x:c>
      <x:c r="D3119" t="str">
        <x:v>蔬菜</x:v>
      </x:c>
      <x:c r="E3119" t="str">
        <x:v>紫甘蓝</x:v>
      </x:c>
      <x:c r="F3119" t="n">
        <x:v>155</x:v>
      </x:c>
      <x:c r="G3119" t="n">
        <x:v>31</x:v>
      </x:c>
      <x:c r="H3119" t="n">
        <x:f>ROUND(F3119*G3119/100,2)</x:f>
        <x:v>48.05</x:v>
      </x:c>
      <x:c r="I3119" t="n">
        <x:v>1.4</x:v>
      </x:c>
      <x:c r="J3119" t="n">
        <x:f>ROUND(F3119*I3119/100,2)</x:f>
        <x:v>2.17</x:v>
      </x:c>
      <x:c r="K3119" t="n">
        <x:v>7.3</x:v>
      </x:c>
      <x:c r="L3119" t="n">
        <x:f>ROUND(F3119*K3119/100,2)</x:f>
        <x:v>11.32</x:v>
      </x:c>
      <x:c r="M3119" t="n">
        <x:v>0.1</x:v>
      </x:c>
      <x:c r="N3119" t="n">
        <x:f>ROUND(F3119*M3119/100,2)</x:f>
        <x:v>0.16</x:v>
      </x:c>
      <x:c r="O3119" t="str">
        <x:v>生重</x:v>
      </x:c>
    </x:row>
    <x:row r="3120" ht="23" customHeight="1">
      <x:c r="A3120" t="n">
        <x:v>520</x:v>
      </x:c>
      <x:c r="B3120" t="n">
        <x:v>260</x:v>
      </x:c>
      <x:c r="C3120" t="str">
        <x:v>晚餐</x:v>
      </x:c>
      <x:c r="D3120" t="str">
        <x:v>主食</x:v>
      </x:c>
      <x:c r="E3120" t="str">
        <x:v>糙米饭</x:v>
      </x:c>
      <x:c r="F3120" t="n">
        <x:v>135</x:v>
      </x:c>
      <x:c r="G3120" t="n">
        <x:v>112</x:v>
      </x:c>
      <x:c r="H3120" t="n">
        <x:f>ROUND(F3120*G3120/100,2)</x:f>
        <x:v>151.2</x:v>
      </x:c>
      <x:c r="I3120" t="n">
        <x:v>2.6</x:v>
      </x:c>
      <x:c r="J3120" t="n">
        <x:f>ROUND(F3120*I3120/100,2)</x:f>
        <x:v>3.51</x:v>
      </x:c>
      <x:c r="K3120" t="n">
        <x:v>23.5</x:v>
      </x:c>
      <x:c r="L3120" t="n">
        <x:f>ROUND(F3120*K3120/100,2)</x:f>
        <x:v>31.73</x:v>
      </x:c>
      <x:c r="M3120" t="n">
        <x:v>0.9</x:v>
      </x:c>
      <x:c r="N3120" t="n">
        <x:f>ROUND(F3120*M3120/100,2)</x:f>
        <x:v>1.22</x:v>
      </x:c>
      <x:c r="O3120" t="str">
        <x:v>熟重</x:v>
      </x:c>
    </x:row>
    <x:row r="3121" ht="23" customHeight="1">
      <x:c r="A3121" t="n">
        <x:v>520</x:v>
      </x:c>
      <x:c r="B3121" t="n">
        <x:v>260</x:v>
      </x:c>
      <x:c r="C3121" t="str">
        <x:v>晚餐</x:v>
      </x:c>
      <x:c r="D3121" t="str">
        <x:v>油脂</x:v>
      </x:c>
      <x:c r="E3121" t="str">
        <x:v>烹调油</x:v>
      </x:c>
      <x:c r="F3121" t="n">
        <x:v>5</x:v>
      </x:c>
      <x:c r="G3121" t="n">
        <x:v>900</x:v>
      </x:c>
      <x:c r="H3121" t="n">
        <x:f>ROUND(F3121*G3121/100,2)</x:f>
        <x:v>45</x:v>
      </x:c>
      <x:c r="I3121" t="n">
        <x:v>0</x:v>
      </x:c>
      <x:c r="J3121" t="n">
        <x:f>ROUND(F3121*I3121/100,2)</x:f>
        <x:v>0</x:v>
      </x:c>
      <x:c r="K3121" t="n">
        <x:v>0</x:v>
      </x:c>
      <x:c r="L3121" t="n">
        <x:f>ROUND(F3121*K3121/100,2)</x:f>
        <x:v>0</x:v>
      </x:c>
      <x:c r="M3121" t="n">
        <x:v>100</x:v>
      </x:c>
      <x:c r="N3121" t="n">
        <x:f>ROUND(F3121*M3121/100,2)</x:f>
        <x:v>5</x:v>
      </x:c>
      <x:c r="O3121" t="str">
        <x:v>实际用油重</x:v>
      </x:c>
    </x:row>
    <x:row r="3122" ht="23" customHeight="1">
      <x:c r="A3122" t="n">
        <x:v>521</x:v>
      </x:c>
      <x:c r="B3122" t="n">
        <x:v>261</x:v>
      </x:c>
      <x:c r="C3122" t="str">
        <x:v>午餐</x:v>
      </x:c>
      <x:c r="D3122" t="str">
        <x:v>鱼类</x:v>
      </x:c>
      <x:c r="E3122" t="str">
        <x:v>巴沙鱼</x:v>
      </x:c>
      <x:c r="F3122" t="n">
        <x:v>200</x:v>
      </x:c>
      <x:c r="G3122" t="n">
        <x:v>90</x:v>
      </x:c>
      <x:c r="H3122" t="n">
        <x:f>ROUND(F3122*G3122/100,2)</x:f>
        <x:v>180</x:v>
      </x:c>
      <x:c r="I3122" t="n">
        <x:v>17</x:v>
      </x:c>
      <x:c r="J3122" t="n">
        <x:f>ROUND(F3122*I3122/100,2)</x:f>
        <x:v>34</x:v>
      </x:c>
      <x:c r="K3122" t="n">
        <x:v>0</x:v>
      </x:c>
      <x:c r="L3122" t="n">
        <x:f>ROUND(F3122*K3122/100,2)</x:f>
        <x:v>0</x:v>
      </x:c>
      <x:c r="M3122" t="n">
        <x:v>2.3</x:v>
      </x:c>
      <x:c r="N3122" t="n">
        <x:f>ROUND(F3122*M3122/100,2)</x:f>
        <x:v>4.6</x:v>
      </x:c>
      <x:c r="O3122" t="str">
        <x:v>净鱼肉生重</x:v>
      </x:c>
    </x:row>
    <x:row r="3123" ht="23" customHeight="1">
      <x:c r="A3123" t="n">
        <x:v>521</x:v>
      </x:c>
      <x:c r="B3123" t="n">
        <x:v>261</x:v>
      </x:c>
      <x:c r="C3123" t="str">
        <x:v>午餐</x:v>
      </x:c>
      <x:c r="D3123" t="str"/>
      <x:c r="E3123" t="str"/>
      <x:c r="F3123" t="n">
        <x:v>0</x:v>
      </x:c>
      <x:c r="G3123" t="n">
        <x:v>0</x:v>
      </x:c>
      <x:c r="H3123" t="n">
        <x:f>ROUND(F3123*G3123/100,2)</x:f>
        <x:v>0</x:v>
      </x:c>
      <x:c r="I3123" t="n">
        <x:v>0</x:v>
      </x:c>
      <x:c r="J3123" t="n">
        <x:f>ROUND(F3123*I3123/100,2)</x:f>
        <x:v>0</x:v>
      </x:c>
      <x:c r="K3123" t="n">
        <x:v>0</x:v>
      </x:c>
      <x:c r="L3123" t="n">
        <x:f>ROUND(F3123*K3123/100,2)</x:f>
        <x:v>0</x:v>
      </x:c>
      <x:c r="M3123" t="n">
        <x:v>0</x:v>
      </x:c>
      <x:c r="N3123" t="n">
        <x:f>ROUND(F3123*M3123/100,2)</x:f>
        <x:v>0</x:v>
      </x:c>
      <x:c r="O3123" t="str"/>
    </x:row>
    <x:row r="3124" ht="23" customHeight="1">
      <x:c r="A3124" t="n">
        <x:v>521</x:v>
      </x:c>
      <x:c r="B3124" t="n">
        <x:v>261</x:v>
      </x:c>
      <x:c r="C3124" t="str">
        <x:v>午餐</x:v>
      </x:c>
      <x:c r="D3124" t="str">
        <x:v>蔬菜</x:v>
      </x:c>
      <x:c r="E3124" t="str">
        <x:v>彩椒</x:v>
      </x:c>
      <x:c r="F3124" t="n">
        <x:v>160</x:v>
      </x:c>
      <x:c r="G3124" t="n">
        <x:v>27</x:v>
      </x:c>
      <x:c r="H3124" t="n">
        <x:f>ROUND(F3124*G3124/100,2)</x:f>
        <x:v>43.2</x:v>
      </x:c>
      <x:c r="I3124" t="n">
        <x:v>1</x:v>
      </x:c>
      <x:c r="J3124" t="n">
        <x:f>ROUND(F3124*I3124/100,2)</x:f>
        <x:v>1.6</x:v>
      </x:c>
      <x:c r="K3124" t="n">
        <x:v>6.1</x:v>
      </x:c>
      <x:c r="L3124" t="n">
        <x:f>ROUND(F3124*K3124/100,2)</x:f>
        <x:v>9.76</x:v>
      </x:c>
      <x:c r="M3124" t="n">
        <x:v>0.2</x:v>
      </x:c>
      <x:c r="N3124" t="n">
        <x:f>ROUND(F3124*M3124/100,2)</x:f>
        <x:v>0.32</x:v>
      </x:c>
      <x:c r="O3124" t="str">
        <x:v>生重</x:v>
      </x:c>
    </x:row>
    <x:row r="3125" ht="23" customHeight="1">
      <x:c r="A3125" t="n">
        <x:v>521</x:v>
      </x:c>
      <x:c r="B3125" t="n">
        <x:v>261</x:v>
      </x:c>
      <x:c r="C3125" t="str">
        <x:v>午餐</x:v>
      </x:c>
      <x:c r="D3125" t="str">
        <x:v>蔬菜</x:v>
      </x:c>
      <x:c r="E3125" t="str">
        <x:v>莴笋</x:v>
      </x:c>
      <x:c r="F3125" t="n">
        <x:v>110</x:v>
      </x:c>
      <x:c r="G3125" t="n">
        <x:v>15</x:v>
      </x:c>
      <x:c r="H3125" t="n">
        <x:f>ROUND(F3125*G3125/100,2)</x:f>
        <x:v>16.5</x:v>
      </x:c>
      <x:c r="I3125" t="n">
        <x:v>1</x:v>
      </x:c>
      <x:c r="J3125" t="n">
        <x:f>ROUND(F3125*I3125/100,2)</x:f>
        <x:v>1.1</x:v>
      </x:c>
      <x:c r="K3125" t="n">
        <x:v>2.8</x:v>
      </x:c>
      <x:c r="L3125" t="n">
        <x:f>ROUND(F3125*K3125/100,2)</x:f>
        <x:v>3.08</x:v>
      </x:c>
      <x:c r="M3125" t="n">
        <x:v>0.1</x:v>
      </x:c>
      <x:c r="N3125" t="n">
        <x:f>ROUND(F3125*M3125/100,2)</x:f>
        <x:v>0.11</x:v>
      </x:c>
      <x:c r="O3125" t="str">
        <x:v>生重</x:v>
      </x:c>
    </x:row>
    <x:row r="3126" ht="23" customHeight="1">
      <x:c r="A3126" t="n">
        <x:v>521</x:v>
      </x:c>
      <x:c r="B3126" t="n">
        <x:v>261</x:v>
      </x:c>
      <x:c r="C3126" t="str">
        <x:v>午餐</x:v>
      </x:c>
      <x:c r="D3126" t="str">
        <x:v>主食</x:v>
      </x:c>
      <x:c r="E3126" t="str">
        <x:v>燕麦饭</x:v>
      </x:c>
      <x:c r="F3126" t="n">
        <x:v>110</x:v>
      </x:c>
      <x:c r="G3126" t="n">
        <x:v>110</x:v>
      </x:c>
      <x:c r="H3126" t="n">
        <x:f>ROUND(F3126*G3126/100,2)</x:f>
        <x:v>121</x:v>
      </x:c>
      <x:c r="I3126" t="n">
        <x:v>3.2</x:v>
      </x:c>
      <x:c r="J3126" t="n">
        <x:f>ROUND(F3126*I3126/100,2)</x:f>
        <x:v>3.52</x:v>
      </x:c>
      <x:c r="K3126" t="n">
        <x:v>21</x:v>
      </x:c>
      <x:c r="L3126" t="n">
        <x:f>ROUND(F3126*K3126/100,2)</x:f>
        <x:v>23.1</x:v>
      </x:c>
      <x:c r="M3126" t="n">
        <x:v>1.8</x:v>
      </x:c>
      <x:c r="N3126" t="n">
        <x:f>ROUND(F3126*M3126/100,2)</x:f>
        <x:v>1.98</x:v>
      </x:c>
      <x:c r="O3126" t="str">
        <x:v>熟重</x:v>
      </x:c>
    </x:row>
    <x:row r="3127" ht="23" customHeight="1">
      <x:c r="A3127" t="n">
        <x:v>521</x:v>
      </x:c>
      <x:c r="B3127" t="n">
        <x:v>261</x:v>
      </x:c>
      <x:c r="C3127" t="str">
        <x:v>午餐</x:v>
      </x:c>
      <x:c r="D3127" t="str">
        <x:v>油脂</x:v>
      </x:c>
      <x:c r="E3127" t="str">
        <x:v>烹调油</x:v>
      </x:c>
      <x:c r="F3127" t="n">
        <x:v>5</x:v>
      </x:c>
      <x:c r="G3127" t="n">
        <x:v>900</x:v>
      </x:c>
      <x:c r="H3127" t="n">
        <x:f>ROUND(F3127*G3127/100,2)</x:f>
        <x:v>45</x:v>
      </x:c>
      <x:c r="I3127" t="n">
        <x:v>0</x:v>
      </x:c>
      <x:c r="J3127" t="n">
        <x:f>ROUND(F3127*I3127/100,2)</x:f>
        <x:v>0</x:v>
      </x:c>
      <x:c r="K3127" t="n">
        <x:v>0</x:v>
      </x:c>
      <x:c r="L3127" t="n">
        <x:f>ROUND(F3127*K3127/100,2)</x:f>
        <x:v>0</x:v>
      </x:c>
      <x:c r="M3127" t="n">
        <x:v>100</x:v>
      </x:c>
      <x:c r="N3127" t="n">
        <x:f>ROUND(F3127*M3127/100,2)</x:f>
        <x:v>5</x:v>
      </x:c>
      <x:c r="O3127" t="str">
        <x:v>实际用油重</x:v>
      </x:c>
    </x:row>
    <x:row r="3128" ht="23" customHeight="1">
      <x:c r="A3128" t="n">
        <x:v>522</x:v>
      </x:c>
      <x:c r="B3128" t="n">
        <x:v>261</x:v>
      </x:c>
      <x:c r="C3128" t="str">
        <x:v>晚餐</x:v>
      </x:c>
      <x:c r="D3128" t="str">
        <x:v>牛肉</x:v>
      </x:c>
      <x:c r="E3128" t="str">
        <x:v>牛腱子</x:v>
      </x:c>
      <x:c r="F3128" t="n">
        <x:v>160</x:v>
      </x:c>
      <x:c r="G3128" t="n">
        <x:v>140</x:v>
      </x:c>
      <x:c r="H3128" t="n">
        <x:f>ROUND(F3128*G3128/100,2)</x:f>
        <x:v>224</x:v>
      </x:c>
      <x:c r="I3128" t="n">
        <x:v>21</x:v>
      </x:c>
      <x:c r="J3128" t="n">
        <x:f>ROUND(F3128*I3128/100,2)</x:f>
        <x:v>33.6</x:v>
      </x:c>
      <x:c r="K3128" t="n">
        <x:v>0</x:v>
      </x:c>
      <x:c r="L3128" t="n">
        <x:f>ROUND(F3128*K3128/100,2)</x:f>
        <x:v>0</x:v>
      </x:c>
      <x:c r="M3128" t="n">
        <x:v>6</x:v>
      </x:c>
      <x:c r="N3128" t="n">
        <x:f>ROUND(F3128*M3128/100,2)</x:f>
        <x:v>9.6</x:v>
      </x:c>
      <x:c r="O3128" t="str">
        <x:v>生重</x:v>
      </x:c>
    </x:row>
    <x:row r="3129" ht="23" customHeight="1">
      <x:c r="A3129" t="n">
        <x:v>522</x:v>
      </x:c>
      <x:c r="B3129" t="n">
        <x:v>261</x:v>
      </x:c>
      <x:c r="C3129" t="str">
        <x:v>晚餐</x:v>
      </x:c>
      <x:c r="D3129" t="str"/>
      <x:c r="E3129" t="str"/>
      <x:c r="F3129" t="n">
        <x:v>0</x:v>
      </x:c>
      <x:c r="G3129" t="n">
        <x:v>0</x:v>
      </x:c>
      <x:c r="H3129" t="n">
        <x:f>ROUND(F3129*G3129/100,2)</x:f>
        <x:v>0</x:v>
      </x:c>
      <x:c r="I3129" t="n">
        <x:v>0</x:v>
      </x:c>
      <x:c r="J3129" t="n">
        <x:f>ROUND(F3129*I3129/100,2)</x:f>
        <x:v>0</x:v>
      </x:c>
      <x:c r="K3129" t="n">
        <x:v>0</x:v>
      </x:c>
      <x:c r="L3129" t="n">
        <x:f>ROUND(F3129*K3129/100,2)</x:f>
        <x:v>0</x:v>
      </x:c>
      <x:c r="M3129" t="n">
        <x:v>0</x:v>
      </x:c>
      <x:c r="N3129" t="n">
        <x:f>ROUND(F3129*M3129/100,2)</x:f>
        <x:v>0</x:v>
      </x:c>
      <x:c r="O3129" t="str"/>
    </x:row>
    <x:row r="3130" ht="23" customHeight="1">
      <x:c r="A3130" t="n">
        <x:v>522</x:v>
      </x:c>
      <x:c r="B3130" t="n">
        <x:v>261</x:v>
      </x:c>
      <x:c r="C3130" t="str">
        <x:v>晚餐</x:v>
      </x:c>
      <x:c r="D3130" t="str">
        <x:v>蔬菜</x:v>
      </x:c>
      <x:c r="E3130" t="str">
        <x:v>菜心</x:v>
      </x:c>
      <x:c r="F3130" t="n">
        <x:v>140</x:v>
      </x:c>
      <x:c r="G3130" t="n">
        <x:v>20</x:v>
      </x:c>
      <x:c r="H3130" t="n">
        <x:f>ROUND(F3130*G3130/100,2)</x:f>
        <x:v>28</x:v>
      </x:c>
      <x:c r="I3130" t="n">
        <x:v>2</x:v>
      </x:c>
      <x:c r="J3130" t="n">
        <x:f>ROUND(F3130*I3130/100,2)</x:f>
        <x:v>2.8</x:v>
      </x:c>
      <x:c r="K3130" t="n">
        <x:v>3.5</x:v>
      </x:c>
      <x:c r="L3130" t="n">
        <x:f>ROUND(F3130*K3130/100,2)</x:f>
        <x:v>4.9</x:v>
      </x:c>
      <x:c r="M3130" t="n">
        <x:v>0.3</x:v>
      </x:c>
      <x:c r="N3130" t="n">
        <x:f>ROUND(F3130*M3130/100,2)</x:f>
        <x:v>0.42</x:v>
      </x:c>
      <x:c r="O3130" t="str">
        <x:v>生重</x:v>
      </x:c>
    </x:row>
    <x:row r="3131" ht="23" customHeight="1">
      <x:c r="A3131" t="n">
        <x:v>522</x:v>
      </x:c>
      <x:c r="B3131" t="n">
        <x:v>261</x:v>
      </x:c>
      <x:c r="C3131" t="str">
        <x:v>晚餐</x:v>
      </x:c>
      <x:c r="D3131" t="str">
        <x:v>蔬菜</x:v>
      </x:c>
      <x:c r="E3131" t="str">
        <x:v>芦笋</x:v>
      </x:c>
      <x:c r="F3131" t="n">
        <x:v>110</x:v>
      </x:c>
      <x:c r="G3131" t="n">
        <x:v>20</x:v>
      </x:c>
      <x:c r="H3131" t="n">
        <x:f>ROUND(F3131*G3131/100,2)</x:f>
        <x:v>22</x:v>
      </x:c>
      <x:c r="I3131" t="n">
        <x:v>2.2</x:v>
      </x:c>
      <x:c r="J3131" t="n">
        <x:f>ROUND(F3131*I3131/100,2)</x:f>
        <x:v>2.42</x:v>
      </x:c>
      <x:c r="K3131" t="n">
        <x:v>3.9</x:v>
      </x:c>
      <x:c r="L3131" t="n">
        <x:f>ROUND(F3131*K3131/100,2)</x:f>
        <x:v>4.29</x:v>
      </x:c>
      <x:c r="M3131" t="n">
        <x:v>0.1</x:v>
      </x:c>
      <x:c r="N3131" t="n">
        <x:f>ROUND(F3131*M3131/100,2)</x:f>
        <x:v>0.11</x:v>
      </x:c>
      <x:c r="O3131" t="str">
        <x:v>生重</x:v>
      </x:c>
    </x:row>
    <x:row r="3132" ht="23" customHeight="1">
      <x:c r="A3132" t="n">
        <x:v>522</x:v>
      </x:c>
      <x:c r="B3132" t="n">
        <x:v>261</x:v>
      </x:c>
      <x:c r="C3132" t="str">
        <x:v>晚餐</x:v>
      </x:c>
      <x:c r="D3132" t="str">
        <x:v>主食</x:v>
      </x:c>
      <x:c r="E3132" t="str">
        <x:v>荞麦饭</x:v>
      </x:c>
      <x:c r="F3132" t="n">
        <x:v>125</x:v>
      </x:c>
      <x:c r="G3132" t="n">
        <x:v>110</x:v>
      </x:c>
      <x:c r="H3132" t="n">
        <x:f>ROUND(F3132*G3132/100,2)</x:f>
        <x:v>137.5</x:v>
      </x:c>
      <x:c r="I3132" t="n">
        <x:v>3.4</x:v>
      </x:c>
      <x:c r="J3132" t="n">
        <x:f>ROUND(F3132*I3132/100,2)</x:f>
        <x:v>4.25</x:v>
      </x:c>
      <x:c r="K3132" t="n">
        <x:v>22</x:v>
      </x:c>
      <x:c r="L3132" t="n">
        <x:f>ROUND(F3132*K3132/100,2)</x:f>
        <x:v>27.5</x:v>
      </x:c>
      <x:c r="M3132" t="n">
        <x:v>1.1</x:v>
      </x:c>
      <x:c r="N3132" t="n">
        <x:f>ROUND(F3132*M3132/100,2)</x:f>
        <x:v>1.38</x:v>
      </x:c>
      <x:c r="O3132" t="str">
        <x:v>熟重</x:v>
      </x:c>
    </x:row>
    <x:row r="3133" ht="23" customHeight="1">
      <x:c r="A3133" t="n">
        <x:v>522</x:v>
      </x:c>
      <x:c r="B3133" t="n">
        <x:v>261</x:v>
      </x:c>
      <x:c r="C3133" t="str">
        <x:v>晚餐</x:v>
      </x:c>
      <x:c r="D3133" t="str">
        <x:v>油脂</x:v>
      </x:c>
      <x:c r="E3133" t="str">
        <x:v>烹调油</x:v>
      </x:c>
      <x:c r="F3133" t="n">
        <x:v>3</x:v>
      </x:c>
      <x:c r="G3133" t="n">
        <x:v>900</x:v>
      </x:c>
      <x:c r="H3133" t="n">
        <x:f>ROUND(F3133*G3133/100,2)</x:f>
        <x:v>27</x:v>
      </x:c>
      <x:c r="I3133" t="n">
        <x:v>0</x:v>
      </x:c>
      <x:c r="J3133" t="n">
        <x:f>ROUND(F3133*I3133/100,2)</x:f>
        <x:v>0</x:v>
      </x:c>
      <x:c r="K3133" t="n">
        <x:v>0</x:v>
      </x:c>
      <x:c r="L3133" t="n">
        <x:f>ROUND(F3133*K3133/100,2)</x:f>
        <x:v>0</x:v>
      </x:c>
      <x:c r="M3133" t="n">
        <x:v>100</x:v>
      </x:c>
      <x:c r="N3133" t="n">
        <x:f>ROUND(F3133*M3133/100,2)</x:f>
        <x:v>3</x:v>
      </x:c>
      <x:c r="O3133" t="str">
        <x:v>实际用油重</x:v>
      </x:c>
    </x:row>
    <x:row r="3134" ht="23" customHeight="1">
      <x:c r="A3134" t="n">
        <x:v>523</x:v>
      </x:c>
      <x:c r="B3134" t="n">
        <x:v>262</x:v>
      </x:c>
      <x:c r="C3134" t="str">
        <x:v>午餐</x:v>
      </x:c>
      <x:c r="D3134" t="str">
        <x:v>豆蛋</x:v>
      </x:c>
      <x:c r="E3134" t="str">
        <x:v>北豆腐</x:v>
      </x:c>
      <x:c r="F3134" t="n">
        <x:v>300</x:v>
      </x:c>
      <x:c r="G3134" t="n">
        <x:v>90</x:v>
      </x:c>
      <x:c r="H3134" t="n">
        <x:f>ROUND(F3134*G3134/100,2)</x:f>
        <x:v>270</x:v>
      </x:c>
      <x:c r="I3134" t="n">
        <x:v>10</x:v>
      </x:c>
      <x:c r="J3134" t="n">
        <x:f>ROUND(F3134*I3134/100,2)</x:f>
        <x:v>30</x:v>
      </x:c>
      <x:c r="K3134" t="n">
        <x:v>2</x:v>
      </x:c>
      <x:c r="L3134" t="n">
        <x:f>ROUND(F3134*K3134/100,2)</x:f>
        <x:v>6</x:v>
      </x:c>
      <x:c r="M3134" t="n">
        <x:v>5</x:v>
      </x:c>
      <x:c r="N3134" t="n">
        <x:f>ROUND(F3134*M3134/100,2)</x:f>
        <x:v>15</x:v>
      </x:c>
      <x:c r="O3134" t="str">
        <x:v>净重</x:v>
      </x:c>
    </x:row>
    <x:row r="3135" ht="23" customHeight="1">
      <x:c r="A3135" t="n">
        <x:v>523</x:v>
      </x:c>
      <x:c r="B3135" t="n">
        <x:v>262</x:v>
      </x:c>
      <x:c r="C3135" t="str">
        <x:v>午餐</x:v>
      </x:c>
      <x:c r="D3135" t="str">
        <x:v>豆蛋</x:v>
      </x:c>
      <x:c r="E3135" t="str">
        <x:v>熟毛豆仁</x:v>
      </x:c>
      <x:c r="F3135" t="n">
        <x:v>70</x:v>
      </x:c>
      <x:c r="G3135" t="n">
        <x:v>120</x:v>
      </x:c>
      <x:c r="H3135" t="n">
        <x:f>ROUND(F3135*G3135/100,2)</x:f>
        <x:v>84</x:v>
      </x:c>
      <x:c r="I3135" t="n">
        <x:v>12</x:v>
      </x:c>
      <x:c r="J3135" t="n">
        <x:f>ROUND(F3135*I3135/100,2)</x:f>
        <x:v>8.4</x:v>
      </x:c>
      <x:c r="K3135" t="n">
        <x:v>9</x:v>
      </x:c>
      <x:c r="L3135" t="n">
        <x:f>ROUND(F3135*K3135/100,2)</x:f>
        <x:v>6.3</x:v>
      </x:c>
      <x:c r="M3135" t="n">
        <x:v>5</x:v>
      </x:c>
      <x:c r="N3135" t="n">
        <x:f>ROUND(F3135*M3135/100,2)</x:f>
        <x:v>3.5</x:v>
      </x:c>
      <x:c r="O3135" t="str">
        <x:v>熟重</x:v>
      </x:c>
    </x:row>
    <x:row r="3136" ht="23" customHeight="1">
      <x:c r="A3136" t="n">
        <x:v>523</x:v>
      </x:c>
      <x:c r="B3136" t="n">
        <x:v>262</x:v>
      </x:c>
      <x:c r="C3136" t="str">
        <x:v>午餐</x:v>
      </x:c>
      <x:c r="D3136" t="str">
        <x:v>蔬菜</x:v>
      </x:c>
      <x:c r="E3136" t="str">
        <x:v>芦笋</x:v>
      </x:c>
      <x:c r="F3136" t="n">
        <x:v>190</x:v>
      </x:c>
      <x:c r="G3136" t="n">
        <x:v>20</x:v>
      </x:c>
      <x:c r="H3136" t="n">
        <x:f>ROUND(F3136*G3136/100,2)</x:f>
        <x:v>38</x:v>
      </x:c>
      <x:c r="I3136" t="n">
        <x:v>2.2</x:v>
      </x:c>
      <x:c r="J3136" t="n">
        <x:f>ROUND(F3136*I3136/100,2)</x:f>
        <x:v>4.18</x:v>
      </x:c>
      <x:c r="K3136" t="n">
        <x:v>3.9</x:v>
      </x:c>
      <x:c r="L3136" t="n">
        <x:f>ROUND(F3136*K3136/100,2)</x:f>
        <x:v>7.41</x:v>
      </x:c>
      <x:c r="M3136" t="n">
        <x:v>0.1</x:v>
      </x:c>
      <x:c r="N3136" t="n">
        <x:f>ROUND(F3136*M3136/100,2)</x:f>
        <x:v>0.19</x:v>
      </x:c>
      <x:c r="O3136" t="str">
        <x:v>生重</x:v>
      </x:c>
    </x:row>
    <x:row r="3137" ht="23" customHeight="1">
      <x:c r="A3137" t="n">
        <x:v>523</x:v>
      </x:c>
      <x:c r="B3137" t="n">
        <x:v>262</x:v>
      </x:c>
      <x:c r="C3137" t="str">
        <x:v>午餐</x:v>
      </x:c>
      <x:c r="D3137" t="str">
        <x:v>蔬菜</x:v>
      </x:c>
      <x:c r="E3137" t="str">
        <x:v>黄瓜</x:v>
      </x:c>
      <x:c r="F3137" t="n">
        <x:v>155</x:v>
      </x:c>
      <x:c r="G3137" t="n">
        <x:v>16</x:v>
      </x:c>
      <x:c r="H3137" t="n">
        <x:f>ROUND(F3137*G3137/100,2)</x:f>
        <x:v>24.8</x:v>
      </x:c>
      <x:c r="I3137" t="n">
        <x:v>0.7</x:v>
      </x:c>
      <x:c r="J3137" t="n">
        <x:f>ROUND(F3137*I3137/100,2)</x:f>
        <x:v>1.09</x:v>
      </x:c>
      <x:c r="K3137" t="n">
        <x:v>3.6</x:v>
      </x:c>
      <x:c r="L3137" t="n">
        <x:f>ROUND(F3137*K3137/100,2)</x:f>
        <x:v>5.58</x:v>
      </x:c>
      <x:c r="M3137" t="n">
        <x:v>0.1</x:v>
      </x:c>
      <x:c r="N3137" t="n">
        <x:f>ROUND(F3137*M3137/100,2)</x:f>
        <x:v>0.16</x:v>
      </x:c>
      <x:c r="O3137" t="str">
        <x:v>生重</x:v>
      </x:c>
    </x:row>
    <x:row r="3138" ht="23" customHeight="1">
      <x:c r="A3138" t="n">
        <x:v>523</x:v>
      </x:c>
      <x:c r="B3138" t="n">
        <x:v>262</x:v>
      </x:c>
      <x:c r="C3138" t="str">
        <x:v>午餐</x:v>
      </x:c>
      <x:c r="D3138" t="str">
        <x:v>主食</x:v>
      </x:c>
      <x:c r="E3138" t="str">
        <x:v>糙米饭</x:v>
      </x:c>
      <x:c r="F3138" t="n">
        <x:v>135</x:v>
      </x:c>
      <x:c r="G3138" t="n">
        <x:v>112</x:v>
      </x:c>
      <x:c r="H3138" t="n">
        <x:f>ROUND(F3138*G3138/100,2)</x:f>
        <x:v>151.2</x:v>
      </x:c>
      <x:c r="I3138" t="n">
        <x:v>2.6</x:v>
      </x:c>
      <x:c r="J3138" t="n">
        <x:f>ROUND(F3138*I3138/100,2)</x:f>
        <x:v>3.51</x:v>
      </x:c>
      <x:c r="K3138" t="n">
        <x:v>23.5</x:v>
      </x:c>
      <x:c r="L3138" t="n">
        <x:f>ROUND(F3138*K3138/100,2)</x:f>
        <x:v>31.73</x:v>
      </x:c>
      <x:c r="M3138" t="n">
        <x:v>0.9</x:v>
      </x:c>
      <x:c r="N3138" t="n">
        <x:f>ROUND(F3138*M3138/100,2)</x:f>
        <x:v>1.22</x:v>
      </x:c>
      <x:c r="O3138" t="str">
        <x:v>熟重</x:v>
      </x:c>
    </x:row>
    <x:row r="3139" ht="23" customHeight="1">
      <x:c r="A3139" t="n">
        <x:v>523</x:v>
      </x:c>
      <x:c r="B3139" t="n">
        <x:v>262</x:v>
      </x:c>
      <x:c r="C3139" t="str">
        <x:v>午餐</x:v>
      </x:c>
      <x:c r="D3139" t="str">
        <x:v>油脂</x:v>
      </x:c>
      <x:c r="E3139" t="str">
        <x:v>烹调油</x:v>
      </x:c>
      <x:c r="F3139" t="n">
        <x:v>3</x:v>
      </x:c>
      <x:c r="G3139" t="n">
        <x:v>900</x:v>
      </x:c>
      <x:c r="H3139" t="n">
        <x:f>ROUND(F3139*G3139/100,2)</x:f>
        <x:v>27</x:v>
      </x:c>
      <x:c r="I3139" t="n">
        <x:v>0</x:v>
      </x:c>
      <x:c r="J3139" t="n">
        <x:f>ROUND(F3139*I3139/100,2)</x:f>
        <x:v>0</x:v>
      </x:c>
      <x:c r="K3139" t="n">
        <x:v>0</x:v>
      </x:c>
      <x:c r="L3139" t="n">
        <x:f>ROUND(F3139*K3139/100,2)</x:f>
        <x:v>0</x:v>
      </x:c>
      <x:c r="M3139" t="n">
        <x:v>100</x:v>
      </x:c>
      <x:c r="N3139" t="n">
        <x:f>ROUND(F3139*M3139/100,2)</x:f>
        <x:v>3</x:v>
      </x:c>
      <x:c r="O3139" t="str">
        <x:v>实际用油重</x:v>
      </x:c>
    </x:row>
    <x:row r="3140" ht="23" customHeight="1">
      <x:c r="A3140" t="n">
        <x:v>524</x:v>
      </x:c>
      <x:c r="B3140" t="n">
        <x:v>262</x:v>
      </x:c>
      <x:c r="C3140" t="str">
        <x:v>晚餐</x:v>
      </x:c>
      <x:c r="D3140" t="str">
        <x:v>猪肉</x:v>
      </x:c>
      <x:c r="E3140" t="str">
        <x:v>猪里脊</x:v>
      </x:c>
      <x:c r="F3140" t="n">
        <x:v>145</x:v>
      </x:c>
      <x:c r="G3140" t="n">
        <x:v>120</x:v>
      </x:c>
      <x:c r="H3140" t="n">
        <x:f>ROUND(F3140*G3140/100,2)</x:f>
        <x:v>174</x:v>
      </x:c>
      <x:c r="I3140" t="n">
        <x:v>21</x:v>
      </x:c>
      <x:c r="J3140" t="n">
        <x:f>ROUND(F3140*I3140/100,2)</x:f>
        <x:v>30.45</x:v>
      </x:c>
      <x:c r="K3140" t="n">
        <x:v>0</x:v>
      </x:c>
      <x:c r="L3140" t="n">
        <x:f>ROUND(F3140*K3140/100,2)</x:f>
        <x:v>0</x:v>
      </x:c>
      <x:c r="M3140" t="n">
        <x:v>3.5</x:v>
      </x:c>
      <x:c r="N3140" t="n">
        <x:f>ROUND(F3140*M3140/100,2)</x:f>
        <x:v>5.08</x:v>
      </x:c>
      <x:c r="O3140" t="str">
        <x:v>生重</x:v>
      </x:c>
    </x:row>
    <x:row r="3141" ht="23" customHeight="1">
      <x:c r="A3141" t="n">
        <x:v>524</x:v>
      </x:c>
      <x:c r="B3141" t="n">
        <x:v>262</x:v>
      </x:c>
      <x:c r="C3141" t="str">
        <x:v>晚餐</x:v>
      </x:c>
      <x:c r="D3141" t="str"/>
      <x:c r="E3141" t="str"/>
      <x:c r="F3141" t="n">
        <x:v>0</x:v>
      </x:c>
      <x:c r="G3141" t="n">
        <x:v>0</x:v>
      </x:c>
      <x:c r="H3141" t="n">
        <x:f>ROUND(F3141*G3141/100,2)</x:f>
        <x:v>0</x:v>
      </x:c>
      <x:c r="I3141" t="n">
        <x:v>0</x:v>
      </x:c>
      <x:c r="J3141" t="n">
        <x:f>ROUND(F3141*I3141/100,2)</x:f>
        <x:v>0</x:v>
      </x:c>
      <x:c r="K3141" t="n">
        <x:v>0</x:v>
      </x:c>
      <x:c r="L3141" t="n">
        <x:f>ROUND(F3141*K3141/100,2)</x:f>
        <x:v>0</x:v>
      </x:c>
      <x:c r="M3141" t="n">
        <x:v>0</x:v>
      </x:c>
      <x:c r="N3141" t="n">
        <x:f>ROUND(F3141*M3141/100,2)</x:f>
        <x:v>0</x:v>
      </x:c>
      <x:c r="O3141" t="str"/>
    </x:row>
    <x:row r="3142" ht="23" customHeight="1">
      <x:c r="A3142" t="n">
        <x:v>524</x:v>
      </x:c>
      <x:c r="B3142" t="n">
        <x:v>262</x:v>
      </x:c>
      <x:c r="C3142" t="str">
        <x:v>晚餐</x:v>
      </x:c>
      <x:c r="D3142" t="str">
        <x:v>蔬菜</x:v>
      </x:c>
      <x:c r="E3142" t="str">
        <x:v>竹笋</x:v>
      </x:c>
      <x:c r="F3142" t="n">
        <x:v>190</x:v>
      </x:c>
      <x:c r="G3142" t="n">
        <x:v>27</x:v>
      </x:c>
      <x:c r="H3142" t="n">
        <x:f>ROUND(F3142*G3142/100,2)</x:f>
        <x:v>51.3</x:v>
      </x:c>
      <x:c r="I3142" t="n">
        <x:v>2.6</x:v>
      </x:c>
      <x:c r="J3142" t="n">
        <x:f>ROUND(F3142*I3142/100,2)</x:f>
        <x:v>4.94</x:v>
      </x:c>
      <x:c r="K3142" t="n">
        <x:v>5.2</x:v>
      </x:c>
      <x:c r="L3142" t="n">
        <x:f>ROUND(F3142*K3142/100,2)</x:f>
        <x:v>9.88</x:v>
      </x:c>
      <x:c r="M3142" t="n">
        <x:v>0.3</x:v>
      </x:c>
      <x:c r="N3142" t="n">
        <x:f>ROUND(F3142*M3142/100,2)</x:f>
        <x:v>0.57</x:v>
      </x:c>
      <x:c r="O3142" t="str">
        <x:v>生重</x:v>
      </x:c>
    </x:row>
    <x:row r="3143" ht="23" customHeight="1">
      <x:c r="A3143" t="n">
        <x:v>524</x:v>
      </x:c>
      <x:c r="B3143" t="n">
        <x:v>262</x:v>
      </x:c>
      <x:c r="C3143" t="str">
        <x:v>晚餐</x:v>
      </x:c>
      <x:c r="D3143" t="str">
        <x:v>蔬菜</x:v>
      </x:c>
      <x:c r="E3143" t="str">
        <x:v>黄瓜</x:v>
      </x:c>
      <x:c r="F3143" t="n">
        <x:v>125</x:v>
      </x:c>
      <x:c r="G3143" t="n">
        <x:v>16</x:v>
      </x:c>
      <x:c r="H3143" t="n">
        <x:f>ROUND(F3143*G3143/100,2)</x:f>
        <x:v>20</x:v>
      </x:c>
      <x:c r="I3143" t="n">
        <x:v>0.7</x:v>
      </x:c>
      <x:c r="J3143" t="n">
        <x:f>ROUND(F3143*I3143/100,2)</x:f>
        <x:v>0.88</x:v>
      </x:c>
      <x:c r="K3143" t="n">
        <x:v>3.6</x:v>
      </x:c>
      <x:c r="L3143" t="n">
        <x:f>ROUND(F3143*K3143/100,2)</x:f>
        <x:v>4.5</x:v>
      </x:c>
      <x:c r="M3143" t="n">
        <x:v>0.1</x:v>
      </x:c>
      <x:c r="N3143" t="n">
        <x:f>ROUND(F3143*M3143/100,2)</x:f>
        <x:v>0.13</x:v>
      </x:c>
      <x:c r="O3143" t="str">
        <x:v>生重</x:v>
      </x:c>
    </x:row>
    <x:row r="3144" ht="23" customHeight="1">
      <x:c r="A3144" t="n">
        <x:v>524</x:v>
      </x:c>
      <x:c r="B3144" t="n">
        <x:v>262</x:v>
      </x:c>
      <x:c r="C3144" t="str">
        <x:v>晚餐</x:v>
      </x:c>
      <x:c r="D3144" t="str">
        <x:v>主食</x:v>
      </x:c>
      <x:c r="E3144" t="str">
        <x:v>糙米饭</x:v>
      </x:c>
      <x:c r="F3144" t="n">
        <x:v>95</x:v>
      </x:c>
      <x:c r="G3144" t="n">
        <x:v>112</x:v>
      </x:c>
      <x:c r="H3144" t="n">
        <x:f>ROUND(F3144*G3144/100,2)</x:f>
        <x:v>106.4</x:v>
      </x:c>
      <x:c r="I3144" t="n">
        <x:v>2.6</x:v>
      </x:c>
      <x:c r="J3144" t="n">
        <x:f>ROUND(F3144*I3144/100,2)</x:f>
        <x:v>2.47</x:v>
      </x:c>
      <x:c r="K3144" t="n">
        <x:v>23.5</x:v>
      </x:c>
      <x:c r="L3144" t="n">
        <x:f>ROUND(F3144*K3144/100,2)</x:f>
        <x:v>22.33</x:v>
      </x:c>
      <x:c r="M3144" t="n">
        <x:v>0.9</x:v>
      </x:c>
      <x:c r="N3144" t="n">
        <x:f>ROUND(F3144*M3144/100,2)</x:f>
        <x:v>0.86</x:v>
      </x:c>
      <x:c r="O3144" t="str">
        <x:v>熟重</x:v>
      </x:c>
    </x:row>
    <x:row r="3145" ht="23" customHeight="1">
      <x:c r="A3145" t="n">
        <x:v>524</x:v>
      </x:c>
      <x:c r="B3145" t="n">
        <x:v>262</x:v>
      </x:c>
      <x:c r="C3145" t="str">
        <x:v>晚餐</x:v>
      </x:c>
      <x:c r="D3145" t="str">
        <x:v>油脂</x:v>
      </x:c>
      <x:c r="E3145" t="str">
        <x:v>烹调油</x:v>
      </x:c>
      <x:c r="F3145" t="n">
        <x:v>5</x:v>
      </x:c>
      <x:c r="G3145" t="n">
        <x:v>900</x:v>
      </x:c>
      <x:c r="H3145" t="n">
        <x:f>ROUND(F3145*G3145/100,2)</x:f>
        <x:v>45</x:v>
      </x:c>
      <x:c r="I3145" t="n">
        <x:v>0</x:v>
      </x:c>
      <x:c r="J3145" t="n">
        <x:f>ROUND(F3145*I3145/100,2)</x:f>
        <x:v>0</x:v>
      </x:c>
      <x:c r="K3145" t="n">
        <x:v>0</x:v>
      </x:c>
      <x:c r="L3145" t="n">
        <x:f>ROUND(F3145*K3145/100,2)</x:f>
        <x:v>0</x:v>
      </x:c>
      <x:c r="M3145" t="n">
        <x:v>100</x:v>
      </x:c>
      <x:c r="N3145" t="n">
        <x:f>ROUND(F3145*M3145/100,2)</x:f>
        <x:v>5</x:v>
      </x:c>
      <x:c r="O3145" t="str">
        <x:v>实际用油重</x:v>
      </x:c>
    </x:row>
    <x:row r="3146" ht="23" customHeight="1">
      <x:c r="A3146" t="n">
        <x:v>525</x:v>
      </x:c>
      <x:c r="B3146" t="n">
        <x:v>263</x:v>
      </x:c>
      <x:c r="C3146" t="str">
        <x:v>午餐</x:v>
      </x:c>
      <x:c r="D3146" t="str">
        <x:v>鱼类</x:v>
      </x:c>
      <x:c r="E3146" t="str">
        <x:v>巴沙鱼</x:v>
      </x:c>
      <x:c r="F3146" t="n">
        <x:v>215</x:v>
      </x:c>
      <x:c r="G3146" t="n">
        <x:v>90</x:v>
      </x:c>
      <x:c r="H3146" t="n">
        <x:f>ROUND(F3146*G3146/100,2)</x:f>
        <x:v>193.5</x:v>
      </x:c>
      <x:c r="I3146" t="n">
        <x:v>17</x:v>
      </x:c>
      <x:c r="J3146" t="n">
        <x:f>ROUND(F3146*I3146/100,2)</x:f>
        <x:v>36.55</x:v>
      </x:c>
      <x:c r="K3146" t="n">
        <x:v>0</x:v>
      </x:c>
      <x:c r="L3146" t="n">
        <x:f>ROUND(F3146*K3146/100,2)</x:f>
        <x:v>0</x:v>
      </x:c>
      <x:c r="M3146" t="n">
        <x:v>2.3</x:v>
      </x:c>
      <x:c r="N3146" t="n">
        <x:f>ROUND(F3146*M3146/100,2)</x:f>
        <x:v>4.94</x:v>
      </x:c>
      <x:c r="O3146" t="str">
        <x:v>净鱼肉生重</x:v>
      </x:c>
    </x:row>
    <x:row r="3147" ht="23" customHeight="1">
      <x:c r="A3147" t="n">
        <x:v>525</x:v>
      </x:c>
      <x:c r="B3147" t="n">
        <x:v>263</x:v>
      </x:c>
      <x:c r="C3147" t="str">
        <x:v>午餐</x:v>
      </x:c>
      <x:c r="D3147" t="str"/>
      <x:c r="E3147" t="str"/>
      <x:c r="F3147" t="n">
        <x:v>0</x:v>
      </x:c>
      <x:c r="G3147" t="n">
        <x:v>0</x:v>
      </x:c>
      <x:c r="H3147" t="n">
        <x:f>ROUND(F3147*G3147/100,2)</x:f>
        <x:v>0</x:v>
      </x:c>
      <x:c r="I3147" t="n">
        <x:v>0</x:v>
      </x:c>
      <x:c r="J3147" t="n">
        <x:f>ROUND(F3147*I3147/100,2)</x:f>
        <x:v>0</x:v>
      </x:c>
      <x:c r="K3147" t="n">
        <x:v>0</x:v>
      </x:c>
      <x:c r="L3147" t="n">
        <x:f>ROUND(F3147*K3147/100,2)</x:f>
        <x:v>0</x:v>
      </x:c>
      <x:c r="M3147" t="n">
        <x:v>0</x:v>
      </x:c>
      <x:c r="N3147" t="n">
        <x:f>ROUND(F3147*M3147/100,2)</x:f>
        <x:v>0</x:v>
      </x:c>
      <x:c r="O3147" t="str"/>
    </x:row>
    <x:row r="3148" ht="23" customHeight="1">
      <x:c r="A3148" t="n">
        <x:v>525</x:v>
      </x:c>
      <x:c r="B3148" t="n">
        <x:v>263</x:v>
      </x:c>
      <x:c r="C3148" t="str">
        <x:v>午餐</x:v>
      </x:c>
      <x:c r="D3148" t="str">
        <x:v>蔬菜</x:v>
      </x:c>
      <x:c r="E3148" t="str">
        <x:v>生菜</x:v>
      </x:c>
      <x:c r="F3148" t="n">
        <x:v>140</x:v>
      </x:c>
      <x:c r="G3148" t="n">
        <x:v>16</x:v>
      </x:c>
      <x:c r="H3148" t="n">
        <x:f>ROUND(F3148*G3148/100,2)</x:f>
        <x:v>22.4</x:v>
      </x:c>
      <x:c r="I3148" t="n">
        <x:v>1.4</x:v>
      </x:c>
      <x:c r="J3148" t="n">
        <x:f>ROUND(F3148*I3148/100,2)</x:f>
        <x:v>1.96</x:v>
      </x:c>
      <x:c r="K3148" t="n">
        <x:v>2.9</x:v>
      </x:c>
      <x:c r="L3148" t="n">
        <x:f>ROUND(F3148*K3148/100,2)</x:f>
        <x:v>4.06</x:v>
      </x:c>
      <x:c r="M3148" t="n">
        <x:v>0.1</x:v>
      </x:c>
      <x:c r="N3148" t="n">
        <x:f>ROUND(F3148*M3148/100,2)</x:f>
        <x:v>0.14</x:v>
      </x:c>
      <x:c r="O3148" t="str">
        <x:v>生重</x:v>
      </x:c>
    </x:row>
    <x:row r="3149" ht="23" customHeight="1">
      <x:c r="A3149" t="n">
        <x:v>525</x:v>
      </x:c>
      <x:c r="B3149" t="n">
        <x:v>263</x:v>
      </x:c>
      <x:c r="C3149" t="str">
        <x:v>午餐</x:v>
      </x:c>
      <x:c r="D3149" t="str">
        <x:v>蔬菜</x:v>
      </x:c>
      <x:c r="E3149" t="str">
        <x:v>绿豆芽</x:v>
      </x:c>
      <x:c r="F3149" t="n">
        <x:v>140</x:v>
      </x:c>
      <x:c r="G3149" t="n">
        <x:v>31</x:v>
      </x:c>
      <x:c r="H3149" t="n">
        <x:f>ROUND(F3149*G3149/100,2)</x:f>
        <x:v>43.4</x:v>
      </x:c>
      <x:c r="I3149" t="n">
        <x:v>3</x:v>
      </x:c>
      <x:c r="J3149" t="n">
        <x:f>ROUND(F3149*I3149/100,2)</x:f>
        <x:v>4.2</x:v>
      </x:c>
      <x:c r="K3149" t="n">
        <x:v>6</x:v>
      </x:c>
      <x:c r="L3149" t="n">
        <x:f>ROUND(F3149*K3149/100,2)</x:f>
        <x:v>8.4</x:v>
      </x:c>
      <x:c r="M3149" t="n">
        <x:v>0.2</x:v>
      </x:c>
      <x:c r="N3149" t="n">
        <x:f>ROUND(F3149*M3149/100,2)</x:f>
        <x:v>0.28</x:v>
      </x:c>
      <x:c r="O3149" t="str">
        <x:v>生重</x:v>
      </x:c>
    </x:row>
    <x:row r="3150" ht="23" customHeight="1">
      <x:c r="A3150" t="n">
        <x:v>525</x:v>
      </x:c>
      <x:c r="B3150" t="n">
        <x:v>263</x:v>
      </x:c>
      <x:c r="C3150" t="str">
        <x:v>午餐</x:v>
      </x:c>
      <x:c r="D3150" t="str">
        <x:v>主食</x:v>
      </x:c>
      <x:c r="E3150" t="str">
        <x:v>糙米饭</x:v>
      </x:c>
      <x:c r="F3150" t="n">
        <x:v>135</x:v>
      </x:c>
      <x:c r="G3150" t="n">
        <x:v>112</x:v>
      </x:c>
      <x:c r="H3150" t="n">
        <x:f>ROUND(F3150*G3150/100,2)</x:f>
        <x:v>151.2</x:v>
      </x:c>
      <x:c r="I3150" t="n">
        <x:v>2.6</x:v>
      </x:c>
      <x:c r="J3150" t="n">
        <x:f>ROUND(F3150*I3150/100,2)</x:f>
        <x:v>3.51</x:v>
      </x:c>
      <x:c r="K3150" t="n">
        <x:v>23.5</x:v>
      </x:c>
      <x:c r="L3150" t="n">
        <x:f>ROUND(F3150*K3150/100,2)</x:f>
        <x:v>31.73</x:v>
      </x:c>
      <x:c r="M3150" t="n">
        <x:v>0.9</x:v>
      </x:c>
      <x:c r="N3150" t="n">
        <x:f>ROUND(F3150*M3150/100,2)</x:f>
        <x:v>1.22</x:v>
      </x:c>
      <x:c r="O3150" t="str">
        <x:v>熟重</x:v>
      </x:c>
    </x:row>
    <x:row r="3151" ht="23" customHeight="1">
      <x:c r="A3151" t="n">
        <x:v>525</x:v>
      </x:c>
      <x:c r="B3151" t="n">
        <x:v>263</x:v>
      </x:c>
      <x:c r="C3151" t="str">
        <x:v>午餐</x:v>
      </x:c>
      <x:c r="D3151" t="str">
        <x:v>油脂</x:v>
      </x:c>
      <x:c r="E3151" t="str">
        <x:v>烹调油</x:v>
      </x:c>
      <x:c r="F3151" t="n">
        <x:v>5</x:v>
      </x:c>
      <x:c r="G3151" t="n">
        <x:v>900</x:v>
      </x:c>
      <x:c r="H3151" t="n">
        <x:f>ROUND(F3151*G3151/100,2)</x:f>
        <x:v>45</x:v>
      </x:c>
      <x:c r="I3151" t="n">
        <x:v>0</x:v>
      </x:c>
      <x:c r="J3151" t="n">
        <x:f>ROUND(F3151*I3151/100,2)</x:f>
        <x:v>0</x:v>
      </x:c>
      <x:c r="K3151" t="n">
        <x:v>0</x:v>
      </x:c>
      <x:c r="L3151" t="n">
        <x:f>ROUND(F3151*K3151/100,2)</x:f>
        <x:v>0</x:v>
      </x:c>
      <x:c r="M3151" t="n">
        <x:v>100</x:v>
      </x:c>
      <x:c r="N3151" t="n">
        <x:f>ROUND(F3151*M3151/100,2)</x:f>
        <x:v>5</x:v>
      </x:c>
      <x:c r="O3151" t="str">
        <x:v>实际用油重</x:v>
      </x:c>
    </x:row>
    <x:row r="3152" ht="23" customHeight="1">
      <x:c r="A3152" t="n">
        <x:v>526</x:v>
      </x:c>
      <x:c r="B3152" t="n">
        <x:v>263</x:v>
      </x:c>
      <x:c r="C3152" t="str">
        <x:v>晚餐</x:v>
      </x:c>
      <x:c r="D3152" t="str">
        <x:v>鱼类</x:v>
      </x:c>
      <x:c r="E3152" t="str">
        <x:v>鳕鱼</x:v>
      </x:c>
      <x:c r="F3152" t="n">
        <x:v>185</x:v>
      </x:c>
      <x:c r="G3152" t="n">
        <x:v>85</x:v>
      </x:c>
      <x:c r="H3152" t="n">
        <x:f>ROUND(F3152*G3152/100,2)</x:f>
        <x:v>157.25</x:v>
      </x:c>
      <x:c r="I3152" t="n">
        <x:v>18</x:v>
      </x:c>
      <x:c r="J3152" t="n">
        <x:f>ROUND(F3152*I3152/100,2)</x:f>
        <x:v>33.3</x:v>
      </x:c>
      <x:c r="K3152" t="n">
        <x:v>0</x:v>
      </x:c>
      <x:c r="L3152" t="n">
        <x:f>ROUND(F3152*K3152/100,2)</x:f>
        <x:v>0</x:v>
      </x:c>
      <x:c r="M3152" t="n">
        <x:v>0.8</x:v>
      </x:c>
      <x:c r="N3152" t="n">
        <x:f>ROUND(F3152*M3152/100,2)</x:f>
        <x:v>1.48</x:v>
      </x:c>
      <x:c r="O3152" t="str">
        <x:v>净鱼肉生重</x:v>
      </x:c>
    </x:row>
    <x:row r="3153" ht="23" customHeight="1">
      <x:c r="A3153" t="n">
        <x:v>526</x:v>
      </x:c>
      <x:c r="B3153" t="n">
        <x:v>263</x:v>
      </x:c>
      <x:c r="C3153" t="str">
        <x:v>晚餐</x:v>
      </x:c>
      <x:c r="D3153" t="str"/>
      <x:c r="E3153" t="str"/>
      <x:c r="F3153" t="n">
        <x:v>0</x:v>
      </x:c>
      <x:c r="G3153" t="n">
        <x:v>0</x:v>
      </x:c>
      <x:c r="H3153" t="n">
        <x:f>ROUND(F3153*G3153/100,2)</x:f>
        <x:v>0</x:v>
      </x:c>
      <x:c r="I3153" t="n">
        <x:v>0</x:v>
      </x:c>
      <x:c r="J3153" t="n">
        <x:f>ROUND(F3153*I3153/100,2)</x:f>
        <x:v>0</x:v>
      </x:c>
      <x:c r="K3153" t="n">
        <x:v>0</x:v>
      </x:c>
      <x:c r="L3153" t="n">
        <x:f>ROUND(F3153*K3153/100,2)</x:f>
        <x:v>0</x:v>
      </x:c>
      <x:c r="M3153" t="n">
        <x:v>0</x:v>
      </x:c>
      <x:c r="N3153" t="n">
        <x:f>ROUND(F3153*M3153/100,2)</x:f>
        <x:v>0</x:v>
      </x:c>
      <x:c r="O3153" t="str"/>
    </x:row>
    <x:row r="3154" ht="23" customHeight="1">
      <x:c r="A3154" t="n">
        <x:v>526</x:v>
      </x:c>
      <x:c r="B3154" t="n">
        <x:v>263</x:v>
      </x:c>
      <x:c r="C3154" t="str">
        <x:v>晚餐</x:v>
      </x:c>
      <x:c r="D3154" t="str">
        <x:v>蔬菜</x:v>
      </x:c>
      <x:c r="E3154" t="str">
        <x:v>彩椒</x:v>
      </x:c>
      <x:c r="F3154" t="n">
        <x:v>140</x:v>
      </x:c>
      <x:c r="G3154" t="n">
        <x:v>27</x:v>
      </x:c>
      <x:c r="H3154" t="n">
        <x:f>ROUND(F3154*G3154/100,2)</x:f>
        <x:v>37.8</x:v>
      </x:c>
      <x:c r="I3154" t="n">
        <x:v>1</x:v>
      </x:c>
      <x:c r="J3154" t="n">
        <x:f>ROUND(F3154*I3154/100,2)</x:f>
        <x:v>1.4</x:v>
      </x:c>
      <x:c r="K3154" t="n">
        <x:v>6.1</x:v>
      </x:c>
      <x:c r="L3154" t="n">
        <x:f>ROUND(F3154*K3154/100,2)</x:f>
        <x:v>8.54</x:v>
      </x:c>
      <x:c r="M3154" t="n">
        <x:v>0.2</x:v>
      </x:c>
      <x:c r="N3154" t="n">
        <x:f>ROUND(F3154*M3154/100,2)</x:f>
        <x:v>0.28</x:v>
      </x:c>
      <x:c r="O3154" t="str">
        <x:v>生重</x:v>
      </x:c>
    </x:row>
    <x:row r="3155" ht="23" customHeight="1">
      <x:c r="A3155" t="n">
        <x:v>526</x:v>
      </x:c>
      <x:c r="B3155" t="n">
        <x:v>263</x:v>
      </x:c>
      <x:c r="C3155" t="str">
        <x:v>晚餐</x:v>
      </x:c>
      <x:c r="D3155" t="str">
        <x:v>蔬菜</x:v>
      </x:c>
      <x:c r="E3155" t="str">
        <x:v>丝瓜</x:v>
      </x:c>
      <x:c r="F3155" t="n">
        <x:v>110</x:v>
      </x:c>
      <x:c r="G3155" t="n">
        <x:v>20</x:v>
      </x:c>
      <x:c r="H3155" t="n">
        <x:f>ROUND(F3155*G3155/100,2)</x:f>
        <x:v>22</x:v>
      </x:c>
      <x:c r="I3155" t="n">
        <x:v>1</x:v>
      </x:c>
      <x:c r="J3155" t="n">
        <x:f>ROUND(F3155*I3155/100,2)</x:f>
        <x:v>1.1</x:v>
      </x:c>
      <x:c r="K3155" t="n">
        <x:v>4</x:v>
      </x:c>
      <x:c r="L3155" t="n">
        <x:f>ROUND(F3155*K3155/100,2)</x:f>
        <x:v>4.4</x:v>
      </x:c>
      <x:c r="M3155" t="n">
        <x:v>0.2</x:v>
      </x:c>
      <x:c r="N3155" t="n">
        <x:f>ROUND(F3155*M3155/100,2)</x:f>
        <x:v>0.22</x:v>
      </x:c>
      <x:c r="O3155" t="str">
        <x:v>生重</x:v>
      </x:c>
    </x:row>
    <x:row r="3156" ht="23" customHeight="1">
      <x:c r="A3156" t="n">
        <x:v>526</x:v>
      </x:c>
      <x:c r="B3156" t="n">
        <x:v>263</x:v>
      </x:c>
      <x:c r="C3156" t="str">
        <x:v>晚餐</x:v>
      </x:c>
      <x:c r="D3156" t="str">
        <x:v>主食</x:v>
      </x:c>
      <x:c r="E3156" t="str">
        <x:v>燕麦饭</x:v>
      </x:c>
      <x:c r="F3156" t="n">
        <x:v>110</x:v>
      </x:c>
      <x:c r="G3156" t="n">
        <x:v>110</x:v>
      </x:c>
      <x:c r="H3156" t="n">
        <x:f>ROUND(F3156*G3156/100,2)</x:f>
        <x:v>121</x:v>
      </x:c>
      <x:c r="I3156" t="n">
        <x:v>3.2</x:v>
      </x:c>
      <x:c r="J3156" t="n">
        <x:f>ROUND(F3156*I3156/100,2)</x:f>
        <x:v>3.52</x:v>
      </x:c>
      <x:c r="K3156" t="n">
        <x:v>21</x:v>
      </x:c>
      <x:c r="L3156" t="n">
        <x:f>ROUND(F3156*K3156/100,2)</x:f>
        <x:v>23.1</x:v>
      </x:c>
      <x:c r="M3156" t="n">
        <x:v>1.8</x:v>
      </x:c>
      <x:c r="N3156" t="n">
        <x:f>ROUND(F3156*M3156/100,2)</x:f>
        <x:v>1.98</x:v>
      </x:c>
      <x:c r="O3156" t="str">
        <x:v>熟重</x:v>
      </x:c>
    </x:row>
    <x:row r="3157" ht="23" customHeight="1">
      <x:c r="A3157" t="n">
        <x:v>526</x:v>
      </x:c>
      <x:c r="B3157" t="n">
        <x:v>263</x:v>
      </x:c>
      <x:c r="C3157" t="str">
        <x:v>晚餐</x:v>
      </x:c>
      <x:c r="D3157" t="str">
        <x:v>油脂</x:v>
      </x:c>
      <x:c r="E3157" t="str">
        <x:v>烹调油</x:v>
      </x:c>
      <x:c r="F3157" t="n">
        <x:v>3</x:v>
      </x:c>
      <x:c r="G3157" t="n">
        <x:v>900</x:v>
      </x:c>
      <x:c r="H3157" t="n">
        <x:f>ROUND(F3157*G3157/100,2)</x:f>
        <x:v>27</x:v>
      </x:c>
      <x:c r="I3157" t="n">
        <x:v>0</x:v>
      </x:c>
      <x:c r="J3157" t="n">
        <x:f>ROUND(F3157*I3157/100,2)</x:f>
        <x:v>0</x:v>
      </x:c>
      <x:c r="K3157" t="n">
        <x:v>0</x:v>
      </x:c>
      <x:c r="L3157" t="n">
        <x:f>ROUND(F3157*K3157/100,2)</x:f>
        <x:v>0</x:v>
      </x:c>
      <x:c r="M3157" t="n">
        <x:v>100</x:v>
      </x:c>
      <x:c r="N3157" t="n">
        <x:f>ROUND(F3157*M3157/100,2)</x:f>
        <x:v>3</x:v>
      </x:c>
      <x:c r="O3157" t="str">
        <x:v>实际用油重</x:v>
      </x:c>
    </x:row>
    <x:row r="3158" ht="23" customHeight="1">
      <x:c r="A3158" t="n">
        <x:v>527</x:v>
      </x:c>
      <x:c r="B3158" t="n">
        <x:v>264</x:v>
      </x:c>
      <x:c r="C3158" t="str">
        <x:v>午餐</x:v>
      </x:c>
      <x:c r="D3158" t="str">
        <x:v>海鲜</x:v>
      </x:c>
      <x:c r="E3158" t="str">
        <x:v>虾仁</x:v>
      </x:c>
      <x:c r="F3158" t="n">
        <x:v>190</x:v>
      </x:c>
      <x:c r="G3158" t="n">
        <x:v>90</x:v>
      </x:c>
      <x:c r="H3158" t="n">
        <x:f>ROUND(F3158*G3158/100,2)</x:f>
        <x:v>171</x:v>
      </x:c>
      <x:c r="I3158" t="n">
        <x:v>19</x:v>
      </x:c>
      <x:c r="J3158" t="n">
        <x:f>ROUND(F3158*I3158/100,2)</x:f>
        <x:v>36.1</x:v>
      </x:c>
      <x:c r="K3158" t="n">
        <x:v>0.4</x:v>
      </x:c>
      <x:c r="L3158" t="n">
        <x:f>ROUND(F3158*K3158/100,2)</x:f>
        <x:v>0.76</x:v>
      </x:c>
      <x:c r="M3158" t="n">
        <x:v>1.1</x:v>
      </x:c>
      <x:c r="N3158" t="n">
        <x:f>ROUND(F3158*M3158/100,2)</x:f>
        <x:v>2.09</x:v>
      </x:c>
      <x:c r="O3158" t="str">
        <x:v>生重</x:v>
      </x:c>
    </x:row>
    <x:row r="3159" ht="23" customHeight="1">
      <x:c r="A3159" t="n">
        <x:v>527</x:v>
      </x:c>
      <x:c r="B3159" t="n">
        <x:v>264</x:v>
      </x:c>
      <x:c r="C3159" t="str">
        <x:v>午餐</x:v>
      </x:c>
      <x:c r="D3159" t="str"/>
      <x:c r="E3159" t="str"/>
      <x:c r="F3159" t="n">
        <x:v>0</x:v>
      </x:c>
      <x:c r="G3159" t="n">
        <x:v>0</x:v>
      </x:c>
      <x:c r="H3159" t="n">
        <x:f>ROUND(F3159*G3159/100,2)</x:f>
        <x:v>0</x:v>
      </x:c>
      <x:c r="I3159" t="n">
        <x:v>0</x:v>
      </x:c>
      <x:c r="J3159" t="n">
        <x:f>ROUND(F3159*I3159/100,2)</x:f>
        <x:v>0</x:v>
      </x:c>
      <x:c r="K3159" t="n">
        <x:v>0</x:v>
      </x:c>
      <x:c r="L3159" t="n">
        <x:f>ROUND(F3159*K3159/100,2)</x:f>
        <x:v>0</x:v>
      </x:c>
      <x:c r="M3159" t="n">
        <x:v>0</x:v>
      </x:c>
      <x:c r="N3159" t="n">
        <x:f>ROUND(F3159*M3159/100,2)</x:f>
        <x:v>0</x:v>
      </x:c>
      <x:c r="O3159" t="str"/>
    </x:row>
    <x:row r="3160" ht="23" customHeight="1">
      <x:c r="A3160" t="n">
        <x:v>527</x:v>
      </x:c>
      <x:c r="B3160" t="n">
        <x:v>264</x:v>
      </x:c>
      <x:c r="C3160" t="str">
        <x:v>午餐</x:v>
      </x:c>
      <x:c r="D3160" t="str">
        <x:v>蔬菜</x:v>
      </x:c>
      <x:c r="E3160" t="str">
        <x:v>四季豆</x:v>
      </x:c>
      <x:c r="F3160" t="n">
        <x:v>160</x:v>
      </x:c>
      <x:c r="G3160" t="n">
        <x:v>31</x:v>
      </x:c>
      <x:c r="H3160" t="n">
        <x:f>ROUND(F3160*G3160/100,2)</x:f>
        <x:v>49.6</x:v>
      </x:c>
      <x:c r="I3160" t="n">
        <x:v>1.8</x:v>
      </x:c>
      <x:c r="J3160" t="n">
        <x:f>ROUND(F3160*I3160/100,2)</x:f>
        <x:v>2.88</x:v>
      </x:c>
      <x:c r="K3160" t="n">
        <x:v>7</x:v>
      </x:c>
      <x:c r="L3160" t="n">
        <x:f>ROUND(F3160*K3160/100,2)</x:f>
        <x:v>11.2</x:v>
      </x:c>
      <x:c r="M3160" t="n">
        <x:v>0.1</x:v>
      </x:c>
      <x:c r="N3160" t="n">
        <x:f>ROUND(F3160*M3160/100,2)</x:f>
        <x:v>0.16</x:v>
      </x:c>
      <x:c r="O3160" t="str">
        <x:v>生重</x:v>
      </x:c>
    </x:row>
    <x:row r="3161" ht="23" customHeight="1">
      <x:c r="A3161" t="n">
        <x:v>527</x:v>
      </x:c>
      <x:c r="B3161" t="n">
        <x:v>264</x:v>
      </x:c>
      <x:c r="C3161" t="str">
        <x:v>午餐</x:v>
      </x:c>
      <x:c r="D3161" t="str">
        <x:v>菌菇</x:v>
      </x:c>
      <x:c r="E3161" t="str">
        <x:v>金针菇</x:v>
      </x:c>
      <x:c r="F3161" t="n">
        <x:v>110</x:v>
      </x:c>
      <x:c r="G3161" t="n">
        <x:v>32</x:v>
      </x:c>
      <x:c r="H3161" t="n">
        <x:f>ROUND(F3161*G3161/100,2)</x:f>
        <x:v>35.2</x:v>
      </x:c>
      <x:c r="I3161" t="n">
        <x:v>2.4</x:v>
      </x:c>
      <x:c r="J3161" t="n">
        <x:f>ROUND(F3161*I3161/100,2)</x:f>
        <x:v>2.64</x:v>
      </x:c>
      <x:c r="K3161" t="n">
        <x:v>6.4</x:v>
      </x:c>
      <x:c r="L3161" t="n">
        <x:f>ROUND(F3161*K3161/100,2)</x:f>
        <x:v>7.04</x:v>
      </x:c>
      <x:c r="M3161" t="n">
        <x:v>0.2</x:v>
      </x:c>
      <x:c r="N3161" t="n">
        <x:f>ROUND(F3161*M3161/100,2)</x:f>
        <x:v>0.22</x:v>
      </x:c>
      <x:c r="O3161" t="str">
        <x:v>生重</x:v>
      </x:c>
    </x:row>
    <x:row r="3162" ht="23" customHeight="1">
      <x:c r="A3162" t="n">
        <x:v>527</x:v>
      </x:c>
      <x:c r="B3162" t="n">
        <x:v>264</x:v>
      </x:c>
      <x:c r="C3162" t="str">
        <x:v>午餐</x:v>
      </x:c>
      <x:c r="D3162" t="str">
        <x:v>主食</x:v>
      </x:c>
      <x:c r="E3162" t="str">
        <x:v>乌冬面</x:v>
      </x:c>
      <x:c r="F3162" t="n">
        <x:v>125</x:v>
      </x:c>
      <x:c r="G3162" t="n">
        <x:v>120</x:v>
      </x:c>
      <x:c r="H3162" t="n">
        <x:f>ROUND(F3162*G3162/100,2)</x:f>
        <x:v>150</x:v>
      </x:c>
      <x:c r="I3162" t="n">
        <x:v>2.5</x:v>
      </x:c>
      <x:c r="J3162" t="n">
        <x:f>ROUND(F3162*I3162/100,2)</x:f>
        <x:v>3.13</x:v>
      </x:c>
      <x:c r="K3162" t="n">
        <x:v>25</x:v>
      </x:c>
      <x:c r="L3162" t="n">
        <x:f>ROUND(F3162*K3162/100,2)</x:f>
        <x:v>31.25</x:v>
      </x:c>
      <x:c r="M3162" t="n">
        <x:v>0.6</x:v>
      </x:c>
      <x:c r="N3162" t="n">
        <x:f>ROUND(F3162*M3162/100,2)</x:f>
        <x:v>0.75</x:v>
      </x:c>
      <x:c r="O3162" t="str">
        <x:v>煮熟沥水重</x:v>
      </x:c>
    </x:row>
    <x:row r="3163" ht="23" customHeight="1">
      <x:c r="A3163" t="n">
        <x:v>527</x:v>
      </x:c>
      <x:c r="B3163" t="n">
        <x:v>264</x:v>
      </x:c>
      <x:c r="C3163" t="str">
        <x:v>午餐</x:v>
      </x:c>
      <x:c r="D3163" t="str">
        <x:v>油脂</x:v>
      </x:c>
      <x:c r="E3163" t="str">
        <x:v>烹调油</x:v>
      </x:c>
      <x:c r="F3163" t="n">
        <x:v>5</x:v>
      </x:c>
      <x:c r="G3163" t="n">
        <x:v>900</x:v>
      </x:c>
      <x:c r="H3163" t="n">
        <x:f>ROUND(F3163*G3163/100,2)</x:f>
        <x:v>45</x:v>
      </x:c>
      <x:c r="I3163" t="n">
        <x:v>0</x:v>
      </x:c>
      <x:c r="J3163" t="n">
        <x:f>ROUND(F3163*I3163/100,2)</x:f>
        <x:v>0</x:v>
      </x:c>
      <x:c r="K3163" t="n">
        <x:v>0</x:v>
      </x:c>
      <x:c r="L3163" t="n">
        <x:f>ROUND(F3163*K3163/100,2)</x:f>
        <x:v>0</x:v>
      </x:c>
      <x:c r="M3163" t="n">
        <x:v>100</x:v>
      </x:c>
      <x:c r="N3163" t="n">
        <x:f>ROUND(F3163*M3163/100,2)</x:f>
        <x:v>5</x:v>
      </x:c>
      <x:c r="O3163" t="str">
        <x:v>实际用油重</x:v>
      </x:c>
    </x:row>
    <x:row r="3164" ht="23" customHeight="1">
      <x:c r="A3164" t="n">
        <x:v>528</x:v>
      </x:c>
      <x:c r="B3164" t="n">
        <x:v>264</x:v>
      </x:c>
      <x:c r="C3164" t="str">
        <x:v>晚餐</x:v>
      </x:c>
      <x:c r="D3164" t="str">
        <x:v>鱼类</x:v>
      </x:c>
      <x:c r="E3164" t="str">
        <x:v>鲈鱼</x:v>
      </x:c>
      <x:c r="F3164" t="n">
        <x:v>185</x:v>
      </x:c>
      <x:c r="G3164" t="n">
        <x:v>105</x:v>
      </x:c>
      <x:c r="H3164" t="n">
        <x:f>ROUND(F3164*G3164/100,2)</x:f>
        <x:v>194.25</x:v>
      </x:c>
      <x:c r="I3164" t="n">
        <x:v>19</x:v>
      </x:c>
      <x:c r="J3164" t="n">
        <x:f>ROUND(F3164*I3164/100,2)</x:f>
        <x:v>35.15</x:v>
      </x:c>
      <x:c r="K3164" t="n">
        <x:v>0</x:v>
      </x:c>
      <x:c r="L3164" t="n">
        <x:f>ROUND(F3164*K3164/100,2)</x:f>
        <x:v>0</x:v>
      </x:c>
      <x:c r="M3164" t="n">
        <x:v>3</x:v>
      </x:c>
      <x:c r="N3164" t="n">
        <x:f>ROUND(F3164*M3164/100,2)</x:f>
        <x:v>5.55</x:v>
      </x:c>
      <x:c r="O3164" t="str">
        <x:v>净鱼肉生重</x:v>
      </x:c>
    </x:row>
    <x:row r="3165" ht="23" customHeight="1">
      <x:c r="A3165" t="n">
        <x:v>528</x:v>
      </x:c>
      <x:c r="B3165" t="n">
        <x:v>264</x:v>
      </x:c>
      <x:c r="C3165" t="str">
        <x:v>晚餐</x:v>
      </x:c>
      <x:c r="D3165" t="str"/>
      <x:c r="E3165" t="str"/>
      <x:c r="F3165" t="n">
        <x:v>0</x:v>
      </x:c>
      <x:c r="G3165" t="n">
        <x:v>0</x:v>
      </x:c>
      <x:c r="H3165" t="n">
        <x:f>ROUND(F3165*G3165/100,2)</x:f>
        <x:v>0</x:v>
      </x:c>
      <x:c r="I3165" t="n">
        <x:v>0</x:v>
      </x:c>
      <x:c r="J3165" t="n">
        <x:f>ROUND(F3165*I3165/100,2)</x:f>
        <x:v>0</x:v>
      </x:c>
      <x:c r="K3165" t="n">
        <x:v>0</x:v>
      </x:c>
      <x:c r="L3165" t="n">
        <x:f>ROUND(F3165*K3165/100,2)</x:f>
        <x:v>0</x:v>
      </x:c>
      <x:c r="M3165" t="n">
        <x:v>0</x:v>
      </x:c>
      <x:c r="N3165" t="n">
        <x:f>ROUND(F3165*M3165/100,2)</x:f>
        <x:v>0</x:v>
      </x:c>
      <x:c r="O3165" t="str"/>
    </x:row>
    <x:row r="3166" ht="23" customHeight="1">
      <x:c r="A3166" t="n">
        <x:v>528</x:v>
      </x:c>
      <x:c r="B3166" t="n">
        <x:v>264</x:v>
      </x:c>
      <x:c r="C3166" t="str">
        <x:v>晚餐</x:v>
      </x:c>
      <x:c r="D3166" t="str">
        <x:v>蔬菜</x:v>
      </x:c>
      <x:c r="E3166" t="str">
        <x:v>莴笋</x:v>
      </x:c>
      <x:c r="F3166" t="n">
        <x:v>190</x:v>
      </x:c>
      <x:c r="G3166" t="n">
        <x:v>15</x:v>
      </x:c>
      <x:c r="H3166" t="n">
        <x:f>ROUND(F3166*G3166/100,2)</x:f>
        <x:v>28.5</x:v>
      </x:c>
      <x:c r="I3166" t="n">
        <x:v>1</x:v>
      </x:c>
      <x:c r="J3166" t="n">
        <x:f>ROUND(F3166*I3166/100,2)</x:f>
        <x:v>1.9</x:v>
      </x:c>
      <x:c r="K3166" t="n">
        <x:v>2.8</x:v>
      </x:c>
      <x:c r="L3166" t="n">
        <x:f>ROUND(F3166*K3166/100,2)</x:f>
        <x:v>5.32</x:v>
      </x:c>
      <x:c r="M3166" t="n">
        <x:v>0.1</x:v>
      </x:c>
      <x:c r="N3166" t="n">
        <x:f>ROUND(F3166*M3166/100,2)</x:f>
        <x:v>0.19</x:v>
      </x:c>
      <x:c r="O3166" t="str">
        <x:v>生重</x:v>
      </x:c>
    </x:row>
    <x:row r="3167" ht="23" customHeight="1">
      <x:c r="A3167" t="n">
        <x:v>528</x:v>
      </x:c>
      <x:c r="B3167" t="n">
        <x:v>264</x:v>
      </x:c>
      <x:c r="C3167" t="str">
        <x:v>晚餐</x:v>
      </x:c>
      <x:c r="D3167" t="str">
        <x:v>菌菇</x:v>
      </x:c>
      <x:c r="E3167" t="str">
        <x:v>口蘑</x:v>
      </x:c>
      <x:c r="F3167" t="n">
        <x:v>125</x:v>
      </x:c>
      <x:c r="G3167" t="n">
        <x:v>22</x:v>
      </x:c>
      <x:c r="H3167" t="n">
        <x:f>ROUND(F3167*G3167/100,2)</x:f>
        <x:v>27.5</x:v>
      </x:c>
      <x:c r="I3167" t="n">
        <x:v>3.1</x:v>
      </x:c>
      <x:c r="J3167" t="n">
        <x:f>ROUND(F3167*I3167/100,2)</x:f>
        <x:v>3.88</x:v>
      </x:c>
      <x:c r="K3167" t="n">
        <x:v>3.3</x:v>
      </x:c>
      <x:c r="L3167" t="n">
        <x:f>ROUND(F3167*K3167/100,2)</x:f>
        <x:v>4.13</x:v>
      </x:c>
      <x:c r="M3167" t="n">
        <x:v>0.3</x:v>
      </x:c>
      <x:c r="N3167" t="n">
        <x:f>ROUND(F3167*M3167/100,2)</x:f>
        <x:v>0.38</x:v>
      </x:c>
      <x:c r="O3167" t="str">
        <x:v>生重</x:v>
      </x:c>
    </x:row>
    <x:row r="3168" ht="23" customHeight="1">
      <x:c r="A3168" t="n">
        <x:v>528</x:v>
      </x:c>
      <x:c r="B3168" t="n">
        <x:v>264</x:v>
      </x:c>
      <x:c r="C3168" t="str">
        <x:v>晚餐</x:v>
      </x:c>
      <x:c r="D3168" t="str">
        <x:v>主食</x:v>
      </x:c>
      <x:c r="E3168" t="str">
        <x:v>杂粮饭</x:v>
      </x:c>
      <x:c r="F3168" t="n">
        <x:v>80</x:v>
      </x:c>
      <x:c r="G3168" t="n">
        <x:v>115</x:v>
      </x:c>
      <x:c r="H3168" t="n">
        <x:f>ROUND(F3168*G3168/100,2)</x:f>
        <x:v>92</x:v>
      </x:c>
      <x:c r="I3168" t="n">
        <x:v>3.1</x:v>
      </x:c>
      <x:c r="J3168" t="n">
        <x:f>ROUND(F3168*I3168/100,2)</x:f>
        <x:v>2.48</x:v>
      </x:c>
      <x:c r="K3168" t="n">
        <x:v>23.5</x:v>
      </x:c>
      <x:c r="L3168" t="n">
        <x:f>ROUND(F3168*K3168/100,2)</x:f>
        <x:v>18.8</x:v>
      </x:c>
      <x:c r="M3168" t="n">
        <x:v>1.1</x:v>
      </x:c>
      <x:c r="N3168" t="n">
        <x:f>ROUND(F3168*M3168/100,2)</x:f>
        <x:v>0.88</x:v>
      </x:c>
      <x:c r="O3168" t="str">
        <x:v>熟重</x:v>
      </x:c>
    </x:row>
    <x:row r="3169" ht="23" customHeight="1">
      <x:c r="A3169" t="n">
        <x:v>528</x:v>
      </x:c>
      <x:c r="B3169" t="n">
        <x:v>264</x:v>
      </x:c>
      <x:c r="C3169" t="str">
        <x:v>晚餐</x:v>
      </x:c>
      <x:c r="D3169" t="str">
        <x:v>油脂</x:v>
      </x:c>
      <x:c r="E3169" t="str">
        <x:v>烹调油</x:v>
      </x:c>
      <x:c r="F3169" t="n">
        <x:v>5</x:v>
      </x:c>
      <x:c r="G3169" t="n">
        <x:v>900</x:v>
      </x:c>
      <x:c r="H3169" t="n">
        <x:f>ROUND(F3169*G3169/100,2)</x:f>
        <x:v>45</x:v>
      </x:c>
      <x:c r="I3169" t="n">
        <x:v>0</x:v>
      </x:c>
      <x:c r="J3169" t="n">
        <x:f>ROUND(F3169*I3169/100,2)</x:f>
        <x:v>0</x:v>
      </x:c>
      <x:c r="K3169" t="n">
        <x:v>0</x:v>
      </x:c>
      <x:c r="L3169" t="n">
        <x:f>ROUND(F3169*K3169/100,2)</x:f>
        <x:v>0</x:v>
      </x:c>
      <x:c r="M3169" t="n">
        <x:v>100</x:v>
      </x:c>
      <x:c r="N3169" t="n">
        <x:f>ROUND(F3169*M3169/100,2)</x:f>
        <x:v>5</x:v>
      </x:c>
      <x:c r="O3169" t="str">
        <x:v>实际用油重</x:v>
      </x:c>
    </x:row>
    <x:row r="3170" ht="23" customHeight="1">
      <x:c r="A3170" t="n">
        <x:v>529</x:v>
      </x:c>
      <x:c r="B3170" t="n">
        <x:v>265</x:v>
      </x:c>
      <x:c r="C3170" t="str">
        <x:v>午餐</x:v>
      </x:c>
      <x:c r="D3170" t="str">
        <x:v>鱼类</x:v>
      </x:c>
      <x:c r="E3170" t="str">
        <x:v>鳕鱼</x:v>
      </x:c>
      <x:c r="F3170" t="n">
        <x:v>215</x:v>
      </x:c>
      <x:c r="G3170" t="n">
        <x:v>85</x:v>
      </x:c>
      <x:c r="H3170" t="n">
        <x:f>ROUND(F3170*G3170/100,2)</x:f>
        <x:v>182.75</x:v>
      </x:c>
      <x:c r="I3170" t="n">
        <x:v>18</x:v>
      </x:c>
      <x:c r="J3170" t="n">
        <x:f>ROUND(F3170*I3170/100,2)</x:f>
        <x:v>38.7</x:v>
      </x:c>
      <x:c r="K3170" t="n">
        <x:v>0</x:v>
      </x:c>
      <x:c r="L3170" t="n">
        <x:f>ROUND(F3170*K3170/100,2)</x:f>
        <x:v>0</x:v>
      </x:c>
      <x:c r="M3170" t="n">
        <x:v>0.8</x:v>
      </x:c>
      <x:c r="N3170" t="n">
        <x:f>ROUND(F3170*M3170/100,2)</x:f>
        <x:v>1.72</x:v>
      </x:c>
      <x:c r="O3170" t="str">
        <x:v>净鱼肉生重</x:v>
      </x:c>
    </x:row>
    <x:row r="3171" ht="23" customHeight="1">
      <x:c r="A3171" t="n">
        <x:v>529</x:v>
      </x:c>
      <x:c r="B3171" t="n">
        <x:v>265</x:v>
      </x:c>
      <x:c r="C3171" t="str">
        <x:v>午餐</x:v>
      </x:c>
      <x:c r="D3171" t="str">
        <x:v>豆蛋</x:v>
      </x:c>
      <x:c r="E3171" t="str">
        <x:v>熟毛豆仁</x:v>
      </x:c>
      <x:c r="F3171" t="n">
        <x:v>50</x:v>
      </x:c>
      <x:c r="G3171" t="n">
        <x:v>120</x:v>
      </x:c>
      <x:c r="H3171" t="n">
        <x:f>ROUND(F3171*G3171/100,2)</x:f>
        <x:v>60</x:v>
      </x:c>
      <x:c r="I3171" t="n">
        <x:v>12</x:v>
      </x:c>
      <x:c r="J3171" t="n">
        <x:f>ROUND(F3171*I3171/100,2)</x:f>
        <x:v>6</x:v>
      </x:c>
      <x:c r="K3171" t="n">
        <x:v>9</x:v>
      </x:c>
      <x:c r="L3171" t="n">
        <x:f>ROUND(F3171*K3171/100,2)</x:f>
        <x:v>4.5</x:v>
      </x:c>
      <x:c r="M3171" t="n">
        <x:v>5</x:v>
      </x:c>
      <x:c r="N3171" t="n">
        <x:f>ROUND(F3171*M3171/100,2)</x:f>
        <x:v>2.5</x:v>
      </x:c>
      <x:c r="O3171" t="str">
        <x:v>熟重</x:v>
      </x:c>
    </x:row>
    <x:row r="3172" ht="23" customHeight="1">
      <x:c r="A3172" t="n">
        <x:v>529</x:v>
      </x:c>
      <x:c r="B3172" t="n">
        <x:v>265</x:v>
      </x:c>
      <x:c r="C3172" t="str">
        <x:v>午餐</x:v>
      </x:c>
      <x:c r="D3172" t="str">
        <x:v>蔬菜</x:v>
      </x:c>
      <x:c r="E3172" t="str">
        <x:v>荷兰豆</x:v>
      </x:c>
      <x:c r="F3172" t="n">
        <x:v>140</x:v>
      </x:c>
      <x:c r="G3172" t="n">
        <x:v>42</x:v>
      </x:c>
      <x:c r="H3172" t="n">
        <x:f>ROUND(F3172*G3172/100,2)</x:f>
        <x:v>58.8</x:v>
      </x:c>
      <x:c r="I3172" t="n">
        <x:v>2.8</x:v>
      </x:c>
      <x:c r="J3172" t="n">
        <x:f>ROUND(F3172*I3172/100,2)</x:f>
        <x:v>3.92</x:v>
      </x:c>
      <x:c r="K3172" t="n">
        <x:v>7.5</x:v>
      </x:c>
      <x:c r="L3172" t="n">
        <x:f>ROUND(F3172*K3172/100,2)</x:f>
        <x:v>10.5</x:v>
      </x:c>
      <x:c r="M3172" t="n">
        <x:v>0.3</x:v>
      </x:c>
      <x:c r="N3172" t="n">
        <x:f>ROUND(F3172*M3172/100,2)</x:f>
        <x:v>0.42</x:v>
      </x:c>
      <x:c r="O3172" t="str">
        <x:v>生重</x:v>
      </x:c>
    </x:row>
    <x:row r="3173" ht="23" customHeight="1">
      <x:c r="A3173" t="n">
        <x:v>529</x:v>
      </x:c>
      <x:c r="B3173" t="n">
        <x:v>265</x:v>
      </x:c>
      <x:c r="C3173" t="str">
        <x:v>午餐</x:v>
      </x:c>
      <x:c r="D3173" t="str">
        <x:v>菌菇</x:v>
      </x:c>
      <x:c r="E3173" t="str">
        <x:v>香菇</x:v>
      </x:c>
      <x:c r="F3173" t="n">
        <x:v>125</x:v>
      </x:c>
      <x:c r="G3173" t="n">
        <x:v>34</x:v>
      </x:c>
      <x:c r="H3173" t="n">
        <x:f>ROUND(F3173*G3173/100,2)</x:f>
        <x:v>42.5</x:v>
      </x:c>
      <x:c r="I3173" t="n">
        <x:v>2.2</x:v>
      </x:c>
      <x:c r="J3173" t="n">
        <x:f>ROUND(F3173*I3173/100,2)</x:f>
        <x:v>2.75</x:v>
      </x:c>
      <x:c r="K3173" t="n">
        <x:v>6.8</x:v>
      </x:c>
      <x:c r="L3173" t="n">
        <x:f>ROUND(F3173*K3173/100,2)</x:f>
        <x:v>8.5</x:v>
      </x:c>
      <x:c r="M3173" t="n">
        <x:v>0.5</x:v>
      </x:c>
      <x:c r="N3173" t="n">
        <x:f>ROUND(F3173*M3173/100,2)</x:f>
        <x:v>0.63</x:v>
      </x:c>
      <x:c r="O3173" t="str">
        <x:v>生重</x:v>
      </x:c>
    </x:row>
    <x:row r="3174" ht="23" customHeight="1">
      <x:c r="A3174" t="n">
        <x:v>529</x:v>
      </x:c>
      <x:c r="B3174" t="n">
        <x:v>265</x:v>
      </x:c>
      <x:c r="C3174" t="str">
        <x:v>午餐</x:v>
      </x:c>
      <x:c r="D3174" t="str">
        <x:v>主食</x:v>
      </x:c>
      <x:c r="E3174" t="str">
        <x:v>全麦面</x:v>
      </x:c>
      <x:c r="F3174" t="n">
        <x:v>135</x:v>
      </x:c>
      <x:c r="G3174" t="n">
        <x:v>124</x:v>
      </x:c>
      <x:c r="H3174" t="n">
        <x:f>ROUND(F3174*G3174/100,2)</x:f>
        <x:v>167.4</x:v>
      </x:c>
      <x:c r="I3174" t="n">
        <x:v>5</x:v>
      </x:c>
      <x:c r="J3174" t="n">
        <x:f>ROUND(F3174*I3174/100,2)</x:f>
        <x:v>6.75</x:v>
      </x:c>
      <x:c r="K3174" t="n">
        <x:v>25</x:v>
      </x:c>
      <x:c r="L3174" t="n">
        <x:f>ROUND(F3174*K3174/100,2)</x:f>
        <x:v>33.75</x:v>
      </x:c>
      <x:c r="M3174" t="n">
        <x:v>1.1</x:v>
      </x:c>
      <x:c r="N3174" t="n">
        <x:f>ROUND(F3174*M3174/100,2)</x:f>
        <x:v>1.49</x:v>
      </x:c>
      <x:c r="O3174" t="str">
        <x:v>煮熟沥水重</x:v>
      </x:c>
    </x:row>
    <x:row r="3175" ht="23" customHeight="1">
      <x:c r="A3175" t="n">
        <x:v>529</x:v>
      </x:c>
      <x:c r="B3175" t="n">
        <x:v>265</x:v>
      </x:c>
      <x:c r="C3175" t="str">
        <x:v>午餐</x:v>
      </x:c>
      <x:c r="D3175" t="str">
        <x:v>油脂</x:v>
      </x:c>
      <x:c r="E3175" t="str">
        <x:v>烹调油</x:v>
      </x:c>
      <x:c r="F3175" t="n">
        <x:v>6</x:v>
      </x:c>
      <x:c r="G3175" t="n">
        <x:v>900</x:v>
      </x:c>
      <x:c r="H3175" t="n">
        <x:f>ROUND(F3175*G3175/100,2)</x:f>
        <x:v>54</x:v>
      </x:c>
      <x:c r="I3175" t="n">
        <x:v>0</x:v>
      </x:c>
      <x:c r="J3175" t="n">
        <x:f>ROUND(F3175*I3175/100,2)</x:f>
        <x:v>0</x:v>
      </x:c>
      <x:c r="K3175" t="n">
        <x:v>0</x:v>
      </x:c>
      <x:c r="L3175" t="n">
        <x:f>ROUND(F3175*K3175/100,2)</x:f>
        <x:v>0</x:v>
      </x:c>
      <x:c r="M3175" t="n">
        <x:v>100</x:v>
      </x:c>
      <x:c r="N3175" t="n">
        <x:f>ROUND(F3175*M3175/100,2)</x:f>
        <x:v>6</x:v>
      </x:c>
      <x:c r="O3175" t="str">
        <x:v>实际用油重</x:v>
      </x:c>
    </x:row>
    <x:row r="3176" ht="23" customHeight="1">
      <x:c r="A3176" t="n">
        <x:v>530</x:v>
      </x:c>
      <x:c r="B3176" t="n">
        <x:v>265</x:v>
      </x:c>
      <x:c r="C3176" t="str">
        <x:v>晚餐</x:v>
      </x:c>
      <x:c r="D3176" t="str">
        <x:v>豆蛋</x:v>
      </x:c>
      <x:c r="E3176" t="str">
        <x:v>嫩豆腐</x:v>
      </x:c>
      <x:c r="F3176" t="n">
        <x:v>300</x:v>
      </x:c>
      <x:c r="G3176" t="n">
        <x:v>55</x:v>
      </x:c>
      <x:c r="H3176" t="n">
        <x:f>ROUND(F3176*G3176/100,2)</x:f>
        <x:v>165</x:v>
      </x:c>
      <x:c r="I3176" t="n">
        <x:v>5</x:v>
      </x:c>
      <x:c r="J3176" t="n">
        <x:f>ROUND(F3176*I3176/100,2)</x:f>
        <x:v>15</x:v>
      </x:c>
      <x:c r="K3176" t="n">
        <x:v>2</x:v>
      </x:c>
      <x:c r="L3176" t="n">
        <x:f>ROUND(F3176*K3176/100,2)</x:f>
        <x:v>6</x:v>
      </x:c>
      <x:c r="M3176" t="n">
        <x:v>2.8</x:v>
      </x:c>
      <x:c r="N3176" t="n">
        <x:f>ROUND(F3176*M3176/100,2)</x:f>
        <x:v>8.4</x:v>
      </x:c>
      <x:c r="O3176" t="str">
        <x:v>净重</x:v>
      </x:c>
    </x:row>
    <x:row r="3177" ht="23" customHeight="1">
      <x:c r="A3177" t="n">
        <x:v>530</x:v>
      </x:c>
      <x:c r="B3177" t="n">
        <x:v>265</x:v>
      </x:c>
      <x:c r="C3177" t="str">
        <x:v>晚餐</x:v>
      </x:c>
      <x:c r="D3177" t="str">
        <x:v>豆蛋</x:v>
      </x:c>
      <x:c r="E3177" t="str">
        <x:v>鸡蛋</x:v>
      </x:c>
      <x:c r="F3177" t="n">
        <x:v>60</x:v>
      </x:c>
      <x:c r="G3177" t="n">
        <x:v>144</x:v>
      </x:c>
      <x:c r="H3177" t="n">
        <x:f>ROUND(F3177*G3177/100,2)</x:f>
        <x:v>86.4</x:v>
      </x:c>
      <x:c r="I3177" t="n">
        <x:v>13</x:v>
      </x:c>
      <x:c r="J3177" t="n">
        <x:f>ROUND(F3177*I3177/100,2)</x:f>
        <x:v>7.8</x:v>
      </x:c>
      <x:c r="K3177" t="n">
        <x:v>1.1</x:v>
      </x:c>
      <x:c r="L3177" t="n">
        <x:f>ROUND(F3177*K3177/100,2)</x:f>
        <x:v>0.66</x:v>
      </x:c>
      <x:c r="M3177" t="n">
        <x:v>10</x:v>
      </x:c>
      <x:c r="N3177" t="n">
        <x:f>ROUND(F3177*M3177/100,2)</x:f>
        <x:v>6</x:v>
      </x:c>
      <x:c r="O3177" t="str">
        <x:v>去壳可食重</x:v>
      </x:c>
    </x:row>
    <x:row r="3178" ht="23" customHeight="1">
      <x:c r="A3178" t="n">
        <x:v>530</x:v>
      </x:c>
      <x:c r="B3178" t="n">
        <x:v>265</x:v>
      </x:c>
      <x:c r="C3178" t="str">
        <x:v>晚餐</x:v>
      </x:c>
      <x:c r="D3178" t="str">
        <x:v>蔬菜</x:v>
      </x:c>
      <x:c r="E3178" t="str">
        <x:v>番茄</x:v>
      </x:c>
      <x:c r="F3178" t="n">
        <x:v>190</x:v>
      </x:c>
      <x:c r="G3178" t="n">
        <x:v>20</x:v>
      </x:c>
      <x:c r="H3178" t="n">
        <x:f>ROUND(F3178*G3178/100,2)</x:f>
        <x:v>38</x:v>
      </x:c>
      <x:c r="I3178" t="n">
        <x:v>0.9</x:v>
      </x:c>
      <x:c r="J3178" t="n">
        <x:f>ROUND(F3178*I3178/100,2)</x:f>
        <x:v>1.71</x:v>
      </x:c>
      <x:c r="K3178" t="n">
        <x:v>4</x:v>
      </x:c>
      <x:c r="L3178" t="n">
        <x:f>ROUND(F3178*K3178/100,2)</x:f>
        <x:v>7.6</x:v>
      </x:c>
      <x:c r="M3178" t="n">
        <x:v>0.2</x:v>
      </x:c>
      <x:c r="N3178" t="n">
        <x:f>ROUND(F3178*M3178/100,2)</x:f>
        <x:v>0.38</x:v>
      </x:c>
      <x:c r="O3178" t="str">
        <x:v>生重</x:v>
      </x:c>
    </x:row>
    <x:row r="3179" ht="23" customHeight="1">
      <x:c r="A3179" t="n">
        <x:v>530</x:v>
      </x:c>
      <x:c r="B3179" t="n">
        <x:v>265</x:v>
      </x:c>
      <x:c r="C3179" t="str">
        <x:v>晚餐</x:v>
      </x:c>
      <x:c r="D3179" t="str">
        <x:v>蔬菜</x:v>
      </x:c>
      <x:c r="E3179" t="str">
        <x:v>胡萝卜</x:v>
      </x:c>
      <x:c r="F3179" t="n">
        <x:v>110</x:v>
      </x:c>
      <x:c r="G3179" t="n">
        <x:v>41</x:v>
      </x:c>
      <x:c r="H3179" t="n">
        <x:f>ROUND(F3179*G3179/100,2)</x:f>
        <x:v>45.1</x:v>
      </x:c>
      <x:c r="I3179" t="n">
        <x:v>0.9</x:v>
      </x:c>
      <x:c r="J3179" t="n">
        <x:f>ROUND(F3179*I3179/100,2)</x:f>
        <x:v>0.99</x:v>
      </x:c>
      <x:c r="K3179" t="n">
        <x:v>10</x:v>
      </x:c>
      <x:c r="L3179" t="n">
        <x:f>ROUND(F3179*K3179/100,2)</x:f>
        <x:v>11</x:v>
      </x:c>
      <x:c r="M3179" t="n">
        <x:v>0.2</x:v>
      </x:c>
      <x:c r="N3179" t="n">
        <x:f>ROUND(F3179*M3179/100,2)</x:f>
        <x:v>0.22</x:v>
      </x:c>
      <x:c r="O3179" t="str">
        <x:v>生重</x:v>
      </x:c>
    </x:row>
    <x:row r="3180" ht="23" customHeight="1">
      <x:c r="A3180" t="n">
        <x:v>530</x:v>
      </x:c>
      <x:c r="B3180" t="n">
        <x:v>265</x:v>
      </x:c>
      <x:c r="C3180" t="str">
        <x:v>晚餐</x:v>
      </x:c>
      <x:c r="D3180" t="str">
        <x:v>主食</x:v>
      </x:c>
      <x:c r="E3180" t="str">
        <x:v>荞麦饭</x:v>
      </x:c>
      <x:c r="F3180" t="n">
        <x:v>110</x:v>
      </x:c>
      <x:c r="G3180" t="n">
        <x:v>110</x:v>
      </x:c>
      <x:c r="H3180" t="n">
        <x:f>ROUND(F3180*G3180/100,2)</x:f>
        <x:v>121</x:v>
      </x:c>
      <x:c r="I3180" t="n">
        <x:v>3.4</x:v>
      </x:c>
      <x:c r="J3180" t="n">
        <x:f>ROUND(F3180*I3180/100,2)</x:f>
        <x:v>3.74</x:v>
      </x:c>
      <x:c r="K3180" t="n">
        <x:v>22</x:v>
      </x:c>
      <x:c r="L3180" t="n">
        <x:f>ROUND(F3180*K3180/100,2)</x:f>
        <x:v>24.2</x:v>
      </x:c>
      <x:c r="M3180" t="n">
        <x:v>1.1</x:v>
      </x:c>
      <x:c r="N3180" t="n">
        <x:f>ROUND(F3180*M3180/100,2)</x:f>
        <x:v>1.21</x:v>
      </x:c>
      <x:c r="O3180" t="str">
        <x:v>熟重</x:v>
      </x:c>
    </x:row>
    <x:row r="3181" ht="23" customHeight="1">
      <x:c r="A3181" t="n">
        <x:v>530</x:v>
      </x:c>
      <x:c r="B3181" t="n">
        <x:v>265</x:v>
      </x:c>
      <x:c r="C3181" t="str">
        <x:v>晚餐</x:v>
      </x:c>
      <x:c r="D3181" t="str">
        <x:v>油脂</x:v>
      </x:c>
      <x:c r="E3181" t="str">
        <x:v>烹调油</x:v>
      </x:c>
      <x:c r="F3181" t="n">
        <x:v>4</x:v>
      </x:c>
      <x:c r="G3181" t="n">
        <x:v>900</x:v>
      </x:c>
      <x:c r="H3181" t="n">
        <x:f>ROUND(F3181*G3181/100,2)</x:f>
        <x:v>36</x:v>
      </x:c>
      <x:c r="I3181" t="n">
        <x:v>0</x:v>
      </x:c>
      <x:c r="J3181" t="n">
        <x:f>ROUND(F3181*I3181/100,2)</x:f>
        <x:v>0</x:v>
      </x:c>
      <x:c r="K3181" t="n">
        <x:v>0</x:v>
      </x:c>
      <x:c r="L3181" t="n">
        <x:f>ROUND(F3181*K3181/100,2)</x:f>
        <x:v>0</x:v>
      </x:c>
      <x:c r="M3181" t="n">
        <x:v>100</x:v>
      </x:c>
      <x:c r="N3181" t="n">
        <x:f>ROUND(F3181*M3181/100,2)</x:f>
        <x:v>4</x:v>
      </x:c>
      <x:c r="O3181" t="str">
        <x:v>实际用油重</x:v>
      </x:c>
    </x:row>
    <x:row r="3182" ht="23" customHeight="1">
      <x:c r="A3182" t="n">
        <x:v>531</x:v>
      </x:c>
      <x:c r="B3182" t="n">
        <x:v>266</x:v>
      </x:c>
      <x:c r="C3182" t="str">
        <x:v>午餐</x:v>
      </x:c>
      <x:c r="D3182" t="str">
        <x:v>猪肉</x:v>
      </x:c>
      <x:c r="E3182" t="str">
        <x:v>猪里脊</x:v>
      </x:c>
      <x:c r="F3182" t="n">
        <x:v>155</x:v>
      </x:c>
      <x:c r="G3182" t="n">
        <x:v>120</x:v>
      </x:c>
      <x:c r="H3182" t="n">
        <x:f>ROUND(F3182*G3182/100,2)</x:f>
        <x:v>186</x:v>
      </x:c>
      <x:c r="I3182" t="n">
        <x:v>21</x:v>
      </x:c>
      <x:c r="J3182" t="n">
        <x:f>ROUND(F3182*I3182/100,2)</x:f>
        <x:v>32.55</x:v>
      </x:c>
      <x:c r="K3182" t="n">
        <x:v>0</x:v>
      </x:c>
      <x:c r="L3182" t="n">
        <x:f>ROUND(F3182*K3182/100,2)</x:f>
        <x:v>0</x:v>
      </x:c>
      <x:c r="M3182" t="n">
        <x:v>3.5</x:v>
      </x:c>
      <x:c r="N3182" t="n">
        <x:f>ROUND(F3182*M3182/100,2)</x:f>
        <x:v>5.43</x:v>
      </x:c>
      <x:c r="O3182" t="str">
        <x:v>生重</x:v>
      </x:c>
    </x:row>
    <x:row r="3183" ht="23" customHeight="1">
      <x:c r="A3183" t="n">
        <x:v>531</x:v>
      </x:c>
      <x:c r="B3183" t="n">
        <x:v>266</x:v>
      </x:c>
      <x:c r="C3183" t="str">
        <x:v>午餐</x:v>
      </x:c>
      <x:c r="D3183" t="str">
        <x:v>豆蛋</x:v>
      </x:c>
      <x:c r="E3183" t="str">
        <x:v>熟毛豆仁</x:v>
      </x:c>
      <x:c r="F3183" t="n">
        <x:v>70</x:v>
      </x:c>
      <x:c r="G3183" t="n">
        <x:v>120</x:v>
      </x:c>
      <x:c r="H3183" t="n">
        <x:f>ROUND(F3183*G3183/100,2)</x:f>
        <x:v>84</x:v>
      </x:c>
      <x:c r="I3183" t="n">
        <x:v>12</x:v>
      </x:c>
      <x:c r="J3183" t="n">
        <x:f>ROUND(F3183*I3183/100,2)</x:f>
        <x:v>8.4</x:v>
      </x:c>
      <x:c r="K3183" t="n">
        <x:v>9</x:v>
      </x:c>
      <x:c r="L3183" t="n">
        <x:f>ROUND(F3183*K3183/100,2)</x:f>
        <x:v>6.3</x:v>
      </x:c>
      <x:c r="M3183" t="n">
        <x:v>5</x:v>
      </x:c>
      <x:c r="N3183" t="n">
        <x:f>ROUND(F3183*M3183/100,2)</x:f>
        <x:v>3.5</x:v>
      </x:c>
      <x:c r="O3183" t="str">
        <x:v>熟重</x:v>
      </x:c>
    </x:row>
    <x:row r="3184" ht="23" customHeight="1">
      <x:c r="A3184" t="n">
        <x:v>531</x:v>
      </x:c>
      <x:c r="B3184" t="n">
        <x:v>266</x:v>
      </x:c>
      <x:c r="C3184" t="str">
        <x:v>午餐</x:v>
      </x:c>
      <x:c r="D3184" t="str">
        <x:v>蔬菜</x:v>
      </x:c>
      <x:c r="E3184" t="str">
        <x:v>莴笋</x:v>
      </x:c>
      <x:c r="F3184" t="n">
        <x:v>160</x:v>
      </x:c>
      <x:c r="G3184" t="n">
        <x:v>15</x:v>
      </x:c>
      <x:c r="H3184" t="n">
        <x:f>ROUND(F3184*G3184/100,2)</x:f>
        <x:v>24</x:v>
      </x:c>
      <x:c r="I3184" t="n">
        <x:v>1</x:v>
      </x:c>
      <x:c r="J3184" t="n">
        <x:f>ROUND(F3184*I3184/100,2)</x:f>
        <x:v>1.6</x:v>
      </x:c>
      <x:c r="K3184" t="n">
        <x:v>2.8</x:v>
      </x:c>
      <x:c r="L3184" t="n">
        <x:f>ROUND(F3184*K3184/100,2)</x:f>
        <x:v>4.48</x:v>
      </x:c>
      <x:c r="M3184" t="n">
        <x:v>0.1</x:v>
      </x:c>
      <x:c r="N3184" t="n">
        <x:f>ROUND(F3184*M3184/100,2)</x:f>
        <x:v>0.16</x:v>
      </x:c>
      <x:c r="O3184" t="str">
        <x:v>生重</x:v>
      </x:c>
    </x:row>
    <x:row r="3185" ht="23" customHeight="1">
      <x:c r="A3185" t="n">
        <x:v>531</x:v>
      </x:c>
      <x:c r="B3185" t="n">
        <x:v>266</x:v>
      </x:c>
      <x:c r="C3185" t="str">
        <x:v>午餐</x:v>
      </x:c>
      <x:c r="D3185" t="str">
        <x:v>菌菇</x:v>
      </x:c>
      <x:c r="E3185" t="str">
        <x:v>杏鲍菇</x:v>
      </x:c>
      <x:c r="F3185" t="n">
        <x:v>140</x:v>
      </x:c>
      <x:c r="G3185" t="n">
        <x:v>35</x:v>
      </x:c>
      <x:c r="H3185" t="n">
        <x:f>ROUND(F3185*G3185/100,2)</x:f>
        <x:v>49</x:v>
      </x:c>
      <x:c r="I3185" t="n">
        <x:v>2</x:v>
      </x:c>
      <x:c r="J3185" t="n">
        <x:f>ROUND(F3185*I3185/100,2)</x:f>
        <x:v>2.8</x:v>
      </x:c>
      <x:c r="K3185" t="n">
        <x:v>7.4</x:v>
      </x:c>
      <x:c r="L3185" t="n">
        <x:f>ROUND(F3185*K3185/100,2)</x:f>
        <x:v>10.36</x:v>
      </x:c>
      <x:c r="M3185" t="n">
        <x:v>0.3</x:v>
      </x:c>
      <x:c r="N3185" t="n">
        <x:f>ROUND(F3185*M3185/100,2)</x:f>
        <x:v>0.42</x:v>
      </x:c>
      <x:c r="O3185" t="str">
        <x:v>生重</x:v>
      </x:c>
    </x:row>
    <x:row r="3186" ht="23" customHeight="1">
      <x:c r="A3186" t="n">
        <x:v>531</x:v>
      </x:c>
      <x:c r="B3186" t="n">
        <x:v>266</x:v>
      </x:c>
      <x:c r="C3186" t="str">
        <x:v>午餐</x:v>
      </x:c>
      <x:c r="D3186" t="str">
        <x:v>主食</x:v>
      </x:c>
      <x:c r="E3186" t="str">
        <x:v>杂粮饭</x:v>
      </x:c>
      <x:c r="F3186" t="n">
        <x:v>135</x:v>
      </x:c>
      <x:c r="G3186" t="n">
        <x:v>115</x:v>
      </x:c>
      <x:c r="H3186" t="n">
        <x:f>ROUND(F3186*G3186/100,2)</x:f>
        <x:v>155.25</x:v>
      </x:c>
      <x:c r="I3186" t="n">
        <x:v>3.1</x:v>
      </x:c>
      <x:c r="J3186" t="n">
        <x:f>ROUND(F3186*I3186/100,2)</x:f>
        <x:v>4.18</x:v>
      </x:c>
      <x:c r="K3186" t="n">
        <x:v>23.5</x:v>
      </x:c>
      <x:c r="L3186" t="n">
        <x:f>ROUND(F3186*K3186/100,2)</x:f>
        <x:v>31.73</x:v>
      </x:c>
      <x:c r="M3186" t="n">
        <x:v>1.1</x:v>
      </x:c>
      <x:c r="N3186" t="n">
        <x:f>ROUND(F3186*M3186/100,2)</x:f>
        <x:v>1.49</x:v>
      </x:c>
      <x:c r="O3186" t="str">
        <x:v>熟重</x:v>
      </x:c>
    </x:row>
    <x:row r="3187" ht="23" customHeight="1">
      <x:c r="A3187" t="n">
        <x:v>531</x:v>
      </x:c>
      <x:c r="B3187" t="n">
        <x:v>266</x:v>
      </x:c>
      <x:c r="C3187" t="str">
        <x:v>午餐</x:v>
      </x:c>
      <x:c r="D3187" t="str">
        <x:v>油脂</x:v>
      </x:c>
      <x:c r="E3187" t="str">
        <x:v>烹调油</x:v>
      </x:c>
      <x:c r="F3187" t="n">
        <x:v>3</x:v>
      </x:c>
      <x:c r="G3187" t="n">
        <x:v>900</x:v>
      </x:c>
      <x:c r="H3187" t="n">
        <x:f>ROUND(F3187*G3187/100,2)</x:f>
        <x:v>27</x:v>
      </x:c>
      <x:c r="I3187" t="n">
        <x:v>0</x:v>
      </x:c>
      <x:c r="J3187" t="n">
        <x:f>ROUND(F3187*I3187/100,2)</x:f>
        <x:v>0</x:v>
      </x:c>
      <x:c r="K3187" t="n">
        <x:v>0</x:v>
      </x:c>
      <x:c r="L3187" t="n">
        <x:f>ROUND(F3187*K3187/100,2)</x:f>
        <x:v>0</x:v>
      </x:c>
      <x:c r="M3187" t="n">
        <x:v>100</x:v>
      </x:c>
      <x:c r="N3187" t="n">
        <x:f>ROUND(F3187*M3187/100,2)</x:f>
        <x:v>3</x:v>
      </x:c>
      <x:c r="O3187" t="str">
        <x:v>实际用油重</x:v>
      </x:c>
    </x:row>
    <x:row r="3188" ht="23" customHeight="1">
      <x:c r="A3188" t="n">
        <x:v>532</x:v>
      </x:c>
      <x:c r="B3188" t="n">
        <x:v>266</x:v>
      </x:c>
      <x:c r="C3188" t="str">
        <x:v>晚餐</x:v>
      </x:c>
      <x:c r="D3188" t="str">
        <x:v>海鲜</x:v>
      </x:c>
      <x:c r="E3188" t="str">
        <x:v>花蛤肉</x:v>
      </x:c>
      <x:c r="F3188" t="n">
        <x:v>190</x:v>
      </x:c>
      <x:c r="G3188" t="n">
        <x:v>75</x:v>
      </x:c>
      <x:c r="H3188" t="n">
        <x:f>ROUND(F3188*G3188/100,2)</x:f>
        <x:v>142.5</x:v>
      </x:c>
      <x:c r="I3188" t="n">
        <x:v>13</x:v>
      </x:c>
      <x:c r="J3188" t="n">
        <x:f>ROUND(F3188*I3188/100,2)</x:f>
        <x:v>24.7</x:v>
      </x:c>
      <x:c r="K3188" t="n">
        <x:v>3.5</x:v>
      </x:c>
      <x:c r="L3188" t="n">
        <x:f>ROUND(F3188*K3188/100,2)</x:f>
        <x:v>6.65</x:v>
      </x:c>
      <x:c r="M3188" t="n">
        <x:v>1</x:v>
      </x:c>
      <x:c r="N3188" t="n">
        <x:f>ROUND(F3188*M3188/100,2)</x:f>
        <x:v>1.9</x:v>
      </x:c>
      <x:c r="O3188" t="str">
        <x:v>净肉生重</x:v>
      </x:c>
    </x:row>
    <x:row r="3189" ht="23" customHeight="1">
      <x:c r="A3189" t="n">
        <x:v>532</x:v>
      </x:c>
      <x:c r="B3189" t="n">
        <x:v>266</x:v>
      </x:c>
      <x:c r="C3189" t="str">
        <x:v>晚餐</x:v>
      </x:c>
      <x:c r="D3189" t="str"/>
      <x:c r="E3189" t="str"/>
      <x:c r="F3189" t="n">
        <x:v>0</x:v>
      </x:c>
      <x:c r="G3189" t="n">
        <x:v>0</x:v>
      </x:c>
      <x:c r="H3189" t="n">
        <x:f>ROUND(F3189*G3189/100,2)</x:f>
        <x:v>0</x:v>
      </x:c>
      <x:c r="I3189" t="n">
        <x:v>0</x:v>
      </x:c>
      <x:c r="J3189" t="n">
        <x:f>ROUND(F3189*I3189/100,2)</x:f>
        <x:v>0</x:v>
      </x:c>
      <x:c r="K3189" t="n">
        <x:v>0</x:v>
      </x:c>
      <x:c r="L3189" t="n">
        <x:f>ROUND(F3189*K3189/100,2)</x:f>
        <x:v>0</x:v>
      </x:c>
      <x:c r="M3189" t="n">
        <x:v>0</x:v>
      </x:c>
      <x:c r="N3189" t="n">
        <x:f>ROUND(F3189*M3189/100,2)</x:f>
        <x:v>0</x:v>
      </x:c>
      <x:c r="O3189" t="str"/>
    </x:row>
    <x:row r="3190" ht="23" customHeight="1">
      <x:c r="A3190" t="n">
        <x:v>532</x:v>
      </x:c>
      <x:c r="B3190" t="n">
        <x:v>266</x:v>
      </x:c>
      <x:c r="C3190" t="str">
        <x:v>晚餐</x:v>
      </x:c>
      <x:c r="D3190" t="str">
        <x:v>蔬菜</x:v>
      </x:c>
      <x:c r="E3190" t="str">
        <x:v>冬瓜</x:v>
      </x:c>
      <x:c r="F3190" t="n">
        <x:v>175</x:v>
      </x:c>
      <x:c r="G3190" t="n">
        <x:v>13</x:v>
      </x:c>
      <x:c r="H3190" t="n">
        <x:f>ROUND(F3190*G3190/100,2)</x:f>
        <x:v>22.75</x:v>
      </x:c>
      <x:c r="I3190" t="n">
        <x:v>0.4</x:v>
      </x:c>
      <x:c r="J3190" t="n">
        <x:f>ROUND(F3190*I3190/100,2)</x:f>
        <x:v>0.7</x:v>
      </x:c>
      <x:c r="K3190" t="n">
        <x:v>3</x:v>
      </x:c>
      <x:c r="L3190" t="n">
        <x:f>ROUND(F3190*K3190/100,2)</x:f>
        <x:v>5.25</x:v>
      </x:c>
      <x:c r="M3190" t="n">
        <x:v>0.2</x:v>
      </x:c>
      <x:c r="N3190" t="n">
        <x:f>ROUND(F3190*M3190/100,2)</x:f>
        <x:v>0.35</x:v>
      </x:c>
      <x:c r="O3190" t="str">
        <x:v>生重</x:v>
      </x:c>
    </x:row>
    <x:row r="3191" ht="23" customHeight="1">
      <x:c r="A3191" t="n">
        <x:v>532</x:v>
      </x:c>
      <x:c r="B3191" t="n">
        <x:v>266</x:v>
      </x:c>
      <x:c r="C3191" t="str">
        <x:v>晚餐</x:v>
      </x:c>
      <x:c r="D3191" t="str">
        <x:v>蔬菜</x:v>
      </x:c>
      <x:c r="E3191" t="str">
        <x:v>白萝卜</x:v>
      </x:c>
      <x:c r="F3191" t="n">
        <x:v>140</x:v>
      </x:c>
      <x:c r="G3191" t="n">
        <x:v>18</x:v>
      </x:c>
      <x:c r="H3191" t="n">
        <x:f>ROUND(F3191*G3191/100,2)</x:f>
        <x:v>25.2</x:v>
      </x:c>
      <x:c r="I3191" t="n">
        <x:v>0.6</x:v>
      </x:c>
      <x:c r="J3191" t="n">
        <x:f>ROUND(F3191*I3191/100,2)</x:f>
        <x:v>0.84</x:v>
      </x:c>
      <x:c r="K3191" t="n">
        <x:v>4</x:v>
      </x:c>
      <x:c r="L3191" t="n">
        <x:f>ROUND(F3191*K3191/100,2)</x:f>
        <x:v>5.6</x:v>
      </x:c>
      <x:c r="M3191" t="n">
        <x:v>0.1</x:v>
      </x:c>
      <x:c r="N3191" t="n">
        <x:f>ROUND(F3191*M3191/100,2)</x:f>
        <x:v>0.14</x:v>
      </x:c>
      <x:c r="O3191" t="str">
        <x:v>生重</x:v>
      </x:c>
    </x:row>
    <x:row r="3192" ht="23" customHeight="1">
      <x:c r="A3192" t="n">
        <x:v>532</x:v>
      </x:c>
      <x:c r="B3192" t="n">
        <x:v>266</x:v>
      </x:c>
      <x:c r="C3192" t="str">
        <x:v>晚餐</x:v>
      </x:c>
      <x:c r="D3192" t="str">
        <x:v>主食</x:v>
      </x:c>
      <x:c r="E3192" t="str">
        <x:v>全麦面</x:v>
      </x:c>
      <x:c r="F3192" t="n">
        <x:v>135</x:v>
      </x:c>
      <x:c r="G3192" t="n">
        <x:v>124</x:v>
      </x:c>
      <x:c r="H3192" t="n">
        <x:f>ROUND(F3192*G3192/100,2)</x:f>
        <x:v>167.4</x:v>
      </x:c>
      <x:c r="I3192" t="n">
        <x:v>5</x:v>
      </x:c>
      <x:c r="J3192" t="n">
        <x:f>ROUND(F3192*I3192/100,2)</x:f>
        <x:v>6.75</x:v>
      </x:c>
      <x:c r="K3192" t="n">
        <x:v>25</x:v>
      </x:c>
      <x:c r="L3192" t="n">
        <x:f>ROUND(F3192*K3192/100,2)</x:f>
        <x:v>33.75</x:v>
      </x:c>
      <x:c r="M3192" t="n">
        <x:v>1.1</x:v>
      </x:c>
      <x:c r="N3192" t="n">
        <x:f>ROUND(F3192*M3192/100,2)</x:f>
        <x:v>1.49</x:v>
      </x:c>
      <x:c r="O3192" t="str">
        <x:v>煮熟沥水重</x:v>
      </x:c>
    </x:row>
    <x:row r="3193" ht="23" customHeight="1">
      <x:c r="A3193" t="n">
        <x:v>532</x:v>
      </x:c>
      <x:c r="B3193" t="n">
        <x:v>266</x:v>
      </x:c>
      <x:c r="C3193" t="str">
        <x:v>晚餐</x:v>
      </x:c>
      <x:c r="D3193" t="str">
        <x:v>油脂</x:v>
      </x:c>
      <x:c r="E3193" t="str">
        <x:v>烹调油</x:v>
      </x:c>
      <x:c r="F3193" t="n">
        <x:v>6</x:v>
      </x:c>
      <x:c r="G3193" t="n">
        <x:v>900</x:v>
      </x:c>
      <x:c r="H3193" t="n">
        <x:f>ROUND(F3193*G3193/100,2)</x:f>
        <x:v>54</x:v>
      </x:c>
      <x:c r="I3193" t="n">
        <x:v>0</x:v>
      </x:c>
      <x:c r="J3193" t="n">
        <x:f>ROUND(F3193*I3193/100,2)</x:f>
        <x:v>0</x:v>
      </x:c>
      <x:c r="K3193" t="n">
        <x:v>0</x:v>
      </x:c>
      <x:c r="L3193" t="n">
        <x:f>ROUND(F3193*K3193/100,2)</x:f>
        <x:v>0</x:v>
      </x:c>
      <x:c r="M3193" t="n">
        <x:v>100</x:v>
      </x:c>
      <x:c r="N3193" t="n">
        <x:f>ROUND(F3193*M3193/100,2)</x:f>
        <x:v>6</x:v>
      </x:c>
      <x:c r="O3193" t="str">
        <x:v>实际用油重</x:v>
      </x:c>
    </x:row>
    <x:row r="3194" ht="23" customHeight="1">
      <x:c r="A3194" t="n">
        <x:v>533</x:v>
      </x:c>
      <x:c r="B3194" t="n">
        <x:v>267</x:v>
      </x:c>
      <x:c r="C3194" t="str">
        <x:v>午餐</x:v>
      </x:c>
      <x:c r="D3194" t="str">
        <x:v>海鲜</x:v>
      </x:c>
      <x:c r="E3194" t="str">
        <x:v>虾仁</x:v>
      </x:c>
      <x:c r="F3194" t="n">
        <x:v>160</x:v>
      </x:c>
      <x:c r="G3194" t="n">
        <x:v>90</x:v>
      </x:c>
      <x:c r="H3194" t="n">
        <x:f>ROUND(F3194*G3194/100,2)</x:f>
        <x:v>144</x:v>
      </x:c>
      <x:c r="I3194" t="n">
        <x:v>19</x:v>
      </x:c>
      <x:c r="J3194" t="n">
        <x:f>ROUND(F3194*I3194/100,2)</x:f>
        <x:v>30.4</x:v>
      </x:c>
      <x:c r="K3194" t="n">
        <x:v>0.4</x:v>
      </x:c>
      <x:c r="L3194" t="n">
        <x:f>ROUND(F3194*K3194/100,2)</x:f>
        <x:v>0.64</x:v>
      </x:c>
      <x:c r="M3194" t="n">
        <x:v>1.1</x:v>
      </x:c>
      <x:c r="N3194" t="n">
        <x:f>ROUND(F3194*M3194/100,2)</x:f>
        <x:v>1.76</x:v>
      </x:c>
      <x:c r="O3194" t="str">
        <x:v>生重</x:v>
      </x:c>
    </x:row>
    <x:row r="3195" ht="23" customHeight="1">
      <x:c r="A3195" t="n">
        <x:v>533</x:v>
      </x:c>
      <x:c r="B3195" t="n">
        <x:v>267</x:v>
      </x:c>
      <x:c r="C3195" t="str">
        <x:v>午餐</x:v>
      </x:c>
      <x:c r="D3195" t="str"/>
      <x:c r="E3195" t="str"/>
      <x:c r="F3195" t="n">
        <x:v>0</x:v>
      </x:c>
      <x:c r="G3195" t="n">
        <x:v>0</x:v>
      </x:c>
      <x:c r="H3195" t="n">
        <x:f>ROUND(F3195*G3195/100,2)</x:f>
        <x:v>0</x:v>
      </x:c>
      <x:c r="I3195" t="n">
        <x:v>0</x:v>
      </x:c>
      <x:c r="J3195" t="n">
        <x:f>ROUND(F3195*I3195/100,2)</x:f>
        <x:v>0</x:v>
      </x:c>
      <x:c r="K3195" t="n">
        <x:v>0</x:v>
      </x:c>
      <x:c r="L3195" t="n">
        <x:f>ROUND(F3195*K3195/100,2)</x:f>
        <x:v>0</x:v>
      </x:c>
      <x:c r="M3195" t="n">
        <x:v>0</x:v>
      </x:c>
      <x:c r="N3195" t="n">
        <x:f>ROUND(F3195*M3195/100,2)</x:f>
        <x:v>0</x:v>
      </x:c>
      <x:c r="O3195" t="str"/>
    </x:row>
    <x:row r="3196" ht="23" customHeight="1">
      <x:c r="A3196" t="n">
        <x:v>533</x:v>
      </x:c>
      <x:c r="B3196" t="n">
        <x:v>267</x:v>
      </x:c>
      <x:c r="C3196" t="str">
        <x:v>午餐</x:v>
      </x:c>
      <x:c r="D3196" t="str">
        <x:v>蔬菜</x:v>
      </x:c>
      <x:c r="E3196" t="str">
        <x:v>四季豆</x:v>
      </x:c>
      <x:c r="F3196" t="n">
        <x:v>175</x:v>
      </x:c>
      <x:c r="G3196" t="n">
        <x:v>31</x:v>
      </x:c>
      <x:c r="H3196" t="n">
        <x:f>ROUND(F3196*G3196/100,2)</x:f>
        <x:v>54.25</x:v>
      </x:c>
      <x:c r="I3196" t="n">
        <x:v>1.8</x:v>
      </x:c>
      <x:c r="J3196" t="n">
        <x:f>ROUND(F3196*I3196/100,2)</x:f>
        <x:v>3.15</x:v>
      </x:c>
      <x:c r="K3196" t="n">
        <x:v>7</x:v>
      </x:c>
      <x:c r="L3196" t="n">
        <x:f>ROUND(F3196*K3196/100,2)</x:f>
        <x:v>12.25</x:v>
      </x:c>
      <x:c r="M3196" t="n">
        <x:v>0.1</x:v>
      </x:c>
      <x:c r="N3196" t="n">
        <x:f>ROUND(F3196*M3196/100,2)</x:f>
        <x:v>0.18</x:v>
      </x:c>
      <x:c r="O3196" t="str">
        <x:v>生重</x:v>
      </x:c>
    </x:row>
    <x:row r="3197" ht="23" customHeight="1">
      <x:c r="A3197" t="n">
        <x:v>533</x:v>
      </x:c>
      <x:c r="B3197" t="n">
        <x:v>267</x:v>
      </x:c>
      <x:c r="C3197" t="str">
        <x:v>午餐</x:v>
      </x:c>
      <x:c r="D3197" t="str">
        <x:v>菌菇</x:v>
      </x:c>
      <x:c r="E3197" t="str">
        <x:v>泡发木耳</x:v>
      </x:c>
      <x:c r="F3197" t="n">
        <x:v>125</x:v>
      </x:c>
      <x:c r="G3197" t="n">
        <x:v>25</x:v>
      </x:c>
      <x:c r="H3197" t="n">
        <x:f>ROUND(F3197*G3197/100,2)</x:f>
        <x:v>31.25</x:v>
      </x:c>
      <x:c r="I3197" t="n">
        <x:v>1.5</x:v>
      </x:c>
      <x:c r="J3197" t="n">
        <x:f>ROUND(F3197*I3197/100,2)</x:f>
        <x:v>1.88</x:v>
      </x:c>
      <x:c r="K3197" t="n">
        <x:v>6</x:v>
      </x:c>
      <x:c r="L3197" t="n">
        <x:f>ROUND(F3197*K3197/100,2)</x:f>
        <x:v>7.5</x:v>
      </x:c>
      <x:c r="M3197" t="n">
        <x:v>0.1</x:v>
      </x:c>
      <x:c r="N3197" t="n">
        <x:f>ROUND(F3197*M3197/100,2)</x:f>
        <x:v>0.13</x:v>
      </x:c>
      <x:c r="O3197" t="str">
        <x:v>泡发沥水重</x:v>
      </x:c>
    </x:row>
    <x:row r="3198" ht="23" customHeight="1">
      <x:c r="A3198" t="n">
        <x:v>533</x:v>
      </x:c>
      <x:c r="B3198" t="n">
        <x:v>267</x:v>
      </x:c>
      <x:c r="C3198" t="str">
        <x:v>午餐</x:v>
      </x:c>
      <x:c r="D3198" t="str">
        <x:v>主食</x:v>
      </x:c>
      <x:c r="E3198" t="str">
        <x:v>土豆</x:v>
      </x:c>
      <x:c r="F3198" t="n">
        <x:v>130</x:v>
      </x:c>
      <x:c r="G3198" t="n">
        <x:v>78</x:v>
      </x:c>
      <x:c r="H3198" t="n">
        <x:f>ROUND(F3198*G3198/100,2)</x:f>
        <x:v>101.4</x:v>
      </x:c>
      <x:c r="I3198" t="n">
        <x:v>2</x:v>
      </x:c>
      <x:c r="J3198" t="n">
        <x:f>ROUND(F3198*I3198/100,2)</x:f>
        <x:v>2.6</x:v>
      </x:c>
      <x:c r="K3198" t="n">
        <x:v>17.2</x:v>
      </x:c>
      <x:c r="L3198" t="n">
        <x:f>ROUND(F3198*K3198/100,2)</x:f>
        <x:v>22.36</x:v>
      </x:c>
      <x:c r="M3198" t="n">
        <x:v>0.1</x:v>
      </x:c>
      <x:c r="N3198" t="n">
        <x:f>ROUND(F3198*M3198/100,2)</x:f>
        <x:v>0.13</x:v>
      </x:c>
      <x:c r="O3198" t="str">
        <x:v>蒸熟净重</x:v>
      </x:c>
    </x:row>
    <x:row r="3199" ht="23" customHeight="1">
      <x:c r="A3199" t="n">
        <x:v>533</x:v>
      </x:c>
      <x:c r="B3199" t="n">
        <x:v>267</x:v>
      </x:c>
      <x:c r="C3199" t="str">
        <x:v>午餐</x:v>
      </x:c>
      <x:c r="D3199" t="str">
        <x:v>油脂</x:v>
      </x:c>
      <x:c r="E3199" t="str">
        <x:v>烹调油</x:v>
      </x:c>
      <x:c r="F3199" t="n">
        <x:v>4</x:v>
      </x:c>
      <x:c r="G3199" t="n">
        <x:v>900</x:v>
      </x:c>
      <x:c r="H3199" t="n">
        <x:f>ROUND(F3199*G3199/100,2)</x:f>
        <x:v>36</x:v>
      </x:c>
      <x:c r="I3199" t="n">
        <x:v>0</x:v>
      </x:c>
      <x:c r="J3199" t="n">
        <x:f>ROUND(F3199*I3199/100,2)</x:f>
        <x:v>0</x:v>
      </x:c>
      <x:c r="K3199" t="n">
        <x:v>0</x:v>
      </x:c>
      <x:c r="L3199" t="n">
        <x:f>ROUND(F3199*K3199/100,2)</x:f>
        <x:v>0</x:v>
      </x:c>
      <x:c r="M3199" t="n">
        <x:v>100</x:v>
      </x:c>
      <x:c r="N3199" t="n">
        <x:f>ROUND(F3199*M3199/100,2)</x:f>
        <x:v>4</x:v>
      </x:c>
      <x:c r="O3199" t="str">
        <x:v>实际用油重</x:v>
      </x:c>
    </x:row>
    <x:row r="3200" ht="23" customHeight="1">
      <x:c r="A3200" t="n">
        <x:v>534</x:v>
      </x:c>
      <x:c r="B3200" t="n">
        <x:v>267</x:v>
      </x:c>
      <x:c r="C3200" t="str">
        <x:v>晚餐</x:v>
      </x:c>
      <x:c r="D3200" t="str">
        <x:v>豆蛋</x:v>
      </x:c>
      <x:c r="E3200" t="str">
        <x:v>北豆腐</x:v>
      </x:c>
      <x:c r="F3200" t="n">
        <x:v>280</x:v>
      </x:c>
      <x:c r="G3200" t="n">
        <x:v>90</x:v>
      </x:c>
      <x:c r="H3200" t="n">
        <x:f>ROUND(F3200*G3200/100,2)</x:f>
        <x:v>252</x:v>
      </x:c>
      <x:c r="I3200" t="n">
        <x:v>10</x:v>
      </x:c>
      <x:c r="J3200" t="n">
        <x:f>ROUND(F3200*I3200/100,2)</x:f>
        <x:v>28</x:v>
      </x:c>
      <x:c r="K3200" t="n">
        <x:v>2</x:v>
      </x:c>
      <x:c r="L3200" t="n">
        <x:f>ROUND(F3200*K3200/100,2)</x:f>
        <x:v>5.6</x:v>
      </x:c>
      <x:c r="M3200" t="n">
        <x:v>5</x:v>
      </x:c>
      <x:c r="N3200" t="n">
        <x:f>ROUND(F3200*M3200/100,2)</x:f>
        <x:v>14</x:v>
      </x:c>
      <x:c r="O3200" t="str">
        <x:v>净重</x:v>
      </x:c>
    </x:row>
    <x:row r="3201" ht="23" customHeight="1">
      <x:c r="A3201" t="n">
        <x:v>534</x:v>
      </x:c>
      <x:c r="B3201" t="n">
        <x:v>267</x:v>
      </x:c>
      <x:c r="C3201" t="str">
        <x:v>晚餐</x:v>
      </x:c>
      <x:c r="D3201" t="str"/>
      <x:c r="E3201" t="str"/>
      <x:c r="F3201" t="n">
        <x:v>0</x:v>
      </x:c>
      <x:c r="G3201" t="n">
        <x:v>0</x:v>
      </x:c>
      <x:c r="H3201" t="n">
        <x:f>ROUND(F3201*G3201/100,2)</x:f>
        <x:v>0</x:v>
      </x:c>
      <x:c r="I3201" t="n">
        <x:v>0</x:v>
      </x:c>
      <x:c r="J3201" t="n">
        <x:f>ROUND(F3201*I3201/100,2)</x:f>
        <x:v>0</x:v>
      </x:c>
      <x:c r="K3201" t="n">
        <x:v>0</x:v>
      </x:c>
      <x:c r="L3201" t="n">
        <x:f>ROUND(F3201*K3201/100,2)</x:f>
        <x:v>0</x:v>
      </x:c>
      <x:c r="M3201" t="n">
        <x:v>0</x:v>
      </x:c>
      <x:c r="N3201" t="n">
        <x:f>ROUND(F3201*M3201/100,2)</x:f>
        <x:v>0</x:v>
      </x:c>
      <x:c r="O3201" t="str"/>
    </x:row>
    <x:row r="3202" ht="23" customHeight="1">
      <x:c r="A3202" t="n">
        <x:v>534</x:v>
      </x:c>
      <x:c r="B3202" t="n">
        <x:v>267</x:v>
      </x:c>
      <x:c r="C3202" t="str">
        <x:v>晚餐</x:v>
      </x:c>
      <x:c r="D3202" t="str">
        <x:v>蔬菜</x:v>
      </x:c>
      <x:c r="E3202" t="str">
        <x:v>菜心</x:v>
      </x:c>
      <x:c r="F3202" t="n">
        <x:v>140</x:v>
      </x:c>
      <x:c r="G3202" t="n">
        <x:v>20</x:v>
      </x:c>
      <x:c r="H3202" t="n">
        <x:f>ROUND(F3202*G3202/100,2)</x:f>
        <x:v>28</x:v>
      </x:c>
      <x:c r="I3202" t="n">
        <x:v>2</x:v>
      </x:c>
      <x:c r="J3202" t="n">
        <x:f>ROUND(F3202*I3202/100,2)</x:f>
        <x:v>2.8</x:v>
      </x:c>
      <x:c r="K3202" t="n">
        <x:v>3.5</x:v>
      </x:c>
      <x:c r="L3202" t="n">
        <x:f>ROUND(F3202*K3202/100,2)</x:f>
        <x:v>4.9</x:v>
      </x:c>
      <x:c r="M3202" t="n">
        <x:v>0.3</x:v>
      </x:c>
      <x:c r="N3202" t="n">
        <x:f>ROUND(F3202*M3202/100,2)</x:f>
        <x:v>0.42</x:v>
      </x:c>
      <x:c r="O3202" t="str">
        <x:v>生重</x:v>
      </x:c>
    </x:row>
    <x:row r="3203" ht="23" customHeight="1">
      <x:c r="A3203" t="n">
        <x:v>534</x:v>
      </x:c>
      <x:c r="B3203" t="n">
        <x:v>267</x:v>
      </x:c>
      <x:c r="C3203" t="str">
        <x:v>晚餐</x:v>
      </x:c>
      <x:c r="D3203" t="str">
        <x:v>蔬菜</x:v>
      </x:c>
      <x:c r="E3203" t="str">
        <x:v>彩椒</x:v>
      </x:c>
      <x:c r="F3203" t="n">
        <x:v>155</x:v>
      </x:c>
      <x:c r="G3203" t="n">
        <x:v>27</x:v>
      </x:c>
      <x:c r="H3203" t="n">
        <x:f>ROUND(F3203*G3203/100,2)</x:f>
        <x:v>41.85</x:v>
      </x:c>
      <x:c r="I3203" t="n">
        <x:v>1</x:v>
      </x:c>
      <x:c r="J3203" t="n">
        <x:f>ROUND(F3203*I3203/100,2)</x:f>
        <x:v>1.55</x:v>
      </x:c>
      <x:c r="K3203" t="n">
        <x:v>6.1</x:v>
      </x:c>
      <x:c r="L3203" t="n">
        <x:f>ROUND(F3203*K3203/100,2)</x:f>
        <x:v>9.46</x:v>
      </x:c>
      <x:c r="M3203" t="n">
        <x:v>0.2</x:v>
      </x:c>
      <x:c r="N3203" t="n">
        <x:f>ROUND(F3203*M3203/100,2)</x:f>
        <x:v>0.31</x:v>
      </x:c>
      <x:c r="O3203" t="str">
        <x:v>生重</x:v>
      </x:c>
    </x:row>
    <x:row r="3204" ht="23" customHeight="1">
      <x:c r="A3204" t="n">
        <x:v>534</x:v>
      </x:c>
      <x:c r="B3204" t="n">
        <x:v>267</x:v>
      </x:c>
      <x:c r="C3204" t="str">
        <x:v>晚餐</x:v>
      </x:c>
      <x:c r="D3204" t="str">
        <x:v>主食</x:v>
      </x:c>
      <x:c r="E3204" t="str">
        <x:v>燕麦饭</x:v>
      </x:c>
      <x:c r="F3204" t="n">
        <x:v>125</x:v>
      </x:c>
      <x:c r="G3204" t="n">
        <x:v>110</x:v>
      </x:c>
      <x:c r="H3204" t="n">
        <x:f>ROUND(F3204*G3204/100,2)</x:f>
        <x:v>137.5</x:v>
      </x:c>
      <x:c r="I3204" t="n">
        <x:v>3.2</x:v>
      </x:c>
      <x:c r="J3204" t="n">
        <x:f>ROUND(F3204*I3204/100,2)</x:f>
        <x:v>4</x:v>
      </x:c>
      <x:c r="K3204" t="n">
        <x:v>21</x:v>
      </x:c>
      <x:c r="L3204" t="n">
        <x:f>ROUND(F3204*K3204/100,2)</x:f>
        <x:v>26.25</x:v>
      </x:c>
      <x:c r="M3204" t="n">
        <x:v>1.8</x:v>
      </x:c>
      <x:c r="N3204" t="n">
        <x:f>ROUND(F3204*M3204/100,2)</x:f>
        <x:v>2.25</x:v>
      </x:c>
      <x:c r="O3204" t="str">
        <x:v>熟重</x:v>
      </x:c>
    </x:row>
    <x:row r="3205" ht="23" customHeight="1">
      <x:c r="A3205" t="n">
        <x:v>534</x:v>
      </x:c>
      <x:c r="B3205" t="n">
        <x:v>267</x:v>
      </x:c>
      <x:c r="C3205" t="str">
        <x:v>晚餐</x:v>
      </x:c>
      <x:c r="D3205" t="str">
        <x:v>油脂</x:v>
      </x:c>
      <x:c r="E3205" t="str">
        <x:v>烹调油</x:v>
      </x:c>
      <x:c r="F3205" t="n">
        <x:v>4</x:v>
      </x:c>
      <x:c r="G3205" t="n">
        <x:v>900</x:v>
      </x:c>
      <x:c r="H3205" t="n">
        <x:f>ROUND(F3205*G3205/100,2)</x:f>
        <x:v>36</x:v>
      </x:c>
      <x:c r="I3205" t="n">
        <x:v>0</x:v>
      </x:c>
      <x:c r="J3205" t="n">
        <x:f>ROUND(F3205*I3205/100,2)</x:f>
        <x:v>0</x:v>
      </x:c>
      <x:c r="K3205" t="n">
        <x:v>0</x:v>
      </x:c>
      <x:c r="L3205" t="n">
        <x:f>ROUND(F3205*K3205/100,2)</x:f>
        <x:v>0</x:v>
      </x:c>
      <x:c r="M3205" t="n">
        <x:v>100</x:v>
      </x:c>
      <x:c r="N3205" t="n">
        <x:f>ROUND(F3205*M3205/100,2)</x:f>
        <x:v>4</x:v>
      </x:c>
      <x:c r="O3205" t="str">
        <x:v>实际用油重</x:v>
      </x:c>
    </x:row>
    <x:row r="3206" ht="23" customHeight="1">
      <x:c r="A3206" t="n">
        <x:v>535</x:v>
      </x:c>
      <x:c r="B3206" t="n">
        <x:v>268</x:v>
      </x:c>
      <x:c r="C3206" t="str">
        <x:v>午餐</x:v>
      </x:c>
      <x:c r="D3206" t="str">
        <x:v>海鲜</x:v>
      </x:c>
      <x:c r="E3206" t="str">
        <x:v>虾仁</x:v>
      </x:c>
      <x:c r="F3206" t="n">
        <x:v>160</x:v>
      </x:c>
      <x:c r="G3206" t="n">
        <x:v>90</x:v>
      </x:c>
      <x:c r="H3206" t="n">
        <x:f>ROUND(F3206*G3206/100,2)</x:f>
        <x:v>144</x:v>
      </x:c>
      <x:c r="I3206" t="n">
        <x:v>19</x:v>
      </x:c>
      <x:c r="J3206" t="n">
        <x:f>ROUND(F3206*I3206/100,2)</x:f>
        <x:v>30.4</x:v>
      </x:c>
      <x:c r="K3206" t="n">
        <x:v>0.4</x:v>
      </x:c>
      <x:c r="L3206" t="n">
        <x:f>ROUND(F3206*K3206/100,2)</x:f>
        <x:v>0.64</x:v>
      </x:c>
      <x:c r="M3206" t="n">
        <x:v>1.1</x:v>
      </x:c>
      <x:c r="N3206" t="n">
        <x:f>ROUND(F3206*M3206/100,2)</x:f>
        <x:v>1.76</x:v>
      </x:c>
      <x:c r="O3206" t="str">
        <x:v>生重</x:v>
      </x:c>
    </x:row>
    <x:row r="3207" ht="23" customHeight="1">
      <x:c r="A3207" t="n">
        <x:v>535</x:v>
      </x:c>
      <x:c r="B3207" t="n">
        <x:v>268</x:v>
      </x:c>
      <x:c r="C3207" t="str">
        <x:v>午餐</x:v>
      </x:c>
      <x:c r="D3207" t="str"/>
      <x:c r="E3207" t="str"/>
      <x:c r="F3207" t="n">
        <x:v>0</x:v>
      </x:c>
      <x:c r="G3207" t="n">
        <x:v>0</x:v>
      </x:c>
      <x:c r="H3207" t="n">
        <x:f>ROUND(F3207*G3207/100,2)</x:f>
        <x:v>0</x:v>
      </x:c>
      <x:c r="I3207" t="n">
        <x:v>0</x:v>
      </x:c>
      <x:c r="J3207" t="n">
        <x:f>ROUND(F3207*I3207/100,2)</x:f>
        <x:v>0</x:v>
      </x:c>
      <x:c r="K3207" t="n">
        <x:v>0</x:v>
      </x:c>
      <x:c r="L3207" t="n">
        <x:f>ROUND(F3207*K3207/100,2)</x:f>
        <x:v>0</x:v>
      </x:c>
      <x:c r="M3207" t="n">
        <x:v>0</x:v>
      </x:c>
      <x:c r="N3207" t="n">
        <x:f>ROUND(F3207*M3207/100,2)</x:f>
        <x:v>0</x:v>
      </x:c>
      <x:c r="O3207" t="str"/>
    </x:row>
    <x:row r="3208" ht="23" customHeight="1">
      <x:c r="A3208" t="n">
        <x:v>535</x:v>
      </x:c>
      <x:c r="B3208" t="n">
        <x:v>268</x:v>
      </x:c>
      <x:c r="C3208" t="str">
        <x:v>午餐</x:v>
      </x:c>
      <x:c r="D3208" t="str">
        <x:v>蔬菜</x:v>
      </x:c>
      <x:c r="E3208" t="str">
        <x:v>秋葵</x:v>
      </x:c>
      <x:c r="F3208" t="n">
        <x:v>160</x:v>
      </x:c>
      <x:c r="G3208" t="n">
        <x:v>33</x:v>
      </x:c>
      <x:c r="H3208" t="n">
        <x:f>ROUND(F3208*G3208/100,2)</x:f>
        <x:v>52.8</x:v>
      </x:c>
      <x:c r="I3208" t="n">
        <x:v>1.9</x:v>
      </x:c>
      <x:c r="J3208" t="n">
        <x:f>ROUND(F3208*I3208/100,2)</x:f>
        <x:v>3.04</x:v>
      </x:c>
      <x:c r="K3208" t="n">
        <x:v>7.5</x:v>
      </x:c>
      <x:c r="L3208" t="n">
        <x:f>ROUND(F3208*K3208/100,2)</x:f>
        <x:v>12</x:v>
      </x:c>
      <x:c r="M3208" t="n">
        <x:v>0.2</x:v>
      </x:c>
      <x:c r="N3208" t="n">
        <x:f>ROUND(F3208*M3208/100,2)</x:f>
        <x:v>0.32</x:v>
      </x:c>
      <x:c r="O3208" t="str">
        <x:v>生重</x:v>
      </x:c>
    </x:row>
    <x:row r="3209" ht="23" customHeight="1">
      <x:c r="A3209" t="n">
        <x:v>535</x:v>
      </x:c>
      <x:c r="B3209" t="n">
        <x:v>268</x:v>
      </x:c>
      <x:c r="C3209" t="str">
        <x:v>午餐</x:v>
      </x:c>
      <x:c r="D3209" t="str">
        <x:v>蔬菜</x:v>
      </x:c>
      <x:c r="E3209" t="str">
        <x:v>白萝卜</x:v>
      </x:c>
      <x:c r="F3209" t="n">
        <x:v>140</x:v>
      </x:c>
      <x:c r="G3209" t="n">
        <x:v>18</x:v>
      </x:c>
      <x:c r="H3209" t="n">
        <x:f>ROUND(F3209*G3209/100,2)</x:f>
        <x:v>25.2</x:v>
      </x:c>
      <x:c r="I3209" t="n">
        <x:v>0.6</x:v>
      </x:c>
      <x:c r="J3209" t="n">
        <x:f>ROUND(F3209*I3209/100,2)</x:f>
        <x:v>0.84</x:v>
      </x:c>
      <x:c r="K3209" t="n">
        <x:v>4</x:v>
      </x:c>
      <x:c r="L3209" t="n">
        <x:f>ROUND(F3209*K3209/100,2)</x:f>
        <x:v>5.6</x:v>
      </x:c>
      <x:c r="M3209" t="n">
        <x:v>0.1</x:v>
      </x:c>
      <x:c r="N3209" t="n">
        <x:f>ROUND(F3209*M3209/100,2)</x:f>
        <x:v>0.14</x:v>
      </x:c>
      <x:c r="O3209" t="str">
        <x:v>生重</x:v>
      </x:c>
    </x:row>
    <x:row r="3210" ht="23" customHeight="1">
      <x:c r="A3210" t="n">
        <x:v>535</x:v>
      </x:c>
      <x:c r="B3210" t="n">
        <x:v>268</x:v>
      </x:c>
      <x:c r="C3210" t="str">
        <x:v>午餐</x:v>
      </x:c>
      <x:c r="D3210" t="str">
        <x:v>主食</x:v>
      </x:c>
      <x:c r="E3210" t="str">
        <x:v>山药</x:v>
      </x:c>
      <x:c r="F3210" t="n">
        <x:v>150</x:v>
      </x:c>
      <x:c r="G3210" t="n">
        <x:v>62</x:v>
      </x:c>
      <x:c r="H3210" t="n">
        <x:f>ROUND(F3210*G3210/100,2)</x:f>
        <x:v>93</x:v>
      </x:c>
      <x:c r="I3210" t="n">
        <x:v>1.5</x:v>
      </x:c>
      <x:c r="J3210" t="n">
        <x:f>ROUND(F3210*I3210/100,2)</x:f>
        <x:v>2.25</x:v>
      </x:c>
      <x:c r="K3210" t="n">
        <x:v>14.1</x:v>
      </x:c>
      <x:c r="L3210" t="n">
        <x:f>ROUND(F3210*K3210/100,2)</x:f>
        <x:v>21.15</x:v>
      </x:c>
      <x:c r="M3210" t="n">
        <x:v>0.1</x:v>
      </x:c>
      <x:c r="N3210" t="n">
        <x:f>ROUND(F3210*M3210/100,2)</x:f>
        <x:v>0.15</x:v>
      </x:c>
      <x:c r="O3210" t="str">
        <x:v>蒸熟净重</x:v>
      </x:c>
    </x:row>
    <x:row r="3211" ht="23" customHeight="1">
      <x:c r="A3211" t="n">
        <x:v>535</x:v>
      </x:c>
      <x:c r="B3211" t="n">
        <x:v>268</x:v>
      </x:c>
      <x:c r="C3211" t="str">
        <x:v>午餐</x:v>
      </x:c>
      <x:c r="D3211" t="str">
        <x:v>油脂</x:v>
      </x:c>
      <x:c r="E3211" t="str">
        <x:v>烹调油</x:v>
      </x:c>
      <x:c r="F3211" t="n">
        <x:v>6</x:v>
      </x:c>
      <x:c r="G3211" t="n">
        <x:v>900</x:v>
      </x:c>
      <x:c r="H3211" t="n">
        <x:f>ROUND(F3211*G3211/100,2)</x:f>
        <x:v>54</x:v>
      </x:c>
      <x:c r="I3211" t="n">
        <x:v>0</x:v>
      </x:c>
      <x:c r="J3211" t="n">
        <x:f>ROUND(F3211*I3211/100,2)</x:f>
        <x:v>0</x:v>
      </x:c>
      <x:c r="K3211" t="n">
        <x:v>0</x:v>
      </x:c>
      <x:c r="L3211" t="n">
        <x:f>ROUND(F3211*K3211/100,2)</x:f>
        <x:v>0</x:v>
      </x:c>
      <x:c r="M3211" t="n">
        <x:v>100</x:v>
      </x:c>
      <x:c r="N3211" t="n">
        <x:f>ROUND(F3211*M3211/100,2)</x:f>
        <x:v>6</x:v>
      </x:c>
      <x:c r="O3211" t="str">
        <x:v>实际用油重</x:v>
      </x:c>
    </x:row>
    <x:row r="3212" ht="23" customHeight="1">
      <x:c r="A3212" t="n">
        <x:v>536</x:v>
      </x:c>
      <x:c r="B3212" t="n">
        <x:v>268</x:v>
      </x:c>
      <x:c r="C3212" t="str">
        <x:v>晚餐</x:v>
      </x:c>
      <x:c r="D3212" t="str">
        <x:v>豆蛋</x:v>
      </x:c>
      <x:c r="E3212" t="str">
        <x:v>北豆腐</x:v>
      </x:c>
      <x:c r="F3212" t="n">
        <x:v>260</x:v>
      </x:c>
      <x:c r="G3212" t="n">
        <x:v>90</x:v>
      </x:c>
      <x:c r="H3212" t="n">
        <x:f>ROUND(F3212*G3212/100,2)</x:f>
        <x:v>234</x:v>
      </x:c>
      <x:c r="I3212" t="n">
        <x:v>10</x:v>
      </x:c>
      <x:c r="J3212" t="n">
        <x:f>ROUND(F3212*I3212/100,2)</x:f>
        <x:v>26</x:v>
      </x:c>
      <x:c r="K3212" t="n">
        <x:v>2</x:v>
      </x:c>
      <x:c r="L3212" t="n">
        <x:f>ROUND(F3212*K3212/100,2)</x:f>
        <x:v>5.2</x:v>
      </x:c>
      <x:c r="M3212" t="n">
        <x:v>5</x:v>
      </x:c>
      <x:c r="N3212" t="n">
        <x:f>ROUND(F3212*M3212/100,2)</x:f>
        <x:v>13</x:v>
      </x:c>
      <x:c r="O3212" t="str">
        <x:v>净重</x:v>
      </x:c>
    </x:row>
    <x:row r="3213" ht="23" customHeight="1">
      <x:c r="A3213" t="n">
        <x:v>536</x:v>
      </x:c>
      <x:c r="B3213" t="n">
        <x:v>268</x:v>
      </x:c>
      <x:c r="C3213" t="str">
        <x:v>晚餐</x:v>
      </x:c>
      <x:c r="D3213" t="str">
        <x:v>豆蛋</x:v>
      </x:c>
      <x:c r="E3213" t="str">
        <x:v>鸡蛋</x:v>
      </x:c>
      <x:c r="F3213" t="n">
        <x:v>85</x:v>
      </x:c>
      <x:c r="G3213" t="n">
        <x:v>144</x:v>
      </x:c>
      <x:c r="H3213" t="n">
        <x:f>ROUND(F3213*G3213/100,2)</x:f>
        <x:v>122.4</x:v>
      </x:c>
      <x:c r="I3213" t="n">
        <x:v>13</x:v>
      </x:c>
      <x:c r="J3213" t="n">
        <x:f>ROUND(F3213*I3213/100,2)</x:f>
        <x:v>11.05</x:v>
      </x:c>
      <x:c r="K3213" t="n">
        <x:v>1.1</x:v>
      </x:c>
      <x:c r="L3213" t="n">
        <x:f>ROUND(F3213*K3213/100,2)</x:f>
        <x:v>0.94</x:v>
      </x:c>
      <x:c r="M3213" t="n">
        <x:v>10</x:v>
      </x:c>
      <x:c r="N3213" t="n">
        <x:f>ROUND(F3213*M3213/100,2)</x:f>
        <x:v>8.5</x:v>
      </x:c>
      <x:c r="O3213" t="str">
        <x:v>去壳可食重</x:v>
      </x:c>
    </x:row>
    <x:row r="3214" ht="23" customHeight="1">
      <x:c r="A3214" t="n">
        <x:v>536</x:v>
      </x:c>
      <x:c r="B3214" t="n">
        <x:v>268</x:v>
      </x:c>
      <x:c r="C3214" t="str">
        <x:v>晚餐</x:v>
      </x:c>
      <x:c r="D3214" t="str">
        <x:v>蔬菜</x:v>
      </x:c>
      <x:c r="E3214" t="str">
        <x:v>小白菜</x:v>
      </x:c>
      <x:c r="F3214" t="n">
        <x:v>175</x:v>
      </x:c>
      <x:c r="G3214" t="n">
        <x:v>17</x:v>
      </x:c>
      <x:c r="H3214" t="n">
        <x:f>ROUND(F3214*G3214/100,2)</x:f>
        <x:v>29.75</x:v>
      </x:c>
      <x:c r="I3214" t="n">
        <x:v>1.6</x:v>
      </x:c>
      <x:c r="J3214" t="n">
        <x:f>ROUND(F3214*I3214/100,2)</x:f>
        <x:v>2.8</x:v>
      </x:c>
      <x:c r="K3214" t="n">
        <x:v>2.8</x:v>
      </x:c>
      <x:c r="L3214" t="n">
        <x:f>ROUND(F3214*K3214/100,2)</x:f>
        <x:v>4.9</x:v>
      </x:c>
      <x:c r="M3214" t="n">
        <x:v>0.2</x:v>
      </x:c>
      <x:c r="N3214" t="n">
        <x:f>ROUND(F3214*M3214/100,2)</x:f>
        <x:v>0.35</x:v>
      </x:c>
      <x:c r="O3214" t="str">
        <x:v>生重</x:v>
      </x:c>
    </x:row>
    <x:row r="3215" ht="23" customHeight="1">
      <x:c r="A3215" t="n">
        <x:v>536</x:v>
      </x:c>
      <x:c r="B3215" t="n">
        <x:v>268</x:v>
      </x:c>
      <x:c r="C3215" t="str">
        <x:v>晚餐</x:v>
      </x:c>
      <x:c r="D3215" t="str">
        <x:v>蔬菜</x:v>
      </x:c>
      <x:c r="E3215" t="str">
        <x:v>冬瓜</x:v>
      </x:c>
      <x:c r="F3215" t="n">
        <x:v>125</x:v>
      </x:c>
      <x:c r="G3215" t="n">
        <x:v>13</x:v>
      </x:c>
      <x:c r="H3215" t="n">
        <x:f>ROUND(F3215*G3215/100,2)</x:f>
        <x:v>16.25</x:v>
      </x:c>
      <x:c r="I3215" t="n">
        <x:v>0.4</x:v>
      </x:c>
      <x:c r="J3215" t="n">
        <x:f>ROUND(F3215*I3215/100,2)</x:f>
        <x:v>0.5</x:v>
      </x:c>
      <x:c r="K3215" t="n">
        <x:v>3</x:v>
      </x:c>
      <x:c r="L3215" t="n">
        <x:f>ROUND(F3215*K3215/100,2)</x:f>
        <x:v>3.75</x:v>
      </x:c>
      <x:c r="M3215" t="n">
        <x:v>0.2</x:v>
      </x:c>
      <x:c r="N3215" t="n">
        <x:f>ROUND(F3215*M3215/100,2)</x:f>
        <x:v>0.25</x:v>
      </x:c>
      <x:c r="O3215" t="str">
        <x:v>生重</x:v>
      </x:c>
    </x:row>
    <x:row r="3216" ht="23" customHeight="1">
      <x:c r="A3216" t="n">
        <x:v>536</x:v>
      </x:c>
      <x:c r="B3216" t="n">
        <x:v>268</x:v>
      </x:c>
      <x:c r="C3216" t="str">
        <x:v>晚餐</x:v>
      </x:c>
      <x:c r="D3216" t="str">
        <x:v>主食</x:v>
      </x:c>
      <x:c r="E3216" t="str">
        <x:v>山药</x:v>
      </x:c>
      <x:c r="F3216" t="n">
        <x:v>95</x:v>
      </x:c>
      <x:c r="G3216" t="n">
        <x:v>62</x:v>
      </x:c>
      <x:c r="H3216" t="n">
        <x:f>ROUND(F3216*G3216/100,2)</x:f>
        <x:v>58.9</x:v>
      </x:c>
      <x:c r="I3216" t="n">
        <x:v>1.5</x:v>
      </x:c>
      <x:c r="J3216" t="n">
        <x:f>ROUND(F3216*I3216/100,2)</x:f>
        <x:v>1.43</x:v>
      </x:c>
      <x:c r="K3216" t="n">
        <x:v>14.1</x:v>
      </x:c>
      <x:c r="L3216" t="n">
        <x:f>ROUND(F3216*K3216/100,2)</x:f>
        <x:v>13.4</x:v>
      </x:c>
      <x:c r="M3216" t="n">
        <x:v>0.1</x:v>
      </x:c>
      <x:c r="N3216" t="n">
        <x:f>ROUND(F3216*M3216/100,2)</x:f>
        <x:v>0.1</x:v>
      </x:c>
      <x:c r="O3216" t="str">
        <x:v>蒸熟净重</x:v>
      </x:c>
    </x:row>
    <x:row r="3217" ht="23" customHeight="1">
      <x:c r="A3217" t="n">
        <x:v>536</x:v>
      </x:c>
      <x:c r="B3217" t="n">
        <x:v>268</x:v>
      </x:c>
      <x:c r="C3217" t="str">
        <x:v>晚餐</x:v>
      </x:c>
      <x:c r="D3217" t="str">
        <x:v>油脂</x:v>
      </x:c>
      <x:c r="E3217" t="str">
        <x:v>烹调油</x:v>
      </x:c>
      <x:c r="F3217" t="n">
        <x:v>3</x:v>
      </x:c>
      <x:c r="G3217" t="n">
        <x:v>900</x:v>
      </x:c>
      <x:c r="H3217" t="n">
        <x:f>ROUND(F3217*G3217/100,2)</x:f>
        <x:v>27</x:v>
      </x:c>
      <x:c r="I3217" t="n">
        <x:v>0</x:v>
      </x:c>
      <x:c r="J3217" t="n">
        <x:f>ROUND(F3217*I3217/100,2)</x:f>
        <x:v>0</x:v>
      </x:c>
      <x:c r="K3217" t="n">
        <x:v>0</x:v>
      </x:c>
      <x:c r="L3217" t="n">
        <x:f>ROUND(F3217*K3217/100,2)</x:f>
        <x:v>0</x:v>
      </x:c>
      <x:c r="M3217" t="n">
        <x:v>100</x:v>
      </x:c>
      <x:c r="N3217" t="n">
        <x:f>ROUND(F3217*M3217/100,2)</x:f>
        <x:v>3</x:v>
      </x:c>
      <x:c r="O3217" t="str">
        <x:v>实际用油重</x:v>
      </x:c>
    </x:row>
    <x:row r="3218" ht="23" customHeight="1">
      <x:c r="A3218" t="n">
        <x:v>537</x:v>
      </x:c>
      <x:c r="B3218" t="n">
        <x:v>269</x:v>
      </x:c>
      <x:c r="C3218" t="str">
        <x:v>午餐</x:v>
      </x:c>
      <x:c r="D3218" t="str">
        <x:v>鱼类</x:v>
      </x:c>
      <x:c r="E3218" t="str">
        <x:v>鲈鱼</x:v>
      </x:c>
      <x:c r="F3218" t="n">
        <x:v>175</x:v>
      </x:c>
      <x:c r="G3218" t="n">
        <x:v>105</x:v>
      </x:c>
      <x:c r="H3218" t="n">
        <x:f>ROUND(F3218*G3218/100,2)</x:f>
        <x:v>183.75</x:v>
      </x:c>
      <x:c r="I3218" t="n">
        <x:v>19</x:v>
      </x:c>
      <x:c r="J3218" t="n">
        <x:f>ROUND(F3218*I3218/100,2)</x:f>
        <x:v>33.25</x:v>
      </x:c>
      <x:c r="K3218" t="n">
        <x:v>0</x:v>
      </x:c>
      <x:c r="L3218" t="n">
        <x:f>ROUND(F3218*K3218/100,2)</x:f>
        <x:v>0</x:v>
      </x:c>
      <x:c r="M3218" t="n">
        <x:v>3</x:v>
      </x:c>
      <x:c r="N3218" t="n">
        <x:f>ROUND(F3218*M3218/100,2)</x:f>
        <x:v>5.25</x:v>
      </x:c>
      <x:c r="O3218" t="str">
        <x:v>净鱼肉生重</x:v>
      </x:c>
    </x:row>
    <x:row r="3219" ht="23" customHeight="1">
      <x:c r="A3219" t="n">
        <x:v>537</x:v>
      </x:c>
      <x:c r="B3219" t="n">
        <x:v>269</x:v>
      </x:c>
      <x:c r="C3219" t="str">
        <x:v>午餐</x:v>
      </x:c>
      <x:c r="D3219" t="str"/>
      <x:c r="E3219" t="str"/>
      <x:c r="F3219" t="n">
        <x:v>0</x:v>
      </x:c>
      <x:c r="G3219" t="n">
        <x:v>0</x:v>
      </x:c>
      <x:c r="H3219" t="n">
        <x:f>ROUND(F3219*G3219/100,2)</x:f>
        <x:v>0</x:v>
      </x:c>
      <x:c r="I3219" t="n">
        <x:v>0</x:v>
      </x:c>
      <x:c r="J3219" t="n">
        <x:f>ROUND(F3219*I3219/100,2)</x:f>
        <x:v>0</x:v>
      </x:c>
      <x:c r="K3219" t="n">
        <x:v>0</x:v>
      </x:c>
      <x:c r="L3219" t="n">
        <x:f>ROUND(F3219*K3219/100,2)</x:f>
        <x:v>0</x:v>
      </x:c>
      <x:c r="M3219" t="n">
        <x:v>0</x:v>
      </x:c>
      <x:c r="N3219" t="n">
        <x:f>ROUND(F3219*M3219/100,2)</x:f>
        <x:v>0</x:v>
      </x:c>
      <x:c r="O3219" t="str"/>
    </x:row>
    <x:row r="3220" ht="23" customHeight="1">
      <x:c r="A3220" t="n">
        <x:v>537</x:v>
      </x:c>
      <x:c r="B3220" t="n">
        <x:v>269</x:v>
      </x:c>
      <x:c r="C3220" t="str">
        <x:v>午餐</x:v>
      </x:c>
      <x:c r="D3220" t="str">
        <x:v>蔬菜</x:v>
      </x:c>
      <x:c r="E3220" t="str">
        <x:v>四季豆</x:v>
      </x:c>
      <x:c r="F3220" t="n">
        <x:v>175</x:v>
      </x:c>
      <x:c r="G3220" t="n">
        <x:v>31</x:v>
      </x:c>
      <x:c r="H3220" t="n">
        <x:f>ROUND(F3220*G3220/100,2)</x:f>
        <x:v>54.25</x:v>
      </x:c>
      <x:c r="I3220" t="n">
        <x:v>1.8</x:v>
      </x:c>
      <x:c r="J3220" t="n">
        <x:f>ROUND(F3220*I3220/100,2)</x:f>
        <x:v>3.15</x:v>
      </x:c>
      <x:c r="K3220" t="n">
        <x:v>7</x:v>
      </x:c>
      <x:c r="L3220" t="n">
        <x:f>ROUND(F3220*K3220/100,2)</x:f>
        <x:v>12.25</x:v>
      </x:c>
      <x:c r="M3220" t="n">
        <x:v>0.1</x:v>
      </x:c>
      <x:c r="N3220" t="n">
        <x:f>ROUND(F3220*M3220/100,2)</x:f>
        <x:v>0.18</x:v>
      </x:c>
      <x:c r="O3220" t="str">
        <x:v>生重</x:v>
      </x:c>
    </x:row>
    <x:row r="3221" ht="23" customHeight="1">
      <x:c r="A3221" t="n">
        <x:v>537</x:v>
      </x:c>
      <x:c r="B3221" t="n">
        <x:v>269</x:v>
      </x:c>
      <x:c r="C3221" t="str">
        <x:v>午餐</x:v>
      </x:c>
      <x:c r="D3221" t="str">
        <x:v>菌菇</x:v>
      </x:c>
      <x:c r="E3221" t="str">
        <x:v>金针菇</x:v>
      </x:c>
      <x:c r="F3221" t="n">
        <x:v>140</x:v>
      </x:c>
      <x:c r="G3221" t="n">
        <x:v>32</x:v>
      </x:c>
      <x:c r="H3221" t="n">
        <x:f>ROUND(F3221*G3221/100,2)</x:f>
        <x:v>44.8</x:v>
      </x:c>
      <x:c r="I3221" t="n">
        <x:v>2.4</x:v>
      </x:c>
      <x:c r="J3221" t="n">
        <x:f>ROUND(F3221*I3221/100,2)</x:f>
        <x:v>3.36</x:v>
      </x:c>
      <x:c r="K3221" t="n">
        <x:v>6.4</x:v>
      </x:c>
      <x:c r="L3221" t="n">
        <x:f>ROUND(F3221*K3221/100,2)</x:f>
        <x:v>8.96</x:v>
      </x:c>
      <x:c r="M3221" t="n">
        <x:v>0.2</x:v>
      </x:c>
      <x:c r="N3221" t="n">
        <x:f>ROUND(F3221*M3221/100,2)</x:f>
        <x:v>0.28</x:v>
      </x:c>
      <x:c r="O3221" t="str">
        <x:v>生重</x:v>
      </x:c>
    </x:row>
    <x:row r="3222" ht="23" customHeight="1">
      <x:c r="A3222" t="n">
        <x:v>537</x:v>
      </x:c>
      <x:c r="B3222" t="n">
        <x:v>269</x:v>
      </x:c>
      <x:c r="C3222" t="str">
        <x:v>午餐</x:v>
      </x:c>
      <x:c r="D3222" t="str">
        <x:v>主食</x:v>
      </x:c>
      <x:c r="E3222" t="str">
        <x:v>荞麦饭</x:v>
      </x:c>
      <x:c r="F3222" t="n">
        <x:v>110</x:v>
      </x:c>
      <x:c r="G3222" t="n">
        <x:v>110</x:v>
      </x:c>
      <x:c r="H3222" t="n">
        <x:f>ROUND(F3222*G3222/100,2)</x:f>
        <x:v>121</x:v>
      </x:c>
      <x:c r="I3222" t="n">
        <x:v>3.4</x:v>
      </x:c>
      <x:c r="J3222" t="n">
        <x:f>ROUND(F3222*I3222/100,2)</x:f>
        <x:v>3.74</x:v>
      </x:c>
      <x:c r="K3222" t="n">
        <x:v>22</x:v>
      </x:c>
      <x:c r="L3222" t="n">
        <x:f>ROUND(F3222*K3222/100,2)</x:f>
        <x:v>24.2</x:v>
      </x:c>
      <x:c r="M3222" t="n">
        <x:v>1.1</x:v>
      </x:c>
      <x:c r="N3222" t="n">
        <x:f>ROUND(F3222*M3222/100,2)</x:f>
        <x:v>1.21</x:v>
      </x:c>
      <x:c r="O3222" t="str">
        <x:v>熟重</x:v>
      </x:c>
    </x:row>
    <x:row r="3223" ht="23" customHeight="1">
      <x:c r="A3223" t="n">
        <x:v>537</x:v>
      </x:c>
      <x:c r="B3223" t="n">
        <x:v>269</x:v>
      </x:c>
      <x:c r="C3223" t="str">
        <x:v>午餐</x:v>
      </x:c>
      <x:c r="D3223" t="str">
        <x:v>油脂</x:v>
      </x:c>
      <x:c r="E3223" t="str">
        <x:v>烹调油</x:v>
      </x:c>
      <x:c r="F3223" t="n">
        <x:v>4</x:v>
      </x:c>
      <x:c r="G3223" t="n">
        <x:v>900</x:v>
      </x:c>
      <x:c r="H3223" t="n">
        <x:f>ROUND(F3223*G3223/100,2)</x:f>
        <x:v>36</x:v>
      </x:c>
      <x:c r="I3223" t="n">
        <x:v>0</x:v>
      </x:c>
      <x:c r="J3223" t="n">
        <x:f>ROUND(F3223*I3223/100,2)</x:f>
        <x:v>0</x:v>
      </x:c>
      <x:c r="K3223" t="n">
        <x:v>0</x:v>
      </x:c>
      <x:c r="L3223" t="n">
        <x:f>ROUND(F3223*K3223/100,2)</x:f>
        <x:v>0</x:v>
      </x:c>
      <x:c r="M3223" t="n">
        <x:v>100</x:v>
      </x:c>
      <x:c r="N3223" t="n">
        <x:f>ROUND(F3223*M3223/100,2)</x:f>
        <x:v>4</x:v>
      </x:c>
      <x:c r="O3223" t="str">
        <x:v>实际用油重</x:v>
      </x:c>
    </x:row>
    <x:row r="3224" ht="23" customHeight="1">
      <x:c r="A3224" t="n">
        <x:v>538</x:v>
      </x:c>
      <x:c r="B3224" t="n">
        <x:v>269</x:v>
      </x:c>
      <x:c r="C3224" t="str">
        <x:v>晚餐</x:v>
      </x:c>
      <x:c r="D3224" t="str">
        <x:v>禽肉</x:v>
      </x:c>
      <x:c r="E3224" t="str">
        <x:v>去皮鸭胸肉</x:v>
      </x:c>
      <x:c r="F3224" t="n">
        <x:v>145</x:v>
      </x:c>
      <x:c r="G3224" t="n">
        <x:v>140</x:v>
      </x:c>
      <x:c r="H3224" t="n">
        <x:f>ROUND(F3224*G3224/100,2)</x:f>
        <x:v>203</x:v>
      </x:c>
      <x:c r="I3224" t="n">
        <x:v>19</x:v>
      </x:c>
      <x:c r="J3224" t="n">
        <x:f>ROUND(F3224*I3224/100,2)</x:f>
        <x:v>27.55</x:v>
      </x:c>
      <x:c r="K3224" t="n">
        <x:v>0</x:v>
      </x:c>
      <x:c r="L3224" t="n">
        <x:f>ROUND(F3224*K3224/100,2)</x:f>
        <x:v>0</x:v>
      </x:c>
      <x:c r="M3224" t="n">
        <x:v>7</x:v>
      </x:c>
      <x:c r="N3224" t="n">
        <x:f>ROUND(F3224*M3224/100,2)</x:f>
        <x:v>10.15</x:v>
      </x:c>
      <x:c r="O3224" t="str">
        <x:v>生重</x:v>
      </x:c>
    </x:row>
    <x:row r="3225" ht="23" customHeight="1">
      <x:c r="A3225" t="n">
        <x:v>538</x:v>
      </x:c>
      <x:c r="B3225" t="n">
        <x:v>269</x:v>
      </x:c>
      <x:c r="C3225" t="str">
        <x:v>晚餐</x:v>
      </x:c>
      <x:c r="D3225" t="str"/>
      <x:c r="E3225" t="str"/>
      <x:c r="F3225" t="n">
        <x:v>0</x:v>
      </x:c>
      <x:c r="G3225" t="n">
        <x:v>0</x:v>
      </x:c>
      <x:c r="H3225" t="n">
        <x:f>ROUND(F3225*G3225/100,2)</x:f>
        <x:v>0</x:v>
      </x:c>
      <x:c r="I3225" t="n">
        <x:v>0</x:v>
      </x:c>
      <x:c r="J3225" t="n">
        <x:f>ROUND(F3225*I3225/100,2)</x:f>
        <x:v>0</x:v>
      </x:c>
      <x:c r="K3225" t="n">
        <x:v>0</x:v>
      </x:c>
      <x:c r="L3225" t="n">
        <x:f>ROUND(F3225*K3225/100,2)</x:f>
        <x:v>0</x:v>
      </x:c>
      <x:c r="M3225" t="n">
        <x:v>0</x:v>
      </x:c>
      <x:c r="N3225" t="n">
        <x:f>ROUND(F3225*M3225/100,2)</x:f>
        <x:v>0</x:v>
      </x:c>
      <x:c r="O3225" t="str"/>
    </x:row>
    <x:row r="3226" ht="23" customHeight="1">
      <x:c r="A3226" t="n">
        <x:v>538</x:v>
      </x:c>
      <x:c r="B3226" t="n">
        <x:v>269</x:v>
      </x:c>
      <x:c r="C3226" t="str">
        <x:v>晚餐</x:v>
      </x:c>
      <x:c r="D3226" t="str">
        <x:v>蔬菜</x:v>
      </x:c>
      <x:c r="E3226" t="str">
        <x:v>芹菜</x:v>
      </x:c>
      <x:c r="F3226" t="n">
        <x:v>140</x:v>
      </x:c>
      <x:c r="G3226" t="n">
        <x:v>17</x:v>
      </x:c>
      <x:c r="H3226" t="n">
        <x:f>ROUND(F3226*G3226/100,2)</x:f>
        <x:v>23.8</x:v>
      </x:c>
      <x:c r="I3226" t="n">
        <x:v>1</x:v>
      </x:c>
      <x:c r="J3226" t="n">
        <x:f>ROUND(F3226*I3226/100,2)</x:f>
        <x:v>1.4</x:v>
      </x:c>
      <x:c r="K3226" t="n">
        <x:v>3.5</x:v>
      </x:c>
      <x:c r="L3226" t="n">
        <x:f>ROUND(F3226*K3226/100,2)</x:f>
        <x:v>4.9</x:v>
      </x:c>
      <x:c r="M3226" t="n">
        <x:v>0.1</x:v>
      </x:c>
      <x:c r="N3226" t="n">
        <x:f>ROUND(F3226*M3226/100,2)</x:f>
        <x:v>0.14</x:v>
      </x:c>
      <x:c r="O3226" t="str">
        <x:v>生重</x:v>
      </x:c>
    </x:row>
    <x:row r="3227" ht="23" customHeight="1">
      <x:c r="A3227" t="n">
        <x:v>538</x:v>
      </x:c>
      <x:c r="B3227" t="n">
        <x:v>269</x:v>
      </x:c>
      <x:c r="C3227" t="str">
        <x:v>晚餐</x:v>
      </x:c>
      <x:c r="D3227" t="str">
        <x:v>蔬菜</x:v>
      </x:c>
      <x:c r="E3227" t="str">
        <x:v>小白菜</x:v>
      </x:c>
      <x:c r="F3227" t="n">
        <x:v>155</x:v>
      </x:c>
      <x:c r="G3227" t="n">
        <x:v>17</x:v>
      </x:c>
      <x:c r="H3227" t="n">
        <x:f>ROUND(F3227*G3227/100,2)</x:f>
        <x:v>26.35</x:v>
      </x:c>
      <x:c r="I3227" t="n">
        <x:v>1.6</x:v>
      </x:c>
      <x:c r="J3227" t="n">
        <x:f>ROUND(F3227*I3227/100,2)</x:f>
        <x:v>2.48</x:v>
      </x:c>
      <x:c r="K3227" t="n">
        <x:v>2.8</x:v>
      </x:c>
      <x:c r="L3227" t="n">
        <x:f>ROUND(F3227*K3227/100,2)</x:f>
        <x:v>4.34</x:v>
      </x:c>
      <x:c r="M3227" t="n">
        <x:v>0.2</x:v>
      </x:c>
      <x:c r="N3227" t="n">
        <x:f>ROUND(F3227*M3227/100,2)</x:f>
        <x:v>0.31</x:v>
      </x:c>
      <x:c r="O3227" t="str">
        <x:v>生重</x:v>
      </x:c>
    </x:row>
    <x:row r="3228" ht="23" customHeight="1">
      <x:c r="A3228" t="n">
        <x:v>538</x:v>
      </x:c>
      <x:c r="B3228" t="n">
        <x:v>269</x:v>
      </x:c>
      <x:c r="C3228" t="str">
        <x:v>晚餐</x:v>
      </x:c>
      <x:c r="D3228" t="str">
        <x:v>主食</x:v>
      </x:c>
      <x:c r="E3228" t="str">
        <x:v>杂粮饭</x:v>
      </x:c>
      <x:c r="F3228" t="n">
        <x:v>125</x:v>
      </x:c>
      <x:c r="G3228" t="n">
        <x:v>115</x:v>
      </x:c>
      <x:c r="H3228" t="n">
        <x:f>ROUND(F3228*G3228/100,2)</x:f>
        <x:v>143.75</x:v>
      </x:c>
      <x:c r="I3228" t="n">
        <x:v>3.1</x:v>
      </x:c>
      <x:c r="J3228" t="n">
        <x:f>ROUND(F3228*I3228/100,2)</x:f>
        <x:v>3.88</x:v>
      </x:c>
      <x:c r="K3228" t="n">
        <x:v>23.5</x:v>
      </x:c>
      <x:c r="L3228" t="n">
        <x:f>ROUND(F3228*K3228/100,2)</x:f>
        <x:v>29.38</x:v>
      </x:c>
      <x:c r="M3228" t="n">
        <x:v>1.1</x:v>
      </x:c>
      <x:c r="N3228" t="n">
        <x:f>ROUND(F3228*M3228/100,2)</x:f>
        <x:v>1.38</x:v>
      </x:c>
      <x:c r="O3228" t="str">
        <x:v>熟重</x:v>
      </x:c>
    </x:row>
    <x:row r="3229" ht="23" customHeight="1">
      <x:c r="A3229" t="n">
        <x:v>538</x:v>
      </x:c>
      <x:c r="B3229" t="n">
        <x:v>269</x:v>
      </x:c>
      <x:c r="C3229" t="str">
        <x:v>晚餐</x:v>
      </x:c>
      <x:c r="D3229" t="str">
        <x:v>油脂</x:v>
      </x:c>
      <x:c r="E3229" t="str">
        <x:v>烹调油</x:v>
      </x:c>
      <x:c r="F3229" t="n">
        <x:v>3</x:v>
      </x:c>
      <x:c r="G3229" t="n">
        <x:v>900</x:v>
      </x:c>
      <x:c r="H3229" t="n">
        <x:f>ROUND(F3229*G3229/100,2)</x:f>
        <x:v>27</x:v>
      </x:c>
      <x:c r="I3229" t="n">
        <x:v>0</x:v>
      </x:c>
      <x:c r="J3229" t="n">
        <x:f>ROUND(F3229*I3229/100,2)</x:f>
        <x:v>0</x:v>
      </x:c>
      <x:c r="K3229" t="n">
        <x:v>0</x:v>
      </x:c>
      <x:c r="L3229" t="n">
        <x:f>ROUND(F3229*K3229/100,2)</x:f>
        <x:v>0</x:v>
      </x:c>
      <x:c r="M3229" t="n">
        <x:v>100</x:v>
      </x:c>
      <x:c r="N3229" t="n">
        <x:f>ROUND(F3229*M3229/100,2)</x:f>
        <x:v>3</x:v>
      </x:c>
      <x:c r="O3229" t="str">
        <x:v>实际用油重</x:v>
      </x:c>
    </x:row>
    <x:row r="3230" ht="23" customHeight="1">
      <x:c r="A3230" t="n">
        <x:v>539</x:v>
      </x:c>
      <x:c r="B3230" t="n">
        <x:v>270</x:v>
      </x:c>
      <x:c r="C3230" t="str">
        <x:v>午餐</x:v>
      </x:c>
      <x:c r="D3230" t="str">
        <x:v>牛肉</x:v>
      </x:c>
      <x:c r="E3230" t="str">
        <x:v>瘦牛肉</x:v>
      </x:c>
      <x:c r="F3230" t="n">
        <x:v>155</x:v>
      </x:c>
      <x:c r="G3230" t="n">
        <x:v>125</x:v>
      </x:c>
      <x:c r="H3230" t="n">
        <x:f>ROUND(F3230*G3230/100,2)</x:f>
        <x:v>193.75</x:v>
      </x:c>
      <x:c r="I3230" t="n">
        <x:v>21</x:v>
      </x:c>
      <x:c r="J3230" t="n">
        <x:f>ROUND(F3230*I3230/100,2)</x:f>
        <x:v>32.55</x:v>
      </x:c>
      <x:c r="K3230" t="n">
        <x:v>0</x:v>
      </x:c>
      <x:c r="L3230" t="n">
        <x:f>ROUND(F3230*K3230/100,2)</x:f>
        <x:v>0</x:v>
      </x:c>
      <x:c r="M3230" t="n">
        <x:v>4</x:v>
      </x:c>
      <x:c r="N3230" t="n">
        <x:f>ROUND(F3230*M3230/100,2)</x:f>
        <x:v>6.2</x:v>
      </x:c>
      <x:c r="O3230" t="str">
        <x:v>生重</x:v>
      </x:c>
    </x:row>
    <x:row r="3231" ht="23" customHeight="1">
      <x:c r="A3231" t="n">
        <x:v>539</x:v>
      </x:c>
      <x:c r="B3231" t="n">
        <x:v>270</x:v>
      </x:c>
      <x:c r="C3231" t="str">
        <x:v>午餐</x:v>
      </x:c>
      <x:c r="D3231" t="str">
        <x:v>豆蛋</x:v>
      </x:c>
      <x:c r="E3231" t="str">
        <x:v>北豆腐</x:v>
      </x:c>
      <x:c r="F3231" t="n">
        <x:v>110</x:v>
      </x:c>
      <x:c r="G3231" t="n">
        <x:v>90</x:v>
      </x:c>
      <x:c r="H3231" t="n">
        <x:f>ROUND(F3231*G3231/100,2)</x:f>
        <x:v>99</x:v>
      </x:c>
      <x:c r="I3231" t="n">
        <x:v>10</x:v>
      </x:c>
      <x:c r="J3231" t="n">
        <x:f>ROUND(F3231*I3231/100,2)</x:f>
        <x:v>11</x:v>
      </x:c>
      <x:c r="K3231" t="n">
        <x:v>2</x:v>
      </x:c>
      <x:c r="L3231" t="n">
        <x:f>ROUND(F3231*K3231/100,2)</x:f>
        <x:v>2.2</x:v>
      </x:c>
      <x:c r="M3231" t="n">
        <x:v>5</x:v>
      </x:c>
      <x:c r="N3231" t="n">
        <x:f>ROUND(F3231*M3231/100,2)</x:f>
        <x:v>5.5</x:v>
      </x:c>
      <x:c r="O3231" t="str">
        <x:v>净重</x:v>
      </x:c>
    </x:row>
    <x:row r="3232" ht="23" customHeight="1">
      <x:c r="A3232" t="n">
        <x:v>539</x:v>
      </x:c>
      <x:c r="B3232" t="n">
        <x:v>270</x:v>
      </x:c>
      <x:c r="C3232" t="str">
        <x:v>午餐</x:v>
      </x:c>
      <x:c r="D3232" t="str">
        <x:v>蔬菜</x:v>
      </x:c>
      <x:c r="E3232" t="str">
        <x:v>番茄</x:v>
      </x:c>
      <x:c r="F3232" t="n">
        <x:v>175</x:v>
      </x:c>
      <x:c r="G3232" t="n">
        <x:v>20</x:v>
      </x:c>
      <x:c r="H3232" t="n">
        <x:f>ROUND(F3232*G3232/100,2)</x:f>
        <x:v>35</x:v>
      </x:c>
      <x:c r="I3232" t="n">
        <x:v>0.9</x:v>
      </x:c>
      <x:c r="J3232" t="n">
        <x:f>ROUND(F3232*I3232/100,2)</x:f>
        <x:v>1.58</x:v>
      </x:c>
      <x:c r="K3232" t="n">
        <x:v>4</x:v>
      </x:c>
      <x:c r="L3232" t="n">
        <x:f>ROUND(F3232*K3232/100,2)</x:f>
        <x:v>7</x:v>
      </x:c>
      <x:c r="M3232" t="n">
        <x:v>0.2</x:v>
      </x:c>
      <x:c r="N3232" t="n">
        <x:f>ROUND(F3232*M3232/100,2)</x:f>
        <x:v>0.35</x:v>
      </x:c>
      <x:c r="O3232" t="str">
        <x:v>生重</x:v>
      </x:c>
    </x:row>
    <x:row r="3233" ht="23" customHeight="1">
      <x:c r="A3233" t="n">
        <x:v>539</x:v>
      </x:c>
      <x:c r="B3233" t="n">
        <x:v>270</x:v>
      </x:c>
      <x:c r="C3233" t="str">
        <x:v>午餐</x:v>
      </x:c>
      <x:c r="D3233" t="str">
        <x:v>蔬菜</x:v>
      </x:c>
      <x:c r="E3233" t="str">
        <x:v>芦笋</x:v>
      </x:c>
      <x:c r="F3233" t="n">
        <x:v>110</x:v>
      </x:c>
      <x:c r="G3233" t="n">
        <x:v>20</x:v>
      </x:c>
      <x:c r="H3233" t="n">
        <x:f>ROUND(F3233*G3233/100,2)</x:f>
        <x:v>22</x:v>
      </x:c>
      <x:c r="I3233" t="n">
        <x:v>2.2</x:v>
      </x:c>
      <x:c r="J3233" t="n">
        <x:f>ROUND(F3233*I3233/100,2)</x:f>
        <x:v>2.42</x:v>
      </x:c>
      <x:c r="K3233" t="n">
        <x:v>3.9</x:v>
      </x:c>
      <x:c r="L3233" t="n">
        <x:f>ROUND(F3233*K3233/100,2)</x:f>
        <x:v>4.29</x:v>
      </x:c>
      <x:c r="M3233" t="n">
        <x:v>0.1</x:v>
      </x:c>
      <x:c r="N3233" t="n">
        <x:f>ROUND(F3233*M3233/100,2)</x:f>
        <x:v>0.11</x:v>
      </x:c>
      <x:c r="O3233" t="str">
        <x:v>生重</x:v>
      </x:c>
    </x:row>
    <x:row r="3234" ht="23" customHeight="1">
      <x:c r="A3234" t="n">
        <x:v>539</x:v>
      </x:c>
      <x:c r="B3234" t="n">
        <x:v>270</x:v>
      </x:c>
      <x:c r="C3234" t="str">
        <x:v>午餐</x:v>
      </x:c>
      <x:c r="D3234" t="str">
        <x:v>主食</x:v>
      </x:c>
      <x:c r="E3234" t="str">
        <x:v>杂粮饭</x:v>
      </x:c>
      <x:c r="F3234" t="n">
        <x:v>125</x:v>
      </x:c>
      <x:c r="G3234" t="n">
        <x:v>115</x:v>
      </x:c>
      <x:c r="H3234" t="n">
        <x:f>ROUND(F3234*G3234/100,2)</x:f>
        <x:v>143.75</x:v>
      </x:c>
      <x:c r="I3234" t="n">
        <x:v>3.1</x:v>
      </x:c>
      <x:c r="J3234" t="n">
        <x:f>ROUND(F3234*I3234/100,2)</x:f>
        <x:v>3.88</x:v>
      </x:c>
      <x:c r="K3234" t="n">
        <x:v>23.5</x:v>
      </x:c>
      <x:c r="L3234" t="n">
        <x:f>ROUND(F3234*K3234/100,2)</x:f>
        <x:v>29.38</x:v>
      </x:c>
      <x:c r="M3234" t="n">
        <x:v>1.1</x:v>
      </x:c>
      <x:c r="N3234" t="n">
        <x:f>ROUND(F3234*M3234/100,2)</x:f>
        <x:v>1.38</x:v>
      </x:c>
      <x:c r="O3234" t="str">
        <x:v>熟重</x:v>
      </x:c>
    </x:row>
    <x:row r="3235" ht="23" customHeight="1">
      <x:c r="A3235" t="n">
        <x:v>539</x:v>
      </x:c>
      <x:c r="B3235" t="n">
        <x:v>270</x:v>
      </x:c>
      <x:c r="C3235" t="str">
        <x:v>午餐</x:v>
      </x:c>
      <x:c r="D3235" t="str">
        <x:v>油脂</x:v>
      </x:c>
      <x:c r="E3235" t="str">
        <x:v>烹调油</x:v>
      </x:c>
      <x:c r="F3235" t="n">
        <x:v>4</x:v>
      </x:c>
      <x:c r="G3235" t="n">
        <x:v>900</x:v>
      </x:c>
      <x:c r="H3235" t="n">
        <x:f>ROUND(F3235*G3235/100,2)</x:f>
        <x:v>36</x:v>
      </x:c>
      <x:c r="I3235" t="n">
        <x:v>0</x:v>
      </x:c>
      <x:c r="J3235" t="n">
        <x:f>ROUND(F3235*I3235/100,2)</x:f>
        <x:v>0</x:v>
      </x:c>
      <x:c r="K3235" t="n">
        <x:v>0</x:v>
      </x:c>
      <x:c r="L3235" t="n">
        <x:f>ROUND(F3235*K3235/100,2)</x:f>
        <x:v>0</x:v>
      </x:c>
      <x:c r="M3235" t="n">
        <x:v>100</x:v>
      </x:c>
      <x:c r="N3235" t="n">
        <x:f>ROUND(F3235*M3235/100,2)</x:f>
        <x:v>4</x:v>
      </x:c>
      <x:c r="O3235" t="str">
        <x:v>实际用油重</x:v>
      </x:c>
    </x:row>
    <x:row r="3236" ht="23" customHeight="1">
      <x:c r="A3236" t="n">
        <x:v>540</x:v>
      </x:c>
      <x:c r="B3236" t="n">
        <x:v>270</x:v>
      </x:c>
      <x:c r="C3236" t="str">
        <x:v>晚餐</x:v>
      </x:c>
      <x:c r="D3236" t="str">
        <x:v>豆蛋</x:v>
      </x:c>
      <x:c r="E3236" t="str">
        <x:v>北豆腐</x:v>
      </x:c>
      <x:c r="F3236" t="n">
        <x:v>240</x:v>
      </x:c>
      <x:c r="G3236" t="n">
        <x:v>90</x:v>
      </x:c>
      <x:c r="H3236" t="n">
        <x:f>ROUND(F3236*G3236/100,2)</x:f>
        <x:v>216</x:v>
      </x:c>
      <x:c r="I3236" t="n">
        <x:v>10</x:v>
      </x:c>
      <x:c r="J3236" t="n">
        <x:f>ROUND(F3236*I3236/100,2)</x:f>
        <x:v>24</x:v>
      </x:c>
      <x:c r="K3236" t="n">
        <x:v>2</x:v>
      </x:c>
      <x:c r="L3236" t="n">
        <x:f>ROUND(F3236*K3236/100,2)</x:f>
        <x:v>4.8</x:v>
      </x:c>
      <x:c r="M3236" t="n">
        <x:v>5</x:v>
      </x:c>
      <x:c r="N3236" t="n">
        <x:f>ROUND(F3236*M3236/100,2)</x:f>
        <x:v>12</x:v>
      </x:c>
      <x:c r="O3236" t="str">
        <x:v>净重</x:v>
      </x:c>
    </x:row>
    <x:row r="3237" ht="23" customHeight="1">
      <x:c r="A3237" t="n">
        <x:v>540</x:v>
      </x:c>
      <x:c r="B3237" t="n">
        <x:v>270</x:v>
      </x:c>
      <x:c r="C3237" t="str">
        <x:v>晚餐</x:v>
      </x:c>
      <x:c r="D3237" t="str"/>
      <x:c r="E3237" t="str"/>
      <x:c r="F3237" t="n">
        <x:v>0</x:v>
      </x:c>
      <x:c r="G3237" t="n">
        <x:v>0</x:v>
      </x:c>
      <x:c r="H3237" t="n">
        <x:f>ROUND(F3237*G3237/100,2)</x:f>
        <x:v>0</x:v>
      </x:c>
      <x:c r="I3237" t="n">
        <x:v>0</x:v>
      </x:c>
      <x:c r="J3237" t="n">
        <x:f>ROUND(F3237*I3237/100,2)</x:f>
        <x:v>0</x:v>
      </x:c>
      <x:c r="K3237" t="n">
        <x:v>0</x:v>
      </x:c>
      <x:c r="L3237" t="n">
        <x:f>ROUND(F3237*K3237/100,2)</x:f>
        <x:v>0</x:v>
      </x:c>
      <x:c r="M3237" t="n">
        <x:v>0</x:v>
      </x:c>
      <x:c r="N3237" t="n">
        <x:f>ROUND(F3237*M3237/100,2)</x:f>
        <x:v>0</x:v>
      </x:c>
      <x:c r="O3237" t="str"/>
    </x:row>
    <x:row r="3238" ht="23" customHeight="1">
      <x:c r="A3238" t="n">
        <x:v>540</x:v>
      </x:c>
      <x:c r="B3238" t="n">
        <x:v>270</x:v>
      </x:c>
      <x:c r="C3238" t="str">
        <x:v>晚餐</x:v>
      </x:c>
      <x:c r="D3238" t="str">
        <x:v>蔬菜</x:v>
      </x:c>
      <x:c r="E3238" t="str">
        <x:v>芦笋</x:v>
      </x:c>
      <x:c r="F3238" t="n">
        <x:v>190</x:v>
      </x:c>
      <x:c r="G3238" t="n">
        <x:v>20</x:v>
      </x:c>
      <x:c r="H3238" t="n">
        <x:f>ROUND(F3238*G3238/100,2)</x:f>
        <x:v>38</x:v>
      </x:c>
      <x:c r="I3238" t="n">
        <x:v>2.2</x:v>
      </x:c>
      <x:c r="J3238" t="n">
        <x:f>ROUND(F3238*I3238/100,2)</x:f>
        <x:v>4.18</x:v>
      </x:c>
      <x:c r="K3238" t="n">
        <x:v>3.9</x:v>
      </x:c>
      <x:c r="L3238" t="n">
        <x:f>ROUND(F3238*K3238/100,2)</x:f>
        <x:v>7.41</x:v>
      </x:c>
      <x:c r="M3238" t="n">
        <x:v>0.1</x:v>
      </x:c>
      <x:c r="N3238" t="n">
        <x:f>ROUND(F3238*M3238/100,2)</x:f>
        <x:v>0.19</x:v>
      </x:c>
      <x:c r="O3238" t="str">
        <x:v>生重</x:v>
      </x:c>
    </x:row>
    <x:row r="3239" ht="23" customHeight="1">
      <x:c r="A3239" t="n">
        <x:v>540</x:v>
      </x:c>
      <x:c r="B3239" t="n">
        <x:v>270</x:v>
      </x:c>
      <x:c r="C3239" t="str">
        <x:v>晚餐</x:v>
      </x:c>
      <x:c r="D3239" t="str">
        <x:v>蔬菜</x:v>
      </x:c>
      <x:c r="E3239" t="str">
        <x:v>胡萝卜</x:v>
      </x:c>
      <x:c r="F3239" t="n">
        <x:v>125</x:v>
      </x:c>
      <x:c r="G3239" t="n">
        <x:v>41</x:v>
      </x:c>
      <x:c r="H3239" t="n">
        <x:f>ROUND(F3239*G3239/100,2)</x:f>
        <x:v>51.25</x:v>
      </x:c>
      <x:c r="I3239" t="n">
        <x:v>0.9</x:v>
      </x:c>
      <x:c r="J3239" t="n">
        <x:f>ROUND(F3239*I3239/100,2)</x:f>
        <x:v>1.13</x:v>
      </x:c>
      <x:c r="K3239" t="n">
        <x:v>10</x:v>
      </x:c>
      <x:c r="L3239" t="n">
        <x:f>ROUND(F3239*K3239/100,2)</x:f>
        <x:v>12.5</x:v>
      </x:c>
      <x:c r="M3239" t="n">
        <x:v>0.2</x:v>
      </x:c>
      <x:c r="N3239" t="n">
        <x:f>ROUND(F3239*M3239/100,2)</x:f>
        <x:v>0.25</x:v>
      </x:c>
      <x:c r="O3239" t="str">
        <x:v>生重</x:v>
      </x:c>
    </x:row>
    <x:row r="3240" ht="23" customHeight="1">
      <x:c r="A3240" t="n">
        <x:v>540</x:v>
      </x:c>
      <x:c r="B3240" t="n">
        <x:v>270</x:v>
      </x:c>
      <x:c r="C3240" t="str">
        <x:v>晚餐</x:v>
      </x:c>
      <x:c r="D3240" t="str">
        <x:v>主食</x:v>
      </x:c>
      <x:c r="E3240" t="str">
        <x:v>藜麦饭</x:v>
      </x:c>
      <x:c r="F3240" t="n">
        <x:v>95</x:v>
      </x:c>
      <x:c r="G3240" t="n">
        <x:v>120</x:v>
      </x:c>
      <x:c r="H3240" t="n">
        <x:f>ROUND(F3240*G3240/100,2)</x:f>
        <x:v>114</x:v>
      </x:c>
      <x:c r="I3240" t="n">
        <x:v>4.4</x:v>
      </x:c>
      <x:c r="J3240" t="n">
        <x:f>ROUND(F3240*I3240/100,2)</x:f>
        <x:v>4.18</x:v>
      </x:c>
      <x:c r="K3240" t="n">
        <x:v>21.3</x:v>
      </x:c>
      <x:c r="L3240" t="n">
        <x:f>ROUND(F3240*K3240/100,2)</x:f>
        <x:v>20.24</x:v>
      </x:c>
      <x:c r="M3240" t="n">
        <x:v>1.9</x:v>
      </x:c>
      <x:c r="N3240" t="n">
        <x:f>ROUND(F3240*M3240/100,2)</x:f>
        <x:v>1.81</x:v>
      </x:c>
      <x:c r="O3240" t="str">
        <x:v>熟重</x:v>
      </x:c>
    </x:row>
    <x:row r="3241" ht="23" customHeight="1">
      <x:c r="A3241" t="n">
        <x:v>540</x:v>
      </x:c>
      <x:c r="B3241" t="n">
        <x:v>270</x:v>
      </x:c>
      <x:c r="C3241" t="str">
        <x:v>晚餐</x:v>
      </x:c>
      <x:c r="D3241" t="str">
        <x:v>油脂</x:v>
      </x:c>
      <x:c r="E3241" t="str">
        <x:v>烹调油</x:v>
      </x:c>
      <x:c r="F3241" t="n">
        <x:v>3</x:v>
      </x:c>
      <x:c r="G3241" t="n">
        <x:v>900</x:v>
      </x:c>
      <x:c r="H3241" t="n">
        <x:f>ROUND(F3241*G3241/100,2)</x:f>
        <x:v>27</x:v>
      </x:c>
      <x:c r="I3241" t="n">
        <x:v>0</x:v>
      </x:c>
      <x:c r="J3241" t="n">
        <x:f>ROUND(F3241*I3241/100,2)</x:f>
        <x:v>0</x:v>
      </x:c>
      <x:c r="K3241" t="n">
        <x:v>0</x:v>
      </x:c>
      <x:c r="L3241" t="n">
        <x:f>ROUND(F3241*K3241/100,2)</x:f>
        <x:v>0</x:v>
      </x:c>
      <x:c r="M3241" t="n">
        <x:v>100</x:v>
      </x:c>
      <x:c r="N3241" t="n">
        <x:f>ROUND(F3241*M3241/100,2)</x:f>
        <x:v>3</x:v>
      </x:c>
      <x:c r="O3241" t="str">
        <x:v>实际用油重</x:v>
      </x:c>
    </x:row>
    <x:row r="3242" ht="23" customHeight="1">
      <x:c r="A3242" t="n">
        <x:v>541</x:v>
      </x:c>
      <x:c r="B3242" t="n">
        <x:v>271</x:v>
      </x:c>
      <x:c r="C3242" t="str">
        <x:v>午餐</x:v>
      </x:c>
      <x:c r="D3242" t="str">
        <x:v>牛肉</x:v>
      </x:c>
      <x:c r="E3242" t="str">
        <x:v>牛里脊</x:v>
      </x:c>
      <x:c r="F3242" t="n">
        <x:v>185</x:v>
      </x:c>
      <x:c r="G3242" t="n">
        <x:v>130</x:v>
      </x:c>
      <x:c r="H3242" t="n">
        <x:f>ROUND(F3242*G3242/100,2)</x:f>
        <x:v>240.5</x:v>
      </x:c>
      <x:c r="I3242" t="n">
        <x:v>21</x:v>
      </x:c>
      <x:c r="J3242" t="n">
        <x:f>ROUND(F3242*I3242/100,2)</x:f>
        <x:v>38.85</x:v>
      </x:c>
      <x:c r="K3242" t="n">
        <x:v>0</x:v>
      </x:c>
      <x:c r="L3242" t="n">
        <x:f>ROUND(F3242*K3242/100,2)</x:f>
        <x:v>0</x:v>
      </x:c>
      <x:c r="M3242" t="n">
        <x:v>4.8</x:v>
      </x:c>
      <x:c r="N3242" t="n">
        <x:f>ROUND(F3242*M3242/100,2)</x:f>
        <x:v>8.88</x:v>
      </x:c>
      <x:c r="O3242" t="str">
        <x:v>生重</x:v>
      </x:c>
    </x:row>
    <x:row r="3243" ht="23" customHeight="1">
      <x:c r="A3243" t="n">
        <x:v>541</x:v>
      </x:c>
      <x:c r="B3243" t="n">
        <x:v>271</x:v>
      </x:c>
      <x:c r="C3243" t="str">
        <x:v>午餐</x:v>
      </x:c>
      <x:c r="D3243" t="str"/>
      <x:c r="E3243" t="str"/>
      <x:c r="F3243" t="n">
        <x:v>0</x:v>
      </x:c>
      <x:c r="G3243" t="n">
        <x:v>0</x:v>
      </x:c>
      <x:c r="H3243" t="n">
        <x:f>ROUND(F3243*G3243/100,2)</x:f>
        <x:v>0</x:v>
      </x:c>
      <x:c r="I3243" t="n">
        <x:v>0</x:v>
      </x:c>
      <x:c r="J3243" t="n">
        <x:f>ROUND(F3243*I3243/100,2)</x:f>
        <x:v>0</x:v>
      </x:c>
      <x:c r="K3243" t="n">
        <x:v>0</x:v>
      </x:c>
      <x:c r="L3243" t="n">
        <x:f>ROUND(F3243*K3243/100,2)</x:f>
        <x:v>0</x:v>
      </x:c>
      <x:c r="M3243" t="n">
        <x:v>0</x:v>
      </x:c>
      <x:c r="N3243" t="n">
        <x:f>ROUND(F3243*M3243/100,2)</x:f>
        <x:v>0</x:v>
      </x:c>
      <x:c r="O3243" t="str"/>
    </x:row>
    <x:row r="3244" ht="23" customHeight="1">
      <x:c r="A3244" t="n">
        <x:v>541</x:v>
      </x:c>
      <x:c r="B3244" t="n">
        <x:v>271</x:v>
      </x:c>
      <x:c r="C3244" t="str">
        <x:v>午餐</x:v>
      </x:c>
      <x:c r="D3244" t="str">
        <x:v>蔬菜</x:v>
      </x:c>
      <x:c r="E3244" t="str">
        <x:v>丝瓜</x:v>
      </x:c>
      <x:c r="F3244" t="n">
        <x:v>190</x:v>
      </x:c>
      <x:c r="G3244" t="n">
        <x:v>20</x:v>
      </x:c>
      <x:c r="H3244" t="n">
        <x:f>ROUND(F3244*G3244/100,2)</x:f>
        <x:v>38</x:v>
      </x:c>
      <x:c r="I3244" t="n">
        <x:v>1</x:v>
      </x:c>
      <x:c r="J3244" t="n">
        <x:f>ROUND(F3244*I3244/100,2)</x:f>
        <x:v>1.9</x:v>
      </x:c>
      <x:c r="K3244" t="n">
        <x:v>4</x:v>
      </x:c>
      <x:c r="L3244" t="n">
        <x:f>ROUND(F3244*K3244/100,2)</x:f>
        <x:v>7.6</x:v>
      </x:c>
      <x:c r="M3244" t="n">
        <x:v>0.2</x:v>
      </x:c>
      <x:c r="N3244" t="n">
        <x:f>ROUND(F3244*M3244/100,2)</x:f>
        <x:v>0.38</x:v>
      </x:c>
      <x:c r="O3244" t="str">
        <x:v>生重</x:v>
      </x:c>
    </x:row>
    <x:row r="3245" ht="23" customHeight="1">
      <x:c r="A3245" t="n">
        <x:v>541</x:v>
      </x:c>
      <x:c r="B3245" t="n">
        <x:v>271</x:v>
      </x:c>
      <x:c r="C3245" t="str">
        <x:v>午餐</x:v>
      </x:c>
      <x:c r="D3245" t="str">
        <x:v>菌菇</x:v>
      </x:c>
      <x:c r="E3245" t="str">
        <x:v>香菇</x:v>
      </x:c>
      <x:c r="F3245" t="n">
        <x:v>140</x:v>
      </x:c>
      <x:c r="G3245" t="n">
        <x:v>34</x:v>
      </x:c>
      <x:c r="H3245" t="n">
        <x:f>ROUND(F3245*G3245/100,2)</x:f>
        <x:v>47.6</x:v>
      </x:c>
      <x:c r="I3245" t="n">
        <x:v>2.2</x:v>
      </x:c>
      <x:c r="J3245" t="n">
        <x:f>ROUND(F3245*I3245/100,2)</x:f>
        <x:v>3.08</x:v>
      </x:c>
      <x:c r="K3245" t="n">
        <x:v>6.8</x:v>
      </x:c>
      <x:c r="L3245" t="n">
        <x:f>ROUND(F3245*K3245/100,2)</x:f>
        <x:v>9.52</x:v>
      </x:c>
      <x:c r="M3245" t="n">
        <x:v>0.5</x:v>
      </x:c>
      <x:c r="N3245" t="n">
        <x:f>ROUND(F3245*M3245/100,2)</x:f>
        <x:v>0.7</x:v>
      </x:c>
      <x:c r="O3245" t="str">
        <x:v>生重</x:v>
      </x:c>
    </x:row>
    <x:row r="3246" ht="23" customHeight="1">
      <x:c r="A3246" t="n">
        <x:v>541</x:v>
      </x:c>
      <x:c r="B3246" t="n">
        <x:v>271</x:v>
      </x:c>
      <x:c r="C3246" t="str">
        <x:v>午餐</x:v>
      </x:c>
      <x:c r="D3246" t="str">
        <x:v>主食</x:v>
      </x:c>
      <x:c r="E3246" t="str">
        <x:v>杂粮饭</x:v>
      </x:c>
      <x:c r="F3246" t="n">
        <x:v>125</x:v>
      </x:c>
      <x:c r="G3246" t="n">
        <x:v>115</x:v>
      </x:c>
      <x:c r="H3246" t="n">
        <x:f>ROUND(F3246*G3246/100,2)</x:f>
        <x:v>143.75</x:v>
      </x:c>
      <x:c r="I3246" t="n">
        <x:v>3.1</x:v>
      </x:c>
      <x:c r="J3246" t="n">
        <x:f>ROUND(F3246*I3246/100,2)</x:f>
        <x:v>3.88</x:v>
      </x:c>
      <x:c r="K3246" t="n">
        <x:v>23.5</x:v>
      </x:c>
      <x:c r="L3246" t="n">
        <x:f>ROUND(F3246*K3246/100,2)</x:f>
        <x:v>29.38</x:v>
      </x:c>
      <x:c r="M3246" t="n">
        <x:v>1.1</x:v>
      </x:c>
      <x:c r="N3246" t="n">
        <x:f>ROUND(F3246*M3246/100,2)</x:f>
        <x:v>1.38</x:v>
      </x:c>
      <x:c r="O3246" t="str">
        <x:v>熟重</x:v>
      </x:c>
    </x:row>
    <x:row r="3247" ht="23" customHeight="1">
      <x:c r="A3247" t="n">
        <x:v>541</x:v>
      </x:c>
      <x:c r="B3247" t="n">
        <x:v>271</x:v>
      </x:c>
      <x:c r="C3247" t="str">
        <x:v>午餐</x:v>
      </x:c>
      <x:c r="D3247" t="str">
        <x:v>油脂</x:v>
      </x:c>
      <x:c r="E3247" t="str">
        <x:v>烹调油</x:v>
      </x:c>
      <x:c r="F3247" t="n">
        <x:v>3</x:v>
      </x:c>
      <x:c r="G3247" t="n">
        <x:v>900</x:v>
      </x:c>
      <x:c r="H3247" t="n">
        <x:f>ROUND(F3247*G3247/100,2)</x:f>
        <x:v>27</x:v>
      </x:c>
      <x:c r="I3247" t="n">
        <x:v>0</x:v>
      </x:c>
      <x:c r="J3247" t="n">
        <x:f>ROUND(F3247*I3247/100,2)</x:f>
        <x:v>0</x:v>
      </x:c>
      <x:c r="K3247" t="n">
        <x:v>0</x:v>
      </x:c>
      <x:c r="L3247" t="n">
        <x:f>ROUND(F3247*K3247/100,2)</x:f>
        <x:v>0</x:v>
      </x:c>
      <x:c r="M3247" t="n">
        <x:v>100</x:v>
      </x:c>
      <x:c r="N3247" t="n">
        <x:f>ROUND(F3247*M3247/100,2)</x:f>
        <x:v>3</x:v>
      </x:c>
      <x:c r="O3247" t="str">
        <x:v>实际用油重</x:v>
      </x:c>
    </x:row>
    <x:row r="3248" ht="23" customHeight="1">
      <x:c r="A3248" t="n">
        <x:v>542</x:v>
      </x:c>
      <x:c r="B3248" t="n">
        <x:v>271</x:v>
      </x:c>
      <x:c r="C3248" t="str">
        <x:v>晚餐</x:v>
      </x:c>
      <x:c r="D3248" t="str">
        <x:v>海鲜</x:v>
      </x:c>
      <x:c r="E3248" t="str">
        <x:v>虾仁</x:v>
      </x:c>
      <x:c r="F3248" t="n">
        <x:v>175</x:v>
      </x:c>
      <x:c r="G3248" t="n">
        <x:v>90</x:v>
      </x:c>
      <x:c r="H3248" t="n">
        <x:f>ROUND(F3248*G3248/100,2)</x:f>
        <x:v>157.5</x:v>
      </x:c>
      <x:c r="I3248" t="n">
        <x:v>19</x:v>
      </x:c>
      <x:c r="J3248" t="n">
        <x:f>ROUND(F3248*I3248/100,2)</x:f>
        <x:v>33.25</x:v>
      </x:c>
      <x:c r="K3248" t="n">
        <x:v>0.4</x:v>
      </x:c>
      <x:c r="L3248" t="n">
        <x:f>ROUND(F3248*K3248/100,2)</x:f>
        <x:v>0.7</x:v>
      </x:c>
      <x:c r="M3248" t="n">
        <x:v>1.1</x:v>
      </x:c>
      <x:c r="N3248" t="n">
        <x:f>ROUND(F3248*M3248/100,2)</x:f>
        <x:v>1.93</x:v>
      </x:c>
      <x:c r="O3248" t="str">
        <x:v>生重</x:v>
      </x:c>
    </x:row>
    <x:row r="3249" ht="23" customHeight="1">
      <x:c r="A3249" t="n">
        <x:v>542</x:v>
      </x:c>
      <x:c r="B3249" t="n">
        <x:v>271</x:v>
      </x:c>
      <x:c r="C3249" t="str">
        <x:v>晚餐</x:v>
      </x:c>
      <x:c r="D3249" t="str"/>
      <x:c r="E3249" t="str"/>
      <x:c r="F3249" t="n">
        <x:v>0</x:v>
      </x:c>
      <x:c r="G3249" t="n">
        <x:v>0</x:v>
      </x:c>
      <x:c r="H3249" t="n">
        <x:f>ROUND(F3249*G3249/100,2)</x:f>
        <x:v>0</x:v>
      </x:c>
      <x:c r="I3249" t="n">
        <x:v>0</x:v>
      </x:c>
      <x:c r="J3249" t="n">
        <x:f>ROUND(F3249*I3249/100,2)</x:f>
        <x:v>0</x:v>
      </x:c>
      <x:c r="K3249" t="n">
        <x:v>0</x:v>
      </x:c>
      <x:c r="L3249" t="n">
        <x:f>ROUND(F3249*K3249/100,2)</x:f>
        <x:v>0</x:v>
      </x:c>
      <x:c r="M3249" t="n">
        <x:v>0</x:v>
      </x:c>
      <x:c r="N3249" t="n">
        <x:f>ROUND(F3249*M3249/100,2)</x:f>
        <x:v>0</x:v>
      </x:c>
      <x:c r="O3249" t="str"/>
    </x:row>
    <x:row r="3250" ht="23" customHeight="1">
      <x:c r="A3250" t="n">
        <x:v>542</x:v>
      </x:c>
      <x:c r="B3250" t="n">
        <x:v>271</x:v>
      </x:c>
      <x:c r="C3250" t="str">
        <x:v>晚餐</x:v>
      </x:c>
      <x:c r="D3250" t="str">
        <x:v>蔬菜</x:v>
      </x:c>
      <x:c r="E3250" t="str">
        <x:v>菠菜</x:v>
      </x:c>
      <x:c r="F3250" t="n">
        <x:v>160</x:v>
      </x:c>
      <x:c r="G3250" t="n">
        <x:v>23</x:v>
      </x:c>
      <x:c r="H3250" t="n">
        <x:f>ROUND(F3250*G3250/100,2)</x:f>
        <x:v>36.8</x:v>
      </x:c>
      <x:c r="I3250" t="n">
        <x:v>2.9</x:v>
      </x:c>
      <x:c r="J3250" t="n">
        <x:f>ROUND(F3250*I3250/100,2)</x:f>
        <x:v>4.64</x:v>
      </x:c>
      <x:c r="K3250" t="n">
        <x:v>3.6</x:v>
      </x:c>
      <x:c r="L3250" t="n">
        <x:f>ROUND(F3250*K3250/100,2)</x:f>
        <x:v>5.76</x:v>
      </x:c>
      <x:c r="M3250" t="n">
        <x:v>0.4</x:v>
      </x:c>
      <x:c r="N3250" t="n">
        <x:f>ROUND(F3250*M3250/100,2)</x:f>
        <x:v>0.64</x:v>
      </x:c>
      <x:c r="O3250" t="str">
        <x:v>生重</x:v>
      </x:c>
    </x:row>
    <x:row r="3251" ht="23" customHeight="1">
      <x:c r="A3251" t="n">
        <x:v>542</x:v>
      </x:c>
      <x:c r="B3251" t="n">
        <x:v>271</x:v>
      </x:c>
      <x:c r="C3251" t="str">
        <x:v>晚餐</x:v>
      </x:c>
      <x:c r="D3251" t="str">
        <x:v>蔬菜</x:v>
      </x:c>
      <x:c r="E3251" t="str">
        <x:v>花菜</x:v>
      </x:c>
      <x:c r="F3251" t="n">
        <x:v>110</x:v>
      </x:c>
      <x:c r="G3251" t="n">
        <x:v>25</x:v>
      </x:c>
      <x:c r="H3251" t="n">
        <x:f>ROUND(F3251*G3251/100,2)</x:f>
        <x:v>27.5</x:v>
      </x:c>
      <x:c r="I3251" t="n">
        <x:v>2</x:v>
      </x:c>
      <x:c r="J3251" t="n">
        <x:f>ROUND(F3251*I3251/100,2)</x:f>
        <x:v>2.2</x:v>
      </x:c>
      <x:c r="K3251" t="n">
        <x:v>5</x:v>
      </x:c>
      <x:c r="L3251" t="n">
        <x:f>ROUND(F3251*K3251/100,2)</x:f>
        <x:v>5.5</x:v>
      </x:c>
      <x:c r="M3251" t="n">
        <x:v>0.3</x:v>
      </x:c>
      <x:c r="N3251" t="n">
        <x:f>ROUND(F3251*M3251/100,2)</x:f>
        <x:v>0.33</x:v>
      </x:c>
      <x:c r="O3251" t="str">
        <x:v>生重</x:v>
      </x:c>
    </x:row>
    <x:row r="3252" ht="23" customHeight="1">
      <x:c r="A3252" t="n">
        <x:v>542</x:v>
      </x:c>
      <x:c r="B3252" t="n">
        <x:v>271</x:v>
      </x:c>
      <x:c r="C3252" t="str">
        <x:v>晚餐</x:v>
      </x:c>
      <x:c r="D3252" t="str">
        <x:v>主食</x:v>
      </x:c>
      <x:c r="E3252" t="str">
        <x:v>杂粮饭</x:v>
      </x:c>
      <x:c r="F3252" t="n">
        <x:v>80</x:v>
      </x:c>
      <x:c r="G3252" t="n">
        <x:v>115</x:v>
      </x:c>
      <x:c r="H3252" t="n">
        <x:f>ROUND(F3252*G3252/100,2)</x:f>
        <x:v>92</x:v>
      </x:c>
      <x:c r="I3252" t="n">
        <x:v>3.1</x:v>
      </x:c>
      <x:c r="J3252" t="n">
        <x:f>ROUND(F3252*I3252/100,2)</x:f>
        <x:v>2.48</x:v>
      </x:c>
      <x:c r="K3252" t="n">
        <x:v>23.5</x:v>
      </x:c>
      <x:c r="L3252" t="n">
        <x:f>ROUND(F3252*K3252/100,2)</x:f>
        <x:v>18.8</x:v>
      </x:c>
      <x:c r="M3252" t="n">
        <x:v>1.1</x:v>
      </x:c>
      <x:c r="N3252" t="n">
        <x:f>ROUND(F3252*M3252/100,2)</x:f>
        <x:v>0.88</x:v>
      </x:c>
      <x:c r="O3252" t="str">
        <x:v>熟重</x:v>
      </x:c>
    </x:row>
    <x:row r="3253" ht="23" customHeight="1">
      <x:c r="A3253" t="n">
        <x:v>542</x:v>
      </x:c>
      <x:c r="B3253" t="n">
        <x:v>271</x:v>
      </x:c>
      <x:c r="C3253" t="str">
        <x:v>晚餐</x:v>
      </x:c>
      <x:c r="D3253" t="str">
        <x:v>油脂</x:v>
      </x:c>
      <x:c r="E3253" t="str">
        <x:v>烹调油</x:v>
      </x:c>
      <x:c r="F3253" t="n">
        <x:v>5</x:v>
      </x:c>
      <x:c r="G3253" t="n">
        <x:v>900</x:v>
      </x:c>
      <x:c r="H3253" t="n">
        <x:f>ROUND(F3253*G3253/100,2)</x:f>
        <x:v>45</x:v>
      </x:c>
      <x:c r="I3253" t="n">
        <x:v>0</x:v>
      </x:c>
      <x:c r="J3253" t="n">
        <x:f>ROUND(F3253*I3253/100,2)</x:f>
        <x:v>0</x:v>
      </x:c>
      <x:c r="K3253" t="n">
        <x:v>0</x:v>
      </x:c>
      <x:c r="L3253" t="n">
        <x:f>ROUND(F3253*K3253/100,2)</x:f>
        <x:v>0</x:v>
      </x:c>
      <x:c r="M3253" t="n">
        <x:v>100</x:v>
      </x:c>
      <x:c r="N3253" t="n">
        <x:f>ROUND(F3253*M3253/100,2)</x:f>
        <x:v>5</x:v>
      </x:c>
      <x:c r="O3253" t="str">
        <x:v>实际用油重</x:v>
      </x:c>
    </x:row>
    <x:row r="3254" ht="23" customHeight="1">
      <x:c r="A3254" t="n">
        <x:v>543</x:v>
      </x:c>
      <x:c r="B3254" t="n">
        <x:v>272</x:v>
      </x:c>
      <x:c r="C3254" t="str">
        <x:v>午餐</x:v>
      </x:c>
      <x:c r="D3254" t="str">
        <x:v>豆蛋</x:v>
      </x:c>
      <x:c r="E3254" t="str">
        <x:v>北豆腐</x:v>
      </x:c>
      <x:c r="F3254" t="n">
        <x:v>300</x:v>
      </x:c>
      <x:c r="G3254" t="n">
        <x:v>90</x:v>
      </x:c>
      <x:c r="H3254" t="n">
        <x:f>ROUND(F3254*G3254/100,2)</x:f>
        <x:v>270</x:v>
      </x:c>
      <x:c r="I3254" t="n">
        <x:v>10</x:v>
      </x:c>
      <x:c r="J3254" t="n">
        <x:f>ROUND(F3254*I3254/100,2)</x:f>
        <x:v>30</x:v>
      </x:c>
      <x:c r="K3254" t="n">
        <x:v>2</x:v>
      </x:c>
      <x:c r="L3254" t="n">
        <x:f>ROUND(F3254*K3254/100,2)</x:f>
        <x:v>6</x:v>
      </x:c>
      <x:c r="M3254" t="n">
        <x:v>5</x:v>
      </x:c>
      <x:c r="N3254" t="n">
        <x:f>ROUND(F3254*M3254/100,2)</x:f>
        <x:v>15</x:v>
      </x:c>
      <x:c r="O3254" t="str">
        <x:v>净重</x:v>
      </x:c>
    </x:row>
    <x:row r="3255" ht="23" customHeight="1">
      <x:c r="A3255" t="n">
        <x:v>543</x:v>
      </x:c>
      <x:c r="B3255" t="n">
        <x:v>272</x:v>
      </x:c>
      <x:c r="C3255" t="str">
        <x:v>午餐</x:v>
      </x:c>
      <x:c r="D3255" t="str">
        <x:v>海鲜</x:v>
      </x:c>
      <x:c r="E3255" t="str">
        <x:v>虾仁</x:v>
      </x:c>
      <x:c r="F3255" t="n">
        <x:v>85</x:v>
      </x:c>
      <x:c r="G3255" t="n">
        <x:v>90</x:v>
      </x:c>
      <x:c r="H3255" t="n">
        <x:f>ROUND(F3255*G3255/100,2)</x:f>
        <x:v>76.5</x:v>
      </x:c>
      <x:c r="I3255" t="n">
        <x:v>19</x:v>
      </x:c>
      <x:c r="J3255" t="n">
        <x:f>ROUND(F3255*I3255/100,2)</x:f>
        <x:v>16.15</x:v>
      </x:c>
      <x:c r="K3255" t="n">
        <x:v>0.4</x:v>
      </x:c>
      <x:c r="L3255" t="n">
        <x:f>ROUND(F3255*K3255/100,2)</x:f>
        <x:v>0.34</x:v>
      </x:c>
      <x:c r="M3255" t="n">
        <x:v>1.1</x:v>
      </x:c>
      <x:c r="N3255" t="n">
        <x:f>ROUND(F3255*M3255/100,2)</x:f>
        <x:v>0.94</x:v>
      </x:c>
      <x:c r="O3255" t="str">
        <x:v>生重</x:v>
      </x:c>
    </x:row>
    <x:row r="3256" ht="23" customHeight="1">
      <x:c r="A3256" t="n">
        <x:v>543</x:v>
      </x:c>
      <x:c r="B3256" t="n">
        <x:v>272</x:v>
      </x:c>
      <x:c r="C3256" t="str">
        <x:v>午餐</x:v>
      </x:c>
      <x:c r="D3256" t="str">
        <x:v>蔬菜</x:v>
      </x:c>
      <x:c r="E3256" t="str">
        <x:v>冬瓜</x:v>
      </x:c>
      <x:c r="F3256" t="n">
        <x:v>160</x:v>
      </x:c>
      <x:c r="G3256" t="n">
        <x:v>13</x:v>
      </x:c>
      <x:c r="H3256" t="n">
        <x:f>ROUND(F3256*G3256/100,2)</x:f>
        <x:v>20.8</x:v>
      </x:c>
      <x:c r="I3256" t="n">
        <x:v>0.4</x:v>
      </x:c>
      <x:c r="J3256" t="n">
        <x:f>ROUND(F3256*I3256/100,2)</x:f>
        <x:v>0.64</x:v>
      </x:c>
      <x:c r="K3256" t="n">
        <x:v>3</x:v>
      </x:c>
      <x:c r="L3256" t="n">
        <x:f>ROUND(F3256*K3256/100,2)</x:f>
        <x:v>4.8</x:v>
      </x:c>
      <x:c r="M3256" t="n">
        <x:v>0.2</x:v>
      </x:c>
      <x:c r="N3256" t="n">
        <x:f>ROUND(F3256*M3256/100,2)</x:f>
        <x:v>0.32</x:v>
      </x:c>
      <x:c r="O3256" t="str">
        <x:v>生重</x:v>
      </x:c>
    </x:row>
    <x:row r="3257" ht="23" customHeight="1">
      <x:c r="A3257" t="n">
        <x:v>543</x:v>
      </x:c>
      <x:c r="B3257" t="n">
        <x:v>272</x:v>
      </x:c>
      <x:c r="C3257" t="str">
        <x:v>午餐</x:v>
      </x:c>
      <x:c r="D3257" t="str">
        <x:v>菌菇</x:v>
      </x:c>
      <x:c r="E3257" t="str">
        <x:v>杏鲍菇</x:v>
      </x:c>
      <x:c r="F3257" t="n">
        <x:v>155</x:v>
      </x:c>
      <x:c r="G3257" t="n">
        <x:v>35</x:v>
      </x:c>
      <x:c r="H3257" t="n">
        <x:f>ROUND(F3257*G3257/100,2)</x:f>
        <x:v>54.25</x:v>
      </x:c>
      <x:c r="I3257" t="n">
        <x:v>2</x:v>
      </x:c>
      <x:c r="J3257" t="n">
        <x:f>ROUND(F3257*I3257/100,2)</x:f>
        <x:v>3.1</x:v>
      </x:c>
      <x:c r="K3257" t="n">
        <x:v>7.4</x:v>
      </x:c>
      <x:c r="L3257" t="n">
        <x:f>ROUND(F3257*K3257/100,2)</x:f>
        <x:v>11.47</x:v>
      </x:c>
      <x:c r="M3257" t="n">
        <x:v>0.3</x:v>
      </x:c>
      <x:c r="N3257" t="n">
        <x:f>ROUND(F3257*M3257/100,2)</x:f>
        <x:v>0.47</x:v>
      </x:c>
      <x:c r="O3257" t="str">
        <x:v>生重</x:v>
      </x:c>
    </x:row>
    <x:row r="3258" ht="23" customHeight="1">
      <x:c r="A3258" t="n">
        <x:v>543</x:v>
      </x:c>
      <x:c r="B3258" t="n">
        <x:v>272</x:v>
      </x:c>
      <x:c r="C3258" t="str">
        <x:v>午餐</x:v>
      </x:c>
      <x:c r="D3258" t="str">
        <x:v>主食</x:v>
      </x:c>
      <x:c r="E3258" t="str">
        <x:v>糙米饭</x:v>
      </x:c>
      <x:c r="F3258" t="n">
        <x:v>125</x:v>
      </x:c>
      <x:c r="G3258" t="n">
        <x:v>112</x:v>
      </x:c>
      <x:c r="H3258" t="n">
        <x:f>ROUND(F3258*G3258/100,2)</x:f>
        <x:v>140</x:v>
      </x:c>
      <x:c r="I3258" t="n">
        <x:v>2.6</x:v>
      </x:c>
      <x:c r="J3258" t="n">
        <x:f>ROUND(F3258*I3258/100,2)</x:f>
        <x:v>3.25</x:v>
      </x:c>
      <x:c r="K3258" t="n">
        <x:v>23.5</x:v>
      </x:c>
      <x:c r="L3258" t="n">
        <x:f>ROUND(F3258*K3258/100,2)</x:f>
        <x:v>29.38</x:v>
      </x:c>
      <x:c r="M3258" t="n">
        <x:v>0.9</x:v>
      </x:c>
      <x:c r="N3258" t="n">
        <x:f>ROUND(F3258*M3258/100,2)</x:f>
        <x:v>1.13</x:v>
      </x:c>
      <x:c r="O3258" t="str">
        <x:v>熟重</x:v>
      </x:c>
    </x:row>
    <x:row r="3259" ht="23" customHeight="1">
      <x:c r="A3259" t="n">
        <x:v>543</x:v>
      </x:c>
      <x:c r="B3259" t="n">
        <x:v>272</x:v>
      </x:c>
      <x:c r="C3259" t="str">
        <x:v>午餐</x:v>
      </x:c>
      <x:c r="D3259" t="str">
        <x:v>油脂</x:v>
      </x:c>
      <x:c r="E3259" t="str">
        <x:v>烹调油</x:v>
      </x:c>
      <x:c r="F3259" t="n">
        <x:v>4</x:v>
      </x:c>
      <x:c r="G3259" t="n">
        <x:v>900</x:v>
      </x:c>
      <x:c r="H3259" t="n">
        <x:f>ROUND(F3259*G3259/100,2)</x:f>
        <x:v>36</x:v>
      </x:c>
      <x:c r="I3259" t="n">
        <x:v>0</x:v>
      </x:c>
      <x:c r="J3259" t="n">
        <x:f>ROUND(F3259*I3259/100,2)</x:f>
        <x:v>0</x:v>
      </x:c>
      <x:c r="K3259" t="n">
        <x:v>0</x:v>
      </x:c>
      <x:c r="L3259" t="n">
        <x:f>ROUND(F3259*K3259/100,2)</x:f>
        <x:v>0</x:v>
      </x:c>
      <x:c r="M3259" t="n">
        <x:v>100</x:v>
      </x:c>
      <x:c r="N3259" t="n">
        <x:f>ROUND(F3259*M3259/100,2)</x:f>
        <x:v>4</x:v>
      </x:c>
      <x:c r="O3259" t="str">
        <x:v>实际用油重</x:v>
      </x:c>
    </x:row>
    <x:row r="3260" ht="23" customHeight="1">
      <x:c r="A3260" t="n">
        <x:v>544</x:v>
      </x:c>
      <x:c r="B3260" t="n">
        <x:v>272</x:v>
      </x:c>
      <x:c r="C3260" t="str">
        <x:v>晚餐</x:v>
      </x:c>
      <x:c r="D3260" t="str">
        <x:v>鱼类</x:v>
      </x:c>
      <x:c r="E3260" t="str">
        <x:v>三文鱼</x:v>
      </x:c>
      <x:c r="F3260" t="n">
        <x:v>145</x:v>
      </x:c>
      <x:c r="G3260" t="n">
        <x:v>205</x:v>
      </x:c>
      <x:c r="H3260" t="n">
        <x:f>ROUND(F3260*G3260/100,2)</x:f>
        <x:v>297.25</x:v>
      </x:c>
      <x:c r="I3260" t="n">
        <x:v>20</x:v>
      </x:c>
      <x:c r="J3260" t="n">
        <x:f>ROUND(F3260*I3260/100,2)</x:f>
        <x:v>29</x:v>
      </x:c>
      <x:c r="K3260" t="n">
        <x:v>0</x:v>
      </x:c>
      <x:c r="L3260" t="n">
        <x:f>ROUND(F3260*K3260/100,2)</x:f>
        <x:v>0</x:v>
      </x:c>
      <x:c r="M3260" t="n">
        <x:v>13</x:v>
      </x:c>
      <x:c r="N3260" t="n">
        <x:f>ROUND(F3260*M3260/100,2)</x:f>
        <x:v>18.85</x:v>
      </x:c>
      <x:c r="O3260" t="str">
        <x:v>净鱼肉生重</x:v>
      </x:c>
    </x:row>
    <x:row r="3261" ht="23" customHeight="1">
      <x:c r="A3261" t="n">
        <x:v>544</x:v>
      </x:c>
      <x:c r="B3261" t="n">
        <x:v>272</x:v>
      </x:c>
      <x:c r="C3261" t="str">
        <x:v>晚餐</x:v>
      </x:c>
      <x:c r="D3261" t="str"/>
      <x:c r="E3261" t="str"/>
      <x:c r="F3261" t="n">
        <x:v>0</x:v>
      </x:c>
      <x:c r="G3261" t="n">
        <x:v>0</x:v>
      </x:c>
      <x:c r="H3261" t="n">
        <x:f>ROUND(F3261*G3261/100,2)</x:f>
        <x:v>0</x:v>
      </x:c>
      <x:c r="I3261" t="n">
        <x:v>0</x:v>
      </x:c>
      <x:c r="J3261" t="n">
        <x:f>ROUND(F3261*I3261/100,2)</x:f>
        <x:v>0</x:v>
      </x:c>
      <x:c r="K3261" t="n">
        <x:v>0</x:v>
      </x:c>
      <x:c r="L3261" t="n">
        <x:f>ROUND(F3261*K3261/100,2)</x:f>
        <x:v>0</x:v>
      </x:c>
      <x:c r="M3261" t="n">
        <x:v>0</x:v>
      </x:c>
      <x:c r="N3261" t="n">
        <x:f>ROUND(F3261*M3261/100,2)</x:f>
        <x:v>0</x:v>
      </x:c>
      <x:c r="O3261" t="str"/>
    </x:row>
    <x:row r="3262" ht="23" customHeight="1">
      <x:c r="A3262" t="n">
        <x:v>544</x:v>
      </x:c>
      <x:c r="B3262" t="n">
        <x:v>272</x:v>
      </x:c>
      <x:c r="C3262" t="str">
        <x:v>晚餐</x:v>
      </x:c>
      <x:c r="D3262" t="str">
        <x:v>蔬菜</x:v>
      </x:c>
      <x:c r="E3262" t="str">
        <x:v>菜心</x:v>
      </x:c>
      <x:c r="F3262" t="n">
        <x:v>160</x:v>
      </x:c>
      <x:c r="G3262" t="n">
        <x:v>20</x:v>
      </x:c>
      <x:c r="H3262" t="n">
        <x:f>ROUND(F3262*G3262/100,2)</x:f>
        <x:v>32</x:v>
      </x:c>
      <x:c r="I3262" t="n">
        <x:v>2</x:v>
      </x:c>
      <x:c r="J3262" t="n">
        <x:f>ROUND(F3262*I3262/100,2)</x:f>
        <x:v>3.2</x:v>
      </x:c>
      <x:c r="K3262" t="n">
        <x:v>3.5</x:v>
      </x:c>
      <x:c r="L3262" t="n">
        <x:f>ROUND(F3262*K3262/100,2)</x:f>
        <x:v>5.6</x:v>
      </x:c>
      <x:c r="M3262" t="n">
        <x:v>0.3</x:v>
      </x:c>
      <x:c r="N3262" t="n">
        <x:f>ROUND(F3262*M3262/100,2)</x:f>
        <x:v>0.48</x:v>
      </x:c>
      <x:c r="O3262" t="str">
        <x:v>生重</x:v>
      </x:c>
    </x:row>
    <x:row r="3263" ht="23" customHeight="1">
      <x:c r="A3263" t="n">
        <x:v>544</x:v>
      </x:c>
      <x:c r="B3263" t="n">
        <x:v>272</x:v>
      </x:c>
      <x:c r="C3263" t="str">
        <x:v>晚餐</x:v>
      </x:c>
      <x:c r="D3263" t="str">
        <x:v>蔬菜</x:v>
      </x:c>
      <x:c r="E3263" t="str">
        <x:v>花菜</x:v>
      </x:c>
      <x:c r="F3263" t="n">
        <x:v>125</x:v>
      </x:c>
      <x:c r="G3263" t="n">
        <x:v>25</x:v>
      </x:c>
      <x:c r="H3263" t="n">
        <x:f>ROUND(F3263*G3263/100,2)</x:f>
        <x:v>31.25</x:v>
      </x:c>
      <x:c r="I3263" t="n">
        <x:v>2</x:v>
      </x:c>
      <x:c r="J3263" t="n">
        <x:f>ROUND(F3263*I3263/100,2)</x:f>
        <x:v>2.5</x:v>
      </x:c>
      <x:c r="K3263" t="n">
        <x:v>5</x:v>
      </x:c>
      <x:c r="L3263" t="n">
        <x:f>ROUND(F3263*K3263/100,2)</x:f>
        <x:v>6.25</x:v>
      </x:c>
      <x:c r="M3263" t="n">
        <x:v>0.3</x:v>
      </x:c>
      <x:c r="N3263" t="n">
        <x:f>ROUND(F3263*M3263/100,2)</x:f>
        <x:v>0.38</x:v>
      </x:c>
      <x:c r="O3263" t="str">
        <x:v>生重</x:v>
      </x:c>
    </x:row>
    <x:row r="3264" ht="23" customHeight="1">
      <x:c r="A3264" t="n">
        <x:v>544</x:v>
      </x:c>
      <x:c r="B3264" t="n">
        <x:v>272</x:v>
      </x:c>
      <x:c r="C3264" t="str">
        <x:v>晚餐</x:v>
      </x:c>
      <x:c r="D3264" t="str">
        <x:v>主食</x:v>
      </x:c>
      <x:c r="E3264" t="str">
        <x:v>玉米</x:v>
      </x:c>
      <x:c r="F3264" t="n">
        <x:v>125</x:v>
      </x:c>
      <x:c r="G3264" t="n">
        <x:v>105</x:v>
      </x:c>
      <x:c r="H3264" t="n">
        <x:f>ROUND(F3264*G3264/100,2)</x:f>
        <x:v>131.25</x:v>
      </x:c>
      <x:c r="I3264" t="n">
        <x:v>3.4</x:v>
      </x:c>
      <x:c r="J3264" t="n">
        <x:f>ROUND(F3264*I3264/100,2)</x:f>
        <x:v>4.25</x:v>
      </x:c>
      <x:c r="K3264" t="n">
        <x:v>22</x:v>
      </x:c>
      <x:c r="L3264" t="n">
        <x:f>ROUND(F3264*K3264/100,2)</x:f>
        <x:v>27.5</x:v>
      </x:c>
      <x:c r="M3264" t="n">
        <x:v>1.5</x:v>
      </x:c>
      <x:c r="N3264" t="n">
        <x:f>ROUND(F3264*M3264/100,2)</x:f>
        <x:v>1.88</x:v>
      </x:c>
      <x:c r="O3264" t="str">
        <x:v>蒸熟净重</x:v>
      </x:c>
    </x:row>
    <x:row r="3265" ht="23" customHeight="1">
      <x:c r="A3265" t="n">
        <x:v>544</x:v>
      </x:c>
      <x:c r="B3265" t="n">
        <x:v>272</x:v>
      </x:c>
      <x:c r="C3265" t="str">
        <x:v>晚餐</x:v>
      </x:c>
      <x:c r="D3265" t="str">
        <x:v>油脂</x:v>
      </x:c>
      <x:c r="E3265" t="str">
        <x:v>烹调油</x:v>
      </x:c>
      <x:c r="F3265" t="n">
        <x:v>3</x:v>
      </x:c>
      <x:c r="G3265" t="n">
        <x:v>900</x:v>
      </x:c>
      <x:c r="H3265" t="n">
        <x:f>ROUND(F3265*G3265/100,2)</x:f>
        <x:v>27</x:v>
      </x:c>
      <x:c r="I3265" t="n">
        <x:v>0</x:v>
      </x:c>
      <x:c r="J3265" t="n">
        <x:f>ROUND(F3265*I3265/100,2)</x:f>
        <x:v>0</x:v>
      </x:c>
      <x:c r="K3265" t="n">
        <x:v>0</x:v>
      </x:c>
      <x:c r="L3265" t="n">
        <x:f>ROUND(F3265*K3265/100,2)</x:f>
        <x:v>0</x:v>
      </x:c>
      <x:c r="M3265" t="n">
        <x:v>100</x:v>
      </x:c>
      <x:c r="N3265" t="n">
        <x:f>ROUND(F3265*M3265/100,2)</x:f>
        <x:v>3</x:v>
      </x:c>
      <x:c r="O3265" t="str">
        <x:v>实际用油重</x:v>
      </x:c>
    </x:row>
    <x:row r="3266" ht="23" customHeight="1">
      <x:c r="A3266" t="n">
        <x:v>545</x:v>
      </x:c>
      <x:c r="B3266" t="n">
        <x:v>273</x:v>
      </x:c>
      <x:c r="C3266" t="str">
        <x:v>午餐</x:v>
      </x:c>
      <x:c r="D3266" t="str">
        <x:v>禽肉</x:v>
      </x:c>
      <x:c r="E3266" t="str">
        <x:v>鸡胸肉</x:v>
      </x:c>
      <x:c r="F3266" t="n">
        <x:v>165</x:v>
      </x:c>
      <x:c r="G3266" t="n">
        <x:v>110</x:v>
      </x:c>
      <x:c r="H3266" t="n">
        <x:f>ROUND(F3266*G3266/100,2)</x:f>
        <x:v>181.5</x:v>
      </x:c>
      <x:c r="I3266" t="n">
        <x:v>23</x:v>
      </x:c>
      <x:c r="J3266" t="n">
        <x:f>ROUND(F3266*I3266/100,2)</x:f>
        <x:v>37.95</x:v>
      </x:c>
      <x:c r="K3266" t="n">
        <x:v>0</x:v>
      </x:c>
      <x:c r="L3266" t="n">
        <x:f>ROUND(F3266*K3266/100,2)</x:f>
        <x:v>0</x:v>
      </x:c>
      <x:c r="M3266" t="n">
        <x:v>2</x:v>
      </x:c>
      <x:c r="N3266" t="n">
        <x:f>ROUND(F3266*M3266/100,2)</x:f>
        <x:v>3.3</x:v>
      </x:c>
      <x:c r="O3266" t="str">
        <x:v>生重</x:v>
      </x:c>
    </x:row>
    <x:row r="3267" ht="23" customHeight="1">
      <x:c r="A3267" t="n">
        <x:v>545</x:v>
      </x:c>
      <x:c r="B3267" t="n">
        <x:v>273</x:v>
      </x:c>
      <x:c r="C3267" t="str">
        <x:v>午餐</x:v>
      </x:c>
      <x:c r="D3267" t="str"/>
      <x:c r="E3267" t="str"/>
      <x:c r="F3267" t="n">
        <x:v>0</x:v>
      </x:c>
      <x:c r="G3267" t="n">
        <x:v>0</x:v>
      </x:c>
      <x:c r="H3267" t="n">
        <x:f>ROUND(F3267*G3267/100,2)</x:f>
        <x:v>0</x:v>
      </x:c>
      <x:c r="I3267" t="n">
        <x:v>0</x:v>
      </x:c>
      <x:c r="J3267" t="n">
        <x:f>ROUND(F3267*I3267/100,2)</x:f>
        <x:v>0</x:v>
      </x:c>
      <x:c r="K3267" t="n">
        <x:v>0</x:v>
      </x:c>
      <x:c r="L3267" t="n">
        <x:f>ROUND(F3267*K3267/100,2)</x:f>
        <x:v>0</x:v>
      </x:c>
      <x:c r="M3267" t="n">
        <x:v>0</x:v>
      </x:c>
      <x:c r="N3267" t="n">
        <x:f>ROUND(F3267*M3267/100,2)</x:f>
        <x:v>0</x:v>
      </x:c>
      <x:c r="O3267" t="str"/>
    </x:row>
    <x:row r="3268" ht="23" customHeight="1">
      <x:c r="A3268" t="n">
        <x:v>545</x:v>
      </x:c>
      <x:c r="B3268" t="n">
        <x:v>273</x:v>
      </x:c>
      <x:c r="C3268" t="str">
        <x:v>午餐</x:v>
      </x:c>
      <x:c r="D3268" t="str">
        <x:v>蔬菜</x:v>
      </x:c>
      <x:c r="E3268" t="str">
        <x:v>丝瓜</x:v>
      </x:c>
      <x:c r="F3268" t="n">
        <x:v>175</x:v>
      </x:c>
      <x:c r="G3268" t="n">
        <x:v>20</x:v>
      </x:c>
      <x:c r="H3268" t="n">
        <x:f>ROUND(F3268*G3268/100,2)</x:f>
        <x:v>35</x:v>
      </x:c>
      <x:c r="I3268" t="n">
        <x:v>1</x:v>
      </x:c>
      <x:c r="J3268" t="n">
        <x:f>ROUND(F3268*I3268/100,2)</x:f>
        <x:v>1.75</x:v>
      </x:c>
      <x:c r="K3268" t="n">
        <x:v>4</x:v>
      </x:c>
      <x:c r="L3268" t="n">
        <x:f>ROUND(F3268*K3268/100,2)</x:f>
        <x:v>7</x:v>
      </x:c>
      <x:c r="M3268" t="n">
        <x:v>0.2</x:v>
      </x:c>
      <x:c r="N3268" t="n">
        <x:f>ROUND(F3268*M3268/100,2)</x:f>
        <x:v>0.35</x:v>
      </x:c>
      <x:c r="O3268" t="str">
        <x:v>生重</x:v>
      </x:c>
    </x:row>
    <x:row r="3269" ht="23" customHeight="1">
      <x:c r="A3269" t="n">
        <x:v>545</x:v>
      </x:c>
      <x:c r="B3269" t="n">
        <x:v>273</x:v>
      </x:c>
      <x:c r="C3269" t="str">
        <x:v>午餐</x:v>
      </x:c>
      <x:c r="D3269" t="str">
        <x:v>菌菇</x:v>
      </x:c>
      <x:c r="E3269" t="str">
        <x:v>香菇</x:v>
      </x:c>
      <x:c r="F3269" t="n">
        <x:v>110</x:v>
      </x:c>
      <x:c r="G3269" t="n">
        <x:v>34</x:v>
      </x:c>
      <x:c r="H3269" t="n">
        <x:f>ROUND(F3269*G3269/100,2)</x:f>
        <x:v>37.4</x:v>
      </x:c>
      <x:c r="I3269" t="n">
        <x:v>2.2</x:v>
      </x:c>
      <x:c r="J3269" t="n">
        <x:f>ROUND(F3269*I3269/100,2)</x:f>
        <x:v>2.42</x:v>
      </x:c>
      <x:c r="K3269" t="n">
        <x:v>6.8</x:v>
      </x:c>
      <x:c r="L3269" t="n">
        <x:f>ROUND(F3269*K3269/100,2)</x:f>
        <x:v>7.48</x:v>
      </x:c>
      <x:c r="M3269" t="n">
        <x:v>0.5</x:v>
      </x:c>
      <x:c r="N3269" t="n">
        <x:f>ROUND(F3269*M3269/100,2)</x:f>
        <x:v>0.55</x:v>
      </x:c>
      <x:c r="O3269" t="str">
        <x:v>生重</x:v>
      </x:c>
    </x:row>
    <x:row r="3270" ht="23" customHeight="1">
      <x:c r="A3270" t="n">
        <x:v>545</x:v>
      </x:c>
      <x:c r="B3270" t="n">
        <x:v>273</x:v>
      </x:c>
      <x:c r="C3270" t="str">
        <x:v>午餐</x:v>
      </x:c>
      <x:c r="D3270" t="str">
        <x:v>主食</x:v>
      </x:c>
      <x:c r="E3270" t="str">
        <x:v>燕麦饭</x:v>
      </x:c>
      <x:c r="F3270" t="n">
        <x:v>110</x:v>
      </x:c>
      <x:c r="G3270" t="n">
        <x:v>110</x:v>
      </x:c>
      <x:c r="H3270" t="n">
        <x:f>ROUND(F3270*G3270/100,2)</x:f>
        <x:v>121</x:v>
      </x:c>
      <x:c r="I3270" t="n">
        <x:v>3.2</x:v>
      </x:c>
      <x:c r="J3270" t="n">
        <x:f>ROUND(F3270*I3270/100,2)</x:f>
        <x:v>3.52</x:v>
      </x:c>
      <x:c r="K3270" t="n">
        <x:v>21</x:v>
      </x:c>
      <x:c r="L3270" t="n">
        <x:f>ROUND(F3270*K3270/100,2)</x:f>
        <x:v>23.1</x:v>
      </x:c>
      <x:c r="M3270" t="n">
        <x:v>1.8</x:v>
      </x:c>
      <x:c r="N3270" t="n">
        <x:f>ROUND(F3270*M3270/100,2)</x:f>
        <x:v>1.98</x:v>
      </x:c>
      <x:c r="O3270" t="str">
        <x:v>熟重</x:v>
      </x:c>
    </x:row>
    <x:row r="3271" ht="23" customHeight="1">
      <x:c r="A3271" t="n">
        <x:v>545</x:v>
      </x:c>
      <x:c r="B3271" t="n">
        <x:v>273</x:v>
      </x:c>
      <x:c r="C3271" t="str">
        <x:v>午餐</x:v>
      </x:c>
      <x:c r="D3271" t="str">
        <x:v>油脂</x:v>
      </x:c>
      <x:c r="E3271" t="str">
        <x:v>烹调油</x:v>
      </x:c>
      <x:c r="F3271" t="n">
        <x:v>6</x:v>
      </x:c>
      <x:c r="G3271" t="n">
        <x:v>900</x:v>
      </x:c>
      <x:c r="H3271" t="n">
        <x:f>ROUND(F3271*G3271/100,2)</x:f>
        <x:v>54</x:v>
      </x:c>
      <x:c r="I3271" t="n">
        <x:v>0</x:v>
      </x:c>
      <x:c r="J3271" t="n">
        <x:f>ROUND(F3271*I3271/100,2)</x:f>
        <x:v>0</x:v>
      </x:c>
      <x:c r="K3271" t="n">
        <x:v>0</x:v>
      </x:c>
      <x:c r="L3271" t="n">
        <x:f>ROUND(F3271*K3271/100,2)</x:f>
        <x:v>0</x:v>
      </x:c>
      <x:c r="M3271" t="n">
        <x:v>100</x:v>
      </x:c>
      <x:c r="N3271" t="n">
        <x:f>ROUND(F3271*M3271/100,2)</x:f>
        <x:v>6</x:v>
      </x:c>
      <x:c r="O3271" t="str">
        <x:v>实际用油重</x:v>
      </x:c>
    </x:row>
    <x:row r="3272" ht="23" customHeight="1">
      <x:c r="A3272" t="n">
        <x:v>546</x:v>
      </x:c>
      <x:c r="B3272" t="n">
        <x:v>273</x:v>
      </x:c>
      <x:c r="C3272" t="str">
        <x:v>晚餐</x:v>
      </x:c>
      <x:c r="D3272" t="str">
        <x:v>豆蛋</x:v>
      </x:c>
      <x:c r="E3272" t="str">
        <x:v>嫩豆腐</x:v>
      </x:c>
      <x:c r="F3272" t="n">
        <x:v>300</x:v>
      </x:c>
      <x:c r="G3272" t="n">
        <x:v>55</x:v>
      </x:c>
      <x:c r="H3272" t="n">
        <x:f>ROUND(F3272*G3272/100,2)</x:f>
        <x:v>165</x:v>
      </x:c>
      <x:c r="I3272" t="n">
        <x:v>5</x:v>
      </x:c>
      <x:c r="J3272" t="n">
        <x:f>ROUND(F3272*I3272/100,2)</x:f>
        <x:v>15</x:v>
      </x:c>
      <x:c r="K3272" t="n">
        <x:v>2</x:v>
      </x:c>
      <x:c r="L3272" t="n">
        <x:f>ROUND(F3272*K3272/100,2)</x:f>
        <x:v>6</x:v>
      </x:c>
      <x:c r="M3272" t="n">
        <x:v>2.8</x:v>
      </x:c>
      <x:c r="N3272" t="n">
        <x:f>ROUND(F3272*M3272/100,2)</x:f>
        <x:v>8.4</x:v>
      </x:c>
      <x:c r="O3272" t="str">
        <x:v>净重</x:v>
      </x:c>
    </x:row>
    <x:row r="3273" ht="23" customHeight="1">
      <x:c r="A3273" t="n">
        <x:v>546</x:v>
      </x:c>
      <x:c r="B3273" t="n">
        <x:v>273</x:v>
      </x:c>
      <x:c r="C3273" t="str">
        <x:v>晚餐</x:v>
      </x:c>
      <x:c r="D3273" t="str">
        <x:v>豆蛋</x:v>
      </x:c>
      <x:c r="E3273" t="str">
        <x:v>鸡蛋</x:v>
      </x:c>
      <x:c r="F3273" t="n">
        <x:v>50</x:v>
      </x:c>
      <x:c r="G3273" t="n">
        <x:v>144</x:v>
      </x:c>
      <x:c r="H3273" t="n">
        <x:f>ROUND(F3273*G3273/100,2)</x:f>
        <x:v>72</x:v>
      </x:c>
      <x:c r="I3273" t="n">
        <x:v>13</x:v>
      </x:c>
      <x:c r="J3273" t="n">
        <x:f>ROUND(F3273*I3273/100,2)</x:f>
        <x:v>6.5</x:v>
      </x:c>
      <x:c r="K3273" t="n">
        <x:v>1.1</x:v>
      </x:c>
      <x:c r="L3273" t="n">
        <x:f>ROUND(F3273*K3273/100,2)</x:f>
        <x:v>0.55</x:v>
      </x:c>
      <x:c r="M3273" t="n">
        <x:v>10</x:v>
      </x:c>
      <x:c r="N3273" t="n">
        <x:f>ROUND(F3273*M3273/100,2)</x:f>
        <x:v>5</x:v>
      </x:c>
      <x:c r="O3273" t="str">
        <x:v>去壳可食重</x:v>
      </x:c>
    </x:row>
    <x:row r="3274" ht="23" customHeight="1">
      <x:c r="A3274" t="n">
        <x:v>546</x:v>
      </x:c>
      <x:c r="B3274" t="n">
        <x:v>273</x:v>
      </x:c>
      <x:c r="C3274" t="str">
        <x:v>晚餐</x:v>
      </x:c>
      <x:c r="D3274" t="str">
        <x:v>蔬菜</x:v>
      </x:c>
      <x:c r="E3274" t="str">
        <x:v>白萝卜</x:v>
      </x:c>
      <x:c r="F3274" t="n">
        <x:v>140</x:v>
      </x:c>
      <x:c r="G3274" t="n">
        <x:v>18</x:v>
      </x:c>
      <x:c r="H3274" t="n">
        <x:f>ROUND(F3274*G3274/100,2)</x:f>
        <x:v>25.2</x:v>
      </x:c>
      <x:c r="I3274" t="n">
        <x:v>0.6</x:v>
      </x:c>
      <x:c r="J3274" t="n">
        <x:f>ROUND(F3274*I3274/100,2)</x:f>
        <x:v>0.84</x:v>
      </x:c>
      <x:c r="K3274" t="n">
        <x:v>4</x:v>
      </x:c>
      <x:c r="L3274" t="n">
        <x:f>ROUND(F3274*K3274/100,2)</x:f>
        <x:v>5.6</x:v>
      </x:c>
      <x:c r="M3274" t="n">
        <x:v>0.1</x:v>
      </x:c>
      <x:c r="N3274" t="n">
        <x:f>ROUND(F3274*M3274/100,2)</x:f>
        <x:v>0.14</x:v>
      </x:c>
      <x:c r="O3274" t="str">
        <x:v>生重</x:v>
      </x:c>
    </x:row>
    <x:row r="3275" ht="23" customHeight="1">
      <x:c r="A3275" t="n">
        <x:v>546</x:v>
      </x:c>
      <x:c r="B3275" t="n">
        <x:v>273</x:v>
      </x:c>
      <x:c r="C3275" t="str">
        <x:v>晚餐</x:v>
      </x:c>
      <x:c r="D3275" t="str">
        <x:v>蔬菜</x:v>
      </x:c>
      <x:c r="E3275" t="str">
        <x:v>小白菜</x:v>
      </x:c>
      <x:c r="F3275" t="n">
        <x:v>140</x:v>
      </x:c>
      <x:c r="G3275" t="n">
        <x:v>17</x:v>
      </x:c>
      <x:c r="H3275" t="n">
        <x:f>ROUND(F3275*G3275/100,2)</x:f>
        <x:v>23.8</x:v>
      </x:c>
      <x:c r="I3275" t="n">
        <x:v>1.6</x:v>
      </x:c>
      <x:c r="J3275" t="n">
        <x:f>ROUND(F3275*I3275/100,2)</x:f>
        <x:v>2.24</x:v>
      </x:c>
      <x:c r="K3275" t="n">
        <x:v>2.8</x:v>
      </x:c>
      <x:c r="L3275" t="n">
        <x:f>ROUND(F3275*K3275/100,2)</x:f>
        <x:v>3.92</x:v>
      </x:c>
      <x:c r="M3275" t="n">
        <x:v>0.2</x:v>
      </x:c>
      <x:c r="N3275" t="n">
        <x:f>ROUND(F3275*M3275/100,2)</x:f>
        <x:v>0.28</x:v>
      </x:c>
      <x:c r="O3275" t="str">
        <x:v>生重</x:v>
      </x:c>
    </x:row>
    <x:row r="3276" ht="23" customHeight="1">
      <x:c r="A3276" t="n">
        <x:v>546</x:v>
      </x:c>
      <x:c r="B3276" t="n">
        <x:v>273</x:v>
      </x:c>
      <x:c r="C3276" t="str">
        <x:v>晚餐</x:v>
      </x:c>
      <x:c r="D3276" t="str">
        <x:v>主食</x:v>
      </x:c>
      <x:c r="E3276" t="str">
        <x:v>土豆</x:v>
      </x:c>
      <x:c r="F3276" t="n">
        <x:v>80</x:v>
      </x:c>
      <x:c r="G3276" t="n">
        <x:v>78</x:v>
      </x:c>
      <x:c r="H3276" t="n">
        <x:f>ROUND(F3276*G3276/100,2)</x:f>
        <x:v>62.4</x:v>
      </x:c>
      <x:c r="I3276" t="n">
        <x:v>2</x:v>
      </x:c>
      <x:c r="J3276" t="n">
        <x:f>ROUND(F3276*I3276/100,2)</x:f>
        <x:v>1.6</x:v>
      </x:c>
      <x:c r="K3276" t="n">
        <x:v>17.2</x:v>
      </x:c>
      <x:c r="L3276" t="n">
        <x:f>ROUND(F3276*K3276/100,2)</x:f>
        <x:v>13.76</x:v>
      </x:c>
      <x:c r="M3276" t="n">
        <x:v>0.1</x:v>
      </x:c>
      <x:c r="N3276" t="n">
        <x:f>ROUND(F3276*M3276/100,2)</x:f>
        <x:v>0.08</x:v>
      </x:c>
      <x:c r="O3276" t="str">
        <x:v>蒸熟净重</x:v>
      </x:c>
    </x:row>
    <x:row r="3277" ht="23" customHeight="1">
      <x:c r="A3277" t="n">
        <x:v>546</x:v>
      </x:c>
      <x:c r="B3277" t="n">
        <x:v>273</x:v>
      </x:c>
      <x:c r="C3277" t="str">
        <x:v>晚餐</x:v>
      </x:c>
      <x:c r="D3277" t="str">
        <x:v>油脂</x:v>
      </x:c>
      <x:c r="E3277" t="str">
        <x:v>烹调油</x:v>
      </x:c>
      <x:c r="F3277" t="n">
        <x:v>6</x:v>
      </x:c>
      <x:c r="G3277" t="n">
        <x:v>900</x:v>
      </x:c>
      <x:c r="H3277" t="n">
        <x:f>ROUND(F3277*G3277/100,2)</x:f>
        <x:v>54</x:v>
      </x:c>
      <x:c r="I3277" t="n">
        <x:v>0</x:v>
      </x:c>
      <x:c r="J3277" t="n">
        <x:f>ROUND(F3277*I3277/100,2)</x:f>
        <x:v>0</x:v>
      </x:c>
      <x:c r="K3277" t="n">
        <x:v>0</x:v>
      </x:c>
      <x:c r="L3277" t="n">
        <x:f>ROUND(F3277*K3277/100,2)</x:f>
        <x:v>0</x:v>
      </x:c>
      <x:c r="M3277" t="n">
        <x:v>100</x:v>
      </x:c>
      <x:c r="N3277" t="n">
        <x:f>ROUND(F3277*M3277/100,2)</x:f>
        <x:v>6</x:v>
      </x:c>
      <x:c r="O3277" t="str">
        <x:v>实际用油重</x:v>
      </x:c>
    </x:row>
    <x:row r="3278" ht="23" customHeight="1">
      <x:c r="A3278" t="n">
        <x:v>547</x:v>
      </x:c>
      <x:c r="B3278" t="n">
        <x:v>274</x:v>
      </x:c>
      <x:c r="C3278" t="str">
        <x:v>午餐</x:v>
      </x:c>
      <x:c r="D3278" t="str">
        <x:v>鱼类</x:v>
      </x:c>
      <x:c r="E3278" t="str">
        <x:v>鲈鱼</x:v>
      </x:c>
      <x:c r="F3278" t="n">
        <x:v>175</x:v>
      </x:c>
      <x:c r="G3278" t="n">
        <x:v>105</x:v>
      </x:c>
      <x:c r="H3278" t="n">
        <x:f>ROUND(F3278*G3278/100,2)</x:f>
        <x:v>183.75</x:v>
      </x:c>
      <x:c r="I3278" t="n">
        <x:v>19</x:v>
      </x:c>
      <x:c r="J3278" t="n">
        <x:f>ROUND(F3278*I3278/100,2)</x:f>
        <x:v>33.25</x:v>
      </x:c>
      <x:c r="K3278" t="n">
        <x:v>0</x:v>
      </x:c>
      <x:c r="L3278" t="n">
        <x:f>ROUND(F3278*K3278/100,2)</x:f>
        <x:v>0</x:v>
      </x:c>
      <x:c r="M3278" t="n">
        <x:v>3</x:v>
      </x:c>
      <x:c r="N3278" t="n">
        <x:f>ROUND(F3278*M3278/100,2)</x:f>
        <x:v>5.25</x:v>
      </x:c>
      <x:c r="O3278" t="str">
        <x:v>净鱼肉生重</x:v>
      </x:c>
    </x:row>
    <x:row r="3279" ht="23" customHeight="1">
      <x:c r="A3279" t="n">
        <x:v>547</x:v>
      </x:c>
      <x:c r="B3279" t="n">
        <x:v>274</x:v>
      </x:c>
      <x:c r="C3279" t="str">
        <x:v>午餐</x:v>
      </x:c>
      <x:c r="D3279" t="str"/>
      <x:c r="E3279" t="str"/>
      <x:c r="F3279" t="n">
        <x:v>0</x:v>
      </x:c>
      <x:c r="G3279" t="n">
        <x:v>0</x:v>
      </x:c>
      <x:c r="H3279" t="n">
        <x:f>ROUND(F3279*G3279/100,2)</x:f>
        <x:v>0</x:v>
      </x:c>
      <x:c r="I3279" t="n">
        <x:v>0</x:v>
      </x:c>
      <x:c r="J3279" t="n">
        <x:f>ROUND(F3279*I3279/100,2)</x:f>
        <x:v>0</x:v>
      </x:c>
      <x:c r="K3279" t="n">
        <x:v>0</x:v>
      </x:c>
      <x:c r="L3279" t="n">
        <x:f>ROUND(F3279*K3279/100,2)</x:f>
        <x:v>0</x:v>
      </x:c>
      <x:c r="M3279" t="n">
        <x:v>0</x:v>
      </x:c>
      <x:c r="N3279" t="n">
        <x:f>ROUND(F3279*M3279/100,2)</x:f>
        <x:v>0</x:v>
      </x:c>
      <x:c r="O3279" t="str"/>
    </x:row>
    <x:row r="3280" ht="23" customHeight="1">
      <x:c r="A3280" t="n">
        <x:v>547</x:v>
      </x:c>
      <x:c r="B3280" t="n">
        <x:v>274</x:v>
      </x:c>
      <x:c r="C3280" t="str">
        <x:v>午餐</x:v>
      </x:c>
      <x:c r="D3280" t="str">
        <x:v>蔬菜</x:v>
      </x:c>
      <x:c r="E3280" t="str">
        <x:v>菠菜</x:v>
      </x:c>
      <x:c r="F3280" t="n">
        <x:v>140</x:v>
      </x:c>
      <x:c r="G3280" t="n">
        <x:v>23</x:v>
      </x:c>
      <x:c r="H3280" t="n">
        <x:f>ROUND(F3280*G3280/100,2)</x:f>
        <x:v>32.2</x:v>
      </x:c>
      <x:c r="I3280" t="n">
        <x:v>2.9</x:v>
      </x:c>
      <x:c r="J3280" t="n">
        <x:f>ROUND(F3280*I3280/100,2)</x:f>
        <x:v>4.06</x:v>
      </x:c>
      <x:c r="K3280" t="n">
        <x:v>3.6</x:v>
      </x:c>
      <x:c r="L3280" t="n">
        <x:f>ROUND(F3280*K3280/100,2)</x:f>
        <x:v>5.04</x:v>
      </x:c>
      <x:c r="M3280" t="n">
        <x:v>0.4</x:v>
      </x:c>
      <x:c r="N3280" t="n">
        <x:f>ROUND(F3280*M3280/100,2)</x:f>
        <x:v>0.56</x:v>
      </x:c>
      <x:c r="O3280" t="str">
        <x:v>生重</x:v>
      </x:c>
    </x:row>
    <x:row r="3281" ht="23" customHeight="1">
      <x:c r="A3281" t="n">
        <x:v>547</x:v>
      </x:c>
      <x:c r="B3281" t="n">
        <x:v>274</x:v>
      </x:c>
      <x:c r="C3281" t="str">
        <x:v>午餐</x:v>
      </x:c>
      <x:c r="D3281" t="str">
        <x:v>菌菇</x:v>
      </x:c>
      <x:c r="E3281" t="str">
        <x:v>杏鲍菇</x:v>
      </x:c>
      <x:c r="F3281" t="n">
        <x:v>140</x:v>
      </x:c>
      <x:c r="G3281" t="n">
        <x:v>35</x:v>
      </x:c>
      <x:c r="H3281" t="n">
        <x:f>ROUND(F3281*G3281/100,2)</x:f>
        <x:v>49</x:v>
      </x:c>
      <x:c r="I3281" t="n">
        <x:v>2</x:v>
      </x:c>
      <x:c r="J3281" t="n">
        <x:f>ROUND(F3281*I3281/100,2)</x:f>
        <x:v>2.8</x:v>
      </x:c>
      <x:c r="K3281" t="n">
        <x:v>7.4</x:v>
      </x:c>
      <x:c r="L3281" t="n">
        <x:f>ROUND(F3281*K3281/100,2)</x:f>
        <x:v>10.36</x:v>
      </x:c>
      <x:c r="M3281" t="n">
        <x:v>0.3</x:v>
      </x:c>
      <x:c r="N3281" t="n">
        <x:f>ROUND(F3281*M3281/100,2)</x:f>
        <x:v>0.42</x:v>
      </x:c>
      <x:c r="O3281" t="str">
        <x:v>生重</x:v>
      </x:c>
    </x:row>
    <x:row r="3282" ht="23" customHeight="1">
      <x:c r="A3282" t="n">
        <x:v>547</x:v>
      </x:c>
      <x:c r="B3282" t="n">
        <x:v>274</x:v>
      </x:c>
      <x:c r="C3282" t="str">
        <x:v>午餐</x:v>
      </x:c>
      <x:c r="D3282" t="str">
        <x:v>主食</x:v>
      </x:c>
      <x:c r="E3282" t="str">
        <x:v>糙米饭</x:v>
      </x:c>
      <x:c r="F3282" t="n">
        <x:v>125</x:v>
      </x:c>
      <x:c r="G3282" t="n">
        <x:v>112</x:v>
      </x:c>
      <x:c r="H3282" t="n">
        <x:f>ROUND(F3282*G3282/100,2)</x:f>
        <x:v>140</x:v>
      </x:c>
      <x:c r="I3282" t="n">
        <x:v>2.6</x:v>
      </x:c>
      <x:c r="J3282" t="n">
        <x:f>ROUND(F3282*I3282/100,2)</x:f>
        <x:v>3.25</x:v>
      </x:c>
      <x:c r="K3282" t="n">
        <x:v>23.5</x:v>
      </x:c>
      <x:c r="L3282" t="n">
        <x:f>ROUND(F3282*K3282/100,2)</x:f>
        <x:v>29.38</x:v>
      </x:c>
      <x:c r="M3282" t="n">
        <x:v>0.9</x:v>
      </x:c>
      <x:c r="N3282" t="n">
        <x:f>ROUND(F3282*M3282/100,2)</x:f>
        <x:v>1.13</x:v>
      </x:c>
      <x:c r="O3282" t="str">
        <x:v>熟重</x:v>
      </x:c>
    </x:row>
    <x:row r="3283" ht="23" customHeight="1">
      <x:c r="A3283" t="n">
        <x:v>547</x:v>
      </x:c>
      <x:c r="B3283" t="n">
        <x:v>274</x:v>
      </x:c>
      <x:c r="C3283" t="str">
        <x:v>午餐</x:v>
      </x:c>
      <x:c r="D3283" t="str">
        <x:v>油脂</x:v>
      </x:c>
      <x:c r="E3283" t="str">
        <x:v>烹调油</x:v>
      </x:c>
      <x:c r="F3283" t="n">
        <x:v>3</x:v>
      </x:c>
      <x:c r="G3283" t="n">
        <x:v>900</x:v>
      </x:c>
      <x:c r="H3283" t="n">
        <x:f>ROUND(F3283*G3283/100,2)</x:f>
        <x:v>27</x:v>
      </x:c>
      <x:c r="I3283" t="n">
        <x:v>0</x:v>
      </x:c>
      <x:c r="J3283" t="n">
        <x:f>ROUND(F3283*I3283/100,2)</x:f>
        <x:v>0</x:v>
      </x:c>
      <x:c r="K3283" t="n">
        <x:v>0</x:v>
      </x:c>
      <x:c r="L3283" t="n">
        <x:f>ROUND(F3283*K3283/100,2)</x:f>
        <x:v>0</x:v>
      </x:c>
      <x:c r="M3283" t="n">
        <x:v>100</x:v>
      </x:c>
      <x:c r="N3283" t="n">
        <x:f>ROUND(F3283*M3283/100,2)</x:f>
        <x:v>3</x:v>
      </x:c>
      <x:c r="O3283" t="str">
        <x:v>实际用油重</x:v>
      </x:c>
    </x:row>
    <x:row r="3284" ht="23" customHeight="1">
      <x:c r="A3284" t="n">
        <x:v>548</x:v>
      </x:c>
      <x:c r="B3284" t="n">
        <x:v>274</x:v>
      </x:c>
      <x:c r="C3284" t="str">
        <x:v>晚餐</x:v>
      </x:c>
      <x:c r="D3284" t="str">
        <x:v>禽肉</x:v>
      </x:c>
      <x:c r="E3284" t="str">
        <x:v>去皮鸭胸肉</x:v>
      </x:c>
      <x:c r="F3284" t="n">
        <x:v>145</x:v>
      </x:c>
      <x:c r="G3284" t="n">
        <x:v>140</x:v>
      </x:c>
      <x:c r="H3284" t="n">
        <x:f>ROUND(F3284*G3284/100,2)</x:f>
        <x:v>203</x:v>
      </x:c>
      <x:c r="I3284" t="n">
        <x:v>19</x:v>
      </x:c>
      <x:c r="J3284" t="n">
        <x:f>ROUND(F3284*I3284/100,2)</x:f>
        <x:v>27.55</x:v>
      </x:c>
      <x:c r="K3284" t="n">
        <x:v>0</x:v>
      </x:c>
      <x:c r="L3284" t="n">
        <x:f>ROUND(F3284*K3284/100,2)</x:f>
        <x:v>0</x:v>
      </x:c>
      <x:c r="M3284" t="n">
        <x:v>7</x:v>
      </x:c>
      <x:c r="N3284" t="n">
        <x:f>ROUND(F3284*M3284/100,2)</x:f>
        <x:v>10.15</x:v>
      </x:c>
      <x:c r="O3284" t="str">
        <x:v>生重</x:v>
      </x:c>
    </x:row>
    <x:row r="3285" ht="23" customHeight="1">
      <x:c r="A3285" t="n">
        <x:v>548</x:v>
      </x:c>
      <x:c r="B3285" t="n">
        <x:v>274</x:v>
      </x:c>
      <x:c r="C3285" t="str">
        <x:v>晚餐</x:v>
      </x:c>
      <x:c r="D3285" t="str"/>
      <x:c r="E3285" t="str"/>
      <x:c r="F3285" t="n">
        <x:v>0</x:v>
      </x:c>
      <x:c r="G3285" t="n">
        <x:v>0</x:v>
      </x:c>
      <x:c r="H3285" t="n">
        <x:f>ROUND(F3285*G3285/100,2)</x:f>
        <x:v>0</x:v>
      </x:c>
      <x:c r="I3285" t="n">
        <x:v>0</x:v>
      </x:c>
      <x:c r="J3285" t="n">
        <x:f>ROUND(F3285*I3285/100,2)</x:f>
        <x:v>0</x:v>
      </x:c>
      <x:c r="K3285" t="n">
        <x:v>0</x:v>
      </x:c>
      <x:c r="L3285" t="n">
        <x:f>ROUND(F3285*K3285/100,2)</x:f>
        <x:v>0</x:v>
      </x:c>
      <x:c r="M3285" t="n">
        <x:v>0</x:v>
      </x:c>
      <x:c r="N3285" t="n">
        <x:f>ROUND(F3285*M3285/100,2)</x:f>
        <x:v>0</x:v>
      </x:c>
      <x:c r="O3285" t="str"/>
    </x:row>
    <x:row r="3286" ht="23" customHeight="1">
      <x:c r="A3286" t="n">
        <x:v>548</x:v>
      </x:c>
      <x:c r="B3286" t="n">
        <x:v>274</x:v>
      </x:c>
      <x:c r="C3286" t="str">
        <x:v>晚餐</x:v>
      </x:c>
      <x:c r="D3286" t="str">
        <x:v>蔬菜</x:v>
      </x:c>
      <x:c r="E3286" t="str">
        <x:v>油麦菜</x:v>
      </x:c>
      <x:c r="F3286" t="n">
        <x:v>160</x:v>
      </x:c>
      <x:c r="G3286" t="n">
        <x:v>18</x:v>
      </x:c>
      <x:c r="H3286" t="n">
        <x:f>ROUND(F3286*G3286/100,2)</x:f>
        <x:v>28.8</x:v>
      </x:c>
      <x:c r="I3286" t="n">
        <x:v>1.4</x:v>
      </x:c>
      <x:c r="J3286" t="n">
        <x:f>ROUND(F3286*I3286/100,2)</x:f>
        <x:v>2.24</x:v>
      </x:c>
      <x:c r="K3286" t="n">
        <x:v>3.1</x:v>
      </x:c>
      <x:c r="L3286" t="n">
        <x:f>ROUND(F3286*K3286/100,2)</x:f>
        <x:v>4.96</x:v>
      </x:c>
      <x:c r="M3286" t="n">
        <x:v>0.2</x:v>
      </x:c>
      <x:c r="N3286" t="n">
        <x:f>ROUND(F3286*M3286/100,2)</x:f>
        <x:v>0.32</x:v>
      </x:c>
      <x:c r="O3286" t="str">
        <x:v>生重</x:v>
      </x:c>
    </x:row>
    <x:row r="3287" ht="23" customHeight="1">
      <x:c r="A3287" t="n">
        <x:v>548</x:v>
      </x:c>
      <x:c r="B3287" t="n">
        <x:v>274</x:v>
      </x:c>
      <x:c r="C3287" t="str">
        <x:v>晚餐</x:v>
      </x:c>
      <x:c r="D3287" t="str">
        <x:v>蔬菜</x:v>
      </x:c>
      <x:c r="E3287" t="str">
        <x:v>海带</x:v>
      </x:c>
      <x:c r="F3287" t="n">
        <x:v>110</x:v>
      </x:c>
      <x:c r="G3287" t="n">
        <x:v>25</x:v>
      </x:c>
      <x:c r="H3287" t="n">
        <x:f>ROUND(F3287*G3287/100,2)</x:f>
        <x:v>27.5</x:v>
      </x:c>
      <x:c r="I3287" t="n">
        <x:v>1</x:v>
      </x:c>
      <x:c r="J3287" t="n">
        <x:f>ROUND(F3287*I3287/100,2)</x:f>
        <x:v>1.1</x:v>
      </x:c>
      <x:c r="K3287" t="n">
        <x:v>5</x:v>
      </x:c>
      <x:c r="L3287" t="n">
        <x:f>ROUND(F3287*K3287/100,2)</x:f>
        <x:v>5.5</x:v>
      </x:c>
      <x:c r="M3287" t="n">
        <x:v>0.1</x:v>
      </x:c>
      <x:c r="N3287" t="n">
        <x:f>ROUND(F3287*M3287/100,2)</x:f>
        <x:v>0.11</x:v>
      </x:c>
      <x:c r="O3287" t="str">
        <x:v>泡发沥水重</x:v>
      </x:c>
    </x:row>
    <x:row r="3288" ht="23" customHeight="1">
      <x:c r="A3288" t="n">
        <x:v>548</x:v>
      </x:c>
      <x:c r="B3288" t="n">
        <x:v>274</x:v>
      </x:c>
      <x:c r="C3288" t="str">
        <x:v>晚餐</x:v>
      </x:c>
      <x:c r="D3288" t="str">
        <x:v>主食</x:v>
      </x:c>
      <x:c r="E3288" t="str">
        <x:v>藜麦饭</x:v>
      </x:c>
      <x:c r="F3288" t="n">
        <x:v>95</x:v>
      </x:c>
      <x:c r="G3288" t="n">
        <x:v>120</x:v>
      </x:c>
      <x:c r="H3288" t="n">
        <x:f>ROUND(F3288*G3288/100,2)</x:f>
        <x:v>114</x:v>
      </x:c>
      <x:c r="I3288" t="n">
        <x:v>4.4</x:v>
      </x:c>
      <x:c r="J3288" t="n">
        <x:f>ROUND(F3288*I3288/100,2)</x:f>
        <x:v>4.18</x:v>
      </x:c>
      <x:c r="K3288" t="n">
        <x:v>21.3</x:v>
      </x:c>
      <x:c r="L3288" t="n">
        <x:f>ROUND(F3288*K3288/100,2)</x:f>
        <x:v>20.24</x:v>
      </x:c>
      <x:c r="M3288" t="n">
        <x:v>1.9</x:v>
      </x:c>
      <x:c r="N3288" t="n">
        <x:f>ROUND(F3288*M3288/100,2)</x:f>
        <x:v>1.81</x:v>
      </x:c>
      <x:c r="O3288" t="str">
        <x:v>熟重</x:v>
      </x:c>
    </x:row>
    <x:row r="3289" ht="23" customHeight="1">
      <x:c r="A3289" t="n">
        <x:v>548</x:v>
      </x:c>
      <x:c r="B3289" t="n">
        <x:v>274</x:v>
      </x:c>
      <x:c r="C3289" t="str">
        <x:v>晚餐</x:v>
      </x:c>
      <x:c r="D3289" t="str">
        <x:v>油脂</x:v>
      </x:c>
      <x:c r="E3289" t="str">
        <x:v>烹调油</x:v>
      </x:c>
      <x:c r="F3289" t="n">
        <x:v>3</x:v>
      </x:c>
      <x:c r="G3289" t="n">
        <x:v>900</x:v>
      </x:c>
      <x:c r="H3289" t="n">
        <x:f>ROUND(F3289*G3289/100,2)</x:f>
        <x:v>27</x:v>
      </x:c>
      <x:c r="I3289" t="n">
        <x:v>0</x:v>
      </x:c>
      <x:c r="J3289" t="n">
        <x:f>ROUND(F3289*I3289/100,2)</x:f>
        <x:v>0</x:v>
      </x:c>
      <x:c r="K3289" t="n">
        <x:v>0</x:v>
      </x:c>
      <x:c r="L3289" t="n">
        <x:f>ROUND(F3289*K3289/100,2)</x:f>
        <x:v>0</x:v>
      </x:c>
      <x:c r="M3289" t="n">
        <x:v>100</x:v>
      </x:c>
      <x:c r="N3289" t="n">
        <x:f>ROUND(F3289*M3289/100,2)</x:f>
        <x:v>3</x:v>
      </x:c>
      <x:c r="O3289" t="str">
        <x:v>实际用油重</x:v>
      </x:c>
    </x:row>
    <x:row r="3290" ht="23" customHeight="1">
      <x:c r="A3290" t="n">
        <x:v>549</x:v>
      </x:c>
      <x:c r="B3290" t="n">
        <x:v>275</x:v>
      </x:c>
      <x:c r="C3290" t="str">
        <x:v>午餐</x:v>
      </x:c>
      <x:c r="D3290" t="str">
        <x:v>豆蛋</x:v>
      </x:c>
      <x:c r="E3290" t="str">
        <x:v>嫩豆腐</x:v>
      </x:c>
      <x:c r="F3290" t="n">
        <x:v>300</x:v>
      </x:c>
      <x:c r="G3290" t="n">
        <x:v>55</x:v>
      </x:c>
      <x:c r="H3290" t="n">
        <x:f>ROUND(F3290*G3290/100,2)</x:f>
        <x:v>165</x:v>
      </x:c>
      <x:c r="I3290" t="n">
        <x:v>5</x:v>
      </x:c>
      <x:c r="J3290" t="n">
        <x:f>ROUND(F3290*I3290/100,2)</x:f>
        <x:v>15</x:v>
      </x:c>
      <x:c r="K3290" t="n">
        <x:v>2</x:v>
      </x:c>
      <x:c r="L3290" t="n">
        <x:f>ROUND(F3290*K3290/100,2)</x:f>
        <x:v>6</x:v>
      </x:c>
      <x:c r="M3290" t="n">
        <x:v>2.8</x:v>
      </x:c>
      <x:c r="N3290" t="n">
        <x:f>ROUND(F3290*M3290/100,2)</x:f>
        <x:v>8.4</x:v>
      </x:c>
      <x:c r="O3290" t="str">
        <x:v>净重</x:v>
      </x:c>
    </x:row>
    <x:row r="3291" ht="23" customHeight="1">
      <x:c r="A3291" t="n">
        <x:v>549</x:v>
      </x:c>
      <x:c r="B3291" t="n">
        <x:v>275</x:v>
      </x:c>
      <x:c r="C3291" t="str">
        <x:v>午餐</x:v>
      </x:c>
      <x:c r="D3291" t="str">
        <x:v>豆蛋</x:v>
      </x:c>
      <x:c r="E3291" t="str">
        <x:v>鸡蛋</x:v>
      </x:c>
      <x:c r="F3291" t="n">
        <x:v>85</x:v>
      </x:c>
      <x:c r="G3291" t="n">
        <x:v>144</x:v>
      </x:c>
      <x:c r="H3291" t="n">
        <x:f>ROUND(F3291*G3291/100,2)</x:f>
        <x:v>122.4</x:v>
      </x:c>
      <x:c r="I3291" t="n">
        <x:v>13</x:v>
      </x:c>
      <x:c r="J3291" t="n">
        <x:f>ROUND(F3291*I3291/100,2)</x:f>
        <x:v>11.05</x:v>
      </x:c>
      <x:c r="K3291" t="n">
        <x:v>1.1</x:v>
      </x:c>
      <x:c r="L3291" t="n">
        <x:f>ROUND(F3291*K3291/100,2)</x:f>
        <x:v>0.94</x:v>
      </x:c>
      <x:c r="M3291" t="n">
        <x:v>10</x:v>
      </x:c>
      <x:c r="N3291" t="n">
        <x:f>ROUND(F3291*M3291/100,2)</x:f>
        <x:v>8.5</x:v>
      </x:c>
      <x:c r="O3291" t="str">
        <x:v>去壳可食重</x:v>
      </x:c>
    </x:row>
    <x:row r="3292" ht="23" customHeight="1">
      <x:c r="A3292" t="n">
        <x:v>549</x:v>
      </x:c>
      <x:c r="B3292" t="n">
        <x:v>275</x:v>
      </x:c>
      <x:c r="C3292" t="str">
        <x:v>午餐</x:v>
      </x:c>
      <x:c r="D3292" t="str">
        <x:v>蔬菜</x:v>
      </x:c>
      <x:c r="E3292" t="str">
        <x:v>芹菜</x:v>
      </x:c>
      <x:c r="F3292" t="n">
        <x:v>160</x:v>
      </x:c>
      <x:c r="G3292" t="n">
        <x:v>17</x:v>
      </x:c>
      <x:c r="H3292" t="n">
        <x:f>ROUND(F3292*G3292/100,2)</x:f>
        <x:v>27.2</x:v>
      </x:c>
      <x:c r="I3292" t="n">
        <x:v>1</x:v>
      </x:c>
      <x:c r="J3292" t="n">
        <x:f>ROUND(F3292*I3292/100,2)</x:f>
        <x:v>1.6</x:v>
      </x:c>
      <x:c r="K3292" t="n">
        <x:v>3.5</x:v>
      </x:c>
      <x:c r="L3292" t="n">
        <x:f>ROUND(F3292*K3292/100,2)</x:f>
        <x:v>5.6</x:v>
      </x:c>
      <x:c r="M3292" t="n">
        <x:v>0.1</x:v>
      </x:c>
      <x:c r="N3292" t="n">
        <x:f>ROUND(F3292*M3292/100,2)</x:f>
        <x:v>0.16</x:v>
      </x:c>
      <x:c r="O3292" t="str">
        <x:v>生重</x:v>
      </x:c>
    </x:row>
    <x:row r="3293" ht="23" customHeight="1">
      <x:c r="A3293" t="n">
        <x:v>549</x:v>
      </x:c>
      <x:c r="B3293" t="n">
        <x:v>275</x:v>
      </x:c>
      <x:c r="C3293" t="str">
        <x:v>午餐</x:v>
      </x:c>
      <x:c r="D3293" t="str">
        <x:v>蔬菜</x:v>
      </x:c>
      <x:c r="E3293" t="str">
        <x:v>西兰花</x:v>
      </x:c>
      <x:c r="F3293" t="n">
        <x:v>110</x:v>
      </x:c>
      <x:c r="G3293" t="n">
        <x:v>34</x:v>
      </x:c>
      <x:c r="H3293" t="n">
        <x:f>ROUND(F3293*G3293/100,2)</x:f>
        <x:v>37.4</x:v>
      </x:c>
      <x:c r="I3293" t="n">
        <x:v>2.8</x:v>
      </x:c>
      <x:c r="J3293" t="n">
        <x:f>ROUND(F3293*I3293/100,2)</x:f>
        <x:v>3.08</x:v>
      </x:c>
      <x:c r="K3293" t="n">
        <x:v>7</x:v>
      </x:c>
      <x:c r="L3293" t="n">
        <x:f>ROUND(F3293*K3293/100,2)</x:f>
        <x:v>7.7</x:v>
      </x:c>
      <x:c r="M3293" t="n">
        <x:v>0.4</x:v>
      </x:c>
      <x:c r="N3293" t="n">
        <x:f>ROUND(F3293*M3293/100,2)</x:f>
        <x:v>0.44</x:v>
      </x:c>
      <x:c r="O3293" t="str">
        <x:v>生重</x:v>
      </x:c>
    </x:row>
    <x:row r="3294" ht="23" customHeight="1">
      <x:c r="A3294" t="n">
        <x:v>549</x:v>
      </x:c>
      <x:c r="B3294" t="n">
        <x:v>275</x:v>
      </x:c>
      <x:c r="C3294" t="str">
        <x:v>午餐</x:v>
      </x:c>
      <x:c r="D3294" t="str">
        <x:v>主食</x:v>
      </x:c>
      <x:c r="E3294" t="str">
        <x:v>燕麦饭</x:v>
      </x:c>
      <x:c r="F3294" t="n">
        <x:v>165</x:v>
      </x:c>
      <x:c r="G3294" t="n">
        <x:v>110</x:v>
      </x:c>
      <x:c r="H3294" t="n">
        <x:f>ROUND(F3294*G3294/100,2)</x:f>
        <x:v>181.5</x:v>
      </x:c>
      <x:c r="I3294" t="n">
        <x:v>3.2</x:v>
      </x:c>
      <x:c r="J3294" t="n">
        <x:f>ROUND(F3294*I3294/100,2)</x:f>
        <x:v>5.28</x:v>
      </x:c>
      <x:c r="K3294" t="n">
        <x:v>21</x:v>
      </x:c>
      <x:c r="L3294" t="n">
        <x:f>ROUND(F3294*K3294/100,2)</x:f>
        <x:v>34.65</x:v>
      </x:c>
      <x:c r="M3294" t="n">
        <x:v>1.8</x:v>
      </x:c>
      <x:c r="N3294" t="n">
        <x:f>ROUND(F3294*M3294/100,2)</x:f>
        <x:v>2.97</x:v>
      </x:c>
      <x:c r="O3294" t="str">
        <x:v>熟重</x:v>
      </x:c>
    </x:row>
    <x:row r="3295" ht="23" customHeight="1">
      <x:c r="A3295" t="n">
        <x:v>549</x:v>
      </x:c>
      <x:c r="B3295" t="n">
        <x:v>275</x:v>
      </x:c>
      <x:c r="C3295" t="str">
        <x:v>午餐</x:v>
      </x:c>
      <x:c r="D3295" t="str">
        <x:v>油脂</x:v>
      </x:c>
      <x:c r="E3295" t="str">
        <x:v>烹调油</x:v>
      </x:c>
      <x:c r="F3295" t="n">
        <x:v>6</x:v>
      </x:c>
      <x:c r="G3295" t="n">
        <x:v>900</x:v>
      </x:c>
      <x:c r="H3295" t="n">
        <x:f>ROUND(F3295*G3295/100,2)</x:f>
        <x:v>54</x:v>
      </x:c>
      <x:c r="I3295" t="n">
        <x:v>0</x:v>
      </x:c>
      <x:c r="J3295" t="n">
        <x:f>ROUND(F3295*I3295/100,2)</x:f>
        <x:v>0</x:v>
      </x:c>
      <x:c r="K3295" t="n">
        <x:v>0</x:v>
      </x:c>
      <x:c r="L3295" t="n">
        <x:f>ROUND(F3295*K3295/100,2)</x:f>
        <x:v>0</x:v>
      </x:c>
      <x:c r="M3295" t="n">
        <x:v>100</x:v>
      </x:c>
      <x:c r="N3295" t="n">
        <x:f>ROUND(F3295*M3295/100,2)</x:f>
        <x:v>6</x:v>
      </x:c>
      <x:c r="O3295" t="str">
        <x:v>实际用油重</x:v>
      </x:c>
    </x:row>
    <x:row r="3296" ht="23" customHeight="1">
      <x:c r="A3296" t="n">
        <x:v>550</x:v>
      </x:c>
      <x:c r="B3296" t="n">
        <x:v>275</x:v>
      </x:c>
      <x:c r="C3296" t="str">
        <x:v>晚餐</x:v>
      </x:c>
      <x:c r="D3296" t="str">
        <x:v>鱼类</x:v>
      </x:c>
      <x:c r="E3296" t="str">
        <x:v>鳕鱼</x:v>
      </x:c>
      <x:c r="F3296" t="n">
        <x:v>215</x:v>
      </x:c>
      <x:c r="G3296" t="n">
        <x:v>85</x:v>
      </x:c>
      <x:c r="H3296" t="n">
        <x:f>ROUND(F3296*G3296/100,2)</x:f>
        <x:v>182.75</x:v>
      </x:c>
      <x:c r="I3296" t="n">
        <x:v>18</x:v>
      </x:c>
      <x:c r="J3296" t="n">
        <x:f>ROUND(F3296*I3296/100,2)</x:f>
        <x:v>38.7</x:v>
      </x:c>
      <x:c r="K3296" t="n">
        <x:v>0</x:v>
      </x:c>
      <x:c r="L3296" t="n">
        <x:f>ROUND(F3296*K3296/100,2)</x:f>
        <x:v>0</x:v>
      </x:c>
      <x:c r="M3296" t="n">
        <x:v>0.8</x:v>
      </x:c>
      <x:c r="N3296" t="n">
        <x:f>ROUND(F3296*M3296/100,2)</x:f>
        <x:v>1.72</x:v>
      </x:c>
      <x:c r="O3296" t="str">
        <x:v>净鱼肉生重</x:v>
      </x:c>
    </x:row>
    <x:row r="3297" ht="23" customHeight="1">
      <x:c r="A3297" t="n">
        <x:v>550</x:v>
      </x:c>
      <x:c r="B3297" t="n">
        <x:v>275</x:v>
      </x:c>
      <x:c r="C3297" t="str">
        <x:v>晚餐</x:v>
      </x:c>
      <x:c r="D3297" t="str"/>
      <x:c r="E3297" t="str"/>
      <x:c r="F3297" t="n">
        <x:v>0</x:v>
      </x:c>
      <x:c r="G3297" t="n">
        <x:v>0</x:v>
      </x:c>
      <x:c r="H3297" t="n">
        <x:f>ROUND(F3297*G3297/100,2)</x:f>
        <x:v>0</x:v>
      </x:c>
      <x:c r="I3297" t="n">
        <x:v>0</x:v>
      </x:c>
      <x:c r="J3297" t="n">
        <x:f>ROUND(F3297*I3297/100,2)</x:f>
        <x:v>0</x:v>
      </x:c>
      <x:c r="K3297" t="n">
        <x:v>0</x:v>
      </x:c>
      <x:c r="L3297" t="n">
        <x:f>ROUND(F3297*K3297/100,2)</x:f>
        <x:v>0</x:v>
      </x:c>
      <x:c r="M3297" t="n">
        <x:v>0</x:v>
      </x:c>
      <x:c r="N3297" t="n">
        <x:f>ROUND(F3297*M3297/100,2)</x:f>
        <x:v>0</x:v>
      </x:c>
      <x:c r="O3297" t="str"/>
    </x:row>
    <x:row r="3298" ht="23" customHeight="1">
      <x:c r="A3298" t="n">
        <x:v>550</x:v>
      </x:c>
      <x:c r="B3298" t="n">
        <x:v>275</x:v>
      </x:c>
      <x:c r="C3298" t="str">
        <x:v>晚餐</x:v>
      </x:c>
      <x:c r="D3298" t="str">
        <x:v>蔬菜</x:v>
      </x:c>
      <x:c r="E3298" t="str">
        <x:v>大白菜</x:v>
      </x:c>
      <x:c r="F3298" t="n">
        <x:v>160</x:v>
      </x:c>
      <x:c r="G3298" t="n">
        <x:v>17</x:v>
      </x:c>
      <x:c r="H3298" t="n">
        <x:f>ROUND(F3298*G3298/100,2)</x:f>
        <x:v>27.2</x:v>
      </x:c>
      <x:c r="I3298" t="n">
        <x:v>1.5</x:v>
      </x:c>
      <x:c r="J3298" t="n">
        <x:f>ROUND(F3298*I3298/100,2)</x:f>
        <x:v>2.4</x:v>
      </x:c>
      <x:c r="K3298" t="n">
        <x:v>3.2</x:v>
      </x:c>
      <x:c r="L3298" t="n">
        <x:f>ROUND(F3298*K3298/100,2)</x:f>
        <x:v>5.12</x:v>
      </x:c>
      <x:c r="M3298" t="n">
        <x:v>0.1</x:v>
      </x:c>
      <x:c r="N3298" t="n">
        <x:f>ROUND(F3298*M3298/100,2)</x:f>
        <x:v>0.16</x:v>
      </x:c>
      <x:c r="O3298" t="str">
        <x:v>生重</x:v>
      </x:c>
    </x:row>
    <x:row r="3299" ht="23" customHeight="1">
      <x:c r="A3299" t="n">
        <x:v>550</x:v>
      </x:c>
      <x:c r="B3299" t="n">
        <x:v>275</x:v>
      </x:c>
      <x:c r="C3299" t="str">
        <x:v>晚餐</x:v>
      </x:c>
      <x:c r="D3299" t="str">
        <x:v>蔬菜</x:v>
      </x:c>
      <x:c r="E3299" t="str">
        <x:v>番茄</x:v>
      </x:c>
      <x:c r="F3299" t="n">
        <x:v>125</x:v>
      </x:c>
      <x:c r="G3299" t="n">
        <x:v>20</x:v>
      </x:c>
      <x:c r="H3299" t="n">
        <x:f>ROUND(F3299*G3299/100,2)</x:f>
        <x:v>25</x:v>
      </x:c>
      <x:c r="I3299" t="n">
        <x:v>0.9</x:v>
      </x:c>
      <x:c r="J3299" t="n">
        <x:f>ROUND(F3299*I3299/100,2)</x:f>
        <x:v>1.13</x:v>
      </x:c>
      <x:c r="K3299" t="n">
        <x:v>4</x:v>
      </x:c>
      <x:c r="L3299" t="n">
        <x:f>ROUND(F3299*K3299/100,2)</x:f>
        <x:v>5</x:v>
      </x:c>
      <x:c r="M3299" t="n">
        <x:v>0.2</x:v>
      </x:c>
      <x:c r="N3299" t="n">
        <x:f>ROUND(F3299*M3299/100,2)</x:f>
        <x:v>0.25</x:v>
      </x:c>
      <x:c r="O3299" t="str">
        <x:v>生重</x:v>
      </x:c>
    </x:row>
    <x:row r="3300" ht="23" customHeight="1">
      <x:c r="A3300" t="n">
        <x:v>550</x:v>
      </x:c>
      <x:c r="B3300" t="n">
        <x:v>275</x:v>
      </x:c>
      <x:c r="C3300" t="str">
        <x:v>晚餐</x:v>
      </x:c>
      <x:c r="D3300" t="str">
        <x:v>主食</x:v>
      </x:c>
      <x:c r="E3300" t="str">
        <x:v>玉米</x:v>
      </x:c>
      <x:c r="F3300" t="n">
        <x:v>110</x:v>
      </x:c>
      <x:c r="G3300" t="n">
        <x:v>105</x:v>
      </x:c>
      <x:c r="H3300" t="n">
        <x:f>ROUND(F3300*G3300/100,2)</x:f>
        <x:v>115.5</x:v>
      </x:c>
      <x:c r="I3300" t="n">
        <x:v>3.4</x:v>
      </x:c>
      <x:c r="J3300" t="n">
        <x:f>ROUND(F3300*I3300/100,2)</x:f>
        <x:v>3.74</x:v>
      </x:c>
      <x:c r="K3300" t="n">
        <x:v>22</x:v>
      </x:c>
      <x:c r="L3300" t="n">
        <x:f>ROUND(F3300*K3300/100,2)</x:f>
        <x:v>24.2</x:v>
      </x:c>
      <x:c r="M3300" t="n">
        <x:v>1.5</x:v>
      </x:c>
      <x:c r="N3300" t="n">
        <x:f>ROUND(F3300*M3300/100,2)</x:f>
        <x:v>1.65</x:v>
      </x:c>
      <x:c r="O3300" t="str">
        <x:v>蒸熟净重</x:v>
      </x:c>
    </x:row>
    <x:row r="3301" ht="23" customHeight="1">
      <x:c r="A3301" t="n">
        <x:v>550</x:v>
      </x:c>
      <x:c r="B3301" t="n">
        <x:v>275</x:v>
      </x:c>
      <x:c r="C3301" t="str">
        <x:v>晚餐</x:v>
      </x:c>
      <x:c r="D3301" t="str">
        <x:v>油脂</x:v>
      </x:c>
      <x:c r="E3301" t="str">
        <x:v>烹调油</x:v>
      </x:c>
      <x:c r="F3301" t="n">
        <x:v>5</x:v>
      </x:c>
      <x:c r="G3301" t="n">
        <x:v>900</x:v>
      </x:c>
      <x:c r="H3301" t="n">
        <x:f>ROUND(F3301*G3301/100,2)</x:f>
        <x:v>45</x:v>
      </x:c>
      <x:c r="I3301" t="n">
        <x:v>0</x:v>
      </x:c>
      <x:c r="J3301" t="n">
        <x:f>ROUND(F3301*I3301/100,2)</x:f>
        <x:v>0</x:v>
      </x:c>
      <x:c r="K3301" t="n">
        <x:v>0</x:v>
      </x:c>
      <x:c r="L3301" t="n">
        <x:f>ROUND(F3301*K3301/100,2)</x:f>
        <x:v>0</x:v>
      </x:c>
      <x:c r="M3301" t="n">
        <x:v>100</x:v>
      </x:c>
      <x:c r="N3301" t="n">
        <x:f>ROUND(F3301*M3301/100,2)</x:f>
        <x:v>5</x:v>
      </x:c>
      <x:c r="O3301" t="str">
        <x:v>实际用油重</x:v>
      </x:c>
    </x:row>
    <x:row r="3302" ht="23" customHeight="1">
      <x:c r="A3302" t="n">
        <x:v>551</x:v>
      </x:c>
      <x:c r="B3302" t="n">
        <x:v>276</x:v>
      </x:c>
      <x:c r="C3302" t="str">
        <x:v>午餐</x:v>
      </x:c>
      <x:c r="D3302" t="str">
        <x:v>豆蛋</x:v>
      </x:c>
      <x:c r="E3302" t="str">
        <x:v>鸡蛋</x:v>
      </x:c>
      <x:c r="F3302" t="n">
        <x:v>110</x:v>
      </x:c>
      <x:c r="G3302" t="n">
        <x:v>144</x:v>
      </x:c>
      <x:c r="H3302" t="n">
        <x:f>ROUND(F3302*G3302/100,2)</x:f>
        <x:v>158.4</x:v>
      </x:c>
      <x:c r="I3302" t="n">
        <x:v>13</x:v>
      </x:c>
      <x:c r="J3302" t="n">
        <x:f>ROUND(F3302*I3302/100,2)</x:f>
        <x:v>14.3</x:v>
      </x:c>
      <x:c r="K3302" t="n">
        <x:v>1.1</x:v>
      </x:c>
      <x:c r="L3302" t="n">
        <x:f>ROUND(F3302*K3302/100,2)</x:f>
        <x:v>1.21</x:v>
      </x:c>
      <x:c r="M3302" t="n">
        <x:v>10</x:v>
      </x:c>
      <x:c r="N3302" t="n">
        <x:f>ROUND(F3302*M3302/100,2)</x:f>
        <x:v>11</x:v>
      </x:c>
      <x:c r="O3302" t="str">
        <x:v>去壳可食重</x:v>
      </x:c>
    </x:row>
    <x:row r="3303" ht="23" customHeight="1">
      <x:c r="A3303" t="n">
        <x:v>551</x:v>
      </x:c>
      <x:c r="B3303" t="n">
        <x:v>276</x:v>
      </x:c>
      <x:c r="C3303" t="str">
        <x:v>午餐</x:v>
      </x:c>
      <x:c r="D3303" t="str">
        <x:v>豆蛋</x:v>
      </x:c>
      <x:c r="E3303" t="str">
        <x:v>北豆腐</x:v>
      </x:c>
      <x:c r="F3303" t="n">
        <x:v>90</x:v>
      </x:c>
      <x:c r="G3303" t="n">
        <x:v>90</x:v>
      </x:c>
      <x:c r="H3303" t="n">
        <x:f>ROUND(F3303*G3303/100,2)</x:f>
        <x:v>81</x:v>
      </x:c>
      <x:c r="I3303" t="n">
        <x:v>10</x:v>
      </x:c>
      <x:c r="J3303" t="n">
        <x:f>ROUND(F3303*I3303/100,2)</x:f>
        <x:v>9</x:v>
      </x:c>
      <x:c r="K3303" t="n">
        <x:v>2</x:v>
      </x:c>
      <x:c r="L3303" t="n">
        <x:f>ROUND(F3303*K3303/100,2)</x:f>
        <x:v>1.8</x:v>
      </x:c>
      <x:c r="M3303" t="n">
        <x:v>5</x:v>
      </x:c>
      <x:c r="N3303" t="n">
        <x:f>ROUND(F3303*M3303/100,2)</x:f>
        <x:v>4.5</x:v>
      </x:c>
      <x:c r="O3303" t="str">
        <x:v>净重</x:v>
      </x:c>
    </x:row>
    <x:row r="3304" ht="23" customHeight="1">
      <x:c r="A3304" t="n">
        <x:v>551</x:v>
      </x:c>
      <x:c r="B3304" t="n">
        <x:v>276</x:v>
      </x:c>
      <x:c r="C3304" t="str">
        <x:v>午餐</x:v>
      </x:c>
      <x:c r="D3304" t="str">
        <x:v>蔬菜</x:v>
      </x:c>
      <x:c r="E3304" t="str">
        <x:v>小白菜</x:v>
      </x:c>
      <x:c r="F3304" t="n">
        <x:v>140</x:v>
      </x:c>
      <x:c r="G3304" t="n">
        <x:v>17</x:v>
      </x:c>
      <x:c r="H3304" t="n">
        <x:f>ROUND(F3304*G3304/100,2)</x:f>
        <x:v>23.8</x:v>
      </x:c>
      <x:c r="I3304" t="n">
        <x:v>1.6</x:v>
      </x:c>
      <x:c r="J3304" t="n">
        <x:f>ROUND(F3304*I3304/100,2)</x:f>
        <x:v>2.24</x:v>
      </x:c>
      <x:c r="K3304" t="n">
        <x:v>2.8</x:v>
      </x:c>
      <x:c r="L3304" t="n">
        <x:f>ROUND(F3304*K3304/100,2)</x:f>
        <x:v>3.92</x:v>
      </x:c>
      <x:c r="M3304" t="n">
        <x:v>0.2</x:v>
      </x:c>
      <x:c r="N3304" t="n">
        <x:f>ROUND(F3304*M3304/100,2)</x:f>
        <x:v>0.28</x:v>
      </x:c>
      <x:c r="O3304" t="str">
        <x:v>生重</x:v>
      </x:c>
    </x:row>
    <x:row r="3305" ht="23" customHeight="1">
      <x:c r="A3305" t="n">
        <x:v>551</x:v>
      </x:c>
      <x:c r="B3305" t="n">
        <x:v>276</x:v>
      </x:c>
      <x:c r="C3305" t="str">
        <x:v>午餐</x:v>
      </x:c>
      <x:c r="D3305" t="str">
        <x:v>菌菇</x:v>
      </x:c>
      <x:c r="E3305" t="str">
        <x:v>香菇</x:v>
      </x:c>
      <x:c r="F3305" t="n">
        <x:v>125</x:v>
      </x:c>
      <x:c r="G3305" t="n">
        <x:v>34</x:v>
      </x:c>
      <x:c r="H3305" t="n">
        <x:f>ROUND(F3305*G3305/100,2)</x:f>
        <x:v>42.5</x:v>
      </x:c>
      <x:c r="I3305" t="n">
        <x:v>2.2</x:v>
      </x:c>
      <x:c r="J3305" t="n">
        <x:f>ROUND(F3305*I3305/100,2)</x:f>
        <x:v>2.75</x:v>
      </x:c>
      <x:c r="K3305" t="n">
        <x:v>6.8</x:v>
      </x:c>
      <x:c r="L3305" t="n">
        <x:f>ROUND(F3305*K3305/100,2)</x:f>
        <x:v>8.5</x:v>
      </x:c>
      <x:c r="M3305" t="n">
        <x:v>0.5</x:v>
      </x:c>
      <x:c r="N3305" t="n">
        <x:f>ROUND(F3305*M3305/100,2)</x:f>
        <x:v>0.63</x:v>
      </x:c>
      <x:c r="O3305" t="str">
        <x:v>生重</x:v>
      </x:c>
    </x:row>
    <x:row r="3306" ht="23" customHeight="1">
      <x:c r="A3306" t="n">
        <x:v>551</x:v>
      </x:c>
      <x:c r="B3306" t="n">
        <x:v>276</x:v>
      </x:c>
      <x:c r="C3306" t="str">
        <x:v>午餐</x:v>
      </x:c>
      <x:c r="D3306" t="str">
        <x:v>主食</x:v>
      </x:c>
      <x:c r="E3306" t="str">
        <x:v>藜麦饭</x:v>
      </x:c>
      <x:c r="F3306" t="n">
        <x:v>110</x:v>
      </x:c>
      <x:c r="G3306" t="n">
        <x:v>120</x:v>
      </x:c>
      <x:c r="H3306" t="n">
        <x:f>ROUND(F3306*G3306/100,2)</x:f>
        <x:v>132</x:v>
      </x:c>
      <x:c r="I3306" t="n">
        <x:v>4.4</x:v>
      </x:c>
      <x:c r="J3306" t="n">
        <x:f>ROUND(F3306*I3306/100,2)</x:f>
        <x:v>4.84</x:v>
      </x:c>
      <x:c r="K3306" t="n">
        <x:v>21.3</x:v>
      </x:c>
      <x:c r="L3306" t="n">
        <x:f>ROUND(F3306*K3306/100,2)</x:f>
        <x:v>23.43</x:v>
      </x:c>
      <x:c r="M3306" t="n">
        <x:v>1.9</x:v>
      </x:c>
      <x:c r="N3306" t="n">
        <x:f>ROUND(F3306*M3306/100,2)</x:f>
        <x:v>2.09</x:v>
      </x:c>
      <x:c r="O3306" t="str">
        <x:v>熟重</x:v>
      </x:c>
    </x:row>
    <x:row r="3307" ht="23" customHeight="1">
      <x:c r="A3307" t="n">
        <x:v>551</x:v>
      </x:c>
      <x:c r="B3307" t="n">
        <x:v>276</x:v>
      </x:c>
      <x:c r="C3307" t="str">
        <x:v>午餐</x:v>
      </x:c>
      <x:c r="D3307" t="str">
        <x:v>油脂</x:v>
      </x:c>
      <x:c r="E3307" t="str">
        <x:v>烹调油</x:v>
      </x:c>
      <x:c r="F3307" t="n">
        <x:v>6</x:v>
      </x:c>
      <x:c r="G3307" t="n">
        <x:v>900</x:v>
      </x:c>
      <x:c r="H3307" t="n">
        <x:f>ROUND(F3307*G3307/100,2)</x:f>
        <x:v>54</x:v>
      </x:c>
      <x:c r="I3307" t="n">
        <x:v>0</x:v>
      </x:c>
      <x:c r="J3307" t="n">
        <x:f>ROUND(F3307*I3307/100,2)</x:f>
        <x:v>0</x:v>
      </x:c>
      <x:c r="K3307" t="n">
        <x:v>0</x:v>
      </x:c>
      <x:c r="L3307" t="n">
        <x:f>ROUND(F3307*K3307/100,2)</x:f>
        <x:v>0</x:v>
      </x:c>
      <x:c r="M3307" t="n">
        <x:v>100</x:v>
      </x:c>
      <x:c r="N3307" t="n">
        <x:f>ROUND(F3307*M3307/100,2)</x:f>
        <x:v>6</x:v>
      </x:c>
      <x:c r="O3307" t="str">
        <x:v>实际用油重</x:v>
      </x:c>
    </x:row>
    <x:row r="3308" ht="23" customHeight="1">
      <x:c r="A3308" t="n">
        <x:v>552</x:v>
      </x:c>
      <x:c r="B3308" t="n">
        <x:v>276</x:v>
      </x:c>
      <x:c r="C3308" t="str">
        <x:v>晚餐</x:v>
      </x:c>
      <x:c r="D3308" t="str">
        <x:v>牛肉</x:v>
      </x:c>
      <x:c r="E3308" t="str">
        <x:v>瘦牛肉</x:v>
      </x:c>
      <x:c r="F3308" t="n">
        <x:v>180</x:v>
      </x:c>
      <x:c r="G3308" t="n">
        <x:v>125</x:v>
      </x:c>
      <x:c r="H3308" t="n">
        <x:f>ROUND(F3308*G3308/100,2)</x:f>
        <x:v>225</x:v>
      </x:c>
      <x:c r="I3308" t="n">
        <x:v>21</x:v>
      </x:c>
      <x:c r="J3308" t="n">
        <x:f>ROUND(F3308*I3308/100,2)</x:f>
        <x:v>37.8</x:v>
      </x:c>
      <x:c r="K3308" t="n">
        <x:v>0</x:v>
      </x:c>
      <x:c r="L3308" t="n">
        <x:f>ROUND(F3308*K3308/100,2)</x:f>
        <x:v>0</x:v>
      </x:c>
      <x:c r="M3308" t="n">
        <x:v>4</x:v>
      </x:c>
      <x:c r="N3308" t="n">
        <x:f>ROUND(F3308*M3308/100,2)</x:f>
        <x:v>7.2</x:v>
      </x:c>
      <x:c r="O3308" t="str">
        <x:v>生重</x:v>
      </x:c>
    </x:row>
    <x:row r="3309" ht="23" customHeight="1">
      <x:c r="A3309" t="n">
        <x:v>552</x:v>
      </x:c>
      <x:c r="B3309" t="n">
        <x:v>276</x:v>
      </x:c>
      <x:c r="C3309" t="str">
        <x:v>晚餐</x:v>
      </x:c>
      <x:c r="D3309" t="str"/>
      <x:c r="E3309" t="str"/>
      <x:c r="F3309" t="n">
        <x:v>0</x:v>
      </x:c>
      <x:c r="G3309" t="n">
        <x:v>0</x:v>
      </x:c>
      <x:c r="H3309" t="n">
        <x:f>ROUND(F3309*G3309/100,2)</x:f>
        <x:v>0</x:v>
      </x:c>
      <x:c r="I3309" t="n">
        <x:v>0</x:v>
      </x:c>
      <x:c r="J3309" t="n">
        <x:f>ROUND(F3309*I3309/100,2)</x:f>
        <x:v>0</x:v>
      </x:c>
      <x:c r="K3309" t="n">
        <x:v>0</x:v>
      </x:c>
      <x:c r="L3309" t="n">
        <x:f>ROUND(F3309*K3309/100,2)</x:f>
        <x:v>0</x:v>
      </x:c>
      <x:c r="M3309" t="n">
        <x:v>0</x:v>
      </x:c>
      <x:c r="N3309" t="n">
        <x:f>ROUND(F3309*M3309/100,2)</x:f>
        <x:v>0</x:v>
      </x:c>
      <x:c r="O3309" t="str"/>
    </x:row>
    <x:row r="3310" ht="23" customHeight="1">
      <x:c r="A3310" t="n">
        <x:v>552</x:v>
      </x:c>
      <x:c r="B3310" t="n">
        <x:v>276</x:v>
      </x:c>
      <x:c r="C3310" t="str">
        <x:v>晚餐</x:v>
      </x:c>
      <x:c r="D3310" t="str">
        <x:v>蔬菜</x:v>
      </x:c>
      <x:c r="E3310" t="str">
        <x:v>莴笋</x:v>
      </x:c>
      <x:c r="F3310" t="n">
        <x:v>160</x:v>
      </x:c>
      <x:c r="G3310" t="n">
        <x:v>15</x:v>
      </x:c>
      <x:c r="H3310" t="n">
        <x:f>ROUND(F3310*G3310/100,2)</x:f>
        <x:v>24</x:v>
      </x:c>
      <x:c r="I3310" t="n">
        <x:v>1</x:v>
      </x:c>
      <x:c r="J3310" t="n">
        <x:f>ROUND(F3310*I3310/100,2)</x:f>
        <x:v>1.6</x:v>
      </x:c>
      <x:c r="K3310" t="n">
        <x:v>2.8</x:v>
      </x:c>
      <x:c r="L3310" t="n">
        <x:f>ROUND(F3310*K3310/100,2)</x:f>
        <x:v>4.48</x:v>
      </x:c>
      <x:c r="M3310" t="n">
        <x:v>0.1</x:v>
      </x:c>
      <x:c r="N3310" t="n">
        <x:f>ROUND(F3310*M3310/100,2)</x:f>
        <x:v>0.16</x:v>
      </x:c>
      <x:c r="O3310" t="str">
        <x:v>生重</x:v>
      </x:c>
    </x:row>
    <x:row r="3311" ht="23" customHeight="1">
      <x:c r="A3311" t="n">
        <x:v>552</x:v>
      </x:c>
      <x:c r="B3311" t="n">
        <x:v>276</x:v>
      </x:c>
      <x:c r="C3311" t="str">
        <x:v>晚餐</x:v>
      </x:c>
      <x:c r="D3311" t="str">
        <x:v>蔬菜</x:v>
      </x:c>
      <x:c r="E3311" t="str">
        <x:v>西兰花</x:v>
      </x:c>
      <x:c r="F3311" t="n">
        <x:v>155</x:v>
      </x:c>
      <x:c r="G3311" t="n">
        <x:v>34</x:v>
      </x:c>
      <x:c r="H3311" t="n">
        <x:f>ROUND(F3311*G3311/100,2)</x:f>
        <x:v>52.7</x:v>
      </x:c>
      <x:c r="I3311" t="n">
        <x:v>2.8</x:v>
      </x:c>
      <x:c r="J3311" t="n">
        <x:f>ROUND(F3311*I3311/100,2)</x:f>
        <x:v>4.34</x:v>
      </x:c>
      <x:c r="K3311" t="n">
        <x:v>7</x:v>
      </x:c>
      <x:c r="L3311" t="n">
        <x:f>ROUND(F3311*K3311/100,2)</x:f>
        <x:v>10.85</x:v>
      </x:c>
      <x:c r="M3311" t="n">
        <x:v>0.4</x:v>
      </x:c>
      <x:c r="N3311" t="n">
        <x:f>ROUND(F3311*M3311/100,2)</x:f>
        <x:v>0.62</x:v>
      </x:c>
      <x:c r="O3311" t="str">
        <x:v>生重</x:v>
      </x:c>
    </x:row>
    <x:row r="3312" ht="23" customHeight="1">
      <x:c r="A3312" t="n">
        <x:v>552</x:v>
      </x:c>
      <x:c r="B3312" t="n">
        <x:v>276</x:v>
      </x:c>
      <x:c r="C3312" t="str">
        <x:v>晚餐</x:v>
      </x:c>
      <x:c r="D3312" t="str">
        <x:v>主食</x:v>
      </x:c>
      <x:c r="E3312" t="str">
        <x:v>糙米饭</x:v>
      </x:c>
      <x:c r="F3312" t="n">
        <x:v>135</x:v>
      </x:c>
      <x:c r="G3312" t="n">
        <x:v>112</x:v>
      </x:c>
      <x:c r="H3312" t="n">
        <x:f>ROUND(F3312*G3312/100,2)</x:f>
        <x:v>151.2</x:v>
      </x:c>
      <x:c r="I3312" t="n">
        <x:v>2.6</x:v>
      </x:c>
      <x:c r="J3312" t="n">
        <x:f>ROUND(F3312*I3312/100,2)</x:f>
        <x:v>3.51</x:v>
      </x:c>
      <x:c r="K3312" t="n">
        <x:v>23.5</x:v>
      </x:c>
      <x:c r="L3312" t="n">
        <x:f>ROUND(F3312*K3312/100,2)</x:f>
        <x:v>31.73</x:v>
      </x:c>
      <x:c r="M3312" t="n">
        <x:v>0.9</x:v>
      </x:c>
      <x:c r="N3312" t="n">
        <x:f>ROUND(F3312*M3312/100,2)</x:f>
        <x:v>1.22</x:v>
      </x:c>
      <x:c r="O3312" t="str">
        <x:v>熟重</x:v>
      </x:c>
    </x:row>
    <x:row r="3313" ht="23" customHeight="1">
      <x:c r="A3313" t="n">
        <x:v>552</x:v>
      </x:c>
      <x:c r="B3313" t="n">
        <x:v>276</x:v>
      </x:c>
      <x:c r="C3313" t="str">
        <x:v>晚餐</x:v>
      </x:c>
      <x:c r="D3313" t="str">
        <x:v>油脂</x:v>
      </x:c>
      <x:c r="E3313" t="str">
        <x:v>烹调油</x:v>
      </x:c>
      <x:c r="F3313" t="n">
        <x:v>3</x:v>
      </x:c>
      <x:c r="G3313" t="n">
        <x:v>900</x:v>
      </x:c>
      <x:c r="H3313" t="n">
        <x:f>ROUND(F3313*G3313/100,2)</x:f>
        <x:v>27</x:v>
      </x:c>
      <x:c r="I3313" t="n">
        <x:v>0</x:v>
      </x:c>
      <x:c r="J3313" t="n">
        <x:f>ROUND(F3313*I3313/100,2)</x:f>
        <x:v>0</x:v>
      </x:c>
      <x:c r="K3313" t="n">
        <x:v>0</x:v>
      </x:c>
      <x:c r="L3313" t="n">
        <x:f>ROUND(F3313*K3313/100,2)</x:f>
        <x:v>0</x:v>
      </x:c>
      <x:c r="M3313" t="n">
        <x:v>100</x:v>
      </x:c>
      <x:c r="N3313" t="n">
        <x:f>ROUND(F3313*M3313/100,2)</x:f>
        <x:v>3</x:v>
      </x:c>
      <x:c r="O3313" t="str">
        <x:v>实际用油重</x:v>
      </x:c>
    </x:row>
    <x:row r="3314" ht="23" customHeight="1">
      <x:c r="A3314" t="n">
        <x:v>553</x:v>
      </x:c>
      <x:c r="B3314" t="n">
        <x:v>277</x:v>
      </x:c>
      <x:c r="C3314" t="str">
        <x:v>午餐</x:v>
      </x:c>
      <x:c r="D3314" t="str">
        <x:v>禽肉</x:v>
      </x:c>
      <x:c r="E3314" t="str">
        <x:v>去皮鸭胸肉</x:v>
      </x:c>
      <x:c r="F3314" t="n">
        <x:v>185</x:v>
      </x:c>
      <x:c r="G3314" t="n">
        <x:v>140</x:v>
      </x:c>
      <x:c r="H3314" t="n">
        <x:f>ROUND(F3314*G3314/100,2)</x:f>
        <x:v>259</x:v>
      </x:c>
      <x:c r="I3314" t="n">
        <x:v>19</x:v>
      </x:c>
      <x:c r="J3314" t="n">
        <x:f>ROUND(F3314*I3314/100,2)</x:f>
        <x:v>35.15</x:v>
      </x:c>
      <x:c r="K3314" t="n">
        <x:v>0</x:v>
      </x:c>
      <x:c r="L3314" t="n">
        <x:f>ROUND(F3314*K3314/100,2)</x:f>
        <x:v>0</x:v>
      </x:c>
      <x:c r="M3314" t="n">
        <x:v>7</x:v>
      </x:c>
      <x:c r="N3314" t="n">
        <x:f>ROUND(F3314*M3314/100,2)</x:f>
        <x:v>12.95</x:v>
      </x:c>
      <x:c r="O3314" t="str">
        <x:v>生重</x:v>
      </x:c>
    </x:row>
    <x:row r="3315" ht="23" customHeight="1">
      <x:c r="A3315" t="n">
        <x:v>553</x:v>
      </x:c>
      <x:c r="B3315" t="n">
        <x:v>277</x:v>
      </x:c>
      <x:c r="C3315" t="str">
        <x:v>午餐</x:v>
      </x:c>
      <x:c r="D3315" t="str"/>
      <x:c r="E3315" t="str"/>
      <x:c r="F3315" t="n">
        <x:v>0</x:v>
      </x:c>
      <x:c r="G3315" t="n">
        <x:v>0</x:v>
      </x:c>
      <x:c r="H3315" t="n">
        <x:f>ROUND(F3315*G3315/100,2)</x:f>
        <x:v>0</x:v>
      </x:c>
      <x:c r="I3315" t="n">
        <x:v>0</x:v>
      </x:c>
      <x:c r="J3315" t="n">
        <x:f>ROUND(F3315*I3315/100,2)</x:f>
        <x:v>0</x:v>
      </x:c>
      <x:c r="K3315" t="n">
        <x:v>0</x:v>
      </x:c>
      <x:c r="L3315" t="n">
        <x:f>ROUND(F3315*K3315/100,2)</x:f>
        <x:v>0</x:v>
      </x:c>
      <x:c r="M3315" t="n">
        <x:v>0</x:v>
      </x:c>
      <x:c r="N3315" t="n">
        <x:f>ROUND(F3315*M3315/100,2)</x:f>
        <x:v>0</x:v>
      </x:c>
      <x:c r="O3315" t="str"/>
    </x:row>
    <x:row r="3316" ht="23" customHeight="1">
      <x:c r="A3316" t="n">
        <x:v>553</x:v>
      </x:c>
      <x:c r="B3316" t="n">
        <x:v>277</x:v>
      </x:c>
      <x:c r="C3316" t="str">
        <x:v>午餐</x:v>
      </x:c>
      <x:c r="D3316" t="str">
        <x:v>蔬菜</x:v>
      </x:c>
      <x:c r="E3316" t="str">
        <x:v>茼蒿</x:v>
      </x:c>
      <x:c r="F3316" t="n">
        <x:v>160</x:v>
      </x:c>
      <x:c r="G3316" t="n">
        <x:v>24</x:v>
      </x:c>
      <x:c r="H3316" t="n">
        <x:f>ROUND(F3316*G3316/100,2)</x:f>
        <x:v>38.4</x:v>
      </x:c>
      <x:c r="I3316" t="n">
        <x:v>1.9</x:v>
      </x:c>
      <x:c r="J3316" t="n">
        <x:f>ROUND(F3316*I3316/100,2)</x:f>
        <x:v>3.04</x:v>
      </x:c>
      <x:c r="K3316" t="n">
        <x:v>4.3</x:v>
      </x:c>
      <x:c r="L3316" t="n">
        <x:f>ROUND(F3316*K3316/100,2)</x:f>
        <x:v>6.88</x:v>
      </x:c>
      <x:c r="M3316" t="n">
        <x:v>0.3</x:v>
      </x:c>
      <x:c r="N3316" t="n">
        <x:f>ROUND(F3316*M3316/100,2)</x:f>
        <x:v>0.48</x:v>
      </x:c>
      <x:c r="O3316" t="str">
        <x:v>生重</x:v>
      </x:c>
    </x:row>
    <x:row r="3317" ht="23" customHeight="1">
      <x:c r="A3317" t="n">
        <x:v>553</x:v>
      </x:c>
      <x:c r="B3317" t="n">
        <x:v>277</x:v>
      </x:c>
      <x:c r="C3317" t="str">
        <x:v>午餐</x:v>
      </x:c>
      <x:c r="D3317" t="str">
        <x:v>蔬菜</x:v>
      </x:c>
      <x:c r="E3317" t="str">
        <x:v>黄瓜</x:v>
      </x:c>
      <x:c r="F3317" t="n">
        <x:v>110</x:v>
      </x:c>
      <x:c r="G3317" t="n">
        <x:v>16</x:v>
      </x:c>
      <x:c r="H3317" t="n">
        <x:f>ROUND(F3317*G3317/100,2)</x:f>
        <x:v>17.6</x:v>
      </x:c>
      <x:c r="I3317" t="n">
        <x:v>0.7</x:v>
      </x:c>
      <x:c r="J3317" t="n">
        <x:f>ROUND(F3317*I3317/100,2)</x:f>
        <x:v>0.77</x:v>
      </x:c>
      <x:c r="K3317" t="n">
        <x:v>3.6</x:v>
      </x:c>
      <x:c r="L3317" t="n">
        <x:f>ROUND(F3317*K3317/100,2)</x:f>
        <x:v>3.96</x:v>
      </x:c>
      <x:c r="M3317" t="n">
        <x:v>0.1</x:v>
      </x:c>
      <x:c r="N3317" t="n">
        <x:f>ROUND(F3317*M3317/100,2)</x:f>
        <x:v>0.11</x:v>
      </x:c>
      <x:c r="O3317" t="str">
        <x:v>生重</x:v>
      </x:c>
    </x:row>
    <x:row r="3318" ht="23" customHeight="1">
      <x:c r="A3318" t="n">
        <x:v>553</x:v>
      </x:c>
      <x:c r="B3318" t="n">
        <x:v>277</x:v>
      </x:c>
      <x:c r="C3318" t="str">
        <x:v>午餐</x:v>
      </x:c>
      <x:c r="D3318" t="str">
        <x:v>主食</x:v>
      </x:c>
      <x:c r="E3318" t="str">
        <x:v>糙米饭</x:v>
      </x:c>
      <x:c r="F3318" t="n">
        <x:v>110</x:v>
      </x:c>
      <x:c r="G3318" t="n">
        <x:v>112</x:v>
      </x:c>
      <x:c r="H3318" t="n">
        <x:f>ROUND(F3318*G3318/100,2)</x:f>
        <x:v>123.2</x:v>
      </x:c>
      <x:c r="I3318" t="n">
        <x:v>2.6</x:v>
      </x:c>
      <x:c r="J3318" t="n">
        <x:f>ROUND(F3318*I3318/100,2)</x:f>
        <x:v>2.86</x:v>
      </x:c>
      <x:c r="K3318" t="n">
        <x:v>23.5</x:v>
      </x:c>
      <x:c r="L3318" t="n">
        <x:f>ROUND(F3318*K3318/100,2)</x:f>
        <x:v>25.85</x:v>
      </x:c>
      <x:c r="M3318" t="n">
        <x:v>0.9</x:v>
      </x:c>
      <x:c r="N3318" t="n">
        <x:f>ROUND(F3318*M3318/100,2)</x:f>
        <x:v>0.99</x:v>
      </x:c>
      <x:c r="O3318" t="str">
        <x:v>熟重</x:v>
      </x:c>
    </x:row>
    <x:row r="3319" ht="23" customHeight="1">
      <x:c r="A3319" t="n">
        <x:v>553</x:v>
      </x:c>
      <x:c r="B3319" t="n">
        <x:v>277</x:v>
      </x:c>
      <x:c r="C3319" t="str">
        <x:v>午餐</x:v>
      </x:c>
      <x:c r="D3319" t="str">
        <x:v>油脂</x:v>
      </x:c>
      <x:c r="E3319" t="str">
        <x:v>烹调油</x:v>
      </x:c>
      <x:c r="F3319" t="n">
        <x:v>3</x:v>
      </x:c>
      <x:c r="G3319" t="n">
        <x:v>900</x:v>
      </x:c>
      <x:c r="H3319" t="n">
        <x:f>ROUND(F3319*G3319/100,2)</x:f>
        <x:v>27</x:v>
      </x:c>
      <x:c r="I3319" t="n">
        <x:v>0</x:v>
      </x:c>
      <x:c r="J3319" t="n">
        <x:f>ROUND(F3319*I3319/100,2)</x:f>
        <x:v>0</x:v>
      </x:c>
      <x:c r="K3319" t="n">
        <x:v>0</x:v>
      </x:c>
      <x:c r="L3319" t="n">
        <x:f>ROUND(F3319*K3319/100,2)</x:f>
        <x:v>0</x:v>
      </x:c>
      <x:c r="M3319" t="n">
        <x:v>100</x:v>
      </x:c>
      <x:c r="N3319" t="n">
        <x:f>ROUND(F3319*M3319/100,2)</x:f>
        <x:v>3</x:v>
      </x:c>
      <x:c r="O3319" t="str">
        <x:v>实际用油重</x:v>
      </x:c>
    </x:row>
    <x:row r="3320" ht="23" customHeight="1">
      <x:c r="A3320" t="n">
        <x:v>554</x:v>
      </x:c>
      <x:c r="B3320" t="n">
        <x:v>277</x:v>
      </x:c>
      <x:c r="C3320" t="str">
        <x:v>晚餐</x:v>
      </x:c>
      <x:c r="D3320" t="str">
        <x:v>海鲜</x:v>
      </x:c>
      <x:c r="E3320" t="str">
        <x:v>鱿鱼</x:v>
      </x:c>
      <x:c r="F3320" t="n">
        <x:v>190</x:v>
      </x:c>
      <x:c r="G3320" t="n">
        <x:v>95</x:v>
      </x:c>
      <x:c r="H3320" t="n">
        <x:f>ROUND(F3320*G3320/100,2)</x:f>
        <x:v>180.5</x:v>
      </x:c>
      <x:c r="I3320" t="n">
        <x:v>17</x:v>
      </x:c>
      <x:c r="J3320" t="n">
        <x:f>ROUND(F3320*I3320/100,2)</x:f>
        <x:v>32.3</x:v>
      </x:c>
      <x:c r="K3320" t="n">
        <x:v>2</x:v>
      </x:c>
      <x:c r="L3320" t="n">
        <x:f>ROUND(F3320*K3320/100,2)</x:f>
        <x:v>3.8</x:v>
      </x:c>
      <x:c r="M3320" t="n">
        <x:v>1.4</x:v>
      </x:c>
      <x:c r="N3320" t="n">
        <x:f>ROUND(F3320*M3320/100,2)</x:f>
        <x:v>2.66</x:v>
      </x:c>
      <x:c r="O3320" t="str">
        <x:v>生重</x:v>
      </x:c>
    </x:row>
    <x:row r="3321" ht="23" customHeight="1">
      <x:c r="A3321" t="n">
        <x:v>554</x:v>
      </x:c>
      <x:c r="B3321" t="n">
        <x:v>277</x:v>
      </x:c>
      <x:c r="C3321" t="str">
        <x:v>晚餐</x:v>
      </x:c>
      <x:c r="D3321" t="str"/>
      <x:c r="E3321" t="str"/>
      <x:c r="F3321" t="n">
        <x:v>0</x:v>
      </x:c>
      <x:c r="G3321" t="n">
        <x:v>0</x:v>
      </x:c>
      <x:c r="H3321" t="n">
        <x:f>ROUND(F3321*G3321/100,2)</x:f>
        <x:v>0</x:v>
      </x:c>
      <x:c r="I3321" t="n">
        <x:v>0</x:v>
      </x:c>
      <x:c r="J3321" t="n">
        <x:f>ROUND(F3321*I3321/100,2)</x:f>
        <x:v>0</x:v>
      </x:c>
      <x:c r="K3321" t="n">
        <x:v>0</x:v>
      </x:c>
      <x:c r="L3321" t="n">
        <x:f>ROUND(F3321*K3321/100,2)</x:f>
        <x:v>0</x:v>
      </x:c>
      <x:c r="M3321" t="n">
        <x:v>0</x:v>
      </x:c>
      <x:c r="N3321" t="n">
        <x:f>ROUND(F3321*M3321/100,2)</x:f>
        <x:v>0</x:v>
      </x:c>
      <x:c r="O3321" t="str"/>
    </x:row>
    <x:row r="3322" ht="23" customHeight="1">
      <x:c r="A3322" t="n">
        <x:v>554</x:v>
      </x:c>
      <x:c r="B3322" t="n">
        <x:v>277</x:v>
      </x:c>
      <x:c r="C3322" t="str">
        <x:v>晚餐</x:v>
      </x:c>
      <x:c r="D3322" t="str">
        <x:v>蔬菜</x:v>
      </x:c>
      <x:c r="E3322" t="str">
        <x:v>西兰花</x:v>
      </x:c>
      <x:c r="F3322" t="n">
        <x:v>190</x:v>
      </x:c>
      <x:c r="G3322" t="n">
        <x:v>34</x:v>
      </x:c>
      <x:c r="H3322" t="n">
        <x:f>ROUND(F3322*G3322/100,2)</x:f>
        <x:v>64.6</x:v>
      </x:c>
      <x:c r="I3322" t="n">
        <x:v>2.8</x:v>
      </x:c>
      <x:c r="J3322" t="n">
        <x:f>ROUND(F3322*I3322/100,2)</x:f>
        <x:v>5.32</x:v>
      </x:c>
      <x:c r="K3322" t="n">
        <x:v>7</x:v>
      </x:c>
      <x:c r="L3322" t="n">
        <x:f>ROUND(F3322*K3322/100,2)</x:f>
        <x:v>13.3</x:v>
      </x:c>
      <x:c r="M3322" t="n">
        <x:v>0.4</x:v>
      </x:c>
      <x:c r="N3322" t="n">
        <x:f>ROUND(F3322*M3322/100,2)</x:f>
        <x:v>0.76</x:v>
      </x:c>
      <x:c r="O3322" t="str">
        <x:v>生重</x:v>
      </x:c>
    </x:row>
    <x:row r="3323" ht="23" customHeight="1">
      <x:c r="A3323" t="n">
        <x:v>554</x:v>
      </x:c>
      <x:c r="B3323" t="n">
        <x:v>277</x:v>
      </x:c>
      <x:c r="C3323" t="str">
        <x:v>晚餐</x:v>
      </x:c>
      <x:c r="D3323" t="str">
        <x:v>蔬菜</x:v>
      </x:c>
      <x:c r="E3323" t="str">
        <x:v>海带</x:v>
      </x:c>
      <x:c r="F3323" t="n">
        <x:v>125</x:v>
      </x:c>
      <x:c r="G3323" t="n">
        <x:v>25</x:v>
      </x:c>
      <x:c r="H3323" t="n">
        <x:f>ROUND(F3323*G3323/100,2)</x:f>
        <x:v>31.25</x:v>
      </x:c>
      <x:c r="I3323" t="n">
        <x:v>1</x:v>
      </x:c>
      <x:c r="J3323" t="n">
        <x:f>ROUND(F3323*I3323/100,2)</x:f>
        <x:v>1.25</x:v>
      </x:c>
      <x:c r="K3323" t="n">
        <x:v>5</x:v>
      </x:c>
      <x:c r="L3323" t="n">
        <x:f>ROUND(F3323*K3323/100,2)</x:f>
        <x:v>6.25</x:v>
      </x:c>
      <x:c r="M3323" t="n">
        <x:v>0.1</x:v>
      </x:c>
      <x:c r="N3323" t="n">
        <x:f>ROUND(F3323*M3323/100,2)</x:f>
        <x:v>0.13</x:v>
      </x:c>
      <x:c r="O3323" t="str">
        <x:v>泡发沥水重</x:v>
      </x:c>
    </x:row>
    <x:row r="3324" ht="23" customHeight="1">
      <x:c r="A3324" t="n">
        <x:v>554</x:v>
      </x:c>
      <x:c r="B3324" t="n">
        <x:v>277</x:v>
      </x:c>
      <x:c r="C3324" t="str">
        <x:v>晚餐</x:v>
      </x:c>
      <x:c r="D3324" t="str">
        <x:v>主食</x:v>
      </x:c>
      <x:c r="E3324" t="str">
        <x:v>玉米</x:v>
      </x:c>
      <x:c r="F3324" t="n">
        <x:v>80</x:v>
      </x:c>
      <x:c r="G3324" t="n">
        <x:v>105</x:v>
      </x:c>
      <x:c r="H3324" t="n">
        <x:f>ROUND(F3324*G3324/100,2)</x:f>
        <x:v>84</x:v>
      </x:c>
      <x:c r="I3324" t="n">
        <x:v>3.4</x:v>
      </x:c>
      <x:c r="J3324" t="n">
        <x:f>ROUND(F3324*I3324/100,2)</x:f>
        <x:v>2.72</x:v>
      </x:c>
      <x:c r="K3324" t="n">
        <x:v>22</x:v>
      </x:c>
      <x:c r="L3324" t="n">
        <x:f>ROUND(F3324*K3324/100,2)</x:f>
        <x:v>17.6</x:v>
      </x:c>
      <x:c r="M3324" t="n">
        <x:v>1.5</x:v>
      </x:c>
      <x:c r="N3324" t="n">
        <x:f>ROUND(F3324*M3324/100,2)</x:f>
        <x:v>1.2</x:v>
      </x:c>
      <x:c r="O3324" t="str">
        <x:v>蒸熟净重</x:v>
      </x:c>
    </x:row>
    <x:row r="3325" ht="23" customHeight="1">
      <x:c r="A3325" t="n">
        <x:v>554</x:v>
      </x:c>
      <x:c r="B3325" t="n">
        <x:v>277</x:v>
      </x:c>
      <x:c r="C3325" t="str">
        <x:v>晚餐</x:v>
      </x:c>
      <x:c r="D3325" t="str">
        <x:v>油脂</x:v>
      </x:c>
      <x:c r="E3325" t="str">
        <x:v>烹调油</x:v>
      </x:c>
      <x:c r="F3325" t="n">
        <x:v>6</x:v>
      </x:c>
      <x:c r="G3325" t="n">
        <x:v>900</x:v>
      </x:c>
      <x:c r="H3325" t="n">
        <x:f>ROUND(F3325*G3325/100,2)</x:f>
        <x:v>54</x:v>
      </x:c>
      <x:c r="I3325" t="n">
        <x:v>0</x:v>
      </x:c>
      <x:c r="J3325" t="n">
        <x:f>ROUND(F3325*I3325/100,2)</x:f>
        <x:v>0</x:v>
      </x:c>
      <x:c r="K3325" t="n">
        <x:v>0</x:v>
      </x:c>
      <x:c r="L3325" t="n">
        <x:f>ROUND(F3325*K3325/100,2)</x:f>
        <x:v>0</x:v>
      </x:c>
      <x:c r="M3325" t="n">
        <x:v>100</x:v>
      </x:c>
      <x:c r="N3325" t="n">
        <x:f>ROUND(F3325*M3325/100,2)</x:f>
        <x:v>6</x:v>
      </x:c>
      <x:c r="O3325" t="str">
        <x:v>实际用油重</x:v>
      </x:c>
    </x:row>
    <x:row r="3326" ht="23" customHeight="1">
      <x:c r="A3326" t="n">
        <x:v>555</x:v>
      </x:c>
      <x:c r="B3326" t="n">
        <x:v>278</x:v>
      </x:c>
      <x:c r="C3326" t="str">
        <x:v>午餐</x:v>
      </x:c>
      <x:c r="D3326" t="str">
        <x:v>鱼类</x:v>
      </x:c>
      <x:c r="E3326" t="str">
        <x:v>鲈鱼</x:v>
      </x:c>
      <x:c r="F3326" t="n">
        <x:v>200</x:v>
      </x:c>
      <x:c r="G3326" t="n">
        <x:v>105</x:v>
      </x:c>
      <x:c r="H3326" t="n">
        <x:f>ROUND(F3326*G3326/100,2)</x:f>
        <x:v>210</x:v>
      </x:c>
      <x:c r="I3326" t="n">
        <x:v>19</x:v>
      </x:c>
      <x:c r="J3326" t="n">
        <x:f>ROUND(F3326*I3326/100,2)</x:f>
        <x:v>38</x:v>
      </x:c>
      <x:c r="K3326" t="n">
        <x:v>0</x:v>
      </x:c>
      <x:c r="L3326" t="n">
        <x:f>ROUND(F3326*K3326/100,2)</x:f>
        <x:v>0</x:v>
      </x:c>
      <x:c r="M3326" t="n">
        <x:v>3</x:v>
      </x:c>
      <x:c r="N3326" t="n">
        <x:f>ROUND(F3326*M3326/100,2)</x:f>
        <x:v>6</x:v>
      </x:c>
      <x:c r="O3326" t="str">
        <x:v>净鱼肉生重</x:v>
      </x:c>
    </x:row>
    <x:row r="3327" ht="23" customHeight="1">
      <x:c r="A3327" t="n">
        <x:v>555</x:v>
      </x:c>
      <x:c r="B3327" t="n">
        <x:v>278</x:v>
      </x:c>
      <x:c r="C3327" t="str">
        <x:v>午餐</x:v>
      </x:c>
      <x:c r="D3327" t="str"/>
      <x:c r="E3327" t="str"/>
      <x:c r="F3327" t="n">
        <x:v>0</x:v>
      </x:c>
      <x:c r="G3327" t="n">
        <x:v>0</x:v>
      </x:c>
      <x:c r="H3327" t="n">
        <x:f>ROUND(F3327*G3327/100,2)</x:f>
        <x:v>0</x:v>
      </x:c>
      <x:c r="I3327" t="n">
        <x:v>0</x:v>
      </x:c>
      <x:c r="J3327" t="n">
        <x:f>ROUND(F3327*I3327/100,2)</x:f>
        <x:v>0</x:v>
      </x:c>
      <x:c r="K3327" t="n">
        <x:v>0</x:v>
      </x:c>
      <x:c r="L3327" t="n">
        <x:f>ROUND(F3327*K3327/100,2)</x:f>
        <x:v>0</x:v>
      </x:c>
      <x:c r="M3327" t="n">
        <x:v>0</x:v>
      </x:c>
      <x:c r="N3327" t="n">
        <x:f>ROUND(F3327*M3327/100,2)</x:f>
        <x:v>0</x:v>
      </x:c>
      <x:c r="O3327" t="str"/>
    </x:row>
    <x:row r="3328" ht="23" customHeight="1">
      <x:c r="A3328" t="n">
        <x:v>555</x:v>
      </x:c>
      <x:c r="B3328" t="n">
        <x:v>278</x:v>
      </x:c>
      <x:c r="C3328" t="str">
        <x:v>午餐</x:v>
      </x:c>
      <x:c r="D3328" t="str">
        <x:v>蔬菜</x:v>
      </x:c>
      <x:c r="E3328" t="str">
        <x:v>番茄</x:v>
      </x:c>
      <x:c r="F3328" t="n">
        <x:v>175</x:v>
      </x:c>
      <x:c r="G3328" t="n">
        <x:v>20</x:v>
      </x:c>
      <x:c r="H3328" t="n">
        <x:f>ROUND(F3328*G3328/100,2)</x:f>
        <x:v>35</x:v>
      </x:c>
      <x:c r="I3328" t="n">
        <x:v>0.9</x:v>
      </x:c>
      <x:c r="J3328" t="n">
        <x:f>ROUND(F3328*I3328/100,2)</x:f>
        <x:v>1.58</x:v>
      </x:c>
      <x:c r="K3328" t="n">
        <x:v>4</x:v>
      </x:c>
      <x:c r="L3328" t="n">
        <x:f>ROUND(F3328*K3328/100,2)</x:f>
        <x:v>7</x:v>
      </x:c>
      <x:c r="M3328" t="n">
        <x:v>0.2</x:v>
      </x:c>
      <x:c r="N3328" t="n">
        <x:f>ROUND(F3328*M3328/100,2)</x:f>
        <x:v>0.35</x:v>
      </x:c>
      <x:c r="O3328" t="str">
        <x:v>生重</x:v>
      </x:c>
    </x:row>
    <x:row r="3329" ht="23" customHeight="1">
      <x:c r="A3329" t="n">
        <x:v>555</x:v>
      </x:c>
      <x:c r="B3329" t="n">
        <x:v>278</x:v>
      </x:c>
      <x:c r="C3329" t="str">
        <x:v>午餐</x:v>
      </x:c>
      <x:c r="D3329" t="str">
        <x:v>蔬菜</x:v>
      </x:c>
      <x:c r="E3329" t="str">
        <x:v>西兰花</x:v>
      </x:c>
      <x:c r="F3329" t="n">
        <x:v>140</x:v>
      </x:c>
      <x:c r="G3329" t="n">
        <x:v>34</x:v>
      </x:c>
      <x:c r="H3329" t="n">
        <x:f>ROUND(F3329*G3329/100,2)</x:f>
        <x:v>47.6</x:v>
      </x:c>
      <x:c r="I3329" t="n">
        <x:v>2.8</x:v>
      </x:c>
      <x:c r="J3329" t="n">
        <x:f>ROUND(F3329*I3329/100,2)</x:f>
        <x:v>3.92</x:v>
      </x:c>
      <x:c r="K3329" t="n">
        <x:v>7</x:v>
      </x:c>
      <x:c r="L3329" t="n">
        <x:f>ROUND(F3329*K3329/100,2)</x:f>
        <x:v>9.8</x:v>
      </x:c>
      <x:c r="M3329" t="n">
        <x:v>0.4</x:v>
      </x:c>
      <x:c r="N3329" t="n">
        <x:f>ROUND(F3329*M3329/100,2)</x:f>
        <x:v>0.56</x:v>
      </x:c>
      <x:c r="O3329" t="str">
        <x:v>生重</x:v>
      </x:c>
    </x:row>
    <x:row r="3330" ht="23" customHeight="1">
      <x:c r="A3330" t="n">
        <x:v>555</x:v>
      </x:c>
      <x:c r="B3330" t="n">
        <x:v>278</x:v>
      </x:c>
      <x:c r="C3330" t="str">
        <x:v>午餐</x:v>
      </x:c>
      <x:c r="D3330" t="str">
        <x:v>主食</x:v>
      </x:c>
      <x:c r="E3330" t="str">
        <x:v>白米饭</x:v>
      </x:c>
      <x:c r="F3330" t="n">
        <x:v>125</x:v>
      </x:c>
      <x:c r="G3330" t="n">
        <x:v>116</x:v>
      </x:c>
      <x:c r="H3330" t="n">
        <x:f>ROUND(F3330*G3330/100,2)</x:f>
        <x:v>145</x:v>
      </x:c>
      <x:c r="I3330" t="n">
        <x:v>2.6</x:v>
      </x:c>
      <x:c r="J3330" t="n">
        <x:f>ROUND(F3330*I3330/100,2)</x:f>
        <x:v>3.25</x:v>
      </x:c>
      <x:c r="K3330" t="n">
        <x:v>25.6</x:v>
      </x:c>
      <x:c r="L3330" t="n">
        <x:f>ROUND(F3330*K3330/100,2)</x:f>
        <x:v>32</x:v>
      </x:c>
      <x:c r="M3330" t="n">
        <x:v>0.3</x:v>
      </x:c>
      <x:c r="N3330" t="n">
        <x:f>ROUND(F3330*M3330/100,2)</x:f>
        <x:v>0.38</x:v>
      </x:c>
      <x:c r="O3330" t="str">
        <x:v>熟重</x:v>
      </x:c>
    </x:row>
    <x:row r="3331" ht="23" customHeight="1">
      <x:c r="A3331" t="n">
        <x:v>555</x:v>
      </x:c>
      <x:c r="B3331" t="n">
        <x:v>278</x:v>
      </x:c>
      <x:c r="C3331" t="str">
        <x:v>午餐</x:v>
      </x:c>
      <x:c r="D3331" t="str">
        <x:v>油脂</x:v>
      </x:c>
      <x:c r="E3331" t="str">
        <x:v>烹调油</x:v>
      </x:c>
      <x:c r="F3331" t="n">
        <x:v>6</x:v>
      </x:c>
      <x:c r="G3331" t="n">
        <x:v>900</x:v>
      </x:c>
      <x:c r="H3331" t="n">
        <x:f>ROUND(F3331*G3331/100,2)</x:f>
        <x:v>54</x:v>
      </x:c>
      <x:c r="I3331" t="n">
        <x:v>0</x:v>
      </x:c>
      <x:c r="J3331" t="n">
        <x:f>ROUND(F3331*I3331/100,2)</x:f>
        <x:v>0</x:v>
      </x:c>
      <x:c r="K3331" t="n">
        <x:v>0</x:v>
      </x:c>
      <x:c r="L3331" t="n">
        <x:f>ROUND(F3331*K3331/100,2)</x:f>
        <x:v>0</x:v>
      </x:c>
      <x:c r="M3331" t="n">
        <x:v>100</x:v>
      </x:c>
      <x:c r="N3331" t="n">
        <x:f>ROUND(F3331*M3331/100,2)</x:f>
        <x:v>6</x:v>
      </x:c>
      <x:c r="O3331" t="str">
        <x:v>实际用油重</x:v>
      </x:c>
    </x:row>
    <x:row r="3332" ht="23" customHeight="1">
      <x:c r="A3332" t="n">
        <x:v>556</x:v>
      </x:c>
      <x:c r="B3332" t="n">
        <x:v>278</x:v>
      </x:c>
      <x:c r="C3332" t="str">
        <x:v>晚餐</x:v>
      </x:c>
      <x:c r="D3332" t="str">
        <x:v>禽肉</x:v>
      </x:c>
      <x:c r="E3332" t="str">
        <x:v>鸡胸肉</x:v>
      </x:c>
      <x:c r="F3332" t="n">
        <x:v>170</x:v>
      </x:c>
      <x:c r="G3332" t="n">
        <x:v>110</x:v>
      </x:c>
      <x:c r="H3332" t="n">
        <x:f>ROUND(F3332*G3332/100,2)</x:f>
        <x:v>187</x:v>
      </x:c>
      <x:c r="I3332" t="n">
        <x:v>23</x:v>
      </x:c>
      <x:c r="J3332" t="n">
        <x:f>ROUND(F3332*I3332/100,2)</x:f>
        <x:v>39.1</x:v>
      </x:c>
      <x:c r="K3332" t="n">
        <x:v>0</x:v>
      </x:c>
      <x:c r="L3332" t="n">
        <x:f>ROUND(F3332*K3332/100,2)</x:f>
        <x:v>0</x:v>
      </x:c>
      <x:c r="M3332" t="n">
        <x:v>2</x:v>
      </x:c>
      <x:c r="N3332" t="n">
        <x:f>ROUND(F3332*M3332/100,2)</x:f>
        <x:v>3.4</x:v>
      </x:c>
      <x:c r="O3332" t="str">
        <x:v>生重</x:v>
      </x:c>
    </x:row>
    <x:row r="3333" ht="23" customHeight="1">
      <x:c r="A3333" t="n">
        <x:v>556</x:v>
      </x:c>
      <x:c r="B3333" t="n">
        <x:v>278</x:v>
      </x:c>
      <x:c r="C3333" t="str">
        <x:v>晚餐</x:v>
      </x:c>
      <x:c r="D3333" t="str"/>
      <x:c r="E3333" t="str"/>
      <x:c r="F3333" t="n">
        <x:v>0</x:v>
      </x:c>
      <x:c r="G3333" t="n">
        <x:v>0</x:v>
      </x:c>
      <x:c r="H3333" t="n">
        <x:f>ROUND(F3333*G3333/100,2)</x:f>
        <x:v>0</x:v>
      </x:c>
      <x:c r="I3333" t="n">
        <x:v>0</x:v>
      </x:c>
      <x:c r="J3333" t="n">
        <x:f>ROUND(F3333*I3333/100,2)</x:f>
        <x:v>0</x:v>
      </x:c>
      <x:c r="K3333" t="n">
        <x:v>0</x:v>
      </x:c>
      <x:c r="L3333" t="n">
        <x:f>ROUND(F3333*K3333/100,2)</x:f>
        <x:v>0</x:v>
      </x:c>
      <x:c r="M3333" t="n">
        <x:v>0</x:v>
      </x:c>
      <x:c r="N3333" t="n">
        <x:f>ROUND(F3333*M3333/100,2)</x:f>
        <x:v>0</x:v>
      </x:c>
      <x:c r="O3333" t="str"/>
    </x:row>
    <x:row r="3334" ht="23" customHeight="1">
      <x:c r="A3334" t="n">
        <x:v>556</x:v>
      </x:c>
      <x:c r="B3334" t="n">
        <x:v>278</x:v>
      </x:c>
      <x:c r="C3334" t="str">
        <x:v>晚餐</x:v>
      </x:c>
      <x:c r="D3334" t="str">
        <x:v>蔬菜</x:v>
      </x:c>
      <x:c r="E3334" t="str">
        <x:v>白萝卜</x:v>
      </x:c>
      <x:c r="F3334" t="n">
        <x:v>160</x:v>
      </x:c>
      <x:c r="G3334" t="n">
        <x:v>18</x:v>
      </x:c>
      <x:c r="H3334" t="n">
        <x:f>ROUND(F3334*G3334/100,2)</x:f>
        <x:v>28.8</x:v>
      </x:c>
      <x:c r="I3334" t="n">
        <x:v>0.6</x:v>
      </x:c>
      <x:c r="J3334" t="n">
        <x:f>ROUND(F3334*I3334/100,2)</x:f>
        <x:v>0.96</x:v>
      </x:c>
      <x:c r="K3334" t="n">
        <x:v>4</x:v>
      </x:c>
      <x:c r="L3334" t="n">
        <x:f>ROUND(F3334*K3334/100,2)</x:f>
        <x:v>6.4</x:v>
      </x:c>
      <x:c r="M3334" t="n">
        <x:v>0.1</x:v>
      </x:c>
      <x:c r="N3334" t="n">
        <x:f>ROUND(F3334*M3334/100,2)</x:f>
        <x:v>0.16</x:v>
      </x:c>
      <x:c r="O3334" t="str">
        <x:v>生重</x:v>
      </x:c>
    </x:row>
    <x:row r="3335" ht="23" customHeight="1">
      <x:c r="A3335" t="n">
        <x:v>556</x:v>
      </x:c>
      <x:c r="B3335" t="n">
        <x:v>278</x:v>
      </x:c>
      <x:c r="C3335" t="str">
        <x:v>晚餐</x:v>
      </x:c>
      <x:c r="D3335" t="str">
        <x:v>蔬菜</x:v>
      </x:c>
      <x:c r="E3335" t="str">
        <x:v>绿豆芽</x:v>
      </x:c>
      <x:c r="F3335" t="n">
        <x:v>140</x:v>
      </x:c>
      <x:c r="G3335" t="n">
        <x:v>31</x:v>
      </x:c>
      <x:c r="H3335" t="n">
        <x:f>ROUND(F3335*G3335/100,2)</x:f>
        <x:v>43.4</x:v>
      </x:c>
      <x:c r="I3335" t="n">
        <x:v>3</x:v>
      </x:c>
      <x:c r="J3335" t="n">
        <x:f>ROUND(F3335*I3335/100,2)</x:f>
        <x:v>4.2</x:v>
      </x:c>
      <x:c r="K3335" t="n">
        <x:v>6</x:v>
      </x:c>
      <x:c r="L3335" t="n">
        <x:f>ROUND(F3335*K3335/100,2)</x:f>
        <x:v>8.4</x:v>
      </x:c>
      <x:c r="M3335" t="n">
        <x:v>0.2</x:v>
      </x:c>
      <x:c r="N3335" t="n">
        <x:f>ROUND(F3335*M3335/100,2)</x:f>
        <x:v>0.28</x:v>
      </x:c>
      <x:c r="O3335" t="str">
        <x:v>生重</x:v>
      </x:c>
    </x:row>
    <x:row r="3336" ht="23" customHeight="1">
      <x:c r="A3336" t="n">
        <x:v>556</x:v>
      </x:c>
      <x:c r="B3336" t="n">
        <x:v>278</x:v>
      </x:c>
      <x:c r="C3336" t="str">
        <x:v>晚餐</x:v>
      </x:c>
      <x:c r="D3336" t="str">
        <x:v>主食</x:v>
      </x:c>
      <x:c r="E3336" t="str">
        <x:v>燕麦饭</x:v>
      </x:c>
      <x:c r="F3336" t="n">
        <x:v>95</x:v>
      </x:c>
      <x:c r="G3336" t="n">
        <x:v>110</x:v>
      </x:c>
      <x:c r="H3336" t="n">
        <x:f>ROUND(F3336*G3336/100,2)</x:f>
        <x:v>104.5</x:v>
      </x:c>
      <x:c r="I3336" t="n">
        <x:v>3.2</x:v>
      </x:c>
      <x:c r="J3336" t="n">
        <x:f>ROUND(F3336*I3336/100,2)</x:f>
        <x:v>3.04</x:v>
      </x:c>
      <x:c r="K3336" t="n">
        <x:v>21</x:v>
      </x:c>
      <x:c r="L3336" t="n">
        <x:f>ROUND(F3336*K3336/100,2)</x:f>
        <x:v>19.95</x:v>
      </x:c>
      <x:c r="M3336" t="n">
        <x:v>1.8</x:v>
      </x:c>
      <x:c r="N3336" t="n">
        <x:f>ROUND(F3336*M3336/100,2)</x:f>
        <x:v>1.71</x:v>
      </x:c>
      <x:c r="O3336" t="str">
        <x:v>熟重</x:v>
      </x:c>
    </x:row>
    <x:row r="3337" ht="23" customHeight="1">
      <x:c r="A3337" t="n">
        <x:v>556</x:v>
      </x:c>
      <x:c r="B3337" t="n">
        <x:v>278</x:v>
      </x:c>
      <x:c r="C3337" t="str">
        <x:v>晚餐</x:v>
      </x:c>
      <x:c r="D3337" t="str">
        <x:v>油脂</x:v>
      </x:c>
      <x:c r="E3337" t="str">
        <x:v>烹调油</x:v>
      </x:c>
      <x:c r="F3337" t="n">
        <x:v>5</x:v>
      </x:c>
      <x:c r="G3337" t="n">
        <x:v>900</x:v>
      </x:c>
      <x:c r="H3337" t="n">
        <x:f>ROUND(F3337*G3337/100,2)</x:f>
        <x:v>45</x:v>
      </x:c>
      <x:c r="I3337" t="n">
        <x:v>0</x:v>
      </x:c>
      <x:c r="J3337" t="n">
        <x:f>ROUND(F3337*I3337/100,2)</x:f>
        <x:v>0</x:v>
      </x:c>
      <x:c r="K3337" t="n">
        <x:v>0</x:v>
      </x:c>
      <x:c r="L3337" t="n">
        <x:f>ROUND(F3337*K3337/100,2)</x:f>
        <x:v>0</x:v>
      </x:c>
      <x:c r="M3337" t="n">
        <x:v>100</x:v>
      </x:c>
      <x:c r="N3337" t="n">
        <x:f>ROUND(F3337*M3337/100,2)</x:f>
        <x:v>5</x:v>
      </x:c>
      <x:c r="O3337" t="str">
        <x:v>实际用油重</x:v>
      </x:c>
    </x:row>
    <x:row r="3338" ht="23" customHeight="1">
      <x:c r="A3338" t="n">
        <x:v>557</x:v>
      </x:c>
      <x:c r="B3338" t="n">
        <x:v>279</x:v>
      </x:c>
      <x:c r="C3338" t="str">
        <x:v>午餐</x:v>
      </x:c>
      <x:c r="D3338" t="str">
        <x:v>加工肉</x:v>
      </x:c>
      <x:c r="E3338" t="str">
        <x:v>低盐火腿</x:v>
      </x:c>
      <x:c r="F3338" t="n">
        <x:v>45</x:v>
      </x:c>
      <x:c r="G3338" t="n">
        <x:v>160</x:v>
      </x:c>
      <x:c r="H3338" t="n">
        <x:f>ROUND(F3338*G3338/100,2)</x:f>
        <x:v>72</x:v>
      </x:c>
      <x:c r="I3338" t="n">
        <x:v>14</x:v>
      </x:c>
      <x:c r="J3338" t="n">
        <x:f>ROUND(F3338*I3338/100,2)</x:f>
        <x:v>6.3</x:v>
      </x:c>
      <x:c r="K3338" t="n">
        <x:v>5</x:v>
      </x:c>
      <x:c r="L3338" t="n">
        <x:f>ROUND(F3338*K3338/100,2)</x:f>
        <x:v>2.25</x:v>
      </x:c>
      <x:c r="M3338" t="n">
        <x:v>9</x:v>
      </x:c>
      <x:c r="N3338" t="n">
        <x:f>ROUND(F3338*M3338/100,2)</x:f>
        <x:v>4.05</x:v>
      </x:c>
      <x:c r="O3338" t="str">
        <x:v>以品牌标签为准</x:v>
      </x:c>
    </x:row>
    <x:row r="3339" ht="23" customHeight="1">
      <x:c r="A3339" t="n">
        <x:v>557</x:v>
      </x:c>
      <x:c r="B3339" t="n">
        <x:v>279</x:v>
      </x:c>
      <x:c r="C3339" t="str">
        <x:v>午餐</x:v>
      </x:c>
      <x:c r="D3339" t="str">
        <x:v>豆蛋</x:v>
      </x:c>
      <x:c r="E3339" t="str">
        <x:v>鸡蛋</x:v>
      </x:c>
      <x:c r="F3339" t="n">
        <x:v>60</x:v>
      </x:c>
      <x:c r="G3339" t="n">
        <x:v>144</x:v>
      </x:c>
      <x:c r="H3339" t="n">
        <x:f>ROUND(F3339*G3339/100,2)</x:f>
        <x:v>86.4</x:v>
      </x:c>
      <x:c r="I3339" t="n">
        <x:v>13</x:v>
      </x:c>
      <x:c r="J3339" t="n">
        <x:f>ROUND(F3339*I3339/100,2)</x:f>
        <x:v>7.8</x:v>
      </x:c>
      <x:c r="K3339" t="n">
        <x:v>1.1</x:v>
      </x:c>
      <x:c r="L3339" t="n">
        <x:f>ROUND(F3339*K3339/100,2)</x:f>
        <x:v>0.66</x:v>
      </x:c>
      <x:c r="M3339" t="n">
        <x:v>10</x:v>
      </x:c>
      <x:c r="N3339" t="n">
        <x:f>ROUND(F3339*M3339/100,2)</x:f>
        <x:v>6</x:v>
      </x:c>
      <x:c r="O3339" t="str">
        <x:v>去壳可食重</x:v>
      </x:c>
    </x:row>
    <x:row r="3340" ht="23" customHeight="1">
      <x:c r="A3340" t="n">
        <x:v>557</x:v>
      </x:c>
      <x:c r="B3340" t="n">
        <x:v>279</x:v>
      </x:c>
      <x:c r="C3340" t="str">
        <x:v>午餐</x:v>
      </x:c>
      <x:c r="D3340" t="str">
        <x:v>蔬菜</x:v>
      </x:c>
      <x:c r="E3340" t="str">
        <x:v>生菜</x:v>
      </x:c>
      <x:c r="F3340" t="n">
        <x:v>140</x:v>
      </x:c>
      <x:c r="G3340" t="n">
        <x:v>16</x:v>
      </x:c>
      <x:c r="H3340" t="n">
        <x:f>ROUND(F3340*G3340/100,2)</x:f>
        <x:v>22.4</x:v>
      </x:c>
      <x:c r="I3340" t="n">
        <x:v>1.4</x:v>
      </x:c>
      <x:c r="J3340" t="n">
        <x:f>ROUND(F3340*I3340/100,2)</x:f>
        <x:v>1.96</x:v>
      </x:c>
      <x:c r="K3340" t="n">
        <x:v>2.9</x:v>
      </x:c>
      <x:c r="L3340" t="n">
        <x:f>ROUND(F3340*K3340/100,2)</x:f>
        <x:v>4.06</x:v>
      </x:c>
      <x:c r="M3340" t="n">
        <x:v>0.1</x:v>
      </x:c>
      <x:c r="N3340" t="n">
        <x:f>ROUND(F3340*M3340/100,2)</x:f>
        <x:v>0.14</x:v>
      </x:c>
      <x:c r="O3340" t="str">
        <x:v>生重</x:v>
      </x:c>
    </x:row>
    <x:row r="3341" ht="23" customHeight="1">
      <x:c r="A3341" t="n">
        <x:v>557</x:v>
      </x:c>
      <x:c r="B3341" t="n">
        <x:v>279</x:v>
      </x:c>
      <x:c r="C3341" t="str">
        <x:v>午餐</x:v>
      </x:c>
      <x:c r="D3341" t="str">
        <x:v>菌菇</x:v>
      </x:c>
      <x:c r="E3341" t="str">
        <x:v>口蘑</x:v>
      </x:c>
      <x:c r="F3341" t="n">
        <x:v>125</x:v>
      </x:c>
      <x:c r="G3341" t="n">
        <x:v>22</x:v>
      </x:c>
      <x:c r="H3341" t="n">
        <x:f>ROUND(F3341*G3341/100,2)</x:f>
        <x:v>27.5</x:v>
      </x:c>
      <x:c r="I3341" t="n">
        <x:v>3.1</x:v>
      </x:c>
      <x:c r="J3341" t="n">
        <x:f>ROUND(F3341*I3341/100,2)</x:f>
        <x:v>3.88</x:v>
      </x:c>
      <x:c r="K3341" t="n">
        <x:v>3.3</x:v>
      </x:c>
      <x:c r="L3341" t="n">
        <x:f>ROUND(F3341*K3341/100,2)</x:f>
        <x:v>4.13</x:v>
      </x:c>
      <x:c r="M3341" t="n">
        <x:v>0.3</x:v>
      </x:c>
      <x:c r="N3341" t="n">
        <x:f>ROUND(F3341*M3341/100,2)</x:f>
        <x:v>0.38</x:v>
      </x:c>
      <x:c r="O3341" t="str">
        <x:v>生重</x:v>
      </x:c>
    </x:row>
    <x:row r="3342" ht="23" customHeight="1">
      <x:c r="A3342" t="n">
        <x:v>557</x:v>
      </x:c>
      <x:c r="B3342" t="n">
        <x:v>279</x:v>
      </x:c>
      <x:c r="C3342" t="str">
        <x:v>午餐</x:v>
      </x:c>
      <x:c r="D3342" t="str">
        <x:v>主食</x:v>
      </x:c>
      <x:c r="E3342" t="str">
        <x:v>杂粮饭</x:v>
      </x:c>
      <x:c r="F3342" t="n">
        <x:v>125</x:v>
      </x:c>
      <x:c r="G3342" t="n">
        <x:v>115</x:v>
      </x:c>
      <x:c r="H3342" t="n">
        <x:f>ROUND(F3342*G3342/100,2)</x:f>
        <x:v>143.75</x:v>
      </x:c>
      <x:c r="I3342" t="n">
        <x:v>3.1</x:v>
      </x:c>
      <x:c r="J3342" t="n">
        <x:f>ROUND(F3342*I3342/100,2)</x:f>
        <x:v>3.88</x:v>
      </x:c>
      <x:c r="K3342" t="n">
        <x:v>23.5</x:v>
      </x:c>
      <x:c r="L3342" t="n">
        <x:f>ROUND(F3342*K3342/100,2)</x:f>
        <x:v>29.38</x:v>
      </x:c>
      <x:c r="M3342" t="n">
        <x:v>1.1</x:v>
      </x:c>
      <x:c r="N3342" t="n">
        <x:f>ROUND(F3342*M3342/100,2)</x:f>
        <x:v>1.38</x:v>
      </x:c>
      <x:c r="O3342" t="str">
        <x:v>熟重</x:v>
      </x:c>
    </x:row>
    <x:row r="3343" ht="23" customHeight="1">
      <x:c r="A3343" t="n">
        <x:v>557</x:v>
      </x:c>
      <x:c r="B3343" t="n">
        <x:v>279</x:v>
      </x:c>
      <x:c r="C3343" t="str">
        <x:v>午餐</x:v>
      </x:c>
      <x:c r="D3343" t="str">
        <x:v>油脂</x:v>
      </x:c>
      <x:c r="E3343" t="str">
        <x:v>烹调油</x:v>
      </x:c>
      <x:c r="F3343" t="n">
        <x:v>6</x:v>
      </x:c>
      <x:c r="G3343" t="n">
        <x:v>900</x:v>
      </x:c>
      <x:c r="H3343" t="n">
        <x:f>ROUND(F3343*G3343/100,2)</x:f>
        <x:v>54</x:v>
      </x:c>
      <x:c r="I3343" t="n">
        <x:v>0</x:v>
      </x:c>
      <x:c r="J3343" t="n">
        <x:f>ROUND(F3343*I3343/100,2)</x:f>
        <x:v>0</x:v>
      </x:c>
      <x:c r="K3343" t="n">
        <x:v>0</x:v>
      </x:c>
      <x:c r="L3343" t="n">
        <x:f>ROUND(F3343*K3343/100,2)</x:f>
        <x:v>0</x:v>
      </x:c>
      <x:c r="M3343" t="n">
        <x:v>100</x:v>
      </x:c>
      <x:c r="N3343" t="n">
        <x:f>ROUND(F3343*M3343/100,2)</x:f>
        <x:v>6</x:v>
      </x:c>
      <x:c r="O3343" t="str">
        <x:v>实际用油重</x:v>
      </x:c>
    </x:row>
    <x:row r="3344" ht="23" customHeight="1">
      <x:c r="A3344" t="n">
        <x:v>558</x:v>
      </x:c>
      <x:c r="B3344" t="n">
        <x:v>279</x:v>
      </x:c>
      <x:c r="C3344" t="str">
        <x:v>晚餐</x:v>
      </x:c>
      <x:c r="D3344" t="str">
        <x:v>牛肉</x:v>
      </x:c>
      <x:c r="E3344" t="str">
        <x:v>瘦牛肉</x:v>
      </x:c>
      <x:c r="F3344" t="n">
        <x:v>180</x:v>
      </x:c>
      <x:c r="G3344" t="n">
        <x:v>125</x:v>
      </x:c>
      <x:c r="H3344" t="n">
        <x:f>ROUND(F3344*G3344/100,2)</x:f>
        <x:v>225</x:v>
      </x:c>
      <x:c r="I3344" t="n">
        <x:v>21</x:v>
      </x:c>
      <x:c r="J3344" t="n">
        <x:f>ROUND(F3344*I3344/100,2)</x:f>
        <x:v>37.8</x:v>
      </x:c>
      <x:c r="K3344" t="n">
        <x:v>0</x:v>
      </x:c>
      <x:c r="L3344" t="n">
        <x:f>ROUND(F3344*K3344/100,2)</x:f>
        <x:v>0</x:v>
      </x:c>
      <x:c r="M3344" t="n">
        <x:v>4</x:v>
      </x:c>
      <x:c r="N3344" t="n">
        <x:f>ROUND(F3344*M3344/100,2)</x:f>
        <x:v>7.2</x:v>
      </x:c>
      <x:c r="O3344" t="str">
        <x:v>生重</x:v>
      </x:c>
    </x:row>
    <x:row r="3345" ht="23" customHeight="1">
      <x:c r="A3345" t="n">
        <x:v>558</x:v>
      </x:c>
      <x:c r="B3345" t="n">
        <x:v>279</x:v>
      </x:c>
      <x:c r="C3345" t="str">
        <x:v>晚餐</x:v>
      </x:c>
      <x:c r="D3345" t="str"/>
      <x:c r="E3345" t="str"/>
      <x:c r="F3345" t="n">
        <x:v>0</x:v>
      </x:c>
      <x:c r="G3345" t="n">
        <x:v>0</x:v>
      </x:c>
      <x:c r="H3345" t="n">
        <x:f>ROUND(F3345*G3345/100,2)</x:f>
        <x:v>0</x:v>
      </x:c>
      <x:c r="I3345" t="n">
        <x:v>0</x:v>
      </x:c>
      <x:c r="J3345" t="n">
        <x:f>ROUND(F3345*I3345/100,2)</x:f>
        <x:v>0</x:v>
      </x:c>
      <x:c r="K3345" t="n">
        <x:v>0</x:v>
      </x:c>
      <x:c r="L3345" t="n">
        <x:f>ROUND(F3345*K3345/100,2)</x:f>
        <x:v>0</x:v>
      </x:c>
      <x:c r="M3345" t="n">
        <x:v>0</x:v>
      </x:c>
      <x:c r="N3345" t="n">
        <x:f>ROUND(F3345*M3345/100,2)</x:f>
        <x:v>0</x:v>
      </x:c>
      <x:c r="O3345" t="str"/>
    </x:row>
    <x:row r="3346" ht="23" customHeight="1">
      <x:c r="A3346" t="n">
        <x:v>558</x:v>
      </x:c>
      <x:c r="B3346" t="n">
        <x:v>279</x:v>
      </x:c>
      <x:c r="C3346" t="str">
        <x:v>晚餐</x:v>
      </x:c>
      <x:c r="D3346" t="str">
        <x:v>蔬菜</x:v>
      </x:c>
      <x:c r="E3346" t="str">
        <x:v>黄瓜</x:v>
      </x:c>
      <x:c r="F3346" t="n">
        <x:v>140</x:v>
      </x:c>
      <x:c r="G3346" t="n">
        <x:v>16</x:v>
      </x:c>
      <x:c r="H3346" t="n">
        <x:f>ROUND(F3346*G3346/100,2)</x:f>
        <x:v>22.4</x:v>
      </x:c>
      <x:c r="I3346" t="n">
        <x:v>0.7</x:v>
      </x:c>
      <x:c r="J3346" t="n">
        <x:f>ROUND(F3346*I3346/100,2)</x:f>
        <x:v>0.98</x:v>
      </x:c>
      <x:c r="K3346" t="n">
        <x:v>3.6</x:v>
      </x:c>
      <x:c r="L3346" t="n">
        <x:f>ROUND(F3346*K3346/100,2)</x:f>
        <x:v>5.04</x:v>
      </x:c>
      <x:c r="M3346" t="n">
        <x:v>0.1</x:v>
      </x:c>
      <x:c r="N3346" t="n">
        <x:f>ROUND(F3346*M3346/100,2)</x:f>
        <x:v>0.14</x:v>
      </x:c>
      <x:c r="O3346" t="str">
        <x:v>生重</x:v>
      </x:c>
    </x:row>
    <x:row r="3347" ht="23" customHeight="1">
      <x:c r="A3347" t="n">
        <x:v>558</x:v>
      </x:c>
      <x:c r="B3347" t="n">
        <x:v>279</x:v>
      </x:c>
      <x:c r="C3347" t="str">
        <x:v>晚餐</x:v>
      </x:c>
      <x:c r="D3347" t="str">
        <x:v>蔬菜</x:v>
      </x:c>
      <x:c r="E3347" t="str">
        <x:v>彩椒</x:v>
      </x:c>
      <x:c r="F3347" t="n">
        <x:v>155</x:v>
      </x:c>
      <x:c r="G3347" t="n">
        <x:v>27</x:v>
      </x:c>
      <x:c r="H3347" t="n">
        <x:f>ROUND(F3347*G3347/100,2)</x:f>
        <x:v>41.85</x:v>
      </x:c>
      <x:c r="I3347" t="n">
        <x:v>1</x:v>
      </x:c>
      <x:c r="J3347" t="n">
        <x:f>ROUND(F3347*I3347/100,2)</x:f>
        <x:v>1.55</x:v>
      </x:c>
      <x:c r="K3347" t="n">
        <x:v>6.1</x:v>
      </x:c>
      <x:c r="L3347" t="n">
        <x:f>ROUND(F3347*K3347/100,2)</x:f>
        <x:v>9.46</x:v>
      </x:c>
      <x:c r="M3347" t="n">
        <x:v>0.2</x:v>
      </x:c>
      <x:c r="N3347" t="n">
        <x:f>ROUND(F3347*M3347/100,2)</x:f>
        <x:v>0.31</x:v>
      </x:c>
      <x:c r="O3347" t="str">
        <x:v>生重</x:v>
      </x:c>
    </x:row>
    <x:row r="3348" ht="23" customHeight="1">
      <x:c r="A3348" t="n">
        <x:v>558</x:v>
      </x:c>
      <x:c r="B3348" t="n">
        <x:v>279</x:v>
      </x:c>
      <x:c r="C3348" t="str">
        <x:v>晚餐</x:v>
      </x:c>
      <x:c r="D3348" t="str">
        <x:v>主食</x:v>
      </x:c>
      <x:c r="E3348" t="str">
        <x:v>荞麦饭</x:v>
      </x:c>
      <x:c r="F3348" t="n">
        <x:v>95</x:v>
      </x:c>
      <x:c r="G3348" t="n">
        <x:v>110</x:v>
      </x:c>
      <x:c r="H3348" t="n">
        <x:f>ROUND(F3348*G3348/100,2)</x:f>
        <x:v>104.5</x:v>
      </x:c>
      <x:c r="I3348" t="n">
        <x:v>3.4</x:v>
      </x:c>
      <x:c r="J3348" t="n">
        <x:f>ROUND(F3348*I3348/100,2)</x:f>
        <x:v>3.23</x:v>
      </x:c>
      <x:c r="K3348" t="n">
        <x:v>22</x:v>
      </x:c>
      <x:c r="L3348" t="n">
        <x:f>ROUND(F3348*K3348/100,2)</x:f>
        <x:v>20.9</x:v>
      </x:c>
      <x:c r="M3348" t="n">
        <x:v>1.1</x:v>
      </x:c>
      <x:c r="N3348" t="n">
        <x:f>ROUND(F3348*M3348/100,2)</x:f>
        <x:v>1.05</x:v>
      </x:c>
      <x:c r="O3348" t="str">
        <x:v>熟重</x:v>
      </x:c>
    </x:row>
    <x:row r="3349" ht="23" customHeight="1">
      <x:c r="A3349" t="n">
        <x:v>558</x:v>
      </x:c>
      <x:c r="B3349" t="n">
        <x:v>279</x:v>
      </x:c>
      <x:c r="C3349" t="str">
        <x:v>晚餐</x:v>
      </x:c>
      <x:c r="D3349" t="str">
        <x:v>油脂</x:v>
      </x:c>
      <x:c r="E3349" t="str">
        <x:v>烹调油</x:v>
      </x:c>
      <x:c r="F3349" t="n">
        <x:v>6</x:v>
      </x:c>
      <x:c r="G3349" t="n">
        <x:v>900</x:v>
      </x:c>
      <x:c r="H3349" t="n">
        <x:f>ROUND(F3349*G3349/100,2)</x:f>
        <x:v>54</x:v>
      </x:c>
      <x:c r="I3349" t="n">
        <x:v>0</x:v>
      </x:c>
      <x:c r="J3349" t="n">
        <x:f>ROUND(F3349*I3349/100,2)</x:f>
        <x:v>0</x:v>
      </x:c>
      <x:c r="K3349" t="n">
        <x:v>0</x:v>
      </x:c>
      <x:c r="L3349" t="n">
        <x:f>ROUND(F3349*K3349/100,2)</x:f>
        <x:v>0</x:v>
      </x:c>
      <x:c r="M3349" t="n">
        <x:v>100</x:v>
      </x:c>
      <x:c r="N3349" t="n">
        <x:f>ROUND(F3349*M3349/100,2)</x:f>
        <x:v>6</x:v>
      </x:c>
      <x:c r="O3349" t="str">
        <x:v>实际用油重</x:v>
      </x:c>
    </x:row>
    <x:row r="3350" ht="23" customHeight="1">
      <x:c r="A3350" t="n">
        <x:v>559</x:v>
      </x:c>
      <x:c r="B3350" t="n">
        <x:v>280</x:v>
      </x:c>
      <x:c r="C3350" t="str">
        <x:v>午餐</x:v>
      </x:c>
      <x:c r="D3350" t="str">
        <x:v>禽肉</x:v>
      </x:c>
      <x:c r="E3350" t="str">
        <x:v>去皮鸡腿肉</x:v>
      </x:c>
      <x:c r="F3350" t="n">
        <x:v>165</x:v>
      </x:c>
      <x:c r="G3350" t="n">
        <x:v>125</x:v>
      </x:c>
      <x:c r="H3350" t="n">
        <x:f>ROUND(F3350*G3350/100,2)</x:f>
        <x:v>206.25</x:v>
      </x:c>
      <x:c r="I3350" t="n">
        <x:v>20</x:v>
      </x:c>
      <x:c r="J3350" t="n">
        <x:f>ROUND(F3350*I3350/100,2)</x:f>
        <x:v>33</x:v>
      </x:c>
      <x:c r="K3350" t="n">
        <x:v>0</x:v>
      </x:c>
      <x:c r="L3350" t="n">
        <x:f>ROUND(F3350*K3350/100,2)</x:f>
        <x:v>0</x:v>
      </x:c>
      <x:c r="M3350" t="n">
        <x:v>5</x:v>
      </x:c>
      <x:c r="N3350" t="n">
        <x:f>ROUND(F3350*M3350/100,2)</x:f>
        <x:v>8.25</x:v>
      </x:c>
      <x:c r="O3350" t="str">
        <x:v>生重</x:v>
      </x:c>
    </x:row>
    <x:row r="3351" ht="23" customHeight="1">
      <x:c r="A3351" t="n">
        <x:v>559</x:v>
      </x:c>
      <x:c r="B3351" t="n">
        <x:v>280</x:v>
      </x:c>
      <x:c r="C3351" t="str">
        <x:v>午餐</x:v>
      </x:c>
      <x:c r="D3351" t="str"/>
      <x:c r="E3351" t="str"/>
      <x:c r="F3351" t="n">
        <x:v>0</x:v>
      </x:c>
      <x:c r="G3351" t="n">
        <x:v>0</x:v>
      </x:c>
      <x:c r="H3351" t="n">
        <x:f>ROUND(F3351*G3351/100,2)</x:f>
        <x:v>0</x:v>
      </x:c>
      <x:c r="I3351" t="n">
        <x:v>0</x:v>
      </x:c>
      <x:c r="J3351" t="n">
        <x:f>ROUND(F3351*I3351/100,2)</x:f>
        <x:v>0</x:v>
      </x:c>
      <x:c r="K3351" t="n">
        <x:v>0</x:v>
      </x:c>
      <x:c r="L3351" t="n">
        <x:f>ROUND(F3351*K3351/100,2)</x:f>
        <x:v>0</x:v>
      </x:c>
      <x:c r="M3351" t="n">
        <x:v>0</x:v>
      </x:c>
      <x:c r="N3351" t="n">
        <x:f>ROUND(F3351*M3351/100,2)</x:f>
        <x:v>0</x:v>
      </x:c>
      <x:c r="O3351" t="str"/>
    </x:row>
    <x:row r="3352" ht="23" customHeight="1">
      <x:c r="A3352" t="n">
        <x:v>559</x:v>
      </x:c>
      <x:c r="B3352" t="n">
        <x:v>280</x:v>
      </x:c>
      <x:c r="C3352" t="str">
        <x:v>午餐</x:v>
      </x:c>
      <x:c r="D3352" t="str">
        <x:v>蔬菜</x:v>
      </x:c>
      <x:c r="E3352" t="str">
        <x:v>番茄</x:v>
      </x:c>
      <x:c r="F3352" t="n">
        <x:v>190</x:v>
      </x:c>
      <x:c r="G3352" t="n">
        <x:v>20</x:v>
      </x:c>
      <x:c r="H3352" t="n">
        <x:f>ROUND(F3352*G3352/100,2)</x:f>
        <x:v>38</x:v>
      </x:c>
      <x:c r="I3352" t="n">
        <x:v>0.9</x:v>
      </x:c>
      <x:c r="J3352" t="n">
        <x:f>ROUND(F3352*I3352/100,2)</x:f>
        <x:v>1.71</x:v>
      </x:c>
      <x:c r="K3352" t="n">
        <x:v>4</x:v>
      </x:c>
      <x:c r="L3352" t="n">
        <x:f>ROUND(F3352*K3352/100,2)</x:f>
        <x:v>7.6</x:v>
      </x:c>
      <x:c r="M3352" t="n">
        <x:v>0.2</x:v>
      </x:c>
      <x:c r="N3352" t="n">
        <x:f>ROUND(F3352*M3352/100,2)</x:f>
        <x:v>0.38</x:v>
      </x:c>
      <x:c r="O3352" t="str">
        <x:v>生重</x:v>
      </x:c>
    </x:row>
    <x:row r="3353" ht="23" customHeight="1">
      <x:c r="A3353" t="n">
        <x:v>559</x:v>
      </x:c>
      <x:c r="B3353" t="n">
        <x:v>280</x:v>
      </x:c>
      <x:c r="C3353" t="str">
        <x:v>午餐</x:v>
      </x:c>
      <x:c r="D3353" t="str">
        <x:v>蔬菜</x:v>
      </x:c>
      <x:c r="E3353" t="str">
        <x:v>西兰花</x:v>
      </x:c>
      <x:c r="F3353" t="n">
        <x:v>125</x:v>
      </x:c>
      <x:c r="G3353" t="n">
        <x:v>34</x:v>
      </x:c>
      <x:c r="H3353" t="n">
        <x:f>ROUND(F3353*G3353/100,2)</x:f>
        <x:v>42.5</x:v>
      </x:c>
      <x:c r="I3353" t="n">
        <x:v>2.8</x:v>
      </x:c>
      <x:c r="J3353" t="n">
        <x:f>ROUND(F3353*I3353/100,2)</x:f>
        <x:v>3.5</x:v>
      </x:c>
      <x:c r="K3353" t="n">
        <x:v>7</x:v>
      </x:c>
      <x:c r="L3353" t="n">
        <x:f>ROUND(F3353*K3353/100,2)</x:f>
        <x:v>8.75</x:v>
      </x:c>
      <x:c r="M3353" t="n">
        <x:v>0.4</x:v>
      </x:c>
      <x:c r="N3353" t="n">
        <x:f>ROUND(F3353*M3353/100,2)</x:f>
        <x:v>0.5</x:v>
      </x:c>
      <x:c r="O3353" t="str">
        <x:v>生重</x:v>
      </x:c>
    </x:row>
    <x:row r="3354" ht="23" customHeight="1">
      <x:c r="A3354" t="n">
        <x:v>559</x:v>
      </x:c>
      <x:c r="B3354" t="n">
        <x:v>280</x:v>
      </x:c>
      <x:c r="C3354" t="str">
        <x:v>午餐</x:v>
      </x:c>
      <x:c r="D3354" t="str">
        <x:v>主食</x:v>
      </x:c>
      <x:c r="E3354" t="str">
        <x:v>杂粮饭</x:v>
      </x:c>
      <x:c r="F3354" t="n">
        <x:v>125</x:v>
      </x:c>
      <x:c r="G3354" t="n">
        <x:v>115</x:v>
      </x:c>
      <x:c r="H3354" t="n">
        <x:f>ROUND(F3354*G3354/100,2)</x:f>
        <x:v>143.75</x:v>
      </x:c>
      <x:c r="I3354" t="n">
        <x:v>3.1</x:v>
      </x:c>
      <x:c r="J3354" t="n">
        <x:f>ROUND(F3354*I3354/100,2)</x:f>
        <x:v>3.88</x:v>
      </x:c>
      <x:c r="K3354" t="n">
        <x:v>23.5</x:v>
      </x:c>
      <x:c r="L3354" t="n">
        <x:f>ROUND(F3354*K3354/100,2)</x:f>
        <x:v>29.38</x:v>
      </x:c>
      <x:c r="M3354" t="n">
        <x:v>1.1</x:v>
      </x:c>
      <x:c r="N3354" t="n">
        <x:f>ROUND(F3354*M3354/100,2)</x:f>
        <x:v>1.38</x:v>
      </x:c>
      <x:c r="O3354" t="str">
        <x:v>熟重</x:v>
      </x:c>
    </x:row>
    <x:row r="3355" ht="23" customHeight="1">
      <x:c r="A3355" t="n">
        <x:v>559</x:v>
      </x:c>
      <x:c r="B3355" t="n">
        <x:v>280</x:v>
      </x:c>
      <x:c r="C3355" t="str">
        <x:v>午餐</x:v>
      </x:c>
      <x:c r="D3355" t="str">
        <x:v>油脂</x:v>
      </x:c>
      <x:c r="E3355" t="str">
        <x:v>烹调油</x:v>
      </x:c>
      <x:c r="F3355" t="n">
        <x:v>3</x:v>
      </x:c>
      <x:c r="G3355" t="n">
        <x:v>900</x:v>
      </x:c>
      <x:c r="H3355" t="n">
        <x:f>ROUND(F3355*G3355/100,2)</x:f>
        <x:v>27</x:v>
      </x:c>
      <x:c r="I3355" t="n">
        <x:v>0</x:v>
      </x:c>
      <x:c r="J3355" t="n">
        <x:f>ROUND(F3355*I3355/100,2)</x:f>
        <x:v>0</x:v>
      </x:c>
      <x:c r="K3355" t="n">
        <x:v>0</x:v>
      </x:c>
      <x:c r="L3355" t="n">
        <x:f>ROUND(F3355*K3355/100,2)</x:f>
        <x:v>0</x:v>
      </x:c>
      <x:c r="M3355" t="n">
        <x:v>100</x:v>
      </x:c>
      <x:c r="N3355" t="n">
        <x:f>ROUND(F3355*M3355/100,2)</x:f>
        <x:v>3</x:v>
      </x:c>
      <x:c r="O3355" t="str">
        <x:v>实际用油重</x:v>
      </x:c>
    </x:row>
    <x:row r="3356" ht="23" customHeight="1">
      <x:c r="A3356" t="n">
        <x:v>560</x:v>
      </x:c>
      <x:c r="B3356" t="n">
        <x:v>280</x:v>
      </x:c>
      <x:c r="C3356" t="str">
        <x:v>晚餐</x:v>
      </x:c>
      <x:c r="D3356" t="str">
        <x:v>豆蛋</x:v>
      </x:c>
      <x:c r="E3356" t="str">
        <x:v>鸡蛋</x:v>
      </x:c>
      <x:c r="F3356" t="n">
        <x:v>100</x:v>
      </x:c>
      <x:c r="G3356" t="n">
        <x:v>144</x:v>
      </x:c>
      <x:c r="H3356" t="n">
        <x:f>ROUND(F3356*G3356/100,2)</x:f>
        <x:v>144</x:v>
      </x:c>
      <x:c r="I3356" t="n">
        <x:v>13</x:v>
      </x:c>
      <x:c r="J3356" t="n">
        <x:f>ROUND(F3356*I3356/100,2)</x:f>
        <x:v>13</x:v>
      </x:c>
      <x:c r="K3356" t="n">
        <x:v>1.1</x:v>
      </x:c>
      <x:c r="L3356" t="n">
        <x:f>ROUND(F3356*K3356/100,2)</x:f>
        <x:v>1.1</x:v>
      </x:c>
      <x:c r="M3356" t="n">
        <x:v>10</x:v>
      </x:c>
      <x:c r="N3356" t="n">
        <x:f>ROUND(F3356*M3356/100,2)</x:f>
        <x:v>10</x:v>
      </x:c>
      <x:c r="O3356" t="str">
        <x:v>去壳可食重</x:v>
      </x:c>
    </x:row>
    <x:row r="3357" ht="23" customHeight="1">
      <x:c r="A3357" t="n">
        <x:v>560</x:v>
      </x:c>
      <x:c r="B3357" t="n">
        <x:v>280</x:v>
      </x:c>
      <x:c r="C3357" t="str">
        <x:v>晚餐</x:v>
      </x:c>
      <x:c r="D3357" t="str">
        <x:v>海鲜</x:v>
      </x:c>
      <x:c r="E3357" t="str">
        <x:v>虾仁</x:v>
      </x:c>
      <x:c r="F3357" t="n">
        <x:v>65</x:v>
      </x:c>
      <x:c r="G3357" t="n">
        <x:v>90</x:v>
      </x:c>
      <x:c r="H3357" t="n">
        <x:f>ROUND(F3357*G3357/100,2)</x:f>
        <x:v>58.5</x:v>
      </x:c>
      <x:c r="I3357" t="n">
        <x:v>19</x:v>
      </x:c>
      <x:c r="J3357" t="n">
        <x:f>ROUND(F3357*I3357/100,2)</x:f>
        <x:v>12.35</x:v>
      </x:c>
      <x:c r="K3357" t="n">
        <x:v>0.4</x:v>
      </x:c>
      <x:c r="L3357" t="n">
        <x:f>ROUND(F3357*K3357/100,2)</x:f>
        <x:v>0.26</x:v>
      </x:c>
      <x:c r="M3357" t="n">
        <x:v>1.1</x:v>
      </x:c>
      <x:c r="N3357" t="n">
        <x:f>ROUND(F3357*M3357/100,2)</x:f>
        <x:v>0.72</x:v>
      </x:c>
      <x:c r="O3357" t="str">
        <x:v>生重</x:v>
      </x:c>
    </x:row>
    <x:row r="3358" ht="23" customHeight="1">
      <x:c r="A3358" t="n">
        <x:v>560</x:v>
      </x:c>
      <x:c r="B3358" t="n">
        <x:v>280</x:v>
      </x:c>
      <x:c r="C3358" t="str">
        <x:v>晚餐</x:v>
      </x:c>
      <x:c r="D3358" t="str">
        <x:v>蔬菜</x:v>
      </x:c>
      <x:c r="E3358" t="str">
        <x:v>彩椒</x:v>
      </x:c>
      <x:c r="F3358" t="n">
        <x:v>160</x:v>
      </x:c>
      <x:c r="G3358" t="n">
        <x:v>27</x:v>
      </x:c>
      <x:c r="H3358" t="n">
        <x:f>ROUND(F3358*G3358/100,2)</x:f>
        <x:v>43.2</x:v>
      </x:c>
      <x:c r="I3358" t="n">
        <x:v>1</x:v>
      </x:c>
      <x:c r="J3358" t="n">
        <x:f>ROUND(F3358*I3358/100,2)</x:f>
        <x:v>1.6</x:v>
      </x:c>
      <x:c r="K3358" t="n">
        <x:v>6.1</x:v>
      </x:c>
      <x:c r="L3358" t="n">
        <x:f>ROUND(F3358*K3358/100,2)</x:f>
        <x:v>9.76</x:v>
      </x:c>
      <x:c r="M3358" t="n">
        <x:v>0.2</x:v>
      </x:c>
      <x:c r="N3358" t="n">
        <x:f>ROUND(F3358*M3358/100,2)</x:f>
        <x:v>0.32</x:v>
      </x:c>
      <x:c r="O3358" t="str">
        <x:v>生重</x:v>
      </x:c>
    </x:row>
    <x:row r="3359" ht="23" customHeight="1">
      <x:c r="A3359" t="n">
        <x:v>560</x:v>
      </x:c>
      <x:c r="B3359" t="n">
        <x:v>280</x:v>
      </x:c>
      <x:c r="C3359" t="str">
        <x:v>晚餐</x:v>
      </x:c>
      <x:c r="D3359" t="str">
        <x:v>菌菇</x:v>
      </x:c>
      <x:c r="E3359" t="str">
        <x:v>香菇</x:v>
      </x:c>
      <x:c r="F3359" t="n">
        <x:v>155</x:v>
      </x:c>
      <x:c r="G3359" t="n">
        <x:v>34</x:v>
      </x:c>
      <x:c r="H3359" t="n">
        <x:f>ROUND(F3359*G3359/100,2)</x:f>
        <x:v>52.7</x:v>
      </x:c>
      <x:c r="I3359" t="n">
        <x:v>2.2</x:v>
      </x:c>
      <x:c r="J3359" t="n">
        <x:f>ROUND(F3359*I3359/100,2)</x:f>
        <x:v>3.41</x:v>
      </x:c>
      <x:c r="K3359" t="n">
        <x:v>6.8</x:v>
      </x:c>
      <x:c r="L3359" t="n">
        <x:f>ROUND(F3359*K3359/100,2)</x:f>
        <x:v>10.54</x:v>
      </x:c>
      <x:c r="M3359" t="n">
        <x:v>0.5</x:v>
      </x:c>
      <x:c r="N3359" t="n">
        <x:f>ROUND(F3359*M3359/100,2)</x:f>
        <x:v>0.78</x:v>
      </x:c>
      <x:c r="O3359" t="str">
        <x:v>生重</x:v>
      </x:c>
    </x:row>
    <x:row r="3360" ht="23" customHeight="1">
      <x:c r="A3360" t="n">
        <x:v>560</x:v>
      </x:c>
      <x:c r="B3360" t="n">
        <x:v>280</x:v>
      </x:c>
      <x:c r="C3360" t="str">
        <x:v>晚餐</x:v>
      </x:c>
      <x:c r="D3360" t="str">
        <x:v>主食</x:v>
      </x:c>
      <x:c r="E3360" t="str">
        <x:v>藜麦饭</x:v>
      </x:c>
      <x:c r="F3360" t="n">
        <x:v>135</x:v>
      </x:c>
      <x:c r="G3360" t="n">
        <x:v>120</x:v>
      </x:c>
      <x:c r="H3360" t="n">
        <x:f>ROUND(F3360*G3360/100,2)</x:f>
        <x:v>162</x:v>
      </x:c>
      <x:c r="I3360" t="n">
        <x:v>4.4</x:v>
      </x:c>
      <x:c r="J3360" t="n">
        <x:f>ROUND(F3360*I3360/100,2)</x:f>
        <x:v>5.94</x:v>
      </x:c>
      <x:c r="K3360" t="n">
        <x:v>21.3</x:v>
      </x:c>
      <x:c r="L3360" t="n">
        <x:f>ROUND(F3360*K3360/100,2)</x:f>
        <x:v>28.76</x:v>
      </x:c>
      <x:c r="M3360" t="n">
        <x:v>1.9</x:v>
      </x:c>
      <x:c r="N3360" t="n">
        <x:f>ROUND(F3360*M3360/100,2)</x:f>
        <x:v>2.57</x:v>
      </x:c>
      <x:c r="O3360" t="str">
        <x:v>熟重</x:v>
      </x:c>
    </x:row>
    <x:row r="3361" ht="23" customHeight="1">
      <x:c r="A3361" t="n">
        <x:v>560</x:v>
      </x:c>
      <x:c r="B3361" t="n">
        <x:v>280</x:v>
      </x:c>
      <x:c r="C3361" t="str">
        <x:v>晚餐</x:v>
      </x:c>
      <x:c r="D3361" t="str">
        <x:v>油脂</x:v>
      </x:c>
      <x:c r="E3361" t="str">
        <x:v>烹调油</x:v>
      </x:c>
      <x:c r="F3361" t="n">
        <x:v>5</x:v>
      </x:c>
      <x:c r="G3361" t="n">
        <x:v>900</x:v>
      </x:c>
      <x:c r="H3361" t="n">
        <x:f>ROUND(F3361*G3361/100,2)</x:f>
        <x:v>45</x:v>
      </x:c>
      <x:c r="I3361" t="n">
        <x:v>0</x:v>
      </x:c>
      <x:c r="J3361" t="n">
        <x:f>ROUND(F3361*I3361/100,2)</x:f>
        <x:v>0</x:v>
      </x:c>
      <x:c r="K3361" t="n">
        <x:v>0</x:v>
      </x:c>
      <x:c r="L3361" t="n">
        <x:f>ROUND(F3361*K3361/100,2)</x:f>
        <x:v>0</x:v>
      </x:c>
      <x:c r="M3361" t="n">
        <x:v>100</x:v>
      </x:c>
      <x:c r="N3361" t="n">
        <x:f>ROUND(F3361*M3361/100,2)</x:f>
        <x:v>5</x:v>
      </x:c>
      <x:c r="O3361" t="str">
        <x:v>实际用油重</x:v>
      </x:c>
    </x:row>
    <x:row r="3362" ht="23" customHeight="1">
      <x:c r="A3362" t="n">
        <x:v>561</x:v>
      </x:c>
      <x:c r="B3362" t="n">
        <x:v>281</x:v>
      </x:c>
      <x:c r="C3362" t="str">
        <x:v>午餐</x:v>
      </x:c>
      <x:c r="D3362" t="str">
        <x:v>禽肉</x:v>
      </x:c>
      <x:c r="E3362" t="str">
        <x:v>鸡胸肉</x:v>
      </x:c>
      <x:c r="F3362" t="n">
        <x:v>175</x:v>
      </x:c>
      <x:c r="G3362" t="n">
        <x:v>110</x:v>
      </x:c>
      <x:c r="H3362" t="n">
        <x:f>ROUND(F3362*G3362/100,2)</x:f>
        <x:v>192.5</x:v>
      </x:c>
      <x:c r="I3362" t="n">
        <x:v>23</x:v>
      </x:c>
      <x:c r="J3362" t="n">
        <x:f>ROUND(F3362*I3362/100,2)</x:f>
        <x:v>40.25</x:v>
      </x:c>
      <x:c r="K3362" t="n">
        <x:v>0</x:v>
      </x:c>
      <x:c r="L3362" t="n">
        <x:f>ROUND(F3362*K3362/100,2)</x:f>
        <x:v>0</x:v>
      </x:c>
      <x:c r="M3362" t="n">
        <x:v>2</x:v>
      </x:c>
      <x:c r="N3362" t="n">
        <x:f>ROUND(F3362*M3362/100,2)</x:f>
        <x:v>3.5</x:v>
      </x:c>
      <x:c r="O3362" t="str">
        <x:v>生重</x:v>
      </x:c>
    </x:row>
    <x:row r="3363" ht="23" customHeight="1">
      <x:c r="A3363" t="n">
        <x:v>561</x:v>
      </x:c>
      <x:c r="B3363" t="n">
        <x:v>281</x:v>
      </x:c>
      <x:c r="C3363" t="str">
        <x:v>午餐</x:v>
      </x:c>
      <x:c r="D3363" t="str">
        <x:v>豆蛋</x:v>
      </x:c>
      <x:c r="E3363" t="str">
        <x:v>北豆腐</x:v>
      </x:c>
      <x:c r="F3363" t="n">
        <x:v>90</x:v>
      </x:c>
      <x:c r="G3363" t="n">
        <x:v>90</x:v>
      </x:c>
      <x:c r="H3363" t="n">
        <x:f>ROUND(F3363*G3363/100,2)</x:f>
        <x:v>81</x:v>
      </x:c>
      <x:c r="I3363" t="n">
        <x:v>10</x:v>
      </x:c>
      <x:c r="J3363" t="n">
        <x:f>ROUND(F3363*I3363/100,2)</x:f>
        <x:v>9</x:v>
      </x:c>
      <x:c r="K3363" t="n">
        <x:v>2</x:v>
      </x:c>
      <x:c r="L3363" t="n">
        <x:f>ROUND(F3363*K3363/100,2)</x:f>
        <x:v>1.8</x:v>
      </x:c>
      <x:c r="M3363" t="n">
        <x:v>5</x:v>
      </x:c>
      <x:c r="N3363" t="n">
        <x:f>ROUND(F3363*M3363/100,2)</x:f>
        <x:v>4.5</x:v>
      </x:c>
      <x:c r="O3363" t="str">
        <x:v>净重</x:v>
      </x:c>
    </x:row>
    <x:row r="3364" ht="23" customHeight="1">
      <x:c r="A3364" t="n">
        <x:v>561</x:v>
      </x:c>
      <x:c r="B3364" t="n">
        <x:v>281</x:v>
      </x:c>
      <x:c r="C3364" t="str">
        <x:v>午餐</x:v>
      </x:c>
      <x:c r="D3364" t="str">
        <x:v>蔬菜</x:v>
      </x:c>
      <x:c r="E3364" t="str">
        <x:v>西兰花</x:v>
      </x:c>
      <x:c r="F3364" t="n">
        <x:v>175</x:v>
      </x:c>
      <x:c r="G3364" t="n">
        <x:v>34</x:v>
      </x:c>
      <x:c r="H3364" t="n">
        <x:f>ROUND(F3364*G3364/100,2)</x:f>
        <x:v>59.5</x:v>
      </x:c>
      <x:c r="I3364" t="n">
        <x:v>2.8</x:v>
      </x:c>
      <x:c r="J3364" t="n">
        <x:f>ROUND(F3364*I3364/100,2)</x:f>
        <x:v>4.9</x:v>
      </x:c>
      <x:c r="K3364" t="n">
        <x:v>7</x:v>
      </x:c>
      <x:c r="L3364" t="n">
        <x:f>ROUND(F3364*K3364/100,2)</x:f>
        <x:v>12.25</x:v>
      </x:c>
      <x:c r="M3364" t="n">
        <x:v>0.4</x:v>
      </x:c>
      <x:c r="N3364" t="n">
        <x:f>ROUND(F3364*M3364/100,2)</x:f>
        <x:v>0.7</x:v>
      </x:c>
      <x:c r="O3364" t="str">
        <x:v>生重</x:v>
      </x:c>
    </x:row>
    <x:row r="3365" ht="23" customHeight="1">
      <x:c r="A3365" t="n">
        <x:v>561</x:v>
      </x:c>
      <x:c r="B3365" t="n">
        <x:v>281</x:v>
      </x:c>
      <x:c r="C3365" t="str">
        <x:v>午餐</x:v>
      </x:c>
      <x:c r="D3365" t="str">
        <x:v>蔬菜</x:v>
      </x:c>
      <x:c r="E3365" t="str">
        <x:v>洋葱</x:v>
      </x:c>
      <x:c r="F3365" t="n">
        <x:v>140</x:v>
      </x:c>
      <x:c r="G3365" t="n">
        <x:v>40</x:v>
      </x:c>
      <x:c r="H3365" t="n">
        <x:f>ROUND(F3365*G3365/100,2)</x:f>
        <x:v>56</x:v>
      </x:c>
      <x:c r="I3365" t="n">
        <x:v>1.1</x:v>
      </x:c>
      <x:c r="J3365" t="n">
        <x:f>ROUND(F3365*I3365/100,2)</x:f>
        <x:v>1.54</x:v>
      </x:c>
      <x:c r="K3365" t="n">
        <x:v>9.3</x:v>
      </x:c>
      <x:c r="L3365" t="n">
        <x:f>ROUND(F3365*K3365/100,2)</x:f>
        <x:v>13.02</x:v>
      </x:c>
      <x:c r="M3365" t="n">
        <x:v>0.1</x:v>
      </x:c>
      <x:c r="N3365" t="n">
        <x:f>ROUND(F3365*M3365/100,2)</x:f>
        <x:v>0.14</x:v>
      </x:c>
      <x:c r="O3365" t="str">
        <x:v>生重</x:v>
      </x:c>
    </x:row>
    <x:row r="3366" ht="23" customHeight="1">
      <x:c r="A3366" t="n">
        <x:v>561</x:v>
      </x:c>
      <x:c r="B3366" t="n">
        <x:v>281</x:v>
      </x:c>
      <x:c r="C3366" t="str">
        <x:v>午餐</x:v>
      </x:c>
      <x:c r="D3366" t="str">
        <x:v>主食</x:v>
      </x:c>
      <x:c r="E3366" t="str">
        <x:v>糙米饭</x:v>
      </x:c>
      <x:c r="F3366" t="n">
        <x:v>135</x:v>
      </x:c>
      <x:c r="G3366" t="n">
        <x:v>112</x:v>
      </x:c>
      <x:c r="H3366" t="n">
        <x:f>ROUND(F3366*G3366/100,2)</x:f>
        <x:v>151.2</x:v>
      </x:c>
      <x:c r="I3366" t="n">
        <x:v>2.6</x:v>
      </x:c>
      <x:c r="J3366" t="n">
        <x:f>ROUND(F3366*I3366/100,2)</x:f>
        <x:v>3.51</x:v>
      </x:c>
      <x:c r="K3366" t="n">
        <x:v>23.5</x:v>
      </x:c>
      <x:c r="L3366" t="n">
        <x:f>ROUND(F3366*K3366/100,2)</x:f>
        <x:v>31.73</x:v>
      </x:c>
      <x:c r="M3366" t="n">
        <x:v>0.9</x:v>
      </x:c>
      <x:c r="N3366" t="n">
        <x:f>ROUND(F3366*M3366/100,2)</x:f>
        <x:v>1.22</x:v>
      </x:c>
      <x:c r="O3366" t="str">
        <x:v>熟重</x:v>
      </x:c>
    </x:row>
    <x:row r="3367" ht="23" customHeight="1">
      <x:c r="A3367" t="n">
        <x:v>561</x:v>
      </x:c>
      <x:c r="B3367" t="n">
        <x:v>281</x:v>
      </x:c>
      <x:c r="C3367" t="str">
        <x:v>午餐</x:v>
      </x:c>
      <x:c r="D3367" t="str">
        <x:v>油脂</x:v>
      </x:c>
      <x:c r="E3367" t="str">
        <x:v>烹调油</x:v>
      </x:c>
      <x:c r="F3367" t="n">
        <x:v>4</x:v>
      </x:c>
      <x:c r="G3367" t="n">
        <x:v>900</x:v>
      </x:c>
      <x:c r="H3367" t="n">
        <x:f>ROUND(F3367*G3367/100,2)</x:f>
        <x:v>36</x:v>
      </x:c>
      <x:c r="I3367" t="n">
        <x:v>0</x:v>
      </x:c>
      <x:c r="J3367" t="n">
        <x:f>ROUND(F3367*I3367/100,2)</x:f>
        <x:v>0</x:v>
      </x:c>
      <x:c r="K3367" t="n">
        <x:v>0</x:v>
      </x:c>
      <x:c r="L3367" t="n">
        <x:f>ROUND(F3367*K3367/100,2)</x:f>
        <x:v>0</x:v>
      </x:c>
      <x:c r="M3367" t="n">
        <x:v>100</x:v>
      </x:c>
      <x:c r="N3367" t="n">
        <x:f>ROUND(F3367*M3367/100,2)</x:f>
        <x:v>4</x:v>
      </x:c>
      <x:c r="O3367" t="str">
        <x:v>实际用油重</x:v>
      </x:c>
    </x:row>
    <x:row r="3368" ht="23" customHeight="1">
      <x:c r="A3368" t="n">
        <x:v>562</x:v>
      </x:c>
      <x:c r="B3368" t="n">
        <x:v>281</x:v>
      </x:c>
      <x:c r="C3368" t="str">
        <x:v>晚餐</x:v>
      </x:c>
      <x:c r="D3368" t="str">
        <x:v>禽肉</x:v>
      </x:c>
      <x:c r="E3368" t="str">
        <x:v>鸡里脊肉</x:v>
      </x:c>
      <x:c r="F3368" t="n">
        <x:v>145</x:v>
      </x:c>
      <x:c r="G3368" t="n">
        <x:v>110</x:v>
      </x:c>
      <x:c r="H3368" t="n">
        <x:f>ROUND(F3368*G3368/100,2)</x:f>
        <x:v>159.5</x:v>
      </x:c>
      <x:c r="I3368" t="n">
        <x:v>23</x:v>
      </x:c>
      <x:c r="J3368" t="n">
        <x:f>ROUND(F3368*I3368/100,2)</x:f>
        <x:v>33.35</x:v>
      </x:c>
      <x:c r="K3368" t="n">
        <x:v>0</x:v>
      </x:c>
      <x:c r="L3368" t="n">
        <x:f>ROUND(F3368*K3368/100,2)</x:f>
        <x:v>0</x:v>
      </x:c>
      <x:c r="M3368" t="n">
        <x:v>1.8</x:v>
      </x:c>
      <x:c r="N3368" t="n">
        <x:f>ROUND(F3368*M3368/100,2)</x:f>
        <x:v>2.61</x:v>
      </x:c>
      <x:c r="O3368" t="str">
        <x:v>生重</x:v>
      </x:c>
    </x:row>
    <x:row r="3369" ht="23" customHeight="1">
      <x:c r="A3369" t="n">
        <x:v>562</x:v>
      </x:c>
      <x:c r="B3369" t="n">
        <x:v>281</x:v>
      </x:c>
      <x:c r="C3369" t="str">
        <x:v>晚餐</x:v>
      </x:c>
      <x:c r="D3369" t="str"/>
      <x:c r="E3369" t="str"/>
      <x:c r="F3369" t="n">
        <x:v>0</x:v>
      </x:c>
      <x:c r="G3369" t="n">
        <x:v>0</x:v>
      </x:c>
      <x:c r="H3369" t="n">
        <x:f>ROUND(F3369*G3369/100,2)</x:f>
        <x:v>0</x:v>
      </x:c>
      <x:c r="I3369" t="n">
        <x:v>0</x:v>
      </x:c>
      <x:c r="J3369" t="n">
        <x:f>ROUND(F3369*I3369/100,2)</x:f>
        <x:v>0</x:v>
      </x:c>
      <x:c r="K3369" t="n">
        <x:v>0</x:v>
      </x:c>
      <x:c r="L3369" t="n">
        <x:f>ROUND(F3369*K3369/100,2)</x:f>
        <x:v>0</x:v>
      </x:c>
      <x:c r="M3369" t="n">
        <x:v>0</x:v>
      </x:c>
      <x:c r="N3369" t="n">
        <x:f>ROUND(F3369*M3369/100,2)</x:f>
        <x:v>0</x:v>
      </x:c>
      <x:c r="O3369" t="str"/>
    </x:row>
    <x:row r="3370" ht="23" customHeight="1">
      <x:c r="A3370" t="n">
        <x:v>562</x:v>
      </x:c>
      <x:c r="B3370" t="n">
        <x:v>281</x:v>
      </x:c>
      <x:c r="C3370" t="str">
        <x:v>晚餐</x:v>
      </x:c>
      <x:c r="D3370" t="str">
        <x:v>蔬菜</x:v>
      </x:c>
      <x:c r="E3370" t="str">
        <x:v>紫甘蓝</x:v>
      </x:c>
      <x:c r="F3370" t="n">
        <x:v>140</x:v>
      </x:c>
      <x:c r="G3370" t="n">
        <x:v>31</x:v>
      </x:c>
      <x:c r="H3370" t="n">
        <x:f>ROUND(F3370*G3370/100,2)</x:f>
        <x:v>43.4</x:v>
      </x:c>
      <x:c r="I3370" t="n">
        <x:v>1.4</x:v>
      </x:c>
      <x:c r="J3370" t="n">
        <x:f>ROUND(F3370*I3370/100,2)</x:f>
        <x:v>1.96</x:v>
      </x:c>
      <x:c r="K3370" t="n">
        <x:v>7.3</x:v>
      </x:c>
      <x:c r="L3370" t="n">
        <x:f>ROUND(F3370*K3370/100,2)</x:f>
        <x:v>10.22</x:v>
      </x:c>
      <x:c r="M3370" t="n">
        <x:v>0.1</x:v>
      </x:c>
      <x:c r="N3370" t="n">
        <x:f>ROUND(F3370*M3370/100,2)</x:f>
        <x:v>0.14</x:v>
      </x:c>
      <x:c r="O3370" t="str">
        <x:v>生重</x:v>
      </x:c>
    </x:row>
    <x:row r="3371" ht="23" customHeight="1">
      <x:c r="A3371" t="n">
        <x:v>562</x:v>
      </x:c>
      <x:c r="B3371" t="n">
        <x:v>281</x:v>
      </x:c>
      <x:c r="C3371" t="str">
        <x:v>晚餐</x:v>
      </x:c>
      <x:c r="D3371" t="str">
        <x:v>蔬菜</x:v>
      </x:c>
      <x:c r="E3371" t="str">
        <x:v>西兰花</x:v>
      </x:c>
      <x:c r="F3371" t="n">
        <x:v>110</x:v>
      </x:c>
      <x:c r="G3371" t="n">
        <x:v>34</x:v>
      </x:c>
      <x:c r="H3371" t="n">
        <x:f>ROUND(F3371*G3371/100,2)</x:f>
        <x:v>37.4</x:v>
      </x:c>
      <x:c r="I3371" t="n">
        <x:v>2.8</x:v>
      </x:c>
      <x:c r="J3371" t="n">
        <x:f>ROUND(F3371*I3371/100,2)</x:f>
        <x:v>3.08</x:v>
      </x:c>
      <x:c r="K3371" t="n">
        <x:v>7</x:v>
      </x:c>
      <x:c r="L3371" t="n">
        <x:f>ROUND(F3371*K3371/100,2)</x:f>
        <x:v>7.7</x:v>
      </x:c>
      <x:c r="M3371" t="n">
        <x:v>0.4</x:v>
      </x:c>
      <x:c r="N3371" t="n">
        <x:f>ROUND(F3371*M3371/100,2)</x:f>
        <x:v>0.44</x:v>
      </x:c>
      <x:c r="O3371" t="str">
        <x:v>生重</x:v>
      </x:c>
    </x:row>
    <x:row r="3372" ht="23" customHeight="1">
      <x:c r="A3372" t="n">
        <x:v>562</x:v>
      </x:c>
      <x:c r="B3372" t="n">
        <x:v>281</x:v>
      </x:c>
      <x:c r="C3372" t="str">
        <x:v>晚餐</x:v>
      </x:c>
      <x:c r="D3372" t="str">
        <x:v>主食</x:v>
      </x:c>
      <x:c r="E3372" t="str">
        <x:v>荞麦面</x:v>
      </x:c>
      <x:c r="F3372" t="n">
        <x:v>100</x:v>
      </x:c>
      <x:c r="G3372" t="n">
        <x:v>105</x:v>
      </x:c>
      <x:c r="H3372" t="n">
        <x:f>ROUND(F3372*G3372/100,2)</x:f>
        <x:v>105</x:v>
      </x:c>
      <x:c r="I3372" t="n">
        <x:v>4</x:v>
      </x:c>
      <x:c r="J3372" t="n">
        <x:f>ROUND(F3372*I3372/100,2)</x:f>
        <x:v>4</x:v>
      </x:c>
      <x:c r="K3372" t="n">
        <x:v>21</x:v>
      </x:c>
      <x:c r="L3372" t="n">
        <x:f>ROUND(F3372*K3372/100,2)</x:f>
        <x:v>21</x:v>
      </x:c>
      <x:c r="M3372" t="n">
        <x:v>0.7</x:v>
      </x:c>
      <x:c r="N3372" t="n">
        <x:f>ROUND(F3372*M3372/100,2)</x:f>
        <x:v>0.7</x:v>
      </x:c>
      <x:c r="O3372" t="str">
        <x:v>煮熟沥水重</x:v>
      </x:c>
    </x:row>
    <x:row r="3373" ht="23" customHeight="1">
      <x:c r="A3373" t="n">
        <x:v>562</x:v>
      </x:c>
      <x:c r="B3373" t="n">
        <x:v>281</x:v>
      </x:c>
      <x:c r="C3373" t="str">
        <x:v>晚餐</x:v>
      </x:c>
      <x:c r="D3373" t="str">
        <x:v>油脂</x:v>
      </x:c>
      <x:c r="E3373" t="str">
        <x:v>烹调油</x:v>
      </x:c>
      <x:c r="F3373" t="n">
        <x:v>3</x:v>
      </x:c>
      <x:c r="G3373" t="n">
        <x:v>900</x:v>
      </x:c>
      <x:c r="H3373" t="n">
        <x:f>ROUND(F3373*G3373/100,2)</x:f>
        <x:v>27</x:v>
      </x:c>
      <x:c r="I3373" t="n">
        <x:v>0</x:v>
      </x:c>
      <x:c r="J3373" t="n">
        <x:f>ROUND(F3373*I3373/100,2)</x:f>
        <x:v>0</x:v>
      </x:c>
      <x:c r="K3373" t="n">
        <x:v>0</x:v>
      </x:c>
      <x:c r="L3373" t="n">
        <x:f>ROUND(F3373*K3373/100,2)</x:f>
        <x:v>0</x:v>
      </x:c>
      <x:c r="M3373" t="n">
        <x:v>100</x:v>
      </x:c>
      <x:c r="N3373" t="n">
        <x:f>ROUND(F3373*M3373/100,2)</x:f>
        <x:v>3</x:v>
      </x:c>
      <x:c r="O3373" t="str">
        <x:v>实际用油重</x:v>
      </x:c>
    </x:row>
    <x:row r="3374" ht="23" customHeight="1">
      <x:c r="A3374" t="n">
        <x:v>563</x:v>
      </x:c>
      <x:c r="B3374" t="n">
        <x:v>282</x:v>
      </x:c>
      <x:c r="C3374" t="str">
        <x:v>午餐</x:v>
      </x:c>
      <x:c r="D3374" t="str">
        <x:v>加工肉</x:v>
      </x:c>
      <x:c r="E3374" t="str">
        <x:v>低盐火腿</x:v>
      </x:c>
      <x:c r="F3374" t="n">
        <x:v>45</x:v>
      </x:c>
      <x:c r="G3374" t="n">
        <x:v>160</x:v>
      </x:c>
      <x:c r="H3374" t="n">
        <x:f>ROUND(F3374*G3374/100,2)</x:f>
        <x:v>72</x:v>
      </x:c>
      <x:c r="I3374" t="n">
        <x:v>14</x:v>
      </x:c>
      <x:c r="J3374" t="n">
        <x:f>ROUND(F3374*I3374/100,2)</x:f>
        <x:v>6.3</x:v>
      </x:c>
      <x:c r="K3374" t="n">
        <x:v>5</x:v>
      </x:c>
      <x:c r="L3374" t="n">
        <x:f>ROUND(F3374*K3374/100,2)</x:f>
        <x:v>2.25</x:v>
      </x:c>
      <x:c r="M3374" t="n">
        <x:v>9</x:v>
      </x:c>
      <x:c r="N3374" t="n">
        <x:f>ROUND(F3374*M3374/100,2)</x:f>
        <x:v>4.05</x:v>
      </x:c>
      <x:c r="O3374" t="str">
        <x:v>以品牌标签为准</x:v>
      </x:c>
    </x:row>
    <x:row r="3375" ht="23" customHeight="1">
      <x:c r="A3375" t="n">
        <x:v>563</x:v>
      </x:c>
      <x:c r="B3375" t="n">
        <x:v>282</x:v>
      </x:c>
      <x:c r="C3375" t="str">
        <x:v>午餐</x:v>
      </x:c>
      <x:c r="D3375" t="str">
        <x:v>豆蛋</x:v>
      </x:c>
      <x:c r="E3375" t="str">
        <x:v>鸡蛋</x:v>
      </x:c>
      <x:c r="F3375" t="n">
        <x:v>60</x:v>
      </x:c>
      <x:c r="G3375" t="n">
        <x:v>144</x:v>
      </x:c>
      <x:c r="H3375" t="n">
        <x:f>ROUND(F3375*G3375/100,2)</x:f>
        <x:v>86.4</x:v>
      </x:c>
      <x:c r="I3375" t="n">
        <x:v>13</x:v>
      </x:c>
      <x:c r="J3375" t="n">
        <x:f>ROUND(F3375*I3375/100,2)</x:f>
        <x:v>7.8</x:v>
      </x:c>
      <x:c r="K3375" t="n">
        <x:v>1.1</x:v>
      </x:c>
      <x:c r="L3375" t="n">
        <x:f>ROUND(F3375*K3375/100,2)</x:f>
        <x:v>0.66</x:v>
      </x:c>
      <x:c r="M3375" t="n">
        <x:v>10</x:v>
      </x:c>
      <x:c r="N3375" t="n">
        <x:f>ROUND(F3375*M3375/100,2)</x:f>
        <x:v>6</x:v>
      </x:c>
      <x:c r="O3375" t="str">
        <x:v>去壳可食重</x:v>
      </x:c>
    </x:row>
    <x:row r="3376" ht="23" customHeight="1">
      <x:c r="A3376" t="n">
        <x:v>563</x:v>
      </x:c>
      <x:c r="B3376" t="n">
        <x:v>282</x:v>
      </x:c>
      <x:c r="C3376" t="str">
        <x:v>午餐</x:v>
      </x:c>
      <x:c r="D3376" t="str">
        <x:v>蔬菜</x:v>
      </x:c>
      <x:c r="E3376" t="str">
        <x:v>冬瓜</x:v>
      </x:c>
      <x:c r="F3376" t="n">
        <x:v>190</x:v>
      </x:c>
      <x:c r="G3376" t="n">
        <x:v>13</x:v>
      </x:c>
      <x:c r="H3376" t="n">
        <x:f>ROUND(F3376*G3376/100,2)</x:f>
        <x:v>24.7</x:v>
      </x:c>
      <x:c r="I3376" t="n">
        <x:v>0.4</x:v>
      </x:c>
      <x:c r="J3376" t="n">
        <x:f>ROUND(F3376*I3376/100,2)</x:f>
        <x:v>0.76</x:v>
      </x:c>
      <x:c r="K3376" t="n">
        <x:v>3</x:v>
      </x:c>
      <x:c r="L3376" t="n">
        <x:f>ROUND(F3376*K3376/100,2)</x:f>
        <x:v>5.7</x:v>
      </x:c>
      <x:c r="M3376" t="n">
        <x:v>0.2</x:v>
      </x:c>
      <x:c r="N3376" t="n">
        <x:f>ROUND(F3376*M3376/100,2)</x:f>
        <x:v>0.38</x:v>
      </x:c>
      <x:c r="O3376" t="str">
        <x:v>生重</x:v>
      </x:c>
    </x:row>
    <x:row r="3377" ht="23" customHeight="1">
      <x:c r="A3377" t="n">
        <x:v>563</x:v>
      </x:c>
      <x:c r="B3377" t="n">
        <x:v>282</x:v>
      </x:c>
      <x:c r="C3377" t="str">
        <x:v>午餐</x:v>
      </x:c>
      <x:c r="D3377" t="str">
        <x:v>蔬菜</x:v>
      </x:c>
      <x:c r="E3377" t="str">
        <x:v>芦笋</x:v>
      </x:c>
      <x:c r="F3377" t="n">
        <x:v>110</x:v>
      </x:c>
      <x:c r="G3377" t="n">
        <x:v>20</x:v>
      </x:c>
      <x:c r="H3377" t="n">
        <x:f>ROUND(F3377*G3377/100,2)</x:f>
        <x:v>22</x:v>
      </x:c>
      <x:c r="I3377" t="n">
        <x:v>2.2</x:v>
      </x:c>
      <x:c r="J3377" t="n">
        <x:f>ROUND(F3377*I3377/100,2)</x:f>
        <x:v>2.42</x:v>
      </x:c>
      <x:c r="K3377" t="n">
        <x:v>3.9</x:v>
      </x:c>
      <x:c r="L3377" t="n">
        <x:f>ROUND(F3377*K3377/100,2)</x:f>
        <x:v>4.29</x:v>
      </x:c>
      <x:c r="M3377" t="n">
        <x:v>0.1</x:v>
      </x:c>
      <x:c r="N3377" t="n">
        <x:f>ROUND(F3377*M3377/100,2)</x:f>
        <x:v>0.11</x:v>
      </x:c>
      <x:c r="O3377" t="str">
        <x:v>生重</x:v>
      </x:c>
    </x:row>
    <x:row r="3378" ht="23" customHeight="1">
      <x:c r="A3378" t="n">
        <x:v>563</x:v>
      </x:c>
      <x:c r="B3378" t="n">
        <x:v>282</x:v>
      </x:c>
      <x:c r="C3378" t="str">
        <x:v>午餐</x:v>
      </x:c>
      <x:c r="D3378" t="str">
        <x:v>主食</x:v>
      </x:c>
      <x:c r="E3378" t="str">
        <x:v>全麦面</x:v>
      </x:c>
      <x:c r="F3378" t="n">
        <x:v>125</x:v>
      </x:c>
      <x:c r="G3378" t="n">
        <x:v>124</x:v>
      </x:c>
      <x:c r="H3378" t="n">
        <x:f>ROUND(F3378*G3378/100,2)</x:f>
        <x:v>155</x:v>
      </x:c>
      <x:c r="I3378" t="n">
        <x:v>5</x:v>
      </x:c>
      <x:c r="J3378" t="n">
        <x:f>ROUND(F3378*I3378/100,2)</x:f>
        <x:v>6.25</x:v>
      </x:c>
      <x:c r="K3378" t="n">
        <x:v>25</x:v>
      </x:c>
      <x:c r="L3378" t="n">
        <x:f>ROUND(F3378*K3378/100,2)</x:f>
        <x:v>31.25</x:v>
      </x:c>
      <x:c r="M3378" t="n">
        <x:v>1.1</x:v>
      </x:c>
      <x:c r="N3378" t="n">
        <x:f>ROUND(F3378*M3378/100,2)</x:f>
        <x:v>1.38</x:v>
      </x:c>
      <x:c r="O3378" t="str">
        <x:v>煮熟沥水重</x:v>
      </x:c>
    </x:row>
    <x:row r="3379" ht="23" customHeight="1">
      <x:c r="A3379" t="n">
        <x:v>563</x:v>
      </x:c>
      <x:c r="B3379" t="n">
        <x:v>282</x:v>
      </x:c>
      <x:c r="C3379" t="str">
        <x:v>午餐</x:v>
      </x:c>
      <x:c r="D3379" t="str">
        <x:v>油脂</x:v>
      </x:c>
      <x:c r="E3379" t="str">
        <x:v>烹调油</x:v>
      </x:c>
      <x:c r="F3379" t="n">
        <x:v>3</x:v>
      </x:c>
      <x:c r="G3379" t="n">
        <x:v>900</x:v>
      </x:c>
      <x:c r="H3379" t="n">
        <x:f>ROUND(F3379*G3379/100,2)</x:f>
        <x:v>27</x:v>
      </x:c>
      <x:c r="I3379" t="n">
        <x:v>0</x:v>
      </x:c>
      <x:c r="J3379" t="n">
        <x:f>ROUND(F3379*I3379/100,2)</x:f>
        <x:v>0</x:v>
      </x:c>
      <x:c r="K3379" t="n">
        <x:v>0</x:v>
      </x:c>
      <x:c r="L3379" t="n">
        <x:f>ROUND(F3379*K3379/100,2)</x:f>
        <x:v>0</x:v>
      </x:c>
      <x:c r="M3379" t="n">
        <x:v>100</x:v>
      </x:c>
      <x:c r="N3379" t="n">
        <x:f>ROUND(F3379*M3379/100,2)</x:f>
        <x:v>3</x:v>
      </x:c>
      <x:c r="O3379" t="str">
        <x:v>实际用油重</x:v>
      </x:c>
    </x:row>
    <x:row r="3380" ht="23" customHeight="1">
      <x:c r="A3380" t="n">
        <x:v>564</x:v>
      </x:c>
      <x:c r="B3380" t="n">
        <x:v>282</x:v>
      </x:c>
      <x:c r="C3380" t="str">
        <x:v>晚餐</x:v>
      </x:c>
      <x:c r="D3380" t="str">
        <x:v>豆蛋</x:v>
      </x:c>
      <x:c r="E3380" t="str">
        <x:v>鸡蛋</x:v>
      </x:c>
      <x:c r="F3380" t="n">
        <x:v>100</x:v>
      </x:c>
      <x:c r="G3380" t="n">
        <x:v>144</x:v>
      </x:c>
      <x:c r="H3380" t="n">
        <x:f>ROUND(F3380*G3380/100,2)</x:f>
        <x:v>144</x:v>
      </x:c>
      <x:c r="I3380" t="n">
        <x:v>13</x:v>
      </x:c>
      <x:c r="J3380" t="n">
        <x:f>ROUND(F3380*I3380/100,2)</x:f>
        <x:v>13</x:v>
      </x:c>
      <x:c r="K3380" t="n">
        <x:v>1.1</x:v>
      </x:c>
      <x:c r="L3380" t="n">
        <x:f>ROUND(F3380*K3380/100,2)</x:f>
        <x:v>1.1</x:v>
      </x:c>
      <x:c r="M3380" t="n">
        <x:v>10</x:v>
      </x:c>
      <x:c r="N3380" t="n">
        <x:f>ROUND(F3380*M3380/100,2)</x:f>
        <x:v>10</x:v>
      </x:c>
      <x:c r="O3380" t="str">
        <x:v>去壳可食重</x:v>
      </x:c>
    </x:row>
    <x:row r="3381" ht="23" customHeight="1">
      <x:c r="A3381" t="n">
        <x:v>564</x:v>
      </x:c>
      <x:c r="B3381" t="n">
        <x:v>282</x:v>
      </x:c>
      <x:c r="C3381" t="str">
        <x:v>晚餐</x:v>
      </x:c>
      <x:c r="D3381" t="str">
        <x:v>豆蛋</x:v>
      </x:c>
      <x:c r="E3381" t="str">
        <x:v>北豆腐</x:v>
      </x:c>
      <x:c r="F3381" t="n">
        <x:v>110</x:v>
      </x:c>
      <x:c r="G3381" t="n">
        <x:v>90</x:v>
      </x:c>
      <x:c r="H3381" t="n">
        <x:f>ROUND(F3381*G3381/100,2)</x:f>
        <x:v>99</x:v>
      </x:c>
      <x:c r="I3381" t="n">
        <x:v>10</x:v>
      </x:c>
      <x:c r="J3381" t="n">
        <x:f>ROUND(F3381*I3381/100,2)</x:f>
        <x:v>11</x:v>
      </x:c>
      <x:c r="K3381" t="n">
        <x:v>2</x:v>
      </x:c>
      <x:c r="L3381" t="n">
        <x:f>ROUND(F3381*K3381/100,2)</x:f>
        <x:v>2.2</x:v>
      </x:c>
      <x:c r="M3381" t="n">
        <x:v>5</x:v>
      </x:c>
      <x:c r="N3381" t="n">
        <x:f>ROUND(F3381*M3381/100,2)</x:f>
        <x:v>5.5</x:v>
      </x:c>
      <x:c r="O3381" t="str">
        <x:v>净重</x:v>
      </x:c>
    </x:row>
    <x:row r="3382" ht="23" customHeight="1">
      <x:c r="A3382" t="n">
        <x:v>564</x:v>
      </x:c>
      <x:c r="B3382" t="n">
        <x:v>282</x:v>
      </x:c>
      <x:c r="C3382" t="str">
        <x:v>晚餐</x:v>
      </x:c>
      <x:c r="D3382" t="str">
        <x:v>蔬菜</x:v>
      </x:c>
      <x:c r="E3382" t="str">
        <x:v>苦瓜</x:v>
      </x:c>
      <x:c r="F3382" t="n">
        <x:v>140</x:v>
      </x:c>
      <x:c r="G3382" t="n">
        <x:v>19</x:v>
      </x:c>
      <x:c r="H3382" t="n">
        <x:f>ROUND(F3382*G3382/100,2)</x:f>
        <x:v>26.6</x:v>
      </x:c>
      <x:c r="I3382" t="n">
        <x:v>1</x:v>
      </x:c>
      <x:c r="J3382" t="n">
        <x:f>ROUND(F3382*I3382/100,2)</x:f>
        <x:v>1.4</x:v>
      </x:c>
      <x:c r="K3382" t="n">
        <x:v>4.1</x:v>
      </x:c>
      <x:c r="L3382" t="n">
        <x:f>ROUND(F3382*K3382/100,2)</x:f>
        <x:v>5.74</x:v>
      </x:c>
      <x:c r="M3382" t="n">
        <x:v>0.2</x:v>
      </x:c>
      <x:c r="N3382" t="n">
        <x:f>ROUND(F3382*M3382/100,2)</x:f>
        <x:v>0.28</x:v>
      </x:c>
      <x:c r="O3382" t="str">
        <x:v>生重</x:v>
      </x:c>
    </x:row>
    <x:row r="3383" ht="23" customHeight="1">
      <x:c r="A3383" t="n">
        <x:v>564</x:v>
      </x:c>
      <x:c r="B3383" t="n">
        <x:v>282</x:v>
      </x:c>
      <x:c r="C3383" t="str">
        <x:v>晚餐</x:v>
      </x:c>
      <x:c r="D3383" t="str">
        <x:v>菌菇</x:v>
      </x:c>
      <x:c r="E3383" t="str">
        <x:v>口蘑</x:v>
      </x:c>
      <x:c r="F3383" t="n">
        <x:v>125</x:v>
      </x:c>
      <x:c r="G3383" t="n">
        <x:v>22</x:v>
      </x:c>
      <x:c r="H3383" t="n">
        <x:f>ROUND(F3383*G3383/100,2)</x:f>
        <x:v>27.5</x:v>
      </x:c>
      <x:c r="I3383" t="n">
        <x:v>3.1</x:v>
      </x:c>
      <x:c r="J3383" t="n">
        <x:f>ROUND(F3383*I3383/100,2)</x:f>
        <x:v>3.88</x:v>
      </x:c>
      <x:c r="K3383" t="n">
        <x:v>3.3</x:v>
      </x:c>
      <x:c r="L3383" t="n">
        <x:f>ROUND(F3383*K3383/100,2)</x:f>
        <x:v>4.13</x:v>
      </x:c>
      <x:c r="M3383" t="n">
        <x:v>0.3</x:v>
      </x:c>
      <x:c r="N3383" t="n">
        <x:f>ROUND(F3383*M3383/100,2)</x:f>
        <x:v>0.38</x:v>
      </x:c>
      <x:c r="O3383" t="str">
        <x:v>生重</x:v>
      </x:c>
    </x:row>
    <x:row r="3384" ht="23" customHeight="1">
      <x:c r="A3384" t="n">
        <x:v>564</x:v>
      </x:c>
      <x:c r="B3384" t="n">
        <x:v>282</x:v>
      </x:c>
      <x:c r="C3384" t="str">
        <x:v>晚餐</x:v>
      </x:c>
      <x:c r="D3384" t="str">
        <x:v>主食</x:v>
      </x:c>
      <x:c r="E3384" t="str">
        <x:v>全麦面</x:v>
      </x:c>
      <x:c r="F3384" t="n">
        <x:v>135</x:v>
      </x:c>
      <x:c r="G3384" t="n">
        <x:v>124</x:v>
      </x:c>
      <x:c r="H3384" t="n">
        <x:f>ROUND(F3384*G3384/100,2)</x:f>
        <x:v>167.4</x:v>
      </x:c>
      <x:c r="I3384" t="n">
        <x:v>5</x:v>
      </x:c>
      <x:c r="J3384" t="n">
        <x:f>ROUND(F3384*I3384/100,2)</x:f>
        <x:v>6.75</x:v>
      </x:c>
      <x:c r="K3384" t="n">
        <x:v>25</x:v>
      </x:c>
      <x:c r="L3384" t="n">
        <x:f>ROUND(F3384*K3384/100,2)</x:f>
        <x:v>33.75</x:v>
      </x:c>
      <x:c r="M3384" t="n">
        <x:v>1.1</x:v>
      </x:c>
      <x:c r="N3384" t="n">
        <x:f>ROUND(F3384*M3384/100,2)</x:f>
        <x:v>1.49</x:v>
      </x:c>
      <x:c r="O3384" t="str">
        <x:v>煮熟沥水重</x:v>
      </x:c>
    </x:row>
    <x:row r="3385" ht="23" customHeight="1">
      <x:c r="A3385" t="n">
        <x:v>564</x:v>
      </x:c>
      <x:c r="B3385" t="n">
        <x:v>282</x:v>
      </x:c>
      <x:c r="C3385" t="str">
        <x:v>晚餐</x:v>
      </x:c>
      <x:c r="D3385" t="str">
        <x:v>油脂</x:v>
      </x:c>
      <x:c r="E3385" t="str">
        <x:v>烹调油</x:v>
      </x:c>
      <x:c r="F3385" t="n">
        <x:v>5</x:v>
      </x:c>
      <x:c r="G3385" t="n">
        <x:v>900</x:v>
      </x:c>
      <x:c r="H3385" t="n">
        <x:f>ROUND(F3385*G3385/100,2)</x:f>
        <x:v>45</x:v>
      </x:c>
      <x:c r="I3385" t="n">
        <x:v>0</x:v>
      </x:c>
      <x:c r="J3385" t="n">
        <x:f>ROUND(F3385*I3385/100,2)</x:f>
        <x:v>0</x:v>
      </x:c>
      <x:c r="K3385" t="n">
        <x:v>0</x:v>
      </x:c>
      <x:c r="L3385" t="n">
        <x:f>ROUND(F3385*K3385/100,2)</x:f>
        <x:v>0</x:v>
      </x:c>
      <x:c r="M3385" t="n">
        <x:v>100</x:v>
      </x:c>
      <x:c r="N3385" t="n">
        <x:f>ROUND(F3385*M3385/100,2)</x:f>
        <x:v>5</x:v>
      </x:c>
      <x:c r="O3385" t="str">
        <x:v>实际用油重</x:v>
      </x:c>
    </x:row>
    <x:row r="3386" ht="23" customHeight="1">
      <x:c r="A3386" t="n">
        <x:v>565</x:v>
      </x:c>
      <x:c r="B3386" t="n">
        <x:v>283</x:v>
      </x:c>
      <x:c r="C3386" t="str">
        <x:v>午餐</x:v>
      </x:c>
      <x:c r="D3386" t="str">
        <x:v>海鲜</x:v>
      </x:c>
      <x:c r="E3386" t="str">
        <x:v>扇贝肉</x:v>
      </x:c>
      <x:c r="F3386" t="n">
        <x:v>210</x:v>
      </x:c>
      <x:c r="G3386" t="n">
        <x:v>90</x:v>
      </x:c>
      <x:c r="H3386" t="n">
        <x:f>ROUND(F3386*G3386/100,2)</x:f>
        <x:v>189</x:v>
      </x:c>
      <x:c r="I3386" t="n">
        <x:v>17</x:v>
      </x:c>
      <x:c r="J3386" t="n">
        <x:f>ROUND(F3386*I3386/100,2)</x:f>
        <x:v>35.7</x:v>
      </x:c>
      <x:c r="K3386" t="n">
        <x:v>3</x:v>
      </x:c>
      <x:c r="L3386" t="n">
        <x:f>ROUND(F3386*K3386/100,2)</x:f>
        <x:v>6.3</x:v>
      </x:c>
      <x:c r="M3386" t="n">
        <x:v>0.8</x:v>
      </x:c>
      <x:c r="N3386" t="n">
        <x:f>ROUND(F3386*M3386/100,2)</x:f>
        <x:v>1.68</x:v>
      </x:c>
      <x:c r="O3386" t="str">
        <x:v>生重</x:v>
      </x:c>
    </x:row>
    <x:row r="3387" ht="23" customHeight="1">
      <x:c r="A3387" t="n">
        <x:v>565</x:v>
      </x:c>
      <x:c r="B3387" t="n">
        <x:v>283</x:v>
      </x:c>
      <x:c r="C3387" t="str">
        <x:v>午餐</x:v>
      </x:c>
      <x:c r="D3387" t="str"/>
      <x:c r="E3387" t="str"/>
      <x:c r="F3387" t="n">
        <x:v>0</x:v>
      </x:c>
      <x:c r="G3387" t="n">
        <x:v>0</x:v>
      </x:c>
      <x:c r="H3387" t="n">
        <x:f>ROUND(F3387*G3387/100,2)</x:f>
        <x:v>0</x:v>
      </x:c>
      <x:c r="I3387" t="n">
        <x:v>0</x:v>
      </x:c>
      <x:c r="J3387" t="n">
        <x:f>ROUND(F3387*I3387/100,2)</x:f>
        <x:v>0</x:v>
      </x:c>
      <x:c r="K3387" t="n">
        <x:v>0</x:v>
      </x:c>
      <x:c r="L3387" t="n">
        <x:f>ROUND(F3387*K3387/100,2)</x:f>
        <x:v>0</x:v>
      </x:c>
      <x:c r="M3387" t="n">
        <x:v>0</x:v>
      </x:c>
      <x:c r="N3387" t="n">
        <x:f>ROUND(F3387*M3387/100,2)</x:f>
        <x:v>0</x:v>
      </x:c>
      <x:c r="O3387" t="str"/>
    </x:row>
    <x:row r="3388" ht="23" customHeight="1">
      <x:c r="A3388" t="n">
        <x:v>565</x:v>
      </x:c>
      <x:c r="B3388" t="n">
        <x:v>283</x:v>
      </x:c>
      <x:c r="C3388" t="str">
        <x:v>午餐</x:v>
      </x:c>
      <x:c r="D3388" t="str">
        <x:v>蔬菜</x:v>
      </x:c>
      <x:c r="E3388" t="str">
        <x:v>小白菜</x:v>
      </x:c>
      <x:c r="F3388" t="n">
        <x:v>190</x:v>
      </x:c>
      <x:c r="G3388" t="n">
        <x:v>17</x:v>
      </x:c>
      <x:c r="H3388" t="n">
        <x:f>ROUND(F3388*G3388/100,2)</x:f>
        <x:v>32.3</x:v>
      </x:c>
      <x:c r="I3388" t="n">
        <x:v>1.6</x:v>
      </x:c>
      <x:c r="J3388" t="n">
        <x:f>ROUND(F3388*I3388/100,2)</x:f>
        <x:v>3.04</x:v>
      </x:c>
      <x:c r="K3388" t="n">
        <x:v>2.8</x:v>
      </x:c>
      <x:c r="L3388" t="n">
        <x:f>ROUND(F3388*K3388/100,2)</x:f>
        <x:v>5.32</x:v>
      </x:c>
      <x:c r="M3388" t="n">
        <x:v>0.2</x:v>
      </x:c>
      <x:c r="N3388" t="n">
        <x:f>ROUND(F3388*M3388/100,2)</x:f>
        <x:v>0.38</x:v>
      </x:c>
      <x:c r="O3388" t="str">
        <x:v>生重</x:v>
      </x:c>
    </x:row>
    <x:row r="3389" ht="23" customHeight="1">
      <x:c r="A3389" t="n">
        <x:v>565</x:v>
      </x:c>
      <x:c r="B3389" t="n">
        <x:v>283</x:v>
      </x:c>
      <x:c r="C3389" t="str">
        <x:v>午餐</x:v>
      </x:c>
      <x:c r="D3389" t="str">
        <x:v>菌菇</x:v>
      </x:c>
      <x:c r="E3389" t="str">
        <x:v>香菇</x:v>
      </x:c>
      <x:c r="F3389" t="n">
        <x:v>110</x:v>
      </x:c>
      <x:c r="G3389" t="n">
        <x:v>34</x:v>
      </x:c>
      <x:c r="H3389" t="n">
        <x:f>ROUND(F3389*G3389/100,2)</x:f>
        <x:v>37.4</x:v>
      </x:c>
      <x:c r="I3389" t="n">
        <x:v>2.2</x:v>
      </x:c>
      <x:c r="J3389" t="n">
        <x:f>ROUND(F3389*I3389/100,2)</x:f>
        <x:v>2.42</x:v>
      </x:c>
      <x:c r="K3389" t="n">
        <x:v>6.8</x:v>
      </x:c>
      <x:c r="L3389" t="n">
        <x:f>ROUND(F3389*K3389/100,2)</x:f>
        <x:v>7.48</x:v>
      </x:c>
      <x:c r="M3389" t="n">
        <x:v>0.5</x:v>
      </x:c>
      <x:c r="N3389" t="n">
        <x:f>ROUND(F3389*M3389/100,2)</x:f>
        <x:v>0.55</x:v>
      </x:c>
      <x:c r="O3389" t="str">
        <x:v>生重</x:v>
      </x:c>
    </x:row>
    <x:row r="3390" ht="23" customHeight="1">
      <x:c r="A3390" t="n">
        <x:v>565</x:v>
      </x:c>
      <x:c r="B3390" t="n">
        <x:v>283</x:v>
      </x:c>
      <x:c r="C3390" t="str">
        <x:v>午餐</x:v>
      </x:c>
      <x:c r="D3390" t="str">
        <x:v>主食</x:v>
      </x:c>
      <x:c r="E3390" t="str">
        <x:v>乌冬面</x:v>
      </x:c>
      <x:c r="F3390" t="n">
        <x:v>135</x:v>
      </x:c>
      <x:c r="G3390" t="n">
        <x:v>120</x:v>
      </x:c>
      <x:c r="H3390" t="n">
        <x:f>ROUND(F3390*G3390/100,2)</x:f>
        <x:v>162</x:v>
      </x:c>
      <x:c r="I3390" t="n">
        <x:v>2.5</x:v>
      </x:c>
      <x:c r="J3390" t="n">
        <x:f>ROUND(F3390*I3390/100,2)</x:f>
        <x:v>3.38</x:v>
      </x:c>
      <x:c r="K3390" t="n">
        <x:v>25</x:v>
      </x:c>
      <x:c r="L3390" t="n">
        <x:f>ROUND(F3390*K3390/100,2)</x:f>
        <x:v>33.75</x:v>
      </x:c>
      <x:c r="M3390" t="n">
        <x:v>0.6</x:v>
      </x:c>
      <x:c r="N3390" t="n">
        <x:f>ROUND(F3390*M3390/100,2)</x:f>
        <x:v>0.81</x:v>
      </x:c>
      <x:c r="O3390" t="str">
        <x:v>煮熟沥水重</x:v>
      </x:c>
    </x:row>
    <x:row r="3391" ht="23" customHeight="1">
      <x:c r="A3391" t="n">
        <x:v>565</x:v>
      </x:c>
      <x:c r="B3391" t="n">
        <x:v>283</x:v>
      </x:c>
      <x:c r="C3391" t="str">
        <x:v>午餐</x:v>
      </x:c>
      <x:c r="D3391" t="str">
        <x:v>油脂</x:v>
      </x:c>
      <x:c r="E3391" t="str">
        <x:v>烹调油</x:v>
      </x:c>
      <x:c r="F3391" t="n">
        <x:v>3</x:v>
      </x:c>
      <x:c r="G3391" t="n">
        <x:v>900</x:v>
      </x:c>
      <x:c r="H3391" t="n">
        <x:f>ROUND(F3391*G3391/100,2)</x:f>
        <x:v>27</x:v>
      </x:c>
      <x:c r="I3391" t="n">
        <x:v>0</x:v>
      </x:c>
      <x:c r="J3391" t="n">
        <x:f>ROUND(F3391*I3391/100,2)</x:f>
        <x:v>0</x:v>
      </x:c>
      <x:c r="K3391" t="n">
        <x:v>0</x:v>
      </x:c>
      <x:c r="L3391" t="n">
        <x:f>ROUND(F3391*K3391/100,2)</x:f>
        <x:v>0</x:v>
      </x:c>
      <x:c r="M3391" t="n">
        <x:v>100</x:v>
      </x:c>
      <x:c r="N3391" t="n">
        <x:f>ROUND(F3391*M3391/100,2)</x:f>
        <x:v>3</x:v>
      </x:c>
      <x:c r="O3391" t="str">
        <x:v>实际用油重</x:v>
      </x:c>
    </x:row>
    <x:row r="3392" ht="23" customHeight="1">
      <x:c r="A3392" t="n">
        <x:v>566</x:v>
      </x:c>
      <x:c r="B3392" t="n">
        <x:v>283</x:v>
      </x:c>
      <x:c r="C3392" t="str">
        <x:v>晚餐</x:v>
      </x:c>
      <x:c r="D3392" t="str">
        <x:v>禽肉</x:v>
      </x:c>
      <x:c r="E3392" t="str">
        <x:v>去皮鸡腿肉</x:v>
      </x:c>
      <x:c r="F3392" t="n">
        <x:v>170</x:v>
      </x:c>
      <x:c r="G3392" t="n">
        <x:v>125</x:v>
      </x:c>
      <x:c r="H3392" t="n">
        <x:f>ROUND(F3392*G3392/100,2)</x:f>
        <x:v>212.5</x:v>
      </x:c>
      <x:c r="I3392" t="n">
        <x:v>20</x:v>
      </x:c>
      <x:c r="J3392" t="n">
        <x:f>ROUND(F3392*I3392/100,2)</x:f>
        <x:v>34</x:v>
      </x:c>
      <x:c r="K3392" t="n">
        <x:v>0</x:v>
      </x:c>
      <x:c r="L3392" t="n">
        <x:f>ROUND(F3392*K3392/100,2)</x:f>
        <x:v>0</x:v>
      </x:c>
      <x:c r="M3392" t="n">
        <x:v>5</x:v>
      </x:c>
      <x:c r="N3392" t="n">
        <x:f>ROUND(F3392*M3392/100,2)</x:f>
        <x:v>8.5</x:v>
      </x:c>
      <x:c r="O3392" t="str">
        <x:v>生重</x:v>
      </x:c>
    </x:row>
    <x:row r="3393" ht="23" customHeight="1">
      <x:c r="A3393" t="n">
        <x:v>566</x:v>
      </x:c>
      <x:c r="B3393" t="n">
        <x:v>283</x:v>
      </x:c>
      <x:c r="C3393" t="str">
        <x:v>晚餐</x:v>
      </x:c>
      <x:c r="D3393" t="str"/>
      <x:c r="E3393" t="str"/>
      <x:c r="F3393" t="n">
        <x:v>0</x:v>
      </x:c>
      <x:c r="G3393" t="n">
        <x:v>0</x:v>
      </x:c>
      <x:c r="H3393" t="n">
        <x:f>ROUND(F3393*G3393/100,2)</x:f>
        <x:v>0</x:v>
      </x:c>
      <x:c r="I3393" t="n">
        <x:v>0</x:v>
      </x:c>
      <x:c r="J3393" t="n">
        <x:f>ROUND(F3393*I3393/100,2)</x:f>
        <x:v>0</x:v>
      </x:c>
      <x:c r="K3393" t="n">
        <x:v>0</x:v>
      </x:c>
      <x:c r="L3393" t="n">
        <x:f>ROUND(F3393*K3393/100,2)</x:f>
        <x:v>0</x:v>
      </x:c>
      <x:c r="M3393" t="n">
        <x:v>0</x:v>
      </x:c>
      <x:c r="N3393" t="n">
        <x:f>ROUND(F3393*M3393/100,2)</x:f>
        <x:v>0</x:v>
      </x:c>
      <x:c r="O3393" t="str"/>
    </x:row>
    <x:row r="3394" ht="23" customHeight="1">
      <x:c r="A3394" t="n">
        <x:v>566</x:v>
      </x:c>
      <x:c r="B3394" t="n">
        <x:v>283</x:v>
      </x:c>
      <x:c r="C3394" t="str">
        <x:v>晚餐</x:v>
      </x:c>
      <x:c r="D3394" t="str">
        <x:v>蔬菜</x:v>
      </x:c>
      <x:c r="E3394" t="str">
        <x:v>彩椒</x:v>
      </x:c>
      <x:c r="F3394" t="n">
        <x:v>175</x:v>
      </x:c>
      <x:c r="G3394" t="n">
        <x:v>27</x:v>
      </x:c>
      <x:c r="H3394" t="n">
        <x:f>ROUND(F3394*G3394/100,2)</x:f>
        <x:v>47.25</x:v>
      </x:c>
      <x:c r="I3394" t="n">
        <x:v>1</x:v>
      </x:c>
      <x:c r="J3394" t="n">
        <x:f>ROUND(F3394*I3394/100,2)</x:f>
        <x:v>1.75</x:v>
      </x:c>
      <x:c r="K3394" t="n">
        <x:v>6.1</x:v>
      </x:c>
      <x:c r="L3394" t="n">
        <x:f>ROUND(F3394*K3394/100,2)</x:f>
        <x:v>10.68</x:v>
      </x:c>
      <x:c r="M3394" t="n">
        <x:v>0.2</x:v>
      </x:c>
      <x:c r="N3394" t="n">
        <x:f>ROUND(F3394*M3394/100,2)</x:f>
        <x:v>0.35</x:v>
      </x:c>
      <x:c r="O3394" t="str">
        <x:v>生重</x:v>
      </x:c>
    </x:row>
    <x:row r="3395" ht="23" customHeight="1">
      <x:c r="A3395" t="n">
        <x:v>566</x:v>
      </x:c>
      <x:c r="B3395" t="n">
        <x:v>283</x:v>
      </x:c>
      <x:c r="C3395" t="str">
        <x:v>晚餐</x:v>
      </x:c>
      <x:c r="D3395" t="str">
        <x:v>菌菇</x:v>
      </x:c>
      <x:c r="E3395" t="str">
        <x:v>香菇</x:v>
      </x:c>
      <x:c r="F3395" t="n">
        <x:v>140</x:v>
      </x:c>
      <x:c r="G3395" t="n">
        <x:v>34</x:v>
      </x:c>
      <x:c r="H3395" t="n">
        <x:f>ROUND(F3395*G3395/100,2)</x:f>
        <x:v>47.6</x:v>
      </x:c>
      <x:c r="I3395" t="n">
        <x:v>2.2</x:v>
      </x:c>
      <x:c r="J3395" t="n">
        <x:f>ROUND(F3395*I3395/100,2)</x:f>
        <x:v>3.08</x:v>
      </x:c>
      <x:c r="K3395" t="n">
        <x:v>6.8</x:v>
      </x:c>
      <x:c r="L3395" t="n">
        <x:f>ROUND(F3395*K3395/100,2)</x:f>
        <x:v>9.52</x:v>
      </x:c>
      <x:c r="M3395" t="n">
        <x:v>0.5</x:v>
      </x:c>
      <x:c r="N3395" t="n">
        <x:f>ROUND(F3395*M3395/100,2)</x:f>
        <x:v>0.7</x:v>
      </x:c>
      <x:c r="O3395" t="str">
        <x:v>生重</x:v>
      </x:c>
    </x:row>
    <x:row r="3396" ht="23" customHeight="1">
      <x:c r="A3396" t="n">
        <x:v>566</x:v>
      </x:c>
      <x:c r="B3396" t="n">
        <x:v>283</x:v>
      </x:c>
      <x:c r="C3396" t="str">
        <x:v>晚餐</x:v>
      </x:c>
      <x:c r="D3396" t="str">
        <x:v>主食</x:v>
      </x:c>
      <x:c r="E3396" t="str">
        <x:v>白米饭</x:v>
      </x:c>
      <x:c r="F3396" t="n">
        <x:v>80</x:v>
      </x:c>
      <x:c r="G3396" t="n">
        <x:v>116</x:v>
      </x:c>
      <x:c r="H3396" t="n">
        <x:f>ROUND(F3396*G3396/100,2)</x:f>
        <x:v>92.8</x:v>
      </x:c>
      <x:c r="I3396" t="n">
        <x:v>2.6</x:v>
      </x:c>
      <x:c r="J3396" t="n">
        <x:f>ROUND(F3396*I3396/100,2)</x:f>
        <x:v>2.08</x:v>
      </x:c>
      <x:c r="K3396" t="n">
        <x:v>25.6</x:v>
      </x:c>
      <x:c r="L3396" t="n">
        <x:f>ROUND(F3396*K3396/100,2)</x:f>
        <x:v>20.48</x:v>
      </x:c>
      <x:c r="M3396" t="n">
        <x:v>0.3</x:v>
      </x:c>
      <x:c r="N3396" t="n">
        <x:f>ROUND(F3396*M3396/100,2)</x:f>
        <x:v>0.24</x:v>
      </x:c>
      <x:c r="O3396" t="str">
        <x:v>熟重</x:v>
      </x:c>
    </x:row>
    <x:row r="3397" ht="23" customHeight="1">
      <x:c r="A3397" t="n">
        <x:v>566</x:v>
      </x:c>
      <x:c r="B3397" t="n">
        <x:v>283</x:v>
      </x:c>
      <x:c r="C3397" t="str">
        <x:v>晚餐</x:v>
      </x:c>
      <x:c r="D3397" t="str">
        <x:v>油脂</x:v>
      </x:c>
      <x:c r="E3397" t="str">
        <x:v>烹调油</x:v>
      </x:c>
      <x:c r="F3397" t="n">
        <x:v>4</x:v>
      </x:c>
      <x:c r="G3397" t="n">
        <x:v>900</x:v>
      </x:c>
      <x:c r="H3397" t="n">
        <x:f>ROUND(F3397*G3397/100,2)</x:f>
        <x:v>36</x:v>
      </x:c>
      <x:c r="I3397" t="n">
        <x:v>0</x:v>
      </x:c>
      <x:c r="J3397" t="n">
        <x:f>ROUND(F3397*I3397/100,2)</x:f>
        <x:v>0</x:v>
      </x:c>
      <x:c r="K3397" t="n">
        <x:v>0</x:v>
      </x:c>
      <x:c r="L3397" t="n">
        <x:f>ROUND(F3397*K3397/100,2)</x:f>
        <x:v>0</x:v>
      </x:c>
      <x:c r="M3397" t="n">
        <x:v>100</x:v>
      </x:c>
      <x:c r="N3397" t="n">
        <x:f>ROUND(F3397*M3397/100,2)</x:f>
        <x:v>4</x:v>
      </x:c>
      <x:c r="O3397" t="str">
        <x:v>实际用油重</x:v>
      </x:c>
    </x:row>
    <x:row r="3398" ht="23" customHeight="1">
      <x:c r="A3398" t="n">
        <x:v>567</x:v>
      </x:c>
      <x:c r="B3398" t="n">
        <x:v>284</x:v>
      </x:c>
      <x:c r="C3398" t="str">
        <x:v>午餐</x:v>
      </x:c>
      <x:c r="D3398" t="str">
        <x:v>海鲜</x:v>
      </x:c>
      <x:c r="E3398" t="str">
        <x:v>虾仁</x:v>
      </x:c>
      <x:c r="F3398" t="n">
        <x:v>190</x:v>
      </x:c>
      <x:c r="G3398" t="n">
        <x:v>90</x:v>
      </x:c>
      <x:c r="H3398" t="n">
        <x:f>ROUND(F3398*G3398/100,2)</x:f>
        <x:v>171</x:v>
      </x:c>
      <x:c r="I3398" t="n">
        <x:v>19</x:v>
      </x:c>
      <x:c r="J3398" t="n">
        <x:f>ROUND(F3398*I3398/100,2)</x:f>
        <x:v>36.1</x:v>
      </x:c>
      <x:c r="K3398" t="n">
        <x:v>0.4</x:v>
      </x:c>
      <x:c r="L3398" t="n">
        <x:f>ROUND(F3398*K3398/100,2)</x:f>
        <x:v>0.76</x:v>
      </x:c>
      <x:c r="M3398" t="n">
        <x:v>1.1</x:v>
      </x:c>
      <x:c r="N3398" t="n">
        <x:f>ROUND(F3398*M3398/100,2)</x:f>
        <x:v>2.09</x:v>
      </x:c>
      <x:c r="O3398" t="str">
        <x:v>生重</x:v>
      </x:c>
    </x:row>
    <x:row r="3399" ht="23" customHeight="1">
      <x:c r="A3399" t="n">
        <x:v>567</x:v>
      </x:c>
      <x:c r="B3399" t="n">
        <x:v>284</x:v>
      </x:c>
      <x:c r="C3399" t="str">
        <x:v>午餐</x:v>
      </x:c>
      <x:c r="D3399" t="str"/>
      <x:c r="E3399" t="str"/>
      <x:c r="F3399" t="n">
        <x:v>0</x:v>
      </x:c>
      <x:c r="G3399" t="n">
        <x:v>0</x:v>
      </x:c>
      <x:c r="H3399" t="n">
        <x:f>ROUND(F3399*G3399/100,2)</x:f>
        <x:v>0</x:v>
      </x:c>
      <x:c r="I3399" t="n">
        <x:v>0</x:v>
      </x:c>
      <x:c r="J3399" t="n">
        <x:f>ROUND(F3399*I3399/100,2)</x:f>
        <x:v>0</x:v>
      </x:c>
      <x:c r="K3399" t="n">
        <x:v>0</x:v>
      </x:c>
      <x:c r="L3399" t="n">
        <x:f>ROUND(F3399*K3399/100,2)</x:f>
        <x:v>0</x:v>
      </x:c>
      <x:c r="M3399" t="n">
        <x:v>0</x:v>
      </x:c>
      <x:c r="N3399" t="n">
        <x:f>ROUND(F3399*M3399/100,2)</x:f>
        <x:v>0</x:v>
      </x:c>
      <x:c r="O3399" t="str"/>
    </x:row>
    <x:row r="3400" ht="23" customHeight="1">
      <x:c r="A3400" t="n">
        <x:v>567</x:v>
      </x:c>
      <x:c r="B3400" t="n">
        <x:v>284</x:v>
      </x:c>
      <x:c r="C3400" t="str">
        <x:v>午餐</x:v>
      </x:c>
      <x:c r="D3400" t="str">
        <x:v>蔬菜</x:v>
      </x:c>
      <x:c r="E3400" t="str">
        <x:v>黄瓜</x:v>
      </x:c>
      <x:c r="F3400" t="n">
        <x:v>175</x:v>
      </x:c>
      <x:c r="G3400" t="n">
        <x:v>16</x:v>
      </x:c>
      <x:c r="H3400" t="n">
        <x:f>ROUND(F3400*G3400/100,2)</x:f>
        <x:v>28</x:v>
      </x:c>
      <x:c r="I3400" t="n">
        <x:v>0.7</x:v>
      </x:c>
      <x:c r="J3400" t="n">
        <x:f>ROUND(F3400*I3400/100,2)</x:f>
        <x:v>1.22</x:v>
      </x:c>
      <x:c r="K3400" t="n">
        <x:v>3.6</x:v>
      </x:c>
      <x:c r="L3400" t="n">
        <x:f>ROUND(F3400*K3400/100,2)</x:f>
        <x:v>6.3</x:v>
      </x:c>
      <x:c r="M3400" t="n">
        <x:v>0.1</x:v>
      </x:c>
      <x:c r="N3400" t="n">
        <x:f>ROUND(F3400*M3400/100,2)</x:f>
        <x:v>0.18</x:v>
      </x:c>
      <x:c r="O3400" t="str">
        <x:v>生重</x:v>
      </x:c>
    </x:row>
    <x:row r="3401" ht="23" customHeight="1">
      <x:c r="A3401" t="n">
        <x:v>567</x:v>
      </x:c>
      <x:c r="B3401" t="n">
        <x:v>284</x:v>
      </x:c>
      <x:c r="C3401" t="str">
        <x:v>午餐</x:v>
      </x:c>
      <x:c r="D3401" t="str">
        <x:v>蔬菜</x:v>
      </x:c>
      <x:c r="E3401" t="str">
        <x:v>玉米笋</x:v>
      </x:c>
      <x:c r="F3401" t="n">
        <x:v>155</x:v>
      </x:c>
      <x:c r="G3401" t="n">
        <x:v>26</x:v>
      </x:c>
      <x:c r="H3401" t="n">
        <x:f>ROUND(F3401*G3401/100,2)</x:f>
        <x:v>40.3</x:v>
      </x:c>
      <x:c r="I3401" t="n">
        <x:v>2</x:v>
      </x:c>
      <x:c r="J3401" t="n">
        <x:f>ROUND(F3401*I3401/100,2)</x:f>
        <x:v>3.1</x:v>
      </x:c>
      <x:c r="K3401" t="n">
        <x:v>4.9</x:v>
      </x:c>
      <x:c r="L3401" t="n">
        <x:f>ROUND(F3401*K3401/100,2)</x:f>
        <x:v>7.6</x:v>
      </x:c>
      <x:c r="M3401" t="n">
        <x:v>0.1</x:v>
      </x:c>
      <x:c r="N3401" t="n">
        <x:f>ROUND(F3401*M3401/100,2)</x:f>
        <x:v>0.16</x:v>
      </x:c>
      <x:c r="O3401" t="str">
        <x:v>生重</x:v>
      </x:c>
    </x:row>
    <x:row r="3402" ht="23" customHeight="1">
      <x:c r="A3402" t="n">
        <x:v>567</x:v>
      </x:c>
      <x:c r="B3402" t="n">
        <x:v>284</x:v>
      </x:c>
      <x:c r="C3402" t="str">
        <x:v>午餐</x:v>
      </x:c>
      <x:c r="D3402" t="str">
        <x:v>主食</x:v>
      </x:c>
      <x:c r="E3402" t="str">
        <x:v>土豆</x:v>
      </x:c>
      <x:c r="F3402" t="n">
        <x:v>130</x:v>
      </x:c>
      <x:c r="G3402" t="n">
        <x:v>78</x:v>
      </x:c>
      <x:c r="H3402" t="n">
        <x:f>ROUND(F3402*G3402/100,2)</x:f>
        <x:v>101.4</x:v>
      </x:c>
      <x:c r="I3402" t="n">
        <x:v>2</x:v>
      </x:c>
      <x:c r="J3402" t="n">
        <x:f>ROUND(F3402*I3402/100,2)</x:f>
        <x:v>2.6</x:v>
      </x:c>
      <x:c r="K3402" t="n">
        <x:v>17.2</x:v>
      </x:c>
      <x:c r="L3402" t="n">
        <x:f>ROUND(F3402*K3402/100,2)</x:f>
        <x:v>22.36</x:v>
      </x:c>
      <x:c r="M3402" t="n">
        <x:v>0.1</x:v>
      </x:c>
      <x:c r="N3402" t="n">
        <x:f>ROUND(F3402*M3402/100,2)</x:f>
        <x:v>0.13</x:v>
      </x:c>
      <x:c r="O3402" t="str">
        <x:v>蒸熟净重</x:v>
      </x:c>
    </x:row>
    <x:row r="3403" ht="23" customHeight="1">
      <x:c r="A3403" t="n">
        <x:v>567</x:v>
      </x:c>
      <x:c r="B3403" t="n">
        <x:v>284</x:v>
      </x:c>
      <x:c r="C3403" t="str">
        <x:v>午餐</x:v>
      </x:c>
      <x:c r="D3403" t="str">
        <x:v>油脂</x:v>
      </x:c>
      <x:c r="E3403" t="str">
        <x:v>烹调油</x:v>
      </x:c>
      <x:c r="F3403" t="n">
        <x:v>3</x:v>
      </x:c>
      <x:c r="G3403" t="n">
        <x:v>900</x:v>
      </x:c>
      <x:c r="H3403" t="n">
        <x:f>ROUND(F3403*G3403/100,2)</x:f>
        <x:v>27</x:v>
      </x:c>
      <x:c r="I3403" t="n">
        <x:v>0</x:v>
      </x:c>
      <x:c r="J3403" t="n">
        <x:f>ROUND(F3403*I3403/100,2)</x:f>
        <x:v>0</x:v>
      </x:c>
      <x:c r="K3403" t="n">
        <x:v>0</x:v>
      </x:c>
      <x:c r="L3403" t="n">
        <x:f>ROUND(F3403*K3403/100,2)</x:f>
        <x:v>0</x:v>
      </x:c>
      <x:c r="M3403" t="n">
        <x:v>100</x:v>
      </x:c>
      <x:c r="N3403" t="n">
        <x:f>ROUND(F3403*M3403/100,2)</x:f>
        <x:v>3</x:v>
      </x:c>
      <x:c r="O3403" t="str">
        <x:v>实际用油重</x:v>
      </x:c>
    </x:row>
    <x:row r="3404" ht="23" customHeight="1">
      <x:c r="A3404" t="n">
        <x:v>568</x:v>
      </x:c>
      <x:c r="B3404" t="n">
        <x:v>284</x:v>
      </x:c>
      <x:c r="C3404" t="str">
        <x:v>晚餐</x:v>
      </x:c>
      <x:c r="D3404" t="str">
        <x:v>豆蛋</x:v>
      </x:c>
      <x:c r="E3404" t="str">
        <x:v>北豆腐</x:v>
      </x:c>
      <x:c r="F3404" t="n">
        <x:v>300</x:v>
      </x:c>
      <x:c r="G3404" t="n">
        <x:v>90</x:v>
      </x:c>
      <x:c r="H3404" t="n">
        <x:f>ROUND(F3404*G3404/100,2)</x:f>
        <x:v>270</x:v>
      </x:c>
      <x:c r="I3404" t="n">
        <x:v>10</x:v>
      </x:c>
      <x:c r="J3404" t="n">
        <x:f>ROUND(F3404*I3404/100,2)</x:f>
        <x:v>30</x:v>
      </x:c>
      <x:c r="K3404" t="n">
        <x:v>2</x:v>
      </x:c>
      <x:c r="L3404" t="n">
        <x:f>ROUND(F3404*K3404/100,2)</x:f>
        <x:v>6</x:v>
      </x:c>
      <x:c r="M3404" t="n">
        <x:v>5</x:v>
      </x:c>
      <x:c r="N3404" t="n">
        <x:f>ROUND(F3404*M3404/100,2)</x:f>
        <x:v>15</x:v>
      </x:c>
      <x:c r="O3404" t="str">
        <x:v>净重</x:v>
      </x:c>
    </x:row>
    <x:row r="3405" ht="23" customHeight="1">
      <x:c r="A3405" t="n">
        <x:v>568</x:v>
      </x:c>
      <x:c r="B3405" t="n">
        <x:v>284</x:v>
      </x:c>
      <x:c r="C3405" t="str">
        <x:v>晚餐</x:v>
      </x:c>
      <x:c r="D3405" t="str"/>
      <x:c r="E3405" t="str"/>
      <x:c r="F3405" t="n">
        <x:v>0</x:v>
      </x:c>
      <x:c r="G3405" t="n">
        <x:v>0</x:v>
      </x:c>
      <x:c r="H3405" t="n">
        <x:f>ROUND(F3405*G3405/100,2)</x:f>
        <x:v>0</x:v>
      </x:c>
      <x:c r="I3405" t="n">
        <x:v>0</x:v>
      </x:c>
      <x:c r="J3405" t="n">
        <x:f>ROUND(F3405*I3405/100,2)</x:f>
        <x:v>0</x:v>
      </x:c>
      <x:c r="K3405" t="n">
        <x:v>0</x:v>
      </x:c>
      <x:c r="L3405" t="n">
        <x:f>ROUND(F3405*K3405/100,2)</x:f>
        <x:v>0</x:v>
      </x:c>
      <x:c r="M3405" t="n">
        <x:v>0</x:v>
      </x:c>
      <x:c r="N3405" t="n">
        <x:f>ROUND(F3405*M3405/100,2)</x:f>
        <x:v>0</x:v>
      </x:c>
      <x:c r="O3405" t="str"/>
    </x:row>
    <x:row r="3406" ht="23" customHeight="1">
      <x:c r="A3406" t="n">
        <x:v>568</x:v>
      </x:c>
      <x:c r="B3406" t="n">
        <x:v>284</x:v>
      </x:c>
      <x:c r="C3406" t="str">
        <x:v>晚餐</x:v>
      </x:c>
      <x:c r="D3406" t="str">
        <x:v>蔬菜</x:v>
      </x:c>
      <x:c r="E3406" t="str">
        <x:v>花菜</x:v>
      </x:c>
      <x:c r="F3406" t="n">
        <x:v>190</x:v>
      </x:c>
      <x:c r="G3406" t="n">
        <x:v>25</x:v>
      </x:c>
      <x:c r="H3406" t="n">
        <x:f>ROUND(F3406*G3406/100,2)</x:f>
        <x:v>47.5</x:v>
      </x:c>
      <x:c r="I3406" t="n">
        <x:v>2</x:v>
      </x:c>
      <x:c r="J3406" t="n">
        <x:f>ROUND(F3406*I3406/100,2)</x:f>
        <x:v>3.8</x:v>
      </x:c>
      <x:c r="K3406" t="n">
        <x:v>5</x:v>
      </x:c>
      <x:c r="L3406" t="n">
        <x:f>ROUND(F3406*K3406/100,2)</x:f>
        <x:v>9.5</x:v>
      </x:c>
      <x:c r="M3406" t="n">
        <x:v>0.3</x:v>
      </x:c>
      <x:c r="N3406" t="n">
        <x:f>ROUND(F3406*M3406/100,2)</x:f>
        <x:v>0.57</x:v>
      </x:c>
      <x:c r="O3406" t="str">
        <x:v>生重</x:v>
      </x:c>
    </x:row>
    <x:row r="3407" ht="23" customHeight="1">
      <x:c r="A3407" t="n">
        <x:v>568</x:v>
      </x:c>
      <x:c r="B3407" t="n">
        <x:v>284</x:v>
      </x:c>
      <x:c r="C3407" t="str">
        <x:v>晚餐</x:v>
      </x:c>
      <x:c r="D3407" t="str">
        <x:v>蔬菜</x:v>
      </x:c>
      <x:c r="E3407" t="str">
        <x:v>洋葱</x:v>
      </x:c>
      <x:c r="F3407" t="n">
        <x:v>140</x:v>
      </x:c>
      <x:c r="G3407" t="n">
        <x:v>40</x:v>
      </x:c>
      <x:c r="H3407" t="n">
        <x:f>ROUND(F3407*G3407/100,2)</x:f>
        <x:v>56</x:v>
      </x:c>
      <x:c r="I3407" t="n">
        <x:v>1.1</x:v>
      </x:c>
      <x:c r="J3407" t="n">
        <x:f>ROUND(F3407*I3407/100,2)</x:f>
        <x:v>1.54</x:v>
      </x:c>
      <x:c r="K3407" t="n">
        <x:v>9.3</x:v>
      </x:c>
      <x:c r="L3407" t="n">
        <x:f>ROUND(F3407*K3407/100,2)</x:f>
        <x:v>13.02</x:v>
      </x:c>
      <x:c r="M3407" t="n">
        <x:v>0.1</x:v>
      </x:c>
      <x:c r="N3407" t="n">
        <x:f>ROUND(F3407*M3407/100,2)</x:f>
        <x:v>0.14</x:v>
      </x:c>
      <x:c r="O3407" t="str">
        <x:v>生重</x:v>
      </x:c>
    </x:row>
    <x:row r="3408" ht="23" customHeight="1">
      <x:c r="A3408" t="n">
        <x:v>568</x:v>
      </x:c>
      <x:c r="B3408" t="n">
        <x:v>284</x:v>
      </x:c>
      <x:c r="C3408" t="str">
        <x:v>晚餐</x:v>
      </x:c>
      <x:c r="D3408" t="str">
        <x:v>主食</x:v>
      </x:c>
      <x:c r="E3408" t="str">
        <x:v>燕麦饭</x:v>
      </x:c>
      <x:c r="F3408" t="n">
        <x:v>125</x:v>
      </x:c>
      <x:c r="G3408" t="n">
        <x:v>110</x:v>
      </x:c>
      <x:c r="H3408" t="n">
        <x:f>ROUND(F3408*G3408/100,2)</x:f>
        <x:v>137.5</x:v>
      </x:c>
      <x:c r="I3408" t="n">
        <x:v>3.2</x:v>
      </x:c>
      <x:c r="J3408" t="n">
        <x:f>ROUND(F3408*I3408/100,2)</x:f>
        <x:v>4</x:v>
      </x:c>
      <x:c r="K3408" t="n">
        <x:v>21</x:v>
      </x:c>
      <x:c r="L3408" t="n">
        <x:f>ROUND(F3408*K3408/100,2)</x:f>
        <x:v>26.25</x:v>
      </x:c>
      <x:c r="M3408" t="n">
        <x:v>1.8</x:v>
      </x:c>
      <x:c r="N3408" t="n">
        <x:f>ROUND(F3408*M3408/100,2)</x:f>
        <x:v>2.25</x:v>
      </x:c>
      <x:c r="O3408" t="str">
        <x:v>熟重</x:v>
      </x:c>
    </x:row>
    <x:row r="3409" ht="23" customHeight="1">
      <x:c r="A3409" t="n">
        <x:v>568</x:v>
      </x:c>
      <x:c r="B3409" t="n">
        <x:v>284</x:v>
      </x:c>
      <x:c r="C3409" t="str">
        <x:v>晚餐</x:v>
      </x:c>
      <x:c r="D3409" t="str">
        <x:v>油脂</x:v>
      </x:c>
      <x:c r="E3409" t="str">
        <x:v>烹调油</x:v>
      </x:c>
      <x:c r="F3409" t="n">
        <x:v>6</x:v>
      </x:c>
      <x:c r="G3409" t="n">
        <x:v>900</x:v>
      </x:c>
      <x:c r="H3409" t="n">
        <x:f>ROUND(F3409*G3409/100,2)</x:f>
        <x:v>54</x:v>
      </x:c>
      <x:c r="I3409" t="n">
        <x:v>0</x:v>
      </x:c>
      <x:c r="J3409" t="n">
        <x:f>ROUND(F3409*I3409/100,2)</x:f>
        <x:v>0</x:v>
      </x:c>
      <x:c r="K3409" t="n">
        <x:v>0</x:v>
      </x:c>
      <x:c r="L3409" t="n">
        <x:f>ROUND(F3409*K3409/100,2)</x:f>
        <x:v>0</x:v>
      </x:c>
      <x:c r="M3409" t="n">
        <x:v>100</x:v>
      </x:c>
      <x:c r="N3409" t="n">
        <x:f>ROUND(F3409*M3409/100,2)</x:f>
        <x:v>6</x:v>
      </x:c>
      <x:c r="O3409" t="str">
        <x:v>实际用油重</x:v>
      </x:c>
    </x:row>
    <x:row r="3410" ht="23" customHeight="1">
      <x:c r="A3410" t="n">
        <x:v>569</x:v>
      </x:c>
      <x:c r="B3410" t="n">
        <x:v>285</x:v>
      </x:c>
      <x:c r="C3410" t="str">
        <x:v>午餐</x:v>
      </x:c>
      <x:c r="D3410" t="str">
        <x:v>豆蛋</x:v>
      </x:c>
      <x:c r="E3410" t="str">
        <x:v>北豆腐</x:v>
      </x:c>
      <x:c r="F3410" t="n">
        <x:v>240</x:v>
      </x:c>
      <x:c r="G3410" t="n">
        <x:v>90</x:v>
      </x:c>
      <x:c r="H3410" t="n">
        <x:f>ROUND(F3410*G3410/100,2)</x:f>
        <x:v>216</x:v>
      </x:c>
      <x:c r="I3410" t="n">
        <x:v>10</x:v>
      </x:c>
      <x:c r="J3410" t="n">
        <x:f>ROUND(F3410*I3410/100,2)</x:f>
        <x:v>24</x:v>
      </x:c>
      <x:c r="K3410" t="n">
        <x:v>2</x:v>
      </x:c>
      <x:c r="L3410" t="n">
        <x:f>ROUND(F3410*K3410/100,2)</x:f>
        <x:v>4.8</x:v>
      </x:c>
      <x:c r="M3410" t="n">
        <x:v>5</x:v>
      </x:c>
      <x:c r="N3410" t="n">
        <x:f>ROUND(F3410*M3410/100,2)</x:f>
        <x:v>12</x:v>
      </x:c>
      <x:c r="O3410" t="str">
        <x:v>净重</x:v>
      </x:c>
    </x:row>
    <x:row r="3411" ht="23" customHeight="1">
      <x:c r="A3411" t="n">
        <x:v>569</x:v>
      </x:c>
      <x:c r="B3411" t="n">
        <x:v>285</x:v>
      </x:c>
      <x:c r="C3411" t="str">
        <x:v>午餐</x:v>
      </x:c>
      <x:c r="D3411" t="str">
        <x:v>豆蛋</x:v>
      </x:c>
      <x:c r="E3411" t="str">
        <x:v>鸡蛋</x:v>
      </x:c>
      <x:c r="F3411" t="n">
        <x:v>50</x:v>
      </x:c>
      <x:c r="G3411" t="n">
        <x:v>144</x:v>
      </x:c>
      <x:c r="H3411" t="n">
        <x:f>ROUND(F3411*G3411/100,2)</x:f>
        <x:v>72</x:v>
      </x:c>
      <x:c r="I3411" t="n">
        <x:v>13</x:v>
      </x:c>
      <x:c r="J3411" t="n">
        <x:f>ROUND(F3411*I3411/100,2)</x:f>
        <x:v>6.5</x:v>
      </x:c>
      <x:c r="K3411" t="n">
        <x:v>1.1</x:v>
      </x:c>
      <x:c r="L3411" t="n">
        <x:f>ROUND(F3411*K3411/100,2)</x:f>
        <x:v>0.55</x:v>
      </x:c>
      <x:c r="M3411" t="n">
        <x:v>10</x:v>
      </x:c>
      <x:c r="N3411" t="n">
        <x:f>ROUND(F3411*M3411/100,2)</x:f>
        <x:v>5</x:v>
      </x:c>
      <x:c r="O3411" t="str">
        <x:v>去壳可食重</x:v>
      </x:c>
    </x:row>
    <x:row r="3412" ht="23" customHeight="1">
      <x:c r="A3412" t="n">
        <x:v>569</x:v>
      </x:c>
      <x:c r="B3412" t="n">
        <x:v>285</x:v>
      </x:c>
      <x:c r="C3412" t="str">
        <x:v>午餐</x:v>
      </x:c>
      <x:c r="D3412" t="str">
        <x:v>蔬菜</x:v>
      </x:c>
      <x:c r="E3412" t="str">
        <x:v>丝瓜</x:v>
      </x:c>
      <x:c r="F3412" t="n">
        <x:v>140</x:v>
      </x:c>
      <x:c r="G3412" t="n">
        <x:v>20</x:v>
      </x:c>
      <x:c r="H3412" t="n">
        <x:f>ROUND(F3412*G3412/100,2)</x:f>
        <x:v>28</x:v>
      </x:c>
      <x:c r="I3412" t="n">
        <x:v>1</x:v>
      </x:c>
      <x:c r="J3412" t="n">
        <x:f>ROUND(F3412*I3412/100,2)</x:f>
        <x:v>1.4</x:v>
      </x:c>
      <x:c r="K3412" t="n">
        <x:v>4</x:v>
      </x:c>
      <x:c r="L3412" t="n">
        <x:f>ROUND(F3412*K3412/100,2)</x:f>
        <x:v>5.6</x:v>
      </x:c>
      <x:c r="M3412" t="n">
        <x:v>0.2</x:v>
      </x:c>
      <x:c r="N3412" t="n">
        <x:f>ROUND(F3412*M3412/100,2)</x:f>
        <x:v>0.28</x:v>
      </x:c>
      <x:c r="O3412" t="str">
        <x:v>生重</x:v>
      </x:c>
    </x:row>
    <x:row r="3413" ht="23" customHeight="1">
      <x:c r="A3413" t="n">
        <x:v>569</x:v>
      </x:c>
      <x:c r="B3413" t="n">
        <x:v>285</x:v>
      </x:c>
      <x:c r="C3413" t="str">
        <x:v>午餐</x:v>
      </x:c>
      <x:c r="D3413" t="str">
        <x:v>蔬菜</x:v>
      </x:c>
      <x:c r="E3413" t="str">
        <x:v>番茄</x:v>
      </x:c>
      <x:c r="F3413" t="n">
        <x:v>155</x:v>
      </x:c>
      <x:c r="G3413" t="n">
        <x:v>20</x:v>
      </x:c>
      <x:c r="H3413" t="n">
        <x:f>ROUND(F3413*G3413/100,2)</x:f>
        <x:v>31</x:v>
      </x:c>
      <x:c r="I3413" t="n">
        <x:v>0.9</x:v>
      </x:c>
      <x:c r="J3413" t="n">
        <x:f>ROUND(F3413*I3413/100,2)</x:f>
        <x:v>1.4</x:v>
      </x:c>
      <x:c r="K3413" t="n">
        <x:v>4</x:v>
      </x:c>
      <x:c r="L3413" t="n">
        <x:f>ROUND(F3413*K3413/100,2)</x:f>
        <x:v>6.2</x:v>
      </x:c>
      <x:c r="M3413" t="n">
        <x:v>0.2</x:v>
      </x:c>
      <x:c r="N3413" t="n">
        <x:f>ROUND(F3413*M3413/100,2)</x:f>
        <x:v>0.31</x:v>
      </x:c>
      <x:c r="O3413" t="str">
        <x:v>生重</x:v>
      </x:c>
    </x:row>
    <x:row r="3414" ht="23" customHeight="1">
      <x:c r="A3414" t="n">
        <x:v>569</x:v>
      </x:c>
      <x:c r="B3414" t="n">
        <x:v>285</x:v>
      </x:c>
      <x:c r="C3414" t="str">
        <x:v>午餐</x:v>
      </x:c>
      <x:c r="D3414" t="str">
        <x:v>主食</x:v>
      </x:c>
      <x:c r="E3414" t="str">
        <x:v>杂粮饭</x:v>
      </x:c>
      <x:c r="F3414" t="n">
        <x:v>150</x:v>
      </x:c>
      <x:c r="G3414" t="n">
        <x:v>115</x:v>
      </x:c>
      <x:c r="H3414" t="n">
        <x:f>ROUND(F3414*G3414/100,2)</x:f>
        <x:v>172.5</x:v>
      </x:c>
      <x:c r="I3414" t="n">
        <x:v>3.1</x:v>
      </x:c>
      <x:c r="J3414" t="n">
        <x:f>ROUND(F3414*I3414/100,2)</x:f>
        <x:v>4.65</x:v>
      </x:c>
      <x:c r="K3414" t="n">
        <x:v>23.5</x:v>
      </x:c>
      <x:c r="L3414" t="n">
        <x:f>ROUND(F3414*K3414/100,2)</x:f>
        <x:v>35.25</x:v>
      </x:c>
      <x:c r="M3414" t="n">
        <x:v>1.1</x:v>
      </x:c>
      <x:c r="N3414" t="n">
        <x:f>ROUND(F3414*M3414/100,2)</x:f>
        <x:v>1.65</x:v>
      </x:c>
      <x:c r="O3414" t="str">
        <x:v>熟重</x:v>
      </x:c>
    </x:row>
    <x:row r="3415" ht="23" customHeight="1">
      <x:c r="A3415" t="n">
        <x:v>569</x:v>
      </x:c>
      <x:c r="B3415" t="n">
        <x:v>285</x:v>
      </x:c>
      <x:c r="C3415" t="str">
        <x:v>午餐</x:v>
      </x:c>
      <x:c r="D3415" t="str">
        <x:v>油脂</x:v>
      </x:c>
      <x:c r="E3415" t="str">
        <x:v>烹调油</x:v>
      </x:c>
      <x:c r="F3415" t="n">
        <x:v>3</x:v>
      </x:c>
      <x:c r="G3415" t="n">
        <x:v>900</x:v>
      </x:c>
      <x:c r="H3415" t="n">
        <x:f>ROUND(F3415*G3415/100,2)</x:f>
        <x:v>27</x:v>
      </x:c>
      <x:c r="I3415" t="n">
        <x:v>0</x:v>
      </x:c>
      <x:c r="J3415" t="n">
        <x:f>ROUND(F3415*I3415/100,2)</x:f>
        <x:v>0</x:v>
      </x:c>
      <x:c r="K3415" t="n">
        <x:v>0</x:v>
      </x:c>
      <x:c r="L3415" t="n">
        <x:f>ROUND(F3415*K3415/100,2)</x:f>
        <x:v>0</x:v>
      </x:c>
      <x:c r="M3415" t="n">
        <x:v>100</x:v>
      </x:c>
      <x:c r="N3415" t="n">
        <x:f>ROUND(F3415*M3415/100,2)</x:f>
        <x:v>3</x:v>
      </x:c>
      <x:c r="O3415" t="str">
        <x:v>实际用油重</x:v>
      </x:c>
    </x:row>
    <x:row r="3416" ht="23" customHeight="1">
      <x:c r="A3416" t="n">
        <x:v>570</x:v>
      </x:c>
      <x:c r="B3416" t="n">
        <x:v>285</x:v>
      </x:c>
      <x:c r="C3416" t="str">
        <x:v>晚餐</x:v>
      </x:c>
      <x:c r="D3416" t="str">
        <x:v>鱼类</x:v>
      </x:c>
      <x:c r="E3416" t="str">
        <x:v>鳕鱼</x:v>
      </x:c>
      <x:c r="F3416" t="n">
        <x:v>185</x:v>
      </x:c>
      <x:c r="G3416" t="n">
        <x:v>85</x:v>
      </x:c>
      <x:c r="H3416" t="n">
        <x:f>ROUND(F3416*G3416/100,2)</x:f>
        <x:v>157.25</x:v>
      </x:c>
      <x:c r="I3416" t="n">
        <x:v>18</x:v>
      </x:c>
      <x:c r="J3416" t="n">
        <x:f>ROUND(F3416*I3416/100,2)</x:f>
        <x:v>33.3</x:v>
      </x:c>
      <x:c r="K3416" t="n">
        <x:v>0</x:v>
      </x:c>
      <x:c r="L3416" t="n">
        <x:f>ROUND(F3416*K3416/100,2)</x:f>
        <x:v>0</x:v>
      </x:c>
      <x:c r="M3416" t="n">
        <x:v>0.8</x:v>
      </x:c>
      <x:c r="N3416" t="n">
        <x:f>ROUND(F3416*M3416/100,2)</x:f>
        <x:v>1.48</x:v>
      </x:c>
      <x:c r="O3416" t="str">
        <x:v>净鱼肉生重</x:v>
      </x:c>
    </x:row>
    <x:row r="3417" ht="23" customHeight="1">
      <x:c r="A3417" t="n">
        <x:v>570</x:v>
      </x:c>
      <x:c r="B3417" t="n">
        <x:v>285</x:v>
      </x:c>
      <x:c r="C3417" t="str">
        <x:v>晚餐</x:v>
      </x:c>
      <x:c r="D3417" t="str"/>
      <x:c r="E3417" t="str"/>
      <x:c r="F3417" t="n">
        <x:v>0</x:v>
      </x:c>
      <x:c r="G3417" t="n">
        <x:v>0</x:v>
      </x:c>
      <x:c r="H3417" t="n">
        <x:f>ROUND(F3417*G3417/100,2)</x:f>
        <x:v>0</x:v>
      </x:c>
      <x:c r="I3417" t="n">
        <x:v>0</x:v>
      </x:c>
      <x:c r="J3417" t="n">
        <x:f>ROUND(F3417*I3417/100,2)</x:f>
        <x:v>0</x:v>
      </x:c>
      <x:c r="K3417" t="n">
        <x:v>0</x:v>
      </x:c>
      <x:c r="L3417" t="n">
        <x:f>ROUND(F3417*K3417/100,2)</x:f>
        <x:v>0</x:v>
      </x:c>
      <x:c r="M3417" t="n">
        <x:v>0</x:v>
      </x:c>
      <x:c r="N3417" t="n">
        <x:f>ROUND(F3417*M3417/100,2)</x:f>
        <x:v>0</x:v>
      </x:c>
      <x:c r="O3417" t="str"/>
    </x:row>
    <x:row r="3418" ht="23" customHeight="1">
      <x:c r="A3418" t="n">
        <x:v>570</x:v>
      </x:c>
      <x:c r="B3418" t="n">
        <x:v>285</x:v>
      </x:c>
      <x:c r="C3418" t="str">
        <x:v>晚餐</x:v>
      </x:c>
      <x:c r="D3418" t="str">
        <x:v>蔬菜</x:v>
      </x:c>
      <x:c r="E3418" t="str">
        <x:v>荷兰豆</x:v>
      </x:c>
      <x:c r="F3418" t="n">
        <x:v>175</x:v>
      </x:c>
      <x:c r="G3418" t="n">
        <x:v>42</x:v>
      </x:c>
      <x:c r="H3418" t="n">
        <x:f>ROUND(F3418*G3418/100,2)</x:f>
        <x:v>73.5</x:v>
      </x:c>
      <x:c r="I3418" t="n">
        <x:v>2.8</x:v>
      </x:c>
      <x:c r="J3418" t="n">
        <x:f>ROUND(F3418*I3418/100,2)</x:f>
        <x:v>4.9</x:v>
      </x:c>
      <x:c r="K3418" t="n">
        <x:v>7.5</x:v>
      </x:c>
      <x:c r="L3418" t="n">
        <x:f>ROUND(F3418*K3418/100,2)</x:f>
        <x:v>13.13</x:v>
      </x:c>
      <x:c r="M3418" t="n">
        <x:v>0.3</x:v>
      </x:c>
      <x:c r="N3418" t="n">
        <x:f>ROUND(F3418*M3418/100,2)</x:f>
        <x:v>0.53</x:v>
      </x:c>
      <x:c r="O3418" t="str">
        <x:v>生重</x:v>
      </x:c>
    </x:row>
    <x:row r="3419" ht="23" customHeight="1">
      <x:c r="A3419" t="n">
        <x:v>570</x:v>
      </x:c>
      <x:c r="B3419" t="n">
        <x:v>285</x:v>
      </x:c>
      <x:c r="C3419" t="str">
        <x:v>晚餐</x:v>
      </x:c>
      <x:c r="D3419" t="str">
        <x:v>蔬菜</x:v>
      </x:c>
      <x:c r="E3419" t="str">
        <x:v>芦笋</x:v>
      </x:c>
      <x:c r="F3419" t="n">
        <x:v>125</x:v>
      </x:c>
      <x:c r="G3419" t="n">
        <x:v>20</x:v>
      </x:c>
      <x:c r="H3419" t="n">
        <x:f>ROUND(F3419*G3419/100,2)</x:f>
        <x:v>25</x:v>
      </x:c>
      <x:c r="I3419" t="n">
        <x:v>2.2</x:v>
      </x:c>
      <x:c r="J3419" t="n">
        <x:f>ROUND(F3419*I3419/100,2)</x:f>
        <x:v>2.75</x:v>
      </x:c>
      <x:c r="K3419" t="n">
        <x:v>3.9</x:v>
      </x:c>
      <x:c r="L3419" t="n">
        <x:f>ROUND(F3419*K3419/100,2)</x:f>
        <x:v>4.88</x:v>
      </x:c>
      <x:c r="M3419" t="n">
        <x:v>0.1</x:v>
      </x:c>
      <x:c r="N3419" t="n">
        <x:f>ROUND(F3419*M3419/100,2)</x:f>
        <x:v>0.13</x:v>
      </x:c>
      <x:c r="O3419" t="str">
        <x:v>生重</x:v>
      </x:c>
    </x:row>
    <x:row r="3420" ht="23" customHeight="1">
      <x:c r="A3420" t="n">
        <x:v>570</x:v>
      </x:c>
      <x:c r="B3420" t="n">
        <x:v>285</x:v>
      </x:c>
      <x:c r="C3420" t="str">
        <x:v>晚餐</x:v>
      </x:c>
      <x:c r="D3420" t="str">
        <x:v>主食</x:v>
      </x:c>
      <x:c r="E3420" t="str">
        <x:v>红薯</x:v>
      </x:c>
      <x:c r="F3420" t="n">
        <x:v>135</x:v>
      </x:c>
      <x:c r="G3420" t="n">
        <x:v>88</x:v>
      </x:c>
      <x:c r="H3420" t="n">
        <x:f>ROUND(F3420*G3420/100,2)</x:f>
        <x:v>118.8</x:v>
      </x:c>
      <x:c r="I3420" t="n">
        <x:v>1.6</x:v>
      </x:c>
      <x:c r="J3420" t="n">
        <x:f>ROUND(F3420*I3420/100,2)</x:f>
        <x:v>2.16</x:v>
      </x:c>
      <x:c r="K3420" t="n">
        <x:v>20.5</x:v>
      </x:c>
      <x:c r="L3420" t="n">
        <x:f>ROUND(F3420*K3420/100,2)</x:f>
        <x:v>27.68</x:v>
      </x:c>
      <x:c r="M3420" t="n">
        <x:v>0.1</x:v>
      </x:c>
      <x:c r="N3420" t="n">
        <x:f>ROUND(F3420*M3420/100,2)</x:f>
        <x:v>0.14</x:v>
      </x:c>
      <x:c r="O3420" t="str">
        <x:v>蒸熟净重</x:v>
      </x:c>
    </x:row>
    <x:row r="3421" ht="23" customHeight="1">
      <x:c r="A3421" t="n">
        <x:v>570</x:v>
      </x:c>
      <x:c r="B3421" t="n">
        <x:v>285</x:v>
      </x:c>
      <x:c r="C3421" t="str">
        <x:v>晚餐</x:v>
      </x:c>
      <x:c r="D3421" t="str">
        <x:v>油脂</x:v>
      </x:c>
      <x:c r="E3421" t="str">
        <x:v>烹调油</x:v>
      </x:c>
      <x:c r="F3421" t="n">
        <x:v>5</x:v>
      </x:c>
      <x:c r="G3421" t="n">
        <x:v>900</x:v>
      </x:c>
      <x:c r="H3421" t="n">
        <x:f>ROUND(F3421*G3421/100,2)</x:f>
        <x:v>45</x:v>
      </x:c>
      <x:c r="I3421" t="n">
        <x:v>0</x:v>
      </x:c>
      <x:c r="J3421" t="n">
        <x:f>ROUND(F3421*I3421/100,2)</x:f>
        <x:v>0</x:v>
      </x:c>
      <x:c r="K3421" t="n">
        <x:v>0</x:v>
      </x:c>
      <x:c r="L3421" t="n">
        <x:f>ROUND(F3421*K3421/100,2)</x:f>
        <x:v>0</x:v>
      </x:c>
      <x:c r="M3421" t="n">
        <x:v>100</x:v>
      </x:c>
      <x:c r="N3421" t="n">
        <x:f>ROUND(F3421*M3421/100,2)</x:f>
        <x:v>5</x:v>
      </x:c>
      <x:c r="O3421" t="str">
        <x:v>实际用油重</x:v>
      </x:c>
    </x:row>
    <x:row r="3422" ht="23" customHeight="1">
      <x:c r="A3422" t="n">
        <x:v>571</x:v>
      </x:c>
      <x:c r="B3422" t="n">
        <x:v>286</x:v>
      </x:c>
      <x:c r="C3422" t="str">
        <x:v>午餐</x:v>
      </x:c>
      <x:c r="D3422" t="str">
        <x:v>猪肉</x:v>
      </x:c>
      <x:c r="E3422" t="str">
        <x:v>猪瘦肉</x:v>
      </x:c>
      <x:c r="F3422" t="n">
        <x:v>165</x:v>
      </x:c>
      <x:c r="G3422" t="n">
        <x:v>130</x:v>
      </x:c>
      <x:c r="H3422" t="n">
        <x:f>ROUND(F3422*G3422/100,2)</x:f>
        <x:v>214.5</x:v>
      </x:c>
      <x:c r="I3422" t="n">
        <x:v>20</x:v>
      </x:c>
      <x:c r="J3422" t="n">
        <x:f>ROUND(F3422*I3422/100,2)</x:f>
        <x:v>33</x:v>
      </x:c>
      <x:c r="K3422" t="n">
        <x:v>0</x:v>
      </x:c>
      <x:c r="L3422" t="n">
        <x:f>ROUND(F3422*K3422/100,2)</x:f>
        <x:v>0</x:v>
      </x:c>
      <x:c r="M3422" t="n">
        <x:v>5.5</x:v>
      </x:c>
      <x:c r="N3422" t="n">
        <x:f>ROUND(F3422*M3422/100,2)</x:f>
        <x:v>9.07</x:v>
      </x:c>
      <x:c r="O3422" t="str">
        <x:v>生重</x:v>
      </x:c>
    </x:row>
    <x:row r="3423" ht="23" customHeight="1">
      <x:c r="A3423" t="n">
        <x:v>571</x:v>
      </x:c>
      <x:c r="B3423" t="n">
        <x:v>286</x:v>
      </x:c>
      <x:c r="C3423" t="str">
        <x:v>午餐</x:v>
      </x:c>
      <x:c r="D3423" t="str"/>
      <x:c r="E3423" t="str"/>
      <x:c r="F3423" t="n">
        <x:v>0</x:v>
      </x:c>
      <x:c r="G3423" t="n">
        <x:v>0</x:v>
      </x:c>
      <x:c r="H3423" t="n">
        <x:f>ROUND(F3423*G3423/100,2)</x:f>
        <x:v>0</x:v>
      </x:c>
      <x:c r="I3423" t="n">
        <x:v>0</x:v>
      </x:c>
      <x:c r="J3423" t="n">
        <x:f>ROUND(F3423*I3423/100,2)</x:f>
        <x:v>0</x:v>
      </x:c>
      <x:c r="K3423" t="n">
        <x:v>0</x:v>
      </x:c>
      <x:c r="L3423" t="n">
        <x:f>ROUND(F3423*K3423/100,2)</x:f>
        <x:v>0</x:v>
      </x:c>
      <x:c r="M3423" t="n">
        <x:v>0</x:v>
      </x:c>
      <x:c r="N3423" t="n">
        <x:f>ROUND(F3423*M3423/100,2)</x:f>
        <x:v>0</x:v>
      </x:c>
      <x:c r="O3423" t="str"/>
    </x:row>
    <x:row r="3424" ht="23" customHeight="1">
      <x:c r="A3424" t="n">
        <x:v>571</x:v>
      </x:c>
      <x:c r="B3424" t="n">
        <x:v>286</x:v>
      </x:c>
      <x:c r="C3424" t="str">
        <x:v>午餐</x:v>
      </x:c>
      <x:c r="D3424" t="str">
        <x:v>蔬菜</x:v>
      </x:c>
      <x:c r="E3424" t="str">
        <x:v>黄瓜</x:v>
      </x:c>
      <x:c r="F3424" t="n">
        <x:v>190</x:v>
      </x:c>
      <x:c r="G3424" t="n">
        <x:v>16</x:v>
      </x:c>
      <x:c r="H3424" t="n">
        <x:f>ROUND(F3424*G3424/100,2)</x:f>
        <x:v>30.4</x:v>
      </x:c>
      <x:c r="I3424" t="n">
        <x:v>0.7</x:v>
      </x:c>
      <x:c r="J3424" t="n">
        <x:f>ROUND(F3424*I3424/100,2)</x:f>
        <x:v>1.33</x:v>
      </x:c>
      <x:c r="K3424" t="n">
        <x:v>3.6</x:v>
      </x:c>
      <x:c r="L3424" t="n">
        <x:f>ROUND(F3424*K3424/100,2)</x:f>
        <x:v>6.84</x:v>
      </x:c>
      <x:c r="M3424" t="n">
        <x:v>0.1</x:v>
      </x:c>
      <x:c r="N3424" t="n">
        <x:f>ROUND(F3424*M3424/100,2)</x:f>
        <x:v>0.19</x:v>
      </x:c>
      <x:c r="O3424" t="str">
        <x:v>生重</x:v>
      </x:c>
    </x:row>
    <x:row r="3425" ht="23" customHeight="1">
      <x:c r="A3425" t="n">
        <x:v>571</x:v>
      </x:c>
      <x:c r="B3425" t="n">
        <x:v>286</x:v>
      </x:c>
      <x:c r="C3425" t="str">
        <x:v>午餐</x:v>
      </x:c>
      <x:c r="D3425" t="str">
        <x:v>蔬菜</x:v>
      </x:c>
      <x:c r="E3425" t="str">
        <x:v>海带</x:v>
      </x:c>
      <x:c r="F3425" t="n">
        <x:v>140</x:v>
      </x:c>
      <x:c r="G3425" t="n">
        <x:v>25</x:v>
      </x:c>
      <x:c r="H3425" t="n">
        <x:f>ROUND(F3425*G3425/100,2)</x:f>
        <x:v>35</x:v>
      </x:c>
      <x:c r="I3425" t="n">
        <x:v>1</x:v>
      </x:c>
      <x:c r="J3425" t="n">
        <x:f>ROUND(F3425*I3425/100,2)</x:f>
        <x:v>1.4</x:v>
      </x:c>
      <x:c r="K3425" t="n">
        <x:v>5</x:v>
      </x:c>
      <x:c r="L3425" t="n">
        <x:f>ROUND(F3425*K3425/100,2)</x:f>
        <x:v>7</x:v>
      </x:c>
      <x:c r="M3425" t="n">
        <x:v>0.1</x:v>
      </x:c>
      <x:c r="N3425" t="n">
        <x:f>ROUND(F3425*M3425/100,2)</x:f>
        <x:v>0.14</x:v>
      </x:c>
      <x:c r="O3425" t="str">
        <x:v>泡发沥水重</x:v>
      </x:c>
    </x:row>
    <x:row r="3426" ht="23" customHeight="1">
      <x:c r="A3426" t="n">
        <x:v>571</x:v>
      </x:c>
      <x:c r="B3426" t="n">
        <x:v>286</x:v>
      </x:c>
      <x:c r="C3426" t="str">
        <x:v>午餐</x:v>
      </x:c>
      <x:c r="D3426" t="str">
        <x:v>主食</x:v>
      </x:c>
      <x:c r="E3426" t="str">
        <x:v>紫薯</x:v>
      </x:c>
      <x:c r="F3426" t="n">
        <x:v>125</x:v>
      </x:c>
      <x:c r="G3426" t="n">
        <x:v>95</x:v>
      </x:c>
      <x:c r="H3426" t="n">
        <x:f>ROUND(F3426*G3426/100,2)</x:f>
        <x:v>118.75</x:v>
      </x:c>
      <x:c r="I3426" t="n">
        <x:v>1.6</x:v>
      </x:c>
      <x:c r="J3426" t="n">
        <x:f>ROUND(F3426*I3426/100,2)</x:f>
        <x:v>2</x:v>
      </x:c>
      <x:c r="K3426" t="n">
        <x:v>22</x:v>
      </x:c>
      <x:c r="L3426" t="n">
        <x:f>ROUND(F3426*K3426/100,2)</x:f>
        <x:v>27.5</x:v>
      </x:c>
      <x:c r="M3426" t="n">
        <x:v>0.1</x:v>
      </x:c>
      <x:c r="N3426" t="n">
        <x:f>ROUND(F3426*M3426/100,2)</x:f>
        <x:v>0.13</x:v>
      </x:c>
      <x:c r="O3426" t="str">
        <x:v>蒸熟净重</x:v>
      </x:c>
    </x:row>
    <x:row r="3427" ht="23" customHeight="1">
      <x:c r="A3427" t="n">
        <x:v>571</x:v>
      </x:c>
      <x:c r="B3427" t="n">
        <x:v>286</x:v>
      </x:c>
      <x:c r="C3427" t="str">
        <x:v>午餐</x:v>
      </x:c>
      <x:c r="D3427" t="str">
        <x:v>油脂</x:v>
      </x:c>
      <x:c r="E3427" t="str">
        <x:v>烹调油</x:v>
      </x:c>
      <x:c r="F3427" t="n">
        <x:v>5</x:v>
      </x:c>
      <x:c r="G3427" t="n">
        <x:v>900</x:v>
      </x:c>
      <x:c r="H3427" t="n">
        <x:f>ROUND(F3427*G3427/100,2)</x:f>
        <x:v>45</x:v>
      </x:c>
      <x:c r="I3427" t="n">
        <x:v>0</x:v>
      </x:c>
      <x:c r="J3427" t="n">
        <x:f>ROUND(F3427*I3427/100,2)</x:f>
        <x:v>0</x:v>
      </x:c>
      <x:c r="K3427" t="n">
        <x:v>0</x:v>
      </x:c>
      <x:c r="L3427" t="n">
        <x:f>ROUND(F3427*K3427/100,2)</x:f>
        <x:v>0</x:v>
      </x:c>
      <x:c r="M3427" t="n">
        <x:v>100</x:v>
      </x:c>
      <x:c r="N3427" t="n">
        <x:f>ROUND(F3427*M3427/100,2)</x:f>
        <x:v>5</x:v>
      </x:c>
      <x:c r="O3427" t="str">
        <x:v>实际用油重</x:v>
      </x:c>
    </x:row>
    <x:row r="3428" ht="23" customHeight="1">
      <x:c r="A3428" t="n">
        <x:v>572</x:v>
      </x:c>
      <x:c r="B3428" t="n">
        <x:v>286</x:v>
      </x:c>
      <x:c r="C3428" t="str">
        <x:v>晚餐</x:v>
      </x:c>
      <x:c r="D3428" t="str">
        <x:v>牛肉</x:v>
      </x:c>
      <x:c r="E3428" t="str">
        <x:v>牛里脊</x:v>
      </x:c>
      <x:c r="F3428" t="n">
        <x:v>180</x:v>
      </x:c>
      <x:c r="G3428" t="n">
        <x:v>130</x:v>
      </x:c>
      <x:c r="H3428" t="n">
        <x:f>ROUND(F3428*G3428/100,2)</x:f>
        <x:v>234</x:v>
      </x:c>
      <x:c r="I3428" t="n">
        <x:v>21</x:v>
      </x:c>
      <x:c r="J3428" t="n">
        <x:f>ROUND(F3428*I3428/100,2)</x:f>
        <x:v>37.8</x:v>
      </x:c>
      <x:c r="K3428" t="n">
        <x:v>0</x:v>
      </x:c>
      <x:c r="L3428" t="n">
        <x:f>ROUND(F3428*K3428/100,2)</x:f>
        <x:v>0</x:v>
      </x:c>
      <x:c r="M3428" t="n">
        <x:v>4.8</x:v>
      </x:c>
      <x:c r="N3428" t="n">
        <x:f>ROUND(F3428*M3428/100,2)</x:f>
        <x:v>8.64</x:v>
      </x:c>
      <x:c r="O3428" t="str">
        <x:v>生重</x:v>
      </x:c>
    </x:row>
    <x:row r="3429" ht="23" customHeight="1">
      <x:c r="A3429" t="n">
        <x:v>572</x:v>
      </x:c>
      <x:c r="B3429" t="n">
        <x:v>286</x:v>
      </x:c>
      <x:c r="C3429" t="str">
        <x:v>晚餐</x:v>
      </x:c>
      <x:c r="D3429" t="str"/>
      <x:c r="E3429" t="str"/>
      <x:c r="F3429" t="n">
        <x:v>0</x:v>
      </x:c>
      <x:c r="G3429" t="n">
        <x:v>0</x:v>
      </x:c>
      <x:c r="H3429" t="n">
        <x:f>ROUND(F3429*G3429/100,2)</x:f>
        <x:v>0</x:v>
      </x:c>
      <x:c r="I3429" t="n">
        <x:v>0</x:v>
      </x:c>
      <x:c r="J3429" t="n">
        <x:f>ROUND(F3429*I3429/100,2)</x:f>
        <x:v>0</x:v>
      </x:c>
      <x:c r="K3429" t="n">
        <x:v>0</x:v>
      </x:c>
      <x:c r="L3429" t="n">
        <x:f>ROUND(F3429*K3429/100,2)</x:f>
        <x:v>0</x:v>
      </x:c>
      <x:c r="M3429" t="n">
        <x:v>0</x:v>
      </x:c>
      <x:c r="N3429" t="n">
        <x:f>ROUND(F3429*M3429/100,2)</x:f>
        <x:v>0</x:v>
      </x:c>
      <x:c r="O3429" t="str"/>
    </x:row>
    <x:row r="3430" ht="23" customHeight="1">
      <x:c r="A3430" t="n">
        <x:v>572</x:v>
      </x:c>
      <x:c r="B3430" t="n">
        <x:v>286</x:v>
      </x:c>
      <x:c r="C3430" t="str">
        <x:v>晚餐</x:v>
      </x:c>
      <x:c r="D3430" t="str">
        <x:v>蔬菜</x:v>
      </x:c>
      <x:c r="E3430" t="str">
        <x:v>菜心</x:v>
      </x:c>
      <x:c r="F3430" t="n">
        <x:v>160</x:v>
      </x:c>
      <x:c r="G3430" t="n">
        <x:v>20</x:v>
      </x:c>
      <x:c r="H3430" t="n">
        <x:f>ROUND(F3430*G3430/100,2)</x:f>
        <x:v>32</x:v>
      </x:c>
      <x:c r="I3430" t="n">
        <x:v>2</x:v>
      </x:c>
      <x:c r="J3430" t="n">
        <x:f>ROUND(F3430*I3430/100,2)</x:f>
        <x:v>3.2</x:v>
      </x:c>
      <x:c r="K3430" t="n">
        <x:v>3.5</x:v>
      </x:c>
      <x:c r="L3430" t="n">
        <x:f>ROUND(F3430*K3430/100,2)</x:f>
        <x:v>5.6</x:v>
      </x:c>
      <x:c r="M3430" t="n">
        <x:v>0.3</x:v>
      </x:c>
      <x:c r="N3430" t="n">
        <x:f>ROUND(F3430*M3430/100,2)</x:f>
        <x:v>0.48</x:v>
      </x:c>
      <x:c r="O3430" t="str">
        <x:v>生重</x:v>
      </x:c>
    </x:row>
    <x:row r="3431" ht="23" customHeight="1">
      <x:c r="A3431" t="n">
        <x:v>572</x:v>
      </x:c>
      <x:c r="B3431" t="n">
        <x:v>286</x:v>
      </x:c>
      <x:c r="C3431" t="str">
        <x:v>晚餐</x:v>
      </x:c>
      <x:c r="D3431" t="str">
        <x:v>蔬菜</x:v>
      </x:c>
      <x:c r="E3431" t="str">
        <x:v>番茄</x:v>
      </x:c>
      <x:c r="F3431" t="n">
        <x:v>155</x:v>
      </x:c>
      <x:c r="G3431" t="n">
        <x:v>20</x:v>
      </x:c>
      <x:c r="H3431" t="n">
        <x:f>ROUND(F3431*G3431/100,2)</x:f>
        <x:v>31</x:v>
      </x:c>
      <x:c r="I3431" t="n">
        <x:v>0.9</x:v>
      </x:c>
      <x:c r="J3431" t="n">
        <x:f>ROUND(F3431*I3431/100,2)</x:f>
        <x:v>1.4</x:v>
      </x:c>
      <x:c r="K3431" t="n">
        <x:v>4</x:v>
      </x:c>
      <x:c r="L3431" t="n">
        <x:f>ROUND(F3431*K3431/100,2)</x:f>
        <x:v>6.2</x:v>
      </x:c>
      <x:c r="M3431" t="n">
        <x:v>0.2</x:v>
      </x:c>
      <x:c r="N3431" t="n">
        <x:f>ROUND(F3431*M3431/100,2)</x:f>
        <x:v>0.31</x:v>
      </x:c>
      <x:c r="O3431" t="str">
        <x:v>生重</x:v>
      </x:c>
    </x:row>
    <x:row r="3432" ht="23" customHeight="1">
      <x:c r="A3432" t="n">
        <x:v>572</x:v>
      </x:c>
      <x:c r="B3432" t="n">
        <x:v>286</x:v>
      </x:c>
      <x:c r="C3432" t="str">
        <x:v>晚餐</x:v>
      </x:c>
      <x:c r="D3432" t="str">
        <x:v>主食</x:v>
      </x:c>
      <x:c r="E3432" t="str">
        <x:v>红薯</x:v>
      </x:c>
      <x:c r="F3432" t="n">
        <x:v>110</x:v>
      </x:c>
      <x:c r="G3432" t="n">
        <x:v>88</x:v>
      </x:c>
      <x:c r="H3432" t="n">
        <x:f>ROUND(F3432*G3432/100,2)</x:f>
        <x:v>96.8</x:v>
      </x:c>
      <x:c r="I3432" t="n">
        <x:v>1.6</x:v>
      </x:c>
      <x:c r="J3432" t="n">
        <x:f>ROUND(F3432*I3432/100,2)</x:f>
        <x:v>1.76</x:v>
      </x:c>
      <x:c r="K3432" t="n">
        <x:v>20.5</x:v>
      </x:c>
      <x:c r="L3432" t="n">
        <x:f>ROUND(F3432*K3432/100,2)</x:f>
        <x:v>22.55</x:v>
      </x:c>
      <x:c r="M3432" t="n">
        <x:v>0.1</x:v>
      </x:c>
      <x:c r="N3432" t="n">
        <x:f>ROUND(F3432*M3432/100,2)</x:f>
        <x:v>0.11</x:v>
      </x:c>
      <x:c r="O3432" t="str">
        <x:v>蒸熟净重</x:v>
      </x:c>
    </x:row>
    <x:row r="3433" ht="23" customHeight="1">
      <x:c r="A3433" t="n">
        <x:v>572</x:v>
      </x:c>
      <x:c r="B3433" t="n">
        <x:v>286</x:v>
      </x:c>
      <x:c r="C3433" t="str">
        <x:v>晚餐</x:v>
      </x:c>
      <x:c r="D3433" t="str">
        <x:v>油脂</x:v>
      </x:c>
      <x:c r="E3433" t="str">
        <x:v>烹调油</x:v>
      </x:c>
      <x:c r="F3433" t="n">
        <x:v>4</x:v>
      </x:c>
      <x:c r="G3433" t="n">
        <x:v>900</x:v>
      </x:c>
      <x:c r="H3433" t="n">
        <x:f>ROUND(F3433*G3433/100,2)</x:f>
        <x:v>36</x:v>
      </x:c>
      <x:c r="I3433" t="n">
        <x:v>0</x:v>
      </x:c>
      <x:c r="J3433" t="n">
        <x:f>ROUND(F3433*I3433/100,2)</x:f>
        <x:v>0</x:v>
      </x:c>
      <x:c r="K3433" t="n">
        <x:v>0</x:v>
      </x:c>
      <x:c r="L3433" t="n">
        <x:f>ROUND(F3433*K3433/100,2)</x:f>
        <x:v>0</x:v>
      </x:c>
      <x:c r="M3433" t="n">
        <x:v>100</x:v>
      </x:c>
      <x:c r="N3433" t="n">
        <x:f>ROUND(F3433*M3433/100,2)</x:f>
        <x:v>4</x:v>
      </x:c>
      <x:c r="O3433" t="str">
        <x:v>实际用油重</x:v>
      </x:c>
    </x:row>
    <x:row r="3434" ht="23" customHeight="1">
      <x:c r="A3434" t="n">
        <x:v>573</x:v>
      </x:c>
      <x:c r="B3434" t="n">
        <x:v>287</x:v>
      </x:c>
      <x:c r="C3434" t="str">
        <x:v>午餐</x:v>
      </x:c>
      <x:c r="D3434" t="str">
        <x:v>海鲜</x:v>
      </x:c>
      <x:c r="E3434" t="str">
        <x:v>虾仁</x:v>
      </x:c>
      <x:c r="F3434" t="n">
        <x:v>160</x:v>
      </x:c>
      <x:c r="G3434" t="n">
        <x:v>90</x:v>
      </x:c>
      <x:c r="H3434" t="n">
        <x:f>ROUND(F3434*G3434/100,2)</x:f>
        <x:v>144</x:v>
      </x:c>
      <x:c r="I3434" t="n">
        <x:v>19</x:v>
      </x:c>
      <x:c r="J3434" t="n">
        <x:f>ROUND(F3434*I3434/100,2)</x:f>
        <x:v>30.4</x:v>
      </x:c>
      <x:c r="K3434" t="n">
        <x:v>0.4</x:v>
      </x:c>
      <x:c r="L3434" t="n">
        <x:f>ROUND(F3434*K3434/100,2)</x:f>
        <x:v>0.64</x:v>
      </x:c>
      <x:c r="M3434" t="n">
        <x:v>1.1</x:v>
      </x:c>
      <x:c r="N3434" t="n">
        <x:f>ROUND(F3434*M3434/100,2)</x:f>
        <x:v>1.76</x:v>
      </x:c>
      <x:c r="O3434" t="str">
        <x:v>生重</x:v>
      </x:c>
    </x:row>
    <x:row r="3435" ht="23" customHeight="1">
      <x:c r="A3435" t="n">
        <x:v>573</x:v>
      </x:c>
      <x:c r="B3435" t="n">
        <x:v>287</x:v>
      </x:c>
      <x:c r="C3435" t="str">
        <x:v>午餐</x:v>
      </x:c>
      <x:c r="D3435" t="str">
        <x:v>豆蛋</x:v>
      </x:c>
      <x:c r="E3435" t="str">
        <x:v>嫩豆腐</x:v>
      </x:c>
      <x:c r="F3435" t="n">
        <x:v>160</x:v>
      </x:c>
      <x:c r="G3435" t="n">
        <x:v>55</x:v>
      </x:c>
      <x:c r="H3435" t="n">
        <x:f>ROUND(F3435*G3435/100,2)</x:f>
        <x:v>88</x:v>
      </x:c>
      <x:c r="I3435" t="n">
        <x:v>5</x:v>
      </x:c>
      <x:c r="J3435" t="n">
        <x:f>ROUND(F3435*I3435/100,2)</x:f>
        <x:v>8</x:v>
      </x:c>
      <x:c r="K3435" t="n">
        <x:v>2</x:v>
      </x:c>
      <x:c r="L3435" t="n">
        <x:f>ROUND(F3435*K3435/100,2)</x:f>
        <x:v>3.2</x:v>
      </x:c>
      <x:c r="M3435" t="n">
        <x:v>2.8</x:v>
      </x:c>
      <x:c r="N3435" t="n">
        <x:f>ROUND(F3435*M3435/100,2)</x:f>
        <x:v>4.48</x:v>
      </x:c>
      <x:c r="O3435" t="str">
        <x:v>净重</x:v>
      </x:c>
    </x:row>
    <x:row r="3436" ht="23" customHeight="1">
      <x:c r="A3436" t="n">
        <x:v>573</x:v>
      </x:c>
      <x:c r="B3436" t="n">
        <x:v>287</x:v>
      </x:c>
      <x:c r="C3436" t="str">
        <x:v>午餐</x:v>
      </x:c>
      <x:c r="D3436" t="str">
        <x:v>蔬菜</x:v>
      </x:c>
      <x:c r="E3436" t="str">
        <x:v>荷兰豆</x:v>
      </x:c>
      <x:c r="F3436" t="n">
        <x:v>140</x:v>
      </x:c>
      <x:c r="G3436" t="n">
        <x:v>42</x:v>
      </x:c>
      <x:c r="H3436" t="n">
        <x:f>ROUND(F3436*G3436/100,2)</x:f>
        <x:v>58.8</x:v>
      </x:c>
      <x:c r="I3436" t="n">
        <x:v>2.8</x:v>
      </x:c>
      <x:c r="J3436" t="n">
        <x:f>ROUND(F3436*I3436/100,2)</x:f>
        <x:v>3.92</x:v>
      </x:c>
      <x:c r="K3436" t="n">
        <x:v>7.5</x:v>
      </x:c>
      <x:c r="L3436" t="n">
        <x:f>ROUND(F3436*K3436/100,2)</x:f>
        <x:v>10.5</x:v>
      </x:c>
      <x:c r="M3436" t="n">
        <x:v>0.3</x:v>
      </x:c>
      <x:c r="N3436" t="n">
        <x:f>ROUND(F3436*M3436/100,2)</x:f>
        <x:v>0.42</x:v>
      </x:c>
      <x:c r="O3436" t="str">
        <x:v>生重</x:v>
      </x:c>
    </x:row>
    <x:row r="3437" ht="23" customHeight="1">
      <x:c r="A3437" t="n">
        <x:v>573</x:v>
      </x:c>
      <x:c r="B3437" t="n">
        <x:v>287</x:v>
      </x:c>
      <x:c r="C3437" t="str">
        <x:v>午餐</x:v>
      </x:c>
      <x:c r="D3437" t="str">
        <x:v>菌菇</x:v>
      </x:c>
      <x:c r="E3437" t="str">
        <x:v>香菇</x:v>
      </x:c>
      <x:c r="F3437" t="n">
        <x:v>155</x:v>
      </x:c>
      <x:c r="G3437" t="n">
        <x:v>34</x:v>
      </x:c>
      <x:c r="H3437" t="n">
        <x:f>ROUND(F3437*G3437/100,2)</x:f>
        <x:v>52.7</x:v>
      </x:c>
      <x:c r="I3437" t="n">
        <x:v>2.2</x:v>
      </x:c>
      <x:c r="J3437" t="n">
        <x:f>ROUND(F3437*I3437/100,2)</x:f>
        <x:v>3.41</x:v>
      </x:c>
      <x:c r="K3437" t="n">
        <x:v>6.8</x:v>
      </x:c>
      <x:c r="L3437" t="n">
        <x:f>ROUND(F3437*K3437/100,2)</x:f>
        <x:v>10.54</x:v>
      </x:c>
      <x:c r="M3437" t="n">
        <x:v>0.5</x:v>
      </x:c>
      <x:c r="N3437" t="n">
        <x:f>ROUND(F3437*M3437/100,2)</x:f>
        <x:v>0.78</x:v>
      </x:c>
      <x:c r="O3437" t="str">
        <x:v>生重</x:v>
      </x:c>
    </x:row>
    <x:row r="3438" ht="23" customHeight="1">
      <x:c r="A3438" t="n">
        <x:v>573</x:v>
      </x:c>
      <x:c r="B3438" t="n">
        <x:v>287</x:v>
      </x:c>
      <x:c r="C3438" t="str">
        <x:v>午餐</x:v>
      </x:c>
      <x:c r="D3438" t="str">
        <x:v>主食</x:v>
      </x:c>
      <x:c r="E3438" t="str">
        <x:v>土豆</x:v>
      </x:c>
      <x:c r="F3438" t="n">
        <x:v>150</x:v>
      </x:c>
      <x:c r="G3438" t="n">
        <x:v>78</x:v>
      </x:c>
      <x:c r="H3438" t="n">
        <x:f>ROUND(F3438*G3438/100,2)</x:f>
        <x:v>117</x:v>
      </x:c>
      <x:c r="I3438" t="n">
        <x:v>2</x:v>
      </x:c>
      <x:c r="J3438" t="n">
        <x:f>ROUND(F3438*I3438/100,2)</x:f>
        <x:v>3</x:v>
      </x:c>
      <x:c r="K3438" t="n">
        <x:v>17.2</x:v>
      </x:c>
      <x:c r="L3438" t="n">
        <x:f>ROUND(F3438*K3438/100,2)</x:f>
        <x:v>25.8</x:v>
      </x:c>
      <x:c r="M3438" t="n">
        <x:v>0.1</x:v>
      </x:c>
      <x:c r="N3438" t="n">
        <x:f>ROUND(F3438*M3438/100,2)</x:f>
        <x:v>0.15</x:v>
      </x:c>
      <x:c r="O3438" t="str">
        <x:v>蒸熟净重</x:v>
      </x:c>
    </x:row>
    <x:row r="3439" ht="23" customHeight="1">
      <x:c r="A3439" t="n">
        <x:v>573</x:v>
      </x:c>
      <x:c r="B3439" t="n">
        <x:v>287</x:v>
      </x:c>
      <x:c r="C3439" t="str">
        <x:v>午餐</x:v>
      </x:c>
      <x:c r="D3439" t="str">
        <x:v>油脂</x:v>
      </x:c>
      <x:c r="E3439" t="str">
        <x:v>烹调油</x:v>
      </x:c>
      <x:c r="F3439" t="n">
        <x:v>5</x:v>
      </x:c>
      <x:c r="G3439" t="n">
        <x:v>900</x:v>
      </x:c>
      <x:c r="H3439" t="n">
        <x:f>ROUND(F3439*G3439/100,2)</x:f>
        <x:v>45</x:v>
      </x:c>
      <x:c r="I3439" t="n">
        <x:v>0</x:v>
      </x:c>
      <x:c r="J3439" t="n">
        <x:f>ROUND(F3439*I3439/100,2)</x:f>
        <x:v>0</x:v>
      </x:c>
      <x:c r="K3439" t="n">
        <x:v>0</x:v>
      </x:c>
      <x:c r="L3439" t="n">
        <x:f>ROUND(F3439*K3439/100,2)</x:f>
        <x:v>0</x:v>
      </x:c>
      <x:c r="M3439" t="n">
        <x:v>100</x:v>
      </x:c>
      <x:c r="N3439" t="n">
        <x:f>ROUND(F3439*M3439/100,2)</x:f>
        <x:v>5</x:v>
      </x:c>
      <x:c r="O3439" t="str">
        <x:v>实际用油重</x:v>
      </x:c>
    </x:row>
    <x:row r="3440" ht="23" customHeight="1">
      <x:c r="A3440" t="n">
        <x:v>574</x:v>
      </x:c>
      <x:c r="B3440" t="n">
        <x:v>287</x:v>
      </x:c>
      <x:c r="C3440" t="str">
        <x:v>晚餐</x:v>
      </x:c>
      <x:c r="D3440" t="str">
        <x:v>豆蛋</x:v>
      </x:c>
      <x:c r="E3440" t="str">
        <x:v>北豆腐</x:v>
      </x:c>
      <x:c r="F3440" t="n">
        <x:v>240</x:v>
      </x:c>
      <x:c r="G3440" t="n">
        <x:v>90</x:v>
      </x:c>
      <x:c r="H3440" t="n">
        <x:f>ROUND(F3440*G3440/100,2)</x:f>
        <x:v>216</x:v>
      </x:c>
      <x:c r="I3440" t="n">
        <x:v>10</x:v>
      </x:c>
      <x:c r="J3440" t="n">
        <x:f>ROUND(F3440*I3440/100,2)</x:f>
        <x:v>24</x:v>
      </x:c>
      <x:c r="K3440" t="n">
        <x:v>2</x:v>
      </x:c>
      <x:c r="L3440" t="n">
        <x:f>ROUND(F3440*K3440/100,2)</x:f>
        <x:v>4.8</x:v>
      </x:c>
      <x:c r="M3440" t="n">
        <x:v>5</x:v>
      </x:c>
      <x:c r="N3440" t="n">
        <x:f>ROUND(F3440*M3440/100,2)</x:f>
        <x:v>12</x:v>
      </x:c>
      <x:c r="O3440" t="str">
        <x:v>净重</x:v>
      </x:c>
    </x:row>
    <x:row r="3441" ht="23" customHeight="1">
      <x:c r="A3441" t="n">
        <x:v>574</x:v>
      </x:c>
      <x:c r="B3441" t="n">
        <x:v>287</x:v>
      </x:c>
      <x:c r="C3441" t="str">
        <x:v>晚餐</x:v>
      </x:c>
      <x:c r="D3441" t="str">
        <x:v>海鲜</x:v>
      </x:c>
      <x:c r="E3441" t="str">
        <x:v>虾仁</x:v>
      </x:c>
      <x:c r="F3441" t="n">
        <x:v>85</x:v>
      </x:c>
      <x:c r="G3441" t="n">
        <x:v>90</x:v>
      </x:c>
      <x:c r="H3441" t="n">
        <x:f>ROUND(F3441*G3441/100,2)</x:f>
        <x:v>76.5</x:v>
      </x:c>
      <x:c r="I3441" t="n">
        <x:v>19</x:v>
      </x:c>
      <x:c r="J3441" t="n">
        <x:f>ROUND(F3441*I3441/100,2)</x:f>
        <x:v>16.15</x:v>
      </x:c>
      <x:c r="K3441" t="n">
        <x:v>0.4</x:v>
      </x:c>
      <x:c r="L3441" t="n">
        <x:f>ROUND(F3441*K3441/100,2)</x:f>
        <x:v>0.34</x:v>
      </x:c>
      <x:c r="M3441" t="n">
        <x:v>1.1</x:v>
      </x:c>
      <x:c r="N3441" t="n">
        <x:f>ROUND(F3441*M3441/100,2)</x:f>
        <x:v>0.94</x:v>
      </x:c>
      <x:c r="O3441" t="str">
        <x:v>生重</x:v>
      </x:c>
    </x:row>
    <x:row r="3442" ht="23" customHeight="1">
      <x:c r="A3442" t="n">
        <x:v>574</x:v>
      </x:c>
      <x:c r="B3442" t="n">
        <x:v>287</x:v>
      </x:c>
      <x:c r="C3442" t="str">
        <x:v>晚餐</x:v>
      </x:c>
      <x:c r="D3442" t="str">
        <x:v>蔬菜</x:v>
      </x:c>
      <x:c r="E3442" t="str">
        <x:v>苦瓜</x:v>
      </x:c>
      <x:c r="F3442" t="n">
        <x:v>190</x:v>
      </x:c>
      <x:c r="G3442" t="n">
        <x:v>19</x:v>
      </x:c>
      <x:c r="H3442" t="n">
        <x:f>ROUND(F3442*G3442/100,2)</x:f>
        <x:v>36.1</x:v>
      </x:c>
      <x:c r="I3442" t="n">
        <x:v>1</x:v>
      </x:c>
      <x:c r="J3442" t="n">
        <x:f>ROUND(F3442*I3442/100,2)</x:f>
        <x:v>1.9</x:v>
      </x:c>
      <x:c r="K3442" t="n">
        <x:v>4.1</x:v>
      </x:c>
      <x:c r="L3442" t="n">
        <x:f>ROUND(F3442*K3442/100,2)</x:f>
        <x:v>7.79</x:v>
      </x:c>
      <x:c r="M3442" t="n">
        <x:v>0.2</x:v>
      </x:c>
      <x:c r="N3442" t="n">
        <x:f>ROUND(F3442*M3442/100,2)</x:f>
        <x:v>0.38</x:v>
      </x:c>
      <x:c r="O3442" t="str">
        <x:v>生重</x:v>
      </x:c>
    </x:row>
    <x:row r="3443" ht="23" customHeight="1">
      <x:c r="A3443" t="n">
        <x:v>574</x:v>
      </x:c>
      <x:c r="B3443" t="n">
        <x:v>287</x:v>
      </x:c>
      <x:c r="C3443" t="str">
        <x:v>晚餐</x:v>
      </x:c>
      <x:c r="D3443" t="str">
        <x:v>蔬菜</x:v>
      </x:c>
      <x:c r="E3443" t="str">
        <x:v>小白菜</x:v>
      </x:c>
      <x:c r="F3443" t="n">
        <x:v>110</x:v>
      </x:c>
      <x:c r="G3443" t="n">
        <x:v>17</x:v>
      </x:c>
      <x:c r="H3443" t="n">
        <x:f>ROUND(F3443*G3443/100,2)</x:f>
        <x:v>18.7</x:v>
      </x:c>
      <x:c r="I3443" t="n">
        <x:v>1.6</x:v>
      </x:c>
      <x:c r="J3443" t="n">
        <x:f>ROUND(F3443*I3443/100,2)</x:f>
        <x:v>1.76</x:v>
      </x:c>
      <x:c r="K3443" t="n">
        <x:v>2.8</x:v>
      </x:c>
      <x:c r="L3443" t="n">
        <x:f>ROUND(F3443*K3443/100,2)</x:f>
        <x:v>3.08</x:v>
      </x:c>
      <x:c r="M3443" t="n">
        <x:v>0.2</x:v>
      </x:c>
      <x:c r="N3443" t="n">
        <x:f>ROUND(F3443*M3443/100,2)</x:f>
        <x:v>0.22</x:v>
      </x:c>
      <x:c r="O3443" t="str">
        <x:v>生重</x:v>
      </x:c>
    </x:row>
    <x:row r="3444" ht="23" customHeight="1">
      <x:c r="A3444" t="n">
        <x:v>574</x:v>
      </x:c>
      <x:c r="B3444" t="n">
        <x:v>287</x:v>
      </x:c>
      <x:c r="C3444" t="str">
        <x:v>晚餐</x:v>
      </x:c>
      <x:c r="D3444" t="str">
        <x:v>主食</x:v>
      </x:c>
      <x:c r="E3444" t="str">
        <x:v>荞麦饭</x:v>
      </x:c>
      <x:c r="F3444" t="n">
        <x:v>110</x:v>
      </x:c>
      <x:c r="G3444" t="n">
        <x:v>110</x:v>
      </x:c>
      <x:c r="H3444" t="n">
        <x:f>ROUND(F3444*G3444/100,2)</x:f>
        <x:v>121</x:v>
      </x:c>
      <x:c r="I3444" t="n">
        <x:v>3.4</x:v>
      </x:c>
      <x:c r="J3444" t="n">
        <x:f>ROUND(F3444*I3444/100,2)</x:f>
        <x:v>3.74</x:v>
      </x:c>
      <x:c r="K3444" t="n">
        <x:v>22</x:v>
      </x:c>
      <x:c r="L3444" t="n">
        <x:f>ROUND(F3444*K3444/100,2)</x:f>
        <x:v>24.2</x:v>
      </x:c>
      <x:c r="M3444" t="n">
        <x:v>1.1</x:v>
      </x:c>
      <x:c r="N3444" t="n">
        <x:f>ROUND(F3444*M3444/100,2)</x:f>
        <x:v>1.21</x:v>
      </x:c>
      <x:c r="O3444" t="str">
        <x:v>熟重</x:v>
      </x:c>
    </x:row>
    <x:row r="3445" ht="23" customHeight="1">
      <x:c r="A3445" t="n">
        <x:v>574</x:v>
      </x:c>
      <x:c r="B3445" t="n">
        <x:v>287</x:v>
      </x:c>
      <x:c r="C3445" t="str">
        <x:v>晚餐</x:v>
      </x:c>
      <x:c r="D3445" t="str">
        <x:v>油脂</x:v>
      </x:c>
      <x:c r="E3445" t="str">
        <x:v>烹调油</x:v>
      </x:c>
      <x:c r="F3445" t="n">
        <x:v>4</x:v>
      </x:c>
      <x:c r="G3445" t="n">
        <x:v>900</x:v>
      </x:c>
      <x:c r="H3445" t="n">
        <x:f>ROUND(F3445*G3445/100,2)</x:f>
        <x:v>36</x:v>
      </x:c>
      <x:c r="I3445" t="n">
        <x:v>0</x:v>
      </x:c>
      <x:c r="J3445" t="n">
        <x:f>ROUND(F3445*I3445/100,2)</x:f>
        <x:v>0</x:v>
      </x:c>
      <x:c r="K3445" t="n">
        <x:v>0</x:v>
      </x:c>
      <x:c r="L3445" t="n">
        <x:f>ROUND(F3445*K3445/100,2)</x:f>
        <x:v>0</x:v>
      </x:c>
      <x:c r="M3445" t="n">
        <x:v>100</x:v>
      </x:c>
      <x:c r="N3445" t="n">
        <x:f>ROUND(F3445*M3445/100,2)</x:f>
        <x:v>4</x:v>
      </x:c>
      <x:c r="O3445" t="str">
        <x:v>实际用油重</x:v>
      </x:c>
    </x:row>
    <x:row r="3446" ht="23" customHeight="1">
      <x:c r="A3446" t="n">
        <x:v>575</x:v>
      </x:c>
      <x:c r="B3446" t="n">
        <x:v>288</x:v>
      </x:c>
      <x:c r="C3446" t="str">
        <x:v>午餐</x:v>
      </x:c>
      <x:c r="D3446" t="str">
        <x:v>禽肉</x:v>
      </x:c>
      <x:c r="E3446" t="str">
        <x:v>鸡胸肉</x:v>
      </x:c>
      <x:c r="F3446" t="n">
        <x:v>165</x:v>
      </x:c>
      <x:c r="G3446" t="n">
        <x:v>110</x:v>
      </x:c>
      <x:c r="H3446" t="n">
        <x:f>ROUND(F3446*G3446/100,2)</x:f>
        <x:v>181.5</x:v>
      </x:c>
      <x:c r="I3446" t="n">
        <x:v>23</x:v>
      </x:c>
      <x:c r="J3446" t="n">
        <x:f>ROUND(F3446*I3446/100,2)</x:f>
        <x:v>37.95</x:v>
      </x:c>
      <x:c r="K3446" t="n">
        <x:v>0</x:v>
      </x:c>
      <x:c r="L3446" t="n">
        <x:f>ROUND(F3446*K3446/100,2)</x:f>
        <x:v>0</x:v>
      </x:c>
      <x:c r="M3446" t="n">
        <x:v>2</x:v>
      </x:c>
      <x:c r="N3446" t="n">
        <x:f>ROUND(F3446*M3446/100,2)</x:f>
        <x:v>3.3</x:v>
      </x:c>
      <x:c r="O3446" t="str">
        <x:v>生重</x:v>
      </x:c>
    </x:row>
    <x:row r="3447" ht="23" customHeight="1">
      <x:c r="A3447" t="n">
        <x:v>575</x:v>
      </x:c>
      <x:c r="B3447" t="n">
        <x:v>288</x:v>
      </x:c>
      <x:c r="C3447" t="str">
        <x:v>午餐</x:v>
      </x:c>
      <x:c r="D3447" t="str"/>
      <x:c r="E3447" t="str"/>
      <x:c r="F3447" t="n">
        <x:v>0</x:v>
      </x:c>
      <x:c r="G3447" t="n">
        <x:v>0</x:v>
      </x:c>
      <x:c r="H3447" t="n">
        <x:f>ROUND(F3447*G3447/100,2)</x:f>
        <x:v>0</x:v>
      </x:c>
      <x:c r="I3447" t="n">
        <x:v>0</x:v>
      </x:c>
      <x:c r="J3447" t="n">
        <x:f>ROUND(F3447*I3447/100,2)</x:f>
        <x:v>0</x:v>
      </x:c>
      <x:c r="K3447" t="n">
        <x:v>0</x:v>
      </x:c>
      <x:c r="L3447" t="n">
        <x:f>ROUND(F3447*K3447/100,2)</x:f>
        <x:v>0</x:v>
      </x:c>
      <x:c r="M3447" t="n">
        <x:v>0</x:v>
      </x:c>
      <x:c r="N3447" t="n">
        <x:f>ROUND(F3447*M3447/100,2)</x:f>
        <x:v>0</x:v>
      </x:c>
      <x:c r="O3447" t="str"/>
    </x:row>
    <x:row r="3448" ht="23" customHeight="1">
      <x:c r="A3448" t="n">
        <x:v>575</x:v>
      </x:c>
      <x:c r="B3448" t="n">
        <x:v>288</x:v>
      </x:c>
      <x:c r="C3448" t="str">
        <x:v>午餐</x:v>
      </x:c>
      <x:c r="D3448" t="str">
        <x:v>蔬菜</x:v>
      </x:c>
      <x:c r="E3448" t="str">
        <x:v>菜心</x:v>
      </x:c>
      <x:c r="F3448" t="n">
        <x:v>160</x:v>
      </x:c>
      <x:c r="G3448" t="n">
        <x:v>20</x:v>
      </x:c>
      <x:c r="H3448" t="n">
        <x:f>ROUND(F3448*G3448/100,2)</x:f>
        <x:v>32</x:v>
      </x:c>
      <x:c r="I3448" t="n">
        <x:v>2</x:v>
      </x:c>
      <x:c r="J3448" t="n">
        <x:f>ROUND(F3448*I3448/100,2)</x:f>
        <x:v>3.2</x:v>
      </x:c>
      <x:c r="K3448" t="n">
        <x:v>3.5</x:v>
      </x:c>
      <x:c r="L3448" t="n">
        <x:f>ROUND(F3448*K3448/100,2)</x:f>
        <x:v>5.6</x:v>
      </x:c>
      <x:c r="M3448" t="n">
        <x:v>0.3</x:v>
      </x:c>
      <x:c r="N3448" t="n">
        <x:f>ROUND(F3448*M3448/100,2)</x:f>
        <x:v>0.48</x:v>
      </x:c>
      <x:c r="O3448" t="str">
        <x:v>生重</x:v>
      </x:c>
    </x:row>
    <x:row r="3449" ht="23" customHeight="1">
      <x:c r="A3449" t="n">
        <x:v>575</x:v>
      </x:c>
      <x:c r="B3449" t="n">
        <x:v>288</x:v>
      </x:c>
      <x:c r="C3449" t="str">
        <x:v>午餐</x:v>
      </x:c>
      <x:c r="D3449" t="str">
        <x:v>蔬菜</x:v>
      </x:c>
      <x:c r="E3449" t="str">
        <x:v>绿豆芽</x:v>
      </x:c>
      <x:c r="F3449" t="n">
        <x:v>140</x:v>
      </x:c>
      <x:c r="G3449" t="n">
        <x:v>31</x:v>
      </x:c>
      <x:c r="H3449" t="n">
        <x:f>ROUND(F3449*G3449/100,2)</x:f>
        <x:v>43.4</x:v>
      </x:c>
      <x:c r="I3449" t="n">
        <x:v>3</x:v>
      </x:c>
      <x:c r="J3449" t="n">
        <x:f>ROUND(F3449*I3449/100,2)</x:f>
        <x:v>4.2</x:v>
      </x:c>
      <x:c r="K3449" t="n">
        <x:v>6</x:v>
      </x:c>
      <x:c r="L3449" t="n">
        <x:f>ROUND(F3449*K3449/100,2)</x:f>
        <x:v>8.4</x:v>
      </x:c>
      <x:c r="M3449" t="n">
        <x:v>0.2</x:v>
      </x:c>
      <x:c r="N3449" t="n">
        <x:f>ROUND(F3449*M3449/100,2)</x:f>
        <x:v>0.28</x:v>
      </x:c>
      <x:c r="O3449" t="str">
        <x:v>生重</x:v>
      </x:c>
    </x:row>
    <x:row r="3450" ht="23" customHeight="1">
      <x:c r="A3450" t="n">
        <x:v>575</x:v>
      </x:c>
      <x:c r="B3450" t="n">
        <x:v>288</x:v>
      </x:c>
      <x:c r="C3450" t="str">
        <x:v>午餐</x:v>
      </x:c>
      <x:c r="D3450" t="str">
        <x:v>主食</x:v>
      </x:c>
      <x:c r="E3450" t="str">
        <x:v>乌冬面</x:v>
      </x:c>
      <x:c r="F3450" t="n">
        <x:v>165</x:v>
      </x:c>
      <x:c r="G3450" t="n">
        <x:v>120</x:v>
      </x:c>
      <x:c r="H3450" t="n">
        <x:f>ROUND(F3450*G3450/100,2)</x:f>
        <x:v>198</x:v>
      </x:c>
      <x:c r="I3450" t="n">
        <x:v>2.5</x:v>
      </x:c>
      <x:c r="J3450" t="n">
        <x:f>ROUND(F3450*I3450/100,2)</x:f>
        <x:v>4.13</x:v>
      </x:c>
      <x:c r="K3450" t="n">
        <x:v>25</x:v>
      </x:c>
      <x:c r="L3450" t="n">
        <x:f>ROUND(F3450*K3450/100,2)</x:f>
        <x:v>41.25</x:v>
      </x:c>
      <x:c r="M3450" t="n">
        <x:v>0.6</x:v>
      </x:c>
      <x:c r="N3450" t="n">
        <x:f>ROUND(F3450*M3450/100,2)</x:f>
        <x:v>0.99</x:v>
      </x:c>
      <x:c r="O3450" t="str">
        <x:v>煮熟沥水重</x:v>
      </x:c>
    </x:row>
    <x:row r="3451" ht="23" customHeight="1">
      <x:c r="A3451" t="n">
        <x:v>575</x:v>
      </x:c>
      <x:c r="B3451" t="n">
        <x:v>288</x:v>
      </x:c>
      <x:c r="C3451" t="str">
        <x:v>午餐</x:v>
      </x:c>
      <x:c r="D3451" t="str">
        <x:v>油脂</x:v>
      </x:c>
      <x:c r="E3451" t="str">
        <x:v>烹调油</x:v>
      </x:c>
      <x:c r="F3451" t="n">
        <x:v>3</x:v>
      </x:c>
      <x:c r="G3451" t="n">
        <x:v>900</x:v>
      </x:c>
      <x:c r="H3451" t="n">
        <x:f>ROUND(F3451*G3451/100,2)</x:f>
        <x:v>27</x:v>
      </x:c>
      <x:c r="I3451" t="n">
        <x:v>0</x:v>
      </x:c>
      <x:c r="J3451" t="n">
        <x:f>ROUND(F3451*I3451/100,2)</x:f>
        <x:v>0</x:v>
      </x:c>
      <x:c r="K3451" t="n">
        <x:v>0</x:v>
      </x:c>
      <x:c r="L3451" t="n">
        <x:f>ROUND(F3451*K3451/100,2)</x:f>
        <x:v>0</x:v>
      </x:c>
      <x:c r="M3451" t="n">
        <x:v>100</x:v>
      </x:c>
      <x:c r="N3451" t="n">
        <x:f>ROUND(F3451*M3451/100,2)</x:f>
        <x:v>3</x:v>
      </x:c>
      <x:c r="O3451" t="str">
        <x:v>实际用油重</x:v>
      </x:c>
    </x:row>
    <x:row r="3452" ht="23" customHeight="1">
      <x:c r="A3452" t="n">
        <x:v>576</x:v>
      </x:c>
      <x:c r="B3452" t="n">
        <x:v>288</x:v>
      </x:c>
      <x:c r="C3452" t="str">
        <x:v>晚餐</x:v>
      </x:c>
      <x:c r="D3452" t="str">
        <x:v>海鲜</x:v>
      </x:c>
      <x:c r="E3452" t="str">
        <x:v>虾仁</x:v>
      </x:c>
      <x:c r="F3452" t="n">
        <x:v>190</x:v>
      </x:c>
      <x:c r="G3452" t="n">
        <x:v>90</x:v>
      </x:c>
      <x:c r="H3452" t="n">
        <x:f>ROUND(F3452*G3452/100,2)</x:f>
        <x:v>171</x:v>
      </x:c>
      <x:c r="I3452" t="n">
        <x:v>19</x:v>
      </x:c>
      <x:c r="J3452" t="n">
        <x:f>ROUND(F3452*I3452/100,2)</x:f>
        <x:v>36.1</x:v>
      </x:c>
      <x:c r="K3452" t="n">
        <x:v>0.4</x:v>
      </x:c>
      <x:c r="L3452" t="n">
        <x:f>ROUND(F3452*K3452/100,2)</x:f>
        <x:v>0.76</x:v>
      </x:c>
      <x:c r="M3452" t="n">
        <x:v>1.1</x:v>
      </x:c>
      <x:c r="N3452" t="n">
        <x:f>ROUND(F3452*M3452/100,2)</x:f>
        <x:v>2.09</x:v>
      </x:c>
      <x:c r="O3452" t="str">
        <x:v>生重</x:v>
      </x:c>
    </x:row>
    <x:row r="3453" ht="23" customHeight="1">
      <x:c r="A3453" t="n">
        <x:v>576</x:v>
      </x:c>
      <x:c r="B3453" t="n">
        <x:v>288</x:v>
      </x:c>
      <x:c r="C3453" t="str">
        <x:v>晚餐</x:v>
      </x:c>
      <x:c r="D3453" t="str"/>
      <x:c r="E3453" t="str"/>
      <x:c r="F3453" t="n">
        <x:v>0</x:v>
      </x:c>
      <x:c r="G3453" t="n">
        <x:v>0</x:v>
      </x:c>
      <x:c r="H3453" t="n">
        <x:f>ROUND(F3453*G3453/100,2)</x:f>
        <x:v>0</x:v>
      </x:c>
      <x:c r="I3453" t="n">
        <x:v>0</x:v>
      </x:c>
      <x:c r="J3453" t="n">
        <x:f>ROUND(F3453*I3453/100,2)</x:f>
        <x:v>0</x:v>
      </x:c>
      <x:c r="K3453" t="n">
        <x:v>0</x:v>
      </x:c>
      <x:c r="L3453" t="n">
        <x:f>ROUND(F3453*K3453/100,2)</x:f>
        <x:v>0</x:v>
      </x:c>
      <x:c r="M3453" t="n">
        <x:v>0</x:v>
      </x:c>
      <x:c r="N3453" t="n">
        <x:f>ROUND(F3453*M3453/100,2)</x:f>
        <x:v>0</x:v>
      </x:c>
      <x:c r="O3453" t="str"/>
    </x:row>
    <x:row r="3454" ht="23" customHeight="1">
      <x:c r="A3454" t="n">
        <x:v>576</x:v>
      </x:c>
      <x:c r="B3454" t="n">
        <x:v>288</x:v>
      </x:c>
      <x:c r="C3454" t="str">
        <x:v>晚餐</x:v>
      </x:c>
      <x:c r="D3454" t="str">
        <x:v>蔬菜</x:v>
      </x:c>
      <x:c r="E3454" t="str">
        <x:v>黄瓜</x:v>
      </x:c>
      <x:c r="F3454" t="n">
        <x:v>160</x:v>
      </x:c>
      <x:c r="G3454" t="n">
        <x:v>16</x:v>
      </x:c>
      <x:c r="H3454" t="n">
        <x:f>ROUND(F3454*G3454/100,2)</x:f>
        <x:v>25.6</x:v>
      </x:c>
      <x:c r="I3454" t="n">
        <x:v>0.7</x:v>
      </x:c>
      <x:c r="J3454" t="n">
        <x:f>ROUND(F3454*I3454/100,2)</x:f>
        <x:v>1.12</x:v>
      </x:c>
      <x:c r="K3454" t="n">
        <x:v>3.6</x:v>
      </x:c>
      <x:c r="L3454" t="n">
        <x:f>ROUND(F3454*K3454/100,2)</x:f>
        <x:v>5.76</x:v>
      </x:c>
      <x:c r="M3454" t="n">
        <x:v>0.1</x:v>
      </x:c>
      <x:c r="N3454" t="n">
        <x:f>ROUND(F3454*M3454/100,2)</x:f>
        <x:v>0.16</x:v>
      </x:c>
      <x:c r="O3454" t="str">
        <x:v>生重</x:v>
      </x:c>
    </x:row>
    <x:row r="3455" ht="23" customHeight="1">
      <x:c r="A3455" t="n">
        <x:v>576</x:v>
      </x:c>
      <x:c r="B3455" t="n">
        <x:v>288</x:v>
      </x:c>
      <x:c r="C3455" t="str">
        <x:v>晚餐</x:v>
      </x:c>
      <x:c r="D3455" t="str">
        <x:v>蔬菜</x:v>
      </x:c>
      <x:c r="E3455" t="str">
        <x:v>菜心</x:v>
      </x:c>
      <x:c r="F3455" t="n">
        <x:v>140</x:v>
      </x:c>
      <x:c r="G3455" t="n">
        <x:v>20</x:v>
      </x:c>
      <x:c r="H3455" t="n">
        <x:f>ROUND(F3455*G3455/100,2)</x:f>
        <x:v>28</x:v>
      </x:c>
      <x:c r="I3455" t="n">
        <x:v>2</x:v>
      </x:c>
      <x:c r="J3455" t="n">
        <x:f>ROUND(F3455*I3455/100,2)</x:f>
        <x:v>2.8</x:v>
      </x:c>
      <x:c r="K3455" t="n">
        <x:v>3.5</x:v>
      </x:c>
      <x:c r="L3455" t="n">
        <x:f>ROUND(F3455*K3455/100,2)</x:f>
        <x:v>4.9</x:v>
      </x:c>
      <x:c r="M3455" t="n">
        <x:v>0.3</x:v>
      </x:c>
      <x:c r="N3455" t="n">
        <x:f>ROUND(F3455*M3455/100,2)</x:f>
        <x:v>0.42</x:v>
      </x:c>
      <x:c r="O3455" t="str">
        <x:v>生重</x:v>
      </x:c>
    </x:row>
    <x:row r="3456" ht="23" customHeight="1">
      <x:c r="A3456" t="n">
        <x:v>576</x:v>
      </x:c>
      <x:c r="B3456" t="n">
        <x:v>288</x:v>
      </x:c>
      <x:c r="C3456" t="str">
        <x:v>晚餐</x:v>
      </x:c>
      <x:c r="D3456" t="str">
        <x:v>主食</x:v>
      </x:c>
      <x:c r="E3456" t="str">
        <x:v>乌冬面</x:v>
      </x:c>
      <x:c r="F3456" t="n">
        <x:v>80</x:v>
      </x:c>
      <x:c r="G3456" t="n">
        <x:v>120</x:v>
      </x:c>
      <x:c r="H3456" t="n">
        <x:f>ROUND(F3456*G3456/100,2)</x:f>
        <x:v>96</x:v>
      </x:c>
      <x:c r="I3456" t="n">
        <x:v>2.5</x:v>
      </x:c>
      <x:c r="J3456" t="n">
        <x:f>ROUND(F3456*I3456/100,2)</x:f>
        <x:v>2</x:v>
      </x:c>
      <x:c r="K3456" t="n">
        <x:v>25</x:v>
      </x:c>
      <x:c r="L3456" t="n">
        <x:f>ROUND(F3456*K3456/100,2)</x:f>
        <x:v>20</x:v>
      </x:c>
      <x:c r="M3456" t="n">
        <x:v>0.6</x:v>
      </x:c>
      <x:c r="N3456" t="n">
        <x:f>ROUND(F3456*M3456/100,2)</x:f>
        <x:v>0.48</x:v>
      </x:c>
      <x:c r="O3456" t="str">
        <x:v>煮熟沥水重</x:v>
      </x:c>
    </x:row>
    <x:row r="3457" ht="23" customHeight="1">
      <x:c r="A3457" t="n">
        <x:v>576</x:v>
      </x:c>
      <x:c r="B3457" t="n">
        <x:v>288</x:v>
      </x:c>
      <x:c r="C3457" t="str">
        <x:v>晚餐</x:v>
      </x:c>
      <x:c r="D3457" t="str">
        <x:v>油脂</x:v>
      </x:c>
      <x:c r="E3457" t="str">
        <x:v>烹调油</x:v>
      </x:c>
      <x:c r="F3457" t="n">
        <x:v>6</x:v>
      </x:c>
      <x:c r="G3457" t="n">
        <x:v>900</x:v>
      </x:c>
      <x:c r="H3457" t="n">
        <x:f>ROUND(F3457*G3457/100,2)</x:f>
        <x:v>54</x:v>
      </x:c>
      <x:c r="I3457" t="n">
        <x:v>0</x:v>
      </x:c>
      <x:c r="J3457" t="n">
        <x:f>ROUND(F3457*I3457/100,2)</x:f>
        <x:v>0</x:v>
      </x:c>
      <x:c r="K3457" t="n">
        <x:v>0</x:v>
      </x:c>
      <x:c r="L3457" t="n">
        <x:f>ROUND(F3457*K3457/100,2)</x:f>
        <x:v>0</x:v>
      </x:c>
      <x:c r="M3457" t="n">
        <x:v>100</x:v>
      </x:c>
      <x:c r="N3457" t="n">
        <x:f>ROUND(F3457*M3457/100,2)</x:f>
        <x:v>6</x:v>
      </x:c>
      <x:c r="O3457" t="str">
        <x:v>实际用油重</x:v>
      </x:c>
    </x:row>
    <x:row r="3458" ht="23" customHeight="1">
      <x:c r="A3458" t="n">
        <x:v>577</x:v>
      </x:c>
      <x:c r="B3458" t="n">
        <x:v>289</x:v>
      </x:c>
      <x:c r="C3458" t="str">
        <x:v>午餐</x:v>
      </x:c>
      <x:c r="D3458" t="str">
        <x:v>豆蛋</x:v>
      </x:c>
      <x:c r="E3458" t="str">
        <x:v>北豆腐</x:v>
      </x:c>
      <x:c r="F3458" t="n">
        <x:v>240</x:v>
      </x:c>
      <x:c r="G3458" t="n">
        <x:v>90</x:v>
      </x:c>
      <x:c r="H3458" t="n">
        <x:f>ROUND(F3458*G3458/100,2)</x:f>
        <x:v>216</x:v>
      </x:c>
      <x:c r="I3458" t="n">
        <x:v>10</x:v>
      </x:c>
      <x:c r="J3458" t="n">
        <x:f>ROUND(F3458*I3458/100,2)</x:f>
        <x:v>24</x:v>
      </x:c>
      <x:c r="K3458" t="n">
        <x:v>2</x:v>
      </x:c>
      <x:c r="L3458" t="n">
        <x:f>ROUND(F3458*K3458/100,2)</x:f>
        <x:v>4.8</x:v>
      </x:c>
      <x:c r="M3458" t="n">
        <x:v>5</x:v>
      </x:c>
      <x:c r="N3458" t="n">
        <x:f>ROUND(F3458*M3458/100,2)</x:f>
        <x:v>12</x:v>
      </x:c>
      <x:c r="O3458" t="str">
        <x:v>净重</x:v>
      </x:c>
    </x:row>
    <x:row r="3459" ht="23" customHeight="1">
      <x:c r="A3459" t="n">
        <x:v>577</x:v>
      </x:c>
      <x:c r="B3459" t="n">
        <x:v>289</x:v>
      </x:c>
      <x:c r="C3459" t="str">
        <x:v>午餐</x:v>
      </x:c>
      <x:c r="D3459" t="str">
        <x:v>豆蛋</x:v>
      </x:c>
      <x:c r="E3459" t="str">
        <x:v>熟毛豆仁</x:v>
      </x:c>
      <x:c r="F3459" t="n">
        <x:v>70</x:v>
      </x:c>
      <x:c r="G3459" t="n">
        <x:v>120</x:v>
      </x:c>
      <x:c r="H3459" t="n">
        <x:f>ROUND(F3459*G3459/100,2)</x:f>
        <x:v>84</x:v>
      </x:c>
      <x:c r="I3459" t="n">
        <x:v>12</x:v>
      </x:c>
      <x:c r="J3459" t="n">
        <x:f>ROUND(F3459*I3459/100,2)</x:f>
        <x:v>8.4</x:v>
      </x:c>
      <x:c r="K3459" t="n">
        <x:v>9</x:v>
      </x:c>
      <x:c r="L3459" t="n">
        <x:f>ROUND(F3459*K3459/100,2)</x:f>
        <x:v>6.3</x:v>
      </x:c>
      <x:c r="M3459" t="n">
        <x:v>5</x:v>
      </x:c>
      <x:c r="N3459" t="n">
        <x:f>ROUND(F3459*M3459/100,2)</x:f>
        <x:v>3.5</x:v>
      </x:c>
      <x:c r="O3459" t="str">
        <x:v>熟重</x:v>
      </x:c>
    </x:row>
    <x:row r="3460" ht="23" customHeight="1">
      <x:c r="A3460" t="n">
        <x:v>577</x:v>
      </x:c>
      <x:c r="B3460" t="n">
        <x:v>289</x:v>
      </x:c>
      <x:c r="C3460" t="str">
        <x:v>午餐</x:v>
      </x:c>
      <x:c r="D3460" t="str">
        <x:v>蔬菜</x:v>
      </x:c>
      <x:c r="E3460" t="str">
        <x:v>生菜</x:v>
      </x:c>
      <x:c r="F3460" t="n">
        <x:v>190</x:v>
      </x:c>
      <x:c r="G3460" t="n">
        <x:v>16</x:v>
      </x:c>
      <x:c r="H3460" t="n">
        <x:f>ROUND(F3460*G3460/100,2)</x:f>
        <x:v>30.4</x:v>
      </x:c>
      <x:c r="I3460" t="n">
        <x:v>1.4</x:v>
      </x:c>
      <x:c r="J3460" t="n">
        <x:f>ROUND(F3460*I3460/100,2)</x:f>
        <x:v>2.66</x:v>
      </x:c>
      <x:c r="K3460" t="n">
        <x:v>2.9</x:v>
      </x:c>
      <x:c r="L3460" t="n">
        <x:f>ROUND(F3460*K3460/100,2)</x:f>
        <x:v>5.51</x:v>
      </x:c>
      <x:c r="M3460" t="n">
        <x:v>0.1</x:v>
      </x:c>
      <x:c r="N3460" t="n">
        <x:f>ROUND(F3460*M3460/100,2)</x:f>
        <x:v>0.19</x:v>
      </x:c>
      <x:c r="O3460" t="str">
        <x:v>生重</x:v>
      </x:c>
    </x:row>
    <x:row r="3461" ht="23" customHeight="1">
      <x:c r="A3461" t="n">
        <x:v>577</x:v>
      </x:c>
      <x:c r="B3461" t="n">
        <x:v>289</x:v>
      </x:c>
      <x:c r="C3461" t="str">
        <x:v>午餐</x:v>
      </x:c>
      <x:c r="D3461" t="str">
        <x:v>菌菇</x:v>
      </x:c>
      <x:c r="E3461" t="str">
        <x:v>金针菇</x:v>
      </x:c>
      <x:c r="F3461" t="n">
        <x:v>125</x:v>
      </x:c>
      <x:c r="G3461" t="n">
        <x:v>32</x:v>
      </x:c>
      <x:c r="H3461" t="n">
        <x:f>ROUND(F3461*G3461/100,2)</x:f>
        <x:v>40</x:v>
      </x:c>
      <x:c r="I3461" t="n">
        <x:v>2.4</x:v>
      </x:c>
      <x:c r="J3461" t="n">
        <x:f>ROUND(F3461*I3461/100,2)</x:f>
        <x:v>3</x:v>
      </x:c>
      <x:c r="K3461" t="n">
        <x:v>6.4</x:v>
      </x:c>
      <x:c r="L3461" t="n">
        <x:f>ROUND(F3461*K3461/100,2)</x:f>
        <x:v>8</x:v>
      </x:c>
      <x:c r="M3461" t="n">
        <x:v>0.2</x:v>
      </x:c>
      <x:c r="N3461" t="n">
        <x:f>ROUND(F3461*M3461/100,2)</x:f>
        <x:v>0.25</x:v>
      </x:c>
      <x:c r="O3461" t="str">
        <x:v>生重</x:v>
      </x:c>
    </x:row>
    <x:row r="3462" ht="23" customHeight="1">
      <x:c r="A3462" t="n">
        <x:v>577</x:v>
      </x:c>
      <x:c r="B3462" t="n">
        <x:v>289</x:v>
      </x:c>
      <x:c r="C3462" t="str">
        <x:v>午餐</x:v>
      </x:c>
      <x:c r="D3462" t="str">
        <x:v>主食</x:v>
      </x:c>
      <x:c r="E3462" t="str">
        <x:v>荞麦饭</x:v>
      </x:c>
      <x:c r="F3462" t="n">
        <x:v>135</x:v>
      </x:c>
      <x:c r="G3462" t="n">
        <x:v>110</x:v>
      </x:c>
      <x:c r="H3462" t="n">
        <x:f>ROUND(F3462*G3462/100,2)</x:f>
        <x:v>148.5</x:v>
      </x:c>
      <x:c r="I3462" t="n">
        <x:v>3.4</x:v>
      </x:c>
      <x:c r="J3462" t="n">
        <x:f>ROUND(F3462*I3462/100,2)</x:f>
        <x:v>4.59</x:v>
      </x:c>
      <x:c r="K3462" t="n">
        <x:v>22</x:v>
      </x:c>
      <x:c r="L3462" t="n">
        <x:f>ROUND(F3462*K3462/100,2)</x:f>
        <x:v>29.7</x:v>
      </x:c>
      <x:c r="M3462" t="n">
        <x:v>1.1</x:v>
      </x:c>
      <x:c r="N3462" t="n">
        <x:f>ROUND(F3462*M3462/100,2)</x:f>
        <x:v>1.49</x:v>
      </x:c>
      <x:c r="O3462" t="str">
        <x:v>熟重</x:v>
      </x:c>
    </x:row>
    <x:row r="3463" ht="23" customHeight="1">
      <x:c r="A3463" t="n">
        <x:v>577</x:v>
      </x:c>
      <x:c r="B3463" t="n">
        <x:v>289</x:v>
      </x:c>
      <x:c r="C3463" t="str">
        <x:v>午餐</x:v>
      </x:c>
      <x:c r="D3463" t="str">
        <x:v>油脂</x:v>
      </x:c>
      <x:c r="E3463" t="str">
        <x:v>烹调油</x:v>
      </x:c>
      <x:c r="F3463" t="n">
        <x:v>5</x:v>
      </x:c>
      <x:c r="G3463" t="n">
        <x:v>900</x:v>
      </x:c>
      <x:c r="H3463" t="n">
        <x:f>ROUND(F3463*G3463/100,2)</x:f>
        <x:v>45</x:v>
      </x:c>
      <x:c r="I3463" t="n">
        <x:v>0</x:v>
      </x:c>
      <x:c r="J3463" t="n">
        <x:f>ROUND(F3463*I3463/100,2)</x:f>
        <x:v>0</x:v>
      </x:c>
      <x:c r="K3463" t="n">
        <x:v>0</x:v>
      </x:c>
      <x:c r="L3463" t="n">
        <x:f>ROUND(F3463*K3463/100,2)</x:f>
        <x:v>0</x:v>
      </x:c>
      <x:c r="M3463" t="n">
        <x:v>100</x:v>
      </x:c>
      <x:c r="N3463" t="n">
        <x:f>ROUND(F3463*M3463/100,2)</x:f>
        <x:v>5</x:v>
      </x:c>
      <x:c r="O3463" t="str">
        <x:v>实际用油重</x:v>
      </x:c>
    </x:row>
    <x:row r="3464" ht="23" customHeight="1">
      <x:c r="A3464" t="n">
        <x:v>578</x:v>
      </x:c>
      <x:c r="B3464" t="n">
        <x:v>289</x:v>
      </x:c>
      <x:c r="C3464" t="str">
        <x:v>晚餐</x:v>
      </x:c>
      <x:c r="D3464" t="str">
        <x:v>禽肉</x:v>
      </x:c>
      <x:c r="E3464" t="str">
        <x:v>去皮鸡腿肉</x:v>
      </x:c>
      <x:c r="F3464" t="n">
        <x:v>180</x:v>
      </x:c>
      <x:c r="G3464" t="n">
        <x:v>125</x:v>
      </x:c>
      <x:c r="H3464" t="n">
        <x:f>ROUND(F3464*G3464/100,2)</x:f>
        <x:v>225</x:v>
      </x:c>
      <x:c r="I3464" t="n">
        <x:v>20</x:v>
      </x:c>
      <x:c r="J3464" t="n">
        <x:f>ROUND(F3464*I3464/100,2)</x:f>
        <x:v>36</x:v>
      </x:c>
      <x:c r="K3464" t="n">
        <x:v>0</x:v>
      </x:c>
      <x:c r="L3464" t="n">
        <x:f>ROUND(F3464*K3464/100,2)</x:f>
        <x:v>0</x:v>
      </x:c>
      <x:c r="M3464" t="n">
        <x:v>5</x:v>
      </x:c>
      <x:c r="N3464" t="n">
        <x:f>ROUND(F3464*M3464/100,2)</x:f>
        <x:v>9</x:v>
      </x:c>
      <x:c r="O3464" t="str">
        <x:v>生重</x:v>
      </x:c>
    </x:row>
    <x:row r="3465" ht="23" customHeight="1">
      <x:c r="A3465" t="n">
        <x:v>578</x:v>
      </x:c>
      <x:c r="B3465" t="n">
        <x:v>289</x:v>
      </x:c>
      <x:c r="C3465" t="str">
        <x:v>晚餐</x:v>
      </x:c>
      <x:c r="D3465" t="str">
        <x:v>豆蛋</x:v>
      </x:c>
      <x:c r="E3465" t="str">
        <x:v>熟毛豆仁</x:v>
      </x:c>
      <x:c r="F3465" t="n">
        <x:v>70</x:v>
      </x:c>
      <x:c r="G3465" t="n">
        <x:v>120</x:v>
      </x:c>
      <x:c r="H3465" t="n">
        <x:f>ROUND(F3465*G3465/100,2)</x:f>
        <x:v>84</x:v>
      </x:c>
      <x:c r="I3465" t="n">
        <x:v>12</x:v>
      </x:c>
      <x:c r="J3465" t="n">
        <x:f>ROUND(F3465*I3465/100,2)</x:f>
        <x:v>8.4</x:v>
      </x:c>
      <x:c r="K3465" t="n">
        <x:v>9</x:v>
      </x:c>
      <x:c r="L3465" t="n">
        <x:f>ROUND(F3465*K3465/100,2)</x:f>
        <x:v>6.3</x:v>
      </x:c>
      <x:c r="M3465" t="n">
        <x:v>5</x:v>
      </x:c>
      <x:c r="N3465" t="n">
        <x:f>ROUND(F3465*M3465/100,2)</x:f>
        <x:v>3.5</x:v>
      </x:c>
      <x:c r="O3465" t="str">
        <x:v>熟重</x:v>
      </x:c>
    </x:row>
    <x:row r="3466" ht="23" customHeight="1">
      <x:c r="A3466" t="n">
        <x:v>578</x:v>
      </x:c>
      <x:c r="B3466" t="n">
        <x:v>289</x:v>
      </x:c>
      <x:c r="C3466" t="str">
        <x:v>晚餐</x:v>
      </x:c>
      <x:c r="D3466" t="str">
        <x:v>蔬菜</x:v>
      </x:c>
      <x:c r="E3466" t="str">
        <x:v>紫甘蓝</x:v>
      </x:c>
      <x:c r="F3466" t="n">
        <x:v>160</x:v>
      </x:c>
      <x:c r="G3466" t="n">
        <x:v>31</x:v>
      </x:c>
      <x:c r="H3466" t="n">
        <x:f>ROUND(F3466*G3466/100,2)</x:f>
        <x:v>49.6</x:v>
      </x:c>
      <x:c r="I3466" t="n">
        <x:v>1.4</x:v>
      </x:c>
      <x:c r="J3466" t="n">
        <x:f>ROUND(F3466*I3466/100,2)</x:f>
        <x:v>2.24</x:v>
      </x:c>
      <x:c r="K3466" t="n">
        <x:v>7.3</x:v>
      </x:c>
      <x:c r="L3466" t="n">
        <x:f>ROUND(F3466*K3466/100,2)</x:f>
        <x:v>11.68</x:v>
      </x:c>
      <x:c r="M3466" t="n">
        <x:v>0.1</x:v>
      </x:c>
      <x:c r="N3466" t="n">
        <x:f>ROUND(F3466*M3466/100,2)</x:f>
        <x:v>0.16</x:v>
      </x:c>
      <x:c r="O3466" t="str">
        <x:v>生重</x:v>
      </x:c>
    </x:row>
    <x:row r="3467" ht="23" customHeight="1">
      <x:c r="A3467" t="n">
        <x:v>578</x:v>
      </x:c>
      <x:c r="B3467" t="n">
        <x:v>289</x:v>
      </x:c>
      <x:c r="C3467" t="str">
        <x:v>晚餐</x:v>
      </x:c>
      <x:c r="D3467" t="str">
        <x:v>蔬菜</x:v>
      </x:c>
      <x:c r="E3467" t="str">
        <x:v>西兰花</x:v>
      </x:c>
      <x:c r="F3467" t="n">
        <x:v>155</x:v>
      </x:c>
      <x:c r="G3467" t="n">
        <x:v>34</x:v>
      </x:c>
      <x:c r="H3467" t="n">
        <x:f>ROUND(F3467*G3467/100,2)</x:f>
        <x:v>52.7</x:v>
      </x:c>
      <x:c r="I3467" t="n">
        <x:v>2.8</x:v>
      </x:c>
      <x:c r="J3467" t="n">
        <x:f>ROUND(F3467*I3467/100,2)</x:f>
        <x:v>4.34</x:v>
      </x:c>
      <x:c r="K3467" t="n">
        <x:v>7</x:v>
      </x:c>
      <x:c r="L3467" t="n">
        <x:f>ROUND(F3467*K3467/100,2)</x:f>
        <x:v>10.85</x:v>
      </x:c>
      <x:c r="M3467" t="n">
        <x:v>0.4</x:v>
      </x:c>
      <x:c r="N3467" t="n">
        <x:f>ROUND(F3467*M3467/100,2)</x:f>
        <x:v>0.62</x:v>
      </x:c>
      <x:c r="O3467" t="str">
        <x:v>生重</x:v>
      </x:c>
    </x:row>
    <x:row r="3468" ht="23" customHeight="1">
      <x:c r="A3468" t="n">
        <x:v>578</x:v>
      </x:c>
      <x:c r="B3468" t="n">
        <x:v>289</x:v>
      </x:c>
      <x:c r="C3468" t="str">
        <x:v>晚餐</x:v>
      </x:c>
      <x:c r="D3468" t="str">
        <x:v>主食</x:v>
      </x:c>
      <x:c r="E3468" t="str">
        <x:v>荞麦面</x:v>
      </x:c>
      <x:c r="F3468" t="n">
        <x:v>110</x:v>
      </x:c>
      <x:c r="G3468" t="n">
        <x:v>105</x:v>
      </x:c>
      <x:c r="H3468" t="n">
        <x:f>ROUND(F3468*G3468/100,2)</x:f>
        <x:v>115.5</x:v>
      </x:c>
      <x:c r="I3468" t="n">
        <x:v>4</x:v>
      </x:c>
      <x:c r="J3468" t="n">
        <x:f>ROUND(F3468*I3468/100,2)</x:f>
        <x:v>4.4</x:v>
      </x:c>
      <x:c r="K3468" t="n">
        <x:v>21</x:v>
      </x:c>
      <x:c r="L3468" t="n">
        <x:f>ROUND(F3468*K3468/100,2)</x:f>
        <x:v>23.1</x:v>
      </x:c>
      <x:c r="M3468" t="n">
        <x:v>0.7</x:v>
      </x:c>
      <x:c r="N3468" t="n">
        <x:f>ROUND(F3468*M3468/100,2)</x:f>
        <x:v>0.77</x:v>
      </x:c>
      <x:c r="O3468" t="str">
        <x:v>煮熟沥水重</x:v>
      </x:c>
    </x:row>
    <x:row r="3469" ht="23" customHeight="1">
      <x:c r="A3469" t="n">
        <x:v>578</x:v>
      </x:c>
      <x:c r="B3469" t="n">
        <x:v>289</x:v>
      </x:c>
      <x:c r="C3469" t="str">
        <x:v>晚餐</x:v>
      </x:c>
      <x:c r="D3469" t="str">
        <x:v>油脂</x:v>
      </x:c>
      <x:c r="E3469" t="str">
        <x:v>烹调油</x:v>
      </x:c>
      <x:c r="F3469" t="n">
        <x:v>4</x:v>
      </x:c>
      <x:c r="G3469" t="n">
        <x:v>900</x:v>
      </x:c>
      <x:c r="H3469" t="n">
        <x:f>ROUND(F3469*G3469/100,2)</x:f>
        <x:v>36</x:v>
      </x:c>
      <x:c r="I3469" t="n">
        <x:v>0</x:v>
      </x:c>
      <x:c r="J3469" t="n">
        <x:f>ROUND(F3469*I3469/100,2)</x:f>
        <x:v>0</x:v>
      </x:c>
      <x:c r="K3469" t="n">
        <x:v>0</x:v>
      </x:c>
      <x:c r="L3469" t="n">
        <x:f>ROUND(F3469*K3469/100,2)</x:f>
        <x:v>0</x:v>
      </x:c>
      <x:c r="M3469" t="n">
        <x:v>100</x:v>
      </x:c>
      <x:c r="N3469" t="n">
        <x:f>ROUND(F3469*M3469/100,2)</x:f>
        <x:v>4</x:v>
      </x:c>
      <x:c r="O3469" t="str">
        <x:v>实际用油重</x:v>
      </x:c>
    </x:row>
    <x:row r="3470" ht="23" customHeight="1">
      <x:c r="A3470" t="n">
        <x:v>579</x:v>
      </x:c>
      <x:c r="B3470" t="n">
        <x:v>290</x:v>
      </x:c>
      <x:c r="C3470" t="str">
        <x:v>午餐</x:v>
      </x:c>
      <x:c r="D3470" t="str">
        <x:v>牛肉</x:v>
      </x:c>
      <x:c r="E3470" t="str">
        <x:v>牛里脊</x:v>
      </x:c>
      <x:c r="F3470" t="n">
        <x:v>175</x:v>
      </x:c>
      <x:c r="G3470" t="n">
        <x:v>130</x:v>
      </x:c>
      <x:c r="H3470" t="n">
        <x:f>ROUND(F3470*G3470/100,2)</x:f>
        <x:v>227.5</x:v>
      </x:c>
      <x:c r="I3470" t="n">
        <x:v>21</x:v>
      </x:c>
      <x:c r="J3470" t="n">
        <x:f>ROUND(F3470*I3470/100,2)</x:f>
        <x:v>36.75</x:v>
      </x:c>
      <x:c r="K3470" t="n">
        <x:v>0</x:v>
      </x:c>
      <x:c r="L3470" t="n">
        <x:f>ROUND(F3470*K3470/100,2)</x:f>
        <x:v>0</x:v>
      </x:c>
      <x:c r="M3470" t="n">
        <x:v>4.8</x:v>
      </x:c>
      <x:c r="N3470" t="n">
        <x:f>ROUND(F3470*M3470/100,2)</x:f>
        <x:v>8.4</x:v>
      </x:c>
      <x:c r="O3470" t="str">
        <x:v>生重</x:v>
      </x:c>
    </x:row>
    <x:row r="3471" ht="23" customHeight="1">
      <x:c r="A3471" t="n">
        <x:v>579</x:v>
      </x:c>
      <x:c r="B3471" t="n">
        <x:v>290</x:v>
      </x:c>
      <x:c r="C3471" t="str">
        <x:v>午餐</x:v>
      </x:c>
      <x:c r="D3471" t="str"/>
      <x:c r="E3471" t="str"/>
      <x:c r="F3471" t="n">
        <x:v>0</x:v>
      </x:c>
      <x:c r="G3471" t="n">
        <x:v>0</x:v>
      </x:c>
      <x:c r="H3471" t="n">
        <x:f>ROUND(F3471*G3471/100,2)</x:f>
        <x:v>0</x:v>
      </x:c>
      <x:c r="I3471" t="n">
        <x:v>0</x:v>
      </x:c>
      <x:c r="J3471" t="n">
        <x:f>ROUND(F3471*I3471/100,2)</x:f>
        <x:v>0</x:v>
      </x:c>
      <x:c r="K3471" t="n">
        <x:v>0</x:v>
      </x:c>
      <x:c r="L3471" t="n">
        <x:f>ROUND(F3471*K3471/100,2)</x:f>
        <x:v>0</x:v>
      </x:c>
      <x:c r="M3471" t="n">
        <x:v>0</x:v>
      </x:c>
      <x:c r="N3471" t="n">
        <x:f>ROUND(F3471*M3471/100,2)</x:f>
        <x:v>0</x:v>
      </x:c>
      <x:c r="O3471" t="str"/>
    </x:row>
    <x:row r="3472" ht="23" customHeight="1">
      <x:c r="A3472" t="n">
        <x:v>579</x:v>
      </x:c>
      <x:c r="B3472" t="n">
        <x:v>290</x:v>
      </x:c>
      <x:c r="C3472" t="str">
        <x:v>午餐</x:v>
      </x:c>
      <x:c r="D3472" t="str">
        <x:v>蔬菜</x:v>
      </x:c>
      <x:c r="E3472" t="str">
        <x:v>茼蒿</x:v>
      </x:c>
      <x:c r="F3472" t="n">
        <x:v>190</x:v>
      </x:c>
      <x:c r="G3472" t="n">
        <x:v>24</x:v>
      </x:c>
      <x:c r="H3472" t="n">
        <x:f>ROUND(F3472*G3472/100,2)</x:f>
        <x:v>45.6</x:v>
      </x:c>
      <x:c r="I3472" t="n">
        <x:v>1.9</x:v>
      </x:c>
      <x:c r="J3472" t="n">
        <x:f>ROUND(F3472*I3472/100,2)</x:f>
        <x:v>3.61</x:v>
      </x:c>
      <x:c r="K3472" t="n">
        <x:v>4.3</x:v>
      </x:c>
      <x:c r="L3472" t="n">
        <x:f>ROUND(F3472*K3472/100,2)</x:f>
        <x:v>8.17</x:v>
      </x:c>
      <x:c r="M3472" t="n">
        <x:v>0.3</x:v>
      </x:c>
      <x:c r="N3472" t="n">
        <x:f>ROUND(F3472*M3472/100,2)</x:f>
        <x:v>0.57</x:v>
      </x:c>
      <x:c r="O3472" t="str">
        <x:v>生重</x:v>
      </x:c>
    </x:row>
    <x:row r="3473" ht="23" customHeight="1">
      <x:c r="A3473" t="n">
        <x:v>579</x:v>
      </x:c>
      <x:c r="B3473" t="n">
        <x:v>290</x:v>
      </x:c>
      <x:c r="C3473" t="str">
        <x:v>午餐</x:v>
      </x:c>
      <x:c r="D3473" t="str">
        <x:v>蔬菜</x:v>
      </x:c>
      <x:c r="E3473" t="str">
        <x:v>丝瓜</x:v>
      </x:c>
      <x:c r="F3473" t="n">
        <x:v>140</x:v>
      </x:c>
      <x:c r="G3473" t="n">
        <x:v>20</x:v>
      </x:c>
      <x:c r="H3473" t="n">
        <x:f>ROUND(F3473*G3473/100,2)</x:f>
        <x:v>28</x:v>
      </x:c>
      <x:c r="I3473" t="n">
        <x:v>1</x:v>
      </x:c>
      <x:c r="J3473" t="n">
        <x:f>ROUND(F3473*I3473/100,2)</x:f>
        <x:v>1.4</x:v>
      </x:c>
      <x:c r="K3473" t="n">
        <x:v>4</x:v>
      </x:c>
      <x:c r="L3473" t="n">
        <x:f>ROUND(F3473*K3473/100,2)</x:f>
        <x:v>5.6</x:v>
      </x:c>
      <x:c r="M3473" t="n">
        <x:v>0.2</x:v>
      </x:c>
      <x:c r="N3473" t="n">
        <x:f>ROUND(F3473*M3473/100,2)</x:f>
        <x:v>0.28</x:v>
      </x:c>
      <x:c r="O3473" t="str">
        <x:v>生重</x:v>
      </x:c>
    </x:row>
    <x:row r="3474" ht="23" customHeight="1">
      <x:c r="A3474" t="n">
        <x:v>579</x:v>
      </x:c>
      <x:c r="B3474" t="n">
        <x:v>290</x:v>
      </x:c>
      <x:c r="C3474" t="str">
        <x:v>午餐</x:v>
      </x:c>
      <x:c r="D3474" t="str">
        <x:v>主食</x:v>
      </x:c>
      <x:c r="E3474" t="str">
        <x:v>玉米</x:v>
      </x:c>
      <x:c r="F3474" t="n">
        <x:v>125</x:v>
      </x:c>
      <x:c r="G3474" t="n">
        <x:v>105</x:v>
      </x:c>
      <x:c r="H3474" t="n">
        <x:f>ROUND(F3474*G3474/100,2)</x:f>
        <x:v>131.25</x:v>
      </x:c>
      <x:c r="I3474" t="n">
        <x:v>3.4</x:v>
      </x:c>
      <x:c r="J3474" t="n">
        <x:f>ROUND(F3474*I3474/100,2)</x:f>
        <x:v>4.25</x:v>
      </x:c>
      <x:c r="K3474" t="n">
        <x:v>22</x:v>
      </x:c>
      <x:c r="L3474" t="n">
        <x:f>ROUND(F3474*K3474/100,2)</x:f>
        <x:v>27.5</x:v>
      </x:c>
      <x:c r="M3474" t="n">
        <x:v>1.5</x:v>
      </x:c>
      <x:c r="N3474" t="n">
        <x:f>ROUND(F3474*M3474/100,2)</x:f>
        <x:v>1.88</x:v>
      </x:c>
      <x:c r="O3474" t="str">
        <x:v>蒸熟净重</x:v>
      </x:c>
    </x:row>
    <x:row r="3475" ht="23" customHeight="1">
      <x:c r="A3475" t="n">
        <x:v>579</x:v>
      </x:c>
      <x:c r="B3475" t="n">
        <x:v>290</x:v>
      </x:c>
      <x:c r="C3475" t="str">
        <x:v>午餐</x:v>
      </x:c>
      <x:c r="D3475" t="str">
        <x:v>油脂</x:v>
      </x:c>
      <x:c r="E3475" t="str">
        <x:v>烹调油</x:v>
      </x:c>
      <x:c r="F3475" t="n">
        <x:v>5</x:v>
      </x:c>
      <x:c r="G3475" t="n">
        <x:v>900</x:v>
      </x:c>
      <x:c r="H3475" t="n">
        <x:f>ROUND(F3475*G3475/100,2)</x:f>
        <x:v>45</x:v>
      </x:c>
      <x:c r="I3475" t="n">
        <x:v>0</x:v>
      </x:c>
      <x:c r="J3475" t="n">
        <x:f>ROUND(F3475*I3475/100,2)</x:f>
        <x:v>0</x:v>
      </x:c>
      <x:c r="K3475" t="n">
        <x:v>0</x:v>
      </x:c>
      <x:c r="L3475" t="n">
        <x:f>ROUND(F3475*K3475/100,2)</x:f>
        <x:v>0</x:v>
      </x:c>
      <x:c r="M3475" t="n">
        <x:v>100</x:v>
      </x:c>
      <x:c r="N3475" t="n">
        <x:f>ROUND(F3475*M3475/100,2)</x:f>
        <x:v>5</x:v>
      </x:c>
      <x:c r="O3475" t="str">
        <x:v>实际用油重</x:v>
      </x:c>
    </x:row>
    <x:row r="3476" ht="23" customHeight="1">
      <x:c r="A3476" t="n">
        <x:v>580</x:v>
      </x:c>
      <x:c r="B3476" t="n">
        <x:v>290</x:v>
      </x:c>
      <x:c r="C3476" t="str">
        <x:v>晚餐</x:v>
      </x:c>
      <x:c r="D3476" t="str">
        <x:v>豆蛋</x:v>
      </x:c>
      <x:c r="E3476" t="str">
        <x:v>北豆腐</x:v>
      </x:c>
      <x:c r="F3476" t="n">
        <x:v>280</x:v>
      </x:c>
      <x:c r="G3476" t="n">
        <x:v>90</x:v>
      </x:c>
      <x:c r="H3476" t="n">
        <x:f>ROUND(F3476*G3476/100,2)</x:f>
        <x:v>252</x:v>
      </x:c>
      <x:c r="I3476" t="n">
        <x:v>10</x:v>
      </x:c>
      <x:c r="J3476" t="n">
        <x:f>ROUND(F3476*I3476/100,2)</x:f>
        <x:v>28</x:v>
      </x:c>
      <x:c r="K3476" t="n">
        <x:v>2</x:v>
      </x:c>
      <x:c r="L3476" t="n">
        <x:f>ROUND(F3476*K3476/100,2)</x:f>
        <x:v>5.6</x:v>
      </x:c>
      <x:c r="M3476" t="n">
        <x:v>5</x:v>
      </x:c>
      <x:c r="N3476" t="n">
        <x:f>ROUND(F3476*M3476/100,2)</x:f>
        <x:v>14</x:v>
      </x:c>
      <x:c r="O3476" t="str">
        <x:v>净重</x:v>
      </x:c>
    </x:row>
    <x:row r="3477" ht="23" customHeight="1">
      <x:c r="A3477" t="n">
        <x:v>580</x:v>
      </x:c>
      <x:c r="B3477" t="n">
        <x:v>290</x:v>
      </x:c>
      <x:c r="C3477" t="str">
        <x:v>晚餐</x:v>
      </x:c>
      <x:c r="D3477" t="str">
        <x:v>豆蛋</x:v>
      </x:c>
      <x:c r="E3477" t="str">
        <x:v>鸡蛋</x:v>
      </x:c>
      <x:c r="F3477" t="n">
        <x:v>60</x:v>
      </x:c>
      <x:c r="G3477" t="n">
        <x:v>144</x:v>
      </x:c>
      <x:c r="H3477" t="n">
        <x:f>ROUND(F3477*G3477/100,2)</x:f>
        <x:v>86.4</x:v>
      </x:c>
      <x:c r="I3477" t="n">
        <x:v>13</x:v>
      </x:c>
      <x:c r="J3477" t="n">
        <x:f>ROUND(F3477*I3477/100,2)</x:f>
        <x:v>7.8</x:v>
      </x:c>
      <x:c r="K3477" t="n">
        <x:v>1.1</x:v>
      </x:c>
      <x:c r="L3477" t="n">
        <x:f>ROUND(F3477*K3477/100,2)</x:f>
        <x:v>0.66</x:v>
      </x:c>
      <x:c r="M3477" t="n">
        <x:v>10</x:v>
      </x:c>
      <x:c r="N3477" t="n">
        <x:f>ROUND(F3477*M3477/100,2)</x:f>
        <x:v>6</x:v>
      </x:c>
      <x:c r="O3477" t="str">
        <x:v>去壳可食重</x:v>
      </x:c>
    </x:row>
    <x:row r="3478" ht="23" customHeight="1">
      <x:c r="A3478" t="n">
        <x:v>580</x:v>
      </x:c>
      <x:c r="B3478" t="n">
        <x:v>290</x:v>
      </x:c>
      <x:c r="C3478" t="str">
        <x:v>晚餐</x:v>
      </x:c>
      <x:c r="D3478" t="str">
        <x:v>蔬菜</x:v>
      </x:c>
      <x:c r="E3478" t="str">
        <x:v>芹菜</x:v>
      </x:c>
      <x:c r="F3478" t="n">
        <x:v>140</x:v>
      </x:c>
      <x:c r="G3478" t="n">
        <x:v>17</x:v>
      </x:c>
      <x:c r="H3478" t="n">
        <x:f>ROUND(F3478*G3478/100,2)</x:f>
        <x:v>23.8</x:v>
      </x:c>
      <x:c r="I3478" t="n">
        <x:v>1</x:v>
      </x:c>
      <x:c r="J3478" t="n">
        <x:f>ROUND(F3478*I3478/100,2)</x:f>
        <x:v>1.4</x:v>
      </x:c>
      <x:c r="K3478" t="n">
        <x:v>3.5</x:v>
      </x:c>
      <x:c r="L3478" t="n">
        <x:f>ROUND(F3478*K3478/100,2)</x:f>
        <x:v>4.9</x:v>
      </x:c>
      <x:c r="M3478" t="n">
        <x:v>0.1</x:v>
      </x:c>
      <x:c r="N3478" t="n">
        <x:f>ROUND(F3478*M3478/100,2)</x:f>
        <x:v>0.14</x:v>
      </x:c>
      <x:c r="O3478" t="str">
        <x:v>生重</x:v>
      </x:c>
    </x:row>
    <x:row r="3479" ht="23" customHeight="1">
      <x:c r="A3479" t="n">
        <x:v>580</x:v>
      </x:c>
      <x:c r="B3479" t="n">
        <x:v>290</x:v>
      </x:c>
      <x:c r="C3479" t="str">
        <x:v>晚餐</x:v>
      </x:c>
      <x:c r="D3479" t="str">
        <x:v>菌菇</x:v>
      </x:c>
      <x:c r="E3479" t="str">
        <x:v>杏鲍菇</x:v>
      </x:c>
      <x:c r="F3479" t="n">
        <x:v>140</x:v>
      </x:c>
      <x:c r="G3479" t="n">
        <x:v>35</x:v>
      </x:c>
      <x:c r="H3479" t="n">
        <x:f>ROUND(F3479*G3479/100,2)</x:f>
        <x:v>49</x:v>
      </x:c>
      <x:c r="I3479" t="n">
        <x:v>2</x:v>
      </x:c>
      <x:c r="J3479" t="n">
        <x:f>ROUND(F3479*I3479/100,2)</x:f>
        <x:v>2.8</x:v>
      </x:c>
      <x:c r="K3479" t="n">
        <x:v>7.4</x:v>
      </x:c>
      <x:c r="L3479" t="n">
        <x:f>ROUND(F3479*K3479/100,2)</x:f>
        <x:v>10.36</x:v>
      </x:c>
      <x:c r="M3479" t="n">
        <x:v>0.3</x:v>
      </x:c>
      <x:c r="N3479" t="n">
        <x:f>ROUND(F3479*M3479/100,2)</x:f>
        <x:v>0.42</x:v>
      </x:c>
      <x:c r="O3479" t="str">
        <x:v>生重</x:v>
      </x:c>
    </x:row>
    <x:row r="3480" ht="23" customHeight="1">
      <x:c r="A3480" t="n">
        <x:v>580</x:v>
      </x:c>
      <x:c r="B3480" t="n">
        <x:v>290</x:v>
      </x:c>
      <x:c r="C3480" t="str">
        <x:v>晚餐</x:v>
      </x:c>
      <x:c r="D3480" t="str">
        <x:v>主食</x:v>
      </x:c>
      <x:c r="E3480" t="str">
        <x:v>糙米饭</x:v>
      </x:c>
      <x:c r="F3480" t="n">
        <x:v>125</x:v>
      </x:c>
      <x:c r="G3480" t="n">
        <x:v>112</x:v>
      </x:c>
      <x:c r="H3480" t="n">
        <x:f>ROUND(F3480*G3480/100,2)</x:f>
        <x:v>140</x:v>
      </x:c>
      <x:c r="I3480" t="n">
        <x:v>2.6</x:v>
      </x:c>
      <x:c r="J3480" t="n">
        <x:f>ROUND(F3480*I3480/100,2)</x:f>
        <x:v>3.25</x:v>
      </x:c>
      <x:c r="K3480" t="n">
        <x:v>23.5</x:v>
      </x:c>
      <x:c r="L3480" t="n">
        <x:f>ROUND(F3480*K3480/100,2)</x:f>
        <x:v>29.38</x:v>
      </x:c>
      <x:c r="M3480" t="n">
        <x:v>0.9</x:v>
      </x:c>
      <x:c r="N3480" t="n">
        <x:f>ROUND(F3480*M3480/100,2)</x:f>
        <x:v>1.13</x:v>
      </x:c>
      <x:c r="O3480" t="str">
        <x:v>熟重</x:v>
      </x:c>
    </x:row>
    <x:row r="3481" ht="23" customHeight="1">
      <x:c r="A3481" t="n">
        <x:v>580</x:v>
      </x:c>
      <x:c r="B3481" t="n">
        <x:v>290</x:v>
      </x:c>
      <x:c r="C3481" t="str">
        <x:v>晚餐</x:v>
      </x:c>
      <x:c r="D3481" t="str">
        <x:v>油脂</x:v>
      </x:c>
      <x:c r="E3481" t="str">
        <x:v>烹调油</x:v>
      </x:c>
      <x:c r="F3481" t="n">
        <x:v>4</x:v>
      </x:c>
      <x:c r="G3481" t="n">
        <x:v>900</x:v>
      </x:c>
      <x:c r="H3481" t="n">
        <x:f>ROUND(F3481*G3481/100,2)</x:f>
        <x:v>36</x:v>
      </x:c>
      <x:c r="I3481" t="n">
        <x:v>0</x:v>
      </x:c>
      <x:c r="J3481" t="n">
        <x:f>ROUND(F3481*I3481/100,2)</x:f>
        <x:v>0</x:v>
      </x:c>
      <x:c r="K3481" t="n">
        <x:v>0</x:v>
      </x:c>
      <x:c r="L3481" t="n">
        <x:f>ROUND(F3481*K3481/100,2)</x:f>
        <x:v>0</x:v>
      </x:c>
      <x:c r="M3481" t="n">
        <x:v>100</x:v>
      </x:c>
      <x:c r="N3481" t="n">
        <x:f>ROUND(F3481*M3481/100,2)</x:f>
        <x:v>4</x:v>
      </x:c>
      <x:c r="O3481" t="str">
        <x:v>实际用油重</x:v>
      </x:c>
    </x:row>
    <x:row r="3482" ht="23" customHeight="1">
      <x:c r="A3482" t="n">
        <x:v>581</x:v>
      </x:c>
      <x:c r="B3482" t="n">
        <x:v>291</x:v>
      </x:c>
      <x:c r="C3482" t="str">
        <x:v>午餐</x:v>
      </x:c>
      <x:c r="D3482" t="str">
        <x:v>豆蛋</x:v>
      </x:c>
      <x:c r="E3482" t="str">
        <x:v>嫩豆腐</x:v>
      </x:c>
      <x:c r="F3482" t="n">
        <x:v>300</x:v>
      </x:c>
      <x:c r="G3482" t="n">
        <x:v>55</x:v>
      </x:c>
      <x:c r="H3482" t="n">
        <x:f>ROUND(F3482*G3482/100,2)</x:f>
        <x:v>165</x:v>
      </x:c>
      <x:c r="I3482" t="n">
        <x:v>5</x:v>
      </x:c>
      <x:c r="J3482" t="n">
        <x:f>ROUND(F3482*I3482/100,2)</x:f>
        <x:v>15</x:v>
      </x:c>
      <x:c r="K3482" t="n">
        <x:v>2</x:v>
      </x:c>
      <x:c r="L3482" t="n">
        <x:f>ROUND(F3482*K3482/100,2)</x:f>
        <x:v>6</x:v>
      </x:c>
      <x:c r="M3482" t="n">
        <x:v>2.8</x:v>
      </x:c>
      <x:c r="N3482" t="n">
        <x:f>ROUND(F3482*M3482/100,2)</x:f>
        <x:v>8.4</x:v>
      </x:c>
      <x:c r="O3482" t="str">
        <x:v>净重</x:v>
      </x:c>
    </x:row>
    <x:row r="3483" ht="23" customHeight="1">
      <x:c r="A3483" t="n">
        <x:v>581</x:v>
      </x:c>
      <x:c r="B3483" t="n">
        <x:v>291</x:v>
      </x:c>
      <x:c r="C3483" t="str">
        <x:v>午餐</x:v>
      </x:c>
      <x:c r="D3483" t="str">
        <x:v>海鲜</x:v>
      </x:c>
      <x:c r="E3483" t="str">
        <x:v>虾仁</x:v>
      </x:c>
      <x:c r="F3483" t="n">
        <x:v>85</x:v>
      </x:c>
      <x:c r="G3483" t="n">
        <x:v>90</x:v>
      </x:c>
      <x:c r="H3483" t="n">
        <x:f>ROUND(F3483*G3483/100,2)</x:f>
        <x:v>76.5</x:v>
      </x:c>
      <x:c r="I3483" t="n">
        <x:v>19</x:v>
      </x:c>
      <x:c r="J3483" t="n">
        <x:f>ROUND(F3483*I3483/100,2)</x:f>
        <x:v>16.15</x:v>
      </x:c>
      <x:c r="K3483" t="n">
        <x:v>0.4</x:v>
      </x:c>
      <x:c r="L3483" t="n">
        <x:f>ROUND(F3483*K3483/100,2)</x:f>
        <x:v>0.34</x:v>
      </x:c>
      <x:c r="M3483" t="n">
        <x:v>1.1</x:v>
      </x:c>
      <x:c r="N3483" t="n">
        <x:f>ROUND(F3483*M3483/100,2)</x:f>
        <x:v>0.94</x:v>
      </x:c>
      <x:c r="O3483" t="str">
        <x:v>生重</x:v>
      </x:c>
    </x:row>
    <x:row r="3484" ht="23" customHeight="1">
      <x:c r="A3484" t="n">
        <x:v>581</x:v>
      </x:c>
      <x:c r="B3484" t="n">
        <x:v>291</x:v>
      </x:c>
      <x:c r="C3484" t="str">
        <x:v>午餐</x:v>
      </x:c>
      <x:c r="D3484" t="str">
        <x:v>蔬菜</x:v>
      </x:c>
      <x:c r="E3484" t="str">
        <x:v>番茄</x:v>
      </x:c>
      <x:c r="F3484" t="n">
        <x:v>190</x:v>
      </x:c>
      <x:c r="G3484" t="n">
        <x:v>20</x:v>
      </x:c>
      <x:c r="H3484" t="n">
        <x:f>ROUND(F3484*G3484/100,2)</x:f>
        <x:v>38</x:v>
      </x:c>
      <x:c r="I3484" t="n">
        <x:v>0.9</x:v>
      </x:c>
      <x:c r="J3484" t="n">
        <x:f>ROUND(F3484*I3484/100,2)</x:f>
        <x:v>1.71</x:v>
      </x:c>
      <x:c r="K3484" t="n">
        <x:v>4</x:v>
      </x:c>
      <x:c r="L3484" t="n">
        <x:f>ROUND(F3484*K3484/100,2)</x:f>
        <x:v>7.6</x:v>
      </x:c>
      <x:c r="M3484" t="n">
        <x:v>0.2</x:v>
      </x:c>
      <x:c r="N3484" t="n">
        <x:f>ROUND(F3484*M3484/100,2)</x:f>
        <x:v>0.38</x:v>
      </x:c>
      <x:c r="O3484" t="str">
        <x:v>生重</x:v>
      </x:c>
    </x:row>
    <x:row r="3485" ht="23" customHeight="1">
      <x:c r="A3485" t="n">
        <x:v>581</x:v>
      </x:c>
      <x:c r="B3485" t="n">
        <x:v>291</x:v>
      </x:c>
      <x:c r="C3485" t="str">
        <x:v>午餐</x:v>
      </x:c>
      <x:c r="D3485" t="str">
        <x:v>菌菇</x:v>
      </x:c>
      <x:c r="E3485" t="str">
        <x:v>香菇</x:v>
      </x:c>
      <x:c r="F3485" t="n">
        <x:v>140</x:v>
      </x:c>
      <x:c r="G3485" t="n">
        <x:v>34</x:v>
      </x:c>
      <x:c r="H3485" t="n">
        <x:f>ROUND(F3485*G3485/100,2)</x:f>
        <x:v>47.6</x:v>
      </x:c>
      <x:c r="I3485" t="n">
        <x:v>2.2</x:v>
      </x:c>
      <x:c r="J3485" t="n">
        <x:f>ROUND(F3485*I3485/100,2)</x:f>
        <x:v>3.08</x:v>
      </x:c>
      <x:c r="K3485" t="n">
        <x:v>6.8</x:v>
      </x:c>
      <x:c r="L3485" t="n">
        <x:f>ROUND(F3485*K3485/100,2)</x:f>
        <x:v>9.52</x:v>
      </x:c>
      <x:c r="M3485" t="n">
        <x:v>0.5</x:v>
      </x:c>
      <x:c r="N3485" t="n">
        <x:f>ROUND(F3485*M3485/100,2)</x:f>
        <x:v>0.7</x:v>
      </x:c>
      <x:c r="O3485" t="str">
        <x:v>生重</x:v>
      </x:c>
    </x:row>
    <x:row r="3486" ht="23" customHeight="1">
      <x:c r="A3486" t="n">
        <x:v>581</x:v>
      </x:c>
      <x:c r="B3486" t="n">
        <x:v>291</x:v>
      </x:c>
      <x:c r="C3486" t="str">
        <x:v>午餐</x:v>
      </x:c>
      <x:c r="D3486" t="str">
        <x:v>主食</x:v>
      </x:c>
      <x:c r="E3486" t="str">
        <x:v>杂粮饭</x:v>
      </x:c>
      <x:c r="F3486" t="n">
        <x:v>125</x:v>
      </x:c>
      <x:c r="G3486" t="n">
        <x:v>115</x:v>
      </x:c>
      <x:c r="H3486" t="n">
        <x:f>ROUND(F3486*G3486/100,2)</x:f>
        <x:v>143.75</x:v>
      </x:c>
      <x:c r="I3486" t="n">
        <x:v>3.1</x:v>
      </x:c>
      <x:c r="J3486" t="n">
        <x:f>ROUND(F3486*I3486/100,2)</x:f>
        <x:v>3.88</x:v>
      </x:c>
      <x:c r="K3486" t="n">
        <x:v>23.5</x:v>
      </x:c>
      <x:c r="L3486" t="n">
        <x:f>ROUND(F3486*K3486/100,2)</x:f>
        <x:v>29.38</x:v>
      </x:c>
      <x:c r="M3486" t="n">
        <x:v>1.1</x:v>
      </x:c>
      <x:c r="N3486" t="n">
        <x:f>ROUND(F3486*M3486/100,2)</x:f>
        <x:v>1.38</x:v>
      </x:c>
      <x:c r="O3486" t="str">
        <x:v>熟重</x:v>
      </x:c>
    </x:row>
    <x:row r="3487" ht="23" customHeight="1">
      <x:c r="A3487" t="n">
        <x:v>581</x:v>
      </x:c>
      <x:c r="B3487" t="n">
        <x:v>291</x:v>
      </x:c>
      <x:c r="C3487" t="str">
        <x:v>午餐</x:v>
      </x:c>
      <x:c r="D3487" t="str">
        <x:v>油脂</x:v>
      </x:c>
      <x:c r="E3487" t="str">
        <x:v>烹调油</x:v>
      </x:c>
      <x:c r="F3487" t="n">
        <x:v>5</x:v>
      </x:c>
      <x:c r="G3487" t="n">
        <x:v>900</x:v>
      </x:c>
      <x:c r="H3487" t="n">
        <x:f>ROUND(F3487*G3487/100,2)</x:f>
        <x:v>45</x:v>
      </x:c>
      <x:c r="I3487" t="n">
        <x:v>0</x:v>
      </x:c>
      <x:c r="J3487" t="n">
        <x:f>ROUND(F3487*I3487/100,2)</x:f>
        <x:v>0</x:v>
      </x:c>
      <x:c r="K3487" t="n">
        <x:v>0</x:v>
      </x:c>
      <x:c r="L3487" t="n">
        <x:f>ROUND(F3487*K3487/100,2)</x:f>
        <x:v>0</x:v>
      </x:c>
      <x:c r="M3487" t="n">
        <x:v>100</x:v>
      </x:c>
      <x:c r="N3487" t="n">
        <x:f>ROUND(F3487*M3487/100,2)</x:f>
        <x:v>5</x:v>
      </x:c>
      <x:c r="O3487" t="str">
        <x:v>实际用油重</x:v>
      </x:c>
    </x:row>
    <x:row r="3488" ht="23" customHeight="1">
      <x:c r="A3488" t="n">
        <x:v>582</x:v>
      </x:c>
      <x:c r="B3488" t="n">
        <x:v>291</x:v>
      </x:c>
      <x:c r="C3488" t="str">
        <x:v>晚餐</x:v>
      </x:c>
      <x:c r="D3488" t="str">
        <x:v>猪肉</x:v>
      </x:c>
      <x:c r="E3488" t="str">
        <x:v>猪瘦肉</x:v>
      </x:c>
      <x:c r="F3488" t="n">
        <x:v>180</x:v>
      </x:c>
      <x:c r="G3488" t="n">
        <x:v>130</x:v>
      </x:c>
      <x:c r="H3488" t="n">
        <x:f>ROUND(F3488*G3488/100,2)</x:f>
        <x:v>234</x:v>
      </x:c>
      <x:c r="I3488" t="n">
        <x:v>20</x:v>
      </x:c>
      <x:c r="J3488" t="n">
        <x:f>ROUND(F3488*I3488/100,2)</x:f>
        <x:v>36</x:v>
      </x:c>
      <x:c r="K3488" t="n">
        <x:v>0</x:v>
      </x:c>
      <x:c r="L3488" t="n">
        <x:f>ROUND(F3488*K3488/100,2)</x:f>
        <x:v>0</x:v>
      </x:c>
      <x:c r="M3488" t="n">
        <x:v>5.5</x:v>
      </x:c>
      <x:c r="N3488" t="n">
        <x:f>ROUND(F3488*M3488/100,2)</x:f>
        <x:v>9.9</x:v>
      </x:c>
      <x:c r="O3488" t="str">
        <x:v>生重</x:v>
      </x:c>
    </x:row>
    <x:row r="3489" ht="23" customHeight="1">
      <x:c r="A3489" t="n">
        <x:v>582</x:v>
      </x:c>
      <x:c r="B3489" t="n">
        <x:v>291</x:v>
      </x:c>
      <x:c r="C3489" t="str">
        <x:v>晚餐</x:v>
      </x:c>
      <x:c r="D3489" t="str"/>
      <x:c r="E3489" t="str"/>
      <x:c r="F3489" t="n">
        <x:v>0</x:v>
      </x:c>
      <x:c r="G3489" t="n">
        <x:v>0</x:v>
      </x:c>
      <x:c r="H3489" t="n">
        <x:f>ROUND(F3489*G3489/100,2)</x:f>
        <x:v>0</x:v>
      </x:c>
      <x:c r="I3489" t="n">
        <x:v>0</x:v>
      </x:c>
      <x:c r="J3489" t="n">
        <x:f>ROUND(F3489*I3489/100,2)</x:f>
        <x:v>0</x:v>
      </x:c>
      <x:c r="K3489" t="n">
        <x:v>0</x:v>
      </x:c>
      <x:c r="L3489" t="n">
        <x:f>ROUND(F3489*K3489/100,2)</x:f>
        <x:v>0</x:v>
      </x:c>
      <x:c r="M3489" t="n">
        <x:v>0</x:v>
      </x:c>
      <x:c r="N3489" t="n">
        <x:f>ROUND(F3489*M3489/100,2)</x:f>
        <x:v>0</x:v>
      </x:c>
      <x:c r="O3489" t="str"/>
    </x:row>
    <x:row r="3490" ht="23" customHeight="1">
      <x:c r="A3490" t="n">
        <x:v>582</x:v>
      </x:c>
      <x:c r="B3490" t="n">
        <x:v>291</x:v>
      </x:c>
      <x:c r="C3490" t="str">
        <x:v>晚餐</x:v>
      </x:c>
      <x:c r="D3490" t="str">
        <x:v>蔬菜</x:v>
      </x:c>
      <x:c r="E3490" t="str">
        <x:v>大白菜</x:v>
      </x:c>
      <x:c r="F3490" t="n">
        <x:v>175</x:v>
      </x:c>
      <x:c r="G3490" t="n">
        <x:v>17</x:v>
      </x:c>
      <x:c r="H3490" t="n">
        <x:f>ROUND(F3490*G3490/100,2)</x:f>
        <x:v>29.75</x:v>
      </x:c>
      <x:c r="I3490" t="n">
        <x:v>1.5</x:v>
      </x:c>
      <x:c r="J3490" t="n">
        <x:f>ROUND(F3490*I3490/100,2)</x:f>
        <x:v>2.63</x:v>
      </x:c>
      <x:c r="K3490" t="n">
        <x:v>3.2</x:v>
      </x:c>
      <x:c r="L3490" t="n">
        <x:f>ROUND(F3490*K3490/100,2)</x:f>
        <x:v>5.6</x:v>
      </x:c>
      <x:c r="M3490" t="n">
        <x:v>0.1</x:v>
      </x:c>
      <x:c r="N3490" t="n">
        <x:f>ROUND(F3490*M3490/100,2)</x:f>
        <x:v>0.18</x:v>
      </x:c>
      <x:c r="O3490" t="str">
        <x:v>生重</x:v>
      </x:c>
    </x:row>
    <x:row r="3491" ht="23" customHeight="1">
      <x:c r="A3491" t="n">
        <x:v>582</x:v>
      </x:c>
      <x:c r="B3491" t="n">
        <x:v>291</x:v>
      </x:c>
      <x:c r="C3491" t="str">
        <x:v>晚餐</x:v>
      </x:c>
      <x:c r="D3491" t="str">
        <x:v>菌菇</x:v>
      </x:c>
      <x:c r="E3491" t="str">
        <x:v>金针菇</x:v>
      </x:c>
      <x:c r="F3491" t="n">
        <x:v>110</x:v>
      </x:c>
      <x:c r="G3491" t="n">
        <x:v>32</x:v>
      </x:c>
      <x:c r="H3491" t="n">
        <x:f>ROUND(F3491*G3491/100,2)</x:f>
        <x:v>35.2</x:v>
      </x:c>
      <x:c r="I3491" t="n">
        <x:v>2.4</x:v>
      </x:c>
      <x:c r="J3491" t="n">
        <x:f>ROUND(F3491*I3491/100,2)</x:f>
        <x:v>2.64</x:v>
      </x:c>
      <x:c r="K3491" t="n">
        <x:v>6.4</x:v>
      </x:c>
      <x:c r="L3491" t="n">
        <x:f>ROUND(F3491*K3491/100,2)</x:f>
        <x:v>7.04</x:v>
      </x:c>
      <x:c r="M3491" t="n">
        <x:v>0.2</x:v>
      </x:c>
      <x:c r="N3491" t="n">
        <x:f>ROUND(F3491*M3491/100,2)</x:f>
        <x:v>0.22</x:v>
      </x:c>
      <x:c r="O3491" t="str">
        <x:v>生重</x:v>
      </x:c>
    </x:row>
    <x:row r="3492" ht="23" customHeight="1">
      <x:c r="A3492" t="n">
        <x:v>582</x:v>
      </x:c>
      <x:c r="B3492" t="n">
        <x:v>291</x:v>
      </x:c>
      <x:c r="C3492" t="str">
        <x:v>晚餐</x:v>
      </x:c>
      <x:c r="D3492" t="str">
        <x:v>主食</x:v>
      </x:c>
      <x:c r="E3492" t="str">
        <x:v>全麦面</x:v>
      </x:c>
      <x:c r="F3492" t="n">
        <x:v>95</x:v>
      </x:c>
      <x:c r="G3492" t="n">
        <x:v>124</x:v>
      </x:c>
      <x:c r="H3492" t="n">
        <x:f>ROUND(F3492*G3492/100,2)</x:f>
        <x:v>117.8</x:v>
      </x:c>
      <x:c r="I3492" t="n">
        <x:v>5</x:v>
      </x:c>
      <x:c r="J3492" t="n">
        <x:f>ROUND(F3492*I3492/100,2)</x:f>
        <x:v>4.75</x:v>
      </x:c>
      <x:c r="K3492" t="n">
        <x:v>25</x:v>
      </x:c>
      <x:c r="L3492" t="n">
        <x:f>ROUND(F3492*K3492/100,2)</x:f>
        <x:v>23.75</x:v>
      </x:c>
      <x:c r="M3492" t="n">
        <x:v>1.1</x:v>
      </x:c>
      <x:c r="N3492" t="n">
        <x:f>ROUND(F3492*M3492/100,2)</x:f>
        <x:v>1.05</x:v>
      </x:c>
      <x:c r="O3492" t="str">
        <x:v>煮熟沥水重</x:v>
      </x:c>
    </x:row>
    <x:row r="3493" ht="23" customHeight="1">
      <x:c r="A3493" t="n">
        <x:v>582</x:v>
      </x:c>
      <x:c r="B3493" t="n">
        <x:v>291</x:v>
      </x:c>
      <x:c r="C3493" t="str">
        <x:v>晚餐</x:v>
      </x:c>
      <x:c r="D3493" t="str">
        <x:v>油脂</x:v>
      </x:c>
      <x:c r="E3493" t="str">
        <x:v>烹调油</x:v>
      </x:c>
      <x:c r="F3493" t="n">
        <x:v>6</x:v>
      </x:c>
      <x:c r="G3493" t="n">
        <x:v>900</x:v>
      </x:c>
      <x:c r="H3493" t="n">
        <x:f>ROUND(F3493*G3493/100,2)</x:f>
        <x:v>54</x:v>
      </x:c>
      <x:c r="I3493" t="n">
        <x:v>0</x:v>
      </x:c>
      <x:c r="J3493" t="n">
        <x:f>ROUND(F3493*I3493/100,2)</x:f>
        <x:v>0</x:v>
      </x:c>
      <x:c r="K3493" t="n">
        <x:v>0</x:v>
      </x:c>
      <x:c r="L3493" t="n">
        <x:f>ROUND(F3493*K3493/100,2)</x:f>
        <x:v>0</x:v>
      </x:c>
      <x:c r="M3493" t="n">
        <x:v>100</x:v>
      </x:c>
      <x:c r="N3493" t="n">
        <x:f>ROUND(F3493*M3493/100,2)</x:f>
        <x:v>6</x:v>
      </x:c>
      <x:c r="O3493" t="str">
        <x:v>实际用油重</x:v>
      </x:c>
    </x:row>
    <x:row r="3494" ht="23" customHeight="1">
      <x:c r="A3494" t="n">
        <x:v>583</x:v>
      </x:c>
      <x:c r="B3494" t="n">
        <x:v>292</x:v>
      </x:c>
      <x:c r="C3494" t="str">
        <x:v>午餐</x:v>
      </x:c>
      <x:c r="D3494" t="str">
        <x:v>禽肉</x:v>
      </x:c>
      <x:c r="E3494" t="str">
        <x:v>鸡里脊肉</x:v>
      </x:c>
      <x:c r="F3494" t="n">
        <x:v>185</x:v>
      </x:c>
      <x:c r="G3494" t="n">
        <x:v>110</x:v>
      </x:c>
      <x:c r="H3494" t="n">
        <x:f>ROUND(F3494*G3494/100,2)</x:f>
        <x:v>203.5</x:v>
      </x:c>
      <x:c r="I3494" t="n">
        <x:v>23</x:v>
      </x:c>
      <x:c r="J3494" t="n">
        <x:f>ROUND(F3494*I3494/100,2)</x:f>
        <x:v>42.55</x:v>
      </x:c>
      <x:c r="K3494" t="n">
        <x:v>0</x:v>
      </x:c>
      <x:c r="L3494" t="n">
        <x:f>ROUND(F3494*K3494/100,2)</x:f>
        <x:v>0</x:v>
      </x:c>
      <x:c r="M3494" t="n">
        <x:v>1.8</x:v>
      </x:c>
      <x:c r="N3494" t="n">
        <x:f>ROUND(F3494*M3494/100,2)</x:f>
        <x:v>3.33</x:v>
      </x:c>
      <x:c r="O3494" t="str">
        <x:v>生重</x:v>
      </x:c>
    </x:row>
    <x:row r="3495" ht="23" customHeight="1">
      <x:c r="A3495" t="n">
        <x:v>583</x:v>
      </x:c>
      <x:c r="B3495" t="n">
        <x:v>292</x:v>
      </x:c>
      <x:c r="C3495" t="str">
        <x:v>午餐</x:v>
      </x:c>
      <x:c r="D3495" t="str">
        <x:v>豆蛋</x:v>
      </x:c>
      <x:c r="E3495" t="str">
        <x:v>嫩豆腐</x:v>
      </x:c>
      <x:c r="F3495" t="n">
        <x:v>135</x:v>
      </x:c>
      <x:c r="G3495" t="n">
        <x:v>55</x:v>
      </x:c>
      <x:c r="H3495" t="n">
        <x:f>ROUND(F3495*G3495/100,2)</x:f>
        <x:v>74.25</x:v>
      </x:c>
      <x:c r="I3495" t="n">
        <x:v>5</x:v>
      </x:c>
      <x:c r="J3495" t="n">
        <x:f>ROUND(F3495*I3495/100,2)</x:f>
        <x:v>6.75</x:v>
      </x:c>
      <x:c r="K3495" t="n">
        <x:v>2</x:v>
      </x:c>
      <x:c r="L3495" t="n">
        <x:f>ROUND(F3495*K3495/100,2)</x:f>
        <x:v>2.7</x:v>
      </x:c>
      <x:c r="M3495" t="n">
        <x:v>2.8</x:v>
      </x:c>
      <x:c r="N3495" t="n">
        <x:f>ROUND(F3495*M3495/100,2)</x:f>
        <x:v>3.78</x:v>
      </x:c>
      <x:c r="O3495" t="str">
        <x:v>净重</x:v>
      </x:c>
    </x:row>
    <x:row r="3496" ht="23" customHeight="1">
      <x:c r="A3496" t="n">
        <x:v>583</x:v>
      </x:c>
      <x:c r="B3496" t="n">
        <x:v>292</x:v>
      </x:c>
      <x:c r="C3496" t="str">
        <x:v>午餐</x:v>
      </x:c>
      <x:c r="D3496" t="str">
        <x:v>蔬菜</x:v>
      </x:c>
      <x:c r="E3496" t="str">
        <x:v>竹笋</x:v>
      </x:c>
      <x:c r="F3496" t="n">
        <x:v>175</x:v>
      </x:c>
      <x:c r="G3496" t="n">
        <x:v>27</x:v>
      </x:c>
      <x:c r="H3496" t="n">
        <x:f>ROUND(F3496*G3496/100,2)</x:f>
        <x:v>47.25</x:v>
      </x:c>
      <x:c r="I3496" t="n">
        <x:v>2.6</x:v>
      </x:c>
      <x:c r="J3496" t="n">
        <x:f>ROUND(F3496*I3496/100,2)</x:f>
        <x:v>4.55</x:v>
      </x:c>
      <x:c r="K3496" t="n">
        <x:v>5.2</x:v>
      </x:c>
      <x:c r="L3496" t="n">
        <x:f>ROUND(F3496*K3496/100,2)</x:f>
        <x:v>9.1</x:v>
      </x:c>
      <x:c r="M3496" t="n">
        <x:v>0.3</x:v>
      </x:c>
      <x:c r="N3496" t="n">
        <x:f>ROUND(F3496*M3496/100,2)</x:f>
        <x:v>0.53</x:v>
      </x:c>
      <x:c r="O3496" t="str">
        <x:v>生重</x:v>
      </x:c>
    </x:row>
    <x:row r="3497" ht="23" customHeight="1">
      <x:c r="A3497" t="n">
        <x:v>583</x:v>
      </x:c>
      <x:c r="B3497" t="n">
        <x:v>292</x:v>
      </x:c>
      <x:c r="C3497" t="str">
        <x:v>午餐</x:v>
      </x:c>
      <x:c r="D3497" t="str">
        <x:v>蔬菜</x:v>
      </x:c>
      <x:c r="E3497" t="str">
        <x:v>西兰花</x:v>
      </x:c>
      <x:c r="F3497" t="n">
        <x:v>125</x:v>
      </x:c>
      <x:c r="G3497" t="n">
        <x:v>34</x:v>
      </x:c>
      <x:c r="H3497" t="n">
        <x:f>ROUND(F3497*G3497/100,2)</x:f>
        <x:v>42.5</x:v>
      </x:c>
      <x:c r="I3497" t="n">
        <x:v>2.8</x:v>
      </x:c>
      <x:c r="J3497" t="n">
        <x:f>ROUND(F3497*I3497/100,2)</x:f>
        <x:v>3.5</x:v>
      </x:c>
      <x:c r="K3497" t="n">
        <x:v>7</x:v>
      </x:c>
      <x:c r="L3497" t="n">
        <x:f>ROUND(F3497*K3497/100,2)</x:f>
        <x:v>8.75</x:v>
      </x:c>
      <x:c r="M3497" t="n">
        <x:v>0.4</x:v>
      </x:c>
      <x:c r="N3497" t="n">
        <x:f>ROUND(F3497*M3497/100,2)</x:f>
        <x:v>0.5</x:v>
      </x:c>
      <x:c r="O3497" t="str">
        <x:v>生重</x:v>
      </x:c>
    </x:row>
    <x:row r="3498" ht="23" customHeight="1">
      <x:c r="A3498" t="n">
        <x:v>583</x:v>
      </x:c>
      <x:c r="B3498" t="n">
        <x:v>292</x:v>
      </x:c>
      <x:c r="C3498" t="str">
        <x:v>午餐</x:v>
      </x:c>
      <x:c r="D3498" t="str">
        <x:v>主食</x:v>
      </x:c>
      <x:c r="E3498" t="str">
        <x:v>玉米</x:v>
      </x:c>
      <x:c r="F3498" t="n">
        <x:v>135</x:v>
      </x:c>
      <x:c r="G3498" t="n">
        <x:v>105</x:v>
      </x:c>
      <x:c r="H3498" t="n">
        <x:f>ROUND(F3498*G3498/100,2)</x:f>
        <x:v>141.75</x:v>
      </x:c>
      <x:c r="I3498" t="n">
        <x:v>3.4</x:v>
      </x:c>
      <x:c r="J3498" t="n">
        <x:f>ROUND(F3498*I3498/100,2)</x:f>
        <x:v>4.59</x:v>
      </x:c>
      <x:c r="K3498" t="n">
        <x:v>22</x:v>
      </x:c>
      <x:c r="L3498" t="n">
        <x:f>ROUND(F3498*K3498/100,2)</x:f>
        <x:v>29.7</x:v>
      </x:c>
      <x:c r="M3498" t="n">
        <x:v>1.5</x:v>
      </x:c>
      <x:c r="N3498" t="n">
        <x:f>ROUND(F3498*M3498/100,2)</x:f>
        <x:v>2.03</x:v>
      </x:c>
      <x:c r="O3498" t="str">
        <x:v>蒸熟净重</x:v>
      </x:c>
    </x:row>
    <x:row r="3499" ht="23" customHeight="1">
      <x:c r="A3499" t="n">
        <x:v>583</x:v>
      </x:c>
      <x:c r="B3499" t="n">
        <x:v>292</x:v>
      </x:c>
      <x:c r="C3499" t="str">
        <x:v>午餐</x:v>
      </x:c>
      <x:c r="D3499" t="str">
        <x:v>油脂</x:v>
      </x:c>
      <x:c r="E3499" t="str">
        <x:v>烹调油</x:v>
      </x:c>
      <x:c r="F3499" t="n">
        <x:v>5</x:v>
      </x:c>
      <x:c r="G3499" t="n">
        <x:v>900</x:v>
      </x:c>
      <x:c r="H3499" t="n">
        <x:f>ROUND(F3499*G3499/100,2)</x:f>
        <x:v>45</x:v>
      </x:c>
      <x:c r="I3499" t="n">
        <x:v>0</x:v>
      </x:c>
      <x:c r="J3499" t="n">
        <x:f>ROUND(F3499*I3499/100,2)</x:f>
        <x:v>0</x:v>
      </x:c>
      <x:c r="K3499" t="n">
        <x:v>0</x:v>
      </x:c>
      <x:c r="L3499" t="n">
        <x:f>ROUND(F3499*K3499/100,2)</x:f>
        <x:v>0</x:v>
      </x:c>
      <x:c r="M3499" t="n">
        <x:v>100</x:v>
      </x:c>
      <x:c r="N3499" t="n">
        <x:f>ROUND(F3499*M3499/100,2)</x:f>
        <x:v>5</x:v>
      </x:c>
      <x:c r="O3499" t="str">
        <x:v>实际用油重</x:v>
      </x:c>
    </x:row>
    <x:row r="3500" ht="23" customHeight="1">
      <x:c r="A3500" t="n">
        <x:v>584</x:v>
      </x:c>
      <x:c r="B3500" t="n">
        <x:v>292</x:v>
      </x:c>
      <x:c r="C3500" t="str">
        <x:v>晚餐</x:v>
      </x:c>
      <x:c r="D3500" t="str">
        <x:v>猪肉</x:v>
      </x:c>
      <x:c r="E3500" t="str">
        <x:v>猪里脊</x:v>
      </x:c>
      <x:c r="F3500" t="n">
        <x:v>180</x:v>
      </x:c>
      <x:c r="G3500" t="n">
        <x:v>120</x:v>
      </x:c>
      <x:c r="H3500" t="n">
        <x:f>ROUND(F3500*G3500/100,2)</x:f>
        <x:v>216</x:v>
      </x:c>
      <x:c r="I3500" t="n">
        <x:v>21</x:v>
      </x:c>
      <x:c r="J3500" t="n">
        <x:f>ROUND(F3500*I3500/100,2)</x:f>
        <x:v>37.8</x:v>
      </x:c>
      <x:c r="K3500" t="n">
        <x:v>0</x:v>
      </x:c>
      <x:c r="L3500" t="n">
        <x:f>ROUND(F3500*K3500/100,2)</x:f>
        <x:v>0</x:v>
      </x:c>
      <x:c r="M3500" t="n">
        <x:v>3.5</x:v>
      </x:c>
      <x:c r="N3500" t="n">
        <x:f>ROUND(F3500*M3500/100,2)</x:f>
        <x:v>6.3</x:v>
      </x:c>
      <x:c r="O3500" t="str">
        <x:v>生重</x:v>
      </x:c>
    </x:row>
    <x:row r="3501" ht="23" customHeight="1">
      <x:c r="A3501" t="n">
        <x:v>584</x:v>
      </x:c>
      <x:c r="B3501" t="n">
        <x:v>292</x:v>
      </x:c>
      <x:c r="C3501" t="str">
        <x:v>晚餐</x:v>
      </x:c>
      <x:c r="D3501" t="str">
        <x:v>豆蛋</x:v>
      </x:c>
      <x:c r="E3501" t="str">
        <x:v>北豆腐</x:v>
      </x:c>
      <x:c r="F3501" t="n">
        <x:v>110</x:v>
      </x:c>
      <x:c r="G3501" t="n">
        <x:v>90</x:v>
      </x:c>
      <x:c r="H3501" t="n">
        <x:f>ROUND(F3501*G3501/100,2)</x:f>
        <x:v>99</x:v>
      </x:c>
      <x:c r="I3501" t="n">
        <x:v>10</x:v>
      </x:c>
      <x:c r="J3501" t="n">
        <x:f>ROUND(F3501*I3501/100,2)</x:f>
        <x:v>11</x:v>
      </x:c>
      <x:c r="K3501" t="n">
        <x:v>2</x:v>
      </x:c>
      <x:c r="L3501" t="n">
        <x:f>ROUND(F3501*K3501/100,2)</x:f>
        <x:v>2.2</x:v>
      </x:c>
      <x:c r="M3501" t="n">
        <x:v>5</x:v>
      </x:c>
      <x:c r="N3501" t="n">
        <x:f>ROUND(F3501*M3501/100,2)</x:f>
        <x:v>5.5</x:v>
      </x:c>
      <x:c r="O3501" t="str">
        <x:v>净重</x:v>
      </x:c>
    </x:row>
    <x:row r="3502" ht="23" customHeight="1">
      <x:c r="A3502" t="n">
        <x:v>584</x:v>
      </x:c>
      <x:c r="B3502" t="n">
        <x:v>292</x:v>
      </x:c>
      <x:c r="C3502" t="str">
        <x:v>晚餐</x:v>
      </x:c>
      <x:c r="D3502" t="str">
        <x:v>蔬菜</x:v>
      </x:c>
      <x:c r="E3502" t="str">
        <x:v>菜心</x:v>
      </x:c>
      <x:c r="F3502" t="n">
        <x:v>160</x:v>
      </x:c>
      <x:c r="G3502" t="n">
        <x:v>20</x:v>
      </x:c>
      <x:c r="H3502" t="n">
        <x:f>ROUND(F3502*G3502/100,2)</x:f>
        <x:v>32</x:v>
      </x:c>
      <x:c r="I3502" t="n">
        <x:v>2</x:v>
      </x:c>
      <x:c r="J3502" t="n">
        <x:f>ROUND(F3502*I3502/100,2)</x:f>
        <x:v>3.2</x:v>
      </x:c>
      <x:c r="K3502" t="n">
        <x:v>3.5</x:v>
      </x:c>
      <x:c r="L3502" t="n">
        <x:f>ROUND(F3502*K3502/100,2)</x:f>
        <x:v>5.6</x:v>
      </x:c>
      <x:c r="M3502" t="n">
        <x:v>0.3</x:v>
      </x:c>
      <x:c r="N3502" t="n">
        <x:f>ROUND(F3502*M3502/100,2)</x:f>
        <x:v>0.48</x:v>
      </x:c>
      <x:c r="O3502" t="str">
        <x:v>生重</x:v>
      </x:c>
    </x:row>
    <x:row r="3503" ht="23" customHeight="1">
      <x:c r="A3503" t="n">
        <x:v>584</x:v>
      </x:c>
      <x:c r="B3503" t="n">
        <x:v>292</x:v>
      </x:c>
      <x:c r="C3503" t="str">
        <x:v>晚餐</x:v>
      </x:c>
      <x:c r="D3503" t="str">
        <x:v>蔬菜</x:v>
      </x:c>
      <x:c r="E3503" t="str">
        <x:v>花菜</x:v>
      </x:c>
      <x:c r="F3503" t="n">
        <x:v>140</x:v>
      </x:c>
      <x:c r="G3503" t="n">
        <x:v>25</x:v>
      </x:c>
      <x:c r="H3503" t="n">
        <x:f>ROUND(F3503*G3503/100,2)</x:f>
        <x:v>35</x:v>
      </x:c>
      <x:c r="I3503" t="n">
        <x:v>2</x:v>
      </x:c>
      <x:c r="J3503" t="n">
        <x:f>ROUND(F3503*I3503/100,2)</x:f>
        <x:v>2.8</x:v>
      </x:c>
      <x:c r="K3503" t="n">
        <x:v>5</x:v>
      </x:c>
      <x:c r="L3503" t="n">
        <x:f>ROUND(F3503*K3503/100,2)</x:f>
        <x:v>7</x:v>
      </x:c>
      <x:c r="M3503" t="n">
        <x:v>0.3</x:v>
      </x:c>
      <x:c r="N3503" t="n">
        <x:f>ROUND(F3503*M3503/100,2)</x:f>
        <x:v>0.42</x:v>
      </x:c>
      <x:c r="O3503" t="str">
        <x:v>生重</x:v>
      </x:c>
    </x:row>
    <x:row r="3504" ht="23" customHeight="1">
      <x:c r="A3504" t="n">
        <x:v>584</x:v>
      </x:c>
      <x:c r="B3504" t="n">
        <x:v>292</x:v>
      </x:c>
      <x:c r="C3504" t="str">
        <x:v>晚餐</x:v>
      </x:c>
      <x:c r="D3504" t="str">
        <x:v>主食</x:v>
      </x:c>
      <x:c r="E3504" t="str">
        <x:v>玉米</x:v>
      </x:c>
      <x:c r="F3504" t="n">
        <x:v>135</x:v>
      </x:c>
      <x:c r="G3504" t="n">
        <x:v>105</x:v>
      </x:c>
      <x:c r="H3504" t="n">
        <x:f>ROUND(F3504*G3504/100,2)</x:f>
        <x:v>141.75</x:v>
      </x:c>
      <x:c r="I3504" t="n">
        <x:v>3.4</x:v>
      </x:c>
      <x:c r="J3504" t="n">
        <x:f>ROUND(F3504*I3504/100,2)</x:f>
        <x:v>4.59</x:v>
      </x:c>
      <x:c r="K3504" t="n">
        <x:v>22</x:v>
      </x:c>
      <x:c r="L3504" t="n">
        <x:f>ROUND(F3504*K3504/100,2)</x:f>
        <x:v>29.7</x:v>
      </x:c>
      <x:c r="M3504" t="n">
        <x:v>1.5</x:v>
      </x:c>
      <x:c r="N3504" t="n">
        <x:f>ROUND(F3504*M3504/100,2)</x:f>
        <x:v>2.03</x:v>
      </x:c>
      <x:c r="O3504" t="str">
        <x:v>蒸熟净重</x:v>
      </x:c>
    </x:row>
    <x:row r="3505" ht="23" customHeight="1">
      <x:c r="A3505" t="n">
        <x:v>584</x:v>
      </x:c>
      <x:c r="B3505" t="n">
        <x:v>292</x:v>
      </x:c>
      <x:c r="C3505" t="str">
        <x:v>晚餐</x:v>
      </x:c>
      <x:c r="D3505" t="str">
        <x:v>油脂</x:v>
      </x:c>
      <x:c r="E3505" t="str">
        <x:v>烹调油</x:v>
      </x:c>
      <x:c r="F3505" t="n">
        <x:v>5</x:v>
      </x:c>
      <x:c r="G3505" t="n">
        <x:v>900</x:v>
      </x:c>
      <x:c r="H3505" t="n">
        <x:f>ROUND(F3505*G3505/100,2)</x:f>
        <x:v>45</x:v>
      </x:c>
      <x:c r="I3505" t="n">
        <x:v>0</x:v>
      </x:c>
      <x:c r="J3505" t="n">
        <x:f>ROUND(F3505*I3505/100,2)</x:f>
        <x:v>0</x:v>
      </x:c>
      <x:c r="K3505" t="n">
        <x:v>0</x:v>
      </x:c>
      <x:c r="L3505" t="n">
        <x:f>ROUND(F3505*K3505/100,2)</x:f>
        <x:v>0</x:v>
      </x:c>
      <x:c r="M3505" t="n">
        <x:v>100</x:v>
      </x:c>
      <x:c r="N3505" t="n">
        <x:f>ROUND(F3505*M3505/100,2)</x:f>
        <x:v>5</x:v>
      </x:c>
      <x:c r="O3505" t="str">
        <x:v>实际用油重</x:v>
      </x:c>
    </x:row>
    <x:row r="3506" ht="23" customHeight="1">
      <x:c r="A3506" t="n">
        <x:v>585</x:v>
      </x:c>
      <x:c r="B3506" t="n">
        <x:v>293</x:v>
      </x:c>
      <x:c r="C3506" t="str">
        <x:v>午餐</x:v>
      </x:c>
      <x:c r="D3506" t="str">
        <x:v>海鲜</x:v>
      </x:c>
      <x:c r="E3506" t="str">
        <x:v>鱿鱼</x:v>
      </x:c>
      <x:c r="F3506" t="n">
        <x:v>190</x:v>
      </x:c>
      <x:c r="G3506" t="n">
        <x:v>95</x:v>
      </x:c>
      <x:c r="H3506" t="n">
        <x:f>ROUND(F3506*G3506/100,2)</x:f>
        <x:v>180.5</x:v>
      </x:c>
      <x:c r="I3506" t="n">
        <x:v>17</x:v>
      </x:c>
      <x:c r="J3506" t="n">
        <x:f>ROUND(F3506*I3506/100,2)</x:f>
        <x:v>32.3</x:v>
      </x:c>
      <x:c r="K3506" t="n">
        <x:v>2</x:v>
      </x:c>
      <x:c r="L3506" t="n">
        <x:f>ROUND(F3506*K3506/100,2)</x:f>
        <x:v>3.8</x:v>
      </x:c>
      <x:c r="M3506" t="n">
        <x:v>1.4</x:v>
      </x:c>
      <x:c r="N3506" t="n">
        <x:f>ROUND(F3506*M3506/100,2)</x:f>
        <x:v>2.66</x:v>
      </x:c>
      <x:c r="O3506" t="str">
        <x:v>生重</x:v>
      </x:c>
    </x:row>
    <x:row r="3507" ht="23" customHeight="1">
      <x:c r="A3507" t="n">
        <x:v>585</x:v>
      </x:c>
      <x:c r="B3507" t="n">
        <x:v>293</x:v>
      </x:c>
      <x:c r="C3507" t="str">
        <x:v>午餐</x:v>
      </x:c>
      <x:c r="D3507" t="str"/>
      <x:c r="E3507" t="str"/>
      <x:c r="F3507" t="n">
        <x:v>0</x:v>
      </x:c>
      <x:c r="G3507" t="n">
        <x:v>0</x:v>
      </x:c>
      <x:c r="H3507" t="n">
        <x:f>ROUND(F3507*G3507/100,2)</x:f>
        <x:v>0</x:v>
      </x:c>
      <x:c r="I3507" t="n">
        <x:v>0</x:v>
      </x:c>
      <x:c r="J3507" t="n">
        <x:f>ROUND(F3507*I3507/100,2)</x:f>
        <x:v>0</x:v>
      </x:c>
      <x:c r="K3507" t="n">
        <x:v>0</x:v>
      </x:c>
      <x:c r="L3507" t="n">
        <x:f>ROUND(F3507*K3507/100,2)</x:f>
        <x:v>0</x:v>
      </x:c>
      <x:c r="M3507" t="n">
        <x:v>0</x:v>
      </x:c>
      <x:c r="N3507" t="n">
        <x:f>ROUND(F3507*M3507/100,2)</x:f>
        <x:v>0</x:v>
      </x:c>
      <x:c r="O3507" t="str"/>
    </x:row>
    <x:row r="3508" ht="23" customHeight="1">
      <x:c r="A3508" t="n">
        <x:v>585</x:v>
      </x:c>
      <x:c r="B3508" t="n">
        <x:v>293</x:v>
      </x:c>
      <x:c r="C3508" t="str">
        <x:v>午餐</x:v>
      </x:c>
      <x:c r="D3508" t="str">
        <x:v>蔬菜</x:v>
      </x:c>
      <x:c r="E3508" t="str">
        <x:v>菜心</x:v>
      </x:c>
      <x:c r="F3508" t="n">
        <x:v>140</x:v>
      </x:c>
      <x:c r="G3508" t="n">
        <x:v>20</x:v>
      </x:c>
      <x:c r="H3508" t="n">
        <x:f>ROUND(F3508*G3508/100,2)</x:f>
        <x:v>28</x:v>
      </x:c>
      <x:c r="I3508" t="n">
        <x:v>2</x:v>
      </x:c>
      <x:c r="J3508" t="n">
        <x:f>ROUND(F3508*I3508/100,2)</x:f>
        <x:v>2.8</x:v>
      </x:c>
      <x:c r="K3508" t="n">
        <x:v>3.5</x:v>
      </x:c>
      <x:c r="L3508" t="n">
        <x:f>ROUND(F3508*K3508/100,2)</x:f>
        <x:v>4.9</x:v>
      </x:c>
      <x:c r="M3508" t="n">
        <x:v>0.3</x:v>
      </x:c>
      <x:c r="N3508" t="n">
        <x:f>ROUND(F3508*M3508/100,2)</x:f>
        <x:v>0.42</x:v>
      </x:c>
      <x:c r="O3508" t="str">
        <x:v>生重</x:v>
      </x:c>
    </x:row>
    <x:row r="3509" ht="23" customHeight="1">
      <x:c r="A3509" t="n">
        <x:v>585</x:v>
      </x:c>
      <x:c r="B3509" t="n">
        <x:v>293</x:v>
      </x:c>
      <x:c r="C3509" t="str">
        <x:v>午餐</x:v>
      </x:c>
      <x:c r="D3509" t="str">
        <x:v>菌菇</x:v>
      </x:c>
      <x:c r="E3509" t="str">
        <x:v>杏鲍菇</x:v>
      </x:c>
      <x:c r="F3509" t="n">
        <x:v>125</x:v>
      </x:c>
      <x:c r="G3509" t="n">
        <x:v>35</x:v>
      </x:c>
      <x:c r="H3509" t="n">
        <x:f>ROUND(F3509*G3509/100,2)</x:f>
        <x:v>43.75</x:v>
      </x:c>
      <x:c r="I3509" t="n">
        <x:v>2</x:v>
      </x:c>
      <x:c r="J3509" t="n">
        <x:f>ROUND(F3509*I3509/100,2)</x:f>
        <x:v>2.5</x:v>
      </x:c>
      <x:c r="K3509" t="n">
        <x:v>7.4</x:v>
      </x:c>
      <x:c r="L3509" t="n">
        <x:f>ROUND(F3509*K3509/100,2)</x:f>
        <x:v>9.25</x:v>
      </x:c>
      <x:c r="M3509" t="n">
        <x:v>0.3</x:v>
      </x:c>
      <x:c r="N3509" t="n">
        <x:f>ROUND(F3509*M3509/100,2)</x:f>
        <x:v>0.38</x:v>
      </x:c>
      <x:c r="O3509" t="str">
        <x:v>生重</x:v>
      </x:c>
    </x:row>
    <x:row r="3510" ht="23" customHeight="1">
      <x:c r="A3510" t="n">
        <x:v>585</x:v>
      </x:c>
      <x:c r="B3510" t="n">
        <x:v>293</x:v>
      </x:c>
      <x:c r="C3510" t="str">
        <x:v>午餐</x:v>
      </x:c>
      <x:c r="D3510" t="str">
        <x:v>主食</x:v>
      </x:c>
      <x:c r="E3510" t="str">
        <x:v>燕麦饭</x:v>
      </x:c>
      <x:c r="F3510" t="n">
        <x:v>135</x:v>
      </x:c>
      <x:c r="G3510" t="n">
        <x:v>110</x:v>
      </x:c>
      <x:c r="H3510" t="n">
        <x:f>ROUND(F3510*G3510/100,2)</x:f>
        <x:v>148.5</x:v>
      </x:c>
      <x:c r="I3510" t="n">
        <x:v>3.2</x:v>
      </x:c>
      <x:c r="J3510" t="n">
        <x:f>ROUND(F3510*I3510/100,2)</x:f>
        <x:v>4.32</x:v>
      </x:c>
      <x:c r="K3510" t="n">
        <x:v>21</x:v>
      </x:c>
      <x:c r="L3510" t="n">
        <x:f>ROUND(F3510*K3510/100,2)</x:f>
        <x:v>28.35</x:v>
      </x:c>
      <x:c r="M3510" t="n">
        <x:v>1.8</x:v>
      </x:c>
      <x:c r="N3510" t="n">
        <x:f>ROUND(F3510*M3510/100,2)</x:f>
        <x:v>2.43</x:v>
      </x:c>
      <x:c r="O3510" t="str">
        <x:v>熟重</x:v>
      </x:c>
    </x:row>
    <x:row r="3511" ht="23" customHeight="1">
      <x:c r="A3511" t="n">
        <x:v>585</x:v>
      </x:c>
      <x:c r="B3511" t="n">
        <x:v>293</x:v>
      </x:c>
      <x:c r="C3511" t="str">
        <x:v>午餐</x:v>
      </x:c>
      <x:c r="D3511" t="str">
        <x:v>油脂</x:v>
      </x:c>
      <x:c r="E3511" t="str">
        <x:v>烹调油</x:v>
      </x:c>
      <x:c r="F3511" t="n">
        <x:v>3</x:v>
      </x:c>
      <x:c r="G3511" t="n">
        <x:v>900</x:v>
      </x:c>
      <x:c r="H3511" t="n">
        <x:f>ROUND(F3511*G3511/100,2)</x:f>
        <x:v>27</x:v>
      </x:c>
      <x:c r="I3511" t="n">
        <x:v>0</x:v>
      </x:c>
      <x:c r="J3511" t="n">
        <x:f>ROUND(F3511*I3511/100,2)</x:f>
        <x:v>0</x:v>
      </x:c>
      <x:c r="K3511" t="n">
        <x:v>0</x:v>
      </x:c>
      <x:c r="L3511" t="n">
        <x:f>ROUND(F3511*K3511/100,2)</x:f>
        <x:v>0</x:v>
      </x:c>
      <x:c r="M3511" t="n">
        <x:v>100</x:v>
      </x:c>
      <x:c r="N3511" t="n">
        <x:f>ROUND(F3511*M3511/100,2)</x:f>
        <x:v>3</x:v>
      </x:c>
      <x:c r="O3511" t="str">
        <x:v>实际用油重</x:v>
      </x:c>
    </x:row>
    <x:row r="3512" ht="23" customHeight="1">
      <x:c r="A3512" t="n">
        <x:v>586</x:v>
      </x:c>
      <x:c r="B3512" t="n">
        <x:v>293</x:v>
      </x:c>
      <x:c r="C3512" t="str">
        <x:v>晚餐</x:v>
      </x:c>
      <x:c r="D3512" t="str">
        <x:v>禽肉</x:v>
      </x:c>
      <x:c r="E3512" t="str">
        <x:v>去皮鸡腿肉</x:v>
      </x:c>
      <x:c r="F3512" t="n">
        <x:v>145</x:v>
      </x:c>
      <x:c r="G3512" t="n">
        <x:v>125</x:v>
      </x:c>
      <x:c r="H3512" t="n">
        <x:f>ROUND(F3512*G3512/100,2)</x:f>
        <x:v>181.25</x:v>
      </x:c>
      <x:c r="I3512" t="n">
        <x:v>20</x:v>
      </x:c>
      <x:c r="J3512" t="n">
        <x:f>ROUND(F3512*I3512/100,2)</x:f>
        <x:v>29</x:v>
      </x:c>
      <x:c r="K3512" t="n">
        <x:v>0</x:v>
      </x:c>
      <x:c r="L3512" t="n">
        <x:f>ROUND(F3512*K3512/100,2)</x:f>
        <x:v>0</x:v>
      </x:c>
      <x:c r="M3512" t="n">
        <x:v>5</x:v>
      </x:c>
      <x:c r="N3512" t="n">
        <x:f>ROUND(F3512*M3512/100,2)</x:f>
        <x:v>7.25</x:v>
      </x:c>
      <x:c r="O3512" t="str">
        <x:v>生重</x:v>
      </x:c>
    </x:row>
    <x:row r="3513" ht="23" customHeight="1">
      <x:c r="A3513" t="n">
        <x:v>586</x:v>
      </x:c>
      <x:c r="B3513" t="n">
        <x:v>293</x:v>
      </x:c>
      <x:c r="C3513" t="str">
        <x:v>晚餐</x:v>
      </x:c>
      <x:c r="D3513" t="str">
        <x:v>豆蛋</x:v>
      </x:c>
      <x:c r="E3513" t="str">
        <x:v>熟毛豆仁</x:v>
      </x:c>
      <x:c r="F3513" t="n">
        <x:v>50</x:v>
      </x:c>
      <x:c r="G3513" t="n">
        <x:v>120</x:v>
      </x:c>
      <x:c r="H3513" t="n">
        <x:f>ROUND(F3513*G3513/100,2)</x:f>
        <x:v>60</x:v>
      </x:c>
      <x:c r="I3513" t="n">
        <x:v>12</x:v>
      </x:c>
      <x:c r="J3513" t="n">
        <x:f>ROUND(F3513*I3513/100,2)</x:f>
        <x:v>6</x:v>
      </x:c>
      <x:c r="K3513" t="n">
        <x:v>9</x:v>
      </x:c>
      <x:c r="L3513" t="n">
        <x:f>ROUND(F3513*K3513/100,2)</x:f>
        <x:v>4.5</x:v>
      </x:c>
      <x:c r="M3513" t="n">
        <x:v>5</x:v>
      </x:c>
      <x:c r="N3513" t="n">
        <x:f>ROUND(F3513*M3513/100,2)</x:f>
        <x:v>2.5</x:v>
      </x:c>
      <x:c r="O3513" t="str">
        <x:v>熟重</x:v>
      </x:c>
    </x:row>
    <x:row r="3514" ht="23" customHeight="1">
      <x:c r="A3514" t="n">
        <x:v>586</x:v>
      </x:c>
      <x:c r="B3514" t="n">
        <x:v>293</x:v>
      </x:c>
      <x:c r="C3514" t="str">
        <x:v>晚餐</x:v>
      </x:c>
      <x:c r="D3514" t="str">
        <x:v>蔬菜</x:v>
      </x:c>
      <x:c r="E3514" t="str">
        <x:v>茼蒿</x:v>
      </x:c>
      <x:c r="F3514" t="n">
        <x:v>140</x:v>
      </x:c>
      <x:c r="G3514" t="n">
        <x:v>24</x:v>
      </x:c>
      <x:c r="H3514" t="n">
        <x:f>ROUND(F3514*G3514/100,2)</x:f>
        <x:v>33.6</x:v>
      </x:c>
      <x:c r="I3514" t="n">
        <x:v>1.9</x:v>
      </x:c>
      <x:c r="J3514" t="n">
        <x:f>ROUND(F3514*I3514/100,2)</x:f>
        <x:v>2.66</x:v>
      </x:c>
      <x:c r="K3514" t="n">
        <x:v>4.3</x:v>
      </x:c>
      <x:c r="L3514" t="n">
        <x:f>ROUND(F3514*K3514/100,2)</x:f>
        <x:v>6.02</x:v>
      </x:c>
      <x:c r="M3514" t="n">
        <x:v>0.3</x:v>
      </x:c>
      <x:c r="N3514" t="n">
        <x:f>ROUND(F3514*M3514/100,2)</x:f>
        <x:v>0.42</x:v>
      </x:c>
      <x:c r="O3514" t="str">
        <x:v>生重</x:v>
      </x:c>
    </x:row>
    <x:row r="3515" ht="23" customHeight="1">
      <x:c r="A3515" t="n">
        <x:v>586</x:v>
      </x:c>
      <x:c r="B3515" t="n">
        <x:v>293</x:v>
      </x:c>
      <x:c r="C3515" t="str">
        <x:v>晚餐</x:v>
      </x:c>
      <x:c r="D3515" t="str">
        <x:v>菌菇</x:v>
      </x:c>
      <x:c r="E3515" t="str">
        <x:v>口蘑</x:v>
      </x:c>
      <x:c r="F3515" t="n">
        <x:v>125</x:v>
      </x:c>
      <x:c r="G3515" t="n">
        <x:v>22</x:v>
      </x:c>
      <x:c r="H3515" t="n">
        <x:f>ROUND(F3515*G3515/100,2)</x:f>
        <x:v>27.5</x:v>
      </x:c>
      <x:c r="I3515" t="n">
        <x:v>3.1</x:v>
      </x:c>
      <x:c r="J3515" t="n">
        <x:f>ROUND(F3515*I3515/100,2)</x:f>
        <x:v>3.88</x:v>
      </x:c>
      <x:c r="K3515" t="n">
        <x:v>3.3</x:v>
      </x:c>
      <x:c r="L3515" t="n">
        <x:f>ROUND(F3515*K3515/100,2)</x:f>
        <x:v>4.13</x:v>
      </x:c>
      <x:c r="M3515" t="n">
        <x:v>0.3</x:v>
      </x:c>
      <x:c r="N3515" t="n">
        <x:f>ROUND(F3515*M3515/100,2)</x:f>
        <x:v>0.38</x:v>
      </x:c>
      <x:c r="O3515" t="str">
        <x:v>生重</x:v>
      </x:c>
    </x:row>
    <x:row r="3516" ht="23" customHeight="1">
      <x:c r="A3516" t="n">
        <x:v>586</x:v>
      </x:c>
      <x:c r="B3516" t="n">
        <x:v>293</x:v>
      </x:c>
      <x:c r="C3516" t="str">
        <x:v>晚餐</x:v>
      </x:c>
      <x:c r="D3516" t="str">
        <x:v>主食</x:v>
      </x:c>
      <x:c r="E3516" t="str">
        <x:v>紫薯</x:v>
      </x:c>
      <x:c r="F3516" t="n">
        <x:v>80</x:v>
      </x:c>
      <x:c r="G3516" t="n">
        <x:v>95</x:v>
      </x:c>
      <x:c r="H3516" t="n">
        <x:f>ROUND(F3516*G3516/100,2)</x:f>
        <x:v>76</x:v>
      </x:c>
      <x:c r="I3516" t="n">
        <x:v>1.6</x:v>
      </x:c>
      <x:c r="J3516" t="n">
        <x:f>ROUND(F3516*I3516/100,2)</x:f>
        <x:v>1.28</x:v>
      </x:c>
      <x:c r="K3516" t="n">
        <x:v>22</x:v>
      </x:c>
      <x:c r="L3516" t="n">
        <x:f>ROUND(F3516*K3516/100,2)</x:f>
        <x:v>17.6</x:v>
      </x:c>
      <x:c r="M3516" t="n">
        <x:v>0.1</x:v>
      </x:c>
      <x:c r="N3516" t="n">
        <x:f>ROUND(F3516*M3516/100,2)</x:f>
        <x:v>0.08</x:v>
      </x:c>
      <x:c r="O3516" t="str">
        <x:v>蒸熟净重</x:v>
      </x:c>
    </x:row>
    <x:row r="3517" ht="23" customHeight="1">
      <x:c r="A3517" t="n">
        <x:v>586</x:v>
      </x:c>
      <x:c r="B3517" t="n">
        <x:v>293</x:v>
      </x:c>
      <x:c r="C3517" t="str">
        <x:v>晚餐</x:v>
      </x:c>
      <x:c r="D3517" t="str">
        <x:v>油脂</x:v>
      </x:c>
      <x:c r="E3517" t="str">
        <x:v>烹调油</x:v>
      </x:c>
      <x:c r="F3517" t="n">
        <x:v>5</x:v>
      </x:c>
      <x:c r="G3517" t="n">
        <x:v>900</x:v>
      </x:c>
      <x:c r="H3517" t="n">
        <x:f>ROUND(F3517*G3517/100,2)</x:f>
        <x:v>45</x:v>
      </x:c>
      <x:c r="I3517" t="n">
        <x:v>0</x:v>
      </x:c>
      <x:c r="J3517" t="n">
        <x:f>ROUND(F3517*I3517/100,2)</x:f>
        <x:v>0</x:v>
      </x:c>
      <x:c r="K3517" t="n">
        <x:v>0</x:v>
      </x:c>
      <x:c r="L3517" t="n">
        <x:f>ROUND(F3517*K3517/100,2)</x:f>
        <x:v>0</x:v>
      </x:c>
      <x:c r="M3517" t="n">
        <x:v>100</x:v>
      </x:c>
      <x:c r="N3517" t="n">
        <x:f>ROUND(F3517*M3517/100,2)</x:f>
        <x:v>5</x:v>
      </x:c>
      <x:c r="O3517" t="str">
        <x:v>实际用油重</x:v>
      </x:c>
    </x:row>
    <x:row r="3518" ht="23" customHeight="1">
      <x:c r="A3518" t="n">
        <x:v>587</x:v>
      </x:c>
      <x:c r="B3518" t="n">
        <x:v>294</x:v>
      </x:c>
      <x:c r="C3518" t="str">
        <x:v>午餐</x:v>
      </x:c>
      <x:c r="D3518" t="str">
        <x:v>牛肉</x:v>
      </x:c>
      <x:c r="E3518" t="str">
        <x:v>瘦牛肉</x:v>
      </x:c>
      <x:c r="F3518" t="n">
        <x:v>165</x:v>
      </x:c>
      <x:c r="G3518" t="n">
        <x:v>125</x:v>
      </x:c>
      <x:c r="H3518" t="n">
        <x:f>ROUND(F3518*G3518/100,2)</x:f>
        <x:v>206.25</x:v>
      </x:c>
      <x:c r="I3518" t="n">
        <x:v>21</x:v>
      </x:c>
      <x:c r="J3518" t="n">
        <x:f>ROUND(F3518*I3518/100,2)</x:f>
        <x:v>34.65</x:v>
      </x:c>
      <x:c r="K3518" t="n">
        <x:v>0</x:v>
      </x:c>
      <x:c r="L3518" t="n">
        <x:f>ROUND(F3518*K3518/100,2)</x:f>
        <x:v>0</x:v>
      </x:c>
      <x:c r="M3518" t="n">
        <x:v>4</x:v>
      </x:c>
      <x:c r="N3518" t="n">
        <x:f>ROUND(F3518*M3518/100,2)</x:f>
        <x:v>6.6</x:v>
      </x:c>
      <x:c r="O3518" t="str">
        <x:v>生重</x:v>
      </x:c>
    </x:row>
    <x:row r="3519" ht="23" customHeight="1">
      <x:c r="A3519" t="n">
        <x:v>587</x:v>
      </x:c>
      <x:c r="B3519" t="n">
        <x:v>294</x:v>
      </x:c>
      <x:c r="C3519" t="str">
        <x:v>午餐</x:v>
      </x:c>
      <x:c r="D3519" t="str">
        <x:v>豆蛋</x:v>
      </x:c>
      <x:c r="E3519" t="str">
        <x:v>北豆腐</x:v>
      </x:c>
      <x:c r="F3519" t="n">
        <x:v>110</x:v>
      </x:c>
      <x:c r="G3519" t="n">
        <x:v>90</x:v>
      </x:c>
      <x:c r="H3519" t="n">
        <x:f>ROUND(F3519*G3519/100,2)</x:f>
        <x:v>99</x:v>
      </x:c>
      <x:c r="I3519" t="n">
        <x:v>10</x:v>
      </x:c>
      <x:c r="J3519" t="n">
        <x:f>ROUND(F3519*I3519/100,2)</x:f>
        <x:v>11</x:v>
      </x:c>
      <x:c r="K3519" t="n">
        <x:v>2</x:v>
      </x:c>
      <x:c r="L3519" t="n">
        <x:f>ROUND(F3519*K3519/100,2)</x:f>
        <x:v>2.2</x:v>
      </x:c>
      <x:c r="M3519" t="n">
        <x:v>5</x:v>
      </x:c>
      <x:c r="N3519" t="n">
        <x:f>ROUND(F3519*M3519/100,2)</x:f>
        <x:v>5.5</x:v>
      </x:c>
      <x:c r="O3519" t="str">
        <x:v>净重</x:v>
      </x:c>
    </x:row>
    <x:row r="3520" ht="23" customHeight="1">
      <x:c r="A3520" t="n">
        <x:v>587</x:v>
      </x:c>
      <x:c r="B3520" t="n">
        <x:v>294</x:v>
      </x:c>
      <x:c r="C3520" t="str">
        <x:v>午餐</x:v>
      </x:c>
      <x:c r="D3520" t="str">
        <x:v>蔬菜</x:v>
      </x:c>
      <x:c r="E3520" t="str">
        <x:v>苦瓜</x:v>
      </x:c>
      <x:c r="F3520" t="n">
        <x:v>175</x:v>
      </x:c>
      <x:c r="G3520" t="n">
        <x:v>19</x:v>
      </x:c>
      <x:c r="H3520" t="n">
        <x:f>ROUND(F3520*G3520/100,2)</x:f>
        <x:v>33.25</x:v>
      </x:c>
      <x:c r="I3520" t="n">
        <x:v>1</x:v>
      </x:c>
      <x:c r="J3520" t="n">
        <x:f>ROUND(F3520*I3520/100,2)</x:f>
        <x:v>1.75</x:v>
      </x:c>
      <x:c r="K3520" t="n">
        <x:v>4.1</x:v>
      </x:c>
      <x:c r="L3520" t="n">
        <x:f>ROUND(F3520*K3520/100,2)</x:f>
        <x:v>7.17</x:v>
      </x:c>
      <x:c r="M3520" t="n">
        <x:v>0.2</x:v>
      </x:c>
      <x:c r="N3520" t="n">
        <x:f>ROUND(F3520*M3520/100,2)</x:f>
        <x:v>0.35</x:v>
      </x:c>
      <x:c r="O3520" t="str">
        <x:v>生重</x:v>
      </x:c>
    </x:row>
    <x:row r="3521" ht="23" customHeight="1">
      <x:c r="A3521" t="n">
        <x:v>587</x:v>
      </x:c>
      <x:c r="B3521" t="n">
        <x:v>294</x:v>
      </x:c>
      <x:c r="C3521" t="str">
        <x:v>午餐</x:v>
      </x:c>
      <x:c r="D3521" t="str">
        <x:v>菌菇</x:v>
      </x:c>
      <x:c r="E3521" t="str">
        <x:v>香菇</x:v>
      </x:c>
      <x:c r="F3521" t="n">
        <x:v>140</x:v>
      </x:c>
      <x:c r="G3521" t="n">
        <x:v>34</x:v>
      </x:c>
      <x:c r="H3521" t="n">
        <x:f>ROUND(F3521*G3521/100,2)</x:f>
        <x:v>47.6</x:v>
      </x:c>
      <x:c r="I3521" t="n">
        <x:v>2.2</x:v>
      </x:c>
      <x:c r="J3521" t="n">
        <x:f>ROUND(F3521*I3521/100,2)</x:f>
        <x:v>3.08</x:v>
      </x:c>
      <x:c r="K3521" t="n">
        <x:v>6.8</x:v>
      </x:c>
      <x:c r="L3521" t="n">
        <x:f>ROUND(F3521*K3521/100,2)</x:f>
        <x:v>9.52</x:v>
      </x:c>
      <x:c r="M3521" t="n">
        <x:v>0.5</x:v>
      </x:c>
      <x:c r="N3521" t="n">
        <x:f>ROUND(F3521*M3521/100,2)</x:f>
        <x:v>0.7</x:v>
      </x:c>
      <x:c r="O3521" t="str">
        <x:v>生重</x:v>
      </x:c>
    </x:row>
    <x:row r="3522" ht="23" customHeight="1">
      <x:c r="A3522" t="n">
        <x:v>587</x:v>
      </x:c>
      <x:c r="B3522" t="n">
        <x:v>294</x:v>
      </x:c>
      <x:c r="C3522" t="str">
        <x:v>午餐</x:v>
      </x:c>
      <x:c r="D3522" t="str">
        <x:v>主食</x:v>
      </x:c>
      <x:c r="E3522" t="str">
        <x:v>糙米饭</x:v>
      </x:c>
      <x:c r="F3522" t="n">
        <x:v>125</x:v>
      </x:c>
      <x:c r="G3522" t="n">
        <x:v>112</x:v>
      </x:c>
      <x:c r="H3522" t="n">
        <x:f>ROUND(F3522*G3522/100,2)</x:f>
        <x:v>140</x:v>
      </x:c>
      <x:c r="I3522" t="n">
        <x:v>2.6</x:v>
      </x:c>
      <x:c r="J3522" t="n">
        <x:f>ROUND(F3522*I3522/100,2)</x:f>
        <x:v>3.25</x:v>
      </x:c>
      <x:c r="K3522" t="n">
        <x:v>23.5</x:v>
      </x:c>
      <x:c r="L3522" t="n">
        <x:f>ROUND(F3522*K3522/100,2)</x:f>
        <x:v>29.38</x:v>
      </x:c>
      <x:c r="M3522" t="n">
        <x:v>0.9</x:v>
      </x:c>
      <x:c r="N3522" t="n">
        <x:f>ROUND(F3522*M3522/100,2)</x:f>
        <x:v>1.13</x:v>
      </x:c>
      <x:c r="O3522" t="str">
        <x:v>熟重</x:v>
      </x:c>
    </x:row>
    <x:row r="3523" ht="23" customHeight="1">
      <x:c r="A3523" t="n">
        <x:v>587</x:v>
      </x:c>
      <x:c r="B3523" t="n">
        <x:v>294</x:v>
      </x:c>
      <x:c r="C3523" t="str">
        <x:v>午餐</x:v>
      </x:c>
      <x:c r="D3523" t="str">
        <x:v>油脂</x:v>
      </x:c>
      <x:c r="E3523" t="str">
        <x:v>烹调油</x:v>
      </x:c>
      <x:c r="F3523" t="n">
        <x:v>3</x:v>
      </x:c>
      <x:c r="G3523" t="n">
        <x:v>900</x:v>
      </x:c>
      <x:c r="H3523" t="n">
        <x:f>ROUND(F3523*G3523/100,2)</x:f>
        <x:v>27</x:v>
      </x:c>
      <x:c r="I3523" t="n">
        <x:v>0</x:v>
      </x:c>
      <x:c r="J3523" t="n">
        <x:f>ROUND(F3523*I3523/100,2)</x:f>
        <x:v>0</x:v>
      </x:c>
      <x:c r="K3523" t="n">
        <x:v>0</x:v>
      </x:c>
      <x:c r="L3523" t="n">
        <x:f>ROUND(F3523*K3523/100,2)</x:f>
        <x:v>0</x:v>
      </x:c>
      <x:c r="M3523" t="n">
        <x:v>100</x:v>
      </x:c>
      <x:c r="N3523" t="n">
        <x:f>ROUND(F3523*M3523/100,2)</x:f>
        <x:v>3</x:v>
      </x:c>
      <x:c r="O3523" t="str">
        <x:v>实际用油重</x:v>
      </x:c>
    </x:row>
    <x:row r="3524" ht="23" customHeight="1">
      <x:c r="A3524" t="n">
        <x:v>588</x:v>
      </x:c>
      <x:c r="B3524" t="n">
        <x:v>294</x:v>
      </x:c>
      <x:c r="C3524" t="str">
        <x:v>晚餐</x:v>
      </x:c>
      <x:c r="D3524" t="str">
        <x:v>豆蛋</x:v>
      </x:c>
      <x:c r="E3524" t="str">
        <x:v>北豆腐</x:v>
      </x:c>
      <x:c r="F3524" t="n">
        <x:v>280</x:v>
      </x:c>
      <x:c r="G3524" t="n">
        <x:v>90</x:v>
      </x:c>
      <x:c r="H3524" t="n">
        <x:f>ROUND(F3524*G3524/100,2)</x:f>
        <x:v>252</x:v>
      </x:c>
      <x:c r="I3524" t="n">
        <x:v>10</x:v>
      </x:c>
      <x:c r="J3524" t="n">
        <x:f>ROUND(F3524*I3524/100,2)</x:f>
        <x:v>28</x:v>
      </x:c>
      <x:c r="K3524" t="n">
        <x:v>2</x:v>
      </x:c>
      <x:c r="L3524" t="n">
        <x:f>ROUND(F3524*K3524/100,2)</x:f>
        <x:v>5.6</x:v>
      </x:c>
      <x:c r="M3524" t="n">
        <x:v>5</x:v>
      </x:c>
      <x:c r="N3524" t="n">
        <x:f>ROUND(F3524*M3524/100,2)</x:f>
        <x:v>14</x:v>
      </x:c>
      <x:c r="O3524" t="str">
        <x:v>净重</x:v>
      </x:c>
    </x:row>
    <x:row r="3525" ht="23" customHeight="1">
      <x:c r="A3525" t="n">
        <x:v>588</x:v>
      </x:c>
      <x:c r="B3525" t="n">
        <x:v>294</x:v>
      </x:c>
      <x:c r="C3525" t="str">
        <x:v>晚餐</x:v>
      </x:c>
      <x:c r="D3525" t="str">
        <x:v>海鲜</x:v>
      </x:c>
      <x:c r="E3525" t="str">
        <x:v>虾仁</x:v>
      </x:c>
      <x:c r="F3525" t="n">
        <x:v>65</x:v>
      </x:c>
      <x:c r="G3525" t="n">
        <x:v>90</x:v>
      </x:c>
      <x:c r="H3525" t="n">
        <x:f>ROUND(F3525*G3525/100,2)</x:f>
        <x:v>58.5</x:v>
      </x:c>
      <x:c r="I3525" t="n">
        <x:v>19</x:v>
      </x:c>
      <x:c r="J3525" t="n">
        <x:f>ROUND(F3525*I3525/100,2)</x:f>
        <x:v>12.35</x:v>
      </x:c>
      <x:c r="K3525" t="n">
        <x:v>0.4</x:v>
      </x:c>
      <x:c r="L3525" t="n">
        <x:f>ROUND(F3525*K3525/100,2)</x:f>
        <x:v>0.26</x:v>
      </x:c>
      <x:c r="M3525" t="n">
        <x:v>1.1</x:v>
      </x:c>
      <x:c r="N3525" t="n">
        <x:f>ROUND(F3525*M3525/100,2)</x:f>
        <x:v>0.72</x:v>
      </x:c>
      <x:c r="O3525" t="str">
        <x:v>生重</x:v>
      </x:c>
    </x:row>
    <x:row r="3526" ht="23" customHeight="1">
      <x:c r="A3526" t="n">
        <x:v>588</x:v>
      </x:c>
      <x:c r="B3526" t="n">
        <x:v>294</x:v>
      </x:c>
      <x:c r="C3526" t="str">
        <x:v>晚餐</x:v>
      </x:c>
      <x:c r="D3526" t="str">
        <x:v>蔬菜</x:v>
      </x:c>
      <x:c r="E3526" t="str">
        <x:v>西兰花</x:v>
      </x:c>
      <x:c r="F3526" t="n">
        <x:v>175</x:v>
      </x:c>
      <x:c r="G3526" t="n">
        <x:v>34</x:v>
      </x:c>
      <x:c r="H3526" t="n">
        <x:f>ROUND(F3526*G3526/100,2)</x:f>
        <x:v>59.5</x:v>
      </x:c>
      <x:c r="I3526" t="n">
        <x:v>2.8</x:v>
      </x:c>
      <x:c r="J3526" t="n">
        <x:f>ROUND(F3526*I3526/100,2)</x:f>
        <x:v>4.9</x:v>
      </x:c>
      <x:c r="K3526" t="n">
        <x:v>7</x:v>
      </x:c>
      <x:c r="L3526" t="n">
        <x:f>ROUND(F3526*K3526/100,2)</x:f>
        <x:v>12.25</x:v>
      </x:c>
      <x:c r="M3526" t="n">
        <x:v>0.4</x:v>
      </x:c>
      <x:c r="N3526" t="n">
        <x:f>ROUND(F3526*M3526/100,2)</x:f>
        <x:v>0.7</x:v>
      </x:c>
      <x:c r="O3526" t="str">
        <x:v>生重</x:v>
      </x:c>
    </x:row>
    <x:row r="3527" ht="23" customHeight="1">
      <x:c r="A3527" t="n">
        <x:v>588</x:v>
      </x:c>
      <x:c r="B3527" t="n">
        <x:v>294</x:v>
      </x:c>
      <x:c r="C3527" t="str">
        <x:v>晚餐</x:v>
      </x:c>
      <x:c r="D3527" t="str">
        <x:v>菌菇</x:v>
      </x:c>
      <x:c r="E3527" t="str">
        <x:v>泡发木耳</x:v>
      </x:c>
      <x:c r="F3527" t="n">
        <x:v>140</x:v>
      </x:c>
      <x:c r="G3527" t="n">
        <x:v>25</x:v>
      </x:c>
      <x:c r="H3527" t="n">
        <x:f>ROUND(F3527*G3527/100,2)</x:f>
        <x:v>35</x:v>
      </x:c>
      <x:c r="I3527" t="n">
        <x:v>1.5</x:v>
      </x:c>
      <x:c r="J3527" t="n">
        <x:f>ROUND(F3527*I3527/100,2)</x:f>
        <x:v>2.1</x:v>
      </x:c>
      <x:c r="K3527" t="n">
        <x:v>6</x:v>
      </x:c>
      <x:c r="L3527" t="n">
        <x:f>ROUND(F3527*K3527/100,2)</x:f>
        <x:v>8.4</x:v>
      </x:c>
      <x:c r="M3527" t="n">
        <x:v>0.1</x:v>
      </x:c>
      <x:c r="N3527" t="n">
        <x:f>ROUND(F3527*M3527/100,2)</x:f>
        <x:v>0.14</x:v>
      </x:c>
      <x:c r="O3527" t="str">
        <x:v>泡发沥水重</x:v>
      </x:c>
    </x:row>
    <x:row r="3528" ht="23" customHeight="1">
      <x:c r="A3528" t="n">
        <x:v>588</x:v>
      </x:c>
      <x:c r="B3528" t="n">
        <x:v>294</x:v>
      </x:c>
      <x:c r="C3528" t="str">
        <x:v>晚餐</x:v>
      </x:c>
      <x:c r="D3528" t="str">
        <x:v>主食</x:v>
      </x:c>
      <x:c r="E3528" t="str">
        <x:v>米粉</x:v>
      </x:c>
      <x:c r="F3528" t="n">
        <x:v>110</x:v>
      </x:c>
      <x:c r="G3528" t="n">
        <x:v>110</x:v>
      </x:c>
      <x:c r="H3528" t="n">
        <x:f>ROUND(F3528*G3528/100,2)</x:f>
        <x:v>121</x:v>
      </x:c>
      <x:c r="I3528" t="n">
        <x:v>2</x:v>
      </x:c>
      <x:c r="J3528" t="n">
        <x:f>ROUND(F3528*I3528/100,2)</x:f>
        <x:v>2.2</x:v>
      </x:c>
      <x:c r="K3528" t="n">
        <x:v>24</x:v>
      </x:c>
      <x:c r="L3528" t="n">
        <x:f>ROUND(F3528*K3528/100,2)</x:f>
        <x:v>26.4</x:v>
      </x:c>
      <x:c r="M3528" t="n">
        <x:v>0.4</x:v>
      </x:c>
      <x:c r="N3528" t="n">
        <x:f>ROUND(F3528*M3528/100,2)</x:f>
        <x:v>0.44</x:v>
      </x:c>
      <x:c r="O3528" t="str">
        <x:v>煮熟沥水重</x:v>
      </x:c>
    </x:row>
    <x:row r="3529" ht="23" customHeight="1">
      <x:c r="A3529" t="n">
        <x:v>588</x:v>
      </x:c>
      <x:c r="B3529" t="n">
        <x:v>294</x:v>
      </x:c>
      <x:c r="C3529" t="str">
        <x:v>晚餐</x:v>
      </x:c>
      <x:c r="D3529" t="str">
        <x:v>油脂</x:v>
      </x:c>
      <x:c r="E3529" t="str">
        <x:v>烹调油</x:v>
      </x:c>
      <x:c r="F3529" t="n">
        <x:v>5</x:v>
      </x:c>
      <x:c r="G3529" t="n">
        <x:v>900</x:v>
      </x:c>
      <x:c r="H3529" t="n">
        <x:f>ROUND(F3529*G3529/100,2)</x:f>
        <x:v>45</x:v>
      </x:c>
      <x:c r="I3529" t="n">
        <x:v>0</x:v>
      </x:c>
      <x:c r="J3529" t="n">
        <x:f>ROUND(F3529*I3529/100,2)</x:f>
        <x:v>0</x:v>
      </x:c>
      <x:c r="K3529" t="n">
        <x:v>0</x:v>
      </x:c>
      <x:c r="L3529" t="n">
        <x:f>ROUND(F3529*K3529/100,2)</x:f>
        <x:v>0</x:v>
      </x:c>
      <x:c r="M3529" t="n">
        <x:v>100</x:v>
      </x:c>
      <x:c r="N3529" t="n">
        <x:f>ROUND(F3529*M3529/100,2)</x:f>
        <x:v>5</x:v>
      </x:c>
      <x:c r="O3529" t="str">
        <x:v>实际用油重</x:v>
      </x:c>
    </x:row>
    <x:row r="3530" ht="23" customHeight="1">
      <x:c r="A3530" t="n">
        <x:v>589</x:v>
      </x:c>
      <x:c r="B3530" t="n">
        <x:v>295</x:v>
      </x:c>
      <x:c r="C3530" t="str">
        <x:v>午餐</x:v>
      </x:c>
      <x:c r="D3530" t="str">
        <x:v>禽肉</x:v>
      </x:c>
      <x:c r="E3530" t="str">
        <x:v>去皮鸡腿肉</x:v>
      </x:c>
      <x:c r="F3530" t="n">
        <x:v>165</x:v>
      </x:c>
      <x:c r="G3530" t="n">
        <x:v>125</x:v>
      </x:c>
      <x:c r="H3530" t="n">
        <x:f>ROUND(F3530*G3530/100,2)</x:f>
        <x:v>206.25</x:v>
      </x:c>
      <x:c r="I3530" t="n">
        <x:v>20</x:v>
      </x:c>
      <x:c r="J3530" t="n">
        <x:f>ROUND(F3530*I3530/100,2)</x:f>
        <x:v>33</x:v>
      </x:c>
      <x:c r="K3530" t="n">
        <x:v>0</x:v>
      </x:c>
      <x:c r="L3530" t="n">
        <x:f>ROUND(F3530*K3530/100,2)</x:f>
        <x:v>0</x:v>
      </x:c>
      <x:c r="M3530" t="n">
        <x:v>5</x:v>
      </x:c>
      <x:c r="N3530" t="n">
        <x:f>ROUND(F3530*M3530/100,2)</x:f>
        <x:v>8.25</x:v>
      </x:c>
      <x:c r="O3530" t="str">
        <x:v>生重</x:v>
      </x:c>
    </x:row>
    <x:row r="3531" ht="23" customHeight="1">
      <x:c r="A3531" t="n">
        <x:v>589</x:v>
      </x:c>
      <x:c r="B3531" t="n">
        <x:v>295</x:v>
      </x:c>
      <x:c r="C3531" t="str">
        <x:v>午餐</x:v>
      </x:c>
      <x:c r="D3531" t="str"/>
      <x:c r="E3531" t="str"/>
      <x:c r="F3531" t="n">
        <x:v>0</x:v>
      </x:c>
      <x:c r="G3531" t="n">
        <x:v>0</x:v>
      </x:c>
      <x:c r="H3531" t="n">
        <x:f>ROUND(F3531*G3531/100,2)</x:f>
        <x:v>0</x:v>
      </x:c>
      <x:c r="I3531" t="n">
        <x:v>0</x:v>
      </x:c>
      <x:c r="J3531" t="n">
        <x:f>ROUND(F3531*I3531/100,2)</x:f>
        <x:v>0</x:v>
      </x:c>
      <x:c r="K3531" t="n">
        <x:v>0</x:v>
      </x:c>
      <x:c r="L3531" t="n">
        <x:f>ROUND(F3531*K3531/100,2)</x:f>
        <x:v>0</x:v>
      </x:c>
      <x:c r="M3531" t="n">
        <x:v>0</x:v>
      </x:c>
      <x:c r="N3531" t="n">
        <x:f>ROUND(F3531*M3531/100,2)</x:f>
        <x:v>0</x:v>
      </x:c>
      <x:c r="O3531" t="str"/>
    </x:row>
    <x:row r="3532" ht="23" customHeight="1">
      <x:c r="A3532" t="n">
        <x:v>589</x:v>
      </x:c>
      <x:c r="B3532" t="n">
        <x:v>295</x:v>
      </x:c>
      <x:c r="C3532" t="str">
        <x:v>午餐</x:v>
      </x:c>
      <x:c r="D3532" t="str">
        <x:v>蔬菜</x:v>
      </x:c>
      <x:c r="E3532" t="str">
        <x:v>大白菜</x:v>
      </x:c>
      <x:c r="F3532" t="n">
        <x:v>190</x:v>
      </x:c>
      <x:c r="G3532" t="n">
        <x:v>17</x:v>
      </x:c>
      <x:c r="H3532" t="n">
        <x:f>ROUND(F3532*G3532/100,2)</x:f>
        <x:v>32.3</x:v>
      </x:c>
      <x:c r="I3532" t="n">
        <x:v>1.5</x:v>
      </x:c>
      <x:c r="J3532" t="n">
        <x:f>ROUND(F3532*I3532/100,2)</x:f>
        <x:v>2.85</x:v>
      </x:c>
      <x:c r="K3532" t="n">
        <x:v>3.2</x:v>
      </x:c>
      <x:c r="L3532" t="n">
        <x:f>ROUND(F3532*K3532/100,2)</x:f>
        <x:v>6.08</x:v>
      </x:c>
      <x:c r="M3532" t="n">
        <x:v>0.1</x:v>
      </x:c>
      <x:c r="N3532" t="n">
        <x:f>ROUND(F3532*M3532/100,2)</x:f>
        <x:v>0.19</x:v>
      </x:c>
      <x:c r="O3532" t="str">
        <x:v>生重</x:v>
      </x:c>
    </x:row>
    <x:row r="3533" ht="23" customHeight="1">
      <x:c r="A3533" t="n">
        <x:v>589</x:v>
      </x:c>
      <x:c r="B3533" t="n">
        <x:v>295</x:v>
      </x:c>
      <x:c r="C3533" t="str">
        <x:v>午餐</x:v>
      </x:c>
      <x:c r="D3533" t="str">
        <x:v>蔬菜</x:v>
      </x:c>
      <x:c r="E3533" t="str">
        <x:v>胡萝卜</x:v>
      </x:c>
      <x:c r="F3533" t="n">
        <x:v>140</x:v>
      </x:c>
      <x:c r="G3533" t="n">
        <x:v>41</x:v>
      </x:c>
      <x:c r="H3533" t="n">
        <x:f>ROUND(F3533*G3533/100,2)</x:f>
        <x:v>57.4</x:v>
      </x:c>
      <x:c r="I3533" t="n">
        <x:v>0.9</x:v>
      </x:c>
      <x:c r="J3533" t="n">
        <x:f>ROUND(F3533*I3533/100,2)</x:f>
        <x:v>1.26</x:v>
      </x:c>
      <x:c r="K3533" t="n">
        <x:v>10</x:v>
      </x:c>
      <x:c r="L3533" t="n">
        <x:f>ROUND(F3533*K3533/100,2)</x:f>
        <x:v>14</x:v>
      </x:c>
      <x:c r="M3533" t="n">
        <x:v>0.2</x:v>
      </x:c>
      <x:c r="N3533" t="n">
        <x:f>ROUND(F3533*M3533/100,2)</x:f>
        <x:v>0.28</x:v>
      </x:c>
      <x:c r="O3533" t="str">
        <x:v>生重</x:v>
      </x:c>
    </x:row>
    <x:row r="3534" ht="23" customHeight="1">
      <x:c r="A3534" t="n">
        <x:v>589</x:v>
      </x:c>
      <x:c r="B3534" t="n">
        <x:v>295</x:v>
      </x:c>
      <x:c r="C3534" t="str">
        <x:v>午餐</x:v>
      </x:c>
      <x:c r="D3534" t="str">
        <x:v>主食</x:v>
      </x:c>
      <x:c r="E3534" t="str">
        <x:v>紫薯</x:v>
      </x:c>
      <x:c r="F3534" t="n">
        <x:v>110</x:v>
      </x:c>
      <x:c r="G3534" t="n">
        <x:v>95</x:v>
      </x:c>
      <x:c r="H3534" t="n">
        <x:f>ROUND(F3534*G3534/100,2)</x:f>
        <x:v>104.5</x:v>
      </x:c>
      <x:c r="I3534" t="n">
        <x:v>1.6</x:v>
      </x:c>
      <x:c r="J3534" t="n">
        <x:f>ROUND(F3534*I3534/100,2)</x:f>
        <x:v>1.76</x:v>
      </x:c>
      <x:c r="K3534" t="n">
        <x:v>22</x:v>
      </x:c>
      <x:c r="L3534" t="n">
        <x:f>ROUND(F3534*K3534/100,2)</x:f>
        <x:v>24.2</x:v>
      </x:c>
      <x:c r="M3534" t="n">
        <x:v>0.1</x:v>
      </x:c>
      <x:c r="N3534" t="n">
        <x:f>ROUND(F3534*M3534/100,2)</x:f>
        <x:v>0.11</x:v>
      </x:c>
      <x:c r="O3534" t="str">
        <x:v>蒸熟净重</x:v>
      </x:c>
    </x:row>
    <x:row r="3535" ht="23" customHeight="1">
      <x:c r="A3535" t="n">
        <x:v>589</x:v>
      </x:c>
      <x:c r="B3535" t="n">
        <x:v>295</x:v>
      </x:c>
      <x:c r="C3535" t="str">
        <x:v>午餐</x:v>
      </x:c>
      <x:c r="D3535" t="str">
        <x:v>油脂</x:v>
      </x:c>
      <x:c r="E3535" t="str">
        <x:v>烹调油</x:v>
      </x:c>
      <x:c r="F3535" t="n">
        <x:v>6</x:v>
      </x:c>
      <x:c r="G3535" t="n">
        <x:v>900</x:v>
      </x:c>
      <x:c r="H3535" t="n">
        <x:f>ROUND(F3535*G3535/100,2)</x:f>
        <x:v>54</x:v>
      </x:c>
      <x:c r="I3535" t="n">
        <x:v>0</x:v>
      </x:c>
      <x:c r="J3535" t="n">
        <x:f>ROUND(F3535*I3535/100,2)</x:f>
        <x:v>0</x:v>
      </x:c>
      <x:c r="K3535" t="n">
        <x:v>0</x:v>
      </x:c>
      <x:c r="L3535" t="n">
        <x:f>ROUND(F3535*K3535/100,2)</x:f>
        <x:v>0</x:v>
      </x:c>
      <x:c r="M3535" t="n">
        <x:v>100</x:v>
      </x:c>
      <x:c r="N3535" t="n">
        <x:f>ROUND(F3535*M3535/100,2)</x:f>
        <x:v>6</x:v>
      </x:c>
      <x:c r="O3535" t="str">
        <x:v>实际用油重</x:v>
      </x:c>
    </x:row>
    <x:row r="3536" ht="23" customHeight="1">
      <x:c r="A3536" t="n">
        <x:v>590</x:v>
      </x:c>
      <x:c r="B3536" t="n">
        <x:v>295</x:v>
      </x:c>
      <x:c r="C3536" t="str">
        <x:v>晚餐</x:v>
      </x:c>
      <x:c r="D3536" t="str">
        <x:v>鱼类</x:v>
      </x:c>
      <x:c r="E3536" t="str">
        <x:v>巴沙鱼</x:v>
      </x:c>
      <x:c r="F3536" t="n">
        <x:v>200</x:v>
      </x:c>
      <x:c r="G3536" t="n">
        <x:v>90</x:v>
      </x:c>
      <x:c r="H3536" t="n">
        <x:f>ROUND(F3536*G3536/100,2)</x:f>
        <x:v>180</x:v>
      </x:c>
      <x:c r="I3536" t="n">
        <x:v>17</x:v>
      </x:c>
      <x:c r="J3536" t="n">
        <x:f>ROUND(F3536*I3536/100,2)</x:f>
        <x:v>34</x:v>
      </x:c>
      <x:c r="K3536" t="n">
        <x:v>0</x:v>
      </x:c>
      <x:c r="L3536" t="n">
        <x:f>ROUND(F3536*K3536/100,2)</x:f>
        <x:v>0</x:v>
      </x:c>
      <x:c r="M3536" t="n">
        <x:v>2.3</x:v>
      </x:c>
      <x:c r="N3536" t="n">
        <x:f>ROUND(F3536*M3536/100,2)</x:f>
        <x:v>4.6</x:v>
      </x:c>
      <x:c r="O3536" t="str">
        <x:v>净鱼肉生重</x:v>
      </x:c>
    </x:row>
    <x:row r="3537" ht="23" customHeight="1">
      <x:c r="A3537" t="n">
        <x:v>590</x:v>
      </x:c>
      <x:c r="B3537" t="n">
        <x:v>295</x:v>
      </x:c>
      <x:c r="C3537" t="str">
        <x:v>晚餐</x:v>
      </x:c>
      <x:c r="D3537" t="str"/>
      <x:c r="E3537" t="str"/>
      <x:c r="F3537" t="n">
        <x:v>0</x:v>
      </x:c>
      <x:c r="G3537" t="n">
        <x:v>0</x:v>
      </x:c>
      <x:c r="H3537" t="n">
        <x:f>ROUND(F3537*G3537/100,2)</x:f>
        <x:v>0</x:v>
      </x:c>
      <x:c r="I3537" t="n">
        <x:v>0</x:v>
      </x:c>
      <x:c r="J3537" t="n">
        <x:f>ROUND(F3537*I3537/100,2)</x:f>
        <x:v>0</x:v>
      </x:c>
      <x:c r="K3537" t="n">
        <x:v>0</x:v>
      </x:c>
      <x:c r="L3537" t="n">
        <x:f>ROUND(F3537*K3537/100,2)</x:f>
        <x:v>0</x:v>
      </x:c>
      <x:c r="M3537" t="n">
        <x:v>0</x:v>
      </x:c>
      <x:c r="N3537" t="n">
        <x:f>ROUND(F3537*M3537/100,2)</x:f>
        <x:v>0</x:v>
      </x:c>
      <x:c r="O3537" t="str"/>
    </x:row>
    <x:row r="3538" ht="23" customHeight="1">
      <x:c r="A3538" t="n">
        <x:v>590</x:v>
      </x:c>
      <x:c r="B3538" t="n">
        <x:v>295</x:v>
      </x:c>
      <x:c r="C3538" t="str">
        <x:v>晚餐</x:v>
      </x:c>
      <x:c r="D3538" t="str">
        <x:v>蔬菜</x:v>
      </x:c>
      <x:c r="E3538" t="str">
        <x:v>茼蒿</x:v>
      </x:c>
      <x:c r="F3538" t="n">
        <x:v>190</x:v>
      </x:c>
      <x:c r="G3538" t="n">
        <x:v>24</x:v>
      </x:c>
      <x:c r="H3538" t="n">
        <x:f>ROUND(F3538*G3538/100,2)</x:f>
        <x:v>45.6</x:v>
      </x:c>
      <x:c r="I3538" t="n">
        <x:v>1.9</x:v>
      </x:c>
      <x:c r="J3538" t="n">
        <x:f>ROUND(F3538*I3538/100,2)</x:f>
        <x:v>3.61</x:v>
      </x:c>
      <x:c r="K3538" t="n">
        <x:v>4.3</x:v>
      </x:c>
      <x:c r="L3538" t="n">
        <x:f>ROUND(F3538*K3538/100,2)</x:f>
        <x:v>8.17</x:v>
      </x:c>
      <x:c r="M3538" t="n">
        <x:v>0.3</x:v>
      </x:c>
      <x:c r="N3538" t="n">
        <x:f>ROUND(F3538*M3538/100,2)</x:f>
        <x:v>0.57</x:v>
      </x:c>
      <x:c r="O3538" t="str">
        <x:v>生重</x:v>
      </x:c>
    </x:row>
    <x:row r="3539" ht="23" customHeight="1">
      <x:c r="A3539" t="n">
        <x:v>590</x:v>
      </x:c>
      <x:c r="B3539" t="n">
        <x:v>295</x:v>
      </x:c>
      <x:c r="C3539" t="str">
        <x:v>晚餐</x:v>
      </x:c>
      <x:c r="D3539" t="str">
        <x:v>蔬菜</x:v>
      </x:c>
      <x:c r="E3539" t="str">
        <x:v>菜心</x:v>
      </x:c>
      <x:c r="F3539" t="n">
        <x:v>110</x:v>
      </x:c>
      <x:c r="G3539" t="n">
        <x:v>20</x:v>
      </x:c>
      <x:c r="H3539" t="n">
        <x:f>ROUND(F3539*G3539/100,2)</x:f>
        <x:v>22</x:v>
      </x:c>
      <x:c r="I3539" t="n">
        <x:v>2</x:v>
      </x:c>
      <x:c r="J3539" t="n">
        <x:f>ROUND(F3539*I3539/100,2)</x:f>
        <x:v>2.2</x:v>
      </x:c>
      <x:c r="K3539" t="n">
        <x:v>3.5</x:v>
      </x:c>
      <x:c r="L3539" t="n">
        <x:f>ROUND(F3539*K3539/100,2)</x:f>
        <x:v>3.85</x:v>
      </x:c>
      <x:c r="M3539" t="n">
        <x:v>0.3</x:v>
      </x:c>
      <x:c r="N3539" t="n">
        <x:f>ROUND(F3539*M3539/100,2)</x:f>
        <x:v>0.33</x:v>
      </x:c>
      <x:c r="O3539" t="str">
        <x:v>生重</x:v>
      </x:c>
    </x:row>
    <x:row r="3540" ht="23" customHeight="1">
      <x:c r="A3540" t="n">
        <x:v>590</x:v>
      </x:c>
      <x:c r="B3540" t="n">
        <x:v>295</x:v>
      </x:c>
      <x:c r="C3540" t="str">
        <x:v>晚餐</x:v>
      </x:c>
      <x:c r="D3540" t="str">
        <x:v>主食</x:v>
      </x:c>
      <x:c r="E3540" t="str">
        <x:v>藜麦饭</x:v>
      </x:c>
      <x:c r="F3540" t="n">
        <x:v>125</x:v>
      </x:c>
      <x:c r="G3540" t="n">
        <x:v>120</x:v>
      </x:c>
      <x:c r="H3540" t="n">
        <x:f>ROUND(F3540*G3540/100,2)</x:f>
        <x:v>150</x:v>
      </x:c>
      <x:c r="I3540" t="n">
        <x:v>4.4</x:v>
      </x:c>
      <x:c r="J3540" t="n">
        <x:f>ROUND(F3540*I3540/100,2)</x:f>
        <x:v>5.5</x:v>
      </x:c>
      <x:c r="K3540" t="n">
        <x:v>21.3</x:v>
      </x:c>
      <x:c r="L3540" t="n">
        <x:f>ROUND(F3540*K3540/100,2)</x:f>
        <x:v>26.63</x:v>
      </x:c>
      <x:c r="M3540" t="n">
        <x:v>1.9</x:v>
      </x:c>
      <x:c r="N3540" t="n">
        <x:f>ROUND(F3540*M3540/100,2)</x:f>
        <x:v>2.38</x:v>
      </x:c>
      <x:c r="O3540" t="str">
        <x:v>熟重</x:v>
      </x:c>
    </x:row>
    <x:row r="3541" ht="23" customHeight="1">
      <x:c r="A3541" t="n">
        <x:v>590</x:v>
      </x:c>
      <x:c r="B3541" t="n">
        <x:v>295</x:v>
      </x:c>
      <x:c r="C3541" t="str">
        <x:v>晚餐</x:v>
      </x:c>
      <x:c r="D3541" t="str">
        <x:v>油脂</x:v>
      </x:c>
      <x:c r="E3541" t="str">
        <x:v>烹调油</x:v>
      </x:c>
      <x:c r="F3541" t="n">
        <x:v>6</x:v>
      </x:c>
      <x:c r="G3541" t="n">
        <x:v>900</x:v>
      </x:c>
      <x:c r="H3541" t="n">
        <x:f>ROUND(F3541*G3541/100,2)</x:f>
        <x:v>54</x:v>
      </x:c>
      <x:c r="I3541" t="n">
        <x:v>0</x:v>
      </x:c>
      <x:c r="J3541" t="n">
        <x:f>ROUND(F3541*I3541/100,2)</x:f>
        <x:v>0</x:v>
      </x:c>
      <x:c r="K3541" t="n">
        <x:v>0</x:v>
      </x:c>
      <x:c r="L3541" t="n">
        <x:f>ROUND(F3541*K3541/100,2)</x:f>
        <x:v>0</x:v>
      </x:c>
      <x:c r="M3541" t="n">
        <x:v>100</x:v>
      </x:c>
      <x:c r="N3541" t="n">
        <x:f>ROUND(F3541*M3541/100,2)</x:f>
        <x:v>6</x:v>
      </x:c>
      <x:c r="O3541" t="str">
        <x:v>实际用油重</x:v>
      </x:c>
    </x:row>
    <x:row r="3542" ht="23" customHeight="1">
      <x:c r="A3542" t="n">
        <x:v>591</x:v>
      </x:c>
      <x:c r="B3542" t="n">
        <x:v>296</x:v>
      </x:c>
      <x:c r="C3542" t="str">
        <x:v>午餐</x:v>
      </x:c>
      <x:c r="D3542" t="str">
        <x:v>鱼类</x:v>
      </x:c>
      <x:c r="E3542" t="str">
        <x:v>鳕鱼</x:v>
      </x:c>
      <x:c r="F3542" t="n">
        <x:v>175</x:v>
      </x:c>
      <x:c r="G3542" t="n">
        <x:v>85</x:v>
      </x:c>
      <x:c r="H3542" t="n">
        <x:f>ROUND(F3542*G3542/100,2)</x:f>
        <x:v>148.75</x:v>
      </x:c>
      <x:c r="I3542" t="n">
        <x:v>18</x:v>
      </x:c>
      <x:c r="J3542" t="n">
        <x:f>ROUND(F3542*I3542/100,2)</x:f>
        <x:v>31.5</x:v>
      </x:c>
      <x:c r="K3542" t="n">
        <x:v>0</x:v>
      </x:c>
      <x:c r="L3542" t="n">
        <x:f>ROUND(F3542*K3542/100,2)</x:f>
        <x:v>0</x:v>
      </x:c>
      <x:c r="M3542" t="n">
        <x:v>0.8</x:v>
      </x:c>
      <x:c r="N3542" t="n">
        <x:f>ROUND(F3542*M3542/100,2)</x:f>
        <x:v>1.4</x:v>
      </x:c>
      <x:c r="O3542" t="str">
        <x:v>净鱼肉生重</x:v>
      </x:c>
    </x:row>
    <x:row r="3543" ht="23" customHeight="1">
      <x:c r="A3543" t="n">
        <x:v>591</x:v>
      </x:c>
      <x:c r="B3543" t="n">
        <x:v>296</x:v>
      </x:c>
      <x:c r="C3543" t="str">
        <x:v>午餐</x:v>
      </x:c>
      <x:c r="D3543" t="str">
        <x:v>豆蛋</x:v>
      </x:c>
      <x:c r="E3543" t="str">
        <x:v>嫩豆腐</x:v>
      </x:c>
      <x:c r="F3543" t="n">
        <x:v>110</x:v>
      </x:c>
      <x:c r="G3543" t="n">
        <x:v>55</x:v>
      </x:c>
      <x:c r="H3543" t="n">
        <x:f>ROUND(F3543*G3543/100,2)</x:f>
        <x:v>60.5</x:v>
      </x:c>
      <x:c r="I3543" t="n">
        <x:v>5</x:v>
      </x:c>
      <x:c r="J3543" t="n">
        <x:f>ROUND(F3543*I3543/100,2)</x:f>
        <x:v>5.5</x:v>
      </x:c>
      <x:c r="K3543" t="n">
        <x:v>2</x:v>
      </x:c>
      <x:c r="L3543" t="n">
        <x:f>ROUND(F3543*K3543/100,2)</x:f>
        <x:v>2.2</x:v>
      </x:c>
      <x:c r="M3543" t="n">
        <x:v>2.8</x:v>
      </x:c>
      <x:c r="N3543" t="n">
        <x:f>ROUND(F3543*M3543/100,2)</x:f>
        <x:v>3.08</x:v>
      </x:c>
      <x:c r="O3543" t="str">
        <x:v>净重</x:v>
      </x:c>
    </x:row>
    <x:row r="3544" ht="23" customHeight="1">
      <x:c r="A3544" t="n">
        <x:v>591</x:v>
      </x:c>
      <x:c r="B3544" t="n">
        <x:v>296</x:v>
      </x:c>
      <x:c r="C3544" t="str">
        <x:v>午餐</x:v>
      </x:c>
      <x:c r="D3544" t="str">
        <x:v>蔬菜</x:v>
      </x:c>
      <x:c r="E3544" t="str">
        <x:v>芦笋</x:v>
      </x:c>
      <x:c r="F3544" t="n">
        <x:v>140</x:v>
      </x:c>
      <x:c r="G3544" t="n">
        <x:v>20</x:v>
      </x:c>
      <x:c r="H3544" t="n">
        <x:f>ROUND(F3544*G3544/100,2)</x:f>
        <x:v>28</x:v>
      </x:c>
      <x:c r="I3544" t="n">
        <x:v>2.2</x:v>
      </x:c>
      <x:c r="J3544" t="n">
        <x:f>ROUND(F3544*I3544/100,2)</x:f>
        <x:v>3.08</x:v>
      </x:c>
      <x:c r="K3544" t="n">
        <x:v>3.9</x:v>
      </x:c>
      <x:c r="L3544" t="n">
        <x:f>ROUND(F3544*K3544/100,2)</x:f>
        <x:v>5.46</x:v>
      </x:c>
      <x:c r="M3544" t="n">
        <x:v>0.1</x:v>
      </x:c>
      <x:c r="N3544" t="n">
        <x:f>ROUND(F3544*M3544/100,2)</x:f>
        <x:v>0.14</x:v>
      </x:c>
      <x:c r="O3544" t="str">
        <x:v>生重</x:v>
      </x:c>
    </x:row>
    <x:row r="3545" ht="23" customHeight="1">
      <x:c r="A3545" t="n">
        <x:v>591</x:v>
      </x:c>
      <x:c r="B3545" t="n">
        <x:v>296</x:v>
      </x:c>
      <x:c r="C3545" t="str">
        <x:v>午餐</x:v>
      </x:c>
      <x:c r="D3545" t="str">
        <x:v>蔬菜</x:v>
      </x:c>
      <x:c r="E3545" t="str">
        <x:v>荷兰豆</x:v>
      </x:c>
      <x:c r="F3545" t="n">
        <x:v>140</x:v>
      </x:c>
      <x:c r="G3545" t="n">
        <x:v>42</x:v>
      </x:c>
      <x:c r="H3545" t="n">
        <x:f>ROUND(F3545*G3545/100,2)</x:f>
        <x:v>58.8</x:v>
      </x:c>
      <x:c r="I3545" t="n">
        <x:v>2.8</x:v>
      </x:c>
      <x:c r="J3545" t="n">
        <x:f>ROUND(F3545*I3545/100,2)</x:f>
        <x:v>3.92</x:v>
      </x:c>
      <x:c r="K3545" t="n">
        <x:v>7.5</x:v>
      </x:c>
      <x:c r="L3545" t="n">
        <x:f>ROUND(F3545*K3545/100,2)</x:f>
        <x:v>10.5</x:v>
      </x:c>
      <x:c r="M3545" t="n">
        <x:v>0.3</x:v>
      </x:c>
      <x:c r="N3545" t="n">
        <x:f>ROUND(F3545*M3545/100,2)</x:f>
        <x:v>0.42</x:v>
      </x:c>
      <x:c r="O3545" t="str">
        <x:v>生重</x:v>
      </x:c>
    </x:row>
    <x:row r="3546" ht="23" customHeight="1">
      <x:c r="A3546" t="n">
        <x:v>591</x:v>
      </x:c>
      <x:c r="B3546" t="n">
        <x:v>296</x:v>
      </x:c>
      <x:c r="C3546" t="str">
        <x:v>午餐</x:v>
      </x:c>
      <x:c r="D3546" t="str">
        <x:v>主食</x:v>
      </x:c>
      <x:c r="E3546" t="str">
        <x:v>紫薯</x:v>
      </x:c>
      <x:c r="F3546" t="n">
        <x:v>135</x:v>
      </x:c>
      <x:c r="G3546" t="n">
        <x:v>95</x:v>
      </x:c>
      <x:c r="H3546" t="n">
        <x:f>ROUND(F3546*G3546/100,2)</x:f>
        <x:v>128.25</x:v>
      </x:c>
      <x:c r="I3546" t="n">
        <x:v>1.6</x:v>
      </x:c>
      <x:c r="J3546" t="n">
        <x:f>ROUND(F3546*I3546/100,2)</x:f>
        <x:v>2.16</x:v>
      </x:c>
      <x:c r="K3546" t="n">
        <x:v>22</x:v>
      </x:c>
      <x:c r="L3546" t="n">
        <x:f>ROUND(F3546*K3546/100,2)</x:f>
        <x:v>29.7</x:v>
      </x:c>
      <x:c r="M3546" t="n">
        <x:v>0.1</x:v>
      </x:c>
      <x:c r="N3546" t="n">
        <x:f>ROUND(F3546*M3546/100,2)</x:f>
        <x:v>0.14</x:v>
      </x:c>
      <x:c r="O3546" t="str">
        <x:v>蒸熟净重</x:v>
      </x:c>
    </x:row>
    <x:row r="3547" ht="23" customHeight="1">
      <x:c r="A3547" t="n">
        <x:v>591</x:v>
      </x:c>
      <x:c r="B3547" t="n">
        <x:v>296</x:v>
      </x:c>
      <x:c r="C3547" t="str">
        <x:v>午餐</x:v>
      </x:c>
      <x:c r="D3547" t="str">
        <x:v>油脂</x:v>
      </x:c>
      <x:c r="E3547" t="str">
        <x:v>烹调油</x:v>
      </x:c>
      <x:c r="F3547" t="n">
        <x:v>5</x:v>
      </x:c>
      <x:c r="G3547" t="n">
        <x:v>900</x:v>
      </x:c>
      <x:c r="H3547" t="n">
        <x:f>ROUND(F3547*G3547/100,2)</x:f>
        <x:v>45</x:v>
      </x:c>
      <x:c r="I3547" t="n">
        <x:v>0</x:v>
      </x:c>
      <x:c r="J3547" t="n">
        <x:f>ROUND(F3547*I3547/100,2)</x:f>
        <x:v>0</x:v>
      </x:c>
      <x:c r="K3547" t="n">
        <x:v>0</x:v>
      </x:c>
      <x:c r="L3547" t="n">
        <x:f>ROUND(F3547*K3547/100,2)</x:f>
        <x:v>0</x:v>
      </x:c>
      <x:c r="M3547" t="n">
        <x:v>100</x:v>
      </x:c>
      <x:c r="N3547" t="n">
        <x:f>ROUND(F3547*M3547/100,2)</x:f>
        <x:v>5</x:v>
      </x:c>
      <x:c r="O3547" t="str">
        <x:v>实际用油重</x:v>
      </x:c>
    </x:row>
    <x:row r="3548" ht="23" customHeight="1">
      <x:c r="A3548" t="n">
        <x:v>592</x:v>
      </x:c>
      <x:c r="B3548" t="n">
        <x:v>296</x:v>
      </x:c>
      <x:c r="C3548" t="str">
        <x:v>晚餐</x:v>
      </x:c>
      <x:c r="D3548" t="str">
        <x:v>猪肉</x:v>
      </x:c>
      <x:c r="E3548" t="str">
        <x:v>猪里脊</x:v>
      </x:c>
      <x:c r="F3548" t="n">
        <x:v>180</x:v>
      </x:c>
      <x:c r="G3548" t="n">
        <x:v>120</x:v>
      </x:c>
      <x:c r="H3548" t="n">
        <x:f>ROUND(F3548*G3548/100,2)</x:f>
        <x:v>216</x:v>
      </x:c>
      <x:c r="I3548" t="n">
        <x:v>21</x:v>
      </x:c>
      <x:c r="J3548" t="n">
        <x:f>ROUND(F3548*I3548/100,2)</x:f>
        <x:v>37.8</x:v>
      </x:c>
      <x:c r="K3548" t="n">
        <x:v>0</x:v>
      </x:c>
      <x:c r="L3548" t="n">
        <x:f>ROUND(F3548*K3548/100,2)</x:f>
        <x:v>0</x:v>
      </x:c>
      <x:c r="M3548" t="n">
        <x:v>3.5</x:v>
      </x:c>
      <x:c r="N3548" t="n">
        <x:f>ROUND(F3548*M3548/100,2)</x:f>
        <x:v>6.3</x:v>
      </x:c>
      <x:c r="O3548" t="str">
        <x:v>生重</x:v>
      </x:c>
    </x:row>
    <x:row r="3549" ht="23" customHeight="1">
      <x:c r="A3549" t="n">
        <x:v>592</x:v>
      </x:c>
      <x:c r="B3549" t="n">
        <x:v>296</x:v>
      </x:c>
      <x:c r="C3549" t="str">
        <x:v>晚餐</x:v>
      </x:c>
      <x:c r="D3549" t="str"/>
      <x:c r="E3549" t="str"/>
      <x:c r="F3549" t="n">
        <x:v>0</x:v>
      </x:c>
      <x:c r="G3549" t="n">
        <x:v>0</x:v>
      </x:c>
      <x:c r="H3549" t="n">
        <x:f>ROUND(F3549*G3549/100,2)</x:f>
        <x:v>0</x:v>
      </x:c>
      <x:c r="I3549" t="n">
        <x:v>0</x:v>
      </x:c>
      <x:c r="J3549" t="n">
        <x:f>ROUND(F3549*I3549/100,2)</x:f>
        <x:v>0</x:v>
      </x:c>
      <x:c r="K3549" t="n">
        <x:v>0</x:v>
      </x:c>
      <x:c r="L3549" t="n">
        <x:f>ROUND(F3549*K3549/100,2)</x:f>
        <x:v>0</x:v>
      </x:c>
      <x:c r="M3549" t="n">
        <x:v>0</x:v>
      </x:c>
      <x:c r="N3549" t="n">
        <x:f>ROUND(F3549*M3549/100,2)</x:f>
        <x:v>0</x:v>
      </x:c>
      <x:c r="O3549" t="str"/>
    </x:row>
    <x:row r="3550" ht="23" customHeight="1">
      <x:c r="A3550" t="n">
        <x:v>592</x:v>
      </x:c>
      <x:c r="B3550" t="n">
        <x:v>296</x:v>
      </x:c>
      <x:c r="C3550" t="str">
        <x:v>晚餐</x:v>
      </x:c>
      <x:c r="D3550" t="str">
        <x:v>蔬菜</x:v>
      </x:c>
      <x:c r="E3550" t="str">
        <x:v>小白菜</x:v>
      </x:c>
      <x:c r="F3550" t="n">
        <x:v>175</x:v>
      </x:c>
      <x:c r="G3550" t="n">
        <x:v>17</x:v>
      </x:c>
      <x:c r="H3550" t="n">
        <x:f>ROUND(F3550*G3550/100,2)</x:f>
        <x:v>29.75</x:v>
      </x:c>
      <x:c r="I3550" t="n">
        <x:v>1.6</x:v>
      </x:c>
      <x:c r="J3550" t="n">
        <x:f>ROUND(F3550*I3550/100,2)</x:f>
        <x:v>2.8</x:v>
      </x:c>
      <x:c r="K3550" t="n">
        <x:v>2.8</x:v>
      </x:c>
      <x:c r="L3550" t="n">
        <x:f>ROUND(F3550*K3550/100,2)</x:f>
        <x:v>4.9</x:v>
      </x:c>
      <x:c r="M3550" t="n">
        <x:v>0.2</x:v>
      </x:c>
      <x:c r="N3550" t="n">
        <x:f>ROUND(F3550*M3550/100,2)</x:f>
        <x:v>0.35</x:v>
      </x:c>
      <x:c r="O3550" t="str">
        <x:v>生重</x:v>
      </x:c>
    </x:row>
    <x:row r="3551" ht="23" customHeight="1">
      <x:c r="A3551" t="n">
        <x:v>592</x:v>
      </x:c>
      <x:c r="B3551" t="n">
        <x:v>296</x:v>
      </x:c>
      <x:c r="C3551" t="str">
        <x:v>晚餐</x:v>
      </x:c>
      <x:c r="D3551" t="str">
        <x:v>蔬菜</x:v>
      </x:c>
      <x:c r="E3551" t="str">
        <x:v>胡萝卜</x:v>
      </x:c>
      <x:c r="F3551" t="n">
        <x:v>110</x:v>
      </x:c>
      <x:c r="G3551" t="n">
        <x:v>41</x:v>
      </x:c>
      <x:c r="H3551" t="n">
        <x:f>ROUND(F3551*G3551/100,2)</x:f>
        <x:v>45.1</x:v>
      </x:c>
      <x:c r="I3551" t="n">
        <x:v>0.9</x:v>
      </x:c>
      <x:c r="J3551" t="n">
        <x:f>ROUND(F3551*I3551/100,2)</x:f>
        <x:v>0.99</x:v>
      </x:c>
      <x:c r="K3551" t="n">
        <x:v>10</x:v>
      </x:c>
      <x:c r="L3551" t="n">
        <x:f>ROUND(F3551*K3551/100,2)</x:f>
        <x:v>11</x:v>
      </x:c>
      <x:c r="M3551" t="n">
        <x:v>0.2</x:v>
      </x:c>
      <x:c r="N3551" t="n">
        <x:f>ROUND(F3551*M3551/100,2)</x:f>
        <x:v>0.22</x:v>
      </x:c>
      <x:c r="O3551" t="str">
        <x:v>生重</x:v>
      </x:c>
    </x:row>
    <x:row r="3552" ht="23" customHeight="1">
      <x:c r="A3552" t="n">
        <x:v>592</x:v>
      </x:c>
      <x:c r="B3552" t="n">
        <x:v>296</x:v>
      </x:c>
      <x:c r="C3552" t="str">
        <x:v>晚餐</x:v>
      </x:c>
      <x:c r="D3552" t="str">
        <x:v>主食</x:v>
      </x:c>
      <x:c r="E3552" t="str">
        <x:v>白米饭</x:v>
      </x:c>
      <x:c r="F3552" t="n">
        <x:v>95</x:v>
      </x:c>
      <x:c r="G3552" t="n">
        <x:v>116</x:v>
      </x:c>
      <x:c r="H3552" t="n">
        <x:f>ROUND(F3552*G3552/100,2)</x:f>
        <x:v>110.2</x:v>
      </x:c>
      <x:c r="I3552" t="n">
        <x:v>2.6</x:v>
      </x:c>
      <x:c r="J3552" t="n">
        <x:f>ROUND(F3552*I3552/100,2)</x:f>
        <x:v>2.47</x:v>
      </x:c>
      <x:c r="K3552" t="n">
        <x:v>25.6</x:v>
      </x:c>
      <x:c r="L3552" t="n">
        <x:f>ROUND(F3552*K3552/100,2)</x:f>
        <x:v>24.32</x:v>
      </x:c>
      <x:c r="M3552" t="n">
        <x:v>0.3</x:v>
      </x:c>
      <x:c r="N3552" t="n">
        <x:f>ROUND(F3552*M3552/100,2)</x:f>
        <x:v>0.28</x:v>
      </x:c>
      <x:c r="O3552" t="str">
        <x:v>熟重</x:v>
      </x:c>
    </x:row>
    <x:row r="3553" ht="23" customHeight="1">
      <x:c r="A3553" t="n">
        <x:v>592</x:v>
      </x:c>
      <x:c r="B3553" t="n">
        <x:v>296</x:v>
      </x:c>
      <x:c r="C3553" t="str">
        <x:v>晚餐</x:v>
      </x:c>
      <x:c r="D3553" t="str">
        <x:v>油脂</x:v>
      </x:c>
      <x:c r="E3553" t="str">
        <x:v>烹调油</x:v>
      </x:c>
      <x:c r="F3553" t="n">
        <x:v>4</x:v>
      </x:c>
      <x:c r="G3553" t="n">
        <x:v>900</x:v>
      </x:c>
      <x:c r="H3553" t="n">
        <x:f>ROUND(F3553*G3553/100,2)</x:f>
        <x:v>36</x:v>
      </x:c>
      <x:c r="I3553" t="n">
        <x:v>0</x:v>
      </x:c>
      <x:c r="J3553" t="n">
        <x:f>ROUND(F3553*I3553/100,2)</x:f>
        <x:v>0</x:v>
      </x:c>
      <x:c r="K3553" t="n">
        <x:v>0</x:v>
      </x:c>
      <x:c r="L3553" t="n">
        <x:f>ROUND(F3553*K3553/100,2)</x:f>
        <x:v>0</x:v>
      </x:c>
      <x:c r="M3553" t="n">
        <x:v>100</x:v>
      </x:c>
      <x:c r="N3553" t="n">
        <x:f>ROUND(F3553*M3553/100,2)</x:f>
        <x:v>4</x:v>
      </x:c>
      <x:c r="O3553" t="str">
        <x:v>实际用油重</x:v>
      </x:c>
    </x:row>
    <x:row r="3554" ht="23" customHeight="1">
      <x:c r="A3554" t="n">
        <x:v>593</x:v>
      </x:c>
      <x:c r="B3554" t="n">
        <x:v>297</x:v>
      </x:c>
      <x:c r="C3554" t="str">
        <x:v>午餐</x:v>
      </x:c>
      <x:c r="D3554" t="str">
        <x:v>海鲜</x:v>
      </x:c>
      <x:c r="E3554" t="str">
        <x:v>扇贝肉</x:v>
      </x:c>
      <x:c r="F3554" t="n">
        <x:v>190</x:v>
      </x:c>
      <x:c r="G3554" t="n">
        <x:v>90</x:v>
      </x:c>
      <x:c r="H3554" t="n">
        <x:f>ROUND(F3554*G3554/100,2)</x:f>
        <x:v>171</x:v>
      </x:c>
      <x:c r="I3554" t="n">
        <x:v>17</x:v>
      </x:c>
      <x:c r="J3554" t="n">
        <x:f>ROUND(F3554*I3554/100,2)</x:f>
        <x:v>32.3</x:v>
      </x:c>
      <x:c r="K3554" t="n">
        <x:v>3</x:v>
      </x:c>
      <x:c r="L3554" t="n">
        <x:f>ROUND(F3554*K3554/100,2)</x:f>
        <x:v>5.7</x:v>
      </x:c>
      <x:c r="M3554" t="n">
        <x:v>0.8</x:v>
      </x:c>
      <x:c r="N3554" t="n">
        <x:f>ROUND(F3554*M3554/100,2)</x:f>
        <x:v>1.52</x:v>
      </x:c>
      <x:c r="O3554" t="str">
        <x:v>生重</x:v>
      </x:c>
    </x:row>
    <x:row r="3555" ht="23" customHeight="1">
      <x:c r="A3555" t="n">
        <x:v>593</x:v>
      </x:c>
      <x:c r="B3555" t="n">
        <x:v>297</x:v>
      </x:c>
      <x:c r="C3555" t="str">
        <x:v>午餐</x:v>
      </x:c>
      <x:c r="D3555" t="str"/>
      <x:c r="E3555" t="str"/>
      <x:c r="F3555" t="n">
        <x:v>0</x:v>
      </x:c>
      <x:c r="G3555" t="n">
        <x:v>0</x:v>
      </x:c>
      <x:c r="H3555" t="n">
        <x:f>ROUND(F3555*G3555/100,2)</x:f>
        <x:v>0</x:v>
      </x:c>
      <x:c r="I3555" t="n">
        <x:v>0</x:v>
      </x:c>
      <x:c r="J3555" t="n">
        <x:f>ROUND(F3555*I3555/100,2)</x:f>
        <x:v>0</x:v>
      </x:c>
      <x:c r="K3555" t="n">
        <x:v>0</x:v>
      </x:c>
      <x:c r="L3555" t="n">
        <x:f>ROUND(F3555*K3555/100,2)</x:f>
        <x:v>0</x:v>
      </x:c>
      <x:c r="M3555" t="n">
        <x:v>0</x:v>
      </x:c>
      <x:c r="N3555" t="n">
        <x:f>ROUND(F3555*M3555/100,2)</x:f>
        <x:v>0</x:v>
      </x:c>
      <x:c r="O3555" t="str"/>
    </x:row>
    <x:row r="3556" ht="23" customHeight="1">
      <x:c r="A3556" t="n">
        <x:v>593</x:v>
      </x:c>
      <x:c r="B3556" t="n">
        <x:v>297</x:v>
      </x:c>
      <x:c r="C3556" t="str">
        <x:v>午餐</x:v>
      </x:c>
      <x:c r="D3556" t="str">
        <x:v>蔬菜</x:v>
      </x:c>
      <x:c r="E3556" t="str">
        <x:v>娃娃菜</x:v>
      </x:c>
      <x:c r="F3556" t="n">
        <x:v>160</x:v>
      </x:c>
      <x:c r="G3556" t="n">
        <x:v>17</x:v>
      </x:c>
      <x:c r="H3556" t="n">
        <x:f>ROUND(F3556*G3556/100,2)</x:f>
        <x:v>27.2</x:v>
      </x:c>
      <x:c r="I3556" t="n">
        <x:v>1.3</x:v>
      </x:c>
      <x:c r="J3556" t="n">
        <x:f>ROUND(F3556*I3556/100,2)</x:f>
        <x:v>2.08</x:v>
      </x:c>
      <x:c r="K3556" t="n">
        <x:v>3</x:v>
      </x:c>
      <x:c r="L3556" t="n">
        <x:f>ROUND(F3556*K3556/100,2)</x:f>
        <x:v>4.8</x:v>
      </x:c>
      <x:c r="M3556" t="n">
        <x:v>0.2</x:v>
      </x:c>
      <x:c r="N3556" t="n">
        <x:f>ROUND(F3556*M3556/100,2)</x:f>
        <x:v>0.32</x:v>
      </x:c>
      <x:c r="O3556" t="str">
        <x:v>生重</x:v>
      </x:c>
    </x:row>
    <x:row r="3557" ht="23" customHeight="1">
      <x:c r="A3557" t="n">
        <x:v>593</x:v>
      </x:c>
      <x:c r="B3557" t="n">
        <x:v>297</x:v>
      </x:c>
      <x:c r="C3557" t="str">
        <x:v>午餐</x:v>
      </x:c>
      <x:c r="D3557" t="str">
        <x:v>菌菇</x:v>
      </x:c>
      <x:c r="E3557" t="str">
        <x:v>口蘑</x:v>
      </x:c>
      <x:c r="F3557" t="n">
        <x:v>140</x:v>
      </x:c>
      <x:c r="G3557" t="n">
        <x:v>22</x:v>
      </x:c>
      <x:c r="H3557" t="n">
        <x:f>ROUND(F3557*G3557/100,2)</x:f>
        <x:v>30.8</x:v>
      </x:c>
      <x:c r="I3557" t="n">
        <x:v>3.1</x:v>
      </x:c>
      <x:c r="J3557" t="n">
        <x:f>ROUND(F3557*I3557/100,2)</x:f>
        <x:v>4.34</x:v>
      </x:c>
      <x:c r="K3557" t="n">
        <x:v>3.3</x:v>
      </x:c>
      <x:c r="L3557" t="n">
        <x:f>ROUND(F3557*K3557/100,2)</x:f>
        <x:v>4.62</x:v>
      </x:c>
      <x:c r="M3557" t="n">
        <x:v>0.3</x:v>
      </x:c>
      <x:c r="N3557" t="n">
        <x:f>ROUND(F3557*M3557/100,2)</x:f>
        <x:v>0.42</x:v>
      </x:c>
      <x:c r="O3557" t="str">
        <x:v>生重</x:v>
      </x:c>
    </x:row>
    <x:row r="3558" ht="23" customHeight="1">
      <x:c r="A3558" t="n">
        <x:v>593</x:v>
      </x:c>
      <x:c r="B3558" t="n">
        <x:v>297</x:v>
      </x:c>
      <x:c r="C3558" t="str">
        <x:v>午餐</x:v>
      </x:c>
      <x:c r="D3558" t="str">
        <x:v>主食</x:v>
      </x:c>
      <x:c r="E3558" t="str">
        <x:v>白米饭</x:v>
      </x:c>
      <x:c r="F3558" t="n">
        <x:v>150</x:v>
      </x:c>
      <x:c r="G3558" t="n">
        <x:v>116</x:v>
      </x:c>
      <x:c r="H3558" t="n">
        <x:f>ROUND(F3558*G3558/100,2)</x:f>
        <x:v>174</x:v>
      </x:c>
      <x:c r="I3558" t="n">
        <x:v>2.6</x:v>
      </x:c>
      <x:c r="J3558" t="n">
        <x:f>ROUND(F3558*I3558/100,2)</x:f>
        <x:v>3.9</x:v>
      </x:c>
      <x:c r="K3558" t="n">
        <x:v>25.6</x:v>
      </x:c>
      <x:c r="L3558" t="n">
        <x:f>ROUND(F3558*K3558/100,2)</x:f>
        <x:v>38.4</x:v>
      </x:c>
      <x:c r="M3558" t="n">
        <x:v>0.3</x:v>
      </x:c>
      <x:c r="N3558" t="n">
        <x:f>ROUND(F3558*M3558/100,2)</x:f>
        <x:v>0.45</x:v>
      </x:c>
      <x:c r="O3558" t="str">
        <x:v>熟重</x:v>
      </x:c>
    </x:row>
    <x:row r="3559" ht="23" customHeight="1">
      <x:c r="A3559" t="n">
        <x:v>593</x:v>
      </x:c>
      <x:c r="B3559" t="n">
        <x:v>297</x:v>
      </x:c>
      <x:c r="C3559" t="str">
        <x:v>午餐</x:v>
      </x:c>
      <x:c r="D3559" t="str">
        <x:v>油脂</x:v>
      </x:c>
      <x:c r="E3559" t="str">
        <x:v>烹调油</x:v>
      </x:c>
      <x:c r="F3559" t="n">
        <x:v>6</x:v>
      </x:c>
      <x:c r="G3559" t="n">
        <x:v>900</x:v>
      </x:c>
      <x:c r="H3559" t="n">
        <x:f>ROUND(F3559*G3559/100,2)</x:f>
        <x:v>54</x:v>
      </x:c>
      <x:c r="I3559" t="n">
        <x:v>0</x:v>
      </x:c>
      <x:c r="J3559" t="n">
        <x:f>ROUND(F3559*I3559/100,2)</x:f>
        <x:v>0</x:v>
      </x:c>
      <x:c r="K3559" t="n">
        <x:v>0</x:v>
      </x:c>
      <x:c r="L3559" t="n">
        <x:f>ROUND(F3559*K3559/100,2)</x:f>
        <x:v>0</x:v>
      </x:c>
      <x:c r="M3559" t="n">
        <x:v>100</x:v>
      </x:c>
      <x:c r="N3559" t="n">
        <x:f>ROUND(F3559*M3559/100,2)</x:f>
        <x:v>6</x:v>
      </x:c>
      <x:c r="O3559" t="str">
        <x:v>实际用油重</x:v>
      </x:c>
    </x:row>
    <x:row r="3560" ht="23" customHeight="1">
      <x:c r="A3560" t="n">
        <x:v>594</x:v>
      </x:c>
      <x:c r="B3560" t="n">
        <x:v>297</x:v>
      </x:c>
      <x:c r="C3560" t="str">
        <x:v>晚餐</x:v>
      </x:c>
      <x:c r="D3560" t="str">
        <x:v>牛肉</x:v>
      </x:c>
      <x:c r="E3560" t="str">
        <x:v>牛腱子</x:v>
      </x:c>
      <x:c r="F3560" t="n">
        <x:v>160</x:v>
      </x:c>
      <x:c r="G3560" t="n">
        <x:v>140</x:v>
      </x:c>
      <x:c r="H3560" t="n">
        <x:f>ROUND(F3560*G3560/100,2)</x:f>
        <x:v>224</x:v>
      </x:c>
      <x:c r="I3560" t="n">
        <x:v>21</x:v>
      </x:c>
      <x:c r="J3560" t="n">
        <x:f>ROUND(F3560*I3560/100,2)</x:f>
        <x:v>33.6</x:v>
      </x:c>
      <x:c r="K3560" t="n">
        <x:v>0</x:v>
      </x:c>
      <x:c r="L3560" t="n">
        <x:f>ROUND(F3560*K3560/100,2)</x:f>
        <x:v>0</x:v>
      </x:c>
      <x:c r="M3560" t="n">
        <x:v>6</x:v>
      </x:c>
      <x:c r="N3560" t="n">
        <x:f>ROUND(F3560*M3560/100,2)</x:f>
        <x:v>9.6</x:v>
      </x:c>
      <x:c r="O3560" t="str">
        <x:v>生重</x:v>
      </x:c>
    </x:row>
    <x:row r="3561" ht="23" customHeight="1">
      <x:c r="A3561" t="n">
        <x:v>594</x:v>
      </x:c>
      <x:c r="B3561" t="n">
        <x:v>297</x:v>
      </x:c>
      <x:c r="C3561" t="str">
        <x:v>晚餐</x:v>
      </x:c>
      <x:c r="D3561" t="str"/>
      <x:c r="E3561" t="str"/>
      <x:c r="F3561" t="n">
        <x:v>0</x:v>
      </x:c>
      <x:c r="G3561" t="n">
        <x:v>0</x:v>
      </x:c>
      <x:c r="H3561" t="n">
        <x:f>ROUND(F3561*G3561/100,2)</x:f>
        <x:v>0</x:v>
      </x:c>
      <x:c r="I3561" t="n">
        <x:v>0</x:v>
      </x:c>
      <x:c r="J3561" t="n">
        <x:f>ROUND(F3561*I3561/100,2)</x:f>
        <x:v>0</x:v>
      </x:c>
      <x:c r="K3561" t="n">
        <x:v>0</x:v>
      </x:c>
      <x:c r="L3561" t="n">
        <x:f>ROUND(F3561*K3561/100,2)</x:f>
        <x:v>0</x:v>
      </x:c>
      <x:c r="M3561" t="n">
        <x:v>0</x:v>
      </x:c>
      <x:c r="N3561" t="n">
        <x:f>ROUND(F3561*M3561/100,2)</x:f>
        <x:v>0</x:v>
      </x:c>
      <x:c r="O3561" t="str"/>
    </x:row>
    <x:row r="3562" ht="23" customHeight="1">
      <x:c r="A3562" t="n">
        <x:v>594</x:v>
      </x:c>
      <x:c r="B3562" t="n">
        <x:v>297</x:v>
      </x:c>
      <x:c r="C3562" t="str">
        <x:v>晚餐</x:v>
      </x:c>
      <x:c r="D3562" t="str">
        <x:v>蔬菜</x:v>
      </x:c>
      <x:c r="E3562" t="str">
        <x:v>番茄</x:v>
      </x:c>
      <x:c r="F3562" t="n">
        <x:v>140</x:v>
      </x:c>
      <x:c r="G3562" t="n">
        <x:v>20</x:v>
      </x:c>
      <x:c r="H3562" t="n">
        <x:f>ROUND(F3562*G3562/100,2)</x:f>
        <x:v>28</x:v>
      </x:c>
      <x:c r="I3562" t="n">
        <x:v>0.9</x:v>
      </x:c>
      <x:c r="J3562" t="n">
        <x:f>ROUND(F3562*I3562/100,2)</x:f>
        <x:v>1.26</x:v>
      </x:c>
      <x:c r="K3562" t="n">
        <x:v>4</x:v>
      </x:c>
      <x:c r="L3562" t="n">
        <x:f>ROUND(F3562*K3562/100,2)</x:f>
        <x:v>5.6</x:v>
      </x:c>
      <x:c r="M3562" t="n">
        <x:v>0.2</x:v>
      </x:c>
      <x:c r="N3562" t="n">
        <x:f>ROUND(F3562*M3562/100,2)</x:f>
        <x:v>0.28</x:v>
      </x:c>
      <x:c r="O3562" t="str">
        <x:v>生重</x:v>
      </x:c>
    </x:row>
    <x:row r="3563" ht="23" customHeight="1">
      <x:c r="A3563" t="n">
        <x:v>594</x:v>
      </x:c>
      <x:c r="B3563" t="n">
        <x:v>297</x:v>
      </x:c>
      <x:c r="C3563" t="str">
        <x:v>晚餐</x:v>
      </x:c>
      <x:c r="D3563" t="str">
        <x:v>蔬菜</x:v>
      </x:c>
      <x:c r="E3563" t="str">
        <x:v>西兰花</x:v>
      </x:c>
      <x:c r="F3563" t="n">
        <x:v>125</x:v>
      </x:c>
      <x:c r="G3563" t="n">
        <x:v>34</x:v>
      </x:c>
      <x:c r="H3563" t="n">
        <x:f>ROUND(F3563*G3563/100,2)</x:f>
        <x:v>42.5</x:v>
      </x:c>
      <x:c r="I3563" t="n">
        <x:v>2.8</x:v>
      </x:c>
      <x:c r="J3563" t="n">
        <x:f>ROUND(F3563*I3563/100,2)</x:f>
        <x:v>3.5</x:v>
      </x:c>
      <x:c r="K3563" t="n">
        <x:v>7</x:v>
      </x:c>
      <x:c r="L3563" t="n">
        <x:f>ROUND(F3563*K3563/100,2)</x:f>
        <x:v>8.75</x:v>
      </x:c>
      <x:c r="M3563" t="n">
        <x:v>0.4</x:v>
      </x:c>
      <x:c r="N3563" t="n">
        <x:f>ROUND(F3563*M3563/100,2)</x:f>
        <x:v>0.5</x:v>
      </x:c>
      <x:c r="O3563" t="str">
        <x:v>生重</x:v>
      </x:c>
    </x:row>
    <x:row r="3564" ht="23" customHeight="1">
      <x:c r="A3564" t="n">
        <x:v>594</x:v>
      </x:c>
      <x:c r="B3564" t="n">
        <x:v>297</x:v>
      </x:c>
      <x:c r="C3564" t="str">
        <x:v>晚餐</x:v>
      </x:c>
      <x:c r="D3564" t="str">
        <x:v>主食</x:v>
      </x:c>
      <x:c r="E3564" t="str">
        <x:v>红薯</x:v>
      </x:c>
      <x:c r="F3564" t="n">
        <x:v>95</x:v>
      </x:c>
      <x:c r="G3564" t="n">
        <x:v>88</x:v>
      </x:c>
      <x:c r="H3564" t="n">
        <x:f>ROUND(F3564*G3564/100,2)</x:f>
        <x:v>83.6</x:v>
      </x:c>
      <x:c r="I3564" t="n">
        <x:v>1.6</x:v>
      </x:c>
      <x:c r="J3564" t="n">
        <x:f>ROUND(F3564*I3564/100,2)</x:f>
        <x:v>1.52</x:v>
      </x:c>
      <x:c r="K3564" t="n">
        <x:v>20.5</x:v>
      </x:c>
      <x:c r="L3564" t="n">
        <x:f>ROUND(F3564*K3564/100,2)</x:f>
        <x:v>19.48</x:v>
      </x:c>
      <x:c r="M3564" t="n">
        <x:v>0.1</x:v>
      </x:c>
      <x:c r="N3564" t="n">
        <x:f>ROUND(F3564*M3564/100,2)</x:f>
        <x:v>0.1</x:v>
      </x:c>
      <x:c r="O3564" t="str">
        <x:v>蒸熟净重</x:v>
      </x:c>
    </x:row>
    <x:row r="3565" ht="23" customHeight="1">
      <x:c r="A3565" t="n">
        <x:v>594</x:v>
      </x:c>
      <x:c r="B3565" t="n">
        <x:v>297</x:v>
      </x:c>
      <x:c r="C3565" t="str">
        <x:v>晚餐</x:v>
      </x:c>
      <x:c r="D3565" t="str">
        <x:v>油脂</x:v>
      </x:c>
      <x:c r="E3565" t="str">
        <x:v>烹调油</x:v>
      </x:c>
      <x:c r="F3565" t="n">
        <x:v>5</x:v>
      </x:c>
      <x:c r="G3565" t="n">
        <x:v>900</x:v>
      </x:c>
      <x:c r="H3565" t="n">
        <x:f>ROUND(F3565*G3565/100,2)</x:f>
        <x:v>45</x:v>
      </x:c>
      <x:c r="I3565" t="n">
        <x:v>0</x:v>
      </x:c>
      <x:c r="J3565" t="n">
        <x:f>ROUND(F3565*I3565/100,2)</x:f>
        <x:v>0</x:v>
      </x:c>
      <x:c r="K3565" t="n">
        <x:v>0</x:v>
      </x:c>
      <x:c r="L3565" t="n">
        <x:f>ROUND(F3565*K3565/100,2)</x:f>
        <x:v>0</x:v>
      </x:c>
      <x:c r="M3565" t="n">
        <x:v>100</x:v>
      </x:c>
      <x:c r="N3565" t="n">
        <x:f>ROUND(F3565*M3565/100,2)</x:f>
        <x:v>5</x:v>
      </x:c>
      <x:c r="O3565" t="str">
        <x:v>实际用油重</x:v>
      </x:c>
    </x:row>
    <x:row r="3566" ht="23" customHeight="1">
      <x:c r="A3566" t="n">
        <x:v>595</x:v>
      </x:c>
      <x:c r="B3566" t="n">
        <x:v>298</x:v>
      </x:c>
      <x:c r="C3566" t="str">
        <x:v>午餐</x:v>
      </x:c>
      <x:c r="D3566" t="str">
        <x:v>豆蛋</x:v>
      </x:c>
      <x:c r="E3566" t="str">
        <x:v>鸡蛋</x:v>
      </x:c>
      <x:c r="F3566" t="n">
        <x:v>100</x:v>
      </x:c>
      <x:c r="G3566" t="n">
        <x:v>144</x:v>
      </x:c>
      <x:c r="H3566" t="n">
        <x:f>ROUND(F3566*G3566/100,2)</x:f>
        <x:v>144</x:v>
      </x:c>
      <x:c r="I3566" t="n">
        <x:v>13</x:v>
      </x:c>
      <x:c r="J3566" t="n">
        <x:f>ROUND(F3566*I3566/100,2)</x:f>
        <x:v>13</x:v>
      </x:c>
      <x:c r="K3566" t="n">
        <x:v>1.1</x:v>
      </x:c>
      <x:c r="L3566" t="n">
        <x:f>ROUND(F3566*K3566/100,2)</x:f>
        <x:v>1.1</x:v>
      </x:c>
      <x:c r="M3566" t="n">
        <x:v>10</x:v>
      </x:c>
      <x:c r="N3566" t="n">
        <x:f>ROUND(F3566*M3566/100,2)</x:f>
        <x:v>10</x:v>
      </x:c>
      <x:c r="O3566" t="str">
        <x:v>去壳可食重</x:v>
      </x:c>
    </x:row>
    <x:row r="3567" ht="23" customHeight="1">
      <x:c r="A3567" t="n">
        <x:v>595</x:v>
      </x:c>
      <x:c r="B3567" t="n">
        <x:v>298</x:v>
      </x:c>
      <x:c r="C3567" t="str">
        <x:v>午餐</x:v>
      </x:c>
      <x:c r="D3567" t="str">
        <x:v>豆蛋</x:v>
      </x:c>
      <x:c r="E3567" t="str">
        <x:v>北豆腐</x:v>
      </x:c>
      <x:c r="F3567" t="n">
        <x:v>110</x:v>
      </x:c>
      <x:c r="G3567" t="n">
        <x:v>90</x:v>
      </x:c>
      <x:c r="H3567" t="n">
        <x:f>ROUND(F3567*G3567/100,2)</x:f>
        <x:v>99</x:v>
      </x:c>
      <x:c r="I3567" t="n">
        <x:v>10</x:v>
      </x:c>
      <x:c r="J3567" t="n">
        <x:f>ROUND(F3567*I3567/100,2)</x:f>
        <x:v>11</x:v>
      </x:c>
      <x:c r="K3567" t="n">
        <x:v>2</x:v>
      </x:c>
      <x:c r="L3567" t="n">
        <x:f>ROUND(F3567*K3567/100,2)</x:f>
        <x:v>2.2</x:v>
      </x:c>
      <x:c r="M3567" t="n">
        <x:v>5</x:v>
      </x:c>
      <x:c r="N3567" t="n">
        <x:f>ROUND(F3567*M3567/100,2)</x:f>
        <x:v>5.5</x:v>
      </x:c>
      <x:c r="O3567" t="str">
        <x:v>净重</x:v>
      </x:c>
    </x:row>
    <x:row r="3568" ht="23" customHeight="1">
      <x:c r="A3568" t="n">
        <x:v>595</x:v>
      </x:c>
      <x:c r="B3568" t="n">
        <x:v>298</x:v>
      </x:c>
      <x:c r="C3568" t="str">
        <x:v>午餐</x:v>
      </x:c>
      <x:c r="D3568" t="str">
        <x:v>蔬菜</x:v>
      </x:c>
      <x:c r="E3568" t="str">
        <x:v>芦笋</x:v>
      </x:c>
      <x:c r="F3568" t="n">
        <x:v>160</x:v>
      </x:c>
      <x:c r="G3568" t="n">
        <x:v>20</x:v>
      </x:c>
      <x:c r="H3568" t="n">
        <x:f>ROUND(F3568*G3568/100,2)</x:f>
        <x:v>32</x:v>
      </x:c>
      <x:c r="I3568" t="n">
        <x:v>2.2</x:v>
      </x:c>
      <x:c r="J3568" t="n">
        <x:f>ROUND(F3568*I3568/100,2)</x:f>
        <x:v>3.52</x:v>
      </x:c>
      <x:c r="K3568" t="n">
        <x:v>3.9</x:v>
      </x:c>
      <x:c r="L3568" t="n">
        <x:f>ROUND(F3568*K3568/100,2)</x:f>
        <x:v>6.24</x:v>
      </x:c>
      <x:c r="M3568" t="n">
        <x:v>0.1</x:v>
      </x:c>
      <x:c r="N3568" t="n">
        <x:f>ROUND(F3568*M3568/100,2)</x:f>
        <x:v>0.16</x:v>
      </x:c>
      <x:c r="O3568" t="str">
        <x:v>生重</x:v>
      </x:c>
    </x:row>
    <x:row r="3569" ht="23" customHeight="1">
      <x:c r="A3569" t="n">
        <x:v>595</x:v>
      </x:c>
      <x:c r="B3569" t="n">
        <x:v>298</x:v>
      </x:c>
      <x:c r="C3569" t="str">
        <x:v>午餐</x:v>
      </x:c>
      <x:c r="D3569" t="str">
        <x:v>蔬菜</x:v>
      </x:c>
      <x:c r="E3569" t="str">
        <x:v>彩椒</x:v>
      </x:c>
      <x:c r="F3569" t="n">
        <x:v>155</x:v>
      </x:c>
      <x:c r="G3569" t="n">
        <x:v>27</x:v>
      </x:c>
      <x:c r="H3569" t="n">
        <x:f>ROUND(F3569*G3569/100,2)</x:f>
        <x:v>41.85</x:v>
      </x:c>
      <x:c r="I3569" t="n">
        <x:v>1</x:v>
      </x:c>
      <x:c r="J3569" t="n">
        <x:f>ROUND(F3569*I3569/100,2)</x:f>
        <x:v>1.55</x:v>
      </x:c>
      <x:c r="K3569" t="n">
        <x:v>6.1</x:v>
      </x:c>
      <x:c r="L3569" t="n">
        <x:f>ROUND(F3569*K3569/100,2)</x:f>
        <x:v>9.46</x:v>
      </x:c>
      <x:c r="M3569" t="n">
        <x:v>0.2</x:v>
      </x:c>
      <x:c r="N3569" t="n">
        <x:f>ROUND(F3569*M3569/100,2)</x:f>
        <x:v>0.31</x:v>
      </x:c>
      <x:c r="O3569" t="str">
        <x:v>生重</x:v>
      </x:c>
    </x:row>
    <x:row r="3570" ht="23" customHeight="1">
      <x:c r="A3570" t="n">
        <x:v>595</x:v>
      </x:c>
      <x:c r="B3570" t="n">
        <x:v>298</x:v>
      </x:c>
      <x:c r="C3570" t="str">
        <x:v>午餐</x:v>
      </x:c>
      <x:c r="D3570" t="str">
        <x:v>主食</x:v>
      </x:c>
      <x:c r="E3570" t="str">
        <x:v>燕麦饭</x:v>
      </x:c>
      <x:c r="F3570" t="n">
        <x:v>110</x:v>
      </x:c>
      <x:c r="G3570" t="n">
        <x:v>110</x:v>
      </x:c>
      <x:c r="H3570" t="n">
        <x:f>ROUND(F3570*G3570/100,2)</x:f>
        <x:v>121</x:v>
      </x:c>
      <x:c r="I3570" t="n">
        <x:v>3.2</x:v>
      </x:c>
      <x:c r="J3570" t="n">
        <x:f>ROUND(F3570*I3570/100,2)</x:f>
        <x:v>3.52</x:v>
      </x:c>
      <x:c r="K3570" t="n">
        <x:v>21</x:v>
      </x:c>
      <x:c r="L3570" t="n">
        <x:f>ROUND(F3570*K3570/100,2)</x:f>
        <x:v>23.1</x:v>
      </x:c>
      <x:c r="M3570" t="n">
        <x:v>1.8</x:v>
      </x:c>
      <x:c r="N3570" t="n">
        <x:f>ROUND(F3570*M3570/100,2)</x:f>
        <x:v>1.98</x:v>
      </x:c>
      <x:c r="O3570" t="str">
        <x:v>熟重</x:v>
      </x:c>
    </x:row>
    <x:row r="3571" ht="23" customHeight="1">
      <x:c r="A3571" t="n">
        <x:v>595</x:v>
      </x:c>
      <x:c r="B3571" t="n">
        <x:v>298</x:v>
      </x:c>
      <x:c r="C3571" t="str">
        <x:v>午餐</x:v>
      </x:c>
      <x:c r="D3571" t="str">
        <x:v>油脂</x:v>
      </x:c>
      <x:c r="E3571" t="str">
        <x:v>烹调油</x:v>
      </x:c>
      <x:c r="F3571" t="n">
        <x:v>6</x:v>
      </x:c>
      <x:c r="G3571" t="n">
        <x:v>900</x:v>
      </x:c>
      <x:c r="H3571" t="n">
        <x:f>ROUND(F3571*G3571/100,2)</x:f>
        <x:v>54</x:v>
      </x:c>
      <x:c r="I3571" t="n">
        <x:v>0</x:v>
      </x:c>
      <x:c r="J3571" t="n">
        <x:f>ROUND(F3571*I3571/100,2)</x:f>
        <x:v>0</x:v>
      </x:c>
      <x:c r="K3571" t="n">
        <x:v>0</x:v>
      </x:c>
      <x:c r="L3571" t="n">
        <x:f>ROUND(F3571*K3571/100,2)</x:f>
        <x:v>0</x:v>
      </x:c>
      <x:c r="M3571" t="n">
        <x:v>100</x:v>
      </x:c>
      <x:c r="N3571" t="n">
        <x:f>ROUND(F3571*M3571/100,2)</x:f>
        <x:v>6</x:v>
      </x:c>
      <x:c r="O3571" t="str">
        <x:v>实际用油重</x:v>
      </x:c>
    </x:row>
    <x:row r="3572" ht="23" customHeight="1">
      <x:c r="A3572" t="n">
        <x:v>596</x:v>
      </x:c>
      <x:c r="B3572" t="n">
        <x:v>298</x:v>
      </x:c>
      <x:c r="C3572" t="str">
        <x:v>晚餐</x:v>
      </x:c>
      <x:c r="D3572" t="str">
        <x:v>海鲜</x:v>
      </x:c>
      <x:c r="E3572" t="str">
        <x:v>鱿鱼</x:v>
      </x:c>
      <x:c r="F3572" t="n">
        <x:v>160</x:v>
      </x:c>
      <x:c r="G3572" t="n">
        <x:v>95</x:v>
      </x:c>
      <x:c r="H3572" t="n">
        <x:f>ROUND(F3572*G3572/100,2)</x:f>
        <x:v>152</x:v>
      </x:c>
      <x:c r="I3572" t="n">
        <x:v>17</x:v>
      </x:c>
      <x:c r="J3572" t="n">
        <x:f>ROUND(F3572*I3572/100,2)</x:f>
        <x:v>27.2</x:v>
      </x:c>
      <x:c r="K3572" t="n">
        <x:v>2</x:v>
      </x:c>
      <x:c r="L3572" t="n">
        <x:f>ROUND(F3572*K3572/100,2)</x:f>
        <x:v>3.2</x:v>
      </x:c>
      <x:c r="M3572" t="n">
        <x:v>1.4</x:v>
      </x:c>
      <x:c r="N3572" t="n">
        <x:f>ROUND(F3572*M3572/100,2)</x:f>
        <x:v>2.24</x:v>
      </x:c>
      <x:c r="O3572" t="str">
        <x:v>生重</x:v>
      </x:c>
    </x:row>
    <x:row r="3573" ht="23" customHeight="1">
      <x:c r="A3573" t="n">
        <x:v>596</x:v>
      </x:c>
      <x:c r="B3573" t="n">
        <x:v>298</x:v>
      </x:c>
      <x:c r="C3573" t="str">
        <x:v>晚餐</x:v>
      </x:c>
      <x:c r="D3573" t="str"/>
      <x:c r="E3573" t="str"/>
      <x:c r="F3573" t="n">
        <x:v>0</x:v>
      </x:c>
      <x:c r="G3573" t="n">
        <x:v>0</x:v>
      </x:c>
      <x:c r="H3573" t="n">
        <x:f>ROUND(F3573*G3573/100,2)</x:f>
        <x:v>0</x:v>
      </x:c>
      <x:c r="I3573" t="n">
        <x:v>0</x:v>
      </x:c>
      <x:c r="J3573" t="n">
        <x:f>ROUND(F3573*I3573/100,2)</x:f>
        <x:v>0</x:v>
      </x:c>
      <x:c r="K3573" t="n">
        <x:v>0</x:v>
      </x:c>
      <x:c r="L3573" t="n">
        <x:f>ROUND(F3573*K3573/100,2)</x:f>
        <x:v>0</x:v>
      </x:c>
      <x:c r="M3573" t="n">
        <x:v>0</x:v>
      </x:c>
      <x:c r="N3573" t="n">
        <x:f>ROUND(F3573*M3573/100,2)</x:f>
        <x:v>0</x:v>
      </x:c>
      <x:c r="O3573" t="str"/>
    </x:row>
    <x:row r="3574" ht="23" customHeight="1">
      <x:c r="A3574" t="n">
        <x:v>596</x:v>
      </x:c>
      <x:c r="B3574" t="n">
        <x:v>298</x:v>
      </x:c>
      <x:c r="C3574" t="str">
        <x:v>晚餐</x:v>
      </x:c>
      <x:c r="D3574" t="str">
        <x:v>蔬菜</x:v>
      </x:c>
      <x:c r="E3574" t="str">
        <x:v>冬瓜</x:v>
      </x:c>
      <x:c r="F3574" t="n">
        <x:v>175</x:v>
      </x:c>
      <x:c r="G3574" t="n">
        <x:v>13</x:v>
      </x:c>
      <x:c r="H3574" t="n">
        <x:f>ROUND(F3574*G3574/100,2)</x:f>
        <x:v>22.75</x:v>
      </x:c>
      <x:c r="I3574" t="n">
        <x:v>0.4</x:v>
      </x:c>
      <x:c r="J3574" t="n">
        <x:f>ROUND(F3574*I3574/100,2)</x:f>
        <x:v>0.7</x:v>
      </x:c>
      <x:c r="K3574" t="n">
        <x:v>3</x:v>
      </x:c>
      <x:c r="L3574" t="n">
        <x:f>ROUND(F3574*K3574/100,2)</x:f>
        <x:v>5.25</x:v>
      </x:c>
      <x:c r="M3574" t="n">
        <x:v>0.2</x:v>
      </x:c>
      <x:c r="N3574" t="n">
        <x:f>ROUND(F3574*M3574/100,2)</x:f>
        <x:v>0.35</x:v>
      </x:c>
      <x:c r="O3574" t="str">
        <x:v>生重</x:v>
      </x:c>
    </x:row>
    <x:row r="3575" ht="23" customHeight="1">
      <x:c r="A3575" t="n">
        <x:v>596</x:v>
      </x:c>
      <x:c r="B3575" t="n">
        <x:v>298</x:v>
      </x:c>
      <x:c r="C3575" t="str">
        <x:v>晚餐</x:v>
      </x:c>
      <x:c r="D3575" t="str">
        <x:v>蔬菜</x:v>
      </x:c>
      <x:c r="E3575" t="str">
        <x:v>丝瓜</x:v>
      </x:c>
      <x:c r="F3575" t="n">
        <x:v>110</x:v>
      </x:c>
      <x:c r="G3575" t="n">
        <x:v>20</x:v>
      </x:c>
      <x:c r="H3575" t="n">
        <x:f>ROUND(F3575*G3575/100,2)</x:f>
        <x:v>22</x:v>
      </x:c>
      <x:c r="I3575" t="n">
        <x:v>1</x:v>
      </x:c>
      <x:c r="J3575" t="n">
        <x:f>ROUND(F3575*I3575/100,2)</x:f>
        <x:v>1.1</x:v>
      </x:c>
      <x:c r="K3575" t="n">
        <x:v>4</x:v>
      </x:c>
      <x:c r="L3575" t="n">
        <x:f>ROUND(F3575*K3575/100,2)</x:f>
        <x:v>4.4</x:v>
      </x:c>
      <x:c r="M3575" t="n">
        <x:v>0.2</x:v>
      </x:c>
      <x:c r="N3575" t="n">
        <x:f>ROUND(F3575*M3575/100,2)</x:f>
        <x:v>0.22</x:v>
      </x:c>
      <x:c r="O3575" t="str">
        <x:v>生重</x:v>
      </x:c>
    </x:row>
    <x:row r="3576" ht="23" customHeight="1">
      <x:c r="A3576" t="n">
        <x:v>596</x:v>
      </x:c>
      <x:c r="B3576" t="n">
        <x:v>298</x:v>
      </x:c>
      <x:c r="C3576" t="str">
        <x:v>晚餐</x:v>
      </x:c>
      <x:c r="D3576" t="str">
        <x:v>主食</x:v>
      </x:c>
      <x:c r="E3576" t="str">
        <x:v>藜麦饭</x:v>
      </x:c>
      <x:c r="F3576" t="n">
        <x:v>110</x:v>
      </x:c>
      <x:c r="G3576" t="n">
        <x:v>120</x:v>
      </x:c>
      <x:c r="H3576" t="n">
        <x:f>ROUND(F3576*G3576/100,2)</x:f>
        <x:v>132</x:v>
      </x:c>
      <x:c r="I3576" t="n">
        <x:v>4.4</x:v>
      </x:c>
      <x:c r="J3576" t="n">
        <x:f>ROUND(F3576*I3576/100,2)</x:f>
        <x:v>4.84</x:v>
      </x:c>
      <x:c r="K3576" t="n">
        <x:v>21.3</x:v>
      </x:c>
      <x:c r="L3576" t="n">
        <x:f>ROUND(F3576*K3576/100,2)</x:f>
        <x:v>23.43</x:v>
      </x:c>
      <x:c r="M3576" t="n">
        <x:v>1.9</x:v>
      </x:c>
      <x:c r="N3576" t="n">
        <x:f>ROUND(F3576*M3576/100,2)</x:f>
        <x:v>2.09</x:v>
      </x:c>
      <x:c r="O3576" t="str">
        <x:v>熟重</x:v>
      </x:c>
    </x:row>
    <x:row r="3577" ht="23" customHeight="1">
      <x:c r="A3577" t="n">
        <x:v>596</x:v>
      </x:c>
      <x:c r="B3577" t="n">
        <x:v>298</x:v>
      </x:c>
      <x:c r="C3577" t="str">
        <x:v>晚餐</x:v>
      </x:c>
      <x:c r="D3577" t="str">
        <x:v>油脂</x:v>
      </x:c>
      <x:c r="E3577" t="str">
        <x:v>烹调油</x:v>
      </x:c>
      <x:c r="F3577" t="n">
        <x:v>5</x:v>
      </x:c>
      <x:c r="G3577" t="n">
        <x:v>900</x:v>
      </x:c>
      <x:c r="H3577" t="n">
        <x:f>ROUND(F3577*G3577/100,2)</x:f>
        <x:v>45</x:v>
      </x:c>
      <x:c r="I3577" t="n">
        <x:v>0</x:v>
      </x:c>
      <x:c r="J3577" t="n">
        <x:f>ROUND(F3577*I3577/100,2)</x:f>
        <x:v>0</x:v>
      </x:c>
      <x:c r="K3577" t="n">
        <x:v>0</x:v>
      </x:c>
      <x:c r="L3577" t="n">
        <x:f>ROUND(F3577*K3577/100,2)</x:f>
        <x:v>0</x:v>
      </x:c>
      <x:c r="M3577" t="n">
        <x:v>100</x:v>
      </x:c>
      <x:c r="N3577" t="n">
        <x:f>ROUND(F3577*M3577/100,2)</x:f>
        <x:v>5</x:v>
      </x:c>
      <x:c r="O3577" t="str">
        <x:v>实际用油重</x:v>
      </x:c>
    </x:row>
    <x:row r="3578" ht="23" customHeight="1">
      <x:c r="A3578" t="n">
        <x:v>597</x:v>
      </x:c>
      <x:c r="B3578" t="n">
        <x:v>299</x:v>
      </x:c>
      <x:c r="C3578" t="str">
        <x:v>午餐</x:v>
      </x:c>
      <x:c r="D3578" t="str">
        <x:v>海鲜</x:v>
      </x:c>
      <x:c r="E3578" t="str">
        <x:v>虾仁</x:v>
      </x:c>
      <x:c r="F3578" t="n">
        <x:v>190</x:v>
      </x:c>
      <x:c r="G3578" t="n">
        <x:v>90</x:v>
      </x:c>
      <x:c r="H3578" t="n">
        <x:f>ROUND(F3578*G3578/100,2)</x:f>
        <x:v>171</x:v>
      </x:c>
      <x:c r="I3578" t="n">
        <x:v>19</x:v>
      </x:c>
      <x:c r="J3578" t="n">
        <x:f>ROUND(F3578*I3578/100,2)</x:f>
        <x:v>36.1</x:v>
      </x:c>
      <x:c r="K3578" t="n">
        <x:v>0.4</x:v>
      </x:c>
      <x:c r="L3578" t="n">
        <x:f>ROUND(F3578*K3578/100,2)</x:f>
        <x:v>0.76</x:v>
      </x:c>
      <x:c r="M3578" t="n">
        <x:v>1.1</x:v>
      </x:c>
      <x:c r="N3578" t="n">
        <x:f>ROUND(F3578*M3578/100,2)</x:f>
        <x:v>2.09</x:v>
      </x:c>
      <x:c r="O3578" t="str">
        <x:v>生重</x:v>
      </x:c>
    </x:row>
    <x:row r="3579" ht="23" customHeight="1">
      <x:c r="A3579" t="n">
        <x:v>597</x:v>
      </x:c>
      <x:c r="B3579" t="n">
        <x:v>299</x:v>
      </x:c>
      <x:c r="C3579" t="str">
        <x:v>午餐</x:v>
      </x:c>
      <x:c r="D3579" t="str">
        <x:v>豆蛋</x:v>
      </x:c>
      <x:c r="E3579" t="str">
        <x:v>北豆腐</x:v>
      </x:c>
      <x:c r="F3579" t="n">
        <x:v>90</x:v>
      </x:c>
      <x:c r="G3579" t="n">
        <x:v>90</x:v>
      </x:c>
      <x:c r="H3579" t="n">
        <x:f>ROUND(F3579*G3579/100,2)</x:f>
        <x:v>81</x:v>
      </x:c>
      <x:c r="I3579" t="n">
        <x:v>10</x:v>
      </x:c>
      <x:c r="J3579" t="n">
        <x:f>ROUND(F3579*I3579/100,2)</x:f>
        <x:v>9</x:v>
      </x:c>
      <x:c r="K3579" t="n">
        <x:v>2</x:v>
      </x:c>
      <x:c r="L3579" t="n">
        <x:f>ROUND(F3579*K3579/100,2)</x:f>
        <x:v>1.8</x:v>
      </x:c>
      <x:c r="M3579" t="n">
        <x:v>5</x:v>
      </x:c>
      <x:c r="N3579" t="n">
        <x:f>ROUND(F3579*M3579/100,2)</x:f>
        <x:v>4.5</x:v>
      </x:c>
      <x:c r="O3579" t="str">
        <x:v>净重</x:v>
      </x:c>
    </x:row>
    <x:row r="3580" ht="23" customHeight="1">
      <x:c r="A3580" t="n">
        <x:v>597</x:v>
      </x:c>
      <x:c r="B3580" t="n">
        <x:v>299</x:v>
      </x:c>
      <x:c r="C3580" t="str">
        <x:v>午餐</x:v>
      </x:c>
      <x:c r="D3580" t="str">
        <x:v>蔬菜</x:v>
      </x:c>
      <x:c r="E3580" t="str">
        <x:v>西兰花</x:v>
      </x:c>
      <x:c r="F3580" t="n">
        <x:v>175</x:v>
      </x:c>
      <x:c r="G3580" t="n">
        <x:v>34</x:v>
      </x:c>
      <x:c r="H3580" t="n">
        <x:f>ROUND(F3580*G3580/100,2)</x:f>
        <x:v>59.5</x:v>
      </x:c>
      <x:c r="I3580" t="n">
        <x:v>2.8</x:v>
      </x:c>
      <x:c r="J3580" t="n">
        <x:f>ROUND(F3580*I3580/100,2)</x:f>
        <x:v>4.9</x:v>
      </x:c>
      <x:c r="K3580" t="n">
        <x:v>7</x:v>
      </x:c>
      <x:c r="L3580" t="n">
        <x:f>ROUND(F3580*K3580/100,2)</x:f>
        <x:v>12.25</x:v>
      </x:c>
      <x:c r="M3580" t="n">
        <x:v>0.4</x:v>
      </x:c>
      <x:c r="N3580" t="n">
        <x:f>ROUND(F3580*M3580/100,2)</x:f>
        <x:v>0.7</x:v>
      </x:c>
      <x:c r="O3580" t="str">
        <x:v>生重</x:v>
      </x:c>
    </x:row>
    <x:row r="3581" ht="23" customHeight="1">
      <x:c r="A3581" t="n">
        <x:v>597</x:v>
      </x:c>
      <x:c r="B3581" t="n">
        <x:v>299</x:v>
      </x:c>
      <x:c r="C3581" t="str">
        <x:v>午餐</x:v>
      </x:c>
      <x:c r="D3581" t="str">
        <x:v>菌菇</x:v>
      </x:c>
      <x:c r="E3581" t="str">
        <x:v>泡发木耳</x:v>
      </x:c>
      <x:c r="F3581" t="n">
        <x:v>140</x:v>
      </x:c>
      <x:c r="G3581" t="n">
        <x:v>25</x:v>
      </x:c>
      <x:c r="H3581" t="n">
        <x:f>ROUND(F3581*G3581/100,2)</x:f>
        <x:v>35</x:v>
      </x:c>
      <x:c r="I3581" t="n">
        <x:v>1.5</x:v>
      </x:c>
      <x:c r="J3581" t="n">
        <x:f>ROUND(F3581*I3581/100,2)</x:f>
        <x:v>2.1</x:v>
      </x:c>
      <x:c r="K3581" t="n">
        <x:v>6</x:v>
      </x:c>
      <x:c r="L3581" t="n">
        <x:f>ROUND(F3581*K3581/100,2)</x:f>
        <x:v>8.4</x:v>
      </x:c>
      <x:c r="M3581" t="n">
        <x:v>0.1</x:v>
      </x:c>
      <x:c r="N3581" t="n">
        <x:f>ROUND(F3581*M3581/100,2)</x:f>
        <x:v>0.14</x:v>
      </x:c>
      <x:c r="O3581" t="str">
        <x:v>泡发沥水重</x:v>
      </x:c>
    </x:row>
    <x:row r="3582" ht="23" customHeight="1">
      <x:c r="A3582" t="n">
        <x:v>597</x:v>
      </x:c>
      <x:c r="B3582" t="n">
        <x:v>299</x:v>
      </x:c>
      <x:c r="C3582" t="str">
        <x:v>午餐</x:v>
      </x:c>
      <x:c r="D3582" t="str">
        <x:v>主食</x:v>
      </x:c>
      <x:c r="E3582" t="str">
        <x:v>乌冬面</x:v>
      </x:c>
      <x:c r="F3582" t="n">
        <x:v>110</x:v>
      </x:c>
      <x:c r="G3582" t="n">
        <x:v>120</x:v>
      </x:c>
      <x:c r="H3582" t="n">
        <x:f>ROUND(F3582*G3582/100,2)</x:f>
        <x:v>132</x:v>
      </x:c>
      <x:c r="I3582" t="n">
        <x:v>2.5</x:v>
      </x:c>
      <x:c r="J3582" t="n">
        <x:f>ROUND(F3582*I3582/100,2)</x:f>
        <x:v>2.75</x:v>
      </x:c>
      <x:c r="K3582" t="n">
        <x:v>25</x:v>
      </x:c>
      <x:c r="L3582" t="n">
        <x:f>ROUND(F3582*K3582/100,2)</x:f>
        <x:v>27.5</x:v>
      </x:c>
      <x:c r="M3582" t="n">
        <x:v>0.6</x:v>
      </x:c>
      <x:c r="N3582" t="n">
        <x:f>ROUND(F3582*M3582/100,2)</x:f>
        <x:v>0.66</x:v>
      </x:c>
      <x:c r="O3582" t="str">
        <x:v>煮熟沥水重</x:v>
      </x:c>
    </x:row>
    <x:row r="3583" ht="23" customHeight="1">
      <x:c r="A3583" t="n">
        <x:v>597</x:v>
      </x:c>
      <x:c r="B3583" t="n">
        <x:v>299</x:v>
      </x:c>
      <x:c r="C3583" t="str">
        <x:v>午餐</x:v>
      </x:c>
      <x:c r="D3583" t="str">
        <x:v>油脂</x:v>
      </x:c>
      <x:c r="E3583" t="str">
        <x:v>烹调油</x:v>
      </x:c>
      <x:c r="F3583" t="n">
        <x:v>6</x:v>
      </x:c>
      <x:c r="G3583" t="n">
        <x:v>900</x:v>
      </x:c>
      <x:c r="H3583" t="n">
        <x:f>ROUND(F3583*G3583/100,2)</x:f>
        <x:v>54</x:v>
      </x:c>
      <x:c r="I3583" t="n">
        <x:v>0</x:v>
      </x:c>
      <x:c r="J3583" t="n">
        <x:f>ROUND(F3583*I3583/100,2)</x:f>
        <x:v>0</x:v>
      </x:c>
      <x:c r="K3583" t="n">
        <x:v>0</x:v>
      </x:c>
      <x:c r="L3583" t="n">
        <x:f>ROUND(F3583*K3583/100,2)</x:f>
        <x:v>0</x:v>
      </x:c>
      <x:c r="M3583" t="n">
        <x:v>100</x:v>
      </x:c>
      <x:c r="N3583" t="n">
        <x:f>ROUND(F3583*M3583/100,2)</x:f>
        <x:v>6</x:v>
      </x:c>
      <x:c r="O3583" t="str">
        <x:v>实际用油重</x:v>
      </x:c>
    </x:row>
    <x:row r="3584" ht="23" customHeight="1">
      <x:c r="A3584" t="n">
        <x:v>598</x:v>
      </x:c>
      <x:c r="B3584" t="n">
        <x:v>299</x:v>
      </x:c>
      <x:c r="C3584" t="str">
        <x:v>晚餐</x:v>
      </x:c>
      <x:c r="D3584" t="str">
        <x:v>禽肉</x:v>
      </x:c>
      <x:c r="E3584" t="str">
        <x:v>鸡里脊肉</x:v>
      </x:c>
      <x:c r="F3584" t="n">
        <x:v>170</x:v>
      </x:c>
      <x:c r="G3584" t="n">
        <x:v>110</x:v>
      </x:c>
      <x:c r="H3584" t="n">
        <x:f>ROUND(F3584*G3584/100,2)</x:f>
        <x:v>187</x:v>
      </x:c>
      <x:c r="I3584" t="n">
        <x:v>23</x:v>
      </x:c>
      <x:c r="J3584" t="n">
        <x:f>ROUND(F3584*I3584/100,2)</x:f>
        <x:v>39.1</x:v>
      </x:c>
      <x:c r="K3584" t="n">
        <x:v>0</x:v>
      </x:c>
      <x:c r="L3584" t="n">
        <x:f>ROUND(F3584*K3584/100,2)</x:f>
        <x:v>0</x:v>
      </x:c>
      <x:c r="M3584" t="n">
        <x:v>1.8</x:v>
      </x:c>
      <x:c r="N3584" t="n">
        <x:f>ROUND(F3584*M3584/100,2)</x:f>
        <x:v>3.06</x:v>
      </x:c>
      <x:c r="O3584" t="str">
        <x:v>生重</x:v>
      </x:c>
    </x:row>
    <x:row r="3585" ht="23" customHeight="1">
      <x:c r="A3585" t="n">
        <x:v>598</x:v>
      </x:c>
      <x:c r="B3585" t="n">
        <x:v>299</x:v>
      </x:c>
      <x:c r="C3585" t="str">
        <x:v>晚餐</x:v>
      </x:c>
      <x:c r="D3585" t="str"/>
      <x:c r="E3585" t="str"/>
      <x:c r="F3585" t="n">
        <x:v>0</x:v>
      </x:c>
      <x:c r="G3585" t="n">
        <x:v>0</x:v>
      </x:c>
      <x:c r="H3585" t="n">
        <x:f>ROUND(F3585*G3585/100,2)</x:f>
        <x:v>0</x:v>
      </x:c>
      <x:c r="I3585" t="n">
        <x:v>0</x:v>
      </x:c>
      <x:c r="J3585" t="n">
        <x:f>ROUND(F3585*I3585/100,2)</x:f>
        <x:v>0</x:v>
      </x:c>
      <x:c r="K3585" t="n">
        <x:v>0</x:v>
      </x:c>
      <x:c r="L3585" t="n">
        <x:f>ROUND(F3585*K3585/100,2)</x:f>
        <x:v>0</x:v>
      </x:c>
      <x:c r="M3585" t="n">
        <x:v>0</x:v>
      </x:c>
      <x:c r="N3585" t="n">
        <x:f>ROUND(F3585*M3585/100,2)</x:f>
        <x:v>0</x:v>
      </x:c>
      <x:c r="O3585" t="str"/>
    </x:row>
    <x:row r="3586" ht="23" customHeight="1">
      <x:c r="A3586" t="n">
        <x:v>598</x:v>
      </x:c>
      <x:c r="B3586" t="n">
        <x:v>299</x:v>
      </x:c>
      <x:c r="C3586" t="str">
        <x:v>晚餐</x:v>
      </x:c>
      <x:c r="D3586" t="str">
        <x:v>蔬菜</x:v>
      </x:c>
      <x:c r="E3586" t="str">
        <x:v>冬瓜</x:v>
      </x:c>
      <x:c r="F3586" t="n">
        <x:v>140</x:v>
      </x:c>
      <x:c r="G3586" t="n">
        <x:v>13</x:v>
      </x:c>
      <x:c r="H3586" t="n">
        <x:f>ROUND(F3586*G3586/100,2)</x:f>
        <x:v>18.2</x:v>
      </x:c>
      <x:c r="I3586" t="n">
        <x:v>0.4</x:v>
      </x:c>
      <x:c r="J3586" t="n">
        <x:f>ROUND(F3586*I3586/100,2)</x:f>
        <x:v>0.56</x:v>
      </x:c>
      <x:c r="K3586" t="n">
        <x:v>3</x:v>
      </x:c>
      <x:c r="L3586" t="n">
        <x:f>ROUND(F3586*K3586/100,2)</x:f>
        <x:v>4.2</x:v>
      </x:c>
      <x:c r="M3586" t="n">
        <x:v>0.2</x:v>
      </x:c>
      <x:c r="N3586" t="n">
        <x:f>ROUND(F3586*M3586/100,2)</x:f>
        <x:v>0.28</x:v>
      </x:c>
      <x:c r="O3586" t="str">
        <x:v>生重</x:v>
      </x:c>
    </x:row>
    <x:row r="3587" ht="23" customHeight="1">
      <x:c r="A3587" t="n">
        <x:v>598</x:v>
      </x:c>
      <x:c r="B3587" t="n">
        <x:v>299</x:v>
      </x:c>
      <x:c r="C3587" t="str">
        <x:v>晚餐</x:v>
      </x:c>
      <x:c r="D3587" t="str">
        <x:v>蔬菜</x:v>
      </x:c>
      <x:c r="E3587" t="str">
        <x:v>小白菜</x:v>
      </x:c>
      <x:c r="F3587" t="n">
        <x:v>140</x:v>
      </x:c>
      <x:c r="G3587" t="n">
        <x:v>17</x:v>
      </x:c>
      <x:c r="H3587" t="n">
        <x:f>ROUND(F3587*G3587/100,2)</x:f>
        <x:v>23.8</x:v>
      </x:c>
      <x:c r="I3587" t="n">
        <x:v>1.6</x:v>
      </x:c>
      <x:c r="J3587" t="n">
        <x:f>ROUND(F3587*I3587/100,2)</x:f>
        <x:v>2.24</x:v>
      </x:c>
      <x:c r="K3587" t="n">
        <x:v>2.8</x:v>
      </x:c>
      <x:c r="L3587" t="n">
        <x:f>ROUND(F3587*K3587/100,2)</x:f>
        <x:v>3.92</x:v>
      </x:c>
      <x:c r="M3587" t="n">
        <x:v>0.2</x:v>
      </x:c>
      <x:c r="N3587" t="n">
        <x:f>ROUND(F3587*M3587/100,2)</x:f>
        <x:v>0.28</x:v>
      </x:c>
      <x:c r="O3587" t="str">
        <x:v>生重</x:v>
      </x:c>
    </x:row>
    <x:row r="3588" ht="23" customHeight="1">
      <x:c r="A3588" t="n">
        <x:v>598</x:v>
      </x:c>
      <x:c r="B3588" t="n">
        <x:v>299</x:v>
      </x:c>
      <x:c r="C3588" t="str">
        <x:v>晚餐</x:v>
      </x:c>
      <x:c r="D3588" t="str">
        <x:v>主食</x:v>
      </x:c>
      <x:c r="E3588" t="str">
        <x:v>燕麦饭</x:v>
      </x:c>
      <x:c r="F3588" t="n">
        <x:v>100</x:v>
      </x:c>
      <x:c r="G3588" t="n">
        <x:v>110</x:v>
      </x:c>
      <x:c r="H3588" t="n">
        <x:f>ROUND(F3588*G3588/100,2)</x:f>
        <x:v>110</x:v>
      </x:c>
      <x:c r="I3588" t="n">
        <x:v>3.2</x:v>
      </x:c>
      <x:c r="J3588" t="n">
        <x:f>ROUND(F3588*I3588/100,2)</x:f>
        <x:v>3.2</x:v>
      </x:c>
      <x:c r="K3588" t="n">
        <x:v>21</x:v>
      </x:c>
      <x:c r="L3588" t="n">
        <x:f>ROUND(F3588*K3588/100,2)</x:f>
        <x:v>21</x:v>
      </x:c>
      <x:c r="M3588" t="n">
        <x:v>1.8</x:v>
      </x:c>
      <x:c r="N3588" t="n">
        <x:f>ROUND(F3588*M3588/100,2)</x:f>
        <x:v>1.8</x:v>
      </x:c>
      <x:c r="O3588" t="str">
        <x:v>熟重</x:v>
      </x:c>
    </x:row>
    <x:row r="3589" ht="23" customHeight="1">
      <x:c r="A3589" t="n">
        <x:v>598</x:v>
      </x:c>
      <x:c r="B3589" t="n">
        <x:v>299</x:v>
      </x:c>
      <x:c r="C3589" t="str">
        <x:v>晚餐</x:v>
      </x:c>
      <x:c r="D3589" t="str">
        <x:v>油脂</x:v>
      </x:c>
      <x:c r="E3589" t="str">
        <x:v>烹调油</x:v>
      </x:c>
      <x:c r="F3589" t="n">
        <x:v>4</x:v>
      </x:c>
      <x:c r="G3589" t="n">
        <x:v>900</x:v>
      </x:c>
      <x:c r="H3589" t="n">
        <x:f>ROUND(F3589*G3589/100,2)</x:f>
        <x:v>36</x:v>
      </x:c>
      <x:c r="I3589" t="n">
        <x:v>0</x:v>
      </x:c>
      <x:c r="J3589" t="n">
        <x:f>ROUND(F3589*I3589/100,2)</x:f>
        <x:v>0</x:v>
      </x:c>
      <x:c r="K3589" t="n">
        <x:v>0</x:v>
      </x:c>
      <x:c r="L3589" t="n">
        <x:f>ROUND(F3589*K3589/100,2)</x:f>
        <x:v>0</x:v>
      </x:c>
      <x:c r="M3589" t="n">
        <x:v>100</x:v>
      </x:c>
      <x:c r="N3589" t="n">
        <x:f>ROUND(F3589*M3589/100,2)</x:f>
        <x:v>4</x:v>
      </x:c>
      <x:c r="O3589" t="str">
        <x:v>实际用油重</x:v>
      </x:c>
    </x:row>
    <x:row r="3590" ht="23" customHeight="1">
      <x:c r="A3590" t="n">
        <x:v>599</x:v>
      </x:c>
      <x:c r="B3590" t="n">
        <x:v>300</x:v>
      </x:c>
      <x:c r="C3590" t="str">
        <x:v>午餐</x:v>
      </x:c>
      <x:c r="D3590" t="str">
        <x:v>禽肉</x:v>
      </x:c>
      <x:c r="E3590" t="str">
        <x:v>去皮鸡腿肉</x:v>
      </x:c>
      <x:c r="F3590" t="n">
        <x:v>165</x:v>
      </x:c>
      <x:c r="G3590" t="n">
        <x:v>125</x:v>
      </x:c>
      <x:c r="H3590" t="n">
        <x:f>ROUND(F3590*G3590/100,2)</x:f>
        <x:v>206.25</x:v>
      </x:c>
      <x:c r="I3590" t="n">
        <x:v>20</x:v>
      </x:c>
      <x:c r="J3590" t="n">
        <x:f>ROUND(F3590*I3590/100,2)</x:f>
        <x:v>33</x:v>
      </x:c>
      <x:c r="K3590" t="n">
        <x:v>0</x:v>
      </x:c>
      <x:c r="L3590" t="n">
        <x:f>ROUND(F3590*K3590/100,2)</x:f>
        <x:v>0</x:v>
      </x:c>
      <x:c r="M3590" t="n">
        <x:v>5</x:v>
      </x:c>
      <x:c r="N3590" t="n">
        <x:f>ROUND(F3590*M3590/100,2)</x:f>
        <x:v>8.25</x:v>
      </x:c>
      <x:c r="O3590" t="str">
        <x:v>生重</x:v>
      </x:c>
    </x:row>
    <x:row r="3591" ht="23" customHeight="1">
      <x:c r="A3591" t="n">
        <x:v>599</x:v>
      </x:c>
      <x:c r="B3591" t="n">
        <x:v>300</x:v>
      </x:c>
      <x:c r="C3591" t="str">
        <x:v>午餐</x:v>
      </x:c>
      <x:c r="D3591" t="str">
        <x:v>豆蛋</x:v>
      </x:c>
      <x:c r="E3591" t="str">
        <x:v>熟毛豆仁</x:v>
      </x:c>
      <x:c r="F3591" t="n">
        <x:v>70</x:v>
      </x:c>
      <x:c r="G3591" t="n">
        <x:v>120</x:v>
      </x:c>
      <x:c r="H3591" t="n">
        <x:f>ROUND(F3591*G3591/100,2)</x:f>
        <x:v>84</x:v>
      </x:c>
      <x:c r="I3591" t="n">
        <x:v>12</x:v>
      </x:c>
      <x:c r="J3591" t="n">
        <x:f>ROUND(F3591*I3591/100,2)</x:f>
        <x:v>8.4</x:v>
      </x:c>
      <x:c r="K3591" t="n">
        <x:v>9</x:v>
      </x:c>
      <x:c r="L3591" t="n">
        <x:f>ROUND(F3591*K3591/100,2)</x:f>
        <x:v>6.3</x:v>
      </x:c>
      <x:c r="M3591" t="n">
        <x:v>5</x:v>
      </x:c>
      <x:c r="N3591" t="n">
        <x:f>ROUND(F3591*M3591/100,2)</x:f>
        <x:v>3.5</x:v>
      </x:c>
      <x:c r="O3591" t="str">
        <x:v>熟重</x:v>
      </x:c>
    </x:row>
    <x:row r="3592" ht="23" customHeight="1">
      <x:c r="A3592" t="n">
        <x:v>599</x:v>
      </x:c>
      <x:c r="B3592" t="n">
        <x:v>300</x:v>
      </x:c>
      <x:c r="C3592" t="str">
        <x:v>午餐</x:v>
      </x:c>
      <x:c r="D3592" t="str">
        <x:v>蔬菜</x:v>
      </x:c>
      <x:c r="E3592" t="str">
        <x:v>芹菜</x:v>
      </x:c>
      <x:c r="F3592" t="n">
        <x:v>190</x:v>
      </x:c>
      <x:c r="G3592" t="n">
        <x:v>17</x:v>
      </x:c>
      <x:c r="H3592" t="n">
        <x:f>ROUND(F3592*G3592/100,2)</x:f>
        <x:v>32.3</x:v>
      </x:c>
      <x:c r="I3592" t="n">
        <x:v>1</x:v>
      </x:c>
      <x:c r="J3592" t="n">
        <x:f>ROUND(F3592*I3592/100,2)</x:f>
        <x:v>1.9</x:v>
      </x:c>
      <x:c r="K3592" t="n">
        <x:v>3.5</x:v>
      </x:c>
      <x:c r="L3592" t="n">
        <x:f>ROUND(F3592*K3592/100,2)</x:f>
        <x:v>6.65</x:v>
      </x:c>
      <x:c r="M3592" t="n">
        <x:v>0.1</x:v>
      </x:c>
      <x:c r="N3592" t="n">
        <x:f>ROUND(F3592*M3592/100,2)</x:f>
        <x:v>0.19</x:v>
      </x:c>
      <x:c r="O3592" t="str">
        <x:v>生重</x:v>
      </x:c>
    </x:row>
    <x:row r="3593" ht="23" customHeight="1">
      <x:c r="A3593" t="n">
        <x:v>599</x:v>
      </x:c>
      <x:c r="B3593" t="n">
        <x:v>300</x:v>
      </x:c>
      <x:c r="C3593" t="str">
        <x:v>午餐</x:v>
      </x:c>
      <x:c r="D3593" t="str">
        <x:v>菌菇</x:v>
      </x:c>
      <x:c r="E3593" t="str">
        <x:v>杏鲍菇</x:v>
      </x:c>
      <x:c r="F3593" t="n">
        <x:v>155</x:v>
      </x:c>
      <x:c r="G3593" t="n">
        <x:v>35</x:v>
      </x:c>
      <x:c r="H3593" t="n">
        <x:f>ROUND(F3593*G3593/100,2)</x:f>
        <x:v>54.25</x:v>
      </x:c>
      <x:c r="I3593" t="n">
        <x:v>2</x:v>
      </x:c>
      <x:c r="J3593" t="n">
        <x:f>ROUND(F3593*I3593/100,2)</x:f>
        <x:v>3.1</x:v>
      </x:c>
      <x:c r="K3593" t="n">
        <x:v>7.4</x:v>
      </x:c>
      <x:c r="L3593" t="n">
        <x:f>ROUND(F3593*K3593/100,2)</x:f>
        <x:v>11.47</x:v>
      </x:c>
      <x:c r="M3593" t="n">
        <x:v>0.3</x:v>
      </x:c>
      <x:c r="N3593" t="n">
        <x:f>ROUND(F3593*M3593/100,2)</x:f>
        <x:v>0.47</x:v>
      </x:c>
      <x:c r="O3593" t="str">
        <x:v>生重</x:v>
      </x:c>
    </x:row>
    <x:row r="3594" ht="23" customHeight="1">
      <x:c r="A3594" t="n">
        <x:v>599</x:v>
      </x:c>
      <x:c r="B3594" t="n">
        <x:v>300</x:v>
      </x:c>
      <x:c r="C3594" t="str">
        <x:v>午餐</x:v>
      </x:c>
      <x:c r="D3594" t="str">
        <x:v>主食</x:v>
      </x:c>
      <x:c r="E3594" t="str">
        <x:v>玉米</x:v>
      </x:c>
      <x:c r="F3594" t="n">
        <x:v>165</x:v>
      </x:c>
      <x:c r="G3594" t="n">
        <x:v>105</x:v>
      </x:c>
      <x:c r="H3594" t="n">
        <x:f>ROUND(F3594*G3594/100,2)</x:f>
        <x:v>173.25</x:v>
      </x:c>
      <x:c r="I3594" t="n">
        <x:v>3.4</x:v>
      </x:c>
      <x:c r="J3594" t="n">
        <x:f>ROUND(F3594*I3594/100,2)</x:f>
        <x:v>5.61</x:v>
      </x:c>
      <x:c r="K3594" t="n">
        <x:v>22</x:v>
      </x:c>
      <x:c r="L3594" t="n">
        <x:f>ROUND(F3594*K3594/100,2)</x:f>
        <x:v>36.3</x:v>
      </x:c>
      <x:c r="M3594" t="n">
        <x:v>1.5</x:v>
      </x:c>
      <x:c r="N3594" t="n">
        <x:f>ROUND(F3594*M3594/100,2)</x:f>
        <x:v>2.48</x:v>
      </x:c>
      <x:c r="O3594" t="str">
        <x:v>蒸熟净重</x:v>
      </x:c>
    </x:row>
    <x:row r="3595" ht="23" customHeight="1">
      <x:c r="A3595" t="n">
        <x:v>599</x:v>
      </x:c>
      <x:c r="B3595" t="n">
        <x:v>300</x:v>
      </x:c>
      <x:c r="C3595" t="str">
        <x:v>午餐</x:v>
      </x:c>
      <x:c r="D3595" t="str">
        <x:v>油脂</x:v>
      </x:c>
      <x:c r="E3595" t="str">
        <x:v>烹调油</x:v>
      </x:c>
      <x:c r="F3595" t="n">
        <x:v>6</x:v>
      </x:c>
      <x:c r="G3595" t="n">
        <x:v>900</x:v>
      </x:c>
      <x:c r="H3595" t="n">
        <x:f>ROUND(F3595*G3595/100,2)</x:f>
        <x:v>54</x:v>
      </x:c>
      <x:c r="I3595" t="n">
        <x:v>0</x:v>
      </x:c>
      <x:c r="J3595" t="n">
        <x:f>ROUND(F3595*I3595/100,2)</x:f>
        <x:v>0</x:v>
      </x:c>
      <x:c r="K3595" t="n">
        <x:v>0</x:v>
      </x:c>
      <x:c r="L3595" t="n">
        <x:f>ROUND(F3595*K3595/100,2)</x:f>
        <x:v>0</x:v>
      </x:c>
      <x:c r="M3595" t="n">
        <x:v>100</x:v>
      </x:c>
      <x:c r="N3595" t="n">
        <x:f>ROUND(F3595*M3595/100,2)</x:f>
        <x:v>6</x:v>
      </x:c>
      <x:c r="O3595" t="str">
        <x:v>实际用油重</x:v>
      </x:c>
    </x:row>
    <x:row r="3596" ht="23" customHeight="1">
      <x:c r="A3596" t="n">
        <x:v>600</x:v>
      </x:c>
      <x:c r="B3596" t="n">
        <x:v>300</x:v>
      </x:c>
      <x:c r="C3596" t="str">
        <x:v>晚餐</x:v>
      </x:c>
      <x:c r="D3596" t="str">
        <x:v>鱼类</x:v>
      </x:c>
      <x:c r="E3596" t="str">
        <x:v>鲈鱼</x:v>
      </x:c>
      <x:c r="F3596" t="n">
        <x:v>175</x:v>
      </x:c>
      <x:c r="G3596" t="n">
        <x:v>105</x:v>
      </x:c>
      <x:c r="H3596" t="n">
        <x:f>ROUND(F3596*G3596/100,2)</x:f>
        <x:v>183.75</x:v>
      </x:c>
      <x:c r="I3596" t="n">
        <x:v>19</x:v>
      </x:c>
      <x:c r="J3596" t="n">
        <x:f>ROUND(F3596*I3596/100,2)</x:f>
        <x:v>33.25</x:v>
      </x:c>
      <x:c r="K3596" t="n">
        <x:v>0</x:v>
      </x:c>
      <x:c r="L3596" t="n">
        <x:f>ROUND(F3596*K3596/100,2)</x:f>
        <x:v>0</x:v>
      </x:c>
      <x:c r="M3596" t="n">
        <x:v>3</x:v>
      </x:c>
      <x:c r="N3596" t="n">
        <x:f>ROUND(F3596*M3596/100,2)</x:f>
        <x:v>5.25</x:v>
      </x:c>
      <x:c r="O3596" t="str">
        <x:v>净鱼肉生重</x:v>
      </x:c>
    </x:row>
    <x:row r="3597" ht="23" customHeight="1">
      <x:c r="A3597" t="n">
        <x:v>600</x:v>
      </x:c>
      <x:c r="B3597" t="n">
        <x:v>300</x:v>
      </x:c>
      <x:c r="C3597" t="str">
        <x:v>晚餐</x:v>
      </x:c>
      <x:c r="D3597" t="str"/>
      <x:c r="E3597" t="str"/>
      <x:c r="F3597" t="n">
        <x:v>0</x:v>
      </x:c>
      <x:c r="G3597" t="n">
        <x:v>0</x:v>
      </x:c>
      <x:c r="H3597" t="n">
        <x:f>ROUND(F3597*G3597/100,2)</x:f>
        <x:v>0</x:v>
      </x:c>
      <x:c r="I3597" t="n">
        <x:v>0</x:v>
      </x:c>
      <x:c r="J3597" t="n">
        <x:f>ROUND(F3597*I3597/100,2)</x:f>
        <x:v>0</x:v>
      </x:c>
      <x:c r="K3597" t="n">
        <x:v>0</x:v>
      </x:c>
      <x:c r="L3597" t="n">
        <x:f>ROUND(F3597*K3597/100,2)</x:f>
        <x:v>0</x:v>
      </x:c>
      <x:c r="M3597" t="n">
        <x:v>0</x:v>
      </x:c>
      <x:c r="N3597" t="n">
        <x:f>ROUND(F3597*M3597/100,2)</x:f>
        <x:v>0</x:v>
      </x:c>
      <x:c r="O3597" t="str"/>
    </x:row>
    <x:row r="3598" ht="23" customHeight="1">
      <x:c r="A3598" t="n">
        <x:v>600</x:v>
      </x:c>
      <x:c r="B3598" t="n">
        <x:v>300</x:v>
      </x:c>
      <x:c r="C3598" t="str">
        <x:v>晚餐</x:v>
      </x:c>
      <x:c r="D3598" t="str">
        <x:v>蔬菜</x:v>
      </x:c>
      <x:c r="E3598" t="str">
        <x:v>花菜</x:v>
      </x:c>
      <x:c r="F3598" t="n">
        <x:v>160</x:v>
      </x:c>
      <x:c r="G3598" t="n">
        <x:v>25</x:v>
      </x:c>
      <x:c r="H3598" t="n">
        <x:f>ROUND(F3598*G3598/100,2)</x:f>
        <x:v>40</x:v>
      </x:c>
      <x:c r="I3598" t="n">
        <x:v>2</x:v>
      </x:c>
      <x:c r="J3598" t="n">
        <x:f>ROUND(F3598*I3598/100,2)</x:f>
        <x:v>3.2</x:v>
      </x:c>
      <x:c r="K3598" t="n">
        <x:v>5</x:v>
      </x:c>
      <x:c r="L3598" t="n">
        <x:f>ROUND(F3598*K3598/100,2)</x:f>
        <x:v>8</x:v>
      </x:c>
      <x:c r="M3598" t="n">
        <x:v>0.3</x:v>
      </x:c>
      <x:c r="N3598" t="n">
        <x:f>ROUND(F3598*M3598/100,2)</x:f>
        <x:v>0.48</x:v>
      </x:c>
      <x:c r="O3598" t="str">
        <x:v>生重</x:v>
      </x:c>
    </x:row>
    <x:row r="3599" ht="23" customHeight="1">
      <x:c r="A3599" t="n">
        <x:v>600</x:v>
      </x:c>
      <x:c r="B3599" t="n">
        <x:v>300</x:v>
      </x:c>
      <x:c r="C3599" t="str">
        <x:v>晚餐</x:v>
      </x:c>
      <x:c r="D3599" t="str">
        <x:v>菌菇</x:v>
      </x:c>
      <x:c r="E3599" t="str">
        <x:v>口蘑</x:v>
      </x:c>
      <x:c r="F3599" t="n">
        <x:v>155</x:v>
      </x:c>
      <x:c r="G3599" t="n">
        <x:v>22</x:v>
      </x:c>
      <x:c r="H3599" t="n">
        <x:f>ROUND(F3599*G3599/100,2)</x:f>
        <x:v>34.1</x:v>
      </x:c>
      <x:c r="I3599" t="n">
        <x:v>3.1</x:v>
      </x:c>
      <x:c r="J3599" t="n">
        <x:f>ROUND(F3599*I3599/100,2)</x:f>
        <x:v>4.81</x:v>
      </x:c>
      <x:c r="K3599" t="n">
        <x:v>3.3</x:v>
      </x:c>
      <x:c r="L3599" t="n">
        <x:f>ROUND(F3599*K3599/100,2)</x:f>
        <x:v>5.12</x:v>
      </x:c>
      <x:c r="M3599" t="n">
        <x:v>0.3</x:v>
      </x:c>
      <x:c r="N3599" t="n">
        <x:f>ROUND(F3599*M3599/100,2)</x:f>
        <x:v>0.47</x:v>
      </x:c>
      <x:c r="O3599" t="str">
        <x:v>生重</x:v>
      </x:c>
    </x:row>
    <x:row r="3600" ht="23" customHeight="1">
      <x:c r="A3600" t="n">
        <x:v>600</x:v>
      </x:c>
      <x:c r="B3600" t="n">
        <x:v>300</x:v>
      </x:c>
      <x:c r="C3600" t="str">
        <x:v>晚餐</x:v>
      </x:c>
      <x:c r="D3600" t="str">
        <x:v>主食</x:v>
      </x:c>
      <x:c r="E3600" t="str">
        <x:v>藜麦饭</x:v>
      </x:c>
      <x:c r="F3600" t="n">
        <x:v>80</x:v>
      </x:c>
      <x:c r="G3600" t="n">
        <x:v>120</x:v>
      </x:c>
      <x:c r="H3600" t="n">
        <x:f>ROUND(F3600*G3600/100,2)</x:f>
        <x:v>96</x:v>
      </x:c>
      <x:c r="I3600" t="n">
        <x:v>4.4</x:v>
      </x:c>
      <x:c r="J3600" t="n">
        <x:f>ROUND(F3600*I3600/100,2)</x:f>
        <x:v>3.52</x:v>
      </x:c>
      <x:c r="K3600" t="n">
        <x:v>21.3</x:v>
      </x:c>
      <x:c r="L3600" t="n">
        <x:f>ROUND(F3600*K3600/100,2)</x:f>
        <x:v>17.04</x:v>
      </x:c>
      <x:c r="M3600" t="n">
        <x:v>1.9</x:v>
      </x:c>
      <x:c r="N3600" t="n">
        <x:f>ROUND(F3600*M3600/100,2)</x:f>
        <x:v>1.52</x:v>
      </x:c>
      <x:c r="O3600" t="str">
        <x:v>熟重</x:v>
      </x:c>
    </x:row>
    <x:row r="3601" ht="23" customHeight="1">
      <x:c r="A3601" t="n">
        <x:v>600</x:v>
      </x:c>
      <x:c r="B3601" t="n">
        <x:v>300</x:v>
      </x:c>
      <x:c r="C3601" t="str">
        <x:v>晚餐</x:v>
      </x:c>
      <x:c r="D3601" t="str">
        <x:v>油脂</x:v>
      </x:c>
      <x:c r="E3601" t="str">
        <x:v>烹调油</x:v>
      </x:c>
      <x:c r="F3601" t="n">
        <x:v>5</x:v>
      </x:c>
      <x:c r="G3601" t="n">
        <x:v>900</x:v>
      </x:c>
      <x:c r="H3601" t="n">
        <x:f>ROUND(F3601*G3601/100,2)</x:f>
        <x:v>45</x:v>
      </x:c>
      <x:c r="I3601" t="n">
        <x:v>0</x:v>
      </x:c>
      <x:c r="J3601" t="n">
        <x:f>ROUND(F3601*I3601/100,2)</x:f>
        <x:v>0</x:v>
      </x:c>
      <x:c r="K3601" t="n">
        <x:v>0</x:v>
      </x:c>
      <x:c r="L3601" t="n">
        <x:f>ROUND(F3601*K3601/100,2)</x:f>
        <x:v>0</x:v>
      </x:c>
      <x:c r="M3601" t="n">
        <x:v>100</x:v>
      </x:c>
      <x:c r="N3601" t="n">
        <x:f>ROUND(F3601*M3601/100,2)</x:f>
        <x:v>5</x:v>
      </x:c>
      <x:c r="O3601" t="str">
        <x:v>实际用油重</x:v>
      </x:c>
    </x:row>
    <x:row r="3602" ht="23" customHeight="1">
      <x:c r="A3602" t="n">
        <x:v>601</x:v>
      </x:c>
      <x:c r="B3602" t="n">
        <x:v>301</x:v>
      </x:c>
      <x:c r="C3602" t="str">
        <x:v>午餐</x:v>
      </x:c>
      <x:c r="D3602" t="str">
        <x:v>猪肉</x:v>
      </x:c>
      <x:c r="E3602" t="str">
        <x:v>猪里脊</x:v>
      </x:c>
      <x:c r="F3602" t="n">
        <x:v>185</x:v>
      </x:c>
      <x:c r="G3602" t="n">
        <x:v>120</x:v>
      </x:c>
      <x:c r="H3602" t="n">
        <x:f>ROUND(F3602*G3602/100,2)</x:f>
        <x:v>222</x:v>
      </x:c>
      <x:c r="I3602" t="n">
        <x:v>21</x:v>
      </x:c>
      <x:c r="J3602" t="n">
        <x:f>ROUND(F3602*I3602/100,2)</x:f>
        <x:v>38.85</x:v>
      </x:c>
      <x:c r="K3602" t="n">
        <x:v>0</x:v>
      </x:c>
      <x:c r="L3602" t="n">
        <x:f>ROUND(F3602*K3602/100,2)</x:f>
        <x:v>0</x:v>
      </x:c>
      <x:c r="M3602" t="n">
        <x:v>3.5</x:v>
      </x:c>
      <x:c r="N3602" t="n">
        <x:f>ROUND(F3602*M3602/100,2)</x:f>
        <x:v>6.48</x:v>
      </x:c>
      <x:c r="O3602" t="str">
        <x:v>生重</x:v>
      </x:c>
    </x:row>
    <x:row r="3603" ht="23" customHeight="1">
      <x:c r="A3603" t="n">
        <x:v>601</x:v>
      </x:c>
      <x:c r="B3603" t="n">
        <x:v>301</x:v>
      </x:c>
      <x:c r="C3603" t="str">
        <x:v>午餐</x:v>
      </x:c>
      <x:c r="D3603" t="str"/>
      <x:c r="E3603" t="str"/>
      <x:c r="F3603" t="n">
        <x:v>0</x:v>
      </x:c>
      <x:c r="G3603" t="n">
        <x:v>0</x:v>
      </x:c>
      <x:c r="H3603" t="n">
        <x:f>ROUND(F3603*G3603/100,2)</x:f>
        <x:v>0</x:v>
      </x:c>
      <x:c r="I3603" t="n">
        <x:v>0</x:v>
      </x:c>
      <x:c r="J3603" t="n">
        <x:f>ROUND(F3603*I3603/100,2)</x:f>
        <x:v>0</x:v>
      </x:c>
      <x:c r="K3603" t="n">
        <x:v>0</x:v>
      </x:c>
      <x:c r="L3603" t="n">
        <x:f>ROUND(F3603*K3603/100,2)</x:f>
        <x:v>0</x:v>
      </x:c>
      <x:c r="M3603" t="n">
        <x:v>0</x:v>
      </x:c>
      <x:c r="N3603" t="n">
        <x:f>ROUND(F3603*M3603/100,2)</x:f>
        <x:v>0</x:v>
      </x:c>
      <x:c r="O3603" t="str"/>
    </x:row>
    <x:row r="3604" ht="23" customHeight="1">
      <x:c r="A3604" t="n">
        <x:v>601</x:v>
      </x:c>
      <x:c r="B3604" t="n">
        <x:v>301</x:v>
      </x:c>
      <x:c r="C3604" t="str">
        <x:v>午餐</x:v>
      </x:c>
      <x:c r="D3604" t="str">
        <x:v>蔬菜</x:v>
      </x:c>
      <x:c r="E3604" t="str">
        <x:v>生菜</x:v>
      </x:c>
      <x:c r="F3604" t="n">
        <x:v>160</x:v>
      </x:c>
      <x:c r="G3604" t="n">
        <x:v>16</x:v>
      </x:c>
      <x:c r="H3604" t="n">
        <x:f>ROUND(F3604*G3604/100,2)</x:f>
        <x:v>25.6</x:v>
      </x:c>
      <x:c r="I3604" t="n">
        <x:v>1.4</x:v>
      </x:c>
      <x:c r="J3604" t="n">
        <x:f>ROUND(F3604*I3604/100,2)</x:f>
        <x:v>2.24</x:v>
      </x:c>
      <x:c r="K3604" t="n">
        <x:v>2.9</x:v>
      </x:c>
      <x:c r="L3604" t="n">
        <x:f>ROUND(F3604*K3604/100,2)</x:f>
        <x:v>4.64</x:v>
      </x:c>
      <x:c r="M3604" t="n">
        <x:v>0.1</x:v>
      </x:c>
      <x:c r="N3604" t="n">
        <x:f>ROUND(F3604*M3604/100,2)</x:f>
        <x:v>0.16</x:v>
      </x:c>
      <x:c r="O3604" t="str">
        <x:v>生重</x:v>
      </x:c>
    </x:row>
    <x:row r="3605" ht="23" customHeight="1">
      <x:c r="A3605" t="n">
        <x:v>601</x:v>
      </x:c>
      <x:c r="B3605" t="n">
        <x:v>301</x:v>
      </x:c>
      <x:c r="C3605" t="str">
        <x:v>午餐</x:v>
      </x:c>
      <x:c r="D3605" t="str">
        <x:v>蔬菜</x:v>
      </x:c>
      <x:c r="E3605" t="str">
        <x:v>小白菜</x:v>
      </x:c>
      <x:c r="F3605" t="n">
        <x:v>125</x:v>
      </x:c>
      <x:c r="G3605" t="n">
        <x:v>17</x:v>
      </x:c>
      <x:c r="H3605" t="n">
        <x:f>ROUND(F3605*G3605/100,2)</x:f>
        <x:v>21.25</x:v>
      </x:c>
      <x:c r="I3605" t="n">
        <x:v>1.6</x:v>
      </x:c>
      <x:c r="J3605" t="n">
        <x:f>ROUND(F3605*I3605/100,2)</x:f>
        <x:v>2</x:v>
      </x:c>
      <x:c r="K3605" t="n">
        <x:v>2.8</x:v>
      </x:c>
      <x:c r="L3605" t="n">
        <x:f>ROUND(F3605*K3605/100,2)</x:f>
        <x:v>3.5</x:v>
      </x:c>
      <x:c r="M3605" t="n">
        <x:v>0.2</x:v>
      </x:c>
      <x:c r="N3605" t="n">
        <x:f>ROUND(F3605*M3605/100,2)</x:f>
        <x:v>0.25</x:v>
      </x:c>
      <x:c r="O3605" t="str">
        <x:v>生重</x:v>
      </x:c>
    </x:row>
    <x:row r="3606" ht="23" customHeight="1">
      <x:c r="A3606" t="n">
        <x:v>601</x:v>
      </x:c>
      <x:c r="B3606" t="n">
        <x:v>301</x:v>
      </x:c>
      <x:c r="C3606" t="str">
        <x:v>午餐</x:v>
      </x:c>
      <x:c r="D3606" t="str">
        <x:v>主食</x:v>
      </x:c>
      <x:c r="E3606" t="str">
        <x:v>红薯</x:v>
      </x:c>
      <x:c r="F3606" t="n">
        <x:v>125</x:v>
      </x:c>
      <x:c r="G3606" t="n">
        <x:v>88</x:v>
      </x:c>
      <x:c r="H3606" t="n">
        <x:f>ROUND(F3606*G3606/100,2)</x:f>
        <x:v>110</x:v>
      </x:c>
      <x:c r="I3606" t="n">
        <x:v>1.6</x:v>
      </x:c>
      <x:c r="J3606" t="n">
        <x:f>ROUND(F3606*I3606/100,2)</x:f>
        <x:v>2</x:v>
      </x:c>
      <x:c r="K3606" t="n">
        <x:v>20.5</x:v>
      </x:c>
      <x:c r="L3606" t="n">
        <x:f>ROUND(F3606*K3606/100,2)</x:f>
        <x:v>25.63</x:v>
      </x:c>
      <x:c r="M3606" t="n">
        <x:v>0.1</x:v>
      </x:c>
      <x:c r="N3606" t="n">
        <x:f>ROUND(F3606*M3606/100,2)</x:f>
        <x:v>0.13</x:v>
      </x:c>
      <x:c r="O3606" t="str">
        <x:v>蒸熟净重</x:v>
      </x:c>
    </x:row>
    <x:row r="3607" ht="23" customHeight="1">
      <x:c r="A3607" t="n">
        <x:v>601</x:v>
      </x:c>
      <x:c r="B3607" t="n">
        <x:v>301</x:v>
      </x:c>
      <x:c r="C3607" t="str">
        <x:v>午餐</x:v>
      </x:c>
      <x:c r="D3607" t="str">
        <x:v>油脂</x:v>
      </x:c>
      <x:c r="E3607" t="str">
        <x:v>烹调油</x:v>
      </x:c>
      <x:c r="F3607" t="n">
        <x:v>4</x:v>
      </x:c>
      <x:c r="G3607" t="n">
        <x:v>900</x:v>
      </x:c>
      <x:c r="H3607" t="n">
        <x:f>ROUND(F3607*G3607/100,2)</x:f>
        <x:v>36</x:v>
      </x:c>
      <x:c r="I3607" t="n">
        <x:v>0</x:v>
      </x:c>
      <x:c r="J3607" t="n">
        <x:f>ROUND(F3607*I3607/100,2)</x:f>
        <x:v>0</x:v>
      </x:c>
      <x:c r="K3607" t="n">
        <x:v>0</x:v>
      </x:c>
      <x:c r="L3607" t="n">
        <x:f>ROUND(F3607*K3607/100,2)</x:f>
        <x:v>0</x:v>
      </x:c>
      <x:c r="M3607" t="n">
        <x:v>100</x:v>
      </x:c>
      <x:c r="N3607" t="n">
        <x:f>ROUND(F3607*M3607/100,2)</x:f>
        <x:v>4</x:v>
      </x:c>
      <x:c r="O3607" t="str">
        <x:v>实际用油重</x:v>
      </x:c>
    </x:row>
    <x:row r="3608" ht="23" customHeight="1">
      <x:c r="A3608" t="n">
        <x:v>602</x:v>
      </x:c>
      <x:c r="B3608" t="n">
        <x:v>301</x:v>
      </x:c>
      <x:c r="C3608" t="str">
        <x:v>晚餐</x:v>
      </x:c>
      <x:c r="D3608" t="str">
        <x:v>鱼类</x:v>
      </x:c>
      <x:c r="E3608" t="str">
        <x:v>鲈鱼</x:v>
      </x:c>
      <x:c r="F3608" t="n">
        <x:v>185</x:v>
      </x:c>
      <x:c r="G3608" t="n">
        <x:v>105</x:v>
      </x:c>
      <x:c r="H3608" t="n">
        <x:f>ROUND(F3608*G3608/100,2)</x:f>
        <x:v>194.25</x:v>
      </x:c>
      <x:c r="I3608" t="n">
        <x:v>19</x:v>
      </x:c>
      <x:c r="J3608" t="n">
        <x:f>ROUND(F3608*I3608/100,2)</x:f>
        <x:v>35.15</x:v>
      </x:c>
      <x:c r="K3608" t="n">
        <x:v>0</x:v>
      </x:c>
      <x:c r="L3608" t="n">
        <x:f>ROUND(F3608*K3608/100,2)</x:f>
        <x:v>0</x:v>
      </x:c>
      <x:c r="M3608" t="n">
        <x:v>3</x:v>
      </x:c>
      <x:c r="N3608" t="n">
        <x:f>ROUND(F3608*M3608/100,2)</x:f>
        <x:v>5.55</x:v>
      </x:c>
      <x:c r="O3608" t="str">
        <x:v>净鱼肉生重</x:v>
      </x:c>
    </x:row>
    <x:row r="3609" ht="23" customHeight="1">
      <x:c r="A3609" t="n">
        <x:v>602</x:v>
      </x:c>
      <x:c r="B3609" t="n">
        <x:v>301</x:v>
      </x:c>
      <x:c r="C3609" t="str">
        <x:v>晚餐</x:v>
      </x:c>
      <x:c r="D3609" t="str">
        <x:v>豆蛋</x:v>
      </x:c>
      <x:c r="E3609" t="str">
        <x:v>北豆腐</x:v>
      </x:c>
      <x:c r="F3609" t="n">
        <x:v>110</x:v>
      </x:c>
      <x:c r="G3609" t="n">
        <x:v>90</x:v>
      </x:c>
      <x:c r="H3609" t="n">
        <x:f>ROUND(F3609*G3609/100,2)</x:f>
        <x:v>99</x:v>
      </x:c>
      <x:c r="I3609" t="n">
        <x:v>10</x:v>
      </x:c>
      <x:c r="J3609" t="n">
        <x:f>ROUND(F3609*I3609/100,2)</x:f>
        <x:v>11</x:v>
      </x:c>
      <x:c r="K3609" t="n">
        <x:v>2</x:v>
      </x:c>
      <x:c r="L3609" t="n">
        <x:f>ROUND(F3609*K3609/100,2)</x:f>
        <x:v>2.2</x:v>
      </x:c>
      <x:c r="M3609" t="n">
        <x:v>5</x:v>
      </x:c>
      <x:c r="N3609" t="n">
        <x:f>ROUND(F3609*M3609/100,2)</x:f>
        <x:v>5.5</x:v>
      </x:c>
      <x:c r="O3609" t="str">
        <x:v>净重</x:v>
      </x:c>
    </x:row>
    <x:row r="3610" ht="23" customHeight="1">
      <x:c r="A3610" t="n">
        <x:v>602</x:v>
      </x:c>
      <x:c r="B3610" t="n">
        <x:v>301</x:v>
      </x:c>
      <x:c r="C3610" t="str">
        <x:v>晚餐</x:v>
      </x:c>
      <x:c r="D3610" t="str">
        <x:v>蔬菜</x:v>
      </x:c>
      <x:c r="E3610" t="str">
        <x:v>秋葵</x:v>
      </x:c>
      <x:c r="F3610" t="n">
        <x:v>140</x:v>
      </x:c>
      <x:c r="G3610" t="n">
        <x:v>33</x:v>
      </x:c>
      <x:c r="H3610" t="n">
        <x:f>ROUND(F3610*G3610/100,2)</x:f>
        <x:v>46.2</x:v>
      </x:c>
      <x:c r="I3610" t="n">
        <x:v>1.9</x:v>
      </x:c>
      <x:c r="J3610" t="n">
        <x:f>ROUND(F3610*I3610/100,2)</x:f>
        <x:v>2.66</x:v>
      </x:c>
      <x:c r="K3610" t="n">
        <x:v>7.5</x:v>
      </x:c>
      <x:c r="L3610" t="n">
        <x:f>ROUND(F3610*K3610/100,2)</x:f>
        <x:v>10.5</x:v>
      </x:c>
      <x:c r="M3610" t="n">
        <x:v>0.2</x:v>
      </x:c>
      <x:c r="N3610" t="n">
        <x:f>ROUND(F3610*M3610/100,2)</x:f>
        <x:v>0.28</x:v>
      </x:c>
      <x:c r="O3610" t="str">
        <x:v>生重</x:v>
      </x:c>
    </x:row>
    <x:row r="3611" ht="23" customHeight="1">
      <x:c r="A3611" t="n">
        <x:v>602</x:v>
      </x:c>
      <x:c r="B3611" t="n">
        <x:v>301</x:v>
      </x:c>
      <x:c r="C3611" t="str">
        <x:v>晚餐</x:v>
      </x:c>
      <x:c r="D3611" t="str">
        <x:v>菌菇</x:v>
      </x:c>
      <x:c r="E3611" t="str">
        <x:v>杏鲍菇</x:v>
      </x:c>
      <x:c r="F3611" t="n">
        <x:v>140</x:v>
      </x:c>
      <x:c r="G3611" t="n">
        <x:v>35</x:v>
      </x:c>
      <x:c r="H3611" t="n">
        <x:f>ROUND(F3611*G3611/100,2)</x:f>
        <x:v>49</x:v>
      </x:c>
      <x:c r="I3611" t="n">
        <x:v>2</x:v>
      </x:c>
      <x:c r="J3611" t="n">
        <x:f>ROUND(F3611*I3611/100,2)</x:f>
        <x:v>2.8</x:v>
      </x:c>
      <x:c r="K3611" t="n">
        <x:v>7.4</x:v>
      </x:c>
      <x:c r="L3611" t="n">
        <x:f>ROUND(F3611*K3611/100,2)</x:f>
        <x:v>10.36</x:v>
      </x:c>
      <x:c r="M3611" t="n">
        <x:v>0.3</x:v>
      </x:c>
      <x:c r="N3611" t="n">
        <x:f>ROUND(F3611*M3611/100,2)</x:f>
        <x:v>0.42</x:v>
      </x:c>
      <x:c r="O3611" t="str">
        <x:v>生重</x:v>
      </x:c>
    </x:row>
    <x:row r="3612" ht="23" customHeight="1">
      <x:c r="A3612" t="n">
        <x:v>602</x:v>
      </x:c>
      <x:c r="B3612" t="n">
        <x:v>301</x:v>
      </x:c>
      <x:c r="C3612" t="str">
        <x:v>晚餐</x:v>
      </x:c>
      <x:c r="D3612" t="str">
        <x:v>主食</x:v>
      </x:c>
      <x:c r="E3612" t="str">
        <x:v>土豆</x:v>
      </x:c>
      <x:c r="F3612" t="n">
        <x:v>95</x:v>
      </x:c>
      <x:c r="G3612" t="n">
        <x:v>78</x:v>
      </x:c>
      <x:c r="H3612" t="n">
        <x:f>ROUND(F3612*G3612/100,2)</x:f>
        <x:v>74.1</x:v>
      </x:c>
      <x:c r="I3612" t="n">
        <x:v>2</x:v>
      </x:c>
      <x:c r="J3612" t="n">
        <x:f>ROUND(F3612*I3612/100,2)</x:f>
        <x:v>1.9</x:v>
      </x:c>
      <x:c r="K3612" t="n">
        <x:v>17.2</x:v>
      </x:c>
      <x:c r="L3612" t="n">
        <x:f>ROUND(F3612*K3612/100,2)</x:f>
        <x:v>16.34</x:v>
      </x:c>
      <x:c r="M3612" t="n">
        <x:v>0.1</x:v>
      </x:c>
      <x:c r="N3612" t="n">
        <x:f>ROUND(F3612*M3612/100,2)</x:f>
        <x:v>0.1</x:v>
      </x:c>
      <x:c r="O3612" t="str">
        <x:v>蒸熟净重</x:v>
      </x:c>
    </x:row>
    <x:row r="3613" ht="23" customHeight="1">
      <x:c r="A3613" t="n">
        <x:v>602</x:v>
      </x:c>
      <x:c r="B3613" t="n">
        <x:v>301</x:v>
      </x:c>
      <x:c r="C3613" t="str">
        <x:v>晚餐</x:v>
      </x:c>
      <x:c r="D3613" t="str">
        <x:v>油脂</x:v>
      </x:c>
      <x:c r="E3613" t="str">
        <x:v>烹调油</x:v>
      </x:c>
      <x:c r="F3613" t="n">
        <x:v>6</x:v>
      </x:c>
      <x:c r="G3613" t="n">
        <x:v>900</x:v>
      </x:c>
      <x:c r="H3613" t="n">
        <x:f>ROUND(F3613*G3613/100,2)</x:f>
        <x:v>54</x:v>
      </x:c>
      <x:c r="I3613" t="n">
        <x:v>0</x:v>
      </x:c>
      <x:c r="J3613" t="n">
        <x:f>ROUND(F3613*I3613/100,2)</x:f>
        <x:v>0</x:v>
      </x:c>
      <x:c r="K3613" t="n">
        <x:v>0</x:v>
      </x:c>
      <x:c r="L3613" t="n">
        <x:f>ROUND(F3613*K3613/100,2)</x:f>
        <x:v>0</x:v>
      </x:c>
      <x:c r="M3613" t="n">
        <x:v>100</x:v>
      </x:c>
      <x:c r="N3613" t="n">
        <x:f>ROUND(F3613*M3613/100,2)</x:f>
        <x:v>6</x:v>
      </x:c>
      <x:c r="O3613" t="str">
        <x:v>实际用油重</x:v>
      </x:c>
    </x:row>
    <x:row r="3614" ht="23" customHeight="1">
      <x:c r="A3614" t="n">
        <x:v>603</x:v>
      </x:c>
      <x:c r="B3614" t="n">
        <x:v>302</x:v>
      </x:c>
      <x:c r="C3614" t="str">
        <x:v>午餐</x:v>
      </x:c>
      <x:c r="D3614" t="str">
        <x:v>禽肉</x:v>
      </x:c>
      <x:c r="E3614" t="str">
        <x:v>鸡胸肉</x:v>
      </x:c>
      <x:c r="F3614" t="n">
        <x:v>185</x:v>
      </x:c>
      <x:c r="G3614" t="n">
        <x:v>110</x:v>
      </x:c>
      <x:c r="H3614" t="n">
        <x:f>ROUND(F3614*G3614/100,2)</x:f>
        <x:v>203.5</x:v>
      </x:c>
      <x:c r="I3614" t="n">
        <x:v>23</x:v>
      </x:c>
      <x:c r="J3614" t="n">
        <x:f>ROUND(F3614*I3614/100,2)</x:f>
        <x:v>42.55</x:v>
      </x:c>
      <x:c r="K3614" t="n">
        <x:v>0</x:v>
      </x:c>
      <x:c r="L3614" t="n">
        <x:f>ROUND(F3614*K3614/100,2)</x:f>
        <x:v>0</x:v>
      </x:c>
      <x:c r="M3614" t="n">
        <x:v>2</x:v>
      </x:c>
      <x:c r="N3614" t="n">
        <x:f>ROUND(F3614*M3614/100,2)</x:f>
        <x:v>3.7</x:v>
      </x:c>
      <x:c r="O3614" t="str">
        <x:v>生重</x:v>
      </x:c>
    </x:row>
    <x:row r="3615" ht="23" customHeight="1">
      <x:c r="A3615" t="n">
        <x:v>603</x:v>
      </x:c>
      <x:c r="B3615" t="n">
        <x:v>302</x:v>
      </x:c>
      <x:c r="C3615" t="str">
        <x:v>午餐</x:v>
      </x:c>
      <x:c r="D3615" t="str">
        <x:v>豆蛋</x:v>
      </x:c>
      <x:c r="E3615" t="str">
        <x:v>北豆腐</x:v>
      </x:c>
      <x:c r="F3615" t="n">
        <x:v>110</x:v>
      </x:c>
      <x:c r="G3615" t="n">
        <x:v>90</x:v>
      </x:c>
      <x:c r="H3615" t="n">
        <x:f>ROUND(F3615*G3615/100,2)</x:f>
        <x:v>99</x:v>
      </x:c>
      <x:c r="I3615" t="n">
        <x:v>10</x:v>
      </x:c>
      <x:c r="J3615" t="n">
        <x:f>ROUND(F3615*I3615/100,2)</x:f>
        <x:v>11</x:v>
      </x:c>
      <x:c r="K3615" t="n">
        <x:v>2</x:v>
      </x:c>
      <x:c r="L3615" t="n">
        <x:f>ROUND(F3615*K3615/100,2)</x:f>
        <x:v>2.2</x:v>
      </x:c>
      <x:c r="M3615" t="n">
        <x:v>5</x:v>
      </x:c>
      <x:c r="N3615" t="n">
        <x:f>ROUND(F3615*M3615/100,2)</x:f>
        <x:v>5.5</x:v>
      </x:c>
      <x:c r="O3615" t="str">
        <x:v>净重</x:v>
      </x:c>
    </x:row>
    <x:row r="3616" ht="23" customHeight="1">
      <x:c r="A3616" t="n">
        <x:v>603</x:v>
      </x:c>
      <x:c r="B3616" t="n">
        <x:v>302</x:v>
      </x:c>
      <x:c r="C3616" t="str">
        <x:v>午餐</x:v>
      </x:c>
      <x:c r="D3616" t="str">
        <x:v>蔬菜</x:v>
      </x:c>
      <x:c r="E3616" t="str">
        <x:v>小白菜</x:v>
      </x:c>
      <x:c r="F3616" t="n">
        <x:v>140</x:v>
      </x:c>
      <x:c r="G3616" t="n">
        <x:v>17</x:v>
      </x:c>
      <x:c r="H3616" t="n">
        <x:f>ROUND(F3616*G3616/100,2)</x:f>
        <x:v>23.8</x:v>
      </x:c>
      <x:c r="I3616" t="n">
        <x:v>1.6</x:v>
      </x:c>
      <x:c r="J3616" t="n">
        <x:f>ROUND(F3616*I3616/100,2)</x:f>
        <x:v>2.24</x:v>
      </x:c>
      <x:c r="K3616" t="n">
        <x:v>2.8</x:v>
      </x:c>
      <x:c r="L3616" t="n">
        <x:f>ROUND(F3616*K3616/100,2)</x:f>
        <x:v>3.92</x:v>
      </x:c>
      <x:c r="M3616" t="n">
        <x:v>0.2</x:v>
      </x:c>
      <x:c r="N3616" t="n">
        <x:f>ROUND(F3616*M3616/100,2)</x:f>
        <x:v>0.28</x:v>
      </x:c>
      <x:c r="O3616" t="str">
        <x:v>生重</x:v>
      </x:c>
    </x:row>
    <x:row r="3617" ht="23" customHeight="1">
      <x:c r="A3617" t="n">
        <x:v>603</x:v>
      </x:c>
      <x:c r="B3617" t="n">
        <x:v>302</x:v>
      </x:c>
      <x:c r="C3617" t="str">
        <x:v>午餐</x:v>
      </x:c>
      <x:c r="D3617" t="str">
        <x:v>蔬菜</x:v>
      </x:c>
      <x:c r="E3617" t="str">
        <x:v>胡萝卜</x:v>
      </x:c>
      <x:c r="F3617" t="n">
        <x:v>110</x:v>
      </x:c>
      <x:c r="G3617" t="n">
        <x:v>41</x:v>
      </x:c>
      <x:c r="H3617" t="n">
        <x:f>ROUND(F3617*G3617/100,2)</x:f>
        <x:v>45.1</x:v>
      </x:c>
      <x:c r="I3617" t="n">
        <x:v>0.9</x:v>
      </x:c>
      <x:c r="J3617" t="n">
        <x:f>ROUND(F3617*I3617/100,2)</x:f>
        <x:v>0.99</x:v>
      </x:c>
      <x:c r="K3617" t="n">
        <x:v>10</x:v>
      </x:c>
      <x:c r="L3617" t="n">
        <x:f>ROUND(F3617*K3617/100,2)</x:f>
        <x:v>11</x:v>
      </x:c>
      <x:c r="M3617" t="n">
        <x:v>0.2</x:v>
      </x:c>
      <x:c r="N3617" t="n">
        <x:f>ROUND(F3617*M3617/100,2)</x:f>
        <x:v>0.22</x:v>
      </x:c>
      <x:c r="O3617" t="str">
        <x:v>生重</x:v>
      </x:c>
    </x:row>
    <x:row r="3618" ht="23" customHeight="1">
      <x:c r="A3618" t="n">
        <x:v>603</x:v>
      </x:c>
      <x:c r="B3618" t="n">
        <x:v>302</x:v>
      </x:c>
      <x:c r="C3618" t="str">
        <x:v>午餐</x:v>
      </x:c>
      <x:c r="D3618" t="str">
        <x:v>主食</x:v>
      </x:c>
      <x:c r="E3618" t="str">
        <x:v>红薯</x:v>
      </x:c>
      <x:c r="F3618" t="n">
        <x:v>125</x:v>
      </x:c>
      <x:c r="G3618" t="n">
        <x:v>88</x:v>
      </x:c>
      <x:c r="H3618" t="n">
        <x:f>ROUND(F3618*G3618/100,2)</x:f>
        <x:v>110</x:v>
      </x:c>
      <x:c r="I3618" t="n">
        <x:v>1.6</x:v>
      </x:c>
      <x:c r="J3618" t="n">
        <x:f>ROUND(F3618*I3618/100,2)</x:f>
        <x:v>2</x:v>
      </x:c>
      <x:c r="K3618" t="n">
        <x:v>20.5</x:v>
      </x:c>
      <x:c r="L3618" t="n">
        <x:f>ROUND(F3618*K3618/100,2)</x:f>
        <x:v>25.63</x:v>
      </x:c>
      <x:c r="M3618" t="n">
        <x:v>0.1</x:v>
      </x:c>
      <x:c r="N3618" t="n">
        <x:f>ROUND(F3618*M3618/100,2)</x:f>
        <x:v>0.13</x:v>
      </x:c>
      <x:c r="O3618" t="str">
        <x:v>蒸熟净重</x:v>
      </x:c>
    </x:row>
    <x:row r="3619" ht="23" customHeight="1">
      <x:c r="A3619" t="n">
        <x:v>603</x:v>
      </x:c>
      <x:c r="B3619" t="n">
        <x:v>302</x:v>
      </x:c>
      <x:c r="C3619" t="str">
        <x:v>午餐</x:v>
      </x:c>
      <x:c r="D3619" t="str">
        <x:v>油脂</x:v>
      </x:c>
      <x:c r="E3619" t="str">
        <x:v>烹调油</x:v>
      </x:c>
      <x:c r="F3619" t="n">
        <x:v>6</x:v>
      </x:c>
      <x:c r="G3619" t="n">
        <x:v>900</x:v>
      </x:c>
      <x:c r="H3619" t="n">
        <x:f>ROUND(F3619*G3619/100,2)</x:f>
        <x:v>54</x:v>
      </x:c>
      <x:c r="I3619" t="n">
        <x:v>0</x:v>
      </x:c>
      <x:c r="J3619" t="n">
        <x:f>ROUND(F3619*I3619/100,2)</x:f>
        <x:v>0</x:v>
      </x:c>
      <x:c r="K3619" t="n">
        <x:v>0</x:v>
      </x:c>
      <x:c r="L3619" t="n">
        <x:f>ROUND(F3619*K3619/100,2)</x:f>
        <x:v>0</x:v>
      </x:c>
      <x:c r="M3619" t="n">
        <x:v>100</x:v>
      </x:c>
      <x:c r="N3619" t="n">
        <x:f>ROUND(F3619*M3619/100,2)</x:f>
        <x:v>6</x:v>
      </x:c>
      <x:c r="O3619" t="str">
        <x:v>实际用油重</x:v>
      </x:c>
    </x:row>
    <x:row r="3620" ht="23" customHeight="1">
      <x:c r="A3620" t="n">
        <x:v>604</x:v>
      </x:c>
      <x:c r="B3620" t="n">
        <x:v>302</x:v>
      </x:c>
      <x:c r="C3620" t="str">
        <x:v>晚餐</x:v>
      </x:c>
      <x:c r="D3620" t="str">
        <x:v>牛肉</x:v>
      </x:c>
      <x:c r="E3620" t="str">
        <x:v>瘦牛肉</x:v>
      </x:c>
      <x:c r="F3620" t="n">
        <x:v>160</x:v>
      </x:c>
      <x:c r="G3620" t="n">
        <x:v>125</x:v>
      </x:c>
      <x:c r="H3620" t="n">
        <x:f>ROUND(F3620*G3620/100,2)</x:f>
        <x:v>200</x:v>
      </x:c>
      <x:c r="I3620" t="n">
        <x:v>21</x:v>
      </x:c>
      <x:c r="J3620" t="n">
        <x:f>ROUND(F3620*I3620/100,2)</x:f>
        <x:v>33.6</x:v>
      </x:c>
      <x:c r="K3620" t="n">
        <x:v>0</x:v>
      </x:c>
      <x:c r="L3620" t="n">
        <x:f>ROUND(F3620*K3620/100,2)</x:f>
        <x:v>0</x:v>
      </x:c>
      <x:c r="M3620" t="n">
        <x:v>4</x:v>
      </x:c>
      <x:c r="N3620" t="n">
        <x:f>ROUND(F3620*M3620/100,2)</x:f>
        <x:v>6.4</x:v>
      </x:c>
      <x:c r="O3620" t="str">
        <x:v>生重</x:v>
      </x:c>
    </x:row>
    <x:row r="3621" ht="23" customHeight="1">
      <x:c r="A3621" t="n">
        <x:v>604</x:v>
      </x:c>
      <x:c r="B3621" t="n">
        <x:v>302</x:v>
      </x:c>
      <x:c r="C3621" t="str">
        <x:v>晚餐</x:v>
      </x:c>
      <x:c r="D3621" t="str">
        <x:v>豆蛋</x:v>
      </x:c>
      <x:c r="E3621" t="str">
        <x:v>熟毛豆仁</x:v>
      </x:c>
      <x:c r="F3621" t="n">
        <x:v>70</x:v>
      </x:c>
      <x:c r="G3621" t="n">
        <x:v>120</x:v>
      </x:c>
      <x:c r="H3621" t="n">
        <x:f>ROUND(F3621*G3621/100,2)</x:f>
        <x:v>84</x:v>
      </x:c>
      <x:c r="I3621" t="n">
        <x:v>12</x:v>
      </x:c>
      <x:c r="J3621" t="n">
        <x:f>ROUND(F3621*I3621/100,2)</x:f>
        <x:v>8.4</x:v>
      </x:c>
      <x:c r="K3621" t="n">
        <x:v>9</x:v>
      </x:c>
      <x:c r="L3621" t="n">
        <x:f>ROUND(F3621*K3621/100,2)</x:f>
        <x:v>6.3</x:v>
      </x:c>
      <x:c r="M3621" t="n">
        <x:v>5</x:v>
      </x:c>
      <x:c r="N3621" t="n">
        <x:f>ROUND(F3621*M3621/100,2)</x:f>
        <x:v>3.5</x:v>
      </x:c>
      <x:c r="O3621" t="str">
        <x:v>熟重</x:v>
      </x:c>
    </x:row>
    <x:row r="3622" ht="23" customHeight="1">
      <x:c r="A3622" t="n">
        <x:v>604</x:v>
      </x:c>
      <x:c r="B3622" t="n">
        <x:v>302</x:v>
      </x:c>
      <x:c r="C3622" t="str">
        <x:v>晚餐</x:v>
      </x:c>
      <x:c r="D3622" t="str">
        <x:v>蔬菜</x:v>
      </x:c>
      <x:c r="E3622" t="str">
        <x:v>竹笋</x:v>
      </x:c>
      <x:c r="F3622" t="n">
        <x:v>175</x:v>
      </x:c>
      <x:c r="G3622" t="n">
        <x:v>27</x:v>
      </x:c>
      <x:c r="H3622" t="n">
        <x:f>ROUND(F3622*G3622/100,2)</x:f>
        <x:v>47.25</x:v>
      </x:c>
      <x:c r="I3622" t="n">
        <x:v>2.6</x:v>
      </x:c>
      <x:c r="J3622" t="n">
        <x:f>ROUND(F3622*I3622/100,2)</x:f>
        <x:v>4.55</x:v>
      </x:c>
      <x:c r="K3622" t="n">
        <x:v>5.2</x:v>
      </x:c>
      <x:c r="L3622" t="n">
        <x:f>ROUND(F3622*K3622/100,2)</x:f>
        <x:v>9.1</x:v>
      </x:c>
      <x:c r="M3622" t="n">
        <x:v>0.3</x:v>
      </x:c>
      <x:c r="N3622" t="n">
        <x:f>ROUND(F3622*M3622/100,2)</x:f>
        <x:v>0.53</x:v>
      </x:c>
      <x:c r="O3622" t="str">
        <x:v>生重</x:v>
      </x:c>
    </x:row>
    <x:row r="3623" ht="23" customHeight="1">
      <x:c r="A3623" t="n">
        <x:v>604</x:v>
      </x:c>
      <x:c r="B3623" t="n">
        <x:v>302</x:v>
      </x:c>
      <x:c r="C3623" t="str">
        <x:v>晚餐</x:v>
      </x:c>
      <x:c r="D3623" t="str">
        <x:v>蔬菜</x:v>
      </x:c>
      <x:c r="E3623" t="str">
        <x:v>冬瓜</x:v>
      </x:c>
      <x:c r="F3623" t="n">
        <x:v>140</x:v>
      </x:c>
      <x:c r="G3623" t="n">
        <x:v>13</x:v>
      </x:c>
      <x:c r="H3623" t="n">
        <x:f>ROUND(F3623*G3623/100,2)</x:f>
        <x:v>18.2</x:v>
      </x:c>
      <x:c r="I3623" t="n">
        <x:v>0.4</x:v>
      </x:c>
      <x:c r="J3623" t="n">
        <x:f>ROUND(F3623*I3623/100,2)</x:f>
        <x:v>0.56</x:v>
      </x:c>
      <x:c r="K3623" t="n">
        <x:v>3</x:v>
      </x:c>
      <x:c r="L3623" t="n">
        <x:f>ROUND(F3623*K3623/100,2)</x:f>
        <x:v>4.2</x:v>
      </x:c>
      <x:c r="M3623" t="n">
        <x:v>0.2</x:v>
      </x:c>
      <x:c r="N3623" t="n">
        <x:f>ROUND(F3623*M3623/100,2)</x:f>
        <x:v>0.28</x:v>
      </x:c>
      <x:c r="O3623" t="str">
        <x:v>生重</x:v>
      </x:c>
    </x:row>
    <x:row r="3624" ht="23" customHeight="1">
      <x:c r="A3624" t="n">
        <x:v>604</x:v>
      </x:c>
      <x:c r="B3624" t="n">
        <x:v>302</x:v>
      </x:c>
      <x:c r="C3624" t="str">
        <x:v>晚餐</x:v>
      </x:c>
      <x:c r="D3624" t="str">
        <x:v>主食</x:v>
      </x:c>
      <x:c r="E3624" t="str">
        <x:v>荞麦饭</x:v>
      </x:c>
      <x:c r="F3624" t="n">
        <x:v>135</x:v>
      </x:c>
      <x:c r="G3624" t="n">
        <x:v>110</x:v>
      </x:c>
      <x:c r="H3624" t="n">
        <x:f>ROUND(F3624*G3624/100,2)</x:f>
        <x:v>148.5</x:v>
      </x:c>
      <x:c r="I3624" t="n">
        <x:v>3.4</x:v>
      </x:c>
      <x:c r="J3624" t="n">
        <x:f>ROUND(F3624*I3624/100,2)</x:f>
        <x:v>4.59</x:v>
      </x:c>
      <x:c r="K3624" t="n">
        <x:v>22</x:v>
      </x:c>
      <x:c r="L3624" t="n">
        <x:f>ROUND(F3624*K3624/100,2)</x:f>
        <x:v>29.7</x:v>
      </x:c>
      <x:c r="M3624" t="n">
        <x:v>1.1</x:v>
      </x:c>
      <x:c r="N3624" t="n">
        <x:f>ROUND(F3624*M3624/100,2)</x:f>
        <x:v>1.49</x:v>
      </x:c>
      <x:c r="O3624" t="str">
        <x:v>熟重</x:v>
      </x:c>
    </x:row>
    <x:row r="3625" ht="23" customHeight="1">
      <x:c r="A3625" t="n">
        <x:v>604</x:v>
      </x:c>
      <x:c r="B3625" t="n">
        <x:v>302</x:v>
      </x:c>
      <x:c r="C3625" t="str">
        <x:v>晚餐</x:v>
      </x:c>
      <x:c r="D3625" t="str">
        <x:v>油脂</x:v>
      </x:c>
      <x:c r="E3625" t="str">
        <x:v>烹调油</x:v>
      </x:c>
      <x:c r="F3625" t="n">
        <x:v>5</x:v>
      </x:c>
      <x:c r="G3625" t="n">
        <x:v>900</x:v>
      </x:c>
      <x:c r="H3625" t="n">
        <x:f>ROUND(F3625*G3625/100,2)</x:f>
        <x:v>45</x:v>
      </x:c>
      <x:c r="I3625" t="n">
        <x:v>0</x:v>
      </x:c>
      <x:c r="J3625" t="n">
        <x:f>ROUND(F3625*I3625/100,2)</x:f>
        <x:v>0</x:v>
      </x:c>
      <x:c r="K3625" t="n">
        <x:v>0</x:v>
      </x:c>
      <x:c r="L3625" t="n">
        <x:f>ROUND(F3625*K3625/100,2)</x:f>
        <x:v>0</x:v>
      </x:c>
      <x:c r="M3625" t="n">
        <x:v>100</x:v>
      </x:c>
      <x:c r="N3625" t="n">
        <x:f>ROUND(F3625*M3625/100,2)</x:f>
        <x:v>5</x:v>
      </x:c>
      <x:c r="O3625" t="str">
        <x:v>实际用油重</x:v>
      </x:c>
    </x:row>
    <x:row r="3626" ht="23" customHeight="1">
      <x:c r="A3626" t="n">
        <x:v>605</x:v>
      </x:c>
      <x:c r="B3626" t="n">
        <x:v>303</x:v>
      </x:c>
      <x:c r="C3626" t="str">
        <x:v>午餐</x:v>
      </x:c>
      <x:c r="D3626" t="str">
        <x:v>豆蛋</x:v>
      </x:c>
      <x:c r="E3626" t="str">
        <x:v>北豆腐</x:v>
      </x:c>
      <x:c r="F3626" t="n">
        <x:v>260</x:v>
      </x:c>
      <x:c r="G3626" t="n">
        <x:v>90</x:v>
      </x:c>
      <x:c r="H3626" t="n">
        <x:f>ROUND(F3626*G3626/100,2)</x:f>
        <x:v>234</x:v>
      </x:c>
      <x:c r="I3626" t="n">
        <x:v>10</x:v>
      </x:c>
      <x:c r="J3626" t="n">
        <x:f>ROUND(F3626*I3626/100,2)</x:f>
        <x:v>26</x:v>
      </x:c>
      <x:c r="K3626" t="n">
        <x:v>2</x:v>
      </x:c>
      <x:c r="L3626" t="n">
        <x:f>ROUND(F3626*K3626/100,2)</x:f>
        <x:v>5.2</x:v>
      </x:c>
      <x:c r="M3626" t="n">
        <x:v>5</x:v>
      </x:c>
      <x:c r="N3626" t="n">
        <x:f>ROUND(F3626*M3626/100,2)</x:f>
        <x:v>13</x:v>
      </x:c>
      <x:c r="O3626" t="str">
        <x:v>净重</x:v>
      </x:c>
    </x:row>
    <x:row r="3627" ht="23" customHeight="1">
      <x:c r="A3627" t="n">
        <x:v>605</x:v>
      </x:c>
      <x:c r="B3627" t="n">
        <x:v>303</x:v>
      </x:c>
      <x:c r="C3627" t="str">
        <x:v>午餐</x:v>
      </x:c>
      <x:c r="D3627" t="str">
        <x:v>豆蛋</x:v>
      </x:c>
      <x:c r="E3627" t="str">
        <x:v>熟毛豆仁</x:v>
      </x:c>
      <x:c r="F3627" t="n">
        <x:v>50</x:v>
      </x:c>
      <x:c r="G3627" t="n">
        <x:v>120</x:v>
      </x:c>
      <x:c r="H3627" t="n">
        <x:f>ROUND(F3627*G3627/100,2)</x:f>
        <x:v>60</x:v>
      </x:c>
      <x:c r="I3627" t="n">
        <x:v>12</x:v>
      </x:c>
      <x:c r="J3627" t="n">
        <x:f>ROUND(F3627*I3627/100,2)</x:f>
        <x:v>6</x:v>
      </x:c>
      <x:c r="K3627" t="n">
        <x:v>9</x:v>
      </x:c>
      <x:c r="L3627" t="n">
        <x:f>ROUND(F3627*K3627/100,2)</x:f>
        <x:v>4.5</x:v>
      </x:c>
      <x:c r="M3627" t="n">
        <x:v>5</x:v>
      </x:c>
      <x:c r="N3627" t="n">
        <x:f>ROUND(F3627*M3627/100,2)</x:f>
        <x:v>2.5</x:v>
      </x:c>
      <x:c r="O3627" t="str">
        <x:v>熟重</x:v>
      </x:c>
    </x:row>
    <x:row r="3628" ht="23" customHeight="1">
      <x:c r="A3628" t="n">
        <x:v>605</x:v>
      </x:c>
      <x:c r="B3628" t="n">
        <x:v>303</x:v>
      </x:c>
      <x:c r="C3628" t="str">
        <x:v>午餐</x:v>
      </x:c>
      <x:c r="D3628" t="str">
        <x:v>蔬菜</x:v>
      </x:c>
      <x:c r="E3628" t="str">
        <x:v>苦瓜</x:v>
      </x:c>
      <x:c r="F3628" t="n">
        <x:v>190</x:v>
      </x:c>
      <x:c r="G3628" t="n">
        <x:v>19</x:v>
      </x:c>
      <x:c r="H3628" t="n">
        <x:f>ROUND(F3628*G3628/100,2)</x:f>
        <x:v>36.1</x:v>
      </x:c>
      <x:c r="I3628" t="n">
        <x:v>1</x:v>
      </x:c>
      <x:c r="J3628" t="n">
        <x:f>ROUND(F3628*I3628/100,2)</x:f>
        <x:v>1.9</x:v>
      </x:c>
      <x:c r="K3628" t="n">
        <x:v>4.1</x:v>
      </x:c>
      <x:c r="L3628" t="n">
        <x:f>ROUND(F3628*K3628/100,2)</x:f>
        <x:v>7.79</x:v>
      </x:c>
      <x:c r="M3628" t="n">
        <x:v>0.2</x:v>
      </x:c>
      <x:c r="N3628" t="n">
        <x:f>ROUND(F3628*M3628/100,2)</x:f>
        <x:v>0.38</x:v>
      </x:c>
      <x:c r="O3628" t="str">
        <x:v>生重</x:v>
      </x:c>
    </x:row>
    <x:row r="3629" ht="23" customHeight="1">
      <x:c r="A3629" t="n">
        <x:v>605</x:v>
      </x:c>
      <x:c r="B3629" t="n">
        <x:v>303</x:v>
      </x:c>
      <x:c r="C3629" t="str">
        <x:v>午餐</x:v>
      </x:c>
      <x:c r="D3629" t="str">
        <x:v>蔬菜</x:v>
      </x:c>
      <x:c r="E3629" t="str">
        <x:v>丝瓜</x:v>
      </x:c>
      <x:c r="F3629" t="n">
        <x:v>110</x:v>
      </x:c>
      <x:c r="G3629" t="n">
        <x:v>20</x:v>
      </x:c>
      <x:c r="H3629" t="n">
        <x:f>ROUND(F3629*G3629/100,2)</x:f>
        <x:v>22</x:v>
      </x:c>
      <x:c r="I3629" t="n">
        <x:v>1</x:v>
      </x:c>
      <x:c r="J3629" t="n">
        <x:f>ROUND(F3629*I3629/100,2)</x:f>
        <x:v>1.1</x:v>
      </x:c>
      <x:c r="K3629" t="n">
        <x:v>4</x:v>
      </x:c>
      <x:c r="L3629" t="n">
        <x:f>ROUND(F3629*K3629/100,2)</x:f>
        <x:v>4.4</x:v>
      </x:c>
      <x:c r="M3629" t="n">
        <x:v>0.2</x:v>
      </x:c>
      <x:c r="N3629" t="n">
        <x:f>ROUND(F3629*M3629/100,2)</x:f>
        <x:v>0.22</x:v>
      </x:c>
      <x:c r="O3629" t="str">
        <x:v>生重</x:v>
      </x:c>
    </x:row>
    <x:row r="3630" ht="23" customHeight="1">
      <x:c r="A3630" t="n">
        <x:v>605</x:v>
      </x:c>
      <x:c r="B3630" t="n">
        <x:v>303</x:v>
      </x:c>
      <x:c r="C3630" t="str">
        <x:v>午餐</x:v>
      </x:c>
      <x:c r="D3630" t="str">
        <x:v>主食</x:v>
      </x:c>
      <x:c r="E3630" t="str">
        <x:v>玉米</x:v>
      </x:c>
      <x:c r="F3630" t="n">
        <x:v>110</x:v>
      </x:c>
      <x:c r="G3630" t="n">
        <x:v>105</x:v>
      </x:c>
      <x:c r="H3630" t="n">
        <x:f>ROUND(F3630*G3630/100,2)</x:f>
        <x:v>115.5</x:v>
      </x:c>
      <x:c r="I3630" t="n">
        <x:v>3.4</x:v>
      </x:c>
      <x:c r="J3630" t="n">
        <x:f>ROUND(F3630*I3630/100,2)</x:f>
        <x:v>3.74</x:v>
      </x:c>
      <x:c r="K3630" t="n">
        <x:v>22</x:v>
      </x:c>
      <x:c r="L3630" t="n">
        <x:f>ROUND(F3630*K3630/100,2)</x:f>
        <x:v>24.2</x:v>
      </x:c>
      <x:c r="M3630" t="n">
        <x:v>1.5</x:v>
      </x:c>
      <x:c r="N3630" t="n">
        <x:f>ROUND(F3630*M3630/100,2)</x:f>
        <x:v>1.65</x:v>
      </x:c>
      <x:c r="O3630" t="str">
        <x:v>蒸熟净重</x:v>
      </x:c>
    </x:row>
    <x:row r="3631" ht="23" customHeight="1">
      <x:c r="A3631" t="n">
        <x:v>605</x:v>
      </x:c>
      <x:c r="B3631" t="n">
        <x:v>303</x:v>
      </x:c>
      <x:c r="C3631" t="str">
        <x:v>午餐</x:v>
      </x:c>
      <x:c r="D3631" t="str">
        <x:v>油脂</x:v>
      </x:c>
      <x:c r="E3631" t="str">
        <x:v>烹调油</x:v>
      </x:c>
      <x:c r="F3631" t="n">
        <x:v>3</x:v>
      </x:c>
      <x:c r="G3631" t="n">
        <x:v>900</x:v>
      </x:c>
      <x:c r="H3631" t="n">
        <x:f>ROUND(F3631*G3631/100,2)</x:f>
        <x:v>27</x:v>
      </x:c>
      <x:c r="I3631" t="n">
        <x:v>0</x:v>
      </x:c>
      <x:c r="J3631" t="n">
        <x:f>ROUND(F3631*I3631/100,2)</x:f>
        <x:v>0</x:v>
      </x:c>
      <x:c r="K3631" t="n">
        <x:v>0</x:v>
      </x:c>
      <x:c r="L3631" t="n">
        <x:f>ROUND(F3631*K3631/100,2)</x:f>
        <x:v>0</x:v>
      </x:c>
      <x:c r="M3631" t="n">
        <x:v>100</x:v>
      </x:c>
      <x:c r="N3631" t="n">
        <x:f>ROUND(F3631*M3631/100,2)</x:f>
        <x:v>3</x:v>
      </x:c>
      <x:c r="O3631" t="str">
        <x:v>实际用油重</x:v>
      </x:c>
    </x:row>
    <x:row r="3632" ht="23" customHeight="1">
      <x:c r="A3632" t="n">
        <x:v>606</x:v>
      </x:c>
      <x:c r="B3632" t="n">
        <x:v>303</x:v>
      </x:c>
      <x:c r="C3632" t="str">
        <x:v>晚餐</x:v>
      </x:c>
      <x:c r="D3632" t="str">
        <x:v>豆蛋</x:v>
      </x:c>
      <x:c r="E3632" t="str">
        <x:v>鸡蛋</x:v>
      </x:c>
      <x:c r="F3632" t="n">
        <x:v>120</x:v>
      </x:c>
      <x:c r="G3632" t="n">
        <x:v>144</x:v>
      </x:c>
      <x:c r="H3632" t="n">
        <x:f>ROUND(F3632*G3632/100,2)</x:f>
        <x:v>172.8</x:v>
      </x:c>
      <x:c r="I3632" t="n">
        <x:v>13</x:v>
      </x:c>
      <x:c r="J3632" t="n">
        <x:f>ROUND(F3632*I3632/100,2)</x:f>
        <x:v>15.6</x:v>
      </x:c>
      <x:c r="K3632" t="n">
        <x:v>1.1</x:v>
      </x:c>
      <x:c r="L3632" t="n">
        <x:f>ROUND(F3632*K3632/100,2)</x:f>
        <x:v>1.32</x:v>
      </x:c>
      <x:c r="M3632" t="n">
        <x:v>10</x:v>
      </x:c>
      <x:c r="N3632" t="n">
        <x:f>ROUND(F3632*M3632/100,2)</x:f>
        <x:v>12</x:v>
      </x:c>
      <x:c r="O3632" t="str">
        <x:v>去壳可食重</x:v>
      </x:c>
    </x:row>
    <x:row r="3633" ht="23" customHeight="1">
      <x:c r="A3633" t="n">
        <x:v>606</x:v>
      </x:c>
      <x:c r="B3633" t="n">
        <x:v>303</x:v>
      </x:c>
      <x:c r="C3633" t="str">
        <x:v>晚餐</x:v>
      </x:c>
      <x:c r="D3633" t="str">
        <x:v>豆蛋</x:v>
      </x:c>
      <x:c r="E3633" t="str">
        <x:v>北豆腐</x:v>
      </x:c>
      <x:c r="F3633" t="n">
        <x:v>90</x:v>
      </x:c>
      <x:c r="G3633" t="n">
        <x:v>90</x:v>
      </x:c>
      <x:c r="H3633" t="n">
        <x:f>ROUND(F3633*G3633/100,2)</x:f>
        <x:v>81</x:v>
      </x:c>
      <x:c r="I3633" t="n">
        <x:v>10</x:v>
      </x:c>
      <x:c r="J3633" t="n">
        <x:f>ROUND(F3633*I3633/100,2)</x:f>
        <x:v>9</x:v>
      </x:c>
      <x:c r="K3633" t="n">
        <x:v>2</x:v>
      </x:c>
      <x:c r="L3633" t="n">
        <x:f>ROUND(F3633*K3633/100,2)</x:f>
        <x:v>1.8</x:v>
      </x:c>
      <x:c r="M3633" t="n">
        <x:v>5</x:v>
      </x:c>
      <x:c r="N3633" t="n">
        <x:f>ROUND(F3633*M3633/100,2)</x:f>
        <x:v>4.5</x:v>
      </x:c>
      <x:c r="O3633" t="str">
        <x:v>净重</x:v>
      </x:c>
    </x:row>
    <x:row r="3634" ht="23" customHeight="1">
      <x:c r="A3634" t="n">
        <x:v>606</x:v>
      </x:c>
      <x:c r="B3634" t="n">
        <x:v>303</x:v>
      </x:c>
      <x:c r="C3634" t="str">
        <x:v>晚餐</x:v>
      </x:c>
      <x:c r="D3634" t="str">
        <x:v>蔬菜</x:v>
      </x:c>
      <x:c r="E3634" t="str">
        <x:v>茼蒿</x:v>
      </x:c>
      <x:c r="F3634" t="n">
        <x:v>160</x:v>
      </x:c>
      <x:c r="G3634" t="n">
        <x:v>24</x:v>
      </x:c>
      <x:c r="H3634" t="n">
        <x:f>ROUND(F3634*G3634/100,2)</x:f>
        <x:v>38.4</x:v>
      </x:c>
      <x:c r="I3634" t="n">
        <x:v>1.9</x:v>
      </x:c>
      <x:c r="J3634" t="n">
        <x:f>ROUND(F3634*I3634/100,2)</x:f>
        <x:v>3.04</x:v>
      </x:c>
      <x:c r="K3634" t="n">
        <x:v>4.3</x:v>
      </x:c>
      <x:c r="L3634" t="n">
        <x:f>ROUND(F3634*K3634/100,2)</x:f>
        <x:v>6.88</x:v>
      </x:c>
      <x:c r="M3634" t="n">
        <x:v>0.3</x:v>
      </x:c>
      <x:c r="N3634" t="n">
        <x:f>ROUND(F3634*M3634/100,2)</x:f>
        <x:v>0.48</x:v>
      </x:c>
      <x:c r="O3634" t="str">
        <x:v>生重</x:v>
      </x:c>
    </x:row>
    <x:row r="3635" ht="23" customHeight="1">
      <x:c r="A3635" t="n">
        <x:v>606</x:v>
      </x:c>
      <x:c r="B3635" t="n">
        <x:v>303</x:v>
      </x:c>
      <x:c r="C3635" t="str">
        <x:v>晚餐</x:v>
      </x:c>
      <x:c r="D3635" t="str">
        <x:v>菌菇</x:v>
      </x:c>
      <x:c r="E3635" t="str">
        <x:v>口蘑</x:v>
      </x:c>
      <x:c r="F3635" t="n">
        <x:v>155</x:v>
      </x:c>
      <x:c r="G3635" t="n">
        <x:v>22</x:v>
      </x:c>
      <x:c r="H3635" t="n">
        <x:f>ROUND(F3635*G3635/100,2)</x:f>
        <x:v>34.1</x:v>
      </x:c>
      <x:c r="I3635" t="n">
        <x:v>3.1</x:v>
      </x:c>
      <x:c r="J3635" t="n">
        <x:f>ROUND(F3635*I3635/100,2)</x:f>
        <x:v>4.81</x:v>
      </x:c>
      <x:c r="K3635" t="n">
        <x:v>3.3</x:v>
      </x:c>
      <x:c r="L3635" t="n">
        <x:f>ROUND(F3635*K3635/100,2)</x:f>
        <x:v>5.12</x:v>
      </x:c>
      <x:c r="M3635" t="n">
        <x:v>0.3</x:v>
      </x:c>
      <x:c r="N3635" t="n">
        <x:f>ROUND(F3635*M3635/100,2)</x:f>
        <x:v>0.47</x:v>
      </x:c>
      <x:c r="O3635" t="str">
        <x:v>生重</x:v>
      </x:c>
    </x:row>
    <x:row r="3636" ht="23" customHeight="1">
      <x:c r="A3636" t="n">
        <x:v>606</x:v>
      </x:c>
      <x:c r="B3636" t="n">
        <x:v>303</x:v>
      </x:c>
      <x:c r="C3636" t="str">
        <x:v>晚餐</x:v>
      </x:c>
      <x:c r="D3636" t="str">
        <x:v>主食</x:v>
      </x:c>
      <x:c r="E3636" t="str">
        <x:v>土豆</x:v>
      </x:c>
      <x:c r="F3636" t="n">
        <x:v>95</x:v>
      </x:c>
      <x:c r="G3636" t="n">
        <x:v>78</x:v>
      </x:c>
      <x:c r="H3636" t="n">
        <x:f>ROUND(F3636*G3636/100,2)</x:f>
        <x:v>74.1</x:v>
      </x:c>
      <x:c r="I3636" t="n">
        <x:v>2</x:v>
      </x:c>
      <x:c r="J3636" t="n">
        <x:f>ROUND(F3636*I3636/100,2)</x:f>
        <x:v>1.9</x:v>
      </x:c>
      <x:c r="K3636" t="n">
        <x:v>17.2</x:v>
      </x:c>
      <x:c r="L3636" t="n">
        <x:f>ROUND(F3636*K3636/100,2)</x:f>
        <x:v>16.34</x:v>
      </x:c>
      <x:c r="M3636" t="n">
        <x:v>0.1</x:v>
      </x:c>
      <x:c r="N3636" t="n">
        <x:f>ROUND(F3636*M3636/100,2)</x:f>
        <x:v>0.1</x:v>
      </x:c>
      <x:c r="O3636" t="str">
        <x:v>蒸熟净重</x:v>
      </x:c>
    </x:row>
    <x:row r="3637" ht="23" customHeight="1">
      <x:c r="A3637" t="n">
        <x:v>606</x:v>
      </x:c>
      <x:c r="B3637" t="n">
        <x:v>303</x:v>
      </x:c>
      <x:c r="C3637" t="str">
        <x:v>晚餐</x:v>
      </x:c>
      <x:c r="D3637" t="str">
        <x:v>油脂</x:v>
      </x:c>
      <x:c r="E3637" t="str">
        <x:v>烹调油</x:v>
      </x:c>
      <x:c r="F3637" t="n">
        <x:v>4</x:v>
      </x:c>
      <x:c r="G3637" t="n">
        <x:v>900</x:v>
      </x:c>
      <x:c r="H3637" t="n">
        <x:f>ROUND(F3637*G3637/100,2)</x:f>
        <x:v>36</x:v>
      </x:c>
      <x:c r="I3637" t="n">
        <x:v>0</x:v>
      </x:c>
      <x:c r="J3637" t="n">
        <x:f>ROUND(F3637*I3637/100,2)</x:f>
        <x:v>0</x:v>
      </x:c>
      <x:c r="K3637" t="n">
        <x:v>0</x:v>
      </x:c>
      <x:c r="L3637" t="n">
        <x:f>ROUND(F3637*K3637/100,2)</x:f>
        <x:v>0</x:v>
      </x:c>
      <x:c r="M3637" t="n">
        <x:v>100</x:v>
      </x:c>
      <x:c r="N3637" t="n">
        <x:f>ROUND(F3637*M3637/100,2)</x:f>
        <x:v>4</x:v>
      </x:c>
      <x:c r="O3637" t="str">
        <x:v>实际用油重</x:v>
      </x:c>
    </x:row>
    <x:row r="3638" ht="23" customHeight="1">
      <x:c r="A3638" t="n">
        <x:v>607</x:v>
      </x:c>
      <x:c r="B3638" t="n">
        <x:v>304</x:v>
      </x:c>
      <x:c r="C3638" t="str">
        <x:v>午餐</x:v>
      </x:c>
      <x:c r="D3638" t="str">
        <x:v>禽肉</x:v>
      </x:c>
      <x:c r="E3638" t="str">
        <x:v>去皮鸡腿肉</x:v>
      </x:c>
      <x:c r="F3638" t="n">
        <x:v>175</x:v>
      </x:c>
      <x:c r="G3638" t="n">
        <x:v>125</x:v>
      </x:c>
      <x:c r="H3638" t="n">
        <x:f>ROUND(F3638*G3638/100,2)</x:f>
        <x:v>218.75</x:v>
      </x:c>
      <x:c r="I3638" t="n">
        <x:v>20</x:v>
      </x:c>
      <x:c r="J3638" t="n">
        <x:f>ROUND(F3638*I3638/100,2)</x:f>
        <x:v>35</x:v>
      </x:c>
      <x:c r="K3638" t="n">
        <x:v>0</x:v>
      </x:c>
      <x:c r="L3638" t="n">
        <x:f>ROUND(F3638*K3638/100,2)</x:f>
        <x:v>0</x:v>
      </x:c>
      <x:c r="M3638" t="n">
        <x:v>5</x:v>
      </x:c>
      <x:c r="N3638" t="n">
        <x:f>ROUND(F3638*M3638/100,2)</x:f>
        <x:v>8.75</x:v>
      </x:c>
      <x:c r="O3638" t="str">
        <x:v>生重</x:v>
      </x:c>
    </x:row>
    <x:row r="3639" ht="23" customHeight="1">
      <x:c r="A3639" t="n">
        <x:v>607</x:v>
      </x:c>
      <x:c r="B3639" t="n">
        <x:v>304</x:v>
      </x:c>
      <x:c r="C3639" t="str">
        <x:v>午餐</x:v>
      </x:c>
      <x:c r="D3639" t="str"/>
      <x:c r="E3639" t="str"/>
      <x:c r="F3639" t="n">
        <x:v>0</x:v>
      </x:c>
      <x:c r="G3639" t="n">
        <x:v>0</x:v>
      </x:c>
      <x:c r="H3639" t="n">
        <x:f>ROUND(F3639*G3639/100,2)</x:f>
        <x:v>0</x:v>
      </x:c>
      <x:c r="I3639" t="n">
        <x:v>0</x:v>
      </x:c>
      <x:c r="J3639" t="n">
        <x:f>ROUND(F3639*I3639/100,2)</x:f>
        <x:v>0</x:v>
      </x:c>
      <x:c r="K3639" t="n">
        <x:v>0</x:v>
      </x:c>
      <x:c r="L3639" t="n">
        <x:f>ROUND(F3639*K3639/100,2)</x:f>
        <x:v>0</x:v>
      </x:c>
      <x:c r="M3639" t="n">
        <x:v>0</x:v>
      </x:c>
      <x:c r="N3639" t="n">
        <x:f>ROUND(F3639*M3639/100,2)</x:f>
        <x:v>0</x:v>
      </x:c>
      <x:c r="O3639" t="str"/>
    </x:row>
    <x:row r="3640" ht="23" customHeight="1">
      <x:c r="A3640" t="n">
        <x:v>607</x:v>
      </x:c>
      <x:c r="B3640" t="n">
        <x:v>304</x:v>
      </x:c>
      <x:c r="C3640" t="str">
        <x:v>午餐</x:v>
      </x:c>
      <x:c r="D3640" t="str">
        <x:v>蔬菜</x:v>
      </x:c>
      <x:c r="E3640" t="str">
        <x:v>生菜</x:v>
      </x:c>
      <x:c r="F3640" t="n">
        <x:v>160</x:v>
      </x:c>
      <x:c r="G3640" t="n">
        <x:v>16</x:v>
      </x:c>
      <x:c r="H3640" t="n">
        <x:f>ROUND(F3640*G3640/100,2)</x:f>
        <x:v>25.6</x:v>
      </x:c>
      <x:c r="I3640" t="n">
        <x:v>1.4</x:v>
      </x:c>
      <x:c r="J3640" t="n">
        <x:f>ROUND(F3640*I3640/100,2)</x:f>
        <x:v>2.24</x:v>
      </x:c>
      <x:c r="K3640" t="n">
        <x:v>2.9</x:v>
      </x:c>
      <x:c r="L3640" t="n">
        <x:f>ROUND(F3640*K3640/100,2)</x:f>
        <x:v>4.64</x:v>
      </x:c>
      <x:c r="M3640" t="n">
        <x:v>0.1</x:v>
      </x:c>
      <x:c r="N3640" t="n">
        <x:f>ROUND(F3640*M3640/100,2)</x:f>
        <x:v>0.16</x:v>
      </x:c>
      <x:c r="O3640" t="str">
        <x:v>生重</x:v>
      </x:c>
    </x:row>
    <x:row r="3641" ht="23" customHeight="1">
      <x:c r="A3641" t="n">
        <x:v>607</x:v>
      </x:c>
      <x:c r="B3641" t="n">
        <x:v>304</x:v>
      </x:c>
      <x:c r="C3641" t="str">
        <x:v>午餐</x:v>
      </x:c>
      <x:c r="D3641" t="str">
        <x:v>蔬菜</x:v>
      </x:c>
      <x:c r="E3641" t="str">
        <x:v>绿豆芽</x:v>
      </x:c>
      <x:c r="F3641" t="n">
        <x:v>155</x:v>
      </x:c>
      <x:c r="G3641" t="n">
        <x:v>31</x:v>
      </x:c>
      <x:c r="H3641" t="n">
        <x:f>ROUND(F3641*G3641/100,2)</x:f>
        <x:v>48.05</x:v>
      </x:c>
      <x:c r="I3641" t="n">
        <x:v>3</x:v>
      </x:c>
      <x:c r="J3641" t="n">
        <x:f>ROUND(F3641*I3641/100,2)</x:f>
        <x:v>4.65</x:v>
      </x:c>
      <x:c r="K3641" t="n">
        <x:v>6</x:v>
      </x:c>
      <x:c r="L3641" t="n">
        <x:f>ROUND(F3641*K3641/100,2)</x:f>
        <x:v>9.3</x:v>
      </x:c>
      <x:c r="M3641" t="n">
        <x:v>0.2</x:v>
      </x:c>
      <x:c r="N3641" t="n">
        <x:f>ROUND(F3641*M3641/100,2)</x:f>
        <x:v>0.31</x:v>
      </x:c>
      <x:c r="O3641" t="str">
        <x:v>生重</x:v>
      </x:c>
    </x:row>
    <x:row r="3642" ht="23" customHeight="1">
      <x:c r="A3642" t="n">
        <x:v>607</x:v>
      </x:c>
      <x:c r="B3642" t="n">
        <x:v>304</x:v>
      </x:c>
      <x:c r="C3642" t="str">
        <x:v>午餐</x:v>
      </x:c>
      <x:c r="D3642" t="str">
        <x:v>主食</x:v>
      </x:c>
      <x:c r="E3642" t="str">
        <x:v>燕麦饭</x:v>
      </x:c>
      <x:c r="F3642" t="n">
        <x:v>125</x:v>
      </x:c>
      <x:c r="G3642" t="n">
        <x:v>110</x:v>
      </x:c>
      <x:c r="H3642" t="n">
        <x:f>ROUND(F3642*G3642/100,2)</x:f>
        <x:v>137.5</x:v>
      </x:c>
      <x:c r="I3642" t="n">
        <x:v>3.2</x:v>
      </x:c>
      <x:c r="J3642" t="n">
        <x:f>ROUND(F3642*I3642/100,2)</x:f>
        <x:v>4</x:v>
      </x:c>
      <x:c r="K3642" t="n">
        <x:v>21</x:v>
      </x:c>
      <x:c r="L3642" t="n">
        <x:f>ROUND(F3642*K3642/100,2)</x:f>
        <x:v>26.25</x:v>
      </x:c>
      <x:c r="M3642" t="n">
        <x:v>1.8</x:v>
      </x:c>
      <x:c r="N3642" t="n">
        <x:f>ROUND(F3642*M3642/100,2)</x:f>
        <x:v>2.25</x:v>
      </x:c>
      <x:c r="O3642" t="str">
        <x:v>熟重</x:v>
      </x:c>
    </x:row>
    <x:row r="3643" ht="23" customHeight="1">
      <x:c r="A3643" t="n">
        <x:v>607</x:v>
      </x:c>
      <x:c r="B3643" t="n">
        <x:v>304</x:v>
      </x:c>
      <x:c r="C3643" t="str">
        <x:v>午餐</x:v>
      </x:c>
      <x:c r="D3643" t="str">
        <x:v>油脂</x:v>
      </x:c>
      <x:c r="E3643" t="str">
        <x:v>烹调油</x:v>
      </x:c>
      <x:c r="F3643" t="n">
        <x:v>4</x:v>
      </x:c>
      <x:c r="G3643" t="n">
        <x:v>900</x:v>
      </x:c>
      <x:c r="H3643" t="n">
        <x:f>ROUND(F3643*G3643/100,2)</x:f>
        <x:v>36</x:v>
      </x:c>
      <x:c r="I3643" t="n">
        <x:v>0</x:v>
      </x:c>
      <x:c r="J3643" t="n">
        <x:f>ROUND(F3643*I3643/100,2)</x:f>
        <x:v>0</x:v>
      </x:c>
      <x:c r="K3643" t="n">
        <x:v>0</x:v>
      </x:c>
      <x:c r="L3643" t="n">
        <x:f>ROUND(F3643*K3643/100,2)</x:f>
        <x:v>0</x:v>
      </x:c>
      <x:c r="M3643" t="n">
        <x:v>100</x:v>
      </x:c>
      <x:c r="N3643" t="n">
        <x:f>ROUND(F3643*M3643/100,2)</x:f>
        <x:v>4</x:v>
      </x:c>
      <x:c r="O3643" t="str">
        <x:v>实际用油重</x:v>
      </x:c>
    </x:row>
    <x:row r="3644" ht="23" customHeight="1">
      <x:c r="A3644" t="n">
        <x:v>608</x:v>
      </x:c>
      <x:c r="B3644" t="n">
        <x:v>304</x:v>
      </x:c>
      <x:c r="C3644" t="str">
        <x:v>晚餐</x:v>
      </x:c>
      <x:c r="D3644" t="str">
        <x:v>鱼类</x:v>
      </x:c>
      <x:c r="E3644" t="str">
        <x:v>鲈鱼</x:v>
      </x:c>
      <x:c r="F3644" t="n">
        <x:v>215</x:v>
      </x:c>
      <x:c r="G3644" t="n">
        <x:v>105</x:v>
      </x:c>
      <x:c r="H3644" t="n">
        <x:f>ROUND(F3644*G3644/100,2)</x:f>
        <x:v>225.75</x:v>
      </x:c>
      <x:c r="I3644" t="n">
        <x:v>19</x:v>
      </x:c>
      <x:c r="J3644" t="n">
        <x:f>ROUND(F3644*I3644/100,2)</x:f>
        <x:v>40.85</x:v>
      </x:c>
      <x:c r="K3644" t="n">
        <x:v>0</x:v>
      </x:c>
      <x:c r="L3644" t="n">
        <x:f>ROUND(F3644*K3644/100,2)</x:f>
        <x:v>0</x:v>
      </x:c>
      <x:c r="M3644" t="n">
        <x:v>3</x:v>
      </x:c>
      <x:c r="N3644" t="n">
        <x:f>ROUND(F3644*M3644/100,2)</x:f>
        <x:v>6.45</x:v>
      </x:c>
      <x:c r="O3644" t="str">
        <x:v>净鱼肉生重</x:v>
      </x:c>
    </x:row>
    <x:row r="3645" ht="23" customHeight="1">
      <x:c r="A3645" t="n">
        <x:v>608</x:v>
      </x:c>
      <x:c r="B3645" t="n">
        <x:v>304</x:v>
      </x:c>
      <x:c r="C3645" t="str">
        <x:v>晚餐</x:v>
      </x:c>
      <x:c r="D3645" t="str">
        <x:v>豆蛋</x:v>
      </x:c>
      <x:c r="E3645" t="str">
        <x:v>熟毛豆仁</x:v>
      </x:c>
      <x:c r="F3645" t="n">
        <x:v>50</x:v>
      </x:c>
      <x:c r="G3645" t="n">
        <x:v>120</x:v>
      </x:c>
      <x:c r="H3645" t="n">
        <x:f>ROUND(F3645*G3645/100,2)</x:f>
        <x:v>60</x:v>
      </x:c>
      <x:c r="I3645" t="n">
        <x:v>12</x:v>
      </x:c>
      <x:c r="J3645" t="n">
        <x:f>ROUND(F3645*I3645/100,2)</x:f>
        <x:v>6</x:v>
      </x:c>
      <x:c r="K3645" t="n">
        <x:v>9</x:v>
      </x:c>
      <x:c r="L3645" t="n">
        <x:f>ROUND(F3645*K3645/100,2)</x:f>
        <x:v>4.5</x:v>
      </x:c>
      <x:c r="M3645" t="n">
        <x:v>5</x:v>
      </x:c>
      <x:c r="N3645" t="n">
        <x:f>ROUND(F3645*M3645/100,2)</x:f>
        <x:v>2.5</x:v>
      </x:c>
      <x:c r="O3645" t="str">
        <x:v>熟重</x:v>
      </x:c>
    </x:row>
    <x:row r="3646" ht="23" customHeight="1">
      <x:c r="A3646" t="n">
        <x:v>608</x:v>
      </x:c>
      <x:c r="B3646" t="n">
        <x:v>304</x:v>
      </x:c>
      <x:c r="C3646" t="str">
        <x:v>晚餐</x:v>
      </x:c>
      <x:c r="D3646" t="str">
        <x:v>蔬菜</x:v>
      </x:c>
      <x:c r="E3646" t="str">
        <x:v>莴笋</x:v>
      </x:c>
      <x:c r="F3646" t="n">
        <x:v>175</x:v>
      </x:c>
      <x:c r="G3646" t="n">
        <x:v>15</x:v>
      </x:c>
      <x:c r="H3646" t="n">
        <x:f>ROUND(F3646*G3646/100,2)</x:f>
        <x:v>26.25</x:v>
      </x:c>
      <x:c r="I3646" t="n">
        <x:v>1</x:v>
      </x:c>
      <x:c r="J3646" t="n">
        <x:f>ROUND(F3646*I3646/100,2)</x:f>
        <x:v>1.75</x:v>
      </x:c>
      <x:c r="K3646" t="n">
        <x:v>2.8</x:v>
      </x:c>
      <x:c r="L3646" t="n">
        <x:f>ROUND(F3646*K3646/100,2)</x:f>
        <x:v>4.9</x:v>
      </x:c>
      <x:c r="M3646" t="n">
        <x:v>0.1</x:v>
      </x:c>
      <x:c r="N3646" t="n">
        <x:f>ROUND(F3646*M3646/100,2)</x:f>
        <x:v>0.18</x:v>
      </x:c>
      <x:c r="O3646" t="str">
        <x:v>生重</x:v>
      </x:c>
    </x:row>
    <x:row r="3647" ht="23" customHeight="1">
      <x:c r="A3647" t="n">
        <x:v>608</x:v>
      </x:c>
      <x:c r="B3647" t="n">
        <x:v>304</x:v>
      </x:c>
      <x:c r="C3647" t="str">
        <x:v>晚餐</x:v>
      </x:c>
      <x:c r="D3647" t="str">
        <x:v>菌菇</x:v>
      </x:c>
      <x:c r="E3647" t="str">
        <x:v>口蘑</x:v>
      </x:c>
      <x:c r="F3647" t="n">
        <x:v>110</x:v>
      </x:c>
      <x:c r="G3647" t="n">
        <x:v>22</x:v>
      </x:c>
      <x:c r="H3647" t="n">
        <x:f>ROUND(F3647*G3647/100,2)</x:f>
        <x:v>24.2</x:v>
      </x:c>
      <x:c r="I3647" t="n">
        <x:v>3.1</x:v>
      </x:c>
      <x:c r="J3647" t="n">
        <x:f>ROUND(F3647*I3647/100,2)</x:f>
        <x:v>3.41</x:v>
      </x:c>
      <x:c r="K3647" t="n">
        <x:v>3.3</x:v>
      </x:c>
      <x:c r="L3647" t="n">
        <x:f>ROUND(F3647*K3647/100,2)</x:f>
        <x:v>3.63</x:v>
      </x:c>
      <x:c r="M3647" t="n">
        <x:v>0.3</x:v>
      </x:c>
      <x:c r="N3647" t="n">
        <x:f>ROUND(F3647*M3647/100,2)</x:f>
        <x:v>0.33</x:v>
      </x:c>
      <x:c r="O3647" t="str">
        <x:v>生重</x:v>
      </x:c>
    </x:row>
    <x:row r="3648" ht="23" customHeight="1">
      <x:c r="A3648" t="n">
        <x:v>608</x:v>
      </x:c>
      <x:c r="B3648" t="n">
        <x:v>304</x:v>
      </x:c>
      <x:c r="C3648" t="str">
        <x:v>晚餐</x:v>
      </x:c>
      <x:c r="D3648" t="str">
        <x:v>主食</x:v>
      </x:c>
      <x:c r="E3648" t="str">
        <x:v>燕麦饭</x:v>
      </x:c>
      <x:c r="F3648" t="n">
        <x:v>125</x:v>
      </x:c>
      <x:c r="G3648" t="n">
        <x:v>110</x:v>
      </x:c>
      <x:c r="H3648" t="n">
        <x:f>ROUND(F3648*G3648/100,2)</x:f>
        <x:v>137.5</x:v>
      </x:c>
      <x:c r="I3648" t="n">
        <x:v>3.2</x:v>
      </x:c>
      <x:c r="J3648" t="n">
        <x:f>ROUND(F3648*I3648/100,2)</x:f>
        <x:v>4</x:v>
      </x:c>
      <x:c r="K3648" t="n">
        <x:v>21</x:v>
      </x:c>
      <x:c r="L3648" t="n">
        <x:f>ROUND(F3648*K3648/100,2)</x:f>
        <x:v>26.25</x:v>
      </x:c>
      <x:c r="M3648" t="n">
        <x:v>1.8</x:v>
      </x:c>
      <x:c r="N3648" t="n">
        <x:f>ROUND(F3648*M3648/100,2)</x:f>
        <x:v>2.25</x:v>
      </x:c>
      <x:c r="O3648" t="str">
        <x:v>熟重</x:v>
      </x:c>
    </x:row>
    <x:row r="3649" ht="23" customHeight="1">
      <x:c r="A3649" t="n">
        <x:v>608</x:v>
      </x:c>
      <x:c r="B3649" t="n">
        <x:v>304</x:v>
      </x:c>
      <x:c r="C3649" t="str">
        <x:v>晚餐</x:v>
      </x:c>
      <x:c r="D3649" t="str">
        <x:v>油脂</x:v>
      </x:c>
      <x:c r="E3649" t="str">
        <x:v>烹调油</x:v>
      </x:c>
      <x:c r="F3649" t="n">
        <x:v>6</x:v>
      </x:c>
      <x:c r="G3649" t="n">
        <x:v>900</x:v>
      </x:c>
      <x:c r="H3649" t="n">
        <x:f>ROUND(F3649*G3649/100,2)</x:f>
        <x:v>54</x:v>
      </x:c>
      <x:c r="I3649" t="n">
        <x:v>0</x:v>
      </x:c>
      <x:c r="J3649" t="n">
        <x:f>ROUND(F3649*I3649/100,2)</x:f>
        <x:v>0</x:v>
      </x:c>
      <x:c r="K3649" t="n">
        <x:v>0</x:v>
      </x:c>
      <x:c r="L3649" t="n">
        <x:f>ROUND(F3649*K3649/100,2)</x:f>
        <x:v>0</x:v>
      </x:c>
      <x:c r="M3649" t="n">
        <x:v>100</x:v>
      </x:c>
      <x:c r="N3649" t="n">
        <x:f>ROUND(F3649*M3649/100,2)</x:f>
        <x:v>6</x:v>
      </x:c>
      <x:c r="O3649" t="str">
        <x:v>实际用油重</x:v>
      </x:c>
    </x:row>
    <x:row r="3650" ht="23" customHeight="1">
      <x:c r="A3650" t="n">
        <x:v>609</x:v>
      </x:c>
      <x:c r="B3650" t="n">
        <x:v>305</x:v>
      </x:c>
      <x:c r="C3650" t="str">
        <x:v>午餐</x:v>
      </x:c>
      <x:c r="D3650" t="str">
        <x:v>豆蛋</x:v>
      </x:c>
      <x:c r="E3650" t="str">
        <x:v>北豆腐</x:v>
      </x:c>
      <x:c r="F3650" t="n">
        <x:v>280</x:v>
      </x:c>
      <x:c r="G3650" t="n">
        <x:v>90</x:v>
      </x:c>
      <x:c r="H3650" t="n">
        <x:f>ROUND(F3650*G3650/100,2)</x:f>
        <x:v>252</x:v>
      </x:c>
      <x:c r="I3650" t="n">
        <x:v>10</x:v>
      </x:c>
      <x:c r="J3650" t="n">
        <x:f>ROUND(F3650*I3650/100,2)</x:f>
        <x:v>28</x:v>
      </x:c>
      <x:c r="K3650" t="n">
        <x:v>2</x:v>
      </x:c>
      <x:c r="L3650" t="n">
        <x:f>ROUND(F3650*K3650/100,2)</x:f>
        <x:v>5.6</x:v>
      </x:c>
      <x:c r="M3650" t="n">
        <x:v>5</x:v>
      </x:c>
      <x:c r="N3650" t="n">
        <x:f>ROUND(F3650*M3650/100,2)</x:f>
        <x:v>14</x:v>
      </x:c>
      <x:c r="O3650" t="str">
        <x:v>净重</x:v>
      </x:c>
    </x:row>
    <x:row r="3651" ht="23" customHeight="1">
      <x:c r="A3651" t="n">
        <x:v>609</x:v>
      </x:c>
      <x:c r="B3651" t="n">
        <x:v>305</x:v>
      </x:c>
      <x:c r="C3651" t="str">
        <x:v>午餐</x:v>
      </x:c>
      <x:c r="D3651" t="str">
        <x:v>豆蛋</x:v>
      </x:c>
      <x:c r="E3651" t="str">
        <x:v>熟毛豆仁</x:v>
      </x:c>
      <x:c r="F3651" t="n">
        <x:v>50</x:v>
      </x:c>
      <x:c r="G3651" t="n">
        <x:v>120</x:v>
      </x:c>
      <x:c r="H3651" t="n">
        <x:f>ROUND(F3651*G3651/100,2)</x:f>
        <x:v>60</x:v>
      </x:c>
      <x:c r="I3651" t="n">
        <x:v>12</x:v>
      </x:c>
      <x:c r="J3651" t="n">
        <x:f>ROUND(F3651*I3651/100,2)</x:f>
        <x:v>6</x:v>
      </x:c>
      <x:c r="K3651" t="n">
        <x:v>9</x:v>
      </x:c>
      <x:c r="L3651" t="n">
        <x:f>ROUND(F3651*K3651/100,2)</x:f>
        <x:v>4.5</x:v>
      </x:c>
      <x:c r="M3651" t="n">
        <x:v>5</x:v>
      </x:c>
      <x:c r="N3651" t="n">
        <x:f>ROUND(F3651*M3651/100,2)</x:f>
        <x:v>2.5</x:v>
      </x:c>
      <x:c r="O3651" t="str">
        <x:v>熟重</x:v>
      </x:c>
    </x:row>
    <x:row r="3652" ht="23" customHeight="1">
      <x:c r="A3652" t="n">
        <x:v>609</x:v>
      </x:c>
      <x:c r="B3652" t="n">
        <x:v>305</x:v>
      </x:c>
      <x:c r="C3652" t="str">
        <x:v>午餐</x:v>
      </x:c>
      <x:c r="D3652" t="str">
        <x:v>蔬菜</x:v>
      </x:c>
      <x:c r="E3652" t="str">
        <x:v>黄瓜</x:v>
      </x:c>
      <x:c r="F3652" t="n">
        <x:v>175</x:v>
      </x:c>
      <x:c r="G3652" t="n">
        <x:v>16</x:v>
      </x:c>
      <x:c r="H3652" t="n">
        <x:f>ROUND(F3652*G3652/100,2)</x:f>
        <x:v>28</x:v>
      </x:c>
      <x:c r="I3652" t="n">
        <x:v>0.7</x:v>
      </x:c>
      <x:c r="J3652" t="n">
        <x:f>ROUND(F3652*I3652/100,2)</x:f>
        <x:v>1.22</x:v>
      </x:c>
      <x:c r="K3652" t="n">
        <x:v>3.6</x:v>
      </x:c>
      <x:c r="L3652" t="n">
        <x:f>ROUND(F3652*K3652/100,2)</x:f>
        <x:v>6.3</x:v>
      </x:c>
      <x:c r="M3652" t="n">
        <x:v>0.1</x:v>
      </x:c>
      <x:c r="N3652" t="n">
        <x:f>ROUND(F3652*M3652/100,2)</x:f>
        <x:v>0.18</x:v>
      </x:c>
      <x:c r="O3652" t="str">
        <x:v>生重</x:v>
      </x:c>
    </x:row>
    <x:row r="3653" ht="23" customHeight="1">
      <x:c r="A3653" t="n">
        <x:v>609</x:v>
      </x:c>
      <x:c r="B3653" t="n">
        <x:v>305</x:v>
      </x:c>
      <x:c r="C3653" t="str">
        <x:v>午餐</x:v>
      </x:c>
      <x:c r="D3653" t="str">
        <x:v>蔬菜</x:v>
      </x:c>
      <x:c r="E3653" t="str">
        <x:v>西兰花</x:v>
      </x:c>
      <x:c r="F3653" t="n">
        <x:v>140</x:v>
      </x:c>
      <x:c r="G3653" t="n">
        <x:v>34</x:v>
      </x:c>
      <x:c r="H3653" t="n">
        <x:f>ROUND(F3653*G3653/100,2)</x:f>
        <x:v>47.6</x:v>
      </x:c>
      <x:c r="I3653" t="n">
        <x:v>2.8</x:v>
      </x:c>
      <x:c r="J3653" t="n">
        <x:f>ROUND(F3653*I3653/100,2)</x:f>
        <x:v>3.92</x:v>
      </x:c>
      <x:c r="K3653" t="n">
        <x:v>7</x:v>
      </x:c>
      <x:c r="L3653" t="n">
        <x:f>ROUND(F3653*K3653/100,2)</x:f>
        <x:v>9.8</x:v>
      </x:c>
      <x:c r="M3653" t="n">
        <x:v>0.4</x:v>
      </x:c>
      <x:c r="N3653" t="n">
        <x:f>ROUND(F3653*M3653/100,2)</x:f>
        <x:v>0.56</x:v>
      </x:c>
      <x:c r="O3653" t="str">
        <x:v>生重</x:v>
      </x:c>
    </x:row>
    <x:row r="3654" ht="23" customHeight="1">
      <x:c r="A3654" t="n">
        <x:v>609</x:v>
      </x:c>
      <x:c r="B3654" t="n">
        <x:v>305</x:v>
      </x:c>
      <x:c r="C3654" t="str">
        <x:v>午餐</x:v>
      </x:c>
      <x:c r="D3654" t="str">
        <x:v>主食</x:v>
      </x:c>
      <x:c r="E3654" t="str">
        <x:v>燕麦饭</x:v>
      </x:c>
      <x:c r="F3654" t="n">
        <x:v>110</x:v>
      </x:c>
      <x:c r="G3654" t="n">
        <x:v>110</x:v>
      </x:c>
      <x:c r="H3654" t="n">
        <x:f>ROUND(F3654*G3654/100,2)</x:f>
        <x:v>121</x:v>
      </x:c>
      <x:c r="I3654" t="n">
        <x:v>3.2</x:v>
      </x:c>
      <x:c r="J3654" t="n">
        <x:f>ROUND(F3654*I3654/100,2)</x:f>
        <x:v>3.52</x:v>
      </x:c>
      <x:c r="K3654" t="n">
        <x:v>21</x:v>
      </x:c>
      <x:c r="L3654" t="n">
        <x:f>ROUND(F3654*K3654/100,2)</x:f>
        <x:v>23.1</x:v>
      </x:c>
      <x:c r="M3654" t="n">
        <x:v>1.8</x:v>
      </x:c>
      <x:c r="N3654" t="n">
        <x:f>ROUND(F3654*M3654/100,2)</x:f>
        <x:v>1.98</x:v>
      </x:c>
      <x:c r="O3654" t="str">
        <x:v>熟重</x:v>
      </x:c>
    </x:row>
    <x:row r="3655" ht="23" customHeight="1">
      <x:c r="A3655" t="n">
        <x:v>609</x:v>
      </x:c>
      <x:c r="B3655" t="n">
        <x:v>305</x:v>
      </x:c>
      <x:c r="C3655" t="str">
        <x:v>午餐</x:v>
      </x:c>
      <x:c r="D3655" t="str">
        <x:v>油脂</x:v>
      </x:c>
      <x:c r="E3655" t="str">
        <x:v>烹调油</x:v>
      </x:c>
      <x:c r="F3655" t="n">
        <x:v>6</x:v>
      </x:c>
      <x:c r="G3655" t="n">
        <x:v>900</x:v>
      </x:c>
      <x:c r="H3655" t="n">
        <x:f>ROUND(F3655*G3655/100,2)</x:f>
        <x:v>54</x:v>
      </x:c>
      <x:c r="I3655" t="n">
        <x:v>0</x:v>
      </x:c>
      <x:c r="J3655" t="n">
        <x:f>ROUND(F3655*I3655/100,2)</x:f>
        <x:v>0</x:v>
      </x:c>
      <x:c r="K3655" t="n">
        <x:v>0</x:v>
      </x:c>
      <x:c r="L3655" t="n">
        <x:f>ROUND(F3655*K3655/100,2)</x:f>
        <x:v>0</x:v>
      </x:c>
      <x:c r="M3655" t="n">
        <x:v>100</x:v>
      </x:c>
      <x:c r="N3655" t="n">
        <x:f>ROUND(F3655*M3655/100,2)</x:f>
        <x:v>6</x:v>
      </x:c>
      <x:c r="O3655" t="str">
        <x:v>实际用油重</x:v>
      </x:c>
    </x:row>
    <x:row r="3656" ht="23" customHeight="1">
      <x:c r="A3656" t="n">
        <x:v>610</x:v>
      </x:c>
      <x:c r="B3656" t="n">
        <x:v>305</x:v>
      </x:c>
      <x:c r="C3656" t="str">
        <x:v>晚餐</x:v>
      </x:c>
      <x:c r="D3656" t="str">
        <x:v>豆蛋</x:v>
      </x:c>
      <x:c r="E3656" t="str">
        <x:v>嫩豆腐</x:v>
      </x:c>
      <x:c r="F3656" t="n">
        <x:v>240</x:v>
      </x:c>
      <x:c r="G3656" t="n">
        <x:v>55</x:v>
      </x:c>
      <x:c r="H3656" t="n">
        <x:f>ROUND(F3656*G3656/100,2)</x:f>
        <x:v>132</x:v>
      </x:c>
      <x:c r="I3656" t="n">
        <x:v>5</x:v>
      </x:c>
      <x:c r="J3656" t="n">
        <x:f>ROUND(F3656*I3656/100,2)</x:f>
        <x:v>12</x:v>
      </x:c>
      <x:c r="K3656" t="n">
        <x:v>2</x:v>
      </x:c>
      <x:c r="L3656" t="n">
        <x:f>ROUND(F3656*K3656/100,2)</x:f>
        <x:v>4.8</x:v>
      </x:c>
      <x:c r="M3656" t="n">
        <x:v>2.8</x:v>
      </x:c>
      <x:c r="N3656" t="n">
        <x:f>ROUND(F3656*M3656/100,2)</x:f>
        <x:v>6.72</x:v>
      </x:c>
      <x:c r="O3656" t="str">
        <x:v>净重</x:v>
      </x:c>
    </x:row>
    <x:row r="3657" ht="23" customHeight="1">
      <x:c r="A3657" t="n">
        <x:v>610</x:v>
      </x:c>
      <x:c r="B3657" t="n">
        <x:v>305</x:v>
      </x:c>
      <x:c r="C3657" t="str">
        <x:v>晚餐</x:v>
      </x:c>
      <x:c r="D3657" t="str">
        <x:v>豆蛋</x:v>
      </x:c>
      <x:c r="E3657" t="str">
        <x:v>鸡蛋</x:v>
      </x:c>
      <x:c r="F3657" t="n">
        <x:v>60</x:v>
      </x:c>
      <x:c r="G3657" t="n">
        <x:v>144</x:v>
      </x:c>
      <x:c r="H3657" t="n">
        <x:f>ROUND(F3657*G3657/100,2)</x:f>
        <x:v>86.4</x:v>
      </x:c>
      <x:c r="I3657" t="n">
        <x:v>13</x:v>
      </x:c>
      <x:c r="J3657" t="n">
        <x:f>ROUND(F3657*I3657/100,2)</x:f>
        <x:v>7.8</x:v>
      </x:c>
      <x:c r="K3657" t="n">
        <x:v>1.1</x:v>
      </x:c>
      <x:c r="L3657" t="n">
        <x:f>ROUND(F3657*K3657/100,2)</x:f>
        <x:v>0.66</x:v>
      </x:c>
      <x:c r="M3657" t="n">
        <x:v>10</x:v>
      </x:c>
      <x:c r="N3657" t="n">
        <x:f>ROUND(F3657*M3657/100,2)</x:f>
        <x:v>6</x:v>
      </x:c>
      <x:c r="O3657" t="str">
        <x:v>去壳可食重</x:v>
      </x:c>
    </x:row>
    <x:row r="3658" ht="23" customHeight="1">
      <x:c r="A3658" t="n">
        <x:v>610</x:v>
      </x:c>
      <x:c r="B3658" t="n">
        <x:v>305</x:v>
      </x:c>
      <x:c r="C3658" t="str">
        <x:v>晚餐</x:v>
      </x:c>
      <x:c r="D3658" t="str">
        <x:v>蔬菜</x:v>
      </x:c>
      <x:c r="E3658" t="str">
        <x:v>芦笋</x:v>
      </x:c>
      <x:c r="F3658" t="n">
        <x:v>140</x:v>
      </x:c>
      <x:c r="G3658" t="n">
        <x:v>20</x:v>
      </x:c>
      <x:c r="H3658" t="n">
        <x:f>ROUND(F3658*G3658/100,2)</x:f>
        <x:v>28</x:v>
      </x:c>
      <x:c r="I3658" t="n">
        <x:v>2.2</x:v>
      </x:c>
      <x:c r="J3658" t="n">
        <x:f>ROUND(F3658*I3658/100,2)</x:f>
        <x:v>3.08</x:v>
      </x:c>
      <x:c r="K3658" t="n">
        <x:v>3.9</x:v>
      </x:c>
      <x:c r="L3658" t="n">
        <x:f>ROUND(F3658*K3658/100,2)</x:f>
        <x:v>5.46</x:v>
      </x:c>
      <x:c r="M3658" t="n">
        <x:v>0.1</x:v>
      </x:c>
      <x:c r="N3658" t="n">
        <x:f>ROUND(F3658*M3658/100,2)</x:f>
        <x:v>0.14</x:v>
      </x:c>
      <x:c r="O3658" t="str">
        <x:v>生重</x:v>
      </x:c>
    </x:row>
    <x:row r="3659" ht="23" customHeight="1">
      <x:c r="A3659" t="n">
        <x:v>610</x:v>
      </x:c>
      <x:c r="B3659" t="n">
        <x:v>305</x:v>
      </x:c>
      <x:c r="C3659" t="str">
        <x:v>晚餐</x:v>
      </x:c>
      <x:c r="D3659" t="str">
        <x:v>菌菇</x:v>
      </x:c>
      <x:c r="E3659" t="str">
        <x:v>杏鲍菇</x:v>
      </x:c>
      <x:c r="F3659" t="n">
        <x:v>155</x:v>
      </x:c>
      <x:c r="G3659" t="n">
        <x:v>35</x:v>
      </x:c>
      <x:c r="H3659" t="n">
        <x:f>ROUND(F3659*G3659/100,2)</x:f>
        <x:v>54.25</x:v>
      </x:c>
      <x:c r="I3659" t="n">
        <x:v>2</x:v>
      </x:c>
      <x:c r="J3659" t="n">
        <x:f>ROUND(F3659*I3659/100,2)</x:f>
        <x:v>3.1</x:v>
      </x:c>
      <x:c r="K3659" t="n">
        <x:v>7.4</x:v>
      </x:c>
      <x:c r="L3659" t="n">
        <x:f>ROUND(F3659*K3659/100,2)</x:f>
        <x:v>11.47</x:v>
      </x:c>
      <x:c r="M3659" t="n">
        <x:v>0.3</x:v>
      </x:c>
      <x:c r="N3659" t="n">
        <x:f>ROUND(F3659*M3659/100,2)</x:f>
        <x:v>0.47</x:v>
      </x:c>
      <x:c r="O3659" t="str">
        <x:v>生重</x:v>
      </x:c>
    </x:row>
    <x:row r="3660" ht="23" customHeight="1">
      <x:c r="A3660" t="n">
        <x:v>610</x:v>
      </x:c>
      <x:c r="B3660" t="n">
        <x:v>305</x:v>
      </x:c>
      <x:c r="C3660" t="str">
        <x:v>晚餐</x:v>
      </x:c>
      <x:c r="D3660" t="str">
        <x:v>主食</x:v>
      </x:c>
      <x:c r="E3660" t="str">
        <x:v>山药</x:v>
      </x:c>
      <x:c r="F3660" t="n">
        <x:v>80</x:v>
      </x:c>
      <x:c r="G3660" t="n">
        <x:v>62</x:v>
      </x:c>
      <x:c r="H3660" t="n">
        <x:f>ROUND(F3660*G3660/100,2)</x:f>
        <x:v>49.6</x:v>
      </x:c>
      <x:c r="I3660" t="n">
        <x:v>1.5</x:v>
      </x:c>
      <x:c r="J3660" t="n">
        <x:f>ROUND(F3660*I3660/100,2)</x:f>
        <x:v>1.2</x:v>
      </x:c>
      <x:c r="K3660" t="n">
        <x:v>14.1</x:v>
      </x:c>
      <x:c r="L3660" t="n">
        <x:f>ROUND(F3660*K3660/100,2)</x:f>
        <x:v>11.28</x:v>
      </x:c>
      <x:c r="M3660" t="n">
        <x:v>0.1</x:v>
      </x:c>
      <x:c r="N3660" t="n">
        <x:f>ROUND(F3660*M3660/100,2)</x:f>
        <x:v>0.08</x:v>
      </x:c>
      <x:c r="O3660" t="str">
        <x:v>蒸熟净重</x:v>
      </x:c>
    </x:row>
    <x:row r="3661" ht="23" customHeight="1">
      <x:c r="A3661" t="n">
        <x:v>610</x:v>
      </x:c>
      <x:c r="B3661" t="n">
        <x:v>305</x:v>
      </x:c>
      <x:c r="C3661" t="str">
        <x:v>晚餐</x:v>
      </x:c>
      <x:c r="D3661" t="str">
        <x:v>油脂</x:v>
      </x:c>
      <x:c r="E3661" t="str">
        <x:v>烹调油</x:v>
      </x:c>
      <x:c r="F3661" t="n">
        <x:v>5</x:v>
      </x:c>
      <x:c r="G3661" t="n">
        <x:v>900</x:v>
      </x:c>
      <x:c r="H3661" t="n">
        <x:f>ROUND(F3661*G3661/100,2)</x:f>
        <x:v>45</x:v>
      </x:c>
      <x:c r="I3661" t="n">
        <x:v>0</x:v>
      </x:c>
      <x:c r="J3661" t="n">
        <x:f>ROUND(F3661*I3661/100,2)</x:f>
        <x:v>0</x:v>
      </x:c>
      <x:c r="K3661" t="n">
        <x:v>0</x:v>
      </x:c>
      <x:c r="L3661" t="n">
        <x:f>ROUND(F3661*K3661/100,2)</x:f>
        <x:v>0</x:v>
      </x:c>
      <x:c r="M3661" t="n">
        <x:v>100</x:v>
      </x:c>
      <x:c r="N3661" t="n">
        <x:f>ROUND(F3661*M3661/100,2)</x:f>
        <x:v>5</x:v>
      </x:c>
      <x:c r="O3661" t="str">
        <x:v>实际用油重</x:v>
      </x:c>
    </x:row>
    <x:row r="3662" ht="23" customHeight="1">
      <x:c r="A3662" t="n">
        <x:v>611</x:v>
      </x:c>
      <x:c r="B3662" t="n">
        <x:v>306</x:v>
      </x:c>
      <x:c r="C3662" t="str">
        <x:v>午餐</x:v>
      </x:c>
      <x:c r="D3662" t="str">
        <x:v>鱼类</x:v>
      </x:c>
      <x:c r="E3662" t="str">
        <x:v>鲈鱼</x:v>
      </x:c>
      <x:c r="F3662" t="n">
        <x:v>185</x:v>
      </x:c>
      <x:c r="G3662" t="n">
        <x:v>105</x:v>
      </x:c>
      <x:c r="H3662" t="n">
        <x:f>ROUND(F3662*G3662/100,2)</x:f>
        <x:v>194.25</x:v>
      </x:c>
      <x:c r="I3662" t="n">
        <x:v>19</x:v>
      </x:c>
      <x:c r="J3662" t="n">
        <x:f>ROUND(F3662*I3662/100,2)</x:f>
        <x:v>35.15</x:v>
      </x:c>
      <x:c r="K3662" t="n">
        <x:v>0</x:v>
      </x:c>
      <x:c r="L3662" t="n">
        <x:f>ROUND(F3662*K3662/100,2)</x:f>
        <x:v>0</x:v>
      </x:c>
      <x:c r="M3662" t="n">
        <x:v>3</x:v>
      </x:c>
      <x:c r="N3662" t="n">
        <x:f>ROUND(F3662*M3662/100,2)</x:f>
        <x:v>5.55</x:v>
      </x:c>
      <x:c r="O3662" t="str">
        <x:v>净鱼肉生重</x:v>
      </x:c>
    </x:row>
    <x:row r="3663" ht="23" customHeight="1">
      <x:c r="A3663" t="n">
        <x:v>611</x:v>
      </x:c>
      <x:c r="B3663" t="n">
        <x:v>306</x:v>
      </x:c>
      <x:c r="C3663" t="str">
        <x:v>午餐</x:v>
      </x:c>
      <x:c r="D3663" t="str"/>
      <x:c r="E3663" t="str"/>
      <x:c r="F3663" t="n">
        <x:v>0</x:v>
      </x:c>
      <x:c r="G3663" t="n">
        <x:v>0</x:v>
      </x:c>
      <x:c r="H3663" t="n">
        <x:f>ROUND(F3663*G3663/100,2)</x:f>
        <x:v>0</x:v>
      </x:c>
      <x:c r="I3663" t="n">
        <x:v>0</x:v>
      </x:c>
      <x:c r="J3663" t="n">
        <x:f>ROUND(F3663*I3663/100,2)</x:f>
        <x:v>0</x:v>
      </x:c>
      <x:c r="K3663" t="n">
        <x:v>0</x:v>
      </x:c>
      <x:c r="L3663" t="n">
        <x:f>ROUND(F3663*K3663/100,2)</x:f>
        <x:v>0</x:v>
      </x:c>
      <x:c r="M3663" t="n">
        <x:v>0</x:v>
      </x:c>
      <x:c r="N3663" t="n">
        <x:f>ROUND(F3663*M3663/100,2)</x:f>
        <x:v>0</x:v>
      </x:c>
      <x:c r="O3663" t="str"/>
    </x:row>
    <x:row r="3664" ht="23" customHeight="1">
      <x:c r="A3664" t="n">
        <x:v>611</x:v>
      </x:c>
      <x:c r="B3664" t="n">
        <x:v>306</x:v>
      </x:c>
      <x:c r="C3664" t="str">
        <x:v>午餐</x:v>
      </x:c>
      <x:c r="D3664" t="str">
        <x:v>蔬菜</x:v>
      </x:c>
      <x:c r="E3664" t="str">
        <x:v>芦笋</x:v>
      </x:c>
      <x:c r="F3664" t="n">
        <x:v>190</x:v>
      </x:c>
      <x:c r="G3664" t="n">
        <x:v>20</x:v>
      </x:c>
      <x:c r="H3664" t="n">
        <x:f>ROUND(F3664*G3664/100,2)</x:f>
        <x:v>38</x:v>
      </x:c>
      <x:c r="I3664" t="n">
        <x:v>2.2</x:v>
      </x:c>
      <x:c r="J3664" t="n">
        <x:f>ROUND(F3664*I3664/100,2)</x:f>
        <x:v>4.18</x:v>
      </x:c>
      <x:c r="K3664" t="n">
        <x:v>3.9</x:v>
      </x:c>
      <x:c r="L3664" t="n">
        <x:f>ROUND(F3664*K3664/100,2)</x:f>
        <x:v>7.41</x:v>
      </x:c>
      <x:c r="M3664" t="n">
        <x:v>0.1</x:v>
      </x:c>
      <x:c r="N3664" t="n">
        <x:f>ROUND(F3664*M3664/100,2)</x:f>
        <x:v>0.19</x:v>
      </x:c>
      <x:c r="O3664" t="str">
        <x:v>生重</x:v>
      </x:c>
    </x:row>
    <x:row r="3665" ht="23" customHeight="1">
      <x:c r="A3665" t="n">
        <x:v>611</x:v>
      </x:c>
      <x:c r="B3665" t="n">
        <x:v>306</x:v>
      </x:c>
      <x:c r="C3665" t="str">
        <x:v>午餐</x:v>
      </x:c>
      <x:c r="D3665" t="str">
        <x:v>菌菇</x:v>
      </x:c>
      <x:c r="E3665" t="str">
        <x:v>口蘑</x:v>
      </x:c>
      <x:c r="F3665" t="n">
        <x:v>140</x:v>
      </x:c>
      <x:c r="G3665" t="n">
        <x:v>22</x:v>
      </x:c>
      <x:c r="H3665" t="n">
        <x:f>ROUND(F3665*G3665/100,2)</x:f>
        <x:v>30.8</x:v>
      </x:c>
      <x:c r="I3665" t="n">
        <x:v>3.1</x:v>
      </x:c>
      <x:c r="J3665" t="n">
        <x:f>ROUND(F3665*I3665/100,2)</x:f>
        <x:v>4.34</x:v>
      </x:c>
      <x:c r="K3665" t="n">
        <x:v>3.3</x:v>
      </x:c>
      <x:c r="L3665" t="n">
        <x:f>ROUND(F3665*K3665/100,2)</x:f>
        <x:v>4.62</x:v>
      </x:c>
      <x:c r="M3665" t="n">
        <x:v>0.3</x:v>
      </x:c>
      <x:c r="N3665" t="n">
        <x:f>ROUND(F3665*M3665/100,2)</x:f>
        <x:v>0.42</x:v>
      </x:c>
      <x:c r="O3665" t="str">
        <x:v>生重</x:v>
      </x:c>
    </x:row>
    <x:row r="3666" ht="23" customHeight="1">
      <x:c r="A3666" t="n">
        <x:v>611</x:v>
      </x:c>
      <x:c r="B3666" t="n">
        <x:v>306</x:v>
      </x:c>
      <x:c r="C3666" t="str">
        <x:v>午餐</x:v>
      </x:c>
      <x:c r="D3666" t="str">
        <x:v>主食</x:v>
      </x:c>
      <x:c r="E3666" t="str">
        <x:v>乌冬面</x:v>
      </x:c>
      <x:c r="F3666" t="n">
        <x:v>165</x:v>
      </x:c>
      <x:c r="G3666" t="n">
        <x:v>120</x:v>
      </x:c>
      <x:c r="H3666" t="n">
        <x:f>ROUND(F3666*G3666/100,2)</x:f>
        <x:v>198</x:v>
      </x:c>
      <x:c r="I3666" t="n">
        <x:v>2.5</x:v>
      </x:c>
      <x:c r="J3666" t="n">
        <x:f>ROUND(F3666*I3666/100,2)</x:f>
        <x:v>4.13</x:v>
      </x:c>
      <x:c r="K3666" t="n">
        <x:v>25</x:v>
      </x:c>
      <x:c r="L3666" t="n">
        <x:f>ROUND(F3666*K3666/100,2)</x:f>
        <x:v>41.25</x:v>
      </x:c>
      <x:c r="M3666" t="n">
        <x:v>0.6</x:v>
      </x:c>
      <x:c r="N3666" t="n">
        <x:f>ROUND(F3666*M3666/100,2)</x:f>
        <x:v>0.99</x:v>
      </x:c>
      <x:c r="O3666" t="str">
        <x:v>煮熟沥水重</x:v>
      </x:c>
    </x:row>
    <x:row r="3667" ht="23" customHeight="1">
      <x:c r="A3667" t="n">
        <x:v>611</x:v>
      </x:c>
      <x:c r="B3667" t="n">
        <x:v>306</x:v>
      </x:c>
      <x:c r="C3667" t="str">
        <x:v>午餐</x:v>
      </x:c>
      <x:c r="D3667" t="str">
        <x:v>油脂</x:v>
      </x:c>
      <x:c r="E3667" t="str">
        <x:v>烹调油</x:v>
      </x:c>
      <x:c r="F3667" t="n">
        <x:v>4</x:v>
      </x:c>
      <x:c r="G3667" t="n">
        <x:v>900</x:v>
      </x:c>
      <x:c r="H3667" t="n">
        <x:f>ROUND(F3667*G3667/100,2)</x:f>
        <x:v>36</x:v>
      </x:c>
      <x:c r="I3667" t="n">
        <x:v>0</x:v>
      </x:c>
      <x:c r="J3667" t="n">
        <x:f>ROUND(F3667*I3667/100,2)</x:f>
        <x:v>0</x:v>
      </x:c>
      <x:c r="K3667" t="n">
        <x:v>0</x:v>
      </x:c>
      <x:c r="L3667" t="n">
        <x:f>ROUND(F3667*K3667/100,2)</x:f>
        <x:v>0</x:v>
      </x:c>
      <x:c r="M3667" t="n">
        <x:v>100</x:v>
      </x:c>
      <x:c r="N3667" t="n">
        <x:f>ROUND(F3667*M3667/100,2)</x:f>
        <x:v>4</x:v>
      </x:c>
      <x:c r="O3667" t="str">
        <x:v>实际用油重</x:v>
      </x:c>
    </x:row>
    <x:row r="3668" ht="23" customHeight="1">
      <x:c r="A3668" t="n">
        <x:v>612</x:v>
      </x:c>
      <x:c r="B3668" t="n">
        <x:v>306</x:v>
      </x:c>
      <x:c r="C3668" t="str">
        <x:v>晚餐</x:v>
      </x:c>
      <x:c r="D3668" t="str">
        <x:v>海鲜</x:v>
      </x:c>
      <x:c r="E3668" t="str">
        <x:v>扇贝肉</x:v>
      </x:c>
      <x:c r="F3668" t="n">
        <x:v>190</x:v>
      </x:c>
      <x:c r="G3668" t="n">
        <x:v>90</x:v>
      </x:c>
      <x:c r="H3668" t="n">
        <x:f>ROUND(F3668*G3668/100,2)</x:f>
        <x:v>171</x:v>
      </x:c>
      <x:c r="I3668" t="n">
        <x:v>17</x:v>
      </x:c>
      <x:c r="J3668" t="n">
        <x:f>ROUND(F3668*I3668/100,2)</x:f>
        <x:v>32.3</x:v>
      </x:c>
      <x:c r="K3668" t="n">
        <x:v>3</x:v>
      </x:c>
      <x:c r="L3668" t="n">
        <x:f>ROUND(F3668*K3668/100,2)</x:f>
        <x:v>5.7</x:v>
      </x:c>
      <x:c r="M3668" t="n">
        <x:v>0.8</x:v>
      </x:c>
      <x:c r="N3668" t="n">
        <x:f>ROUND(F3668*M3668/100,2)</x:f>
        <x:v>1.52</x:v>
      </x:c>
      <x:c r="O3668" t="str">
        <x:v>生重</x:v>
      </x:c>
    </x:row>
    <x:row r="3669" ht="23" customHeight="1">
      <x:c r="A3669" t="n">
        <x:v>612</x:v>
      </x:c>
      <x:c r="B3669" t="n">
        <x:v>306</x:v>
      </x:c>
      <x:c r="C3669" t="str">
        <x:v>晚餐</x:v>
      </x:c>
      <x:c r="D3669" t="str"/>
      <x:c r="E3669" t="str"/>
      <x:c r="F3669" t="n">
        <x:v>0</x:v>
      </x:c>
      <x:c r="G3669" t="n">
        <x:v>0</x:v>
      </x:c>
      <x:c r="H3669" t="n">
        <x:f>ROUND(F3669*G3669/100,2)</x:f>
        <x:v>0</x:v>
      </x:c>
      <x:c r="I3669" t="n">
        <x:v>0</x:v>
      </x:c>
      <x:c r="J3669" t="n">
        <x:f>ROUND(F3669*I3669/100,2)</x:f>
        <x:v>0</x:v>
      </x:c>
      <x:c r="K3669" t="n">
        <x:v>0</x:v>
      </x:c>
      <x:c r="L3669" t="n">
        <x:f>ROUND(F3669*K3669/100,2)</x:f>
        <x:v>0</x:v>
      </x:c>
      <x:c r="M3669" t="n">
        <x:v>0</x:v>
      </x:c>
      <x:c r="N3669" t="n">
        <x:f>ROUND(F3669*M3669/100,2)</x:f>
        <x:v>0</x:v>
      </x:c>
      <x:c r="O3669" t="str"/>
    </x:row>
    <x:row r="3670" ht="23" customHeight="1">
      <x:c r="A3670" t="n">
        <x:v>612</x:v>
      </x:c>
      <x:c r="B3670" t="n">
        <x:v>306</x:v>
      </x:c>
      <x:c r="C3670" t="str">
        <x:v>晚餐</x:v>
      </x:c>
      <x:c r="D3670" t="str">
        <x:v>蔬菜</x:v>
      </x:c>
      <x:c r="E3670" t="str">
        <x:v>冬瓜</x:v>
      </x:c>
      <x:c r="F3670" t="n">
        <x:v>160</x:v>
      </x:c>
      <x:c r="G3670" t="n">
        <x:v>13</x:v>
      </x:c>
      <x:c r="H3670" t="n">
        <x:f>ROUND(F3670*G3670/100,2)</x:f>
        <x:v>20.8</x:v>
      </x:c>
      <x:c r="I3670" t="n">
        <x:v>0.4</x:v>
      </x:c>
      <x:c r="J3670" t="n">
        <x:f>ROUND(F3670*I3670/100,2)</x:f>
        <x:v>0.64</x:v>
      </x:c>
      <x:c r="K3670" t="n">
        <x:v>3</x:v>
      </x:c>
      <x:c r="L3670" t="n">
        <x:f>ROUND(F3670*K3670/100,2)</x:f>
        <x:v>4.8</x:v>
      </x:c>
      <x:c r="M3670" t="n">
        <x:v>0.2</x:v>
      </x:c>
      <x:c r="N3670" t="n">
        <x:f>ROUND(F3670*M3670/100,2)</x:f>
        <x:v>0.32</x:v>
      </x:c>
      <x:c r="O3670" t="str">
        <x:v>生重</x:v>
      </x:c>
    </x:row>
    <x:row r="3671" ht="23" customHeight="1">
      <x:c r="A3671" t="n">
        <x:v>612</x:v>
      </x:c>
      <x:c r="B3671" t="n">
        <x:v>306</x:v>
      </x:c>
      <x:c r="C3671" t="str">
        <x:v>晚餐</x:v>
      </x:c>
      <x:c r="D3671" t="str">
        <x:v>菌菇</x:v>
      </x:c>
      <x:c r="E3671" t="str">
        <x:v>口蘑</x:v>
      </x:c>
      <x:c r="F3671" t="n">
        <x:v>125</x:v>
      </x:c>
      <x:c r="G3671" t="n">
        <x:v>22</x:v>
      </x:c>
      <x:c r="H3671" t="n">
        <x:f>ROUND(F3671*G3671/100,2)</x:f>
        <x:v>27.5</x:v>
      </x:c>
      <x:c r="I3671" t="n">
        <x:v>3.1</x:v>
      </x:c>
      <x:c r="J3671" t="n">
        <x:f>ROUND(F3671*I3671/100,2)</x:f>
        <x:v>3.88</x:v>
      </x:c>
      <x:c r="K3671" t="n">
        <x:v>3.3</x:v>
      </x:c>
      <x:c r="L3671" t="n">
        <x:f>ROUND(F3671*K3671/100,2)</x:f>
        <x:v>4.13</x:v>
      </x:c>
      <x:c r="M3671" t="n">
        <x:v>0.3</x:v>
      </x:c>
      <x:c r="N3671" t="n">
        <x:f>ROUND(F3671*M3671/100,2)</x:f>
        <x:v>0.38</x:v>
      </x:c>
      <x:c r="O3671" t="str">
        <x:v>生重</x:v>
      </x:c>
    </x:row>
    <x:row r="3672" ht="23" customHeight="1">
      <x:c r="A3672" t="n">
        <x:v>612</x:v>
      </x:c>
      <x:c r="B3672" t="n">
        <x:v>306</x:v>
      </x:c>
      <x:c r="C3672" t="str">
        <x:v>晚餐</x:v>
      </x:c>
      <x:c r="D3672" t="str">
        <x:v>主食</x:v>
      </x:c>
      <x:c r="E3672" t="str">
        <x:v>杂粮饭</x:v>
      </x:c>
      <x:c r="F3672" t="n">
        <x:v>110</x:v>
      </x:c>
      <x:c r="G3672" t="n">
        <x:v>115</x:v>
      </x:c>
      <x:c r="H3672" t="n">
        <x:f>ROUND(F3672*G3672/100,2)</x:f>
        <x:v>126.5</x:v>
      </x:c>
      <x:c r="I3672" t="n">
        <x:v>3.1</x:v>
      </x:c>
      <x:c r="J3672" t="n">
        <x:f>ROUND(F3672*I3672/100,2)</x:f>
        <x:v>3.41</x:v>
      </x:c>
      <x:c r="K3672" t="n">
        <x:v>23.5</x:v>
      </x:c>
      <x:c r="L3672" t="n">
        <x:f>ROUND(F3672*K3672/100,2)</x:f>
        <x:v>25.85</x:v>
      </x:c>
      <x:c r="M3672" t="n">
        <x:v>1.1</x:v>
      </x:c>
      <x:c r="N3672" t="n">
        <x:f>ROUND(F3672*M3672/100,2)</x:f>
        <x:v>1.21</x:v>
      </x:c>
      <x:c r="O3672" t="str">
        <x:v>熟重</x:v>
      </x:c>
    </x:row>
    <x:row r="3673" ht="23" customHeight="1">
      <x:c r="A3673" t="n">
        <x:v>612</x:v>
      </x:c>
      <x:c r="B3673" t="n">
        <x:v>306</x:v>
      </x:c>
      <x:c r="C3673" t="str">
        <x:v>晚餐</x:v>
      </x:c>
      <x:c r="D3673" t="str">
        <x:v>油脂</x:v>
      </x:c>
      <x:c r="E3673" t="str">
        <x:v>烹调油</x:v>
      </x:c>
      <x:c r="F3673" t="n">
        <x:v>6</x:v>
      </x:c>
      <x:c r="G3673" t="n">
        <x:v>900</x:v>
      </x:c>
      <x:c r="H3673" t="n">
        <x:f>ROUND(F3673*G3673/100,2)</x:f>
        <x:v>54</x:v>
      </x:c>
      <x:c r="I3673" t="n">
        <x:v>0</x:v>
      </x:c>
      <x:c r="J3673" t="n">
        <x:f>ROUND(F3673*I3673/100,2)</x:f>
        <x:v>0</x:v>
      </x:c>
      <x:c r="K3673" t="n">
        <x:v>0</x:v>
      </x:c>
      <x:c r="L3673" t="n">
        <x:f>ROUND(F3673*K3673/100,2)</x:f>
        <x:v>0</x:v>
      </x:c>
      <x:c r="M3673" t="n">
        <x:v>100</x:v>
      </x:c>
      <x:c r="N3673" t="n">
        <x:f>ROUND(F3673*M3673/100,2)</x:f>
        <x:v>6</x:v>
      </x:c>
      <x:c r="O3673" t="str">
        <x:v>实际用油重</x:v>
      </x:c>
    </x:row>
    <x:row r="3674" ht="23" customHeight="1">
      <x:c r="A3674" t="n">
        <x:v>613</x:v>
      </x:c>
      <x:c r="B3674" t="n">
        <x:v>307</x:v>
      </x:c>
      <x:c r="C3674" t="str">
        <x:v>午餐</x:v>
      </x:c>
      <x:c r="D3674" t="str">
        <x:v>豆蛋</x:v>
      </x:c>
      <x:c r="E3674" t="str">
        <x:v>北豆腐</x:v>
      </x:c>
      <x:c r="F3674" t="n">
        <x:v>300</x:v>
      </x:c>
      <x:c r="G3674" t="n">
        <x:v>90</x:v>
      </x:c>
      <x:c r="H3674" t="n">
        <x:f>ROUND(F3674*G3674/100,2)</x:f>
        <x:v>270</x:v>
      </x:c>
      <x:c r="I3674" t="n">
        <x:v>10</x:v>
      </x:c>
      <x:c r="J3674" t="n">
        <x:f>ROUND(F3674*I3674/100,2)</x:f>
        <x:v>30</x:v>
      </x:c>
      <x:c r="K3674" t="n">
        <x:v>2</x:v>
      </x:c>
      <x:c r="L3674" t="n">
        <x:f>ROUND(F3674*K3674/100,2)</x:f>
        <x:v>6</x:v>
      </x:c>
      <x:c r="M3674" t="n">
        <x:v>5</x:v>
      </x:c>
      <x:c r="N3674" t="n">
        <x:f>ROUND(F3674*M3674/100,2)</x:f>
        <x:v>15</x:v>
      </x:c>
      <x:c r="O3674" t="str">
        <x:v>净重</x:v>
      </x:c>
    </x:row>
    <x:row r="3675" ht="23" customHeight="1">
      <x:c r="A3675" t="n">
        <x:v>613</x:v>
      </x:c>
      <x:c r="B3675" t="n">
        <x:v>307</x:v>
      </x:c>
      <x:c r="C3675" t="str">
        <x:v>午餐</x:v>
      </x:c>
      <x:c r="D3675" t="str">
        <x:v>豆蛋</x:v>
      </x:c>
      <x:c r="E3675" t="str">
        <x:v>鸡蛋</x:v>
      </x:c>
      <x:c r="F3675" t="n">
        <x:v>50</x:v>
      </x:c>
      <x:c r="G3675" t="n">
        <x:v>144</x:v>
      </x:c>
      <x:c r="H3675" t="n">
        <x:f>ROUND(F3675*G3675/100,2)</x:f>
        <x:v>72</x:v>
      </x:c>
      <x:c r="I3675" t="n">
        <x:v>13</x:v>
      </x:c>
      <x:c r="J3675" t="n">
        <x:f>ROUND(F3675*I3675/100,2)</x:f>
        <x:v>6.5</x:v>
      </x:c>
      <x:c r="K3675" t="n">
        <x:v>1.1</x:v>
      </x:c>
      <x:c r="L3675" t="n">
        <x:f>ROUND(F3675*K3675/100,2)</x:f>
        <x:v>0.55</x:v>
      </x:c>
      <x:c r="M3675" t="n">
        <x:v>10</x:v>
      </x:c>
      <x:c r="N3675" t="n">
        <x:f>ROUND(F3675*M3675/100,2)</x:f>
        <x:v>5</x:v>
      </x:c>
      <x:c r="O3675" t="str">
        <x:v>去壳可食重</x:v>
      </x:c>
    </x:row>
    <x:row r="3676" ht="23" customHeight="1">
      <x:c r="A3676" t="n">
        <x:v>613</x:v>
      </x:c>
      <x:c r="B3676" t="n">
        <x:v>307</x:v>
      </x:c>
      <x:c r="C3676" t="str">
        <x:v>午餐</x:v>
      </x:c>
      <x:c r="D3676" t="str">
        <x:v>蔬菜</x:v>
      </x:c>
      <x:c r="E3676" t="str">
        <x:v>油麦菜</x:v>
      </x:c>
      <x:c r="F3676" t="n">
        <x:v>190</x:v>
      </x:c>
      <x:c r="G3676" t="n">
        <x:v>18</x:v>
      </x:c>
      <x:c r="H3676" t="n">
        <x:f>ROUND(F3676*G3676/100,2)</x:f>
        <x:v>34.2</x:v>
      </x:c>
      <x:c r="I3676" t="n">
        <x:v>1.4</x:v>
      </x:c>
      <x:c r="J3676" t="n">
        <x:f>ROUND(F3676*I3676/100,2)</x:f>
        <x:v>2.66</x:v>
      </x:c>
      <x:c r="K3676" t="n">
        <x:v>3.1</x:v>
      </x:c>
      <x:c r="L3676" t="n">
        <x:f>ROUND(F3676*K3676/100,2)</x:f>
        <x:v>5.89</x:v>
      </x:c>
      <x:c r="M3676" t="n">
        <x:v>0.2</x:v>
      </x:c>
      <x:c r="N3676" t="n">
        <x:f>ROUND(F3676*M3676/100,2)</x:f>
        <x:v>0.38</x:v>
      </x:c>
      <x:c r="O3676" t="str">
        <x:v>生重</x:v>
      </x:c>
    </x:row>
    <x:row r="3677" ht="23" customHeight="1">
      <x:c r="A3677" t="n">
        <x:v>613</x:v>
      </x:c>
      <x:c r="B3677" t="n">
        <x:v>307</x:v>
      </x:c>
      <x:c r="C3677" t="str">
        <x:v>午餐</x:v>
      </x:c>
      <x:c r="D3677" t="str">
        <x:v>蔬菜</x:v>
      </x:c>
      <x:c r="E3677" t="str">
        <x:v>玉米笋</x:v>
      </x:c>
      <x:c r="F3677" t="n">
        <x:v>125</x:v>
      </x:c>
      <x:c r="G3677" t="n">
        <x:v>26</x:v>
      </x:c>
      <x:c r="H3677" t="n">
        <x:f>ROUND(F3677*G3677/100,2)</x:f>
        <x:v>32.5</x:v>
      </x:c>
      <x:c r="I3677" t="n">
        <x:v>2</x:v>
      </x:c>
      <x:c r="J3677" t="n">
        <x:f>ROUND(F3677*I3677/100,2)</x:f>
        <x:v>2.5</x:v>
      </x:c>
      <x:c r="K3677" t="n">
        <x:v>4.9</x:v>
      </x:c>
      <x:c r="L3677" t="n">
        <x:f>ROUND(F3677*K3677/100,2)</x:f>
        <x:v>6.13</x:v>
      </x:c>
      <x:c r="M3677" t="n">
        <x:v>0.1</x:v>
      </x:c>
      <x:c r="N3677" t="n">
        <x:f>ROUND(F3677*M3677/100,2)</x:f>
        <x:v>0.13</x:v>
      </x:c>
      <x:c r="O3677" t="str">
        <x:v>生重</x:v>
      </x:c>
    </x:row>
    <x:row r="3678" ht="23" customHeight="1">
      <x:c r="A3678" t="n">
        <x:v>613</x:v>
      </x:c>
      <x:c r="B3678" t="n">
        <x:v>307</x:v>
      </x:c>
      <x:c r="C3678" t="str">
        <x:v>午餐</x:v>
      </x:c>
      <x:c r="D3678" t="str">
        <x:v>主食</x:v>
      </x:c>
      <x:c r="E3678" t="str">
        <x:v>红薯</x:v>
      </x:c>
      <x:c r="F3678" t="n">
        <x:v>165</x:v>
      </x:c>
      <x:c r="G3678" t="n">
        <x:v>88</x:v>
      </x:c>
      <x:c r="H3678" t="n">
        <x:f>ROUND(F3678*G3678/100,2)</x:f>
        <x:v>145.2</x:v>
      </x:c>
      <x:c r="I3678" t="n">
        <x:v>1.6</x:v>
      </x:c>
      <x:c r="J3678" t="n">
        <x:f>ROUND(F3678*I3678/100,2)</x:f>
        <x:v>2.64</x:v>
      </x:c>
      <x:c r="K3678" t="n">
        <x:v>20.5</x:v>
      </x:c>
      <x:c r="L3678" t="n">
        <x:f>ROUND(F3678*K3678/100,2)</x:f>
        <x:v>33.83</x:v>
      </x:c>
      <x:c r="M3678" t="n">
        <x:v>0.1</x:v>
      </x:c>
      <x:c r="N3678" t="n">
        <x:f>ROUND(F3678*M3678/100,2)</x:f>
        <x:v>0.17</x:v>
      </x:c>
      <x:c r="O3678" t="str">
        <x:v>蒸熟净重</x:v>
      </x:c>
    </x:row>
    <x:row r="3679" ht="23" customHeight="1">
      <x:c r="A3679" t="n">
        <x:v>613</x:v>
      </x:c>
      <x:c r="B3679" t="n">
        <x:v>307</x:v>
      </x:c>
      <x:c r="C3679" t="str">
        <x:v>午餐</x:v>
      </x:c>
      <x:c r="D3679" t="str">
        <x:v>油脂</x:v>
      </x:c>
      <x:c r="E3679" t="str">
        <x:v>烹调油</x:v>
      </x:c>
      <x:c r="F3679" t="n">
        <x:v>6</x:v>
      </x:c>
      <x:c r="G3679" t="n">
        <x:v>900</x:v>
      </x:c>
      <x:c r="H3679" t="n">
        <x:f>ROUND(F3679*G3679/100,2)</x:f>
        <x:v>54</x:v>
      </x:c>
      <x:c r="I3679" t="n">
        <x:v>0</x:v>
      </x:c>
      <x:c r="J3679" t="n">
        <x:f>ROUND(F3679*I3679/100,2)</x:f>
        <x:v>0</x:v>
      </x:c>
      <x:c r="K3679" t="n">
        <x:v>0</x:v>
      </x:c>
      <x:c r="L3679" t="n">
        <x:f>ROUND(F3679*K3679/100,2)</x:f>
        <x:v>0</x:v>
      </x:c>
      <x:c r="M3679" t="n">
        <x:v>100</x:v>
      </x:c>
      <x:c r="N3679" t="n">
        <x:f>ROUND(F3679*M3679/100,2)</x:f>
        <x:v>6</x:v>
      </x:c>
      <x:c r="O3679" t="str">
        <x:v>实际用油重</x:v>
      </x:c>
    </x:row>
    <x:row r="3680" ht="23" customHeight="1">
      <x:c r="A3680" t="n">
        <x:v>614</x:v>
      </x:c>
      <x:c r="B3680" t="n">
        <x:v>307</x:v>
      </x:c>
      <x:c r="C3680" t="str">
        <x:v>晚餐</x:v>
      </x:c>
      <x:c r="D3680" t="str">
        <x:v>海鲜</x:v>
      </x:c>
      <x:c r="E3680" t="str">
        <x:v>鱿鱼</x:v>
      </x:c>
      <x:c r="F3680" t="n">
        <x:v>160</x:v>
      </x:c>
      <x:c r="G3680" t="n">
        <x:v>95</x:v>
      </x:c>
      <x:c r="H3680" t="n">
        <x:f>ROUND(F3680*G3680/100,2)</x:f>
        <x:v>152</x:v>
      </x:c>
      <x:c r="I3680" t="n">
        <x:v>17</x:v>
      </x:c>
      <x:c r="J3680" t="n">
        <x:f>ROUND(F3680*I3680/100,2)</x:f>
        <x:v>27.2</x:v>
      </x:c>
      <x:c r="K3680" t="n">
        <x:v>2</x:v>
      </x:c>
      <x:c r="L3680" t="n">
        <x:f>ROUND(F3680*K3680/100,2)</x:f>
        <x:v>3.2</x:v>
      </x:c>
      <x:c r="M3680" t="n">
        <x:v>1.4</x:v>
      </x:c>
      <x:c r="N3680" t="n">
        <x:f>ROUND(F3680*M3680/100,2)</x:f>
        <x:v>2.24</x:v>
      </x:c>
      <x:c r="O3680" t="str">
        <x:v>生重</x:v>
      </x:c>
    </x:row>
    <x:row r="3681" ht="23" customHeight="1">
      <x:c r="A3681" t="n">
        <x:v>614</x:v>
      </x:c>
      <x:c r="B3681" t="n">
        <x:v>307</x:v>
      </x:c>
      <x:c r="C3681" t="str">
        <x:v>晚餐</x:v>
      </x:c>
      <x:c r="D3681" t="str"/>
      <x:c r="E3681" t="str"/>
      <x:c r="F3681" t="n">
        <x:v>0</x:v>
      </x:c>
      <x:c r="G3681" t="n">
        <x:v>0</x:v>
      </x:c>
      <x:c r="H3681" t="n">
        <x:f>ROUND(F3681*G3681/100,2)</x:f>
        <x:v>0</x:v>
      </x:c>
      <x:c r="I3681" t="n">
        <x:v>0</x:v>
      </x:c>
      <x:c r="J3681" t="n">
        <x:f>ROUND(F3681*I3681/100,2)</x:f>
        <x:v>0</x:v>
      </x:c>
      <x:c r="K3681" t="n">
        <x:v>0</x:v>
      </x:c>
      <x:c r="L3681" t="n">
        <x:f>ROUND(F3681*K3681/100,2)</x:f>
        <x:v>0</x:v>
      </x:c>
      <x:c r="M3681" t="n">
        <x:v>0</x:v>
      </x:c>
      <x:c r="N3681" t="n">
        <x:f>ROUND(F3681*M3681/100,2)</x:f>
        <x:v>0</x:v>
      </x:c>
      <x:c r="O3681" t="str"/>
    </x:row>
    <x:row r="3682" ht="23" customHeight="1">
      <x:c r="A3682" t="n">
        <x:v>614</x:v>
      </x:c>
      <x:c r="B3682" t="n">
        <x:v>307</x:v>
      </x:c>
      <x:c r="C3682" t="str">
        <x:v>晚餐</x:v>
      </x:c>
      <x:c r="D3682" t="str">
        <x:v>蔬菜</x:v>
      </x:c>
      <x:c r="E3682" t="str">
        <x:v>竹笋</x:v>
      </x:c>
      <x:c r="F3682" t="n">
        <x:v>175</x:v>
      </x:c>
      <x:c r="G3682" t="n">
        <x:v>27</x:v>
      </x:c>
      <x:c r="H3682" t="n">
        <x:f>ROUND(F3682*G3682/100,2)</x:f>
        <x:v>47.25</x:v>
      </x:c>
      <x:c r="I3682" t="n">
        <x:v>2.6</x:v>
      </x:c>
      <x:c r="J3682" t="n">
        <x:f>ROUND(F3682*I3682/100,2)</x:f>
        <x:v>4.55</x:v>
      </x:c>
      <x:c r="K3682" t="n">
        <x:v>5.2</x:v>
      </x:c>
      <x:c r="L3682" t="n">
        <x:f>ROUND(F3682*K3682/100,2)</x:f>
        <x:v>9.1</x:v>
      </x:c>
      <x:c r="M3682" t="n">
        <x:v>0.3</x:v>
      </x:c>
      <x:c r="N3682" t="n">
        <x:f>ROUND(F3682*M3682/100,2)</x:f>
        <x:v>0.53</x:v>
      </x:c>
      <x:c r="O3682" t="str">
        <x:v>生重</x:v>
      </x:c>
    </x:row>
    <x:row r="3683" ht="23" customHeight="1">
      <x:c r="A3683" t="n">
        <x:v>614</x:v>
      </x:c>
      <x:c r="B3683" t="n">
        <x:v>307</x:v>
      </x:c>
      <x:c r="C3683" t="str">
        <x:v>晚餐</x:v>
      </x:c>
      <x:c r="D3683" t="str">
        <x:v>蔬菜</x:v>
      </x:c>
      <x:c r="E3683" t="str">
        <x:v>冬瓜</x:v>
      </x:c>
      <x:c r="F3683" t="n">
        <x:v>110</x:v>
      </x:c>
      <x:c r="G3683" t="n">
        <x:v>13</x:v>
      </x:c>
      <x:c r="H3683" t="n">
        <x:f>ROUND(F3683*G3683/100,2)</x:f>
        <x:v>14.3</x:v>
      </x:c>
      <x:c r="I3683" t="n">
        <x:v>0.4</x:v>
      </x:c>
      <x:c r="J3683" t="n">
        <x:f>ROUND(F3683*I3683/100,2)</x:f>
        <x:v>0.44</x:v>
      </x:c>
      <x:c r="K3683" t="n">
        <x:v>3</x:v>
      </x:c>
      <x:c r="L3683" t="n">
        <x:f>ROUND(F3683*K3683/100,2)</x:f>
        <x:v>3.3</x:v>
      </x:c>
      <x:c r="M3683" t="n">
        <x:v>0.2</x:v>
      </x:c>
      <x:c r="N3683" t="n">
        <x:f>ROUND(F3683*M3683/100,2)</x:f>
        <x:v>0.22</x:v>
      </x:c>
      <x:c r="O3683" t="str">
        <x:v>生重</x:v>
      </x:c>
    </x:row>
    <x:row r="3684" ht="23" customHeight="1">
      <x:c r="A3684" t="n">
        <x:v>614</x:v>
      </x:c>
      <x:c r="B3684" t="n">
        <x:v>307</x:v>
      </x:c>
      <x:c r="C3684" t="str">
        <x:v>晚餐</x:v>
      </x:c>
      <x:c r="D3684" t="str">
        <x:v>主食</x:v>
      </x:c>
      <x:c r="E3684" t="str">
        <x:v>紫薯</x:v>
      </x:c>
      <x:c r="F3684" t="n">
        <x:v>135</x:v>
      </x:c>
      <x:c r="G3684" t="n">
        <x:v>95</x:v>
      </x:c>
      <x:c r="H3684" t="n">
        <x:f>ROUND(F3684*G3684/100,2)</x:f>
        <x:v>128.25</x:v>
      </x:c>
      <x:c r="I3684" t="n">
        <x:v>1.6</x:v>
      </x:c>
      <x:c r="J3684" t="n">
        <x:f>ROUND(F3684*I3684/100,2)</x:f>
        <x:v>2.16</x:v>
      </x:c>
      <x:c r="K3684" t="n">
        <x:v>22</x:v>
      </x:c>
      <x:c r="L3684" t="n">
        <x:f>ROUND(F3684*K3684/100,2)</x:f>
        <x:v>29.7</x:v>
      </x:c>
      <x:c r="M3684" t="n">
        <x:v>0.1</x:v>
      </x:c>
      <x:c r="N3684" t="n">
        <x:f>ROUND(F3684*M3684/100,2)</x:f>
        <x:v>0.14</x:v>
      </x:c>
      <x:c r="O3684" t="str">
        <x:v>蒸熟净重</x:v>
      </x:c>
    </x:row>
    <x:row r="3685" ht="23" customHeight="1">
      <x:c r="A3685" t="n">
        <x:v>614</x:v>
      </x:c>
      <x:c r="B3685" t="n">
        <x:v>307</x:v>
      </x:c>
      <x:c r="C3685" t="str">
        <x:v>晚餐</x:v>
      </x:c>
      <x:c r="D3685" t="str">
        <x:v>油脂</x:v>
      </x:c>
      <x:c r="E3685" t="str">
        <x:v>烹调油</x:v>
      </x:c>
      <x:c r="F3685" t="n">
        <x:v>3</x:v>
      </x:c>
      <x:c r="G3685" t="n">
        <x:v>900</x:v>
      </x:c>
      <x:c r="H3685" t="n">
        <x:f>ROUND(F3685*G3685/100,2)</x:f>
        <x:v>27</x:v>
      </x:c>
      <x:c r="I3685" t="n">
        <x:v>0</x:v>
      </x:c>
      <x:c r="J3685" t="n">
        <x:f>ROUND(F3685*I3685/100,2)</x:f>
        <x:v>0</x:v>
      </x:c>
      <x:c r="K3685" t="n">
        <x:v>0</x:v>
      </x:c>
      <x:c r="L3685" t="n">
        <x:f>ROUND(F3685*K3685/100,2)</x:f>
        <x:v>0</x:v>
      </x:c>
      <x:c r="M3685" t="n">
        <x:v>100</x:v>
      </x:c>
      <x:c r="N3685" t="n">
        <x:f>ROUND(F3685*M3685/100,2)</x:f>
        <x:v>3</x:v>
      </x:c>
      <x:c r="O3685" t="str">
        <x:v>实际用油重</x:v>
      </x:c>
    </x:row>
    <x:row r="3686" ht="23" customHeight="1">
      <x:c r="A3686" t="n">
        <x:v>615</x:v>
      </x:c>
      <x:c r="B3686" t="n">
        <x:v>308</x:v>
      </x:c>
      <x:c r="C3686" t="str">
        <x:v>午餐</x:v>
      </x:c>
      <x:c r="D3686" t="str">
        <x:v>海鲜</x:v>
      </x:c>
      <x:c r="E3686" t="str">
        <x:v>虾仁</x:v>
      </x:c>
      <x:c r="F3686" t="n">
        <x:v>160</x:v>
      </x:c>
      <x:c r="G3686" t="n">
        <x:v>90</x:v>
      </x:c>
      <x:c r="H3686" t="n">
        <x:f>ROUND(F3686*G3686/100,2)</x:f>
        <x:v>144</x:v>
      </x:c>
      <x:c r="I3686" t="n">
        <x:v>19</x:v>
      </x:c>
      <x:c r="J3686" t="n">
        <x:f>ROUND(F3686*I3686/100,2)</x:f>
        <x:v>30.4</x:v>
      </x:c>
      <x:c r="K3686" t="n">
        <x:v>0.4</x:v>
      </x:c>
      <x:c r="L3686" t="n">
        <x:f>ROUND(F3686*K3686/100,2)</x:f>
        <x:v>0.64</x:v>
      </x:c>
      <x:c r="M3686" t="n">
        <x:v>1.1</x:v>
      </x:c>
      <x:c r="N3686" t="n">
        <x:f>ROUND(F3686*M3686/100,2)</x:f>
        <x:v>1.76</x:v>
      </x:c>
      <x:c r="O3686" t="str">
        <x:v>生重</x:v>
      </x:c>
    </x:row>
    <x:row r="3687" ht="23" customHeight="1">
      <x:c r="A3687" t="n">
        <x:v>615</x:v>
      </x:c>
      <x:c r="B3687" t="n">
        <x:v>308</x:v>
      </x:c>
      <x:c r="C3687" t="str">
        <x:v>午餐</x:v>
      </x:c>
      <x:c r="D3687" t="str"/>
      <x:c r="E3687" t="str"/>
      <x:c r="F3687" t="n">
        <x:v>0</x:v>
      </x:c>
      <x:c r="G3687" t="n">
        <x:v>0</x:v>
      </x:c>
      <x:c r="H3687" t="n">
        <x:f>ROUND(F3687*G3687/100,2)</x:f>
        <x:v>0</x:v>
      </x:c>
      <x:c r="I3687" t="n">
        <x:v>0</x:v>
      </x:c>
      <x:c r="J3687" t="n">
        <x:f>ROUND(F3687*I3687/100,2)</x:f>
        <x:v>0</x:v>
      </x:c>
      <x:c r="K3687" t="n">
        <x:v>0</x:v>
      </x:c>
      <x:c r="L3687" t="n">
        <x:f>ROUND(F3687*K3687/100,2)</x:f>
        <x:v>0</x:v>
      </x:c>
      <x:c r="M3687" t="n">
        <x:v>0</x:v>
      </x:c>
      <x:c r="N3687" t="n">
        <x:f>ROUND(F3687*M3687/100,2)</x:f>
        <x:v>0</x:v>
      </x:c>
      <x:c r="O3687" t="str"/>
    </x:row>
    <x:row r="3688" ht="23" customHeight="1">
      <x:c r="A3688" t="n">
        <x:v>615</x:v>
      </x:c>
      <x:c r="B3688" t="n">
        <x:v>308</x:v>
      </x:c>
      <x:c r="C3688" t="str">
        <x:v>午餐</x:v>
      </x:c>
      <x:c r="D3688" t="str">
        <x:v>蔬菜</x:v>
      </x:c>
      <x:c r="E3688" t="str">
        <x:v>西兰花</x:v>
      </x:c>
      <x:c r="F3688" t="n">
        <x:v>190</x:v>
      </x:c>
      <x:c r="G3688" t="n">
        <x:v>34</x:v>
      </x:c>
      <x:c r="H3688" t="n">
        <x:f>ROUND(F3688*G3688/100,2)</x:f>
        <x:v>64.6</x:v>
      </x:c>
      <x:c r="I3688" t="n">
        <x:v>2.8</x:v>
      </x:c>
      <x:c r="J3688" t="n">
        <x:f>ROUND(F3688*I3688/100,2)</x:f>
        <x:v>5.32</x:v>
      </x:c>
      <x:c r="K3688" t="n">
        <x:v>7</x:v>
      </x:c>
      <x:c r="L3688" t="n">
        <x:f>ROUND(F3688*K3688/100,2)</x:f>
        <x:v>13.3</x:v>
      </x:c>
      <x:c r="M3688" t="n">
        <x:v>0.4</x:v>
      </x:c>
      <x:c r="N3688" t="n">
        <x:f>ROUND(F3688*M3688/100,2)</x:f>
        <x:v>0.76</x:v>
      </x:c>
      <x:c r="O3688" t="str">
        <x:v>生重</x:v>
      </x:c>
    </x:row>
    <x:row r="3689" ht="23" customHeight="1">
      <x:c r="A3689" t="n">
        <x:v>615</x:v>
      </x:c>
      <x:c r="B3689" t="n">
        <x:v>308</x:v>
      </x:c>
      <x:c r="C3689" t="str">
        <x:v>午餐</x:v>
      </x:c>
      <x:c r="D3689" t="str">
        <x:v>蔬菜</x:v>
      </x:c>
      <x:c r="E3689" t="str">
        <x:v>玉米笋</x:v>
      </x:c>
      <x:c r="F3689" t="n">
        <x:v>155</x:v>
      </x:c>
      <x:c r="G3689" t="n">
        <x:v>26</x:v>
      </x:c>
      <x:c r="H3689" t="n">
        <x:f>ROUND(F3689*G3689/100,2)</x:f>
        <x:v>40.3</x:v>
      </x:c>
      <x:c r="I3689" t="n">
        <x:v>2</x:v>
      </x:c>
      <x:c r="J3689" t="n">
        <x:f>ROUND(F3689*I3689/100,2)</x:f>
        <x:v>3.1</x:v>
      </x:c>
      <x:c r="K3689" t="n">
        <x:v>4.9</x:v>
      </x:c>
      <x:c r="L3689" t="n">
        <x:f>ROUND(F3689*K3689/100,2)</x:f>
        <x:v>7.6</x:v>
      </x:c>
      <x:c r="M3689" t="n">
        <x:v>0.1</x:v>
      </x:c>
      <x:c r="N3689" t="n">
        <x:f>ROUND(F3689*M3689/100,2)</x:f>
        <x:v>0.16</x:v>
      </x:c>
      <x:c r="O3689" t="str">
        <x:v>生重</x:v>
      </x:c>
    </x:row>
    <x:row r="3690" ht="23" customHeight="1">
      <x:c r="A3690" t="n">
        <x:v>615</x:v>
      </x:c>
      <x:c r="B3690" t="n">
        <x:v>308</x:v>
      </x:c>
      <x:c r="C3690" t="str">
        <x:v>午餐</x:v>
      </x:c>
      <x:c r="D3690" t="str">
        <x:v>主食</x:v>
      </x:c>
      <x:c r="E3690" t="str">
        <x:v>红薯</x:v>
      </x:c>
      <x:c r="F3690" t="n">
        <x:v>135</x:v>
      </x:c>
      <x:c r="G3690" t="n">
        <x:v>88</x:v>
      </x:c>
      <x:c r="H3690" t="n">
        <x:f>ROUND(F3690*G3690/100,2)</x:f>
        <x:v>118.8</x:v>
      </x:c>
      <x:c r="I3690" t="n">
        <x:v>1.6</x:v>
      </x:c>
      <x:c r="J3690" t="n">
        <x:f>ROUND(F3690*I3690/100,2)</x:f>
        <x:v>2.16</x:v>
      </x:c>
      <x:c r="K3690" t="n">
        <x:v>20.5</x:v>
      </x:c>
      <x:c r="L3690" t="n">
        <x:f>ROUND(F3690*K3690/100,2)</x:f>
        <x:v>27.68</x:v>
      </x:c>
      <x:c r="M3690" t="n">
        <x:v>0.1</x:v>
      </x:c>
      <x:c r="N3690" t="n">
        <x:f>ROUND(F3690*M3690/100,2)</x:f>
        <x:v>0.14</x:v>
      </x:c>
      <x:c r="O3690" t="str">
        <x:v>蒸熟净重</x:v>
      </x:c>
    </x:row>
    <x:row r="3691" ht="23" customHeight="1">
      <x:c r="A3691" t="n">
        <x:v>615</x:v>
      </x:c>
      <x:c r="B3691" t="n">
        <x:v>308</x:v>
      </x:c>
      <x:c r="C3691" t="str">
        <x:v>午餐</x:v>
      </x:c>
      <x:c r="D3691" t="str">
        <x:v>油脂</x:v>
      </x:c>
      <x:c r="E3691" t="str">
        <x:v>烹调油</x:v>
      </x:c>
      <x:c r="F3691" t="n">
        <x:v>5</x:v>
      </x:c>
      <x:c r="G3691" t="n">
        <x:v>900</x:v>
      </x:c>
      <x:c r="H3691" t="n">
        <x:f>ROUND(F3691*G3691/100,2)</x:f>
        <x:v>45</x:v>
      </x:c>
      <x:c r="I3691" t="n">
        <x:v>0</x:v>
      </x:c>
      <x:c r="J3691" t="n">
        <x:f>ROUND(F3691*I3691/100,2)</x:f>
        <x:v>0</x:v>
      </x:c>
      <x:c r="K3691" t="n">
        <x:v>0</x:v>
      </x:c>
      <x:c r="L3691" t="n">
        <x:f>ROUND(F3691*K3691/100,2)</x:f>
        <x:v>0</x:v>
      </x:c>
      <x:c r="M3691" t="n">
        <x:v>100</x:v>
      </x:c>
      <x:c r="N3691" t="n">
        <x:f>ROUND(F3691*M3691/100,2)</x:f>
        <x:v>5</x:v>
      </x:c>
      <x:c r="O3691" t="str">
        <x:v>实际用油重</x:v>
      </x:c>
    </x:row>
    <x:row r="3692" ht="23" customHeight="1">
      <x:c r="A3692" t="n">
        <x:v>616</x:v>
      </x:c>
      <x:c r="B3692" t="n">
        <x:v>308</x:v>
      </x:c>
      <x:c r="C3692" t="str">
        <x:v>晚餐</x:v>
      </x:c>
      <x:c r="D3692" t="str">
        <x:v>海鲜</x:v>
      </x:c>
      <x:c r="E3692" t="str">
        <x:v>花蛤肉</x:v>
      </x:c>
      <x:c r="F3692" t="n">
        <x:v>210</x:v>
      </x:c>
      <x:c r="G3692" t="n">
        <x:v>75</x:v>
      </x:c>
      <x:c r="H3692" t="n">
        <x:f>ROUND(F3692*G3692/100,2)</x:f>
        <x:v>157.5</x:v>
      </x:c>
      <x:c r="I3692" t="n">
        <x:v>13</x:v>
      </x:c>
      <x:c r="J3692" t="n">
        <x:f>ROUND(F3692*I3692/100,2)</x:f>
        <x:v>27.3</x:v>
      </x:c>
      <x:c r="K3692" t="n">
        <x:v>3.5</x:v>
      </x:c>
      <x:c r="L3692" t="n">
        <x:f>ROUND(F3692*K3692/100,2)</x:f>
        <x:v>7.35</x:v>
      </x:c>
      <x:c r="M3692" t="n">
        <x:v>1</x:v>
      </x:c>
      <x:c r="N3692" t="n">
        <x:f>ROUND(F3692*M3692/100,2)</x:f>
        <x:v>2.1</x:v>
      </x:c>
      <x:c r="O3692" t="str">
        <x:v>净肉生重</x:v>
      </x:c>
    </x:row>
    <x:row r="3693" ht="23" customHeight="1">
      <x:c r="A3693" t="n">
        <x:v>616</x:v>
      </x:c>
      <x:c r="B3693" t="n">
        <x:v>308</x:v>
      </x:c>
      <x:c r="C3693" t="str">
        <x:v>晚餐</x:v>
      </x:c>
      <x:c r="D3693" t="str"/>
      <x:c r="E3693" t="str"/>
      <x:c r="F3693" t="n">
        <x:v>0</x:v>
      </x:c>
      <x:c r="G3693" t="n">
        <x:v>0</x:v>
      </x:c>
      <x:c r="H3693" t="n">
        <x:f>ROUND(F3693*G3693/100,2)</x:f>
        <x:v>0</x:v>
      </x:c>
      <x:c r="I3693" t="n">
        <x:v>0</x:v>
      </x:c>
      <x:c r="J3693" t="n">
        <x:f>ROUND(F3693*I3693/100,2)</x:f>
        <x:v>0</x:v>
      </x:c>
      <x:c r="K3693" t="n">
        <x:v>0</x:v>
      </x:c>
      <x:c r="L3693" t="n">
        <x:f>ROUND(F3693*K3693/100,2)</x:f>
        <x:v>0</x:v>
      </x:c>
      <x:c r="M3693" t="n">
        <x:v>0</x:v>
      </x:c>
      <x:c r="N3693" t="n">
        <x:f>ROUND(F3693*M3693/100,2)</x:f>
        <x:v>0</x:v>
      </x:c>
      <x:c r="O3693" t="str"/>
    </x:row>
    <x:row r="3694" ht="23" customHeight="1">
      <x:c r="A3694" t="n">
        <x:v>616</x:v>
      </x:c>
      <x:c r="B3694" t="n">
        <x:v>308</x:v>
      </x:c>
      <x:c r="C3694" t="str">
        <x:v>晚餐</x:v>
      </x:c>
      <x:c r="D3694" t="str">
        <x:v>蔬菜</x:v>
      </x:c>
      <x:c r="E3694" t="str">
        <x:v>丝瓜</x:v>
      </x:c>
      <x:c r="F3694" t="n">
        <x:v>140</x:v>
      </x:c>
      <x:c r="G3694" t="n">
        <x:v>20</x:v>
      </x:c>
      <x:c r="H3694" t="n">
        <x:f>ROUND(F3694*G3694/100,2)</x:f>
        <x:v>28</x:v>
      </x:c>
      <x:c r="I3694" t="n">
        <x:v>1</x:v>
      </x:c>
      <x:c r="J3694" t="n">
        <x:f>ROUND(F3694*I3694/100,2)</x:f>
        <x:v>1.4</x:v>
      </x:c>
      <x:c r="K3694" t="n">
        <x:v>4</x:v>
      </x:c>
      <x:c r="L3694" t="n">
        <x:f>ROUND(F3694*K3694/100,2)</x:f>
        <x:v>5.6</x:v>
      </x:c>
      <x:c r="M3694" t="n">
        <x:v>0.2</x:v>
      </x:c>
      <x:c r="N3694" t="n">
        <x:f>ROUND(F3694*M3694/100,2)</x:f>
        <x:v>0.28</x:v>
      </x:c>
      <x:c r="O3694" t="str">
        <x:v>生重</x:v>
      </x:c>
    </x:row>
    <x:row r="3695" ht="23" customHeight="1">
      <x:c r="A3695" t="n">
        <x:v>616</x:v>
      </x:c>
      <x:c r="B3695" t="n">
        <x:v>308</x:v>
      </x:c>
      <x:c r="C3695" t="str">
        <x:v>晚餐</x:v>
      </x:c>
      <x:c r="D3695" t="str">
        <x:v>菌菇</x:v>
      </x:c>
      <x:c r="E3695" t="str">
        <x:v>口蘑</x:v>
      </x:c>
      <x:c r="F3695" t="n">
        <x:v>155</x:v>
      </x:c>
      <x:c r="G3695" t="n">
        <x:v>22</x:v>
      </x:c>
      <x:c r="H3695" t="n">
        <x:f>ROUND(F3695*G3695/100,2)</x:f>
        <x:v>34.1</x:v>
      </x:c>
      <x:c r="I3695" t="n">
        <x:v>3.1</x:v>
      </x:c>
      <x:c r="J3695" t="n">
        <x:f>ROUND(F3695*I3695/100,2)</x:f>
        <x:v>4.81</x:v>
      </x:c>
      <x:c r="K3695" t="n">
        <x:v>3.3</x:v>
      </x:c>
      <x:c r="L3695" t="n">
        <x:f>ROUND(F3695*K3695/100,2)</x:f>
        <x:v>5.12</x:v>
      </x:c>
      <x:c r="M3695" t="n">
        <x:v>0.3</x:v>
      </x:c>
      <x:c r="N3695" t="n">
        <x:f>ROUND(F3695*M3695/100,2)</x:f>
        <x:v>0.47</x:v>
      </x:c>
      <x:c r="O3695" t="str">
        <x:v>生重</x:v>
      </x:c>
    </x:row>
    <x:row r="3696" ht="23" customHeight="1">
      <x:c r="A3696" t="n">
        <x:v>616</x:v>
      </x:c>
      <x:c r="B3696" t="n">
        <x:v>308</x:v>
      </x:c>
      <x:c r="C3696" t="str">
        <x:v>晚餐</x:v>
      </x:c>
      <x:c r="D3696" t="str">
        <x:v>主食</x:v>
      </x:c>
      <x:c r="E3696" t="str">
        <x:v>土豆</x:v>
      </x:c>
      <x:c r="F3696" t="n">
        <x:v>125</x:v>
      </x:c>
      <x:c r="G3696" t="n">
        <x:v>78</x:v>
      </x:c>
      <x:c r="H3696" t="n">
        <x:f>ROUND(F3696*G3696/100,2)</x:f>
        <x:v>97.5</x:v>
      </x:c>
      <x:c r="I3696" t="n">
        <x:v>2</x:v>
      </x:c>
      <x:c r="J3696" t="n">
        <x:f>ROUND(F3696*I3696/100,2)</x:f>
        <x:v>2.5</x:v>
      </x:c>
      <x:c r="K3696" t="n">
        <x:v>17.2</x:v>
      </x:c>
      <x:c r="L3696" t="n">
        <x:f>ROUND(F3696*K3696/100,2)</x:f>
        <x:v>21.5</x:v>
      </x:c>
      <x:c r="M3696" t="n">
        <x:v>0.1</x:v>
      </x:c>
      <x:c r="N3696" t="n">
        <x:f>ROUND(F3696*M3696/100,2)</x:f>
        <x:v>0.13</x:v>
      </x:c>
      <x:c r="O3696" t="str">
        <x:v>蒸熟净重</x:v>
      </x:c>
    </x:row>
    <x:row r="3697" ht="23" customHeight="1">
      <x:c r="A3697" t="n">
        <x:v>616</x:v>
      </x:c>
      <x:c r="B3697" t="n">
        <x:v>308</x:v>
      </x:c>
      <x:c r="C3697" t="str">
        <x:v>晚餐</x:v>
      </x:c>
      <x:c r="D3697" t="str">
        <x:v>油脂</x:v>
      </x:c>
      <x:c r="E3697" t="str">
        <x:v>烹调油</x:v>
      </x:c>
      <x:c r="F3697" t="n">
        <x:v>6</x:v>
      </x:c>
      <x:c r="G3697" t="n">
        <x:v>900</x:v>
      </x:c>
      <x:c r="H3697" t="n">
        <x:f>ROUND(F3697*G3697/100,2)</x:f>
        <x:v>54</x:v>
      </x:c>
      <x:c r="I3697" t="n">
        <x:v>0</x:v>
      </x:c>
      <x:c r="J3697" t="n">
        <x:f>ROUND(F3697*I3697/100,2)</x:f>
        <x:v>0</x:v>
      </x:c>
      <x:c r="K3697" t="n">
        <x:v>0</x:v>
      </x:c>
      <x:c r="L3697" t="n">
        <x:f>ROUND(F3697*K3697/100,2)</x:f>
        <x:v>0</x:v>
      </x:c>
      <x:c r="M3697" t="n">
        <x:v>100</x:v>
      </x:c>
      <x:c r="N3697" t="n">
        <x:f>ROUND(F3697*M3697/100,2)</x:f>
        <x:v>6</x:v>
      </x:c>
      <x:c r="O3697" t="str">
        <x:v>实际用油重</x:v>
      </x:c>
    </x:row>
    <x:row r="3698" ht="23" customHeight="1">
      <x:c r="A3698" t="n">
        <x:v>617</x:v>
      </x:c>
      <x:c r="B3698" t="n">
        <x:v>309</x:v>
      </x:c>
      <x:c r="C3698" t="str">
        <x:v>午餐</x:v>
      </x:c>
      <x:c r="D3698" t="str">
        <x:v>牛肉</x:v>
      </x:c>
      <x:c r="E3698" t="str">
        <x:v>瘦牛肉</x:v>
      </x:c>
      <x:c r="F3698" t="n">
        <x:v>185</x:v>
      </x:c>
      <x:c r="G3698" t="n">
        <x:v>125</x:v>
      </x:c>
      <x:c r="H3698" t="n">
        <x:f>ROUND(F3698*G3698/100,2)</x:f>
        <x:v>231.25</x:v>
      </x:c>
      <x:c r="I3698" t="n">
        <x:v>21</x:v>
      </x:c>
      <x:c r="J3698" t="n">
        <x:f>ROUND(F3698*I3698/100,2)</x:f>
        <x:v>38.85</x:v>
      </x:c>
      <x:c r="K3698" t="n">
        <x:v>0</x:v>
      </x:c>
      <x:c r="L3698" t="n">
        <x:f>ROUND(F3698*K3698/100,2)</x:f>
        <x:v>0</x:v>
      </x:c>
      <x:c r="M3698" t="n">
        <x:v>4</x:v>
      </x:c>
      <x:c r="N3698" t="n">
        <x:f>ROUND(F3698*M3698/100,2)</x:f>
        <x:v>7.4</x:v>
      </x:c>
      <x:c r="O3698" t="str">
        <x:v>生重</x:v>
      </x:c>
    </x:row>
    <x:row r="3699" ht="23" customHeight="1">
      <x:c r="A3699" t="n">
        <x:v>617</x:v>
      </x:c>
      <x:c r="B3699" t="n">
        <x:v>309</x:v>
      </x:c>
      <x:c r="C3699" t="str">
        <x:v>午餐</x:v>
      </x:c>
      <x:c r="D3699" t="str"/>
      <x:c r="E3699" t="str"/>
      <x:c r="F3699" t="n">
        <x:v>0</x:v>
      </x:c>
      <x:c r="G3699" t="n">
        <x:v>0</x:v>
      </x:c>
      <x:c r="H3699" t="n">
        <x:f>ROUND(F3699*G3699/100,2)</x:f>
        <x:v>0</x:v>
      </x:c>
      <x:c r="I3699" t="n">
        <x:v>0</x:v>
      </x:c>
      <x:c r="J3699" t="n">
        <x:f>ROUND(F3699*I3699/100,2)</x:f>
        <x:v>0</x:v>
      </x:c>
      <x:c r="K3699" t="n">
        <x:v>0</x:v>
      </x:c>
      <x:c r="L3699" t="n">
        <x:f>ROUND(F3699*K3699/100,2)</x:f>
        <x:v>0</x:v>
      </x:c>
      <x:c r="M3699" t="n">
        <x:v>0</x:v>
      </x:c>
      <x:c r="N3699" t="n">
        <x:f>ROUND(F3699*M3699/100,2)</x:f>
        <x:v>0</x:v>
      </x:c>
      <x:c r="O3699" t="str"/>
    </x:row>
    <x:row r="3700" ht="23" customHeight="1">
      <x:c r="A3700" t="n">
        <x:v>617</x:v>
      </x:c>
      <x:c r="B3700" t="n">
        <x:v>309</x:v>
      </x:c>
      <x:c r="C3700" t="str">
        <x:v>午餐</x:v>
      </x:c>
      <x:c r="D3700" t="str">
        <x:v>蔬菜</x:v>
      </x:c>
      <x:c r="E3700" t="str">
        <x:v>小白菜</x:v>
      </x:c>
      <x:c r="F3700" t="n">
        <x:v>140</x:v>
      </x:c>
      <x:c r="G3700" t="n">
        <x:v>17</x:v>
      </x:c>
      <x:c r="H3700" t="n">
        <x:f>ROUND(F3700*G3700/100,2)</x:f>
        <x:v>23.8</x:v>
      </x:c>
      <x:c r="I3700" t="n">
        <x:v>1.6</x:v>
      </x:c>
      <x:c r="J3700" t="n">
        <x:f>ROUND(F3700*I3700/100,2)</x:f>
        <x:v>2.24</x:v>
      </x:c>
      <x:c r="K3700" t="n">
        <x:v>2.8</x:v>
      </x:c>
      <x:c r="L3700" t="n">
        <x:f>ROUND(F3700*K3700/100,2)</x:f>
        <x:v>3.92</x:v>
      </x:c>
      <x:c r="M3700" t="n">
        <x:v>0.2</x:v>
      </x:c>
      <x:c r="N3700" t="n">
        <x:f>ROUND(F3700*M3700/100,2)</x:f>
        <x:v>0.28</x:v>
      </x:c>
      <x:c r="O3700" t="str">
        <x:v>生重</x:v>
      </x:c>
    </x:row>
    <x:row r="3701" ht="23" customHeight="1">
      <x:c r="A3701" t="n">
        <x:v>617</x:v>
      </x:c>
      <x:c r="B3701" t="n">
        <x:v>309</x:v>
      </x:c>
      <x:c r="C3701" t="str">
        <x:v>午餐</x:v>
      </x:c>
      <x:c r="D3701" t="str">
        <x:v>蔬菜</x:v>
      </x:c>
      <x:c r="E3701" t="str">
        <x:v>洋葱</x:v>
      </x:c>
      <x:c r="F3701" t="n">
        <x:v>125</x:v>
      </x:c>
      <x:c r="G3701" t="n">
        <x:v>40</x:v>
      </x:c>
      <x:c r="H3701" t="n">
        <x:f>ROUND(F3701*G3701/100,2)</x:f>
        <x:v>50</x:v>
      </x:c>
      <x:c r="I3701" t="n">
        <x:v>1.1</x:v>
      </x:c>
      <x:c r="J3701" t="n">
        <x:f>ROUND(F3701*I3701/100,2)</x:f>
        <x:v>1.38</x:v>
      </x:c>
      <x:c r="K3701" t="n">
        <x:v>9.3</x:v>
      </x:c>
      <x:c r="L3701" t="n">
        <x:f>ROUND(F3701*K3701/100,2)</x:f>
        <x:v>11.63</x:v>
      </x:c>
      <x:c r="M3701" t="n">
        <x:v>0.1</x:v>
      </x:c>
      <x:c r="N3701" t="n">
        <x:f>ROUND(F3701*M3701/100,2)</x:f>
        <x:v>0.13</x:v>
      </x:c>
      <x:c r="O3701" t="str">
        <x:v>生重</x:v>
      </x:c>
    </x:row>
    <x:row r="3702" ht="23" customHeight="1">
      <x:c r="A3702" t="n">
        <x:v>617</x:v>
      </x:c>
      <x:c r="B3702" t="n">
        <x:v>309</x:v>
      </x:c>
      <x:c r="C3702" t="str">
        <x:v>午餐</x:v>
      </x:c>
      <x:c r="D3702" t="str">
        <x:v>主食</x:v>
      </x:c>
      <x:c r="E3702" t="str">
        <x:v>糙米饭</x:v>
      </x:c>
      <x:c r="F3702" t="n">
        <x:v>135</x:v>
      </x:c>
      <x:c r="G3702" t="n">
        <x:v>112</x:v>
      </x:c>
      <x:c r="H3702" t="n">
        <x:f>ROUND(F3702*G3702/100,2)</x:f>
        <x:v>151.2</x:v>
      </x:c>
      <x:c r="I3702" t="n">
        <x:v>2.6</x:v>
      </x:c>
      <x:c r="J3702" t="n">
        <x:f>ROUND(F3702*I3702/100,2)</x:f>
        <x:v>3.51</x:v>
      </x:c>
      <x:c r="K3702" t="n">
        <x:v>23.5</x:v>
      </x:c>
      <x:c r="L3702" t="n">
        <x:f>ROUND(F3702*K3702/100,2)</x:f>
        <x:v>31.73</x:v>
      </x:c>
      <x:c r="M3702" t="n">
        <x:v>0.9</x:v>
      </x:c>
      <x:c r="N3702" t="n">
        <x:f>ROUND(F3702*M3702/100,2)</x:f>
        <x:v>1.22</x:v>
      </x:c>
      <x:c r="O3702" t="str">
        <x:v>熟重</x:v>
      </x:c>
    </x:row>
    <x:row r="3703" ht="23" customHeight="1">
      <x:c r="A3703" t="n">
        <x:v>617</x:v>
      </x:c>
      <x:c r="B3703" t="n">
        <x:v>309</x:v>
      </x:c>
      <x:c r="C3703" t="str">
        <x:v>午餐</x:v>
      </x:c>
      <x:c r="D3703" t="str">
        <x:v>油脂</x:v>
      </x:c>
      <x:c r="E3703" t="str">
        <x:v>烹调油</x:v>
      </x:c>
      <x:c r="F3703" t="n">
        <x:v>3</x:v>
      </x:c>
      <x:c r="G3703" t="n">
        <x:v>900</x:v>
      </x:c>
      <x:c r="H3703" t="n">
        <x:f>ROUND(F3703*G3703/100,2)</x:f>
        <x:v>27</x:v>
      </x:c>
      <x:c r="I3703" t="n">
        <x:v>0</x:v>
      </x:c>
      <x:c r="J3703" t="n">
        <x:f>ROUND(F3703*I3703/100,2)</x:f>
        <x:v>0</x:v>
      </x:c>
      <x:c r="K3703" t="n">
        <x:v>0</x:v>
      </x:c>
      <x:c r="L3703" t="n">
        <x:f>ROUND(F3703*K3703/100,2)</x:f>
        <x:v>0</x:v>
      </x:c>
      <x:c r="M3703" t="n">
        <x:v>100</x:v>
      </x:c>
      <x:c r="N3703" t="n">
        <x:f>ROUND(F3703*M3703/100,2)</x:f>
        <x:v>3</x:v>
      </x:c>
      <x:c r="O3703" t="str">
        <x:v>实际用油重</x:v>
      </x:c>
    </x:row>
    <x:row r="3704" ht="23" customHeight="1">
      <x:c r="A3704" t="n">
        <x:v>618</x:v>
      </x:c>
      <x:c r="B3704" t="n">
        <x:v>309</x:v>
      </x:c>
      <x:c r="C3704" t="str">
        <x:v>晚餐</x:v>
      </x:c>
      <x:c r="D3704" t="str">
        <x:v>海鲜</x:v>
      </x:c>
      <x:c r="E3704" t="str">
        <x:v>虾仁</x:v>
      </x:c>
      <x:c r="F3704" t="n">
        <x:v>190</x:v>
      </x:c>
      <x:c r="G3704" t="n">
        <x:v>90</x:v>
      </x:c>
      <x:c r="H3704" t="n">
        <x:f>ROUND(F3704*G3704/100,2)</x:f>
        <x:v>171</x:v>
      </x:c>
      <x:c r="I3704" t="n">
        <x:v>19</x:v>
      </x:c>
      <x:c r="J3704" t="n">
        <x:f>ROUND(F3704*I3704/100,2)</x:f>
        <x:v>36.1</x:v>
      </x:c>
      <x:c r="K3704" t="n">
        <x:v>0.4</x:v>
      </x:c>
      <x:c r="L3704" t="n">
        <x:f>ROUND(F3704*K3704/100,2)</x:f>
        <x:v>0.76</x:v>
      </x:c>
      <x:c r="M3704" t="n">
        <x:v>1.1</x:v>
      </x:c>
      <x:c r="N3704" t="n">
        <x:f>ROUND(F3704*M3704/100,2)</x:f>
        <x:v>2.09</x:v>
      </x:c>
      <x:c r="O3704" t="str">
        <x:v>生重</x:v>
      </x:c>
    </x:row>
    <x:row r="3705" ht="23" customHeight="1">
      <x:c r="A3705" t="n">
        <x:v>618</x:v>
      </x:c>
      <x:c r="B3705" t="n">
        <x:v>309</x:v>
      </x:c>
      <x:c r="C3705" t="str">
        <x:v>晚餐</x:v>
      </x:c>
      <x:c r="D3705" t="str">
        <x:v>豆蛋</x:v>
      </x:c>
      <x:c r="E3705" t="str">
        <x:v>熟毛豆仁</x:v>
      </x:c>
      <x:c r="F3705" t="n">
        <x:v>70</x:v>
      </x:c>
      <x:c r="G3705" t="n">
        <x:v>120</x:v>
      </x:c>
      <x:c r="H3705" t="n">
        <x:f>ROUND(F3705*G3705/100,2)</x:f>
        <x:v>84</x:v>
      </x:c>
      <x:c r="I3705" t="n">
        <x:v>12</x:v>
      </x:c>
      <x:c r="J3705" t="n">
        <x:f>ROUND(F3705*I3705/100,2)</x:f>
        <x:v>8.4</x:v>
      </x:c>
      <x:c r="K3705" t="n">
        <x:v>9</x:v>
      </x:c>
      <x:c r="L3705" t="n">
        <x:f>ROUND(F3705*K3705/100,2)</x:f>
        <x:v>6.3</x:v>
      </x:c>
      <x:c r="M3705" t="n">
        <x:v>5</x:v>
      </x:c>
      <x:c r="N3705" t="n">
        <x:f>ROUND(F3705*M3705/100,2)</x:f>
        <x:v>3.5</x:v>
      </x:c>
      <x:c r="O3705" t="str">
        <x:v>熟重</x:v>
      </x:c>
    </x:row>
    <x:row r="3706" ht="23" customHeight="1">
      <x:c r="A3706" t="n">
        <x:v>618</x:v>
      </x:c>
      <x:c r="B3706" t="n">
        <x:v>309</x:v>
      </x:c>
      <x:c r="C3706" t="str">
        <x:v>晚餐</x:v>
      </x:c>
      <x:c r="D3706" t="str">
        <x:v>蔬菜</x:v>
      </x:c>
      <x:c r="E3706" t="str">
        <x:v>菠菜</x:v>
      </x:c>
      <x:c r="F3706" t="n">
        <x:v>190</x:v>
      </x:c>
      <x:c r="G3706" t="n">
        <x:v>23</x:v>
      </x:c>
      <x:c r="H3706" t="n">
        <x:f>ROUND(F3706*G3706/100,2)</x:f>
        <x:v>43.7</x:v>
      </x:c>
      <x:c r="I3706" t="n">
        <x:v>2.9</x:v>
      </x:c>
      <x:c r="J3706" t="n">
        <x:f>ROUND(F3706*I3706/100,2)</x:f>
        <x:v>5.51</x:v>
      </x:c>
      <x:c r="K3706" t="n">
        <x:v>3.6</x:v>
      </x:c>
      <x:c r="L3706" t="n">
        <x:f>ROUND(F3706*K3706/100,2)</x:f>
        <x:v>6.84</x:v>
      </x:c>
      <x:c r="M3706" t="n">
        <x:v>0.4</x:v>
      </x:c>
      <x:c r="N3706" t="n">
        <x:f>ROUND(F3706*M3706/100,2)</x:f>
        <x:v>0.76</x:v>
      </x:c>
      <x:c r="O3706" t="str">
        <x:v>生重</x:v>
      </x:c>
    </x:row>
    <x:row r="3707" ht="23" customHeight="1">
      <x:c r="A3707" t="n">
        <x:v>618</x:v>
      </x:c>
      <x:c r="B3707" t="n">
        <x:v>309</x:v>
      </x:c>
      <x:c r="C3707" t="str">
        <x:v>晚餐</x:v>
      </x:c>
      <x:c r="D3707" t="str">
        <x:v>蔬菜</x:v>
      </x:c>
      <x:c r="E3707" t="str">
        <x:v>丝瓜</x:v>
      </x:c>
      <x:c r="F3707" t="n">
        <x:v>140</x:v>
      </x:c>
      <x:c r="G3707" t="n">
        <x:v>20</x:v>
      </x:c>
      <x:c r="H3707" t="n">
        <x:f>ROUND(F3707*G3707/100,2)</x:f>
        <x:v>28</x:v>
      </x:c>
      <x:c r="I3707" t="n">
        <x:v>1</x:v>
      </x:c>
      <x:c r="J3707" t="n">
        <x:f>ROUND(F3707*I3707/100,2)</x:f>
        <x:v>1.4</x:v>
      </x:c>
      <x:c r="K3707" t="n">
        <x:v>4</x:v>
      </x:c>
      <x:c r="L3707" t="n">
        <x:f>ROUND(F3707*K3707/100,2)</x:f>
        <x:v>5.6</x:v>
      </x:c>
      <x:c r="M3707" t="n">
        <x:v>0.2</x:v>
      </x:c>
      <x:c r="N3707" t="n">
        <x:f>ROUND(F3707*M3707/100,2)</x:f>
        <x:v>0.28</x:v>
      </x:c>
      <x:c r="O3707" t="str">
        <x:v>生重</x:v>
      </x:c>
    </x:row>
    <x:row r="3708" ht="23" customHeight="1">
      <x:c r="A3708" t="n">
        <x:v>618</x:v>
      </x:c>
      <x:c r="B3708" t="n">
        <x:v>309</x:v>
      </x:c>
      <x:c r="C3708" t="str">
        <x:v>晚餐</x:v>
      </x:c>
      <x:c r="D3708" t="str">
        <x:v>主食</x:v>
      </x:c>
      <x:c r="E3708" t="str">
        <x:v>米粉</x:v>
      </x:c>
      <x:c r="F3708" t="n">
        <x:v>95</x:v>
      </x:c>
      <x:c r="G3708" t="n">
        <x:v>110</x:v>
      </x:c>
      <x:c r="H3708" t="n">
        <x:f>ROUND(F3708*G3708/100,2)</x:f>
        <x:v>104.5</x:v>
      </x:c>
      <x:c r="I3708" t="n">
        <x:v>2</x:v>
      </x:c>
      <x:c r="J3708" t="n">
        <x:f>ROUND(F3708*I3708/100,2)</x:f>
        <x:v>1.9</x:v>
      </x:c>
      <x:c r="K3708" t="n">
        <x:v>24</x:v>
      </x:c>
      <x:c r="L3708" t="n">
        <x:f>ROUND(F3708*K3708/100,2)</x:f>
        <x:v>22.8</x:v>
      </x:c>
      <x:c r="M3708" t="n">
        <x:v>0.4</x:v>
      </x:c>
      <x:c r="N3708" t="n">
        <x:f>ROUND(F3708*M3708/100,2)</x:f>
        <x:v>0.38</x:v>
      </x:c>
      <x:c r="O3708" t="str">
        <x:v>煮熟沥水重</x:v>
      </x:c>
    </x:row>
    <x:row r="3709" ht="23" customHeight="1">
      <x:c r="A3709" t="n">
        <x:v>618</x:v>
      </x:c>
      <x:c r="B3709" t="n">
        <x:v>309</x:v>
      </x:c>
      <x:c r="C3709" t="str">
        <x:v>晚餐</x:v>
      </x:c>
      <x:c r="D3709" t="str">
        <x:v>油脂</x:v>
      </x:c>
      <x:c r="E3709" t="str">
        <x:v>烹调油</x:v>
      </x:c>
      <x:c r="F3709" t="n">
        <x:v>5</x:v>
      </x:c>
      <x:c r="G3709" t="n">
        <x:v>900</x:v>
      </x:c>
      <x:c r="H3709" t="n">
        <x:f>ROUND(F3709*G3709/100,2)</x:f>
        <x:v>45</x:v>
      </x:c>
      <x:c r="I3709" t="n">
        <x:v>0</x:v>
      </x:c>
      <x:c r="J3709" t="n">
        <x:f>ROUND(F3709*I3709/100,2)</x:f>
        <x:v>0</x:v>
      </x:c>
      <x:c r="K3709" t="n">
        <x:v>0</x:v>
      </x:c>
      <x:c r="L3709" t="n">
        <x:f>ROUND(F3709*K3709/100,2)</x:f>
        <x:v>0</x:v>
      </x:c>
      <x:c r="M3709" t="n">
        <x:v>100</x:v>
      </x:c>
      <x:c r="N3709" t="n">
        <x:f>ROUND(F3709*M3709/100,2)</x:f>
        <x:v>5</x:v>
      </x:c>
      <x:c r="O3709" t="str">
        <x:v>实际用油重</x:v>
      </x:c>
    </x:row>
    <x:row r="3710" ht="23" customHeight="1">
      <x:c r="A3710" t="n">
        <x:v>619</x:v>
      </x:c>
      <x:c r="B3710" t="n">
        <x:v>310</x:v>
      </x:c>
      <x:c r="C3710" t="str">
        <x:v>午餐</x:v>
      </x:c>
      <x:c r="D3710" t="str">
        <x:v>海鲜</x:v>
      </x:c>
      <x:c r="E3710" t="str">
        <x:v>花蛤肉</x:v>
      </x:c>
      <x:c r="F3710" t="n">
        <x:v>190</x:v>
      </x:c>
      <x:c r="G3710" t="n">
        <x:v>75</x:v>
      </x:c>
      <x:c r="H3710" t="n">
        <x:f>ROUND(F3710*G3710/100,2)</x:f>
        <x:v>142.5</x:v>
      </x:c>
      <x:c r="I3710" t="n">
        <x:v>13</x:v>
      </x:c>
      <x:c r="J3710" t="n">
        <x:f>ROUND(F3710*I3710/100,2)</x:f>
        <x:v>24.7</x:v>
      </x:c>
      <x:c r="K3710" t="n">
        <x:v>3.5</x:v>
      </x:c>
      <x:c r="L3710" t="n">
        <x:f>ROUND(F3710*K3710/100,2)</x:f>
        <x:v>6.65</x:v>
      </x:c>
      <x:c r="M3710" t="n">
        <x:v>1</x:v>
      </x:c>
      <x:c r="N3710" t="n">
        <x:f>ROUND(F3710*M3710/100,2)</x:f>
        <x:v>1.9</x:v>
      </x:c>
      <x:c r="O3710" t="str">
        <x:v>净肉生重</x:v>
      </x:c>
    </x:row>
    <x:row r="3711" ht="23" customHeight="1">
      <x:c r="A3711" t="n">
        <x:v>619</x:v>
      </x:c>
      <x:c r="B3711" t="n">
        <x:v>310</x:v>
      </x:c>
      <x:c r="C3711" t="str">
        <x:v>午餐</x:v>
      </x:c>
      <x:c r="D3711" t="str"/>
      <x:c r="E3711" t="str"/>
      <x:c r="F3711" t="n">
        <x:v>0</x:v>
      </x:c>
      <x:c r="G3711" t="n">
        <x:v>0</x:v>
      </x:c>
      <x:c r="H3711" t="n">
        <x:f>ROUND(F3711*G3711/100,2)</x:f>
        <x:v>0</x:v>
      </x:c>
      <x:c r="I3711" t="n">
        <x:v>0</x:v>
      </x:c>
      <x:c r="J3711" t="n">
        <x:f>ROUND(F3711*I3711/100,2)</x:f>
        <x:v>0</x:v>
      </x:c>
      <x:c r="K3711" t="n">
        <x:v>0</x:v>
      </x:c>
      <x:c r="L3711" t="n">
        <x:f>ROUND(F3711*K3711/100,2)</x:f>
        <x:v>0</x:v>
      </x:c>
      <x:c r="M3711" t="n">
        <x:v>0</x:v>
      </x:c>
      <x:c r="N3711" t="n">
        <x:f>ROUND(F3711*M3711/100,2)</x:f>
        <x:v>0</x:v>
      </x:c>
      <x:c r="O3711" t="str"/>
    </x:row>
    <x:row r="3712" ht="23" customHeight="1">
      <x:c r="A3712" t="n">
        <x:v>619</x:v>
      </x:c>
      <x:c r="B3712" t="n">
        <x:v>310</x:v>
      </x:c>
      <x:c r="C3712" t="str">
        <x:v>午餐</x:v>
      </x:c>
      <x:c r="D3712" t="str">
        <x:v>蔬菜</x:v>
      </x:c>
      <x:c r="E3712" t="str">
        <x:v>番茄</x:v>
      </x:c>
      <x:c r="F3712" t="n">
        <x:v>190</x:v>
      </x:c>
      <x:c r="G3712" t="n">
        <x:v>20</x:v>
      </x:c>
      <x:c r="H3712" t="n">
        <x:f>ROUND(F3712*G3712/100,2)</x:f>
        <x:v>38</x:v>
      </x:c>
      <x:c r="I3712" t="n">
        <x:v>0.9</x:v>
      </x:c>
      <x:c r="J3712" t="n">
        <x:f>ROUND(F3712*I3712/100,2)</x:f>
        <x:v>1.71</x:v>
      </x:c>
      <x:c r="K3712" t="n">
        <x:v>4</x:v>
      </x:c>
      <x:c r="L3712" t="n">
        <x:f>ROUND(F3712*K3712/100,2)</x:f>
        <x:v>7.6</x:v>
      </x:c>
      <x:c r="M3712" t="n">
        <x:v>0.2</x:v>
      </x:c>
      <x:c r="N3712" t="n">
        <x:f>ROUND(F3712*M3712/100,2)</x:f>
        <x:v>0.38</x:v>
      </x:c>
      <x:c r="O3712" t="str">
        <x:v>生重</x:v>
      </x:c>
    </x:row>
    <x:row r="3713" ht="23" customHeight="1">
      <x:c r="A3713" t="n">
        <x:v>619</x:v>
      </x:c>
      <x:c r="B3713" t="n">
        <x:v>310</x:v>
      </x:c>
      <x:c r="C3713" t="str">
        <x:v>午餐</x:v>
      </x:c>
      <x:c r="D3713" t="str">
        <x:v>菌菇</x:v>
      </x:c>
      <x:c r="E3713" t="str">
        <x:v>口蘑</x:v>
      </x:c>
      <x:c r="F3713" t="n">
        <x:v>125</x:v>
      </x:c>
      <x:c r="G3713" t="n">
        <x:v>22</x:v>
      </x:c>
      <x:c r="H3713" t="n">
        <x:f>ROUND(F3713*G3713/100,2)</x:f>
        <x:v>27.5</x:v>
      </x:c>
      <x:c r="I3713" t="n">
        <x:v>3.1</x:v>
      </x:c>
      <x:c r="J3713" t="n">
        <x:f>ROUND(F3713*I3713/100,2)</x:f>
        <x:v>3.88</x:v>
      </x:c>
      <x:c r="K3713" t="n">
        <x:v>3.3</x:v>
      </x:c>
      <x:c r="L3713" t="n">
        <x:f>ROUND(F3713*K3713/100,2)</x:f>
        <x:v>4.13</x:v>
      </x:c>
      <x:c r="M3713" t="n">
        <x:v>0.3</x:v>
      </x:c>
      <x:c r="N3713" t="n">
        <x:f>ROUND(F3713*M3713/100,2)</x:f>
        <x:v>0.38</x:v>
      </x:c>
      <x:c r="O3713" t="str">
        <x:v>生重</x:v>
      </x:c>
    </x:row>
    <x:row r="3714" ht="23" customHeight="1">
      <x:c r="A3714" t="n">
        <x:v>619</x:v>
      </x:c>
      <x:c r="B3714" t="n">
        <x:v>310</x:v>
      </x:c>
      <x:c r="C3714" t="str">
        <x:v>午餐</x:v>
      </x:c>
      <x:c r="D3714" t="str">
        <x:v>主食</x:v>
      </x:c>
      <x:c r="E3714" t="str">
        <x:v>杂粮饭</x:v>
      </x:c>
      <x:c r="F3714" t="n">
        <x:v>135</x:v>
      </x:c>
      <x:c r="G3714" t="n">
        <x:v>115</x:v>
      </x:c>
      <x:c r="H3714" t="n">
        <x:f>ROUND(F3714*G3714/100,2)</x:f>
        <x:v>155.25</x:v>
      </x:c>
      <x:c r="I3714" t="n">
        <x:v>3.1</x:v>
      </x:c>
      <x:c r="J3714" t="n">
        <x:f>ROUND(F3714*I3714/100,2)</x:f>
        <x:v>4.18</x:v>
      </x:c>
      <x:c r="K3714" t="n">
        <x:v>23.5</x:v>
      </x:c>
      <x:c r="L3714" t="n">
        <x:f>ROUND(F3714*K3714/100,2)</x:f>
        <x:v>31.73</x:v>
      </x:c>
      <x:c r="M3714" t="n">
        <x:v>1.1</x:v>
      </x:c>
      <x:c r="N3714" t="n">
        <x:f>ROUND(F3714*M3714/100,2)</x:f>
        <x:v>1.49</x:v>
      </x:c>
      <x:c r="O3714" t="str">
        <x:v>熟重</x:v>
      </x:c>
    </x:row>
    <x:row r="3715" ht="23" customHeight="1">
      <x:c r="A3715" t="n">
        <x:v>619</x:v>
      </x:c>
      <x:c r="B3715" t="n">
        <x:v>310</x:v>
      </x:c>
      <x:c r="C3715" t="str">
        <x:v>午餐</x:v>
      </x:c>
      <x:c r="D3715" t="str">
        <x:v>油脂</x:v>
      </x:c>
      <x:c r="E3715" t="str">
        <x:v>烹调油</x:v>
      </x:c>
      <x:c r="F3715" t="n">
        <x:v>6</x:v>
      </x:c>
      <x:c r="G3715" t="n">
        <x:v>900</x:v>
      </x:c>
      <x:c r="H3715" t="n">
        <x:f>ROUND(F3715*G3715/100,2)</x:f>
        <x:v>54</x:v>
      </x:c>
      <x:c r="I3715" t="n">
        <x:v>0</x:v>
      </x:c>
      <x:c r="J3715" t="n">
        <x:f>ROUND(F3715*I3715/100,2)</x:f>
        <x:v>0</x:v>
      </x:c>
      <x:c r="K3715" t="n">
        <x:v>0</x:v>
      </x:c>
      <x:c r="L3715" t="n">
        <x:f>ROUND(F3715*K3715/100,2)</x:f>
        <x:v>0</x:v>
      </x:c>
      <x:c r="M3715" t="n">
        <x:v>100</x:v>
      </x:c>
      <x:c r="N3715" t="n">
        <x:f>ROUND(F3715*M3715/100,2)</x:f>
        <x:v>6</x:v>
      </x:c>
      <x:c r="O3715" t="str">
        <x:v>实际用油重</x:v>
      </x:c>
    </x:row>
    <x:row r="3716" ht="23" customHeight="1">
      <x:c r="A3716" t="n">
        <x:v>620</x:v>
      </x:c>
      <x:c r="B3716" t="n">
        <x:v>310</x:v>
      </x:c>
      <x:c r="C3716" t="str">
        <x:v>晚餐</x:v>
      </x:c>
      <x:c r="D3716" t="str">
        <x:v>禽肉</x:v>
      </x:c>
      <x:c r="E3716" t="str">
        <x:v>去皮鸭胸肉</x:v>
      </x:c>
      <x:c r="F3716" t="n">
        <x:v>145</x:v>
      </x:c>
      <x:c r="G3716" t="n">
        <x:v>140</x:v>
      </x:c>
      <x:c r="H3716" t="n">
        <x:f>ROUND(F3716*G3716/100,2)</x:f>
        <x:v>203</x:v>
      </x:c>
      <x:c r="I3716" t="n">
        <x:v>19</x:v>
      </x:c>
      <x:c r="J3716" t="n">
        <x:f>ROUND(F3716*I3716/100,2)</x:f>
        <x:v>27.55</x:v>
      </x:c>
      <x:c r="K3716" t="n">
        <x:v>0</x:v>
      </x:c>
      <x:c r="L3716" t="n">
        <x:f>ROUND(F3716*K3716/100,2)</x:f>
        <x:v>0</x:v>
      </x:c>
      <x:c r="M3716" t="n">
        <x:v>7</x:v>
      </x:c>
      <x:c r="N3716" t="n">
        <x:f>ROUND(F3716*M3716/100,2)</x:f>
        <x:v>10.15</x:v>
      </x:c>
      <x:c r="O3716" t="str">
        <x:v>生重</x:v>
      </x:c>
    </x:row>
    <x:row r="3717" ht="23" customHeight="1">
      <x:c r="A3717" t="n">
        <x:v>620</x:v>
      </x:c>
      <x:c r="B3717" t="n">
        <x:v>310</x:v>
      </x:c>
      <x:c r="C3717" t="str">
        <x:v>晚餐</x:v>
      </x:c>
      <x:c r="D3717" t="str"/>
      <x:c r="E3717" t="str"/>
      <x:c r="F3717" t="n">
        <x:v>0</x:v>
      </x:c>
      <x:c r="G3717" t="n">
        <x:v>0</x:v>
      </x:c>
      <x:c r="H3717" t="n">
        <x:f>ROUND(F3717*G3717/100,2)</x:f>
        <x:v>0</x:v>
      </x:c>
      <x:c r="I3717" t="n">
        <x:v>0</x:v>
      </x:c>
      <x:c r="J3717" t="n">
        <x:f>ROUND(F3717*I3717/100,2)</x:f>
        <x:v>0</x:v>
      </x:c>
      <x:c r="K3717" t="n">
        <x:v>0</x:v>
      </x:c>
      <x:c r="L3717" t="n">
        <x:f>ROUND(F3717*K3717/100,2)</x:f>
        <x:v>0</x:v>
      </x:c>
      <x:c r="M3717" t="n">
        <x:v>0</x:v>
      </x:c>
      <x:c r="N3717" t="n">
        <x:f>ROUND(F3717*M3717/100,2)</x:f>
        <x:v>0</x:v>
      </x:c>
      <x:c r="O3717" t="str"/>
    </x:row>
    <x:row r="3718" ht="23" customHeight="1">
      <x:c r="A3718" t="n">
        <x:v>620</x:v>
      </x:c>
      <x:c r="B3718" t="n">
        <x:v>310</x:v>
      </x:c>
      <x:c r="C3718" t="str">
        <x:v>晚餐</x:v>
      </x:c>
      <x:c r="D3718" t="str">
        <x:v>蔬菜</x:v>
      </x:c>
      <x:c r="E3718" t="str">
        <x:v>芹菜</x:v>
      </x:c>
      <x:c r="F3718" t="n">
        <x:v>190</x:v>
      </x:c>
      <x:c r="G3718" t="n">
        <x:v>17</x:v>
      </x:c>
      <x:c r="H3718" t="n">
        <x:f>ROUND(F3718*G3718/100,2)</x:f>
        <x:v>32.3</x:v>
      </x:c>
      <x:c r="I3718" t="n">
        <x:v>1</x:v>
      </x:c>
      <x:c r="J3718" t="n">
        <x:f>ROUND(F3718*I3718/100,2)</x:f>
        <x:v>1.9</x:v>
      </x:c>
      <x:c r="K3718" t="n">
        <x:v>3.5</x:v>
      </x:c>
      <x:c r="L3718" t="n">
        <x:f>ROUND(F3718*K3718/100,2)</x:f>
        <x:v>6.65</x:v>
      </x:c>
      <x:c r="M3718" t="n">
        <x:v>0.1</x:v>
      </x:c>
      <x:c r="N3718" t="n">
        <x:f>ROUND(F3718*M3718/100,2)</x:f>
        <x:v>0.19</x:v>
      </x:c>
      <x:c r="O3718" t="str">
        <x:v>生重</x:v>
      </x:c>
    </x:row>
    <x:row r="3719" ht="23" customHeight="1">
      <x:c r="A3719" t="n">
        <x:v>620</x:v>
      </x:c>
      <x:c r="B3719" t="n">
        <x:v>310</x:v>
      </x:c>
      <x:c r="C3719" t="str">
        <x:v>晚餐</x:v>
      </x:c>
      <x:c r="D3719" t="str">
        <x:v>蔬菜</x:v>
      </x:c>
      <x:c r="E3719" t="str">
        <x:v>芦笋</x:v>
      </x:c>
      <x:c r="F3719" t="n">
        <x:v>155</x:v>
      </x:c>
      <x:c r="G3719" t="n">
        <x:v>20</x:v>
      </x:c>
      <x:c r="H3719" t="n">
        <x:f>ROUND(F3719*G3719/100,2)</x:f>
        <x:v>31</x:v>
      </x:c>
      <x:c r="I3719" t="n">
        <x:v>2.2</x:v>
      </x:c>
      <x:c r="J3719" t="n">
        <x:f>ROUND(F3719*I3719/100,2)</x:f>
        <x:v>3.41</x:v>
      </x:c>
      <x:c r="K3719" t="n">
        <x:v>3.9</x:v>
      </x:c>
      <x:c r="L3719" t="n">
        <x:f>ROUND(F3719*K3719/100,2)</x:f>
        <x:v>6.05</x:v>
      </x:c>
      <x:c r="M3719" t="n">
        <x:v>0.1</x:v>
      </x:c>
      <x:c r="N3719" t="n">
        <x:f>ROUND(F3719*M3719/100,2)</x:f>
        <x:v>0.16</x:v>
      </x:c>
      <x:c r="O3719" t="str">
        <x:v>生重</x:v>
      </x:c>
    </x:row>
    <x:row r="3720" ht="23" customHeight="1">
      <x:c r="A3720" t="n">
        <x:v>620</x:v>
      </x:c>
      <x:c r="B3720" t="n">
        <x:v>310</x:v>
      </x:c>
      <x:c r="C3720" t="str">
        <x:v>晚餐</x:v>
      </x:c>
      <x:c r="D3720" t="str">
        <x:v>主食</x:v>
      </x:c>
      <x:c r="E3720" t="str">
        <x:v>糙米饭</x:v>
      </x:c>
      <x:c r="F3720" t="n">
        <x:v>110</x:v>
      </x:c>
      <x:c r="G3720" t="n">
        <x:v>112</x:v>
      </x:c>
      <x:c r="H3720" t="n">
        <x:f>ROUND(F3720*G3720/100,2)</x:f>
        <x:v>123.2</x:v>
      </x:c>
      <x:c r="I3720" t="n">
        <x:v>2.6</x:v>
      </x:c>
      <x:c r="J3720" t="n">
        <x:f>ROUND(F3720*I3720/100,2)</x:f>
        <x:v>2.86</x:v>
      </x:c>
      <x:c r="K3720" t="n">
        <x:v>23.5</x:v>
      </x:c>
      <x:c r="L3720" t="n">
        <x:f>ROUND(F3720*K3720/100,2)</x:f>
        <x:v>25.85</x:v>
      </x:c>
      <x:c r="M3720" t="n">
        <x:v>0.9</x:v>
      </x:c>
      <x:c r="N3720" t="n">
        <x:f>ROUND(F3720*M3720/100,2)</x:f>
        <x:v>0.99</x:v>
      </x:c>
      <x:c r="O3720" t="str">
        <x:v>熟重</x:v>
      </x:c>
    </x:row>
    <x:row r="3721" ht="23" customHeight="1">
      <x:c r="A3721" t="n">
        <x:v>620</x:v>
      </x:c>
      <x:c r="B3721" t="n">
        <x:v>310</x:v>
      </x:c>
      <x:c r="C3721" t="str">
        <x:v>晚餐</x:v>
      </x:c>
      <x:c r="D3721" t="str">
        <x:v>油脂</x:v>
      </x:c>
      <x:c r="E3721" t="str">
        <x:v>烹调油</x:v>
      </x:c>
      <x:c r="F3721" t="n">
        <x:v>5</x:v>
      </x:c>
      <x:c r="G3721" t="n">
        <x:v>900</x:v>
      </x:c>
      <x:c r="H3721" t="n">
        <x:f>ROUND(F3721*G3721/100,2)</x:f>
        <x:v>45</x:v>
      </x:c>
      <x:c r="I3721" t="n">
        <x:v>0</x:v>
      </x:c>
      <x:c r="J3721" t="n">
        <x:f>ROUND(F3721*I3721/100,2)</x:f>
        <x:v>0</x:v>
      </x:c>
      <x:c r="K3721" t="n">
        <x:v>0</x:v>
      </x:c>
      <x:c r="L3721" t="n">
        <x:f>ROUND(F3721*K3721/100,2)</x:f>
        <x:v>0</x:v>
      </x:c>
      <x:c r="M3721" t="n">
        <x:v>100</x:v>
      </x:c>
      <x:c r="N3721" t="n">
        <x:f>ROUND(F3721*M3721/100,2)</x:f>
        <x:v>5</x:v>
      </x:c>
      <x:c r="O3721" t="str">
        <x:v>实际用油重</x:v>
      </x:c>
    </x:row>
    <x:row r="3722" ht="23" customHeight="1">
      <x:c r="A3722" t="n">
        <x:v>621</x:v>
      </x:c>
      <x:c r="B3722" t="n">
        <x:v>311</x:v>
      </x:c>
      <x:c r="C3722" t="str">
        <x:v>午餐</x:v>
      </x:c>
      <x:c r="D3722" t="str">
        <x:v>豆蛋</x:v>
      </x:c>
      <x:c r="E3722" t="str">
        <x:v>北豆腐</x:v>
      </x:c>
      <x:c r="F3722" t="n">
        <x:v>300</x:v>
      </x:c>
      <x:c r="G3722" t="n">
        <x:v>90</x:v>
      </x:c>
      <x:c r="H3722" t="n">
        <x:f>ROUND(F3722*G3722/100,2)</x:f>
        <x:v>270</x:v>
      </x:c>
      <x:c r="I3722" t="n">
        <x:v>10</x:v>
      </x:c>
      <x:c r="J3722" t="n">
        <x:f>ROUND(F3722*I3722/100,2)</x:f>
        <x:v>30</x:v>
      </x:c>
      <x:c r="K3722" t="n">
        <x:v>2</x:v>
      </x:c>
      <x:c r="L3722" t="n">
        <x:f>ROUND(F3722*K3722/100,2)</x:f>
        <x:v>6</x:v>
      </x:c>
      <x:c r="M3722" t="n">
        <x:v>5</x:v>
      </x:c>
      <x:c r="N3722" t="n">
        <x:f>ROUND(F3722*M3722/100,2)</x:f>
        <x:v>15</x:v>
      </x:c>
      <x:c r="O3722" t="str">
        <x:v>净重</x:v>
      </x:c>
    </x:row>
    <x:row r="3723" ht="23" customHeight="1">
      <x:c r="A3723" t="n">
        <x:v>621</x:v>
      </x:c>
      <x:c r="B3723" t="n">
        <x:v>311</x:v>
      </x:c>
      <x:c r="C3723" t="str">
        <x:v>午餐</x:v>
      </x:c>
      <x:c r="D3723" t="str"/>
      <x:c r="E3723" t="str"/>
      <x:c r="F3723" t="n">
        <x:v>0</x:v>
      </x:c>
      <x:c r="G3723" t="n">
        <x:v>0</x:v>
      </x:c>
      <x:c r="H3723" t="n">
        <x:f>ROUND(F3723*G3723/100,2)</x:f>
        <x:v>0</x:v>
      </x:c>
      <x:c r="I3723" t="n">
        <x:v>0</x:v>
      </x:c>
      <x:c r="J3723" t="n">
        <x:f>ROUND(F3723*I3723/100,2)</x:f>
        <x:v>0</x:v>
      </x:c>
      <x:c r="K3723" t="n">
        <x:v>0</x:v>
      </x:c>
      <x:c r="L3723" t="n">
        <x:f>ROUND(F3723*K3723/100,2)</x:f>
        <x:v>0</x:v>
      </x:c>
      <x:c r="M3723" t="n">
        <x:v>0</x:v>
      </x:c>
      <x:c r="N3723" t="n">
        <x:f>ROUND(F3723*M3723/100,2)</x:f>
        <x:v>0</x:v>
      </x:c>
      <x:c r="O3723" t="str"/>
    </x:row>
    <x:row r="3724" ht="23" customHeight="1">
      <x:c r="A3724" t="n">
        <x:v>621</x:v>
      </x:c>
      <x:c r="B3724" t="n">
        <x:v>311</x:v>
      </x:c>
      <x:c r="C3724" t="str">
        <x:v>午餐</x:v>
      </x:c>
      <x:c r="D3724" t="str">
        <x:v>蔬菜</x:v>
      </x:c>
      <x:c r="E3724" t="str">
        <x:v>小白菜</x:v>
      </x:c>
      <x:c r="F3724" t="n">
        <x:v>140</x:v>
      </x:c>
      <x:c r="G3724" t="n">
        <x:v>17</x:v>
      </x:c>
      <x:c r="H3724" t="n">
        <x:f>ROUND(F3724*G3724/100,2)</x:f>
        <x:v>23.8</x:v>
      </x:c>
      <x:c r="I3724" t="n">
        <x:v>1.6</x:v>
      </x:c>
      <x:c r="J3724" t="n">
        <x:f>ROUND(F3724*I3724/100,2)</x:f>
        <x:v>2.24</x:v>
      </x:c>
      <x:c r="K3724" t="n">
        <x:v>2.8</x:v>
      </x:c>
      <x:c r="L3724" t="n">
        <x:f>ROUND(F3724*K3724/100,2)</x:f>
        <x:v>3.92</x:v>
      </x:c>
      <x:c r="M3724" t="n">
        <x:v>0.2</x:v>
      </x:c>
      <x:c r="N3724" t="n">
        <x:f>ROUND(F3724*M3724/100,2)</x:f>
        <x:v>0.28</x:v>
      </x:c>
      <x:c r="O3724" t="str">
        <x:v>生重</x:v>
      </x:c>
    </x:row>
    <x:row r="3725" ht="23" customHeight="1">
      <x:c r="A3725" t="n">
        <x:v>621</x:v>
      </x:c>
      <x:c r="B3725" t="n">
        <x:v>311</x:v>
      </x:c>
      <x:c r="C3725" t="str">
        <x:v>午餐</x:v>
      </x:c>
      <x:c r="D3725" t="str">
        <x:v>蔬菜</x:v>
      </x:c>
      <x:c r="E3725" t="str">
        <x:v>胡萝卜</x:v>
      </x:c>
      <x:c r="F3725" t="n">
        <x:v>125</x:v>
      </x:c>
      <x:c r="G3725" t="n">
        <x:v>41</x:v>
      </x:c>
      <x:c r="H3725" t="n">
        <x:f>ROUND(F3725*G3725/100,2)</x:f>
        <x:v>51.25</x:v>
      </x:c>
      <x:c r="I3725" t="n">
        <x:v>0.9</x:v>
      </x:c>
      <x:c r="J3725" t="n">
        <x:f>ROUND(F3725*I3725/100,2)</x:f>
        <x:v>1.13</x:v>
      </x:c>
      <x:c r="K3725" t="n">
        <x:v>10</x:v>
      </x:c>
      <x:c r="L3725" t="n">
        <x:f>ROUND(F3725*K3725/100,2)</x:f>
        <x:v>12.5</x:v>
      </x:c>
      <x:c r="M3725" t="n">
        <x:v>0.2</x:v>
      </x:c>
      <x:c r="N3725" t="n">
        <x:f>ROUND(F3725*M3725/100,2)</x:f>
        <x:v>0.25</x:v>
      </x:c>
      <x:c r="O3725" t="str">
        <x:v>生重</x:v>
      </x:c>
    </x:row>
    <x:row r="3726" ht="23" customHeight="1">
      <x:c r="A3726" t="n">
        <x:v>621</x:v>
      </x:c>
      <x:c r="B3726" t="n">
        <x:v>311</x:v>
      </x:c>
      <x:c r="C3726" t="str">
        <x:v>午餐</x:v>
      </x:c>
      <x:c r="D3726" t="str">
        <x:v>主食</x:v>
      </x:c>
      <x:c r="E3726" t="str">
        <x:v>糙米饭</x:v>
      </x:c>
      <x:c r="F3726" t="n">
        <x:v>110</x:v>
      </x:c>
      <x:c r="G3726" t="n">
        <x:v>112</x:v>
      </x:c>
      <x:c r="H3726" t="n">
        <x:f>ROUND(F3726*G3726/100,2)</x:f>
        <x:v>123.2</x:v>
      </x:c>
      <x:c r="I3726" t="n">
        <x:v>2.6</x:v>
      </x:c>
      <x:c r="J3726" t="n">
        <x:f>ROUND(F3726*I3726/100,2)</x:f>
        <x:v>2.86</x:v>
      </x:c>
      <x:c r="K3726" t="n">
        <x:v>23.5</x:v>
      </x:c>
      <x:c r="L3726" t="n">
        <x:f>ROUND(F3726*K3726/100,2)</x:f>
        <x:v>25.85</x:v>
      </x:c>
      <x:c r="M3726" t="n">
        <x:v>0.9</x:v>
      </x:c>
      <x:c r="N3726" t="n">
        <x:f>ROUND(F3726*M3726/100,2)</x:f>
        <x:v>0.99</x:v>
      </x:c>
      <x:c r="O3726" t="str">
        <x:v>熟重</x:v>
      </x:c>
    </x:row>
    <x:row r="3727" ht="23" customHeight="1">
      <x:c r="A3727" t="n">
        <x:v>621</x:v>
      </x:c>
      <x:c r="B3727" t="n">
        <x:v>311</x:v>
      </x:c>
      <x:c r="C3727" t="str">
        <x:v>午餐</x:v>
      </x:c>
      <x:c r="D3727" t="str">
        <x:v>油脂</x:v>
      </x:c>
      <x:c r="E3727" t="str">
        <x:v>烹调油</x:v>
      </x:c>
      <x:c r="F3727" t="n">
        <x:v>6</x:v>
      </x:c>
      <x:c r="G3727" t="n">
        <x:v>900</x:v>
      </x:c>
      <x:c r="H3727" t="n">
        <x:f>ROUND(F3727*G3727/100,2)</x:f>
        <x:v>54</x:v>
      </x:c>
      <x:c r="I3727" t="n">
        <x:v>0</x:v>
      </x:c>
      <x:c r="J3727" t="n">
        <x:f>ROUND(F3727*I3727/100,2)</x:f>
        <x:v>0</x:v>
      </x:c>
      <x:c r="K3727" t="n">
        <x:v>0</x:v>
      </x:c>
      <x:c r="L3727" t="n">
        <x:f>ROUND(F3727*K3727/100,2)</x:f>
        <x:v>0</x:v>
      </x:c>
      <x:c r="M3727" t="n">
        <x:v>100</x:v>
      </x:c>
      <x:c r="N3727" t="n">
        <x:f>ROUND(F3727*M3727/100,2)</x:f>
        <x:v>6</x:v>
      </x:c>
      <x:c r="O3727" t="str">
        <x:v>实际用油重</x:v>
      </x:c>
    </x:row>
    <x:row r="3728" ht="23" customHeight="1">
      <x:c r="A3728" t="n">
        <x:v>622</x:v>
      </x:c>
      <x:c r="B3728" t="n">
        <x:v>311</x:v>
      </x:c>
      <x:c r="C3728" t="str">
        <x:v>晚餐</x:v>
      </x:c>
      <x:c r="D3728" t="str">
        <x:v>豆蛋</x:v>
      </x:c>
      <x:c r="E3728" t="str">
        <x:v>鸡蛋</x:v>
      </x:c>
      <x:c r="F3728" t="n">
        <x:v>100</x:v>
      </x:c>
      <x:c r="G3728" t="n">
        <x:v>144</x:v>
      </x:c>
      <x:c r="H3728" t="n">
        <x:f>ROUND(F3728*G3728/100,2)</x:f>
        <x:v>144</x:v>
      </x:c>
      <x:c r="I3728" t="n">
        <x:v>13</x:v>
      </x:c>
      <x:c r="J3728" t="n">
        <x:f>ROUND(F3728*I3728/100,2)</x:f>
        <x:v>13</x:v>
      </x:c>
      <x:c r="K3728" t="n">
        <x:v>1.1</x:v>
      </x:c>
      <x:c r="L3728" t="n">
        <x:f>ROUND(F3728*K3728/100,2)</x:f>
        <x:v>1.1</x:v>
      </x:c>
      <x:c r="M3728" t="n">
        <x:v>10</x:v>
      </x:c>
      <x:c r="N3728" t="n">
        <x:f>ROUND(F3728*M3728/100,2)</x:f>
        <x:v>10</x:v>
      </x:c>
      <x:c r="O3728" t="str">
        <x:v>去壳可食重</x:v>
      </x:c>
    </x:row>
    <x:row r="3729" ht="23" customHeight="1">
      <x:c r="A3729" t="n">
        <x:v>622</x:v>
      </x:c>
      <x:c r="B3729" t="n">
        <x:v>311</x:v>
      </x:c>
      <x:c r="C3729" t="str">
        <x:v>晚餐</x:v>
      </x:c>
      <x:c r="D3729" t="str">
        <x:v>豆蛋</x:v>
      </x:c>
      <x:c r="E3729" t="str">
        <x:v>北豆腐</x:v>
      </x:c>
      <x:c r="F3729" t="n">
        <x:v>130</x:v>
      </x:c>
      <x:c r="G3729" t="n">
        <x:v>90</x:v>
      </x:c>
      <x:c r="H3729" t="n">
        <x:f>ROUND(F3729*G3729/100,2)</x:f>
        <x:v>117</x:v>
      </x:c>
      <x:c r="I3729" t="n">
        <x:v>10</x:v>
      </x:c>
      <x:c r="J3729" t="n">
        <x:f>ROUND(F3729*I3729/100,2)</x:f>
        <x:v>13</x:v>
      </x:c>
      <x:c r="K3729" t="n">
        <x:v>2</x:v>
      </x:c>
      <x:c r="L3729" t="n">
        <x:f>ROUND(F3729*K3729/100,2)</x:f>
        <x:v>2.6</x:v>
      </x:c>
      <x:c r="M3729" t="n">
        <x:v>5</x:v>
      </x:c>
      <x:c r="N3729" t="n">
        <x:f>ROUND(F3729*M3729/100,2)</x:f>
        <x:v>6.5</x:v>
      </x:c>
      <x:c r="O3729" t="str">
        <x:v>净重</x:v>
      </x:c>
    </x:row>
    <x:row r="3730" ht="23" customHeight="1">
      <x:c r="A3730" t="n">
        <x:v>622</x:v>
      </x:c>
      <x:c r="B3730" t="n">
        <x:v>311</x:v>
      </x:c>
      <x:c r="C3730" t="str">
        <x:v>晚餐</x:v>
      </x:c>
      <x:c r="D3730" t="str">
        <x:v>蔬菜</x:v>
      </x:c>
      <x:c r="E3730" t="str">
        <x:v>菠菜</x:v>
      </x:c>
      <x:c r="F3730" t="n">
        <x:v>190</x:v>
      </x:c>
      <x:c r="G3730" t="n">
        <x:v>23</x:v>
      </x:c>
      <x:c r="H3730" t="n">
        <x:f>ROUND(F3730*G3730/100,2)</x:f>
        <x:v>43.7</x:v>
      </x:c>
      <x:c r="I3730" t="n">
        <x:v>2.9</x:v>
      </x:c>
      <x:c r="J3730" t="n">
        <x:f>ROUND(F3730*I3730/100,2)</x:f>
        <x:v>5.51</x:v>
      </x:c>
      <x:c r="K3730" t="n">
        <x:v>3.6</x:v>
      </x:c>
      <x:c r="L3730" t="n">
        <x:f>ROUND(F3730*K3730/100,2)</x:f>
        <x:v>6.84</x:v>
      </x:c>
      <x:c r="M3730" t="n">
        <x:v>0.4</x:v>
      </x:c>
      <x:c r="N3730" t="n">
        <x:f>ROUND(F3730*M3730/100,2)</x:f>
        <x:v>0.76</x:v>
      </x:c>
      <x:c r="O3730" t="str">
        <x:v>生重</x:v>
      </x:c>
    </x:row>
    <x:row r="3731" ht="23" customHeight="1">
      <x:c r="A3731" t="n">
        <x:v>622</x:v>
      </x:c>
      <x:c r="B3731" t="n">
        <x:v>311</x:v>
      </x:c>
      <x:c r="C3731" t="str">
        <x:v>晚餐</x:v>
      </x:c>
      <x:c r="D3731" t="str">
        <x:v>菌菇</x:v>
      </x:c>
      <x:c r="E3731" t="str">
        <x:v>香菇</x:v>
      </x:c>
      <x:c r="F3731" t="n">
        <x:v>155</x:v>
      </x:c>
      <x:c r="G3731" t="n">
        <x:v>34</x:v>
      </x:c>
      <x:c r="H3731" t="n">
        <x:f>ROUND(F3731*G3731/100,2)</x:f>
        <x:v>52.7</x:v>
      </x:c>
      <x:c r="I3731" t="n">
        <x:v>2.2</x:v>
      </x:c>
      <x:c r="J3731" t="n">
        <x:f>ROUND(F3731*I3731/100,2)</x:f>
        <x:v>3.41</x:v>
      </x:c>
      <x:c r="K3731" t="n">
        <x:v>6.8</x:v>
      </x:c>
      <x:c r="L3731" t="n">
        <x:f>ROUND(F3731*K3731/100,2)</x:f>
        <x:v>10.54</x:v>
      </x:c>
      <x:c r="M3731" t="n">
        <x:v>0.5</x:v>
      </x:c>
      <x:c r="N3731" t="n">
        <x:f>ROUND(F3731*M3731/100,2)</x:f>
        <x:v>0.78</x:v>
      </x:c>
      <x:c r="O3731" t="str">
        <x:v>生重</x:v>
      </x:c>
    </x:row>
    <x:row r="3732" ht="23" customHeight="1">
      <x:c r="A3732" t="n">
        <x:v>622</x:v>
      </x:c>
      <x:c r="B3732" t="n">
        <x:v>311</x:v>
      </x:c>
      <x:c r="C3732" t="str">
        <x:v>晚餐</x:v>
      </x:c>
      <x:c r="D3732" t="str">
        <x:v>主食</x:v>
      </x:c>
      <x:c r="E3732" t="str">
        <x:v>燕麦饭</x:v>
      </x:c>
      <x:c r="F3732" t="n">
        <x:v>125</x:v>
      </x:c>
      <x:c r="G3732" t="n">
        <x:v>110</x:v>
      </x:c>
      <x:c r="H3732" t="n">
        <x:f>ROUND(F3732*G3732/100,2)</x:f>
        <x:v>137.5</x:v>
      </x:c>
      <x:c r="I3732" t="n">
        <x:v>3.2</x:v>
      </x:c>
      <x:c r="J3732" t="n">
        <x:f>ROUND(F3732*I3732/100,2)</x:f>
        <x:v>4</x:v>
      </x:c>
      <x:c r="K3732" t="n">
        <x:v>21</x:v>
      </x:c>
      <x:c r="L3732" t="n">
        <x:f>ROUND(F3732*K3732/100,2)</x:f>
        <x:v>26.25</x:v>
      </x:c>
      <x:c r="M3732" t="n">
        <x:v>1.8</x:v>
      </x:c>
      <x:c r="N3732" t="n">
        <x:f>ROUND(F3732*M3732/100,2)</x:f>
        <x:v>2.25</x:v>
      </x:c>
      <x:c r="O3732" t="str">
        <x:v>熟重</x:v>
      </x:c>
    </x:row>
    <x:row r="3733" ht="23" customHeight="1">
      <x:c r="A3733" t="n">
        <x:v>622</x:v>
      </x:c>
      <x:c r="B3733" t="n">
        <x:v>311</x:v>
      </x:c>
      <x:c r="C3733" t="str">
        <x:v>晚餐</x:v>
      </x:c>
      <x:c r="D3733" t="str">
        <x:v>油脂</x:v>
      </x:c>
      <x:c r="E3733" t="str">
        <x:v>烹调油</x:v>
      </x:c>
      <x:c r="F3733" t="n">
        <x:v>5</x:v>
      </x:c>
      <x:c r="G3733" t="n">
        <x:v>900</x:v>
      </x:c>
      <x:c r="H3733" t="n">
        <x:f>ROUND(F3733*G3733/100,2)</x:f>
        <x:v>45</x:v>
      </x:c>
      <x:c r="I3733" t="n">
        <x:v>0</x:v>
      </x:c>
      <x:c r="J3733" t="n">
        <x:f>ROUND(F3733*I3733/100,2)</x:f>
        <x:v>0</x:v>
      </x:c>
      <x:c r="K3733" t="n">
        <x:v>0</x:v>
      </x:c>
      <x:c r="L3733" t="n">
        <x:f>ROUND(F3733*K3733/100,2)</x:f>
        <x:v>0</x:v>
      </x:c>
      <x:c r="M3733" t="n">
        <x:v>100</x:v>
      </x:c>
      <x:c r="N3733" t="n">
        <x:f>ROUND(F3733*M3733/100,2)</x:f>
        <x:v>5</x:v>
      </x:c>
      <x:c r="O3733" t="str">
        <x:v>实际用油重</x:v>
      </x:c>
    </x:row>
    <x:row r="3734" ht="23" customHeight="1">
      <x:c r="A3734" t="n">
        <x:v>623</x:v>
      </x:c>
      <x:c r="B3734" t="n">
        <x:v>312</x:v>
      </x:c>
      <x:c r="C3734" t="str">
        <x:v>午餐</x:v>
      </x:c>
      <x:c r="D3734" t="str">
        <x:v>鱼类</x:v>
      </x:c>
      <x:c r="E3734" t="str">
        <x:v>鳕鱼</x:v>
      </x:c>
      <x:c r="F3734" t="n">
        <x:v>185</x:v>
      </x:c>
      <x:c r="G3734" t="n">
        <x:v>85</x:v>
      </x:c>
      <x:c r="H3734" t="n">
        <x:f>ROUND(F3734*G3734/100,2)</x:f>
        <x:v>157.25</x:v>
      </x:c>
      <x:c r="I3734" t="n">
        <x:v>18</x:v>
      </x:c>
      <x:c r="J3734" t="n">
        <x:f>ROUND(F3734*I3734/100,2)</x:f>
        <x:v>33.3</x:v>
      </x:c>
      <x:c r="K3734" t="n">
        <x:v>0</x:v>
      </x:c>
      <x:c r="L3734" t="n">
        <x:f>ROUND(F3734*K3734/100,2)</x:f>
        <x:v>0</x:v>
      </x:c>
      <x:c r="M3734" t="n">
        <x:v>0.8</x:v>
      </x:c>
      <x:c r="N3734" t="n">
        <x:f>ROUND(F3734*M3734/100,2)</x:f>
        <x:v>1.48</x:v>
      </x:c>
      <x:c r="O3734" t="str">
        <x:v>净鱼肉生重</x:v>
      </x:c>
    </x:row>
    <x:row r="3735" ht="23" customHeight="1">
      <x:c r="A3735" t="n">
        <x:v>623</x:v>
      </x:c>
      <x:c r="B3735" t="n">
        <x:v>312</x:v>
      </x:c>
      <x:c r="C3735" t="str">
        <x:v>午餐</x:v>
      </x:c>
      <x:c r="D3735" t="str"/>
      <x:c r="E3735" t="str"/>
      <x:c r="F3735" t="n">
        <x:v>0</x:v>
      </x:c>
      <x:c r="G3735" t="n">
        <x:v>0</x:v>
      </x:c>
      <x:c r="H3735" t="n">
        <x:f>ROUND(F3735*G3735/100,2)</x:f>
        <x:v>0</x:v>
      </x:c>
      <x:c r="I3735" t="n">
        <x:v>0</x:v>
      </x:c>
      <x:c r="J3735" t="n">
        <x:f>ROUND(F3735*I3735/100,2)</x:f>
        <x:v>0</x:v>
      </x:c>
      <x:c r="K3735" t="n">
        <x:v>0</x:v>
      </x:c>
      <x:c r="L3735" t="n">
        <x:f>ROUND(F3735*K3735/100,2)</x:f>
        <x:v>0</x:v>
      </x:c>
      <x:c r="M3735" t="n">
        <x:v>0</x:v>
      </x:c>
      <x:c r="N3735" t="n">
        <x:f>ROUND(F3735*M3735/100,2)</x:f>
        <x:v>0</x:v>
      </x:c>
      <x:c r="O3735" t="str"/>
    </x:row>
    <x:row r="3736" ht="23" customHeight="1">
      <x:c r="A3736" t="n">
        <x:v>623</x:v>
      </x:c>
      <x:c r="B3736" t="n">
        <x:v>312</x:v>
      </x:c>
      <x:c r="C3736" t="str">
        <x:v>午餐</x:v>
      </x:c>
      <x:c r="D3736" t="str">
        <x:v>蔬菜</x:v>
      </x:c>
      <x:c r="E3736" t="str">
        <x:v>茼蒿</x:v>
      </x:c>
      <x:c r="F3736" t="n">
        <x:v>190</x:v>
      </x:c>
      <x:c r="G3736" t="n">
        <x:v>24</x:v>
      </x:c>
      <x:c r="H3736" t="n">
        <x:f>ROUND(F3736*G3736/100,2)</x:f>
        <x:v>45.6</x:v>
      </x:c>
      <x:c r="I3736" t="n">
        <x:v>1.9</x:v>
      </x:c>
      <x:c r="J3736" t="n">
        <x:f>ROUND(F3736*I3736/100,2)</x:f>
        <x:v>3.61</x:v>
      </x:c>
      <x:c r="K3736" t="n">
        <x:v>4.3</x:v>
      </x:c>
      <x:c r="L3736" t="n">
        <x:f>ROUND(F3736*K3736/100,2)</x:f>
        <x:v>8.17</x:v>
      </x:c>
      <x:c r="M3736" t="n">
        <x:v>0.3</x:v>
      </x:c>
      <x:c r="N3736" t="n">
        <x:f>ROUND(F3736*M3736/100,2)</x:f>
        <x:v>0.57</x:v>
      </x:c>
      <x:c r="O3736" t="str">
        <x:v>生重</x:v>
      </x:c>
    </x:row>
    <x:row r="3737" ht="23" customHeight="1">
      <x:c r="A3737" t="n">
        <x:v>623</x:v>
      </x:c>
      <x:c r="B3737" t="n">
        <x:v>312</x:v>
      </x:c>
      <x:c r="C3737" t="str">
        <x:v>午餐</x:v>
      </x:c>
      <x:c r="D3737" t="str">
        <x:v>菌菇</x:v>
      </x:c>
      <x:c r="E3737" t="str">
        <x:v>金针菇</x:v>
      </x:c>
      <x:c r="F3737" t="n">
        <x:v>125</x:v>
      </x:c>
      <x:c r="G3737" t="n">
        <x:v>32</x:v>
      </x:c>
      <x:c r="H3737" t="n">
        <x:f>ROUND(F3737*G3737/100,2)</x:f>
        <x:v>40</x:v>
      </x:c>
      <x:c r="I3737" t="n">
        <x:v>2.4</x:v>
      </x:c>
      <x:c r="J3737" t="n">
        <x:f>ROUND(F3737*I3737/100,2)</x:f>
        <x:v>3</x:v>
      </x:c>
      <x:c r="K3737" t="n">
        <x:v>6.4</x:v>
      </x:c>
      <x:c r="L3737" t="n">
        <x:f>ROUND(F3737*K3737/100,2)</x:f>
        <x:v>8</x:v>
      </x:c>
      <x:c r="M3737" t="n">
        <x:v>0.2</x:v>
      </x:c>
      <x:c r="N3737" t="n">
        <x:f>ROUND(F3737*M3737/100,2)</x:f>
        <x:v>0.25</x:v>
      </x:c>
      <x:c r="O3737" t="str">
        <x:v>生重</x:v>
      </x:c>
    </x:row>
    <x:row r="3738" ht="23" customHeight="1">
      <x:c r="A3738" t="n">
        <x:v>623</x:v>
      </x:c>
      <x:c r="B3738" t="n">
        <x:v>312</x:v>
      </x:c>
      <x:c r="C3738" t="str">
        <x:v>午餐</x:v>
      </x:c>
      <x:c r="D3738" t="str">
        <x:v>主食</x:v>
      </x:c>
      <x:c r="E3738" t="str">
        <x:v>糙米饭</x:v>
      </x:c>
      <x:c r="F3738" t="n">
        <x:v>110</x:v>
      </x:c>
      <x:c r="G3738" t="n">
        <x:v>112</x:v>
      </x:c>
      <x:c r="H3738" t="n">
        <x:f>ROUND(F3738*G3738/100,2)</x:f>
        <x:v>123.2</x:v>
      </x:c>
      <x:c r="I3738" t="n">
        <x:v>2.6</x:v>
      </x:c>
      <x:c r="J3738" t="n">
        <x:f>ROUND(F3738*I3738/100,2)</x:f>
        <x:v>2.86</x:v>
      </x:c>
      <x:c r="K3738" t="n">
        <x:v>23.5</x:v>
      </x:c>
      <x:c r="L3738" t="n">
        <x:f>ROUND(F3738*K3738/100,2)</x:f>
        <x:v>25.85</x:v>
      </x:c>
      <x:c r="M3738" t="n">
        <x:v>0.9</x:v>
      </x:c>
      <x:c r="N3738" t="n">
        <x:f>ROUND(F3738*M3738/100,2)</x:f>
        <x:v>0.99</x:v>
      </x:c>
      <x:c r="O3738" t="str">
        <x:v>熟重</x:v>
      </x:c>
    </x:row>
    <x:row r="3739" ht="23" customHeight="1">
      <x:c r="A3739" t="n">
        <x:v>623</x:v>
      </x:c>
      <x:c r="B3739" t="n">
        <x:v>312</x:v>
      </x:c>
      <x:c r="C3739" t="str">
        <x:v>午餐</x:v>
      </x:c>
      <x:c r="D3739" t="str">
        <x:v>油脂</x:v>
      </x:c>
      <x:c r="E3739" t="str">
        <x:v>烹调油</x:v>
      </x:c>
      <x:c r="F3739" t="n">
        <x:v>5</x:v>
      </x:c>
      <x:c r="G3739" t="n">
        <x:v>900</x:v>
      </x:c>
      <x:c r="H3739" t="n">
        <x:f>ROUND(F3739*G3739/100,2)</x:f>
        <x:v>45</x:v>
      </x:c>
      <x:c r="I3739" t="n">
        <x:v>0</x:v>
      </x:c>
      <x:c r="J3739" t="n">
        <x:f>ROUND(F3739*I3739/100,2)</x:f>
        <x:v>0</x:v>
      </x:c>
      <x:c r="K3739" t="n">
        <x:v>0</x:v>
      </x:c>
      <x:c r="L3739" t="n">
        <x:f>ROUND(F3739*K3739/100,2)</x:f>
        <x:v>0</x:v>
      </x:c>
      <x:c r="M3739" t="n">
        <x:v>100</x:v>
      </x:c>
      <x:c r="N3739" t="n">
        <x:f>ROUND(F3739*M3739/100,2)</x:f>
        <x:v>5</x:v>
      </x:c>
      <x:c r="O3739" t="str">
        <x:v>实际用油重</x:v>
      </x:c>
    </x:row>
    <x:row r="3740" ht="23" customHeight="1">
      <x:c r="A3740" t="n">
        <x:v>624</x:v>
      </x:c>
      <x:c r="B3740" t="n">
        <x:v>312</x:v>
      </x:c>
      <x:c r="C3740" t="str">
        <x:v>晚餐</x:v>
      </x:c>
      <x:c r="D3740" t="str">
        <x:v>豆蛋</x:v>
      </x:c>
      <x:c r="E3740" t="str">
        <x:v>鸡蛋</x:v>
      </x:c>
      <x:c r="F3740" t="n">
        <x:v>120</x:v>
      </x:c>
      <x:c r="G3740" t="n">
        <x:v>144</x:v>
      </x:c>
      <x:c r="H3740" t="n">
        <x:f>ROUND(F3740*G3740/100,2)</x:f>
        <x:v>172.8</x:v>
      </x:c>
      <x:c r="I3740" t="n">
        <x:v>13</x:v>
      </x:c>
      <x:c r="J3740" t="n">
        <x:f>ROUND(F3740*I3740/100,2)</x:f>
        <x:v>15.6</x:v>
      </x:c>
      <x:c r="K3740" t="n">
        <x:v>1.1</x:v>
      </x:c>
      <x:c r="L3740" t="n">
        <x:f>ROUND(F3740*K3740/100,2)</x:f>
        <x:v>1.32</x:v>
      </x:c>
      <x:c r="M3740" t="n">
        <x:v>10</x:v>
      </x:c>
      <x:c r="N3740" t="n">
        <x:f>ROUND(F3740*M3740/100,2)</x:f>
        <x:v>12</x:v>
      </x:c>
      <x:c r="O3740" t="str">
        <x:v>去壳可食重</x:v>
      </x:c>
    </x:row>
    <x:row r="3741" ht="23" customHeight="1">
      <x:c r="A3741" t="n">
        <x:v>624</x:v>
      </x:c>
      <x:c r="B3741" t="n">
        <x:v>312</x:v>
      </x:c>
      <x:c r="C3741" t="str">
        <x:v>晚餐</x:v>
      </x:c>
      <x:c r="D3741" t="str">
        <x:v>海鲜</x:v>
      </x:c>
      <x:c r="E3741" t="str">
        <x:v>虾仁</x:v>
      </x:c>
      <x:c r="F3741" t="n">
        <x:v>65</x:v>
      </x:c>
      <x:c r="G3741" t="n">
        <x:v>90</x:v>
      </x:c>
      <x:c r="H3741" t="n">
        <x:f>ROUND(F3741*G3741/100,2)</x:f>
        <x:v>58.5</x:v>
      </x:c>
      <x:c r="I3741" t="n">
        <x:v>19</x:v>
      </x:c>
      <x:c r="J3741" t="n">
        <x:f>ROUND(F3741*I3741/100,2)</x:f>
        <x:v>12.35</x:v>
      </x:c>
      <x:c r="K3741" t="n">
        <x:v>0.4</x:v>
      </x:c>
      <x:c r="L3741" t="n">
        <x:f>ROUND(F3741*K3741/100,2)</x:f>
        <x:v>0.26</x:v>
      </x:c>
      <x:c r="M3741" t="n">
        <x:v>1.1</x:v>
      </x:c>
      <x:c r="N3741" t="n">
        <x:f>ROUND(F3741*M3741/100,2)</x:f>
        <x:v>0.72</x:v>
      </x:c>
      <x:c r="O3741" t="str">
        <x:v>生重</x:v>
      </x:c>
    </x:row>
    <x:row r="3742" ht="23" customHeight="1">
      <x:c r="A3742" t="n">
        <x:v>624</x:v>
      </x:c>
      <x:c r="B3742" t="n">
        <x:v>312</x:v>
      </x:c>
      <x:c r="C3742" t="str">
        <x:v>晚餐</x:v>
      </x:c>
      <x:c r="D3742" t="str">
        <x:v>蔬菜</x:v>
      </x:c>
      <x:c r="E3742" t="str">
        <x:v>西葫芦</x:v>
      </x:c>
      <x:c r="F3742" t="n">
        <x:v>160</x:v>
      </x:c>
      <x:c r="G3742" t="n">
        <x:v>17</x:v>
      </x:c>
      <x:c r="H3742" t="n">
        <x:f>ROUND(F3742*G3742/100,2)</x:f>
        <x:v>27.2</x:v>
      </x:c>
      <x:c r="I3742" t="n">
        <x:v>1.2</x:v>
      </x:c>
      <x:c r="J3742" t="n">
        <x:f>ROUND(F3742*I3742/100,2)</x:f>
        <x:v>1.92</x:v>
      </x:c>
      <x:c r="K3742" t="n">
        <x:v>3.1</x:v>
      </x:c>
      <x:c r="L3742" t="n">
        <x:f>ROUND(F3742*K3742/100,2)</x:f>
        <x:v>4.96</x:v>
      </x:c>
      <x:c r="M3742" t="n">
        <x:v>0.3</x:v>
      </x:c>
      <x:c r="N3742" t="n">
        <x:f>ROUND(F3742*M3742/100,2)</x:f>
        <x:v>0.48</x:v>
      </x:c>
      <x:c r="O3742" t="str">
        <x:v>生重</x:v>
      </x:c>
    </x:row>
    <x:row r="3743" ht="23" customHeight="1">
      <x:c r="A3743" t="n">
        <x:v>624</x:v>
      </x:c>
      <x:c r="B3743" t="n">
        <x:v>312</x:v>
      </x:c>
      <x:c r="C3743" t="str">
        <x:v>晚餐</x:v>
      </x:c>
      <x:c r="D3743" t="str">
        <x:v>菌菇</x:v>
      </x:c>
      <x:c r="E3743" t="str">
        <x:v>口蘑</x:v>
      </x:c>
      <x:c r="F3743" t="n">
        <x:v>155</x:v>
      </x:c>
      <x:c r="G3743" t="n">
        <x:v>22</x:v>
      </x:c>
      <x:c r="H3743" t="n">
        <x:f>ROUND(F3743*G3743/100,2)</x:f>
        <x:v>34.1</x:v>
      </x:c>
      <x:c r="I3743" t="n">
        <x:v>3.1</x:v>
      </x:c>
      <x:c r="J3743" t="n">
        <x:f>ROUND(F3743*I3743/100,2)</x:f>
        <x:v>4.81</x:v>
      </x:c>
      <x:c r="K3743" t="n">
        <x:v>3.3</x:v>
      </x:c>
      <x:c r="L3743" t="n">
        <x:f>ROUND(F3743*K3743/100,2)</x:f>
        <x:v>5.12</x:v>
      </x:c>
      <x:c r="M3743" t="n">
        <x:v>0.3</x:v>
      </x:c>
      <x:c r="N3743" t="n">
        <x:f>ROUND(F3743*M3743/100,2)</x:f>
        <x:v>0.47</x:v>
      </x:c>
      <x:c r="O3743" t="str">
        <x:v>生重</x:v>
      </x:c>
    </x:row>
    <x:row r="3744" ht="23" customHeight="1">
      <x:c r="A3744" t="n">
        <x:v>624</x:v>
      </x:c>
      <x:c r="B3744" t="n">
        <x:v>312</x:v>
      </x:c>
      <x:c r="C3744" t="str">
        <x:v>晚餐</x:v>
      </x:c>
      <x:c r="D3744" t="str">
        <x:v>主食</x:v>
      </x:c>
      <x:c r="E3744" t="str">
        <x:v>藜麦饭</x:v>
      </x:c>
      <x:c r="F3744" t="n">
        <x:v>80</x:v>
      </x:c>
      <x:c r="G3744" t="n">
        <x:v>120</x:v>
      </x:c>
      <x:c r="H3744" t="n">
        <x:f>ROUND(F3744*G3744/100,2)</x:f>
        <x:v>96</x:v>
      </x:c>
      <x:c r="I3744" t="n">
        <x:v>4.4</x:v>
      </x:c>
      <x:c r="J3744" t="n">
        <x:f>ROUND(F3744*I3744/100,2)</x:f>
        <x:v>3.52</x:v>
      </x:c>
      <x:c r="K3744" t="n">
        <x:v>21.3</x:v>
      </x:c>
      <x:c r="L3744" t="n">
        <x:f>ROUND(F3744*K3744/100,2)</x:f>
        <x:v>17.04</x:v>
      </x:c>
      <x:c r="M3744" t="n">
        <x:v>1.9</x:v>
      </x:c>
      <x:c r="N3744" t="n">
        <x:f>ROUND(F3744*M3744/100,2)</x:f>
        <x:v>1.52</x:v>
      </x:c>
      <x:c r="O3744" t="str">
        <x:v>熟重</x:v>
      </x:c>
    </x:row>
    <x:row r="3745" ht="23" customHeight="1">
      <x:c r="A3745" t="n">
        <x:v>624</x:v>
      </x:c>
      <x:c r="B3745" t="n">
        <x:v>312</x:v>
      </x:c>
      <x:c r="C3745" t="str">
        <x:v>晚餐</x:v>
      </x:c>
      <x:c r="D3745" t="str">
        <x:v>油脂</x:v>
      </x:c>
      <x:c r="E3745" t="str">
        <x:v>烹调油</x:v>
      </x:c>
      <x:c r="F3745" t="n">
        <x:v>5</x:v>
      </x:c>
      <x:c r="G3745" t="n">
        <x:v>900</x:v>
      </x:c>
      <x:c r="H3745" t="n">
        <x:f>ROUND(F3745*G3745/100,2)</x:f>
        <x:v>45</x:v>
      </x:c>
      <x:c r="I3745" t="n">
        <x:v>0</x:v>
      </x:c>
      <x:c r="J3745" t="n">
        <x:f>ROUND(F3745*I3745/100,2)</x:f>
        <x:v>0</x:v>
      </x:c>
      <x:c r="K3745" t="n">
        <x:v>0</x:v>
      </x:c>
      <x:c r="L3745" t="n">
        <x:f>ROUND(F3745*K3745/100,2)</x:f>
        <x:v>0</x:v>
      </x:c>
      <x:c r="M3745" t="n">
        <x:v>100</x:v>
      </x:c>
      <x:c r="N3745" t="n">
        <x:f>ROUND(F3745*M3745/100,2)</x:f>
        <x:v>5</x:v>
      </x:c>
      <x:c r="O3745" t="str">
        <x:v>实际用油重</x:v>
      </x:c>
    </x:row>
    <x:row r="3746" ht="23" customHeight="1">
      <x:c r="A3746" t="n">
        <x:v>625</x:v>
      </x:c>
      <x:c r="B3746" t="n">
        <x:v>313</x:v>
      </x:c>
      <x:c r="C3746" t="str">
        <x:v>午餐</x:v>
      </x:c>
      <x:c r="D3746" t="str">
        <x:v>禽肉</x:v>
      </x:c>
      <x:c r="E3746" t="str">
        <x:v>鸡里脊肉</x:v>
      </x:c>
      <x:c r="F3746" t="n">
        <x:v>165</x:v>
      </x:c>
      <x:c r="G3746" t="n">
        <x:v>110</x:v>
      </x:c>
      <x:c r="H3746" t="n">
        <x:f>ROUND(F3746*G3746/100,2)</x:f>
        <x:v>181.5</x:v>
      </x:c>
      <x:c r="I3746" t="n">
        <x:v>23</x:v>
      </x:c>
      <x:c r="J3746" t="n">
        <x:f>ROUND(F3746*I3746/100,2)</x:f>
        <x:v>37.95</x:v>
      </x:c>
      <x:c r="K3746" t="n">
        <x:v>0</x:v>
      </x:c>
      <x:c r="L3746" t="n">
        <x:f>ROUND(F3746*K3746/100,2)</x:f>
        <x:v>0</x:v>
      </x:c>
      <x:c r="M3746" t="n">
        <x:v>1.8</x:v>
      </x:c>
      <x:c r="N3746" t="n">
        <x:f>ROUND(F3746*M3746/100,2)</x:f>
        <x:v>2.97</x:v>
      </x:c>
      <x:c r="O3746" t="str">
        <x:v>生重</x:v>
      </x:c>
    </x:row>
    <x:row r="3747" ht="23" customHeight="1">
      <x:c r="A3747" t="n">
        <x:v>625</x:v>
      </x:c>
      <x:c r="B3747" t="n">
        <x:v>313</x:v>
      </x:c>
      <x:c r="C3747" t="str">
        <x:v>午餐</x:v>
      </x:c>
      <x:c r="D3747" t="str"/>
      <x:c r="E3747" t="str"/>
      <x:c r="F3747" t="n">
        <x:v>0</x:v>
      </x:c>
      <x:c r="G3747" t="n">
        <x:v>0</x:v>
      </x:c>
      <x:c r="H3747" t="n">
        <x:f>ROUND(F3747*G3747/100,2)</x:f>
        <x:v>0</x:v>
      </x:c>
      <x:c r="I3747" t="n">
        <x:v>0</x:v>
      </x:c>
      <x:c r="J3747" t="n">
        <x:f>ROUND(F3747*I3747/100,2)</x:f>
        <x:v>0</x:v>
      </x:c>
      <x:c r="K3747" t="n">
        <x:v>0</x:v>
      </x:c>
      <x:c r="L3747" t="n">
        <x:f>ROUND(F3747*K3747/100,2)</x:f>
        <x:v>0</x:v>
      </x:c>
      <x:c r="M3747" t="n">
        <x:v>0</x:v>
      </x:c>
      <x:c r="N3747" t="n">
        <x:f>ROUND(F3747*M3747/100,2)</x:f>
        <x:v>0</x:v>
      </x:c>
      <x:c r="O3747" t="str"/>
    </x:row>
    <x:row r="3748" ht="23" customHeight="1">
      <x:c r="A3748" t="n">
        <x:v>625</x:v>
      </x:c>
      <x:c r="B3748" t="n">
        <x:v>313</x:v>
      </x:c>
      <x:c r="C3748" t="str">
        <x:v>午餐</x:v>
      </x:c>
      <x:c r="D3748" t="str">
        <x:v>蔬菜</x:v>
      </x:c>
      <x:c r="E3748" t="str">
        <x:v>黄瓜</x:v>
      </x:c>
      <x:c r="F3748" t="n">
        <x:v>175</x:v>
      </x:c>
      <x:c r="G3748" t="n">
        <x:v>16</x:v>
      </x:c>
      <x:c r="H3748" t="n">
        <x:f>ROUND(F3748*G3748/100,2)</x:f>
        <x:v>28</x:v>
      </x:c>
      <x:c r="I3748" t="n">
        <x:v>0.7</x:v>
      </x:c>
      <x:c r="J3748" t="n">
        <x:f>ROUND(F3748*I3748/100,2)</x:f>
        <x:v>1.22</x:v>
      </x:c>
      <x:c r="K3748" t="n">
        <x:v>3.6</x:v>
      </x:c>
      <x:c r="L3748" t="n">
        <x:f>ROUND(F3748*K3748/100,2)</x:f>
        <x:v>6.3</x:v>
      </x:c>
      <x:c r="M3748" t="n">
        <x:v>0.1</x:v>
      </x:c>
      <x:c r="N3748" t="n">
        <x:f>ROUND(F3748*M3748/100,2)</x:f>
        <x:v>0.18</x:v>
      </x:c>
      <x:c r="O3748" t="str">
        <x:v>生重</x:v>
      </x:c>
    </x:row>
    <x:row r="3749" ht="23" customHeight="1">
      <x:c r="A3749" t="n">
        <x:v>625</x:v>
      </x:c>
      <x:c r="B3749" t="n">
        <x:v>313</x:v>
      </x:c>
      <x:c r="C3749" t="str">
        <x:v>午餐</x:v>
      </x:c>
      <x:c r="D3749" t="str">
        <x:v>蔬菜</x:v>
      </x:c>
      <x:c r="E3749" t="str">
        <x:v>小白菜</x:v>
      </x:c>
      <x:c r="F3749" t="n">
        <x:v>140</x:v>
      </x:c>
      <x:c r="G3749" t="n">
        <x:v>17</x:v>
      </x:c>
      <x:c r="H3749" t="n">
        <x:f>ROUND(F3749*G3749/100,2)</x:f>
        <x:v>23.8</x:v>
      </x:c>
      <x:c r="I3749" t="n">
        <x:v>1.6</x:v>
      </x:c>
      <x:c r="J3749" t="n">
        <x:f>ROUND(F3749*I3749/100,2)</x:f>
        <x:v>2.24</x:v>
      </x:c>
      <x:c r="K3749" t="n">
        <x:v>2.8</x:v>
      </x:c>
      <x:c r="L3749" t="n">
        <x:f>ROUND(F3749*K3749/100,2)</x:f>
        <x:v>3.92</x:v>
      </x:c>
      <x:c r="M3749" t="n">
        <x:v>0.2</x:v>
      </x:c>
      <x:c r="N3749" t="n">
        <x:f>ROUND(F3749*M3749/100,2)</x:f>
        <x:v>0.28</x:v>
      </x:c>
      <x:c r="O3749" t="str">
        <x:v>生重</x:v>
      </x:c>
    </x:row>
    <x:row r="3750" ht="23" customHeight="1">
      <x:c r="A3750" t="n">
        <x:v>625</x:v>
      </x:c>
      <x:c r="B3750" t="n">
        <x:v>313</x:v>
      </x:c>
      <x:c r="C3750" t="str">
        <x:v>午餐</x:v>
      </x:c>
      <x:c r="D3750" t="str">
        <x:v>主食</x:v>
      </x:c>
      <x:c r="E3750" t="str">
        <x:v>藜麦饭</x:v>
      </x:c>
      <x:c r="F3750" t="n">
        <x:v>110</x:v>
      </x:c>
      <x:c r="G3750" t="n">
        <x:v>120</x:v>
      </x:c>
      <x:c r="H3750" t="n">
        <x:f>ROUND(F3750*G3750/100,2)</x:f>
        <x:v>132</x:v>
      </x:c>
      <x:c r="I3750" t="n">
        <x:v>4.4</x:v>
      </x:c>
      <x:c r="J3750" t="n">
        <x:f>ROUND(F3750*I3750/100,2)</x:f>
        <x:v>4.84</x:v>
      </x:c>
      <x:c r="K3750" t="n">
        <x:v>21.3</x:v>
      </x:c>
      <x:c r="L3750" t="n">
        <x:f>ROUND(F3750*K3750/100,2)</x:f>
        <x:v>23.43</x:v>
      </x:c>
      <x:c r="M3750" t="n">
        <x:v>1.9</x:v>
      </x:c>
      <x:c r="N3750" t="n">
        <x:f>ROUND(F3750*M3750/100,2)</x:f>
        <x:v>2.09</x:v>
      </x:c>
      <x:c r="O3750" t="str">
        <x:v>熟重</x:v>
      </x:c>
    </x:row>
    <x:row r="3751" ht="23" customHeight="1">
      <x:c r="A3751" t="n">
        <x:v>625</x:v>
      </x:c>
      <x:c r="B3751" t="n">
        <x:v>313</x:v>
      </x:c>
      <x:c r="C3751" t="str">
        <x:v>午餐</x:v>
      </x:c>
      <x:c r="D3751" t="str">
        <x:v>油脂</x:v>
      </x:c>
      <x:c r="E3751" t="str">
        <x:v>烹调油</x:v>
      </x:c>
      <x:c r="F3751" t="n">
        <x:v>4</x:v>
      </x:c>
      <x:c r="G3751" t="n">
        <x:v>900</x:v>
      </x:c>
      <x:c r="H3751" t="n">
        <x:f>ROUND(F3751*G3751/100,2)</x:f>
        <x:v>36</x:v>
      </x:c>
      <x:c r="I3751" t="n">
        <x:v>0</x:v>
      </x:c>
      <x:c r="J3751" t="n">
        <x:f>ROUND(F3751*I3751/100,2)</x:f>
        <x:v>0</x:v>
      </x:c>
      <x:c r="K3751" t="n">
        <x:v>0</x:v>
      </x:c>
      <x:c r="L3751" t="n">
        <x:f>ROUND(F3751*K3751/100,2)</x:f>
        <x:v>0</x:v>
      </x:c>
      <x:c r="M3751" t="n">
        <x:v>100</x:v>
      </x:c>
      <x:c r="N3751" t="n">
        <x:f>ROUND(F3751*M3751/100,2)</x:f>
        <x:v>4</x:v>
      </x:c>
      <x:c r="O3751" t="str">
        <x:v>实际用油重</x:v>
      </x:c>
    </x:row>
    <x:row r="3752" ht="23" customHeight="1">
      <x:c r="A3752" t="n">
        <x:v>626</x:v>
      </x:c>
      <x:c r="B3752" t="n">
        <x:v>313</x:v>
      </x:c>
      <x:c r="C3752" t="str">
        <x:v>晚餐</x:v>
      </x:c>
      <x:c r="D3752" t="str">
        <x:v>鱼类</x:v>
      </x:c>
      <x:c r="E3752" t="str">
        <x:v>鳕鱼</x:v>
      </x:c>
      <x:c r="F3752" t="n">
        <x:v>200</x:v>
      </x:c>
      <x:c r="G3752" t="n">
        <x:v>85</x:v>
      </x:c>
      <x:c r="H3752" t="n">
        <x:f>ROUND(F3752*G3752/100,2)</x:f>
        <x:v>170</x:v>
      </x:c>
      <x:c r="I3752" t="n">
        <x:v>18</x:v>
      </x:c>
      <x:c r="J3752" t="n">
        <x:f>ROUND(F3752*I3752/100,2)</x:f>
        <x:v>36</x:v>
      </x:c>
      <x:c r="K3752" t="n">
        <x:v>0</x:v>
      </x:c>
      <x:c r="L3752" t="n">
        <x:f>ROUND(F3752*K3752/100,2)</x:f>
        <x:v>0</x:v>
      </x:c>
      <x:c r="M3752" t="n">
        <x:v>0.8</x:v>
      </x:c>
      <x:c r="N3752" t="n">
        <x:f>ROUND(F3752*M3752/100,2)</x:f>
        <x:v>1.6</x:v>
      </x:c>
      <x:c r="O3752" t="str">
        <x:v>净鱼肉生重</x:v>
      </x:c>
    </x:row>
    <x:row r="3753" ht="23" customHeight="1">
      <x:c r="A3753" t="n">
        <x:v>626</x:v>
      </x:c>
      <x:c r="B3753" t="n">
        <x:v>313</x:v>
      </x:c>
      <x:c r="C3753" t="str">
        <x:v>晚餐</x:v>
      </x:c>
      <x:c r="D3753" t="str"/>
      <x:c r="E3753" t="str"/>
      <x:c r="F3753" t="n">
        <x:v>0</x:v>
      </x:c>
      <x:c r="G3753" t="n">
        <x:v>0</x:v>
      </x:c>
      <x:c r="H3753" t="n">
        <x:f>ROUND(F3753*G3753/100,2)</x:f>
        <x:v>0</x:v>
      </x:c>
      <x:c r="I3753" t="n">
        <x:v>0</x:v>
      </x:c>
      <x:c r="J3753" t="n">
        <x:f>ROUND(F3753*I3753/100,2)</x:f>
        <x:v>0</x:v>
      </x:c>
      <x:c r="K3753" t="n">
        <x:v>0</x:v>
      </x:c>
      <x:c r="L3753" t="n">
        <x:f>ROUND(F3753*K3753/100,2)</x:f>
        <x:v>0</x:v>
      </x:c>
      <x:c r="M3753" t="n">
        <x:v>0</x:v>
      </x:c>
      <x:c r="N3753" t="n">
        <x:f>ROUND(F3753*M3753/100,2)</x:f>
        <x:v>0</x:v>
      </x:c>
      <x:c r="O3753" t="str"/>
    </x:row>
    <x:row r="3754" ht="23" customHeight="1">
      <x:c r="A3754" t="n">
        <x:v>626</x:v>
      </x:c>
      <x:c r="B3754" t="n">
        <x:v>313</x:v>
      </x:c>
      <x:c r="C3754" t="str">
        <x:v>晚餐</x:v>
      </x:c>
      <x:c r="D3754" t="str">
        <x:v>蔬菜</x:v>
      </x:c>
      <x:c r="E3754" t="str">
        <x:v>冬瓜</x:v>
      </x:c>
      <x:c r="F3754" t="n">
        <x:v>175</x:v>
      </x:c>
      <x:c r="G3754" t="n">
        <x:v>13</x:v>
      </x:c>
      <x:c r="H3754" t="n">
        <x:f>ROUND(F3754*G3754/100,2)</x:f>
        <x:v>22.75</x:v>
      </x:c>
      <x:c r="I3754" t="n">
        <x:v>0.4</x:v>
      </x:c>
      <x:c r="J3754" t="n">
        <x:f>ROUND(F3754*I3754/100,2)</x:f>
        <x:v>0.7</x:v>
      </x:c>
      <x:c r="K3754" t="n">
        <x:v>3</x:v>
      </x:c>
      <x:c r="L3754" t="n">
        <x:f>ROUND(F3754*K3754/100,2)</x:f>
        <x:v>5.25</x:v>
      </x:c>
      <x:c r="M3754" t="n">
        <x:v>0.2</x:v>
      </x:c>
      <x:c r="N3754" t="n">
        <x:f>ROUND(F3754*M3754/100,2)</x:f>
        <x:v>0.35</x:v>
      </x:c>
      <x:c r="O3754" t="str">
        <x:v>生重</x:v>
      </x:c>
    </x:row>
    <x:row r="3755" ht="23" customHeight="1">
      <x:c r="A3755" t="n">
        <x:v>626</x:v>
      </x:c>
      <x:c r="B3755" t="n">
        <x:v>313</x:v>
      </x:c>
      <x:c r="C3755" t="str">
        <x:v>晚餐</x:v>
      </x:c>
      <x:c r="D3755" t="str">
        <x:v>菌菇</x:v>
      </x:c>
      <x:c r="E3755" t="str">
        <x:v>杏鲍菇</x:v>
      </x:c>
      <x:c r="F3755" t="n">
        <x:v>110</x:v>
      </x:c>
      <x:c r="G3755" t="n">
        <x:v>35</x:v>
      </x:c>
      <x:c r="H3755" t="n">
        <x:f>ROUND(F3755*G3755/100,2)</x:f>
        <x:v>38.5</x:v>
      </x:c>
      <x:c r="I3755" t="n">
        <x:v>2</x:v>
      </x:c>
      <x:c r="J3755" t="n">
        <x:f>ROUND(F3755*I3755/100,2)</x:f>
        <x:v>2.2</x:v>
      </x:c>
      <x:c r="K3755" t="n">
        <x:v>7.4</x:v>
      </x:c>
      <x:c r="L3755" t="n">
        <x:f>ROUND(F3755*K3755/100,2)</x:f>
        <x:v>8.14</x:v>
      </x:c>
      <x:c r="M3755" t="n">
        <x:v>0.3</x:v>
      </x:c>
      <x:c r="N3755" t="n">
        <x:f>ROUND(F3755*M3755/100,2)</x:f>
        <x:v>0.33</x:v>
      </x:c>
      <x:c r="O3755" t="str">
        <x:v>生重</x:v>
      </x:c>
    </x:row>
    <x:row r="3756" ht="23" customHeight="1">
      <x:c r="A3756" t="n">
        <x:v>626</x:v>
      </x:c>
      <x:c r="B3756" t="n">
        <x:v>313</x:v>
      </x:c>
      <x:c r="C3756" t="str">
        <x:v>晚餐</x:v>
      </x:c>
      <x:c r="D3756" t="str">
        <x:v>主食</x:v>
      </x:c>
      <x:c r="E3756" t="str">
        <x:v>米粉</x:v>
      </x:c>
      <x:c r="F3756" t="n">
        <x:v>125</x:v>
      </x:c>
      <x:c r="G3756" t="n">
        <x:v>110</x:v>
      </x:c>
      <x:c r="H3756" t="n">
        <x:f>ROUND(F3756*G3756/100,2)</x:f>
        <x:v>137.5</x:v>
      </x:c>
      <x:c r="I3756" t="n">
        <x:v>2</x:v>
      </x:c>
      <x:c r="J3756" t="n">
        <x:f>ROUND(F3756*I3756/100,2)</x:f>
        <x:v>2.5</x:v>
      </x:c>
      <x:c r="K3756" t="n">
        <x:v>24</x:v>
      </x:c>
      <x:c r="L3756" t="n">
        <x:f>ROUND(F3756*K3756/100,2)</x:f>
        <x:v>30</x:v>
      </x:c>
      <x:c r="M3756" t="n">
        <x:v>0.4</x:v>
      </x:c>
      <x:c r="N3756" t="n">
        <x:f>ROUND(F3756*M3756/100,2)</x:f>
        <x:v>0.5</x:v>
      </x:c>
      <x:c r="O3756" t="str">
        <x:v>煮熟沥水重</x:v>
      </x:c>
    </x:row>
    <x:row r="3757" ht="23" customHeight="1">
      <x:c r="A3757" t="n">
        <x:v>626</x:v>
      </x:c>
      <x:c r="B3757" t="n">
        <x:v>313</x:v>
      </x:c>
      <x:c r="C3757" t="str">
        <x:v>晚餐</x:v>
      </x:c>
      <x:c r="D3757" t="str">
        <x:v>油脂</x:v>
      </x:c>
      <x:c r="E3757" t="str">
        <x:v>烹调油</x:v>
      </x:c>
      <x:c r="F3757" t="n">
        <x:v>5</x:v>
      </x:c>
      <x:c r="G3757" t="n">
        <x:v>900</x:v>
      </x:c>
      <x:c r="H3757" t="n">
        <x:f>ROUND(F3757*G3757/100,2)</x:f>
        <x:v>45</x:v>
      </x:c>
      <x:c r="I3757" t="n">
        <x:v>0</x:v>
      </x:c>
      <x:c r="J3757" t="n">
        <x:f>ROUND(F3757*I3757/100,2)</x:f>
        <x:v>0</x:v>
      </x:c>
      <x:c r="K3757" t="n">
        <x:v>0</x:v>
      </x:c>
      <x:c r="L3757" t="n">
        <x:f>ROUND(F3757*K3757/100,2)</x:f>
        <x:v>0</x:v>
      </x:c>
      <x:c r="M3757" t="n">
        <x:v>100</x:v>
      </x:c>
      <x:c r="N3757" t="n">
        <x:f>ROUND(F3757*M3757/100,2)</x:f>
        <x:v>5</x:v>
      </x:c>
      <x:c r="O3757" t="str">
        <x:v>实际用油重</x:v>
      </x:c>
    </x:row>
    <x:row r="3758" ht="23" customHeight="1">
      <x:c r="A3758" t="n">
        <x:v>627</x:v>
      </x:c>
      <x:c r="B3758" t="n">
        <x:v>314</x:v>
      </x:c>
      <x:c r="C3758" t="str">
        <x:v>午餐</x:v>
      </x:c>
      <x:c r="D3758" t="str">
        <x:v>牛肉</x:v>
      </x:c>
      <x:c r="E3758" t="str">
        <x:v>牛里脊</x:v>
      </x:c>
      <x:c r="F3758" t="n">
        <x:v>175</x:v>
      </x:c>
      <x:c r="G3758" t="n">
        <x:v>130</x:v>
      </x:c>
      <x:c r="H3758" t="n">
        <x:f>ROUND(F3758*G3758/100,2)</x:f>
        <x:v>227.5</x:v>
      </x:c>
      <x:c r="I3758" t="n">
        <x:v>21</x:v>
      </x:c>
      <x:c r="J3758" t="n">
        <x:f>ROUND(F3758*I3758/100,2)</x:f>
        <x:v>36.75</x:v>
      </x:c>
      <x:c r="K3758" t="n">
        <x:v>0</x:v>
      </x:c>
      <x:c r="L3758" t="n">
        <x:f>ROUND(F3758*K3758/100,2)</x:f>
        <x:v>0</x:v>
      </x:c>
      <x:c r="M3758" t="n">
        <x:v>4.8</x:v>
      </x:c>
      <x:c r="N3758" t="n">
        <x:f>ROUND(F3758*M3758/100,2)</x:f>
        <x:v>8.4</x:v>
      </x:c>
      <x:c r="O3758" t="str">
        <x:v>生重</x:v>
      </x:c>
    </x:row>
    <x:row r="3759" ht="23" customHeight="1">
      <x:c r="A3759" t="n">
        <x:v>627</x:v>
      </x:c>
      <x:c r="B3759" t="n">
        <x:v>314</x:v>
      </x:c>
      <x:c r="C3759" t="str">
        <x:v>午餐</x:v>
      </x:c>
      <x:c r="D3759" t="str"/>
      <x:c r="E3759" t="str"/>
      <x:c r="F3759" t="n">
        <x:v>0</x:v>
      </x:c>
      <x:c r="G3759" t="n">
        <x:v>0</x:v>
      </x:c>
      <x:c r="H3759" t="n">
        <x:f>ROUND(F3759*G3759/100,2)</x:f>
        <x:v>0</x:v>
      </x:c>
      <x:c r="I3759" t="n">
        <x:v>0</x:v>
      </x:c>
      <x:c r="J3759" t="n">
        <x:f>ROUND(F3759*I3759/100,2)</x:f>
        <x:v>0</x:v>
      </x:c>
      <x:c r="K3759" t="n">
        <x:v>0</x:v>
      </x:c>
      <x:c r="L3759" t="n">
        <x:f>ROUND(F3759*K3759/100,2)</x:f>
        <x:v>0</x:v>
      </x:c>
      <x:c r="M3759" t="n">
        <x:v>0</x:v>
      </x:c>
      <x:c r="N3759" t="n">
        <x:f>ROUND(F3759*M3759/100,2)</x:f>
        <x:v>0</x:v>
      </x:c>
      <x:c r="O3759" t="str"/>
    </x:row>
    <x:row r="3760" ht="23" customHeight="1">
      <x:c r="A3760" t="n">
        <x:v>627</x:v>
      </x:c>
      <x:c r="B3760" t="n">
        <x:v>314</x:v>
      </x:c>
      <x:c r="C3760" t="str">
        <x:v>午餐</x:v>
      </x:c>
      <x:c r="D3760" t="str">
        <x:v>蔬菜</x:v>
      </x:c>
      <x:c r="E3760" t="str">
        <x:v>小白菜</x:v>
      </x:c>
      <x:c r="F3760" t="n">
        <x:v>190</x:v>
      </x:c>
      <x:c r="G3760" t="n">
        <x:v>17</x:v>
      </x:c>
      <x:c r="H3760" t="n">
        <x:f>ROUND(F3760*G3760/100,2)</x:f>
        <x:v>32.3</x:v>
      </x:c>
      <x:c r="I3760" t="n">
        <x:v>1.6</x:v>
      </x:c>
      <x:c r="J3760" t="n">
        <x:f>ROUND(F3760*I3760/100,2)</x:f>
        <x:v>3.04</x:v>
      </x:c>
      <x:c r="K3760" t="n">
        <x:v>2.8</x:v>
      </x:c>
      <x:c r="L3760" t="n">
        <x:f>ROUND(F3760*K3760/100,2)</x:f>
        <x:v>5.32</x:v>
      </x:c>
      <x:c r="M3760" t="n">
        <x:v>0.2</x:v>
      </x:c>
      <x:c r="N3760" t="n">
        <x:f>ROUND(F3760*M3760/100,2)</x:f>
        <x:v>0.38</x:v>
      </x:c>
      <x:c r="O3760" t="str">
        <x:v>生重</x:v>
      </x:c>
    </x:row>
    <x:row r="3761" ht="23" customHeight="1">
      <x:c r="A3761" t="n">
        <x:v>627</x:v>
      </x:c>
      <x:c r="B3761" t="n">
        <x:v>314</x:v>
      </x:c>
      <x:c r="C3761" t="str">
        <x:v>午餐</x:v>
      </x:c>
      <x:c r="D3761" t="str">
        <x:v>蔬菜</x:v>
      </x:c>
      <x:c r="E3761" t="str">
        <x:v>菜心</x:v>
      </x:c>
      <x:c r="F3761" t="n">
        <x:v>125</x:v>
      </x:c>
      <x:c r="G3761" t="n">
        <x:v>20</x:v>
      </x:c>
      <x:c r="H3761" t="n">
        <x:f>ROUND(F3761*G3761/100,2)</x:f>
        <x:v>25</x:v>
      </x:c>
      <x:c r="I3761" t="n">
        <x:v>2</x:v>
      </x:c>
      <x:c r="J3761" t="n">
        <x:f>ROUND(F3761*I3761/100,2)</x:f>
        <x:v>2.5</x:v>
      </x:c>
      <x:c r="K3761" t="n">
        <x:v>3.5</x:v>
      </x:c>
      <x:c r="L3761" t="n">
        <x:f>ROUND(F3761*K3761/100,2)</x:f>
        <x:v>4.38</x:v>
      </x:c>
      <x:c r="M3761" t="n">
        <x:v>0.3</x:v>
      </x:c>
      <x:c r="N3761" t="n">
        <x:f>ROUND(F3761*M3761/100,2)</x:f>
        <x:v>0.38</x:v>
      </x:c>
      <x:c r="O3761" t="str">
        <x:v>生重</x:v>
      </x:c>
    </x:row>
    <x:row r="3762" ht="23" customHeight="1">
      <x:c r="A3762" t="n">
        <x:v>627</x:v>
      </x:c>
      <x:c r="B3762" t="n">
        <x:v>314</x:v>
      </x:c>
      <x:c r="C3762" t="str">
        <x:v>午餐</x:v>
      </x:c>
      <x:c r="D3762" t="str">
        <x:v>主食</x:v>
      </x:c>
      <x:c r="E3762" t="str">
        <x:v>燕麦饭</x:v>
      </x:c>
      <x:c r="F3762" t="n">
        <x:v>135</x:v>
      </x:c>
      <x:c r="G3762" t="n">
        <x:v>110</x:v>
      </x:c>
      <x:c r="H3762" t="n">
        <x:f>ROUND(F3762*G3762/100,2)</x:f>
        <x:v>148.5</x:v>
      </x:c>
      <x:c r="I3762" t="n">
        <x:v>3.2</x:v>
      </x:c>
      <x:c r="J3762" t="n">
        <x:f>ROUND(F3762*I3762/100,2)</x:f>
        <x:v>4.32</x:v>
      </x:c>
      <x:c r="K3762" t="n">
        <x:v>21</x:v>
      </x:c>
      <x:c r="L3762" t="n">
        <x:f>ROUND(F3762*K3762/100,2)</x:f>
        <x:v>28.35</x:v>
      </x:c>
      <x:c r="M3762" t="n">
        <x:v>1.8</x:v>
      </x:c>
      <x:c r="N3762" t="n">
        <x:f>ROUND(F3762*M3762/100,2)</x:f>
        <x:v>2.43</x:v>
      </x:c>
      <x:c r="O3762" t="str">
        <x:v>熟重</x:v>
      </x:c>
    </x:row>
    <x:row r="3763" ht="23" customHeight="1">
      <x:c r="A3763" t="n">
        <x:v>627</x:v>
      </x:c>
      <x:c r="B3763" t="n">
        <x:v>314</x:v>
      </x:c>
      <x:c r="C3763" t="str">
        <x:v>午餐</x:v>
      </x:c>
      <x:c r="D3763" t="str">
        <x:v>油脂</x:v>
      </x:c>
      <x:c r="E3763" t="str">
        <x:v>烹调油</x:v>
      </x:c>
      <x:c r="F3763" t="n">
        <x:v>5</x:v>
      </x:c>
      <x:c r="G3763" t="n">
        <x:v>900</x:v>
      </x:c>
      <x:c r="H3763" t="n">
        <x:f>ROUND(F3763*G3763/100,2)</x:f>
        <x:v>45</x:v>
      </x:c>
      <x:c r="I3763" t="n">
        <x:v>0</x:v>
      </x:c>
      <x:c r="J3763" t="n">
        <x:f>ROUND(F3763*I3763/100,2)</x:f>
        <x:v>0</x:v>
      </x:c>
      <x:c r="K3763" t="n">
        <x:v>0</x:v>
      </x:c>
      <x:c r="L3763" t="n">
        <x:f>ROUND(F3763*K3763/100,2)</x:f>
        <x:v>0</x:v>
      </x:c>
      <x:c r="M3763" t="n">
        <x:v>100</x:v>
      </x:c>
      <x:c r="N3763" t="n">
        <x:f>ROUND(F3763*M3763/100,2)</x:f>
        <x:v>5</x:v>
      </x:c>
      <x:c r="O3763" t="str">
        <x:v>实际用油重</x:v>
      </x:c>
    </x:row>
    <x:row r="3764" ht="23" customHeight="1">
      <x:c r="A3764" t="n">
        <x:v>628</x:v>
      </x:c>
      <x:c r="B3764" t="n">
        <x:v>314</x:v>
      </x:c>
      <x:c r="C3764" t="str">
        <x:v>晚餐</x:v>
      </x:c>
      <x:c r="D3764" t="str">
        <x:v>海鲜</x:v>
      </x:c>
      <x:c r="E3764" t="str">
        <x:v>扇贝肉</x:v>
      </x:c>
      <x:c r="F3764" t="n">
        <x:v>210</x:v>
      </x:c>
      <x:c r="G3764" t="n">
        <x:v>90</x:v>
      </x:c>
      <x:c r="H3764" t="n">
        <x:f>ROUND(F3764*G3764/100,2)</x:f>
        <x:v>189</x:v>
      </x:c>
      <x:c r="I3764" t="n">
        <x:v>17</x:v>
      </x:c>
      <x:c r="J3764" t="n">
        <x:f>ROUND(F3764*I3764/100,2)</x:f>
        <x:v>35.7</x:v>
      </x:c>
      <x:c r="K3764" t="n">
        <x:v>3</x:v>
      </x:c>
      <x:c r="L3764" t="n">
        <x:f>ROUND(F3764*K3764/100,2)</x:f>
        <x:v>6.3</x:v>
      </x:c>
      <x:c r="M3764" t="n">
        <x:v>0.8</x:v>
      </x:c>
      <x:c r="N3764" t="n">
        <x:f>ROUND(F3764*M3764/100,2)</x:f>
        <x:v>1.68</x:v>
      </x:c>
      <x:c r="O3764" t="str">
        <x:v>生重</x:v>
      </x:c>
    </x:row>
    <x:row r="3765" ht="23" customHeight="1">
      <x:c r="A3765" t="n">
        <x:v>628</x:v>
      </x:c>
      <x:c r="B3765" t="n">
        <x:v>314</x:v>
      </x:c>
      <x:c r="C3765" t="str">
        <x:v>晚餐</x:v>
      </x:c>
      <x:c r="D3765" t="str"/>
      <x:c r="E3765" t="str"/>
      <x:c r="F3765" t="n">
        <x:v>0</x:v>
      </x:c>
      <x:c r="G3765" t="n">
        <x:v>0</x:v>
      </x:c>
      <x:c r="H3765" t="n">
        <x:f>ROUND(F3765*G3765/100,2)</x:f>
        <x:v>0</x:v>
      </x:c>
      <x:c r="I3765" t="n">
        <x:v>0</x:v>
      </x:c>
      <x:c r="J3765" t="n">
        <x:f>ROUND(F3765*I3765/100,2)</x:f>
        <x:v>0</x:v>
      </x:c>
      <x:c r="K3765" t="n">
        <x:v>0</x:v>
      </x:c>
      <x:c r="L3765" t="n">
        <x:f>ROUND(F3765*K3765/100,2)</x:f>
        <x:v>0</x:v>
      </x:c>
      <x:c r="M3765" t="n">
        <x:v>0</x:v>
      </x:c>
      <x:c r="N3765" t="n">
        <x:f>ROUND(F3765*M3765/100,2)</x:f>
        <x:v>0</x:v>
      </x:c>
      <x:c r="O3765" t="str"/>
    </x:row>
    <x:row r="3766" ht="23" customHeight="1">
      <x:c r="A3766" t="n">
        <x:v>628</x:v>
      </x:c>
      <x:c r="B3766" t="n">
        <x:v>314</x:v>
      </x:c>
      <x:c r="C3766" t="str">
        <x:v>晚餐</x:v>
      </x:c>
      <x:c r="D3766" t="str">
        <x:v>蔬菜</x:v>
      </x:c>
      <x:c r="E3766" t="str">
        <x:v>番茄</x:v>
      </x:c>
      <x:c r="F3766" t="n">
        <x:v>160</x:v>
      </x:c>
      <x:c r="G3766" t="n">
        <x:v>20</x:v>
      </x:c>
      <x:c r="H3766" t="n">
        <x:f>ROUND(F3766*G3766/100,2)</x:f>
        <x:v>32</x:v>
      </x:c>
      <x:c r="I3766" t="n">
        <x:v>0.9</x:v>
      </x:c>
      <x:c r="J3766" t="n">
        <x:f>ROUND(F3766*I3766/100,2)</x:f>
        <x:v>1.44</x:v>
      </x:c>
      <x:c r="K3766" t="n">
        <x:v>4</x:v>
      </x:c>
      <x:c r="L3766" t="n">
        <x:f>ROUND(F3766*K3766/100,2)</x:f>
        <x:v>6.4</x:v>
      </x:c>
      <x:c r="M3766" t="n">
        <x:v>0.2</x:v>
      </x:c>
      <x:c r="N3766" t="n">
        <x:f>ROUND(F3766*M3766/100,2)</x:f>
        <x:v>0.32</x:v>
      </x:c>
      <x:c r="O3766" t="str">
        <x:v>生重</x:v>
      </x:c>
    </x:row>
    <x:row r="3767" ht="23" customHeight="1">
      <x:c r="A3767" t="n">
        <x:v>628</x:v>
      </x:c>
      <x:c r="B3767" t="n">
        <x:v>314</x:v>
      </x:c>
      <x:c r="C3767" t="str">
        <x:v>晚餐</x:v>
      </x:c>
      <x:c r="D3767" t="str">
        <x:v>菌菇</x:v>
      </x:c>
      <x:c r="E3767" t="str">
        <x:v>金针菇</x:v>
      </x:c>
      <x:c r="F3767" t="n">
        <x:v>110</x:v>
      </x:c>
      <x:c r="G3767" t="n">
        <x:v>32</x:v>
      </x:c>
      <x:c r="H3767" t="n">
        <x:f>ROUND(F3767*G3767/100,2)</x:f>
        <x:v>35.2</x:v>
      </x:c>
      <x:c r="I3767" t="n">
        <x:v>2.4</x:v>
      </x:c>
      <x:c r="J3767" t="n">
        <x:f>ROUND(F3767*I3767/100,2)</x:f>
        <x:v>2.64</x:v>
      </x:c>
      <x:c r="K3767" t="n">
        <x:v>6.4</x:v>
      </x:c>
      <x:c r="L3767" t="n">
        <x:f>ROUND(F3767*K3767/100,2)</x:f>
        <x:v>7.04</x:v>
      </x:c>
      <x:c r="M3767" t="n">
        <x:v>0.2</x:v>
      </x:c>
      <x:c r="N3767" t="n">
        <x:f>ROUND(F3767*M3767/100,2)</x:f>
        <x:v>0.22</x:v>
      </x:c>
      <x:c r="O3767" t="str">
        <x:v>生重</x:v>
      </x:c>
    </x:row>
    <x:row r="3768" ht="23" customHeight="1">
      <x:c r="A3768" t="n">
        <x:v>628</x:v>
      </x:c>
      <x:c r="B3768" t="n">
        <x:v>314</x:v>
      </x:c>
      <x:c r="C3768" t="str">
        <x:v>晚餐</x:v>
      </x:c>
      <x:c r="D3768" t="str">
        <x:v>主食</x:v>
      </x:c>
      <x:c r="E3768" t="str">
        <x:v>藜麦饭</x:v>
      </x:c>
      <x:c r="F3768" t="n">
        <x:v>80</x:v>
      </x:c>
      <x:c r="G3768" t="n">
        <x:v>120</x:v>
      </x:c>
      <x:c r="H3768" t="n">
        <x:f>ROUND(F3768*G3768/100,2)</x:f>
        <x:v>96</x:v>
      </x:c>
      <x:c r="I3768" t="n">
        <x:v>4.4</x:v>
      </x:c>
      <x:c r="J3768" t="n">
        <x:f>ROUND(F3768*I3768/100,2)</x:f>
        <x:v>3.52</x:v>
      </x:c>
      <x:c r="K3768" t="n">
        <x:v>21.3</x:v>
      </x:c>
      <x:c r="L3768" t="n">
        <x:f>ROUND(F3768*K3768/100,2)</x:f>
        <x:v>17.04</x:v>
      </x:c>
      <x:c r="M3768" t="n">
        <x:v>1.9</x:v>
      </x:c>
      <x:c r="N3768" t="n">
        <x:f>ROUND(F3768*M3768/100,2)</x:f>
        <x:v>1.52</x:v>
      </x:c>
      <x:c r="O3768" t="str">
        <x:v>熟重</x:v>
      </x:c>
    </x:row>
    <x:row r="3769" ht="23" customHeight="1">
      <x:c r="A3769" t="n">
        <x:v>628</x:v>
      </x:c>
      <x:c r="B3769" t="n">
        <x:v>314</x:v>
      </x:c>
      <x:c r="C3769" t="str">
        <x:v>晚餐</x:v>
      </x:c>
      <x:c r="D3769" t="str">
        <x:v>油脂</x:v>
      </x:c>
      <x:c r="E3769" t="str">
        <x:v>烹调油</x:v>
      </x:c>
      <x:c r="F3769" t="n">
        <x:v>5</x:v>
      </x:c>
      <x:c r="G3769" t="n">
        <x:v>900</x:v>
      </x:c>
      <x:c r="H3769" t="n">
        <x:f>ROUND(F3769*G3769/100,2)</x:f>
        <x:v>45</x:v>
      </x:c>
      <x:c r="I3769" t="n">
        <x:v>0</x:v>
      </x:c>
      <x:c r="J3769" t="n">
        <x:f>ROUND(F3769*I3769/100,2)</x:f>
        <x:v>0</x:v>
      </x:c>
      <x:c r="K3769" t="n">
        <x:v>0</x:v>
      </x:c>
      <x:c r="L3769" t="n">
        <x:f>ROUND(F3769*K3769/100,2)</x:f>
        <x:v>0</x:v>
      </x:c>
      <x:c r="M3769" t="n">
        <x:v>100</x:v>
      </x:c>
      <x:c r="N3769" t="n">
        <x:f>ROUND(F3769*M3769/100,2)</x:f>
        <x:v>5</x:v>
      </x:c>
      <x:c r="O3769" t="str">
        <x:v>实际用油重</x:v>
      </x:c>
    </x:row>
    <x:row r="3770" ht="23" customHeight="1">
      <x:c r="A3770" t="n">
        <x:v>629</x:v>
      </x:c>
      <x:c r="B3770" t="n">
        <x:v>315</x:v>
      </x:c>
      <x:c r="C3770" t="str">
        <x:v>午餐</x:v>
      </x:c>
      <x:c r="D3770" t="str">
        <x:v>海鲜</x:v>
      </x:c>
      <x:c r="E3770" t="str">
        <x:v>虾仁</x:v>
      </x:c>
      <x:c r="F3770" t="n">
        <x:v>160</x:v>
      </x:c>
      <x:c r="G3770" t="n">
        <x:v>90</x:v>
      </x:c>
      <x:c r="H3770" t="n">
        <x:f>ROUND(F3770*G3770/100,2)</x:f>
        <x:v>144</x:v>
      </x:c>
      <x:c r="I3770" t="n">
        <x:v>19</x:v>
      </x:c>
      <x:c r="J3770" t="n">
        <x:f>ROUND(F3770*I3770/100,2)</x:f>
        <x:v>30.4</x:v>
      </x:c>
      <x:c r="K3770" t="n">
        <x:v>0.4</x:v>
      </x:c>
      <x:c r="L3770" t="n">
        <x:f>ROUND(F3770*K3770/100,2)</x:f>
        <x:v>0.64</x:v>
      </x:c>
      <x:c r="M3770" t="n">
        <x:v>1.1</x:v>
      </x:c>
      <x:c r="N3770" t="n">
        <x:f>ROUND(F3770*M3770/100,2)</x:f>
        <x:v>1.76</x:v>
      </x:c>
      <x:c r="O3770" t="str">
        <x:v>生重</x:v>
      </x:c>
    </x:row>
    <x:row r="3771" ht="23" customHeight="1">
      <x:c r="A3771" t="n">
        <x:v>629</x:v>
      </x:c>
      <x:c r="B3771" t="n">
        <x:v>315</x:v>
      </x:c>
      <x:c r="C3771" t="str">
        <x:v>午餐</x:v>
      </x:c>
      <x:c r="D3771" t="str"/>
      <x:c r="E3771" t="str"/>
      <x:c r="F3771" t="n">
        <x:v>0</x:v>
      </x:c>
      <x:c r="G3771" t="n">
        <x:v>0</x:v>
      </x:c>
      <x:c r="H3771" t="n">
        <x:f>ROUND(F3771*G3771/100,2)</x:f>
        <x:v>0</x:v>
      </x:c>
      <x:c r="I3771" t="n">
        <x:v>0</x:v>
      </x:c>
      <x:c r="J3771" t="n">
        <x:f>ROUND(F3771*I3771/100,2)</x:f>
        <x:v>0</x:v>
      </x:c>
      <x:c r="K3771" t="n">
        <x:v>0</x:v>
      </x:c>
      <x:c r="L3771" t="n">
        <x:f>ROUND(F3771*K3771/100,2)</x:f>
        <x:v>0</x:v>
      </x:c>
      <x:c r="M3771" t="n">
        <x:v>0</x:v>
      </x:c>
      <x:c r="N3771" t="n">
        <x:f>ROUND(F3771*M3771/100,2)</x:f>
        <x:v>0</x:v>
      </x:c>
      <x:c r="O3771" t="str"/>
    </x:row>
    <x:row r="3772" ht="23" customHeight="1">
      <x:c r="A3772" t="n">
        <x:v>629</x:v>
      </x:c>
      <x:c r="B3772" t="n">
        <x:v>315</x:v>
      </x:c>
      <x:c r="C3772" t="str">
        <x:v>午餐</x:v>
      </x:c>
      <x:c r="D3772" t="str">
        <x:v>蔬菜</x:v>
      </x:c>
      <x:c r="E3772" t="str">
        <x:v>黄瓜</x:v>
      </x:c>
      <x:c r="F3772" t="n">
        <x:v>160</x:v>
      </x:c>
      <x:c r="G3772" t="n">
        <x:v>16</x:v>
      </x:c>
      <x:c r="H3772" t="n">
        <x:f>ROUND(F3772*G3772/100,2)</x:f>
        <x:v>25.6</x:v>
      </x:c>
      <x:c r="I3772" t="n">
        <x:v>0.7</x:v>
      </x:c>
      <x:c r="J3772" t="n">
        <x:f>ROUND(F3772*I3772/100,2)</x:f>
        <x:v>1.12</x:v>
      </x:c>
      <x:c r="K3772" t="n">
        <x:v>3.6</x:v>
      </x:c>
      <x:c r="L3772" t="n">
        <x:f>ROUND(F3772*K3772/100,2)</x:f>
        <x:v>5.76</x:v>
      </x:c>
      <x:c r="M3772" t="n">
        <x:v>0.1</x:v>
      </x:c>
      <x:c r="N3772" t="n">
        <x:f>ROUND(F3772*M3772/100,2)</x:f>
        <x:v>0.16</x:v>
      </x:c>
      <x:c r="O3772" t="str">
        <x:v>生重</x:v>
      </x:c>
    </x:row>
    <x:row r="3773" ht="23" customHeight="1">
      <x:c r="A3773" t="n">
        <x:v>629</x:v>
      </x:c>
      <x:c r="B3773" t="n">
        <x:v>315</x:v>
      </x:c>
      <x:c r="C3773" t="str">
        <x:v>午餐</x:v>
      </x:c>
      <x:c r="D3773" t="str">
        <x:v>蔬菜</x:v>
      </x:c>
      <x:c r="E3773" t="str">
        <x:v>白萝卜</x:v>
      </x:c>
      <x:c r="F3773" t="n">
        <x:v>110</x:v>
      </x:c>
      <x:c r="G3773" t="n">
        <x:v>18</x:v>
      </x:c>
      <x:c r="H3773" t="n">
        <x:f>ROUND(F3773*G3773/100,2)</x:f>
        <x:v>19.8</x:v>
      </x:c>
      <x:c r="I3773" t="n">
        <x:v>0.6</x:v>
      </x:c>
      <x:c r="J3773" t="n">
        <x:f>ROUND(F3773*I3773/100,2)</x:f>
        <x:v>0.66</x:v>
      </x:c>
      <x:c r="K3773" t="n">
        <x:v>4</x:v>
      </x:c>
      <x:c r="L3773" t="n">
        <x:f>ROUND(F3773*K3773/100,2)</x:f>
        <x:v>4.4</x:v>
      </x:c>
      <x:c r="M3773" t="n">
        <x:v>0.1</x:v>
      </x:c>
      <x:c r="N3773" t="n">
        <x:f>ROUND(F3773*M3773/100,2)</x:f>
        <x:v>0.11</x:v>
      </x:c>
      <x:c r="O3773" t="str">
        <x:v>生重</x:v>
      </x:c>
    </x:row>
    <x:row r="3774" ht="23" customHeight="1">
      <x:c r="A3774" t="n">
        <x:v>629</x:v>
      </x:c>
      <x:c r="B3774" t="n">
        <x:v>315</x:v>
      </x:c>
      <x:c r="C3774" t="str">
        <x:v>午餐</x:v>
      </x:c>
      <x:c r="D3774" t="str">
        <x:v>主食</x:v>
      </x:c>
      <x:c r="E3774" t="str">
        <x:v>荞麦饭</x:v>
      </x:c>
      <x:c r="F3774" t="n">
        <x:v>125</x:v>
      </x:c>
      <x:c r="G3774" t="n">
        <x:v>110</x:v>
      </x:c>
      <x:c r="H3774" t="n">
        <x:f>ROUND(F3774*G3774/100,2)</x:f>
        <x:v>137.5</x:v>
      </x:c>
      <x:c r="I3774" t="n">
        <x:v>3.4</x:v>
      </x:c>
      <x:c r="J3774" t="n">
        <x:f>ROUND(F3774*I3774/100,2)</x:f>
        <x:v>4.25</x:v>
      </x:c>
      <x:c r="K3774" t="n">
        <x:v>22</x:v>
      </x:c>
      <x:c r="L3774" t="n">
        <x:f>ROUND(F3774*K3774/100,2)</x:f>
        <x:v>27.5</x:v>
      </x:c>
      <x:c r="M3774" t="n">
        <x:v>1.1</x:v>
      </x:c>
      <x:c r="N3774" t="n">
        <x:f>ROUND(F3774*M3774/100,2)</x:f>
        <x:v>1.38</x:v>
      </x:c>
      <x:c r="O3774" t="str">
        <x:v>熟重</x:v>
      </x:c>
    </x:row>
    <x:row r="3775" ht="23" customHeight="1">
      <x:c r="A3775" t="n">
        <x:v>629</x:v>
      </x:c>
      <x:c r="B3775" t="n">
        <x:v>315</x:v>
      </x:c>
      <x:c r="C3775" t="str">
        <x:v>午餐</x:v>
      </x:c>
      <x:c r="D3775" t="str">
        <x:v>油脂</x:v>
      </x:c>
      <x:c r="E3775" t="str">
        <x:v>烹调油</x:v>
      </x:c>
      <x:c r="F3775" t="n">
        <x:v>5</x:v>
      </x:c>
      <x:c r="G3775" t="n">
        <x:v>900</x:v>
      </x:c>
      <x:c r="H3775" t="n">
        <x:f>ROUND(F3775*G3775/100,2)</x:f>
        <x:v>45</x:v>
      </x:c>
      <x:c r="I3775" t="n">
        <x:v>0</x:v>
      </x:c>
      <x:c r="J3775" t="n">
        <x:f>ROUND(F3775*I3775/100,2)</x:f>
        <x:v>0</x:v>
      </x:c>
      <x:c r="K3775" t="n">
        <x:v>0</x:v>
      </x:c>
      <x:c r="L3775" t="n">
        <x:f>ROUND(F3775*K3775/100,2)</x:f>
        <x:v>0</x:v>
      </x:c>
      <x:c r="M3775" t="n">
        <x:v>100</x:v>
      </x:c>
      <x:c r="N3775" t="n">
        <x:f>ROUND(F3775*M3775/100,2)</x:f>
        <x:v>5</x:v>
      </x:c>
      <x:c r="O3775" t="str">
        <x:v>实际用油重</x:v>
      </x:c>
    </x:row>
    <x:row r="3776" ht="23" customHeight="1">
      <x:c r="A3776" t="n">
        <x:v>630</x:v>
      </x:c>
      <x:c r="B3776" t="n">
        <x:v>315</x:v>
      </x:c>
      <x:c r="C3776" t="str">
        <x:v>晚餐</x:v>
      </x:c>
      <x:c r="D3776" t="str">
        <x:v>豆蛋</x:v>
      </x:c>
      <x:c r="E3776" t="str">
        <x:v>嫩豆腐</x:v>
      </x:c>
      <x:c r="F3776" t="n">
        <x:v>260</x:v>
      </x:c>
      <x:c r="G3776" t="n">
        <x:v>55</x:v>
      </x:c>
      <x:c r="H3776" t="n">
        <x:f>ROUND(F3776*G3776/100,2)</x:f>
        <x:v>143</x:v>
      </x:c>
      <x:c r="I3776" t="n">
        <x:v>5</x:v>
      </x:c>
      <x:c r="J3776" t="n">
        <x:f>ROUND(F3776*I3776/100,2)</x:f>
        <x:v>13</x:v>
      </x:c>
      <x:c r="K3776" t="n">
        <x:v>2</x:v>
      </x:c>
      <x:c r="L3776" t="n">
        <x:f>ROUND(F3776*K3776/100,2)</x:f>
        <x:v>5.2</x:v>
      </x:c>
      <x:c r="M3776" t="n">
        <x:v>2.8</x:v>
      </x:c>
      <x:c r="N3776" t="n">
        <x:f>ROUND(F3776*M3776/100,2)</x:f>
        <x:v>7.28</x:v>
      </x:c>
      <x:c r="O3776" t="str">
        <x:v>净重</x:v>
      </x:c>
    </x:row>
    <x:row r="3777" ht="23" customHeight="1">
      <x:c r="A3777" t="n">
        <x:v>630</x:v>
      </x:c>
      <x:c r="B3777" t="n">
        <x:v>315</x:v>
      </x:c>
      <x:c r="C3777" t="str">
        <x:v>晚餐</x:v>
      </x:c>
      <x:c r="D3777" t="str">
        <x:v>豆蛋</x:v>
      </x:c>
      <x:c r="E3777" t="str">
        <x:v>鸡蛋</x:v>
      </x:c>
      <x:c r="F3777" t="n">
        <x:v>60</x:v>
      </x:c>
      <x:c r="G3777" t="n">
        <x:v>144</x:v>
      </x:c>
      <x:c r="H3777" t="n">
        <x:f>ROUND(F3777*G3777/100,2)</x:f>
        <x:v>86.4</x:v>
      </x:c>
      <x:c r="I3777" t="n">
        <x:v>13</x:v>
      </x:c>
      <x:c r="J3777" t="n">
        <x:f>ROUND(F3777*I3777/100,2)</x:f>
        <x:v>7.8</x:v>
      </x:c>
      <x:c r="K3777" t="n">
        <x:v>1.1</x:v>
      </x:c>
      <x:c r="L3777" t="n">
        <x:f>ROUND(F3777*K3777/100,2)</x:f>
        <x:v>0.66</x:v>
      </x:c>
      <x:c r="M3777" t="n">
        <x:v>10</x:v>
      </x:c>
      <x:c r="N3777" t="n">
        <x:f>ROUND(F3777*M3777/100,2)</x:f>
        <x:v>6</x:v>
      </x:c>
      <x:c r="O3777" t="str">
        <x:v>去壳可食重</x:v>
      </x:c>
    </x:row>
    <x:row r="3778" ht="23" customHeight="1">
      <x:c r="A3778" t="n">
        <x:v>630</x:v>
      </x:c>
      <x:c r="B3778" t="n">
        <x:v>315</x:v>
      </x:c>
      <x:c r="C3778" t="str">
        <x:v>晚餐</x:v>
      </x:c>
      <x:c r="D3778" t="str">
        <x:v>蔬菜</x:v>
      </x:c>
      <x:c r="E3778" t="str">
        <x:v>番茄</x:v>
      </x:c>
      <x:c r="F3778" t="n">
        <x:v>140</x:v>
      </x:c>
      <x:c r="G3778" t="n">
        <x:v>20</x:v>
      </x:c>
      <x:c r="H3778" t="n">
        <x:f>ROUND(F3778*G3778/100,2)</x:f>
        <x:v>28</x:v>
      </x:c>
      <x:c r="I3778" t="n">
        <x:v>0.9</x:v>
      </x:c>
      <x:c r="J3778" t="n">
        <x:f>ROUND(F3778*I3778/100,2)</x:f>
        <x:v>1.26</x:v>
      </x:c>
      <x:c r="K3778" t="n">
        <x:v>4</x:v>
      </x:c>
      <x:c r="L3778" t="n">
        <x:f>ROUND(F3778*K3778/100,2)</x:f>
        <x:v>5.6</x:v>
      </x:c>
      <x:c r="M3778" t="n">
        <x:v>0.2</x:v>
      </x:c>
      <x:c r="N3778" t="n">
        <x:f>ROUND(F3778*M3778/100,2)</x:f>
        <x:v>0.28</x:v>
      </x:c>
      <x:c r="O3778" t="str">
        <x:v>生重</x:v>
      </x:c>
    </x:row>
    <x:row r="3779" ht="23" customHeight="1">
      <x:c r="A3779" t="n">
        <x:v>630</x:v>
      </x:c>
      <x:c r="B3779" t="n">
        <x:v>315</x:v>
      </x:c>
      <x:c r="C3779" t="str">
        <x:v>晚餐</x:v>
      </x:c>
      <x:c r="D3779" t="str">
        <x:v>蔬菜</x:v>
      </x:c>
      <x:c r="E3779" t="str">
        <x:v>绿豆芽</x:v>
      </x:c>
      <x:c r="F3779" t="n">
        <x:v>140</x:v>
      </x:c>
      <x:c r="G3779" t="n">
        <x:v>31</x:v>
      </x:c>
      <x:c r="H3779" t="n">
        <x:f>ROUND(F3779*G3779/100,2)</x:f>
        <x:v>43.4</x:v>
      </x:c>
      <x:c r="I3779" t="n">
        <x:v>3</x:v>
      </x:c>
      <x:c r="J3779" t="n">
        <x:f>ROUND(F3779*I3779/100,2)</x:f>
        <x:v>4.2</x:v>
      </x:c>
      <x:c r="K3779" t="n">
        <x:v>6</x:v>
      </x:c>
      <x:c r="L3779" t="n">
        <x:f>ROUND(F3779*K3779/100,2)</x:f>
        <x:v>8.4</x:v>
      </x:c>
      <x:c r="M3779" t="n">
        <x:v>0.2</x:v>
      </x:c>
      <x:c r="N3779" t="n">
        <x:f>ROUND(F3779*M3779/100,2)</x:f>
        <x:v>0.28</x:v>
      </x:c>
      <x:c r="O3779" t="str">
        <x:v>生重</x:v>
      </x:c>
    </x:row>
    <x:row r="3780" ht="23" customHeight="1">
      <x:c r="A3780" t="n">
        <x:v>630</x:v>
      </x:c>
      <x:c r="B3780" t="n">
        <x:v>315</x:v>
      </x:c>
      <x:c r="C3780" t="str">
        <x:v>晚餐</x:v>
      </x:c>
      <x:c r="D3780" t="str">
        <x:v>主食</x:v>
      </x:c>
      <x:c r="E3780" t="str">
        <x:v>糙米饭</x:v>
      </x:c>
      <x:c r="F3780" t="n">
        <x:v>125</x:v>
      </x:c>
      <x:c r="G3780" t="n">
        <x:v>112</x:v>
      </x:c>
      <x:c r="H3780" t="n">
        <x:f>ROUND(F3780*G3780/100,2)</x:f>
        <x:v>140</x:v>
      </x:c>
      <x:c r="I3780" t="n">
        <x:v>2.6</x:v>
      </x:c>
      <x:c r="J3780" t="n">
        <x:f>ROUND(F3780*I3780/100,2)</x:f>
        <x:v>3.25</x:v>
      </x:c>
      <x:c r="K3780" t="n">
        <x:v>23.5</x:v>
      </x:c>
      <x:c r="L3780" t="n">
        <x:f>ROUND(F3780*K3780/100,2)</x:f>
        <x:v>29.38</x:v>
      </x:c>
      <x:c r="M3780" t="n">
        <x:v>0.9</x:v>
      </x:c>
      <x:c r="N3780" t="n">
        <x:f>ROUND(F3780*M3780/100,2)</x:f>
        <x:v>1.13</x:v>
      </x:c>
      <x:c r="O3780" t="str">
        <x:v>熟重</x:v>
      </x:c>
    </x:row>
    <x:row r="3781" ht="23" customHeight="1">
      <x:c r="A3781" t="n">
        <x:v>630</x:v>
      </x:c>
      <x:c r="B3781" t="n">
        <x:v>315</x:v>
      </x:c>
      <x:c r="C3781" t="str">
        <x:v>晚餐</x:v>
      </x:c>
      <x:c r="D3781" t="str">
        <x:v>油脂</x:v>
      </x:c>
      <x:c r="E3781" t="str">
        <x:v>烹调油</x:v>
      </x:c>
      <x:c r="F3781" t="n">
        <x:v>5</x:v>
      </x:c>
      <x:c r="G3781" t="n">
        <x:v>900</x:v>
      </x:c>
      <x:c r="H3781" t="n">
        <x:f>ROUND(F3781*G3781/100,2)</x:f>
        <x:v>45</x:v>
      </x:c>
      <x:c r="I3781" t="n">
        <x:v>0</x:v>
      </x:c>
      <x:c r="J3781" t="n">
        <x:f>ROUND(F3781*I3781/100,2)</x:f>
        <x:v>0</x:v>
      </x:c>
      <x:c r="K3781" t="n">
        <x:v>0</x:v>
      </x:c>
      <x:c r="L3781" t="n">
        <x:f>ROUND(F3781*K3781/100,2)</x:f>
        <x:v>0</x:v>
      </x:c>
      <x:c r="M3781" t="n">
        <x:v>100</x:v>
      </x:c>
      <x:c r="N3781" t="n">
        <x:f>ROUND(F3781*M3781/100,2)</x:f>
        <x:v>5</x:v>
      </x:c>
      <x:c r="O3781" t="str">
        <x:v>实际用油重</x:v>
      </x:c>
    </x:row>
    <x:row r="3782" ht="23" customHeight="1">
      <x:c r="A3782" t="n">
        <x:v>631</x:v>
      </x:c>
      <x:c r="B3782" t="n">
        <x:v>316</x:v>
      </x:c>
      <x:c r="C3782" t="str">
        <x:v>午餐</x:v>
      </x:c>
      <x:c r="D3782" t="str">
        <x:v>鱼类</x:v>
      </x:c>
      <x:c r="E3782" t="str">
        <x:v>鳕鱼</x:v>
      </x:c>
      <x:c r="F3782" t="n">
        <x:v>200</x:v>
      </x:c>
      <x:c r="G3782" t="n">
        <x:v>85</x:v>
      </x:c>
      <x:c r="H3782" t="n">
        <x:f>ROUND(F3782*G3782/100,2)</x:f>
        <x:v>170</x:v>
      </x:c>
      <x:c r="I3782" t="n">
        <x:v>18</x:v>
      </x:c>
      <x:c r="J3782" t="n">
        <x:f>ROUND(F3782*I3782/100,2)</x:f>
        <x:v>36</x:v>
      </x:c>
      <x:c r="K3782" t="n">
        <x:v>0</x:v>
      </x:c>
      <x:c r="L3782" t="n">
        <x:f>ROUND(F3782*K3782/100,2)</x:f>
        <x:v>0</x:v>
      </x:c>
      <x:c r="M3782" t="n">
        <x:v>0.8</x:v>
      </x:c>
      <x:c r="N3782" t="n">
        <x:f>ROUND(F3782*M3782/100,2)</x:f>
        <x:v>1.6</x:v>
      </x:c>
      <x:c r="O3782" t="str">
        <x:v>净鱼肉生重</x:v>
      </x:c>
    </x:row>
    <x:row r="3783" ht="23" customHeight="1">
      <x:c r="A3783" t="n">
        <x:v>631</x:v>
      </x:c>
      <x:c r="B3783" t="n">
        <x:v>316</x:v>
      </x:c>
      <x:c r="C3783" t="str">
        <x:v>午餐</x:v>
      </x:c>
      <x:c r="D3783" t="str"/>
      <x:c r="E3783" t="str"/>
      <x:c r="F3783" t="n">
        <x:v>0</x:v>
      </x:c>
      <x:c r="G3783" t="n">
        <x:v>0</x:v>
      </x:c>
      <x:c r="H3783" t="n">
        <x:f>ROUND(F3783*G3783/100,2)</x:f>
        <x:v>0</x:v>
      </x:c>
      <x:c r="I3783" t="n">
        <x:v>0</x:v>
      </x:c>
      <x:c r="J3783" t="n">
        <x:f>ROUND(F3783*I3783/100,2)</x:f>
        <x:v>0</x:v>
      </x:c>
      <x:c r="K3783" t="n">
        <x:v>0</x:v>
      </x:c>
      <x:c r="L3783" t="n">
        <x:f>ROUND(F3783*K3783/100,2)</x:f>
        <x:v>0</x:v>
      </x:c>
      <x:c r="M3783" t="n">
        <x:v>0</x:v>
      </x:c>
      <x:c r="N3783" t="n">
        <x:f>ROUND(F3783*M3783/100,2)</x:f>
        <x:v>0</x:v>
      </x:c>
      <x:c r="O3783" t="str"/>
    </x:row>
    <x:row r="3784" ht="23" customHeight="1">
      <x:c r="A3784" t="n">
        <x:v>631</x:v>
      </x:c>
      <x:c r="B3784" t="n">
        <x:v>316</x:v>
      </x:c>
      <x:c r="C3784" t="str">
        <x:v>午餐</x:v>
      </x:c>
      <x:c r="D3784" t="str">
        <x:v>蔬菜</x:v>
      </x:c>
      <x:c r="E3784" t="str">
        <x:v>大白菜</x:v>
      </x:c>
      <x:c r="F3784" t="n">
        <x:v>160</x:v>
      </x:c>
      <x:c r="G3784" t="n">
        <x:v>17</x:v>
      </x:c>
      <x:c r="H3784" t="n">
        <x:f>ROUND(F3784*G3784/100,2)</x:f>
        <x:v>27.2</x:v>
      </x:c>
      <x:c r="I3784" t="n">
        <x:v>1.5</x:v>
      </x:c>
      <x:c r="J3784" t="n">
        <x:f>ROUND(F3784*I3784/100,2)</x:f>
        <x:v>2.4</x:v>
      </x:c>
      <x:c r="K3784" t="n">
        <x:v>3.2</x:v>
      </x:c>
      <x:c r="L3784" t="n">
        <x:f>ROUND(F3784*K3784/100,2)</x:f>
        <x:v>5.12</x:v>
      </x:c>
      <x:c r="M3784" t="n">
        <x:v>0.1</x:v>
      </x:c>
      <x:c r="N3784" t="n">
        <x:f>ROUND(F3784*M3784/100,2)</x:f>
        <x:v>0.16</x:v>
      </x:c>
      <x:c r="O3784" t="str">
        <x:v>生重</x:v>
      </x:c>
    </x:row>
    <x:row r="3785" ht="23" customHeight="1">
      <x:c r="A3785" t="n">
        <x:v>631</x:v>
      </x:c>
      <x:c r="B3785" t="n">
        <x:v>316</x:v>
      </x:c>
      <x:c r="C3785" t="str">
        <x:v>午餐</x:v>
      </x:c>
      <x:c r="D3785" t="str">
        <x:v>蔬菜</x:v>
      </x:c>
      <x:c r="E3785" t="str">
        <x:v>白萝卜</x:v>
      </x:c>
      <x:c r="F3785" t="n">
        <x:v>125</x:v>
      </x:c>
      <x:c r="G3785" t="n">
        <x:v>18</x:v>
      </x:c>
      <x:c r="H3785" t="n">
        <x:f>ROUND(F3785*G3785/100,2)</x:f>
        <x:v>22.5</x:v>
      </x:c>
      <x:c r="I3785" t="n">
        <x:v>0.6</x:v>
      </x:c>
      <x:c r="J3785" t="n">
        <x:f>ROUND(F3785*I3785/100,2)</x:f>
        <x:v>0.75</x:v>
      </x:c>
      <x:c r="K3785" t="n">
        <x:v>4</x:v>
      </x:c>
      <x:c r="L3785" t="n">
        <x:f>ROUND(F3785*K3785/100,2)</x:f>
        <x:v>5</x:v>
      </x:c>
      <x:c r="M3785" t="n">
        <x:v>0.1</x:v>
      </x:c>
      <x:c r="N3785" t="n">
        <x:f>ROUND(F3785*M3785/100,2)</x:f>
        <x:v>0.13</x:v>
      </x:c>
      <x:c r="O3785" t="str">
        <x:v>生重</x:v>
      </x:c>
    </x:row>
    <x:row r="3786" ht="23" customHeight="1">
      <x:c r="A3786" t="n">
        <x:v>631</x:v>
      </x:c>
      <x:c r="B3786" t="n">
        <x:v>316</x:v>
      </x:c>
      <x:c r="C3786" t="str">
        <x:v>午餐</x:v>
      </x:c>
      <x:c r="D3786" t="str">
        <x:v>主食</x:v>
      </x:c>
      <x:c r="E3786" t="str">
        <x:v>糙米饭</x:v>
      </x:c>
      <x:c r="F3786" t="n">
        <x:v>125</x:v>
      </x:c>
      <x:c r="G3786" t="n">
        <x:v>112</x:v>
      </x:c>
      <x:c r="H3786" t="n">
        <x:f>ROUND(F3786*G3786/100,2)</x:f>
        <x:v>140</x:v>
      </x:c>
      <x:c r="I3786" t="n">
        <x:v>2.6</x:v>
      </x:c>
      <x:c r="J3786" t="n">
        <x:f>ROUND(F3786*I3786/100,2)</x:f>
        <x:v>3.25</x:v>
      </x:c>
      <x:c r="K3786" t="n">
        <x:v>23.5</x:v>
      </x:c>
      <x:c r="L3786" t="n">
        <x:f>ROUND(F3786*K3786/100,2)</x:f>
        <x:v>29.38</x:v>
      </x:c>
      <x:c r="M3786" t="n">
        <x:v>0.9</x:v>
      </x:c>
      <x:c r="N3786" t="n">
        <x:f>ROUND(F3786*M3786/100,2)</x:f>
        <x:v>1.13</x:v>
      </x:c>
      <x:c r="O3786" t="str">
        <x:v>熟重</x:v>
      </x:c>
    </x:row>
    <x:row r="3787" ht="23" customHeight="1">
      <x:c r="A3787" t="n">
        <x:v>631</x:v>
      </x:c>
      <x:c r="B3787" t="n">
        <x:v>316</x:v>
      </x:c>
      <x:c r="C3787" t="str">
        <x:v>午餐</x:v>
      </x:c>
      <x:c r="D3787" t="str">
        <x:v>油脂</x:v>
      </x:c>
      <x:c r="E3787" t="str">
        <x:v>烹调油</x:v>
      </x:c>
      <x:c r="F3787" t="n">
        <x:v>5</x:v>
      </x:c>
      <x:c r="G3787" t="n">
        <x:v>900</x:v>
      </x:c>
      <x:c r="H3787" t="n">
        <x:f>ROUND(F3787*G3787/100,2)</x:f>
        <x:v>45</x:v>
      </x:c>
      <x:c r="I3787" t="n">
        <x:v>0</x:v>
      </x:c>
      <x:c r="J3787" t="n">
        <x:f>ROUND(F3787*I3787/100,2)</x:f>
        <x:v>0</x:v>
      </x:c>
      <x:c r="K3787" t="n">
        <x:v>0</x:v>
      </x:c>
      <x:c r="L3787" t="n">
        <x:f>ROUND(F3787*K3787/100,2)</x:f>
        <x:v>0</x:v>
      </x:c>
      <x:c r="M3787" t="n">
        <x:v>100</x:v>
      </x:c>
      <x:c r="N3787" t="n">
        <x:f>ROUND(F3787*M3787/100,2)</x:f>
        <x:v>5</x:v>
      </x:c>
      <x:c r="O3787" t="str">
        <x:v>实际用油重</x:v>
      </x:c>
    </x:row>
    <x:row r="3788" ht="23" customHeight="1">
      <x:c r="A3788" t="n">
        <x:v>632</x:v>
      </x:c>
      <x:c r="B3788" t="n">
        <x:v>316</x:v>
      </x:c>
      <x:c r="C3788" t="str">
        <x:v>晚餐</x:v>
      </x:c>
      <x:c r="D3788" t="str">
        <x:v>海鲜</x:v>
      </x:c>
      <x:c r="E3788" t="str">
        <x:v>虾仁</x:v>
      </x:c>
      <x:c r="F3788" t="n">
        <x:v>190</x:v>
      </x:c>
      <x:c r="G3788" t="n">
        <x:v>90</x:v>
      </x:c>
      <x:c r="H3788" t="n">
        <x:f>ROUND(F3788*G3788/100,2)</x:f>
        <x:v>171</x:v>
      </x:c>
      <x:c r="I3788" t="n">
        <x:v>19</x:v>
      </x:c>
      <x:c r="J3788" t="n">
        <x:f>ROUND(F3788*I3788/100,2)</x:f>
        <x:v>36.1</x:v>
      </x:c>
      <x:c r="K3788" t="n">
        <x:v>0.4</x:v>
      </x:c>
      <x:c r="L3788" t="n">
        <x:f>ROUND(F3788*K3788/100,2)</x:f>
        <x:v>0.76</x:v>
      </x:c>
      <x:c r="M3788" t="n">
        <x:v>1.1</x:v>
      </x:c>
      <x:c r="N3788" t="n">
        <x:f>ROUND(F3788*M3788/100,2)</x:f>
        <x:v>2.09</x:v>
      </x:c>
      <x:c r="O3788" t="str">
        <x:v>生重</x:v>
      </x:c>
    </x:row>
    <x:row r="3789" ht="23" customHeight="1">
      <x:c r="A3789" t="n">
        <x:v>632</x:v>
      </x:c>
      <x:c r="B3789" t="n">
        <x:v>316</x:v>
      </x:c>
      <x:c r="C3789" t="str">
        <x:v>晚餐</x:v>
      </x:c>
      <x:c r="D3789" t="str"/>
      <x:c r="E3789" t="str"/>
      <x:c r="F3789" t="n">
        <x:v>0</x:v>
      </x:c>
      <x:c r="G3789" t="n">
        <x:v>0</x:v>
      </x:c>
      <x:c r="H3789" t="n">
        <x:f>ROUND(F3789*G3789/100,2)</x:f>
        <x:v>0</x:v>
      </x:c>
      <x:c r="I3789" t="n">
        <x:v>0</x:v>
      </x:c>
      <x:c r="J3789" t="n">
        <x:f>ROUND(F3789*I3789/100,2)</x:f>
        <x:v>0</x:v>
      </x:c>
      <x:c r="K3789" t="n">
        <x:v>0</x:v>
      </x:c>
      <x:c r="L3789" t="n">
        <x:f>ROUND(F3789*K3789/100,2)</x:f>
        <x:v>0</x:v>
      </x:c>
      <x:c r="M3789" t="n">
        <x:v>0</x:v>
      </x:c>
      <x:c r="N3789" t="n">
        <x:f>ROUND(F3789*M3789/100,2)</x:f>
        <x:v>0</x:v>
      </x:c>
      <x:c r="O3789" t="str"/>
    </x:row>
    <x:row r="3790" ht="23" customHeight="1">
      <x:c r="A3790" t="n">
        <x:v>632</x:v>
      </x:c>
      <x:c r="B3790" t="n">
        <x:v>316</x:v>
      </x:c>
      <x:c r="C3790" t="str">
        <x:v>晚餐</x:v>
      </x:c>
      <x:c r="D3790" t="str">
        <x:v>蔬菜</x:v>
      </x:c>
      <x:c r="E3790" t="str">
        <x:v>生菜</x:v>
      </x:c>
      <x:c r="F3790" t="n">
        <x:v>190</x:v>
      </x:c>
      <x:c r="G3790" t="n">
        <x:v>16</x:v>
      </x:c>
      <x:c r="H3790" t="n">
        <x:f>ROUND(F3790*G3790/100,2)</x:f>
        <x:v>30.4</x:v>
      </x:c>
      <x:c r="I3790" t="n">
        <x:v>1.4</x:v>
      </x:c>
      <x:c r="J3790" t="n">
        <x:f>ROUND(F3790*I3790/100,2)</x:f>
        <x:v>2.66</x:v>
      </x:c>
      <x:c r="K3790" t="n">
        <x:v>2.9</x:v>
      </x:c>
      <x:c r="L3790" t="n">
        <x:f>ROUND(F3790*K3790/100,2)</x:f>
        <x:v>5.51</x:v>
      </x:c>
      <x:c r="M3790" t="n">
        <x:v>0.1</x:v>
      </x:c>
      <x:c r="N3790" t="n">
        <x:f>ROUND(F3790*M3790/100,2)</x:f>
        <x:v>0.19</x:v>
      </x:c>
      <x:c r="O3790" t="str">
        <x:v>生重</x:v>
      </x:c>
    </x:row>
    <x:row r="3791" ht="23" customHeight="1">
      <x:c r="A3791" t="n">
        <x:v>632</x:v>
      </x:c>
      <x:c r="B3791" t="n">
        <x:v>316</x:v>
      </x:c>
      <x:c r="C3791" t="str">
        <x:v>晚餐</x:v>
      </x:c>
      <x:c r="D3791" t="str">
        <x:v>菌菇</x:v>
      </x:c>
      <x:c r="E3791" t="str">
        <x:v>杏鲍菇</x:v>
      </x:c>
      <x:c r="F3791" t="n">
        <x:v>110</x:v>
      </x:c>
      <x:c r="G3791" t="n">
        <x:v>35</x:v>
      </x:c>
      <x:c r="H3791" t="n">
        <x:f>ROUND(F3791*G3791/100,2)</x:f>
        <x:v>38.5</x:v>
      </x:c>
      <x:c r="I3791" t="n">
        <x:v>2</x:v>
      </x:c>
      <x:c r="J3791" t="n">
        <x:f>ROUND(F3791*I3791/100,2)</x:f>
        <x:v>2.2</x:v>
      </x:c>
      <x:c r="K3791" t="n">
        <x:v>7.4</x:v>
      </x:c>
      <x:c r="L3791" t="n">
        <x:f>ROUND(F3791*K3791/100,2)</x:f>
        <x:v>8.14</x:v>
      </x:c>
      <x:c r="M3791" t="n">
        <x:v>0.3</x:v>
      </x:c>
      <x:c r="N3791" t="n">
        <x:f>ROUND(F3791*M3791/100,2)</x:f>
        <x:v>0.33</x:v>
      </x:c>
      <x:c r="O3791" t="str">
        <x:v>生重</x:v>
      </x:c>
    </x:row>
    <x:row r="3792" ht="23" customHeight="1">
      <x:c r="A3792" t="n">
        <x:v>632</x:v>
      </x:c>
      <x:c r="B3792" t="n">
        <x:v>316</x:v>
      </x:c>
      <x:c r="C3792" t="str">
        <x:v>晚餐</x:v>
      </x:c>
      <x:c r="D3792" t="str">
        <x:v>主食</x:v>
      </x:c>
      <x:c r="E3792" t="str">
        <x:v>藜麦饭</x:v>
      </x:c>
      <x:c r="F3792" t="n">
        <x:v>135</x:v>
      </x:c>
      <x:c r="G3792" t="n">
        <x:v>120</x:v>
      </x:c>
      <x:c r="H3792" t="n">
        <x:f>ROUND(F3792*G3792/100,2)</x:f>
        <x:v>162</x:v>
      </x:c>
      <x:c r="I3792" t="n">
        <x:v>4.4</x:v>
      </x:c>
      <x:c r="J3792" t="n">
        <x:f>ROUND(F3792*I3792/100,2)</x:f>
        <x:v>5.94</x:v>
      </x:c>
      <x:c r="K3792" t="n">
        <x:v>21.3</x:v>
      </x:c>
      <x:c r="L3792" t="n">
        <x:f>ROUND(F3792*K3792/100,2)</x:f>
        <x:v>28.76</x:v>
      </x:c>
      <x:c r="M3792" t="n">
        <x:v>1.9</x:v>
      </x:c>
      <x:c r="N3792" t="n">
        <x:f>ROUND(F3792*M3792/100,2)</x:f>
        <x:v>2.57</x:v>
      </x:c>
      <x:c r="O3792" t="str">
        <x:v>熟重</x:v>
      </x:c>
    </x:row>
    <x:row r="3793" ht="23" customHeight="1">
      <x:c r="A3793" t="n">
        <x:v>632</x:v>
      </x:c>
      <x:c r="B3793" t="n">
        <x:v>316</x:v>
      </x:c>
      <x:c r="C3793" t="str">
        <x:v>晚餐</x:v>
      </x:c>
      <x:c r="D3793" t="str">
        <x:v>油脂</x:v>
      </x:c>
      <x:c r="E3793" t="str">
        <x:v>烹调油</x:v>
      </x:c>
      <x:c r="F3793" t="n">
        <x:v>5</x:v>
      </x:c>
      <x:c r="G3793" t="n">
        <x:v>900</x:v>
      </x:c>
      <x:c r="H3793" t="n">
        <x:f>ROUND(F3793*G3793/100,2)</x:f>
        <x:v>45</x:v>
      </x:c>
      <x:c r="I3793" t="n">
        <x:v>0</x:v>
      </x:c>
      <x:c r="J3793" t="n">
        <x:f>ROUND(F3793*I3793/100,2)</x:f>
        <x:v>0</x:v>
      </x:c>
      <x:c r="K3793" t="n">
        <x:v>0</x:v>
      </x:c>
      <x:c r="L3793" t="n">
        <x:f>ROUND(F3793*K3793/100,2)</x:f>
        <x:v>0</x:v>
      </x:c>
      <x:c r="M3793" t="n">
        <x:v>100</x:v>
      </x:c>
      <x:c r="N3793" t="n">
        <x:f>ROUND(F3793*M3793/100,2)</x:f>
        <x:v>5</x:v>
      </x:c>
      <x:c r="O3793" t="str">
        <x:v>实际用油重</x:v>
      </x:c>
    </x:row>
    <x:row r="3794" ht="23" customHeight="1">
      <x:c r="A3794" t="n">
        <x:v>633</x:v>
      </x:c>
      <x:c r="B3794" t="n">
        <x:v>317</x:v>
      </x:c>
      <x:c r="C3794" t="str">
        <x:v>午餐</x:v>
      </x:c>
      <x:c r="D3794" t="str">
        <x:v>海鲜</x:v>
      </x:c>
      <x:c r="E3794" t="str">
        <x:v>花蛤肉</x:v>
      </x:c>
      <x:c r="F3794" t="n">
        <x:v>210</x:v>
      </x:c>
      <x:c r="G3794" t="n">
        <x:v>75</x:v>
      </x:c>
      <x:c r="H3794" t="n">
        <x:f>ROUND(F3794*G3794/100,2)</x:f>
        <x:v>157.5</x:v>
      </x:c>
      <x:c r="I3794" t="n">
        <x:v>13</x:v>
      </x:c>
      <x:c r="J3794" t="n">
        <x:f>ROUND(F3794*I3794/100,2)</x:f>
        <x:v>27.3</x:v>
      </x:c>
      <x:c r="K3794" t="n">
        <x:v>3.5</x:v>
      </x:c>
      <x:c r="L3794" t="n">
        <x:f>ROUND(F3794*K3794/100,2)</x:f>
        <x:v>7.35</x:v>
      </x:c>
      <x:c r="M3794" t="n">
        <x:v>1</x:v>
      </x:c>
      <x:c r="N3794" t="n">
        <x:f>ROUND(F3794*M3794/100,2)</x:f>
        <x:v>2.1</x:v>
      </x:c>
      <x:c r="O3794" t="str">
        <x:v>净肉生重</x:v>
      </x:c>
    </x:row>
    <x:row r="3795" ht="23" customHeight="1">
      <x:c r="A3795" t="n">
        <x:v>633</x:v>
      </x:c>
      <x:c r="B3795" t="n">
        <x:v>317</x:v>
      </x:c>
      <x:c r="C3795" t="str">
        <x:v>午餐</x:v>
      </x:c>
      <x:c r="D3795" t="str"/>
      <x:c r="E3795" t="str"/>
      <x:c r="F3795" t="n">
        <x:v>0</x:v>
      </x:c>
      <x:c r="G3795" t="n">
        <x:v>0</x:v>
      </x:c>
      <x:c r="H3795" t="n">
        <x:f>ROUND(F3795*G3795/100,2)</x:f>
        <x:v>0</x:v>
      </x:c>
      <x:c r="I3795" t="n">
        <x:v>0</x:v>
      </x:c>
      <x:c r="J3795" t="n">
        <x:f>ROUND(F3795*I3795/100,2)</x:f>
        <x:v>0</x:v>
      </x:c>
      <x:c r="K3795" t="n">
        <x:v>0</x:v>
      </x:c>
      <x:c r="L3795" t="n">
        <x:f>ROUND(F3795*K3795/100,2)</x:f>
        <x:v>0</x:v>
      </x:c>
      <x:c r="M3795" t="n">
        <x:v>0</x:v>
      </x:c>
      <x:c r="N3795" t="n">
        <x:f>ROUND(F3795*M3795/100,2)</x:f>
        <x:v>0</x:v>
      </x:c>
      <x:c r="O3795" t="str"/>
    </x:row>
    <x:row r="3796" ht="23" customHeight="1">
      <x:c r="A3796" t="n">
        <x:v>633</x:v>
      </x:c>
      <x:c r="B3796" t="n">
        <x:v>317</x:v>
      </x:c>
      <x:c r="C3796" t="str">
        <x:v>午餐</x:v>
      </x:c>
      <x:c r="D3796" t="str">
        <x:v>蔬菜</x:v>
      </x:c>
      <x:c r="E3796" t="str">
        <x:v>番茄</x:v>
      </x:c>
      <x:c r="F3796" t="n">
        <x:v>175</x:v>
      </x:c>
      <x:c r="G3796" t="n">
        <x:v>20</x:v>
      </x:c>
      <x:c r="H3796" t="n">
        <x:f>ROUND(F3796*G3796/100,2)</x:f>
        <x:v>35</x:v>
      </x:c>
      <x:c r="I3796" t="n">
        <x:v>0.9</x:v>
      </x:c>
      <x:c r="J3796" t="n">
        <x:f>ROUND(F3796*I3796/100,2)</x:f>
        <x:v>1.58</x:v>
      </x:c>
      <x:c r="K3796" t="n">
        <x:v>4</x:v>
      </x:c>
      <x:c r="L3796" t="n">
        <x:f>ROUND(F3796*K3796/100,2)</x:f>
        <x:v>7</x:v>
      </x:c>
      <x:c r="M3796" t="n">
        <x:v>0.2</x:v>
      </x:c>
      <x:c r="N3796" t="n">
        <x:f>ROUND(F3796*M3796/100,2)</x:f>
        <x:v>0.35</x:v>
      </x:c>
      <x:c r="O3796" t="str">
        <x:v>生重</x:v>
      </x:c>
    </x:row>
    <x:row r="3797" ht="23" customHeight="1">
      <x:c r="A3797" t="n">
        <x:v>633</x:v>
      </x:c>
      <x:c r="B3797" t="n">
        <x:v>317</x:v>
      </x:c>
      <x:c r="C3797" t="str">
        <x:v>午餐</x:v>
      </x:c>
      <x:c r="D3797" t="str">
        <x:v>蔬菜</x:v>
      </x:c>
      <x:c r="E3797" t="str">
        <x:v>菜心</x:v>
      </x:c>
      <x:c r="F3797" t="n">
        <x:v>125</x:v>
      </x:c>
      <x:c r="G3797" t="n">
        <x:v>20</x:v>
      </x:c>
      <x:c r="H3797" t="n">
        <x:f>ROUND(F3797*G3797/100,2)</x:f>
        <x:v>25</x:v>
      </x:c>
      <x:c r="I3797" t="n">
        <x:v>2</x:v>
      </x:c>
      <x:c r="J3797" t="n">
        <x:f>ROUND(F3797*I3797/100,2)</x:f>
        <x:v>2.5</x:v>
      </x:c>
      <x:c r="K3797" t="n">
        <x:v>3.5</x:v>
      </x:c>
      <x:c r="L3797" t="n">
        <x:f>ROUND(F3797*K3797/100,2)</x:f>
        <x:v>4.38</x:v>
      </x:c>
      <x:c r="M3797" t="n">
        <x:v>0.3</x:v>
      </x:c>
      <x:c r="N3797" t="n">
        <x:f>ROUND(F3797*M3797/100,2)</x:f>
        <x:v>0.38</x:v>
      </x:c>
      <x:c r="O3797" t="str">
        <x:v>生重</x:v>
      </x:c>
    </x:row>
    <x:row r="3798" ht="23" customHeight="1">
      <x:c r="A3798" t="n">
        <x:v>633</x:v>
      </x:c>
      <x:c r="B3798" t="n">
        <x:v>317</x:v>
      </x:c>
      <x:c r="C3798" t="str">
        <x:v>午餐</x:v>
      </x:c>
      <x:c r="D3798" t="str">
        <x:v>主食</x:v>
      </x:c>
      <x:c r="E3798" t="str">
        <x:v>白米饭</x:v>
      </x:c>
      <x:c r="F3798" t="n">
        <x:v>165</x:v>
      </x:c>
      <x:c r="G3798" t="n">
        <x:v>116</x:v>
      </x:c>
      <x:c r="H3798" t="n">
        <x:f>ROUND(F3798*G3798/100,2)</x:f>
        <x:v>191.4</x:v>
      </x:c>
      <x:c r="I3798" t="n">
        <x:v>2.6</x:v>
      </x:c>
      <x:c r="J3798" t="n">
        <x:f>ROUND(F3798*I3798/100,2)</x:f>
        <x:v>4.29</x:v>
      </x:c>
      <x:c r="K3798" t="n">
        <x:v>25.6</x:v>
      </x:c>
      <x:c r="L3798" t="n">
        <x:f>ROUND(F3798*K3798/100,2)</x:f>
        <x:v>42.24</x:v>
      </x:c>
      <x:c r="M3798" t="n">
        <x:v>0.3</x:v>
      </x:c>
      <x:c r="N3798" t="n">
        <x:f>ROUND(F3798*M3798/100,2)</x:f>
        <x:v>0.5</x:v>
      </x:c>
      <x:c r="O3798" t="str">
        <x:v>熟重</x:v>
      </x:c>
    </x:row>
    <x:row r="3799" ht="23" customHeight="1">
      <x:c r="A3799" t="n">
        <x:v>633</x:v>
      </x:c>
      <x:c r="B3799" t="n">
        <x:v>317</x:v>
      </x:c>
      <x:c r="C3799" t="str">
        <x:v>午餐</x:v>
      </x:c>
      <x:c r="D3799" t="str">
        <x:v>油脂</x:v>
      </x:c>
      <x:c r="E3799" t="str">
        <x:v>烹调油</x:v>
      </x:c>
      <x:c r="F3799" t="n">
        <x:v>3</x:v>
      </x:c>
      <x:c r="G3799" t="n">
        <x:v>900</x:v>
      </x:c>
      <x:c r="H3799" t="n">
        <x:f>ROUND(F3799*G3799/100,2)</x:f>
        <x:v>27</x:v>
      </x:c>
      <x:c r="I3799" t="n">
        <x:v>0</x:v>
      </x:c>
      <x:c r="J3799" t="n">
        <x:f>ROUND(F3799*I3799/100,2)</x:f>
        <x:v>0</x:v>
      </x:c>
      <x:c r="K3799" t="n">
        <x:v>0</x:v>
      </x:c>
      <x:c r="L3799" t="n">
        <x:f>ROUND(F3799*K3799/100,2)</x:f>
        <x:v>0</x:v>
      </x:c>
      <x:c r="M3799" t="n">
        <x:v>100</x:v>
      </x:c>
      <x:c r="N3799" t="n">
        <x:f>ROUND(F3799*M3799/100,2)</x:f>
        <x:v>3</x:v>
      </x:c>
      <x:c r="O3799" t="str">
        <x:v>实际用油重</x:v>
      </x:c>
    </x:row>
    <x:row r="3800" ht="23" customHeight="1">
      <x:c r="A3800" t="n">
        <x:v>634</x:v>
      </x:c>
      <x:c r="B3800" t="n">
        <x:v>317</x:v>
      </x:c>
      <x:c r="C3800" t="str">
        <x:v>晚餐</x:v>
      </x:c>
      <x:c r="D3800" t="str">
        <x:v>鱼类</x:v>
      </x:c>
      <x:c r="E3800" t="str">
        <x:v>巴沙鱼</x:v>
      </x:c>
      <x:c r="F3800" t="n">
        <x:v>215</x:v>
      </x:c>
      <x:c r="G3800" t="n">
        <x:v>90</x:v>
      </x:c>
      <x:c r="H3800" t="n">
        <x:f>ROUND(F3800*G3800/100,2)</x:f>
        <x:v>193.5</x:v>
      </x:c>
      <x:c r="I3800" t="n">
        <x:v>17</x:v>
      </x:c>
      <x:c r="J3800" t="n">
        <x:f>ROUND(F3800*I3800/100,2)</x:f>
        <x:v>36.55</x:v>
      </x:c>
      <x:c r="K3800" t="n">
        <x:v>0</x:v>
      </x:c>
      <x:c r="L3800" t="n">
        <x:f>ROUND(F3800*K3800/100,2)</x:f>
        <x:v>0</x:v>
      </x:c>
      <x:c r="M3800" t="n">
        <x:v>2.3</x:v>
      </x:c>
      <x:c r="N3800" t="n">
        <x:f>ROUND(F3800*M3800/100,2)</x:f>
        <x:v>4.94</x:v>
      </x:c>
      <x:c r="O3800" t="str">
        <x:v>净鱼肉生重</x:v>
      </x:c>
    </x:row>
    <x:row r="3801" ht="23" customHeight="1">
      <x:c r="A3801" t="n">
        <x:v>634</x:v>
      </x:c>
      <x:c r="B3801" t="n">
        <x:v>317</x:v>
      </x:c>
      <x:c r="C3801" t="str">
        <x:v>晚餐</x:v>
      </x:c>
      <x:c r="D3801" t="str"/>
      <x:c r="E3801" t="str"/>
      <x:c r="F3801" t="n">
        <x:v>0</x:v>
      </x:c>
      <x:c r="G3801" t="n">
        <x:v>0</x:v>
      </x:c>
      <x:c r="H3801" t="n">
        <x:f>ROUND(F3801*G3801/100,2)</x:f>
        <x:v>0</x:v>
      </x:c>
      <x:c r="I3801" t="n">
        <x:v>0</x:v>
      </x:c>
      <x:c r="J3801" t="n">
        <x:f>ROUND(F3801*I3801/100,2)</x:f>
        <x:v>0</x:v>
      </x:c>
      <x:c r="K3801" t="n">
        <x:v>0</x:v>
      </x:c>
      <x:c r="L3801" t="n">
        <x:f>ROUND(F3801*K3801/100,2)</x:f>
        <x:v>0</x:v>
      </x:c>
      <x:c r="M3801" t="n">
        <x:v>0</x:v>
      </x:c>
      <x:c r="N3801" t="n">
        <x:f>ROUND(F3801*M3801/100,2)</x:f>
        <x:v>0</x:v>
      </x:c>
      <x:c r="O3801" t="str"/>
    </x:row>
    <x:row r="3802" ht="23" customHeight="1">
      <x:c r="A3802" t="n">
        <x:v>634</x:v>
      </x:c>
      <x:c r="B3802" t="n">
        <x:v>317</x:v>
      </x:c>
      <x:c r="C3802" t="str">
        <x:v>晚餐</x:v>
      </x:c>
      <x:c r="D3802" t="str">
        <x:v>蔬菜</x:v>
      </x:c>
      <x:c r="E3802" t="str">
        <x:v>丝瓜</x:v>
      </x:c>
      <x:c r="F3802" t="n">
        <x:v>190</x:v>
      </x:c>
      <x:c r="G3802" t="n">
        <x:v>20</x:v>
      </x:c>
      <x:c r="H3802" t="n">
        <x:f>ROUND(F3802*G3802/100,2)</x:f>
        <x:v>38</x:v>
      </x:c>
      <x:c r="I3802" t="n">
        <x:v>1</x:v>
      </x:c>
      <x:c r="J3802" t="n">
        <x:f>ROUND(F3802*I3802/100,2)</x:f>
        <x:v>1.9</x:v>
      </x:c>
      <x:c r="K3802" t="n">
        <x:v>4</x:v>
      </x:c>
      <x:c r="L3802" t="n">
        <x:f>ROUND(F3802*K3802/100,2)</x:f>
        <x:v>7.6</x:v>
      </x:c>
      <x:c r="M3802" t="n">
        <x:v>0.2</x:v>
      </x:c>
      <x:c r="N3802" t="n">
        <x:f>ROUND(F3802*M3802/100,2)</x:f>
        <x:v>0.38</x:v>
      </x:c>
      <x:c r="O3802" t="str">
        <x:v>生重</x:v>
      </x:c>
    </x:row>
    <x:row r="3803" ht="23" customHeight="1">
      <x:c r="A3803" t="n">
        <x:v>634</x:v>
      </x:c>
      <x:c r="B3803" t="n">
        <x:v>317</x:v>
      </x:c>
      <x:c r="C3803" t="str">
        <x:v>晚餐</x:v>
      </x:c>
      <x:c r="D3803" t="str">
        <x:v>蔬菜</x:v>
      </x:c>
      <x:c r="E3803" t="str">
        <x:v>菜心</x:v>
      </x:c>
      <x:c r="F3803" t="n">
        <x:v>155</x:v>
      </x:c>
      <x:c r="G3803" t="n">
        <x:v>20</x:v>
      </x:c>
      <x:c r="H3803" t="n">
        <x:f>ROUND(F3803*G3803/100,2)</x:f>
        <x:v>31</x:v>
      </x:c>
      <x:c r="I3803" t="n">
        <x:v>2</x:v>
      </x:c>
      <x:c r="J3803" t="n">
        <x:f>ROUND(F3803*I3803/100,2)</x:f>
        <x:v>3.1</x:v>
      </x:c>
      <x:c r="K3803" t="n">
        <x:v>3.5</x:v>
      </x:c>
      <x:c r="L3803" t="n">
        <x:f>ROUND(F3803*K3803/100,2)</x:f>
        <x:v>5.43</x:v>
      </x:c>
      <x:c r="M3803" t="n">
        <x:v>0.3</x:v>
      </x:c>
      <x:c r="N3803" t="n">
        <x:f>ROUND(F3803*M3803/100,2)</x:f>
        <x:v>0.47</x:v>
      </x:c>
      <x:c r="O3803" t="str">
        <x:v>生重</x:v>
      </x:c>
    </x:row>
    <x:row r="3804" ht="23" customHeight="1">
      <x:c r="A3804" t="n">
        <x:v>634</x:v>
      </x:c>
      <x:c r="B3804" t="n">
        <x:v>317</x:v>
      </x:c>
      <x:c r="C3804" t="str">
        <x:v>晚餐</x:v>
      </x:c>
      <x:c r="D3804" t="str">
        <x:v>主食</x:v>
      </x:c>
      <x:c r="E3804" t="str">
        <x:v>红薯</x:v>
      </x:c>
      <x:c r="F3804" t="n">
        <x:v>135</x:v>
      </x:c>
      <x:c r="G3804" t="n">
        <x:v>88</x:v>
      </x:c>
      <x:c r="H3804" t="n">
        <x:f>ROUND(F3804*G3804/100,2)</x:f>
        <x:v>118.8</x:v>
      </x:c>
      <x:c r="I3804" t="n">
        <x:v>1.6</x:v>
      </x:c>
      <x:c r="J3804" t="n">
        <x:f>ROUND(F3804*I3804/100,2)</x:f>
        <x:v>2.16</x:v>
      </x:c>
      <x:c r="K3804" t="n">
        <x:v>20.5</x:v>
      </x:c>
      <x:c r="L3804" t="n">
        <x:f>ROUND(F3804*K3804/100,2)</x:f>
        <x:v>27.68</x:v>
      </x:c>
      <x:c r="M3804" t="n">
        <x:v>0.1</x:v>
      </x:c>
      <x:c r="N3804" t="n">
        <x:f>ROUND(F3804*M3804/100,2)</x:f>
        <x:v>0.14</x:v>
      </x:c>
      <x:c r="O3804" t="str">
        <x:v>蒸熟净重</x:v>
      </x:c>
    </x:row>
    <x:row r="3805" ht="23" customHeight="1">
      <x:c r="A3805" t="n">
        <x:v>634</x:v>
      </x:c>
      <x:c r="B3805" t="n">
        <x:v>317</x:v>
      </x:c>
      <x:c r="C3805" t="str">
        <x:v>晚餐</x:v>
      </x:c>
      <x:c r="D3805" t="str">
        <x:v>油脂</x:v>
      </x:c>
      <x:c r="E3805" t="str">
        <x:v>烹调油</x:v>
      </x:c>
      <x:c r="F3805" t="n">
        <x:v>6</x:v>
      </x:c>
      <x:c r="G3805" t="n">
        <x:v>900</x:v>
      </x:c>
      <x:c r="H3805" t="n">
        <x:f>ROUND(F3805*G3805/100,2)</x:f>
        <x:v>54</x:v>
      </x:c>
      <x:c r="I3805" t="n">
        <x:v>0</x:v>
      </x:c>
      <x:c r="J3805" t="n">
        <x:f>ROUND(F3805*I3805/100,2)</x:f>
        <x:v>0</x:v>
      </x:c>
      <x:c r="K3805" t="n">
        <x:v>0</x:v>
      </x:c>
      <x:c r="L3805" t="n">
        <x:f>ROUND(F3805*K3805/100,2)</x:f>
        <x:v>0</x:v>
      </x:c>
      <x:c r="M3805" t="n">
        <x:v>100</x:v>
      </x:c>
      <x:c r="N3805" t="n">
        <x:f>ROUND(F3805*M3805/100,2)</x:f>
        <x:v>6</x:v>
      </x:c>
      <x:c r="O3805" t="str">
        <x:v>实际用油重</x:v>
      </x:c>
    </x:row>
    <x:row r="3806" ht="23" customHeight="1">
      <x:c r="A3806" t="n">
        <x:v>635</x:v>
      </x:c>
      <x:c r="B3806" t="n">
        <x:v>318</x:v>
      </x:c>
      <x:c r="C3806" t="str">
        <x:v>午餐</x:v>
      </x:c>
      <x:c r="D3806" t="str">
        <x:v>禽肉</x:v>
      </x:c>
      <x:c r="E3806" t="str">
        <x:v>鸡胸肉</x:v>
      </x:c>
      <x:c r="F3806" t="n">
        <x:v>185</x:v>
      </x:c>
      <x:c r="G3806" t="n">
        <x:v>110</x:v>
      </x:c>
      <x:c r="H3806" t="n">
        <x:f>ROUND(F3806*G3806/100,2)</x:f>
        <x:v>203.5</x:v>
      </x:c>
      <x:c r="I3806" t="n">
        <x:v>23</x:v>
      </x:c>
      <x:c r="J3806" t="n">
        <x:f>ROUND(F3806*I3806/100,2)</x:f>
        <x:v>42.55</x:v>
      </x:c>
      <x:c r="K3806" t="n">
        <x:v>0</x:v>
      </x:c>
      <x:c r="L3806" t="n">
        <x:f>ROUND(F3806*K3806/100,2)</x:f>
        <x:v>0</x:v>
      </x:c>
      <x:c r="M3806" t="n">
        <x:v>2</x:v>
      </x:c>
      <x:c r="N3806" t="n">
        <x:f>ROUND(F3806*M3806/100,2)</x:f>
        <x:v>3.7</x:v>
      </x:c>
      <x:c r="O3806" t="str">
        <x:v>生重</x:v>
      </x:c>
    </x:row>
    <x:row r="3807" ht="23" customHeight="1">
      <x:c r="A3807" t="n">
        <x:v>635</x:v>
      </x:c>
      <x:c r="B3807" t="n">
        <x:v>318</x:v>
      </x:c>
      <x:c r="C3807" t="str">
        <x:v>午餐</x:v>
      </x:c>
      <x:c r="D3807" t="str"/>
      <x:c r="E3807" t="str"/>
      <x:c r="F3807" t="n">
        <x:v>0</x:v>
      </x:c>
      <x:c r="G3807" t="n">
        <x:v>0</x:v>
      </x:c>
      <x:c r="H3807" t="n">
        <x:f>ROUND(F3807*G3807/100,2)</x:f>
        <x:v>0</x:v>
      </x:c>
      <x:c r="I3807" t="n">
        <x:v>0</x:v>
      </x:c>
      <x:c r="J3807" t="n">
        <x:f>ROUND(F3807*I3807/100,2)</x:f>
        <x:v>0</x:v>
      </x:c>
      <x:c r="K3807" t="n">
        <x:v>0</x:v>
      </x:c>
      <x:c r="L3807" t="n">
        <x:f>ROUND(F3807*K3807/100,2)</x:f>
        <x:v>0</x:v>
      </x:c>
      <x:c r="M3807" t="n">
        <x:v>0</x:v>
      </x:c>
      <x:c r="N3807" t="n">
        <x:f>ROUND(F3807*M3807/100,2)</x:f>
        <x:v>0</x:v>
      </x:c>
      <x:c r="O3807" t="str"/>
    </x:row>
    <x:row r="3808" ht="23" customHeight="1">
      <x:c r="A3808" t="n">
        <x:v>635</x:v>
      </x:c>
      <x:c r="B3808" t="n">
        <x:v>318</x:v>
      </x:c>
      <x:c r="C3808" t="str">
        <x:v>午餐</x:v>
      </x:c>
      <x:c r="D3808" t="str">
        <x:v>蔬菜</x:v>
      </x:c>
      <x:c r="E3808" t="str">
        <x:v>彩椒</x:v>
      </x:c>
      <x:c r="F3808" t="n">
        <x:v>160</x:v>
      </x:c>
      <x:c r="G3808" t="n">
        <x:v>27</x:v>
      </x:c>
      <x:c r="H3808" t="n">
        <x:f>ROUND(F3808*G3808/100,2)</x:f>
        <x:v>43.2</x:v>
      </x:c>
      <x:c r="I3808" t="n">
        <x:v>1</x:v>
      </x:c>
      <x:c r="J3808" t="n">
        <x:f>ROUND(F3808*I3808/100,2)</x:f>
        <x:v>1.6</x:v>
      </x:c>
      <x:c r="K3808" t="n">
        <x:v>6.1</x:v>
      </x:c>
      <x:c r="L3808" t="n">
        <x:f>ROUND(F3808*K3808/100,2)</x:f>
        <x:v>9.76</x:v>
      </x:c>
      <x:c r="M3808" t="n">
        <x:v>0.2</x:v>
      </x:c>
      <x:c r="N3808" t="n">
        <x:f>ROUND(F3808*M3808/100,2)</x:f>
        <x:v>0.32</x:v>
      </x:c>
      <x:c r="O3808" t="str">
        <x:v>生重</x:v>
      </x:c>
    </x:row>
    <x:row r="3809" ht="23" customHeight="1">
      <x:c r="A3809" t="n">
        <x:v>635</x:v>
      </x:c>
      <x:c r="B3809" t="n">
        <x:v>318</x:v>
      </x:c>
      <x:c r="C3809" t="str">
        <x:v>午餐</x:v>
      </x:c>
      <x:c r="D3809" t="str">
        <x:v>菌菇</x:v>
      </x:c>
      <x:c r="E3809" t="str">
        <x:v>口蘑</x:v>
      </x:c>
      <x:c r="F3809" t="n">
        <x:v>155</x:v>
      </x:c>
      <x:c r="G3809" t="n">
        <x:v>22</x:v>
      </x:c>
      <x:c r="H3809" t="n">
        <x:f>ROUND(F3809*G3809/100,2)</x:f>
        <x:v>34.1</x:v>
      </x:c>
      <x:c r="I3809" t="n">
        <x:v>3.1</x:v>
      </x:c>
      <x:c r="J3809" t="n">
        <x:f>ROUND(F3809*I3809/100,2)</x:f>
        <x:v>4.81</x:v>
      </x:c>
      <x:c r="K3809" t="n">
        <x:v>3.3</x:v>
      </x:c>
      <x:c r="L3809" t="n">
        <x:f>ROUND(F3809*K3809/100,2)</x:f>
        <x:v>5.12</x:v>
      </x:c>
      <x:c r="M3809" t="n">
        <x:v>0.3</x:v>
      </x:c>
      <x:c r="N3809" t="n">
        <x:f>ROUND(F3809*M3809/100,2)</x:f>
        <x:v>0.47</x:v>
      </x:c>
      <x:c r="O3809" t="str">
        <x:v>生重</x:v>
      </x:c>
    </x:row>
    <x:row r="3810" ht="23" customHeight="1">
      <x:c r="A3810" t="n">
        <x:v>635</x:v>
      </x:c>
      <x:c r="B3810" t="n">
        <x:v>318</x:v>
      </x:c>
      <x:c r="C3810" t="str">
        <x:v>午餐</x:v>
      </x:c>
      <x:c r="D3810" t="str">
        <x:v>主食</x:v>
      </x:c>
      <x:c r="E3810" t="str">
        <x:v>杂粮饭</x:v>
      </x:c>
      <x:c r="F3810" t="n">
        <x:v>135</x:v>
      </x:c>
      <x:c r="G3810" t="n">
        <x:v>115</x:v>
      </x:c>
      <x:c r="H3810" t="n">
        <x:f>ROUND(F3810*G3810/100,2)</x:f>
        <x:v>155.25</x:v>
      </x:c>
      <x:c r="I3810" t="n">
        <x:v>3.1</x:v>
      </x:c>
      <x:c r="J3810" t="n">
        <x:f>ROUND(F3810*I3810/100,2)</x:f>
        <x:v>4.18</x:v>
      </x:c>
      <x:c r="K3810" t="n">
        <x:v>23.5</x:v>
      </x:c>
      <x:c r="L3810" t="n">
        <x:f>ROUND(F3810*K3810/100,2)</x:f>
        <x:v>31.73</x:v>
      </x:c>
      <x:c r="M3810" t="n">
        <x:v>1.1</x:v>
      </x:c>
      <x:c r="N3810" t="n">
        <x:f>ROUND(F3810*M3810/100,2)</x:f>
        <x:v>1.49</x:v>
      </x:c>
      <x:c r="O3810" t="str">
        <x:v>熟重</x:v>
      </x:c>
    </x:row>
    <x:row r="3811" ht="23" customHeight="1">
      <x:c r="A3811" t="n">
        <x:v>635</x:v>
      </x:c>
      <x:c r="B3811" t="n">
        <x:v>318</x:v>
      </x:c>
      <x:c r="C3811" t="str">
        <x:v>午餐</x:v>
      </x:c>
      <x:c r="D3811" t="str">
        <x:v>油脂</x:v>
      </x:c>
      <x:c r="E3811" t="str">
        <x:v>烹调油</x:v>
      </x:c>
      <x:c r="F3811" t="n">
        <x:v>4</x:v>
      </x:c>
      <x:c r="G3811" t="n">
        <x:v>900</x:v>
      </x:c>
      <x:c r="H3811" t="n">
        <x:f>ROUND(F3811*G3811/100,2)</x:f>
        <x:v>36</x:v>
      </x:c>
      <x:c r="I3811" t="n">
        <x:v>0</x:v>
      </x:c>
      <x:c r="J3811" t="n">
        <x:f>ROUND(F3811*I3811/100,2)</x:f>
        <x:v>0</x:v>
      </x:c>
      <x:c r="K3811" t="n">
        <x:v>0</x:v>
      </x:c>
      <x:c r="L3811" t="n">
        <x:f>ROUND(F3811*K3811/100,2)</x:f>
        <x:v>0</x:v>
      </x:c>
      <x:c r="M3811" t="n">
        <x:v>100</x:v>
      </x:c>
      <x:c r="N3811" t="n">
        <x:f>ROUND(F3811*M3811/100,2)</x:f>
        <x:v>4</x:v>
      </x:c>
      <x:c r="O3811" t="str">
        <x:v>实际用油重</x:v>
      </x:c>
    </x:row>
    <x:row r="3812" ht="23" customHeight="1">
      <x:c r="A3812" t="n">
        <x:v>636</x:v>
      </x:c>
      <x:c r="B3812" t="n">
        <x:v>318</x:v>
      </x:c>
      <x:c r="C3812" t="str">
        <x:v>晚餐</x:v>
      </x:c>
      <x:c r="D3812" t="str">
        <x:v>豆蛋</x:v>
      </x:c>
      <x:c r="E3812" t="str">
        <x:v>北豆腐</x:v>
      </x:c>
      <x:c r="F3812" t="n">
        <x:v>300</x:v>
      </x:c>
      <x:c r="G3812" t="n">
        <x:v>90</x:v>
      </x:c>
      <x:c r="H3812" t="n">
        <x:f>ROUND(F3812*G3812/100,2)</x:f>
        <x:v>270</x:v>
      </x:c>
      <x:c r="I3812" t="n">
        <x:v>10</x:v>
      </x:c>
      <x:c r="J3812" t="n">
        <x:f>ROUND(F3812*I3812/100,2)</x:f>
        <x:v>30</x:v>
      </x:c>
      <x:c r="K3812" t="n">
        <x:v>2</x:v>
      </x:c>
      <x:c r="L3812" t="n">
        <x:f>ROUND(F3812*K3812/100,2)</x:f>
        <x:v>6</x:v>
      </x:c>
      <x:c r="M3812" t="n">
        <x:v>5</x:v>
      </x:c>
      <x:c r="N3812" t="n">
        <x:f>ROUND(F3812*M3812/100,2)</x:f>
        <x:v>15</x:v>
      </x:c>
      <x:c r="O3812" t="str">
        <x:v>净重</x:v>
      </x:c>
    </x:row>
    <x:row r="3813" ht="23" customHeight="1">
      <x:c r="A3813" t="n">
        <x:v>636</x:v>
      </x:c>
      <x:c r="B3813" t="n">
        <x:v>318</x:v>
      </x:c>
      <x:c r="C3813" t="str">
        <x:v>晚餐</x:v>
      </x:c>
      <x:c r="D3813" t="str">
        <x:v>海鲜</x:v>
      </x:c>
      <x:c r="E3813" t="str">
        <x:v>虾仁</x:v>
      </x:c>
      <x:c r="F3813" t="n">
        <x:v>85</x:v>
      </x:c>
      <x:c r="G3813" t="n">
        <x:v>90</x:v>
      </x:c>
      <x:c r="H3813" t="n">
        <x:f>ROUND(F3813*G3813/100,2)</x:f>
        <x:v>76.5</x:v>
      </x:c>
      <x:c r="I3813" t="n">
        <x:v>19</x:v>
      </x:c>
      <x:c r="J3813" t="n">
        <x:f>ROUND(F3813*I3813/100,2)</x:f>
        <x:v>16.15</x:v>
      </x:c>
      <x:c r="K3813" t="n">
        <x:v>0.4</x:v>
      </x:c>
      <x:c r="L3813" t="n">
        <x:f>ROUND(F3813*K3813/100,2)</x:f>
        <x:v>0.34</x:v>
      </x:c>
      <x:c r="M3813" t="n">
        <x:v>1.1</x:v>
      </x:c>
      <x:c r="N3813" t="n">
        <x:f>ROUND(F3813*M3813/100,2)</x:f>
        <x:v>0.94</x:v>
      </x:c>
      <x:c r="O3813" t="str">
        <x:v>生重</x:v>
      </x:c>
    </x:row>
    <x:row r="3814" ht="23" customHeight="1">
      <x:c r="A3814" t="n">
        <x:v>636</x:v>
      </x:c>
      <x:c r="B3814" t="n">
        <x:v>318</x:v>
      </x:c>
      <x:c r="C3814" t="str">
        <x:v>晚餐</x:v>
      </x:c>
      <x:c r="D3814" t="str">
        <x:v>蔬菜</x:v>
      </x:c>
      <x:c r="E3814" t="str">
        <x:v>彩椒</x:v>
      </x:c>
      <x:c r="F3814" t="n">
        <x:v>190</x:v>
      </x:c>
      <x:c r="G3814" t="n">
        <x:v>27</x:v>
      </x:c>
      <x:c r="H3814" t="n">
        <x:f>ROUND(F3814*G3814/100,2)</x:f>
        <x:v>51.3</x:v>
      </x:c>
      <x:c r="I3814" t="n">
        <x:v>1</x:v>
      </x:c>
      <x:c r="J3814" t="n">
        <x:f>ROUND(F3814*I3814/100,2)</x:f>
        <x:v>1.9</x:v>
      </x:c>
      <x:c r="K3814" t="n">
        <x:v>6.1</x:v>
      </x:c>
      <x:c r="L3814" t="n">
        <x:f>ROUND(F3814*K3814/100,2)</x:f>
        <x:v>11.59</x:v>
      </x:c>
      <x:c r="M3814" t="n">
        <x:v>0.2</x:v>
      </x:c>
      <x:c r="N3814" t="n">
        <x:f>ROUND(F3814*M3814/100,2)</x:f>
        <x:v>0.38</x:v>
      </x:c>
      <x:c r="O3814" t="str">
        <x:v>生重</x:v>
      </x:c>
    </x:row>
    <x:row r="3815" ht="23" customHeight="1">
      <x:c r="A3815" t="n">
        <x:v>636</x:v>
      </x:c>
      <x:c r="B3815" t="n">
        <x:v>318</x:v>
      </x:c>
      <x:c r="C3815" t="str">
        <x:v>晚餐</x:v>
      </x:c>
      <x:c r="D3815" t="str">
        <x:v>菌菇</x:v>
      </x:c>
      <x:c r="E3815" t="str">
        <x:v>金针菇</x:v>
      </x:c>
      <x:c r="F3815" t="n">
        <x:v>125</x:v>
      </x:c>
      <x:c r="G3815" t="n">
        <x:v>32</x:v>
      </x:c>
      <x:c r="H3815" t="n">
        <x:f>ROUND(F3815*G3815/100,2)</x:f>
        <x:v>40</x:v>
      </x:c>
      <x:c r="I3815" t="n">
        <x:v>2.4</x:v>
      </x:c>
      <x:c r="J3815" t="n">
        <x:f>ROUND(F3815*I3815/100,2)</x:f>
        <x:v>3</x:v>
      </x:c>
      <x:c r="K3815" t="n">
        <x:v>6.4</x:v>
      </x:c>
      <x:c r="L3815" t="n">
        <x:f>ROUND(F3815*K3815/100,2)</x:f>
        <x:v>8</x:v>
      </x:c>
      <x:c r="M3815" t="n">
        <x:v>0.2</x:v>
      </x:c>
      <x:c r="N3815" t="n">
        <x:f>ROUND(F3815*M3815/100,2)</x:f>
        <x:v>0.25</x:v>
      </x:c>
      <x:c r="O3815" t="str">
        <x:v>生重</x:v>
      </x:c>
    </x:row>
    <x:row r="3816" ht="23" customHeight="1">
      <x:c r="A3816" t="n">
        <x:v>636</x:v>
      </x:c>
      <x:c r="B3816" t="n">
        <x:v>318</x:v>
      </x:c>
      <x:c r="C3816" t="str">
        <x:v>晚餐</x:v>
      </x:c>
      <x:c r="D3816" t="str">
        <x:v>主食</x:v>
      </x:c>
      <x:c r="E3816" t="str">
        <x:v>乌冬面</x:v>
      </x:c>
      <x:c r="F3816" t="n">
        <x:v>95</x:v>
      </x:c>
      <x:c r="G3816" t="n">
        <x:v>120</x:v>
      </x:c>
      <x:c r="H3816" t="n">
        <x:f>ROUND(F3816*G3816/100,2)</x:f>
        <x:v>114</x:v>
      </x:c>
      <x:c r="I3816" t="n">
        <x:v>2.5</x:v>
      </x:c>
      <x:c r="J3816" t="n">
        <x:f>ROUND(F3816*I3816/100,2)</x:f>
        <x:v>2.38</x:v>
      </x:c>
      <x:c r="K3816" t="n">
        <x:v>25</x:v>
      </x:c>
      <x:c r="L3816" t="n">
        <x:f>ROUND(F3816*K3816/100,2)</x:f>
        <x:v>23.75</x:v>
      </x:c>
      <x:c r="M3816" t="n">
        <x:v>0.6</x:v>
      </x:c>
      <x:c r="N3816" t="n">
        <x:f>ROUND(F3816*M3816/100,2)</x:f>
        <x:v>0.57</x:v>
      </x:c>
      <x:c r="O3816" t="str">
        <x:v>煮熟沥水重</x:v>
      </x:c>
    </x:row>
    <x:row r="3817" ht="23" customHeight="1">
      <x:c r="A3817" t="n">
        <x:v>636</x:v>
      </x:c>
      <x:c r="B3817" t="n">
        <x:v>318</x:v>
      </x:c>
      <x:c r="C3817" t="str">
        <x:v>晚餐</x:v>
      </x:c>
      <x:c r="D3817" t="str">
        <x:v>油脂</x:v>
      </x:c>
      <x:c r="E3817" t="str">
        <x:v>烹调油</x:v>
      </x:c>
      <x:c r="F3817" t="n">
        <x:v>6</x:v>
      </x:c>
      <x:c r="G3817" t="n">
        <x:v>900</x:v>
      </x:c>
      <x:c r="H3817" t="n">
        <x:f>ROUND(F3817*G3817/100,2)</x:f>
        <x:v>54</x:v>
      </x:c>
      <x:c r="I3817" t="n">
        <x:v>0</x:v>
      </x:c>
      <x:c r="J3817" t="n">
        <x:f>ROUND(F3817*I3817/100,2)</x:f>
        <x:v>0</x:v>
      </x:c>
      <x:c r="K3817" t="n">
        <x:v>0</x:v>
      </x:c>
      <x:c r="L3817" t="n">
        <x:f>ROUND(F3817*K3817/100,2)</x:f>
        <x:v>0</x:v>
      </x:c>
      <x:c r="M3817" t="n">
        <x:v>100</x:v>
      </x:c>
      <x:c r="N3817" t="n">
        <x:f>ROUND(F3817*M3817/100,2)</x:f>
        <x:v>6</x:v>
      </x:c>
      <x:c r="O3817" t="str">
        <x:v>实际用油重</x:v>
      </x:c>
    </x:row>
    <x:row r="3818" ht="23" customHeight="1">
      <x:c r="A3818" t="n">
        <x:v>637</x:v>
      </x:c>
      <x:c r="B3818" t="n">
        <x:v>319</x:v>
      </x:c>
      <x:c r="C3818" t="str">
        <x:v>午餐</x:v>
      </x:c>
      <x:c r="D3818" t="str">
        <x:v>猪肉</x:v>
      </x:c>
      <x:c r="E3818" t="str">
        <x:v>猪瘦肉</x:v>
      </x:c>
      <x:c r="F3818" t="n">
        <x:v>155</x:v>
      </x:c>
      <x:c r="G3818" t="n">
        <x:v>130</x:v>
      </x:c>
      <x:c r="H3818" t="n">
        <x:f>ROUND(F3818*G3818/100,2)</x:f>
        <x:v>201.5</x:v>
      </x:c>
      <x:c r="I3818" t="n">
        <x:v>20</x:v>
      </x:c>
      <x:c r="J3818" t="n">
        <x:f>ROUND(F3818*I3818/100,2)</x:f>
        <x:v>31</x:v>
      </x:c>
      <x:c r="K3818" t="n">
        <x:v>0</x:v>
      </x:c>
      <x:c r="L3818" t="n">
        <x:f>ROUND(F3818*K3818/100,2)</x:f>
        <x:v>0</x:v>
      </x:c>
      <x:c r="M3818" t="n">
        <x:v>5.5</x:v>
      </x:c>
      <x:c r="N3818" t="n">
        <x:f>ROUND(F3818*M3818/100,2)</x:f>
        <x:v>8.53</x:v>
      </x:c>
      <x:c r="O3818" t="str">
        <x:v>生重</x:v>
      </x:c>
    </x:row>
    <x:row r="3819" ht="23" customHeight="1">
      <x:c r="A3819" t="n">
        <x:v>637</x:v>
      </x:c>
      <x:c r="B3819" t="n">
        <x:v>319</x:v>
      </x:c>
      <x:c r="C3819" t="str">
        <x:v>午餐</x:v>
      </x:c>
      <x:c r="D3819" t="str"/>
      <x:c r="E3819" t="str"/>
      <x:c r="F3819" t="n">
        <x:v>0</x:v>
      </x:c>
      <x:c r="G3819" t="n">
        <x:v>0</x:v>
      </x:c>
      <x:c r="H3819" t="n">
        <x:f>ROUND(F3819*G3819/100,2)</x:f>
        <x:v>0</x:v>
      </x:c>
      <x:c r="I3819" t="n">
        <x:v>0</x:v>
      </x:c>
      <x:c r="J3819" t="n">
        <x:f>ROUND(F3819*I3819/100,2)</x:f>
        <x:v>0</x:v>
      </x:c>
      <x:c r="K3819" t="n">
        <x:v>0</x:v>
      </x:c>
      <x:c r="L3819" t="n">
        <x:f>ROUND(F3819*K3819/100,2)</x:f>
        <x:v>0</x:v>
      </x:c>
      <x:c r="M3819" t="n">
        <x:v>0</x:v>
      </x:c>
      <x:c r="N3819" t="n">
        <x:f>ROUND(F3819*M3819/100,2)</x:f>
        <x:v>0</x:v>
      </x:c>
      <x:c r="O3819" t="str"/>
    </x:row>
    <x:row r="3820" ht="23" customHeight="1">
      <x:c r="A3820" t="n">
        <x:v>637</x:v>
      </x:c>
      <x:c r="B3820" t="n">
        <x:v>319</x:v>
      </x:c>
      <x:c r="C3820" t="str">
        <x:v>午餐</x:v>
      </x:c>
      <x:c r="D3820" t="str">
        <x:v>蔬菜</x:v>
      </x:c>
      <x:c r="E3820" t="str">
        <x:v>茼蒿</x:v>
      </x:c>
      <x:c r="F3820" t="n">
        <x:v>175</x:v>
      </x:c>
      <x:c r="G3820" t="n">
        <x:v>24</x:v>
      </x:c>
      <x:c r="H3820" t="n">
        <x:f>ROUND(F3820*G3820/100,2)</x:f>
        <x:v>42</x:v>
      </x:c>
      <x:c r="I3820" t="n">
        <x:v>1.9</x:v>
      </x:c>
      <x:c r="J3820" t="n">
        <x:f>ROUND(F3820*I3820/100,2)</x:f>
        <x:v>3.33</x:v>
      </x:c>
      <x:c r="K3820" t="n">
        <x:v>4.3</x:v>
      </x:c>
      <x:c r="L3820" t="n">
        <x:f>ROUND(F3820*K3820/100,2)</x:f>
        <x:v>7.53</x:v>
      </x:c>
      <x:c r="M3820" t="n">
        <x:v>0.3</x:v>
      </x:c>
      <x:c r="N3820" t="n">
        <x:f>ROUND(F3820*M3820/100,2)</x:f>
        <x:v>0.53</x:v>
      </x:c>
      <x:c r="O3820" t="str">
        <x:v>生重</x:v>
      </x:c>
    </x:row>
    <x:row r="3821" ht="23" customHeight="1">
      <x:c r="A3821" t="n">
        <x:v>637</x:v>
      </x:c>
      <x:c r="B3821" t="n">
        <x:v>319</x:v>
      </x:c>
      <x:c r="C3821" t="str">
        <x:v>午餐</x:v>
      </x:c>
      <x:c r="D3821" t="str">
        <x:v>蔬菜</x:v>
      </x:c>
      <x:c r="E3821" t="str">
        <x:v>小白菜</x:v>
      </x:c>
      <x:c r="F3821" t="n">
        <x:v>125</x:v>
      </x:c>
      <x:c r="G3821" t="n">
        <x:v>17</x:v>
      </x:c>
      <x:c r="H3821" t="n">
        <x:f>ROUND(F3821*G3821/100,2)</x:f>
        <x:v>21.25</x:v>
      </x:c>
      <x:c r="I3821" t="n">
        <x:v>1.6</x:v>
      </x:c>
      <x:c r="J3821" t="n">
        <x:f>ROUND(F3821*I3821/100,2)</x:f>
        <x:v>2</x:v>
      </x:c>
      <x:c r="K3821" t="n">
        <x:v>2.8</x:v>
      </x:c>
      <x:c r="L3821" t="n">
        <x:f>ROUND(F3821*K3821/100,2)</x:f>
        <x:v>3.5</x:v>
      </x:c>
      <x:c r="M3821" t="n">
        <x:v>0.2</x:v>
      </x:c>
      <x:c r="N3821" t="n">
        <x:f>ROUND(F3821*M3821/100,2)</x:f>
        <x:v>0.25</x:v>
      </x:c>
      <x:c r="O3821" t="str">
        <x:v>生重</x:v>
      </x:c>
    </x:row>
    <x:row r="3822" ht="23" customHeight="1">
      <x:c r="A3822" t="n">
        <x:v>637</x:v>
      </x:c>
      <x:c r="B3822" t="n">
        <x:v>319</x:v>
      </x:c>
      <x:c r="C3822" t="str">
        <x:v>午餐</x:v>
      </x:c>
      <x:c r="D3822" t="str">
        <x:v>主食</x:v>
      </x:c>
      <x:c r="E3822" t="str">
        <x:v>白米饭</x:v>
      </x:c>
      <x:c r="F3822" t="n">
        <x:v>135</x:v>
      </x:c>
      <x:c r="G3822" t="n">
        <x:v>116</x:v>
      </x:c>
      <x:c r="H3822" t="n">
        <x:f>ROUND(F3822*G3822/100,2)</x:f>
        <x:v>156.6</x:v>
      </x:c>
      <x:c r="I3822" t="n">
        <x:v>2.6</x:v>
      </x:c>
      <x:c r="J3822" t="n">
        <x:f>ROUND(F3822*I3822/100,2)</x:f>
        <x:v>3.51</x:v>
      </x:c>
      <x:c r="K3822" t="n">
        <x:v>25.6</x:v>
      </x:c>
      <x:c r="L3822" t="n">
        <x:f>ROUND(F3822*K3822/100,2)</x:f>
        <x:v>34.56</x:v>
      </x:c>
      <x:c r="M3822" t="n">
        <x:v>0.3</x:v>
      </x:c>
      <x:c r="N3822" t="n">
        <x:f>ROUND(F3822*M3822/100,2)</x:f>
        <x:v>0.41</x:v>
      </x:c>
      <x:c r="O3822" t="str">
        <x:v>熟重</x:v>
      </x:c>
    </x:row>
    <x:row r="3823" ht="23" customHeight="1">
      <x:c r="A3823" t="n">
        <x:v>637</x:v>
      </x:c>
      <x:c r="B3823" t="n">
        <x:v>319</x:v>
      </x:c>
      <x:c r="C3823" t="str">
        <x:v>午餐</x:v>
      </x:c>
      <x:c r="D3823" t="str">
        <x:v>油脂</x:v>
      </x:c>
      <x:c r="E3823" t="str">
        <x:v>烹调油</x:v>
      </x:c>
      <x:c r="F3823" t="n">
        <x:v>5</x:v>
      </x:c>
      <x:c r="G3823" t="n">
        <x:v>900</x:v>
      </x:c>
      <x:c r="H3823" t="n">
        <x:f>ROUND(F3823*G3823/100,2)</x:f>
        <x:v>45</x:v>
      </x:c>
      <x:c r="I3823" t="n">
        <x:v>0</x:v>
      </x:c>
      <x:c r="J3823" t="n">
        <x:f>ROUND(F3823*I3823/100,2)</x:f>
        <x:v>0</x:v>
      </x:c>
      <x:c r="K3823" t="n">
        <x:v>0</x:v>
      </x:c>
      <x:c r="L3823" t="n">
        <x:f>ROUND(F3823*K3823/100,2)</x:f>
        <x:v>0</x:v>
      </x:c>
      <x:c r="M3823" t="n">
        <x:v>100</x:v>
      </x:c>
      <x:c r="N3823" t="n">
        <x:f>ROUND(F3823*M3823/100,2)</x:f>
        <x:v>5</x:v>
      </x:c>
      <x:c r="O3823" t="str">
        <x:v>实际用油重</x:v>
      </x:c>
    </x:row>
    <x:row r="3824" ht="23" customHeight="1">
      <x:c r="A3824" t="n">
        <x:v>638</x:v>
      </x:c>
      <x:c r="B3824" t="n">
        <x:v>319</x:v>
      </x:c>
      <x:c r="C3824" t="str">
        <x:v>晚餐</x:v>
      </x:c>
      <x:c r="D3824" t="str">
        <x:v>禽肉</x:v>
      </x:c>
      <x:c r="E3824" t="str">
        <x:v>鸡胸肉</x:v>
      </x:c>
      <x:c r="F3824" t="n">
        <x:v>180</x:v>
      </x:c>
      <x:c r="G3824" t="n">
        <x:v>110</x:v>
      </x:c>
      <x:c r="H3824" t="n">
        <x:f>ROUND(F3824*G3824/100,2)</x:f>
        <x:v>198</x:v>
      </x:c>
      <x:c r="I3824" t="n">
        <x:v>23</x:v>
      </x:c>
      <x:c r="J3824" t="n">
        <x:f>ROUND(F3824*I3824/100,2)</x:f>
        <x:v>41.4</x:v>
      </x:c>
      <x:c r="K3824" t="n">
        <x:v>0</x:v>
      </x:c>
      <x:c r="L3824" t="n">
        <x:f>ROUND(F3824*K3824/100,2)</x:f>
        <x:v>0</x:v>
      </x:c>
      <x:c r="M3824" t="n">
        <x:v>2</x:v>
      </x:c>
      <x:c r="N3824" t="n">
        <x:f>ROUND(F3824*M3824/100,2)</x:f>
        <x:v>3.6</x:v>
      </x:c>
      <x:c r="O3824" t="str">
        <x:v>生重</x:v>
      </x:c>
    </x:row>
    <x:row r="3825" ht="23" customHeight="1">
      <x:c r="A3825" t="n">
        <x:v>638</x:v>
      </x:c>
      <x:c r="B3825" t="n">
        <x:v>319</x:v>
      </x:c>
      <x:c r="C3825" t="str">
        <x:v>晚餐</x:v>
      </x:c>
      <x:c r="D3825" t="str"/>
      <x:c r="E3825" t="str"/>
      <x:c r="F3825" t="n">
        <x:v>0</x:v>
      </x:c>
      <x:c r="G3825" t="n">
        <x:v>0</x:v>
      </x:c>
      <x:c r="H3825" t="n">
        <x:f>ROUND(F3825*G3825/100,2)</x:f>
        <x:v>0</x:v>
      </x:c>
      <x:c r="I3825" t="n">
        <x:v>0</x:v>
      </x:c>
      <x:c r="J3825" t="n">
        <x:f>ROUND(F3825*I3825/100,2)</x:f>
        <x:v>0</x:v>
      </x:c>
      <x:c r="K3825" t="n">
        <x:v>0</x:v>
      </x:c>
      <x:c r="L3825" t="n">
        <x:f>ROUND(F3825*K3825/100,2)</x:f>
        <x:v>0</x:v>
      </x:c>
      <x:c r="M3825" t="n">
        <x:v>0</x:v>
      </x:c>
      <x:c r="N3825" t="n">
        <x:f>ROUND(F3825*M3825/100,2)</x:f>
        <x:v>0</x:v>
      </x:c>
      <x:c r="O3825" t="str"/>
    </x:row>
    <x:row r="3826" ht="23" customHeight="1">
      <x:c r="A3826" t="n">
        <x:v>638</x:v>
      </x:c>
      <x:c r="B3826" t="n">
        <x:v>319</x:v>
      </x:c>
      <x:c r="C3826" t="str">
        <x:v>晚餐</x:v>
      </x:c>
      <x:c r="D3826" t="str">
        <x:v>蔬菜</x:v>
      </x:c>
      <x:c r="E3826" t="str">
        <x:v>紫甘蓝</x:v>
      </x:c>
      <x:c r="F3826" t="n">
        <x:v>190</x:v>
      </x:c>
      <x:c r="G3826" t="n">
        <x:v>31</x:v>
      </x:c>
      <x:c r="H3826" t="n">
        <x:f>ROUND(F3826*G3826/100,2)</x:f>
        <x:v>58.9</x:v>
      </x:c>
      <x:c r="I3826" t="n">
        <x:v>1.4</x:v>
      </x:c>
      <x:c r="J3826" t="n">
        <x:f>ROUND(F3826*I3826/100,2)</x:f>
        <x:v>2.66</x:v>
      </x:c>
      <x:c r="K3826" t="n">
        <x:v>7.3</x:v>
      </x:c>
      <x:c r="L3826" t="n">
        <x:f>ROUND(F3826*K3826/100,2)</x:f>
        <x:v>13.87</x:v>
      </x:c>
      <x:c r="M3826" t="n">
        <x:v>0.1</x:v>
      </x:c>
      <x:c r="N3826" t="n">
        <x:f>ROUND(F3826*M3826/100,2)</x:f>
        <x:v>0.19</x:v>
      </x:c>
      <x:c r="O3826" t="str">
        <x:v>生重</x:v>
      </x:c>
    </x:row>
    <x:row r="3827" ht="23" customHeight="1">
      <x:c r="A3827" t="n">
        <x:v>638</x:v>
      </x:c>
      <x:c r="B3827" t="n">
        <x:v>319</x:v>
      </x:c>
      <x:c r="C3827" t="str">
        <x:v>晚餐</x:v>
      </x:c>
      <x:c r="D3827" t="str">
        <x:v>菌菇</x:v>
      </x:c>
      <x:c r="E3827" t="str">
        <x:v>香菇</x:v>
      </x:c>
      <x:c r="F3827" t="n">
        <x:v>110</x:v>
      </x:c>
      <x:c r="G3827" t="n">
        <x:v>34</x:v>
      </x:c>
      <x:c r="H3827" t="n">
        <x:f>ROUND(F3827*G3827/100,2)</x:f>
        <x:v>37.4</x:v>
      </x:c>
      <x:c r="I3827" t="n">
        <x:v>2.2</x:v>
      </x:c>
      <x:c r="J3827" t="n">
        <x:f>ROUND(F3827*I3827/100,2)</x:f>
        <x:v>2.42</x:v>
      </x:c>
      <x:c r="K3827" t="n">
        <x:v>6.8</x:v>
      </x:c>
      <x:c r="L3827" t="n">
        <x:f>ROUND(F3827*K3827/100,2)</x:f>
        <x:v>7.48</x:v>
      </x:c>
      <x:c r="M3827" t="n">
        <x:v>0.5</x:v>
      </x:c>
      <x:c r="N3827" t="n">
        <x:f>ROUND(F3827*M3827/100,2)</x:f>
        <x:v>0.55</x:v>
      </x:c>
      <x:c r="O3827" t="str">
        <x:v>生重</x:v>
      </x:c>
    </x:row>
    <x:row r="3828" ht="23" customHeight="1">
      <x:c r="A3828" t="n">
        <x:v>638</x:v>
      </x:c>
      <x:c r="B3828" t="n">
        <x:v>319</x:v>
      </x:c>
      <x:c r="C3828" t="str">
        <x:v>晚餐</x:v>
      </x:c>
      <x:c r="D3828" t="str">
        <x:v>主食</x:v>
      </x:c>
      <x:c r="E3828" t="str">
        <x:v>米粉</x:v>
      </x:c>
      <x:c r="F3828" t="n">
        <x:v>95</x:v>
      </x:c>
      <x:c r="G3828" t="n">
        <x:v>110</x:v>
      </x:c>
      <x:c r="H3828" t="n">
        <x:f>ROUND(F3828*G3828/100,2)</x:f>
        <x:v>104.5</x:v>
      </x:c>
      <x:c r="I3828" t="n">
        <x:v>2</x:v>
      </x:c>
      <x:c r="J3828" t="n">
        <x:f>ROUND(F3828*I3828/100,2)</x:f>
        <x:v>1.9</x:v>
      </x:c>
      <x:c r="K3828" t="n">
        <x:v>24</x:v>
      </x:c>
      <x:c r="L3828" t="n">
        <x:f>ROUND(F3828*K3828/100,2)</x:f>
        <x:v>22.8</x:v>
      </x:c>
      <x:c r="M3828" t="n">
        <x:v>0.4</x:v>
      </x:c>
      <x:c r="N3828" t="n">
        <x:f>ROUND(F3828*M3828/100,2)</x:f>
        <x:v>0.38</x:v>
      </x:c>
      <x:c r="O3828" t="str">
        <x:v>煮熟沥水重</x:v>
      </x:c>
    </x:row>
    <x:row r="3829" ht="23" customHeight="1">
      <x:c r="A3829" t="n">
        <x:v>638</x:v>
      </x:c>
      <x:c r="B3829" t="n">
        <x:v>319</x:v>
      </x:c>
      <x:c r="C3829" t="str">
        <x:v>晚餐</x:v>
      </x:c>
      <x:c r="D3829" t="str">
        <x:v>油脂</x:v>
      </x:c>
      <x:c r="E3829" t="str">
        <x:v>烹调油</x:v>
      </x:c>
      <x:c r="F3829" t="n">
        <x:v>4</x:v>
      </x:c>
      <x:c r="G3829" t="n">
        <x:v>900</x:v>
      </x:c>
      <x:c r="H3829" t="n">
        <x:f>ROUND(F3829*G3829/100,2)</x:f>
        <x:v>36</x:v>
      </x:c>
      <x:c r="I3829" t="n">
        <x:v>0</x:v>
      </x:c>
      <x:c r="J3829" t="n">
        <x:f>ROUND(F3829*I3829/100,2)</x:f>
        <x:v>0</x:v>
      </x:c>
      <x:c r="K3829" t="n">
        <x:v>0</x:v>
      </x:c>
      <x:c r="L3829" t="n">
        <x:f>ROUND(F3829*K3829/100,2)</x:f>
        <x:v>0</x:v>
      </x:c>
      <x:c r="M3829" t="n">
        <x:v>100</x:v>
      </x:c>
      <x:c r="N3829" t="n">
        <x:f>ROUND(F3829*M3829/100,2)</x:f>
        <x:v>4</x:v>
      </x:c>
      <x:c r="O3829" t="str">
        <x:v>实际用油重</x:v>
      </x:c>
    </x:row>
    <x:row r="3830" ht="23" customHeight="1">
      <x:c r="A3830" t="n">
        <x:v>639</x:v>
      </x:c>
      <x:c r="B3830" t="n">
        <x:v>320</x:v>
      </x:c>
      <x:c r="C3830" t="str">
        <x:v>午餐</x:v>
      </x:c>
      <x:c r="D3830" t="str">
        <x:v>牛肉</x:v>
      </x:c>
      <x:c r="E3830" t="str">
        <x:v>牛里脊</x:v>
      </x:c>
      <x:c r="F3830" t="n">
        <x:v>165</x:v>
      </x:c>
      <x:c r="G3830" t="n">
        <x:v>130</x:v>
      </x:c>
      <x:c r="H3830" t="n">
        <x:f>ROUND(F3830*G3830/100,2)</x:f>
        <x:v>214.5</x:v>
      </x:c>
      <x:c r="I3830" t="n">
        <x:v>21</x:v>
      </x:c>
      <x:c r="J3830" t="n">
        <x:f>ROUND(F3830*I3830/100,2)</x:f>
        <x:v>34.65</x:v>
      </x:c>
      <x:c r="K3830" t="n">
        <x:v>0</x:v>
      </x:c>
      <x:c r="L3830" t="n">
        <x:f>ROUND(F3830*K3830/100,2)</x:f>
        <x:v>0</x:v>
      </x:c>
      <x:c r="M3830" t="n">
        <x:v>4.8</x:v>
      </x:c>
      <x:c r="N3830" t="n">
        <x:f>ROUND(F3830*M3830/100,2)</x:f>
        <x:v>7.92</x:v>
      </x:c>
      <x:c r="O3830" t="str">
        <x:v>生重</x:v>
      </x:c>
    </x:row>
    <x:row r="3831" ht="23" customHeight="1">
      <x:c r="A3831" t="n">
        <x:v>639</x:v>
      </x:c>
      <x:c r="B3831" t="n">
        <x:v>320</x:v>
      </x:c>
      <x:c r="C3831" t="str">
        <x:v>午餐</x:v>
      </x:c>
      <x:c r="D3831" t="str"/>
      <x:c r="E3831" t="str"/>
      <x:c r="F3831" t="n">
        <x:v>0</x:v>
      </x:c>
      <x:c r="G3831" t="n">
        <x:v>0</x:v>
      </x:c>
      <x:c r="H3831" t="n">
        <x:f>ROUND(F3831*G3831/100,2)</x:f>
        <x:v>0</x:v>
      </x:c>
      <x:c r="I3831" t="n">
        <x:v>0</x:v>
      </x:c>
      <x:c r="J3831" t="n">
        <x:f>ROUND(F3831*I3831/100,2)</x:f>
        <x:v>0</x:v>
      </x:c>
      <x:c r="K3831" t="n">
        <x:v>0</x:v>
      </x:c>
      <x:c r="L3831" t="n">
        <x:f>ROUND(F3831*K3831/100,2)</x:f>
        <x:v>0</x:v>
      </x:c>
      <x:c r="M3831" t="n">
        <x:v>0</x:v>
      </x:c>
      <x:c r="N3831" t="n">
        <x:f>ROUND(F3831*M3831/100,2)</x:f>
        <x:v>0</x:v>
      </x:c>
      <x:c r="O3831" t="str"/>
    </x:row>
    <x:row r="3832" ht="23" customHeight="1">
      <x:c r="A3832" t="n">
        <x:v>639</x:v>
      </x:c>
      <x:c r="B3832" t="n">
        <x:v>320</x:v>
      </x:c>
      <x:c r="C3832" t="str">
        <x:v>午餐</x:v>
      </x:c>
      <x:c r="D3832" t="str">
        <x:v>蔬菜</x:v>
      </x:c>
      <x:c r="E3832" t="str">
        <x:v>芹菜</x:v>
      </x:c>
      <x:c r="F3832" t="n">
        <x:v>190</x:v>
      </x:c>
      <x:c r="G3832" t="n">
        <x:v>17</x:v>
      </x:c>
      <x:c r="H3832" t="n">
        <x:f>ROUND(F3832*G3832/100,2)</x:f>
        <x:v>32.3</x:v>
      </x:c>
      <x:c r="I3832" t="n">
        <x:v>1</x:v>
      </x:c>
      <x:c r="J3832" t="n">
        <x:f>ROUND(F3832*I3832/100,2)</x:f>
        <x:v>1.9</x:v>
      </x:c>
      <x:c r="K3832" t="n">
        <x:v>3.5</x:v>
      </x:c>
      <x:c r="L3832" t="n">
        <x:f>ROUND(F3832*K3832/100,2)</x:f>
        <x:v>6.65</x:v>
      </x:c>
      <x:c r="M3832" t="n">
        <x:v>0.1</x:v>
      </x:c>
      <x:c r="N3832" t="n">
        <x:f>ROUND(F3832*M3832/100,2)</x:f>
        <x:v>0.19</x:v>
      </x:c>
      <x:c r="O3832" t="str">
        <x:v>生重</x:v>
      </x:c>
    </x:row>
    <x:row r="3833" ht="23" customHeight="1">
      <x:c r="A3833" t="n">
        <x:v>639</x:v>
      </x:c>
      <x:c r="B3833" t="n">
        <x:v>320</x:v>
      </x:c>
      <x:c r="C3833" t="str">
        <x:v>午餐</x:v>
      </x:c>
      <x:c r="D3833" t="str">
        <x:v>蔬菜</x:v>
      </x:c>
      <x:c r="E3833" t="str">
        <x:v>胡萝卜</x:v>
      </x:c>
      <x:c r="F3833" t="n">
        <x:v>140</x:v>
      </x:c>
      <x:c r="G3833" t="n">
        <x:v>41</x:v>
      </x:c>
      <x:c r="H3833" t="n">
        <x:f>ROUND(F3833*G3833/100,2)</x:f>
        <x:v>57.4</x:v>
      </x:c>
      <x:c r="I3833" t="n">
        <x:v>0.9</x:v>
      </x:c>
      <x:c r="J3833" t="n">
        <x:f>ROUND(F3833*I3833/100,2)</x:f>
        <x:v>1.26</x:v>
      </x:c>
      <x:c r="K3833" t="n">
        <x:v>10</x:v>
      </x:c>
      <x:c r="L3833" t="n">
        <x:f>ROUND(F3833*K3833/100,2)</x:f>
        <x:v>14</x:v>
      </x:c>
      <x:c r="M3833" t="n">
        <x:v>0.2</x:v>
      </x:c>
      <x:c r="N3833" t="n">
        <x:f>ROUND(F3833*M3833/100,2)</x:f>
        <x:v>0.28</x:v>
      </x:c>
      <x:c r="O3833" t="str">
        <x:v>生重</x:v>
      </x:c>
    </x:row>
    <x:row r="3834" ht="23" customHeight="1">
      <x:c r="A3834" t="n">
        <x:v>639</x:v>
      </x:c>
      <x:c r="B3834" t="n">
        <x:v>320</x:v>
      </x:c>
      <x:c r="C3834" t="str">
        <x:v>午餐</x:v>
      </x:c>
      <x:c r="D3834" t="str">
        <x:v>主食</x:v>
      </x:c>
      <x:c r="E3834" t="str">
        <x:v>荞麦面</x:v>
      </x:c>
      <x:c r="F3834" t="n">
        <x:v>165</x:v>
      </x:c>
      <x:c r="G3834" t="n">
        <x:v>105</x:v>
      </x:c>
      <x:c r="H3834" t="n">
        <x:f>ROUND(F3834*G3834/100,2)</x:f>
        <x:v>173.25</x:v>
      </x:c>
      <x:c r="I3834" t="n">
        <x:v>4</x:v>
      </x:c>
      <x:c r="J3834" t="n">
        <x:f>ROUND(F3834*I3834/100,2)</x:f>
        <x:v>6.6</x:v>
      </x:c>
      <x:c r="K3834" t="n">
        <x:v>21</x:v>
      </x:c>
      <x:c r="L3834" t="n">
        <x:f>ROUND(F3834*K3834/100,2)</x:f>
        <x:v>34.65</x:v>
      </x:c>
      <x:c r="M3834" t="n">
        <x:v>0.7</x:v>
      </x:c>
      <x:c r="N3834" t="n">
        <x:f>ROUND(F3834*M3834/100,2)</x:f>
        <x:v>1.15</x:v>
      </x:c>
      <x:c r="O3834" t="str">
        <x:v>煮熟沥水重</x:v>
      </x:c>
    </x:row>
    <x:row r="3835" ht="23" customHeight="1">
      <x:c r="A3835" t="n">
        <x:v>639</x:v>
      </x:c>
      <x:c r="B3835" t="n">
        <x:v>320</x:v>
      </x:c>
      <x:c r="C3835" t="str">
        <x:v>午餐</x:v>
      </x:c>
      <x:c r="D3835" t="str">
        <x:v>油脂</x:v>
      </x:c>
      <x:c r="E3835" t="str">
        <x:v>烹调油</x:v>
      </x:c>
      <x:c r="F3835" t="n">
        <x:v>5</x:v>
      </x:c>
      <x:c r="G3835" t="n">
        <x:v>900</x:v>
      </x:c>
      <x:c r="H3835" t="n">
        <x:f>ROUND(F3835*G3835/100,2)</x:f>
        <x:v>45</x:v>
      </x:c>
      <x:c r="I3835" t="n">
        <x:v>0</x:v>
      </x:c>
      <x:c r="J3835" t="n">
        <x:f>ROUND(F3835*I3835/100,2)</x:f>
        <x:v>0</x:v>
      </x:c>
      <x:c r="K3835" t="n">
        <x:v>0</x:v>
      </x:c>
      <x:c r="L3835" t="n">
        <x:f>ROUND(F3835*K3835/100,2)</x:f>
        <x:v>0</x:v>
      </x:c>
      <x:c r="M3835" t="n">
        <x:v>100</x:v>
      </x:c>
      <x:c r="N3835" t="n">
        <x:f>ROUND(F3835*M3835/100,2)</x:f>
        <x:v>5</x:v>
      </x:c>
      <x:c r="O3835" t="str">
        <x:v>实际用油重</x:v>
      </x:c>
    </x:row>
    <x:row r="3836" ht="23" customHeight="1">
      <x:c r="A3836" t="n">
        <x:v>640</x:v>
      </x:c>
      <x:c r="B3836" t="n">
        <x:v>320</x:v>
      </x:c>
      <x:c r="C3836" t="str">
        <x:v>晚餐</x:v>
      </x:c>
      <x:c r="D3836" t="str">
        <x:v>禽肉</x:v>
      </x:c>
      <x:c r="E3836" t="str">
        <x:v>鸡胸肉</x:v>
      </x:c>
      <x:c r="F3836" t="n">
        <x:v>160</x:v>
      </x:c>
      <x:c r="G3836" t="n">
        <x:v>110</x:v>
      </x:c>
      <x:c r="H3836" t="n">
        <x:f>ROUND(F3836*G3836/100,2)</x:f>
        <x:v>176</x:v>
      </x:c>
      <x:c r="I3836" t="n">
        <x:v>23</x:v>
      </x:c>
      <x:c r="J3836" t="n">
        <x:f>ROUND(F3836*I3836/100,2)</x:f>
        <x:v>36.8</x:v>
      </x:c>
      <x:c r="K3836" t="n">
        <x:v>0</x:v>
      </x:c>
      <x:c r="L3836" t="n">
        <x:f>ROUND(F3836*K3836/100,2)</x:f>
        <x:v>0</x:v>
      </x:c>
      <x:c r="M3836" t="n">
        <x:v>2</x:v>
      </x:c>
      <x:c r="N3836" t="n">
        <x:f>ROUND(F3836*M3836/100,2)</x:f>
        <x:v>3.2</x:v>
      </x:c>
      <x:c r="O3836" t="str">
        <x:v>生重</x:v>
      </x:c>
    </x:row>
    <x:row r="3837" ht="23" customHeight="1">
      <x:c r="A3837" t="n">
        <x:v>640</x:v>
      </x:c>
      <x:c r="B3837" t="n">
        <x:v>320</x:v>
      </x:c>
      <x:c r="C3837" t="str">
        <x:v>晚餐</x:v>
      </x:c>
      <x:c r="D3837" t="str"/>
      <x:c r="E3837" t="str"/>
      <x:c r="F3837" t="n">
        <x:v>0</x:v>
      </x:c>
      <x:c r="G3837" t="n">
        <x:v>0</x:v>
      </x:c>
      <x:c r="H3837" t="n">
        <x:f>ROUND(F3837*G3837/100,2)</x:f>
        <x:v>0</x:v>
      </x:c>
      <x:c r="I3837" t="n">
        <x:v>0</x:v>
      </x:c>
      <x:c r="J3837" t="n">
        <x:f>ROUND(F3837*I3837/100,2)</x:f>
        <x:v>0</x:v>
      </x:c>
      <x:c r="K3837" t="n">
        <x:v>0</x:v>
      </x:c>
      <x:c r="L3837" t="n">
        <x:f>ROUND(F3837*K3837/100,2)</x:f>
        <x:v>0</x:v>
      </x:c>
      <x:c r="M3837" t="n">
        <x:v>0</x:v>
      </x:c>
      <x:c r="N3837" t="n">
        <x:f>ROUND(F3837*M3837/100,2)</x:f>
        <x:v>0</x:v>
      </x:c>
      <x:c r="O3837" t="str"/>
    </x:row>
    <x:row r="3838" ht="23" customHeight="1">
      <x:c r="A3838" t="n">
        <x:v>640</x:v>
      </x:c>
      <x:c r="B3838" t="n">
        <x:v>320</x:v>
      </x:c>
      <x:c r="C3838" t="str">
        <x:v>晚餐</x:v>
      </x:c>
      <x:c r="D3838" t="str">
        <x:v>蔬菜</x:v>
      </x:c>
      <x:c r="E3838" t="str">
        <x:v>西兰花</x:v>
      </x:c>
      <x:c r="F3838" t="n">
        <x:v>140</x:v>
      </x:c>
      <x:c r="G3838" t="n">
        <x:v>34</x:v>
      </x:c>
      <x:c r="H3838" t="n">
        <x:f>ROUND(F3838*G3838/100,2)</x:f>
        <x:v>47.6</x:v>
      </x:c>
      <x:c r="I3838" t="n">
        <x:v>2.8</x:v>
      </x:c>
      <x:c r="J3838" t="n">
        <x:f>ROUND(F3838*I3838/100,2)</x:f>
        <x:v>3.92</x:v>
      </x:c>
      <x:c r="K3838" t="n">
        <x:v>7</x:v>
      </x:c>
      <x:c r="L3838" t="n">
        <x:f>ROUND(F3838*K3838/100,2)</x:f>
        <x:v>9.8</x:v>
      </x:c>
      <x:c r="M3838" t="n">
        <x:v>0.4</x:v>
      </x:c>
      <x:c r="N3838" t="n">
        <x:f>ROUND(F3838*M3838/100,2)</x:f>
        <x:v>0.56</x:v>
      </x:c>
      <x:c r="O3838" t="str">
        <x:v>生重</x:v>
      </x:c>
    </x:row>
    <x:row r="3839" ht="23" customHeight="1">
      <x:c r="A3839" t="n">
        <x:v>640</x:v>
      </x:c>
      <x:c r="B3839" t="n">
        <x:v>320</x:v>
      </x:c>
      <x:c r="C3839" t="str">
        <x:v>晚餐</x:v>
      </x:c>
      <x:c r="D3839" t="str">
        <x:v>蔬菜</x:v>
      </x:c>
      <x:c r="E3839" t="str">
        <x:v>洋葱</x:v>
      </x:c>
      <x:c r="F3839" t="n">
        <x:v>140</x:v>
      </x:c>
      <x:c r="G3839" t="n">
        <x:v>40</x:v>
      </x:c>
      <x:c r="H3839" t="n">
        <x:f>ROUND(F3839*G3839/100,2)</x:f>
        <x:v>56</x:v>
      </x:c>
      <x:c r="I3839" t="n">
        <x:v>1.1</x:v>
      </x:c>
      <x:c r="J3839" t="n">
        <x:f>ROUND(F3839*I3839/100,2)</x:f>
        <x:v>1.54</x:v>
      </x:c>
      <x:c r="K3839" t="n">
        <x:v>9.3</x:v>
      </x:c>
      <x:c r="L3839" t="n">
        <x:f>ROUND(F3839*K3839/100,2)</x:f>
        <x:v>13.02</x:v>
      </x:c>
      <x:c r="M3839" t="n">
        <x:v>0.1</x:v>
      </x:c>
      <x:c r="N3839" t="n">
        <x:f>ROUND(F3839*M3839/100,2)</x:f>
        <x:v>0.14</x:v>
      </x:c>
      <x:c r="O3839" t="str">
        <x:v>生重</x:v>
      </x:c>
    </x:row>
    <x:row r="3840" ht="23" customHeight="1">
      <x:c r="A3840" t="n">
        <x:v>640</x:v>
      </x:c>
      <x:c r="B3840" t="n">
        <x:v>320</x:v>
      </x:c>
      <x:c r="C3840" t="str">
        <x:v>晚餐</x:v>
      </x:c>
      <x:c r="D3840" t="str">
        <x:v>主食</x:v>
      </x:c>
      <x:c r="E3840" t="str">
        <x:v>乌冬面</x:v>
      </x:c>
      <x:c r="F3840" t="n">
        <x:v>95</x:v>
      </x:c>
      <x:c r="G3840" t="n">
        <x:v>120</x:v>
      </x:c>
      <x:c r="H3840" t="n">
        <x:f>ROUND(F3840*G3840/100,2)</x:f>
        <x:v>114</x:v>
      </x:c>
      <x:c r="I3840" t="n">
        <x:v>2.5</x:v>
      </x:c>
      <x:c r="J3840" t="n">
        <x:f>ROUND(F3840*I3840/100,2)</x:f>
        <x:v>2.38</x:v>
      </x:c>
      <x:c r="K3840" t="n">
        <x:v>25</x:v>
      </x:c>
      <x:c r="L3840" t="n">
        <x:f>ROUND(F3840*K3840/100,2)</x:f>
        <x:v>23.75</x:v>
      </x:c>
      <x:c r="M3840" t="n">
        <x:v>0.6</x:v>
      </x:c>
      <x:c r="N3840" t="n">
        <x:f>ROUND(F3840*M3840/100,2)</x:f>
        <x:v>0.57</x:v>
      </x:c>
      <x:c r="O3840" t="str">
        <x:v>煮熟沥水重</x:v>
      </x:c>
    </x:row>
    <x:row r="3841" ht="23" customHeight="1">
      <x:c r="A3841" t="n">
        <x:v>640</x:v>
      </x:c>
      <x:c r="B3841" t="n">
        <x:v>320</x:v>
      </x:c>
      <x:c r="C3841" t="str">
        <x:v>晚餐</x:v>
      </x:c>
      <x:c r="D3841" t="str">
        <x:v>油脂</x:v>
      </x:c>
      <x:c r="E3841" t="str">
        <x:v>烹调油</x:v>
      </x:c>
      <x:c r="F3841" t="n">
        <x:v>3</x:v>
      </x:c>
      <x:c r="G3841" t="n">
        <x:v>900</x:v>
      </x:c>
      <x:c r="H3841" t="n">
        <x:f>ROUND(F3841*G3841/100,2)</x:f>
        <x:v>27</x:v>
      </x:c>
      <x:c r="I3841" t="n">
        <x:v>0</x:v>
      </x:c>
      <x:c r="J3841" t="n">
        <x:f>ROUND(F3841*I3841/100,2)</x:f>
        <x:v>0</x:v>
      </x:c>
      <x:c r="K3841" t="n">
        <x:v>0</x:v>
      </x:c>
      <x:c r="L3841" t="n">
        <x:f>ROUND(F3841*K3841/100,2)</x:f>
        <x:v>0</x:v>
      </x:c>
      <x:c r="M3841" t="n">
        <x:v>100</x:v>
      </x:c>
      <x:c r="N3841" t="n">
        <x:f>ROUND(F3841*M3841/100,2)</x:f>
        <x:v>3</x:v>
      </x:c>
      <x:c r="O3841" t="str">
        <x:v>实际用油重</x:v>
      </x:c>
    </x:row>
    <x:row r="3842" ht="23" customHeight="1">
      <x:c r="A3842" t="n">
        <x:v>641</x:v>
      </x:c>
      <x:c r="B3842" t="n">
        <x:v>321</x:v>
      </x:c>
      <x:c r="C3842" t="str">
        <x:v>午餐</x:v>
      </x:c>
      <x:c r="D3842" t="str">
        <x:v>猪肉</x:v>
      </x:c>
      <x:c r="E3842" t="str">
        <x:v>猪里脊</x:v>
      </x:c>
      <x:c r="F3842" t="n">
        <x:v>175</x:v>
      </x:c>
      <x:c r="G3842" t="n">
        <x:v>120</x:v>
      </x:c>
      <x:c r="H3842" t="n">
        <x:f>ROUND(F3842*G3842/100,2)</x:f>
        <x:v>210</x:v>
      </x:c>
      <x:c r="I3842" t="n">
        <x:v>21</x:v>
      </x:c>
      <x:c r="J3842" t="n">
        <x:f>ROUND(F3842*I3842/100,2)</x:f>
        <x:v>36.75</x:v>
      </x:c>
      <x:c r="K3842" t="n">
        <x:v>0</x:v>
      </x:c>
      <x:c r="L3842" t="n">
        <x:f>ROUND(F3842*K3842/100,2)</x:f>
        <x:v>0</x:v>
      </x:c>
      <x:c r="M3842" t="n">
        <x:v>3.5</x:v>
      </x:c>
      <x:c r="N3842" t="n">
        <x:f>ROUND(F3842*M3842/100,2)</x:f>
        <x:v>6.13</x:v>
      </x:c>
      <x:c r="O3842" t="str">
        <x:v>生重</x:v>
      </x:c>
    </x:row>
    <x:row r="3843" ht="23" customHeight="1">
      <x:c r="A3843" t="n">
        <x:v>641</x:v>
      </x:c>
      <x:c r="B3843" t="n">
        <x:v>321</x:v>
      </x:c>
      <x:c r="C3843" t="str">
        <x:v>午餐</x:v>
      </x:c>
      <x:c r="D3843" t="str"/>
      <x:c r="E3843" t="str"/>
      <x:c r="F3843" t="n">
        <x:v>0</x:v>
      </x:c>
      <x:c r="G3843" t="n">
        <x:v>0</x:v>
      </x:c>
      <x:c r="H3843" t="n">
        <x:f>ROUND(F3843*G3843/100,2)</x:f>
        <x:v>0</x:v>
      </x:c>
      <x:c r="I3843" t="n">
        <x:v>0</x:v>
      </x:c>
      <x:c r="J3843" t="n">
        <x:f>ROUND(F3843*I3843/100,2)</x:f>
        <x:v>0</x:v>
      </x:c>
      <x:c r="K3843" t="n">
        <x:v>0</x:v>
      </x:c>
      <x:c r="L3843" t="n">
        <x:f>ROUND(F3843*K3843/100,2)</x:f>
        <x:v>0</x:v>
      </x:c>
      <x:c r="M3843" t="n">
        <x:v>0</x:v>
      </x:c>
      <x:c r="N3843" t="n">
        <x:f>ROUND(F3843*M3843/100,2)</x:f>
        <x:v>0</x:v>
      </x:c>
      <x:c r="O3843" t="str"/>
    </x:row>
    <x:row r="3844" ht="23" customHeight="1">
      <x:c r="A3844" t="n">
        <x:v>641</x:v>
      </x:c>
      <x:c r="B3844" t="n">
        <x:v>321</x:v>
      </x:c>
      <x:c r="C3844" t="str">
        <x:v>午餐</x:v>
      </x:c>
      <x:c r="D3844" t="str">
        <x:v>蔬菜</x:v>
      </x:c>
      <x:c r="E3844" t="str">
        <x:v>生菜</x:v>
      </x:c>
      <x:c r="F3844" t="n">
        <x:v>190</x:v>
      </x:c>
      <x:c r="G3844" t="n">
        <x:v>16</x:v>
      </x:c>
      <x:c r="H3844" t="n">
        <x:f>ROUND(F3844*G3844/100,2)</x:f>
        <x:v>30.4</x:v>
      </x:c>
      <x:c r="I3844" t="n">
        <x:v>1.4</x:v>
      </x:c>
      <x:c r="J3844" t="n">
        <x:f>ROUND(F3844*I3844/100,2)</x:f>
        <x:v>2.66</x:v>
      </x:c>
      <x:c r="K3844" t="n">
        <x:v>2.9</x:v>
      </x:c>
      <x:c r="L3844" t="n">
        <x:f>ROUND(F3844*K3844/100,2)</x:f>
        <x:v>5.51</x:v>
      </x:c>
      <x:c r="M3844" t="n">
        <x:v>0.1</x:v>
      </x:c>
      <x:c r="N3844" t="n">
        <x:f>ROUND(F3844*M3844/100,2)</x:f>
        <x:v>0.19</x:v>
      </x:c>
      <x:c r="O3844" t="str">
        <x:v>生重</x:v>
      </x:c>
    </x:row>
    <x:row r="3845" ht="23" customHeight="1">
      <x:c r="A3845" t="n">
        <x:v>641</x:v>
      </x:c>
      <x:c r="B3845" t="n">
        <x:v>321</x:v>
      </x:c>
      <x:c r="C3845" t="str">
        <x:v>午餐</x:v>
      </x:c>
      <x:c r="D3845" t="str">
        <x:v>菌菇</x:v>
      </x:c>
      <x:c r="E3845" t="str">
        <x:v>口蘑</x:v>
      </x:c>
      <x:c r="F3845" t="n">
        <x:v>125</x:v>
      </x:c>
      <x:c r="G3845" t="n">
        <x:v>22</x:v>
      </x:c>
      <x:c r="H3845" t="n">
        <x:f>ROUND(F3845*G3845/100,2)</x:f>
        <x:v>27.5</x:v>
      </x:c>
      <x:c r="I3845" t="n">
        <x:v>3.1</x:v>
      </x:c>
      <x:c r="J3845" t="n">
        <x:f>ROUND(F3845*I3845/100,2)</x:f>
        <x:v>3.88</x:v>
      </x:c>
      <x:c r="K3845" t="n">
        <x:v>3.3</x:v>
      </x:c>
      <x:c r="L3845" t="n">
        <x:f>ROUND(F3845*K3845/100,2)</x:f>
        <x:v>4.13</x:v>
      </x:c>
      <x:c r="M3845" t="n">
        <x:v>0.3</x:v>
      </x:c>
      <x:c r="N3845" t="n">
        <x:f>ROUND(F3845*M3845/100,2)</x:f>
        <x:v>0.38</x:v>
      </x:c>
      <x:c r="O3845" t="str">
        <x:v>生重</x:v>
      </x:c>
    </x:row>
    <x:row r="3846" ht="23" customHeight="1">
      <x:c r="A3846" t="n">
        <x:v>641</x:v>
      </x:c>
      <x:c r="B3846" t="n">
        <x:v>321</x:v>
      </x:c>
      <x:c r="C3846" t="str">
        <x:v>午餐</x:v>
      </x:c>
      <x:c r="D3846" t="str">
        <x:v>主食</x:v>
      </x:c>
      <x:c r="E3846" t="str">
        <x:v>米粉</x:v>
      </x:c>
      <x:c r="F3846" t="n">
        <x:v>150</x:v>
      </x:c>
      <x:c r="G3846" t="n">
        <x:v>110</x:v>
      </x:c>
      <x:c r="H3846" t="n">
        <x:f>ROUND(F3846*G3846/100,2)</x:f>
        <x:v>165</x:v>
      </x:c>
      <x:c r="I3846" t="n">
        <x:v>2</x:v>
      </x:c>
      <x:c r="J3846" t="n">
        <x:f>ROUND(F3846*I3846/100,2)</x:f>
        <x:v>3</x:v>
      </x:c>
      <x:c r="K3846" t="n">
        <x:v>24</x:v>
      </x:c>
      <x:c r="L3846" t="n">
        <x:f>ROUND(F3846*K3846/100,2)</x:f>
        <x:v>36</x:v>
      </x:c>
      <x:c r="M3846" t="n">
        <x:v>0.4</x:v>
      </x:c>
      <x:c r="N3846" t="n">
        <x:f>ROUND(F3846*M3846/100,2)</x:f>
        <x:v>0.6</x:v>
      </x:c>
      <x:c r="O3846" t="str">
        <x:v>煮熟沥水重</x:v>
      </x:c>
    </x:row>
    <x:row r="3847" ht="23" customHeight="1">
      <x:c r="A3847" t="n">
        <x:v>641</x:v>
      </x:c>
      <x:c r="B3847" t="n">
        <x:v>321</x:v>
      </x:c>
      <x:c r="C3847" t="str">
        <x:v>午餐</x:v>
      </x:c>
      <x:c r="D3847" t="str">
        <x:v>油脂</x:v>
      </x:c>
      <x:c r="E3847" t="str">
        <x:v>烹调油</x:v>
      </x:c>
      <x:c r="F3847" t="n">
        <x:v>5</x:v>
      </x:c>
      <x:c r="G3847" t="n">
        <x:v>900</x:v>
      </x:c>
      <x:c r="H3847" t="n">
        <x:f>ROUND(F3847*G3847/100,2)</x:f>
        <x:v>45</x:v>
      </x:c>
      <x:c r="I3847" t="n">
        <x:v>0</x:v>
      </x:c>
      <x:c r="J3847" t="n">
        <x:f>ROUND(F3847*I3847/100,2)</x:f>
        <x:v>0</x:v>
      </x:c>
      <x:c r="K3847" t="n">
        <x:v>0</x:v>
      </x:c>
      <x:c r="L3847" t="n">
        <x:f>ROUND(F3847*K3847/100,2)</x:f>
        <x:v>0</x:v>
      </x:c>
      <x:c r="M3847" t="n">
        <x:v>100</x:v>
      </x:c>
      <x:c r="N3847" t="n">
        <x:f>ROUND(F3847*M3847/100,2)</x:f>
        <x:v>5</x:v>
      </x:c>
      <x:c r="O3847" t="str">
        <x:v>实际用油重</x:v>
      </x:c>
    </x:row>
    <x:row r="3848" ht="23" customHeight="1">
      <x:c r="A3848" t="n">
        <x:v>642</x:v>
      </x:c>
      <x:c r="B3848" t="n">
        <x:v>321</x:v>
      </x:c>
      <x:c r="C3848" t="str">
        <x:v>晚餐</x:v>
      </x:c>
      <x:c r="D3848" t="str">
        <x:v>鱼类</x:v>
      </x:c>
      <x:c r="E3848" t="str">
        <x:v>三文鱼</x:v>
      </x:c>
      <x:c r="F3848" t="n">
        <x:v>120</x:v>
      </x:c>
      <x:c r="G3848" t="n">
        <x:v>205</x:v>
      </x:c>
      <x:c r="H3848" t="n">
        <x:f>ROUND(F3848*G3848/100,2)</x:f>
        <x:v>246</x:v>
      </x:c>
      <x:c r="I3848" t="n">
        <x:v>20</x:v>
      </x:c>
      <x:c r="J3848" t="n">
        <x:f>ROUND(F3848*I3848/100,2)</x:f>
        <x:v>24</x:v>
      </x:c>
      <x:c r="K3848" t="n">
        <x:v>0</x:v>
      </x:c>
      <x:c r="L3848" t="n">
        <x:f>ROUND(F3848*K3848/100,2)</x:f>
        <x:v>0</x:v>
      </x:c>
      <x:c r="M3848" t="n">
        <x:v>13</x:v>
      </x:c>
      <x:c r="N3848" t="n">
        <x:f>ROUND(F3848*M3848/100,2)</x:f>
        <x:v>15.6</x:v>
      </x:c>
      <x:c r="O3848" t="str">
        <x:v>净鱼肉生重</x:v>
      </x:c>
    </x:row>
    <x:row r="3849" ht="23" customHeight="1">
      <x:c r="A3849" t="n">
        <x:v>642</x:v>
      </x:c>
      <x:c r="B3849" t="n">
        <x:v>321</x:v>
      </x:c>
      <x:c r="C3849" t="str">
        <x:v>晚餐</x:v>
      </x:c>
      <x:c r="D3849" t="str"/>
      <x:c r="E3849" t="str"/>
      <x:c r="F3849" t="n">
        <x:v>0</x:v>
      </x:c>
      <x:c r="G3849" t="n">
        <x:v>0</x:v>
      </x:c>
      <x:c r="H3849" t="n">
        <x:f>ROUND(F3849*G3849/100,2)</x:f>
        <x:v>0</x:v>
      </x:c>
      <x:c r="I3849" t="n">
        <x:v>0</x:v>
      </x:c>
      <x:c r="J3849" t="n">
        <x:f>ROUND(F3849*I3849/100,2)</x:f>
        <x:v>0</x:v>
      </x:c>
      <x:c r="K3849" t="n">
        <x:v>0</x:v>
      </x:c>
      <x:c r="L3849" t="n">
        <x:f>ROUND(F3849*K3849/100,2)</x:f>
        <x:v>0</x:v>
      </x:c>
      <x:c r="M3849" t="n">
        <x:v>0</x:v>
      </x:c>
      <x:c r="N3849" t="n">
        <x:f>ROUND(F3849*M3849/100,2)</x:f>
        <x:v>0</x:v>
      </x:c>
      <x:c r="O3849" t="str"/>
    </x:row>
    <x:row r="3850" ht="23" customHeight="1">
      <x:c r="A3850" t="n">
        <x:v>642</x:v>
      </x:c>
      <x:c r="B3850" t="n">
        <x:v>321</x:v>
      </x:c>
      <x:c r="C3850" t="str">
        <x:v>晚餐</x:v>
      </x:c>
      <x:c r="D3850" t="str">
        <x:v>蔬菜</x:v>
      </x:c>
      <x:c r="E3850" t="str">
        <x:v>小白菜</x:v>
      </x:c>
      <x:c r="F3850" t="n">
        <x:v>160</x:v>
      </x:c>
      <x:c r="G3850" t="n">
        <x:v>17</x:v>
      </x:c>
      <x:c r="H3850" t="n">
        <x:f>ROUND(F3850*G3850/100,2)</x:f>
        <x:v>27.2</x:v>
      </x:c>
      <x:c r="I3850" t="n">
        <x:v>1.6</x:v>
      </x:c>
      <x:c r="J3850" t="n">
        <x:f>ROUND(F3850*I3850/100,2)</x:f>
        <x:v>2.56</x:v>
      </x:c>
      <x:c r="K3850" t="n">
        <x:v>2.8</x:v>
      </x:c>
      <x:c r="L3850" t="n">
        <x:f>ROUND(F3850*K3850/100,2)</x:f>
        <x:v>4.48</x:v>
      </x:c>
      <x:c r="M3850" t="n">
        <x:v>0.2</x:v>
      </x:c>
      <x:c r="N3850" t="n">
        <x:f>ROUND(F3850*M3850/100,2)</x:f>
        <x:v>0.32</x:v>
      </x:c>
      <x:c r="O3850" t="str">
        <x:v>生重</x:v>
      </x:c>
    </x:row>
    <x:row r="3851" ht="23" customHeight="1">
      <x:c r="A3851" t="n">
        <x:v>642</x:v>
      </x:c>
      <x:c r="B3851" t="n">
        <x:v>321</x:v>
      </x:c>
      <x:c r="C3851" t="str">
        <x:v>晚餐</x:v>
      </x:c>
      <x:c r="D3851" t="str">
        <x:v>菌菇</x:v>
      </x:c>
      <x:c r="E3851" t="str">
        <x:v>口蘑</x:v>
      </x:c>
      <x:c r="F3851" t="n">
        <x:v>155</x:v>
      </x:c>
      <x:c r="G3851" t="n">
        <x:v>22</x:v>
      </x:c>
      <x:c r="H3851" t="n">
        <x:f>ROUND(F3851*G3851/100,2)</x:f>
        <x:v>34.1</x:v>
      </x:c>
      <x:c r="I3851" t="n">
        <x:v>3.1</x:v>
      </x:c>
      <x:c r="J3851" t="n">
        <x:f>ROUND(F3851*I3851/100,2)</x:f>
        <x:v>4.81</x:v>
      </x:c>
      <x:c r="K3851" t="n">
        <x:v>3.3</x:v>
      </x:c>
      <x:c r="L3851" t="n">
        <x:f>ROUND(F3851*K3851/100,2)</x:f>
        <x:v>5.12</x:v>
      </x:c>
      <x:c r="M3851" t="n">
        <x:v>0.3</x:v>
      </x:c>
      <x:c r="N3851" t="n">
        <x:f>ROUND(F3851*M3851/100,2)</x:f>
        <x:v>0.47</x:v>
      </x:c>
      <x:c r="O3851" t="str">
        <x:v>生重</x:v>
      </x:c>
    </x:row>
    <x:row r="3852" ht="23" customHeight="1">
      <x:c r="A3852" t="n">
        <x:v>642</x:v>
      </x:c>
      <x:c r="B3852" t="n">
        <x:v>321</x:v>
      </x:c>
      <x:c r="C3852" t="str">
        <x:v>晚餐</x:v>
      </x:c>
      <x:c r="D3852" t="str">
        <x:v>主食</x:v>
      </x:c>
      <x:c r="E3852" t="str">
        <x:v>米粉</x:v>
      </x:c>
      <x:c r="F3852" t="n">
        <x:v>135</x:v>
      </x:c>
      <x:c r="G3852" t="n">
        <x:v>110</x:v>
      </x:c>
      <x:c r="H3852" t="n">
        <x:f>ROUND(F3852*G3852/100,2)</x:f>
        <x:v>148.5</x:v>
      </x:c>
      <x:c r="I3852" t="n">
        <x:v>2</x:v>
      </x:c>
      <x:c r="J3852" t="n">
        <x:f>ROUND(F3852*I3852/100,2)</x:f>
        <x:v>2.7</x:v>
      </x:c>
      <x:c r="K3852" t="n">
        <x:v>24</x:v>
      </x:c>
      <x:c r="L3852" t="n">
        <x:f>ROUND(F3852*K3852/100,2)</x:f>
        <x:v>32.4</x:v>
      </x:c>
      <x:c r="M3852" t="n">
        <x:v>0.4</x:v>
      </x:c>
      <x:c r="N3852" t="n">
        <x:f>ROUND(F3852*M3852/100,2)</x:f>
        <x:v>0.54</x:v>
      </x:c>
      <x:c r="O3852" t="str">
        <x:v>煮熟沥水重</x:v>
      </x:c>
    </x:row>
    <x:row r="3853" ht="23" customHeight="1">
      <x:c r="A3853" t="n">
        <x:v>642</x:v>
      </x:c>
      <x:c r="B3853" t="n">
        <x:v>321</x:v>
      </x:c>
      <x:c r="C3853" t="str">
        <x:v>晚餐</x:v>
      </x:c>
      <x:c r="D3853" t="str">
        <x:v>油脂</x:v>
      </x:c>
      <x:c r="E3853" t="str">
        <x:v>烹调油</x:v>
      </x:c>
      <x:c r="F3853" t="n">
        <x:v>4</x:v>
      </x:c>
      <x:c r="G3853" t="n">
        <x:v>900</x:v>
      </x:c>
      <x:c r="H3853" t="n">
        <x:f>ROUND(F3853*G3853/100,2)</x:f>
        <x:v>36</x:v>
      </x:c>
      <x:c r="I3853" t="n">
        <x:v>0</x:v>
      </x:c>
      <x:c r="J3853" t="n">
        <x:f>ROUND(F3853*I3853/100,2)</x:f>
        <x:v>0</x:v>
      </x:c>
      <x:c r="K3853" t="n">
        <x:v>0</x:v>
      </x:c>
      <x:c r="L3853" t="n">
        <x:f>ROUND(F3853*K3853/100,2)</x:f>
        <x:v>0</x:v>
      </x:c>
      <x:c r="M3853" t="n">
        <x:v>100</x:v>
      </x:c>
      <x:c r="N3853" t="n">
        <x:f>ROUND(F3853*M3853/100,2)</x:f>
        <x:v>4</x:v>
      </x:c>
      <x:c r="O3853" t="str">
        <x:v>实际用油重</x:v>
      </x:c>
    </x:row>
    <x:row r="3854" ht="23" customHeight="1">
      <x:c r="A3854" t="n">
        <x:v>643</x:v>
      </x:c>
      <x:c r="B3854" t="n">
        <x:v>322</x:v>
      </x:c>
      <x:c r="C3854" t="str">
        <x:v>午餐</x:v>
      </x:c>
      <x:c r="D3854" t="str">
        <x:v>海鲜</x:v>
      </x:c>
      <x:c r="E3854" t="str">
        <x:v>鱿鱼</x:v>
      </x:c>
      <x:c r="F3854" t="n">
        <x:v>175</x:v>
      </x:c>
      <x:c r="G3854" t="n">
        <x:v>95</x:v>
      </x:c>
      <x:c r="H3854" t="n">
        <x:f>ROUND(F3854*G3854/100,2)</x:f>
        <x:v>166.25</x:v>
      </x:c>
      <x:c r="I3854" t="n">
        <x:v>17</x:v>
      </x:c>
      <x:c r="J3854" t="n">
        <x:f>ROUND(F3854*I3854/100,2)</x:f>
        <x:v>29.75</x:v>
      </x:c>
      <x:c r="K3854" t="n">
        <x:v>2</x:v>
      </x:c>
      <x:c r="L3854" t="n">
        <x:f>ROUND(F3854*K3854/100,2)</x:f>
        <x:v>3.5</x:v>
      </x:c>
      <x:c r="M3854" t="n">
        <x:v>1.4</x:v>
      </x:c>
      <x:c r="N3854" t="n">
        <x:f>ROUND(F3854*M3854/100,2)</x:f>
        <x:v>2.45</x:v>
      </x:c>
      <x:c r="O3854" t="str">
        <x:v>生重</x:v>
      </x:c>
    </x:row>
    <x:row r="3855" ht="23" customHeight="1">
      <x:c r="A3855" t="n">
        <x:v>643</x:v>
      </x:c>
      <x:c r="B3855" t="n">
        <x:v>322</x:v>
      </x:c>
      <x:c r="C3855" t="str">
        <x:v>午餐</x:v>
      </x:c>
      <x:c r="D3855" t="str"/>
      <x:c r="E3855" t="str"/>
      <x:c r="F3855" t="n">
        <x:v>0</x:v>
      </x:c>
      <x:c r="G3855" t="n">
        <x:v>0</x:v>
      </x:c>
      <x:c r="H3855" t="n">
        <x:f>ROUND(F3855*G3855/100,2)</x:f>
        <x:v>0</x:v>
      </x:c>
      <x:c r="I3855" t="n">
        <x:v>0</x:v>
      </x:c>
      <x:c r="J3855" t="n">
        <x:f>ROUND(F3855*I3855/100,2)</x:f>
        <x:v>0</x:v>
      </x:c>
      <x:c r="K3855" t="n">
        <x:v>0</x:v>
      </x:c>
      <x:c r="L3855" t="n">
        <x:f>ROUND(F3855*K3855/100,2)</x:f>
        <x:v>0</x:v>
      </x:c>
      <x:c r="M3855" t="n">
        <x:v>0</x:v>
      </x:c>
      <x:c r="N3855" t="n">
        <x:f>ROUND(F3855*M3855/100,2)</x:f>
        <x:v>0</x:v>
      </x:c>
      <x:c r="O3855" t="str"/>
    </x:row>
    <x:row r="3856" ht="23" customHeight="1">
      <x:c r="A3856" t="n">
        <x:v>643</x:v>
      </x:c>
      <x:c r="B3856" t="n">
        <x:v>322</x:v>
      </x:c>
      <x:c r="C3856" t="str">
        <x:v>午餐</x:v>
      </x:c>
      <x:c r="D3856" t="str">
        <x:v>蔬菜</x:v>
      </x:c>
      <x:c r="E3856" t="str">
        <x:v>黄瓜</x:v>
      </x:c>
      <x:c r="F3856" t="n">
        <x:v>140</x:v>
      </x:c>
      <x:c r="G3856" t="n">
        <x:v>16</x:v>
      </x:c>
      <x:c r="H3856" t="n">
        <x:f>ROUND(F3856*G3856/100,2)</x:f>
        <x:v>22.4</x:v>
      </x:c>
      <x:c r="I3856" t="n">
        <x:v>0.7</x:v>
      </x:c>
      <x:c r="J3856" t="n">
        <x:f>ROUND(F3856*I3856/100,2)</x:f>
        <x:v>0.98</x:v>
      </x:c>
      <x:c r="K3856" t="n">
        <x:v>3.6</x:v>
      </x:c>
      <x:c r="L3856" t="n">
        <x:f>ROUND(F3856*K3856/100,2)</x:f>
        <x:v>5.04</x:v>
      </x:c>
      <x:c r="M3856" t="n">
        <x:v>0.1</x:v>
      </x:c>
      <x:c r="N3856" t="n">
        <x:f>ROUND(F3856*M3856/100,2)</x:f>
        <x:v>0.14</x:v>
      </x:c>
      <x:c r="O3856" t="str">
        <x:v>生重</x:v>
      </x:c>
    </x:row>
    <x:row r="3857" ht="23" customHeight="1">
      <x:c r="A3857" t="n">
        <x:v>643</x:v>
      </x:c>
      <x:c r="B3857" t="n">
        <x:v>322</x:v>
      </x:c>
      <x:c r="C3857" t="str">
        <x:v>午餐</x:v>
      </x:c>
      <x:c r="D3857" t="str">
        <x:v>菌菇</x:v>
      </x:c>
      <x:c r="E3857" t="str">
        <x:v>泡发木耳</x:v>
      </x:c>
      <x:c r="F3857" t="n">
        <x:v>125</x:v>
      </x:c>
      <x:c r="G3857" t="n">
        <x:v>25</x:v>
      </x:c>
      <x:c r="H3857" t="n">
        <x:f>ROUND(F3857*G3857/100,2)</x:f>
        <x:v>31.25</x:v>
      </x:c>
      <x:c r="I3857" t="n">
        <x:v>1.5</x:v>
      </x:c>
      <x:c r="J3857" t="n">
        <x:f>ROUND(F3857*I3857/100,2)</x:f>
        <x:v>1.88</x:v>
      </x:c>
      <x:c r="K3857" t="n">
        <x:v>6</x:v>
      </x:c>
      <x:c r="L3857" t="n">
        <x:f>ROUND(F3857*K3857/100,2)</x:f>
        <x:v>7.5</x:v>
      </x:c>
      <x:c r="M3857" t="n">
        <x:v>0.1</x:v>
      </x:c>
      <x:c r="N3857" t="n">
        <x:f>ROUND(F3857*M3857/100,2)</x:f>
        <x:v>0.13</x:v>
      </x:c>
      <x:c r="O3857" t="str">
        <x:v>泡发沥水重</x:v>
      </x:c>
    </x:row>
    <x:row r="3858" ht="23" customHeight="1">
      <x:c r="A3858" t="n">
        <x:v>643</x:v>
      </x:c>
      <x:c r="B3858" t="n">
        <x:v>322</x:v>
      </x:c>
      <x:c r="C3858" t="str">
        <x:v>午餐</x:v>
      </x:c>
      <x:c r="D3858" t="str">
        <x:v>主食</x:v>
      </x:c>
      <x:c r="E3858" t="str">
        <x:v>杂粮饭</x:v>
      </x:c>
      <x:c r="F3858" t="n">
        <x:v>150</x:v>
      </x:c>
      <x:c r="G3858" t="n">
        <x:v>115</x:v>
      </x:c>
      <x:c r="H3858" t="n">
        <x:f>ROUND(F3858*G3858/100,2)</x:f>
        <x:v>172.5</x:v>
      </x:c>
      <x:c r="I3858" t="n">
        <x:v>3.1</x:v>
      </x:c>
      <x:c r="J3858" t="n">
        <x:f>ROUND(F3858*I3858/100,2)</x:f>
        <x:v>4.65</x:v>
      </x:c>
      <x:c r="K3858" t="n">
        <x:v>23.5</x:v>
      </x:c>
      <x:c r="L3858" t="n">
        <x:f>ROUND(F3858*K3858/100,2)</x:f>
        <x:v>35.25</x:v>
      </x:c>
      <x:c r="M3858" t="n">
        <x:v>1.1</x:v>
      </x:c>
      <x:c r="N3858" t="n">
        <x:f>ROUND(F3858*M3858/100,2)</x:f>
        <x:v>1.65</x:v>
      </x:c>
      <x:c r="O3858" t="str">
        <x:v>熟重</x:v>
      </x:c>
    </x:row>
    <x:row r="3859" ht="23" customHeight="1">
      <x:c r="A3859" t="n">
        <x:v>643</x:v>
      </x:c>
      <x:c r="B3859" t="n">
        <x:v>322</x:v>
      </x:c>
      <x:c r="C3859" t="str">
        <x:v>午餐</x:v>
      </x:c>
      <x:c r="D3859" t="str">
        <x:v>油脂</x:v>
      </x:c>
      <x:c r="E3859" t="str">
        <x:v>烹调油</x:v>
      </x:c>
      <x:c r="F3859" t="n">
        <x:v>5</x:v>
      </x:c>
      <x:c r="G3859" t="n">
        <x:v>900</x:v>
      </x:c>
      <x:c r="H3859" t="n">
        <x:f>ROUND(F3859*G3859/100,2)</x:f>
        <x:v>45</x:v>
      </x:c>
      <x:c r="I3859" t="n">
        <x:v>0</x:v>
      </x:c>
      <x:c r="J3859" t="n">
        <x:f>ROUND(F3859*I3859/100,2)</x:f>
        <x:v>0</x:v>
      </x:c>
      <x:c r="K3859" t="n">
        <x:v>0</x:v>
      </x:c>
      <x:c r="L3859" t="n">
        <x:f>ROUND(F3859*K3859/100,2)</x:f>
        <x:v>0</x:v>
      </x:c>
      <x:c r="M3859" t="n">
        <x:v>100</x:v>
      </x:c>
      <x:c r="N3859" t="n">
        <x:f>ROUND(F3859*M3859/100,2)</x:f>
        <x:v>5</x:v>
      </x:c>
      <x:c r="O3859" t="str">
        <x:v>实际用油重</x:v>
      </x:c>
    </x:row>
    <x:row r="3860" ht="23" customHeight="1">
      <x:c r="A3860" t="n">
        <x:v>644</x:v>
      </x:c>
      <x:c r="B3860" t="n">
        <x:v>322</x:v>
      </x:c>
      <x:c r="C3860" t="str">
        <x:v>晚餐</x:v>
      </x:c>
      <x:c r="D3860" t="str">
        <x:v>豆蛋</x:v>
      </x:c>
      <x:c r="E3860" t="str">
        <x:v>鸡蛋</x:v>
      </x:c>
      <x:c r="F3860" t="n">
        <x:v>120</x:v>
      </x:c>
      <x:c r="G3860" t="n">
        <x:v>144</x:v>
      </x:c>
      <x:c r="H3860" t="n">
        <x:f>ROUND(F3860*G3860/100,2)</x:f>
        <x:v>172.8</x:v>
      </x:c>
      <x:c r="I3860" t="n">
        <x:v>13</x:v>
      </x:c>
      <x:c r="J3860" t="n">
        <x:f>ROUND(F3860*I3860/100,2)</x:f>
        <x:v>15.6</x:v>
      </x:c>
      <x:c r="K3860" t="n">
        <x:v>1.1</x:v>
      </x:c>
      <x:c r="L3860" t="n">
        <x:f>ROUND(F3860*K3860/100,2)</x:f>
        <x:v>1.32</x:v>
      </x:c>
      <x:c r="M3860" t="n">
        <x:v>10</x:v>
      </x:c>
      <x:c r="N3860" t="n">
        <x:f>ROUND(F3860*M3860/100,2)</x:f>
        <x:v>12</x:v>
      </x:c>
      <x:c r="O3860" t="str">
        <x:v>去壳可食重</x:v>
      </x:c>
    </x:row>
    <x:row r="3861" ht="23" customHeight="1">
      <x:c r="A3861" t="n">
        <x:v>644</x:v>
      </x:c>
      <x:c r="B3861" t="n">
        <x:v>322</x:v>
      </x:c>
      <x:c r="C3861" t="str">
        <x:v>晚餐</x:v>
      </x:c>
      <x:c r="D3861" t="str">
        <x:v>豆蛋</x:v>
      </x:c>
      <x:c r="E3861" t="str">
        <x:v>北豆腐</x:v>
      </x:c>
      <x:c r="F3861" t="n">
        <x:v>90</x:v>
      </x:c>
      <x:c r="G3861" t="n">
        <x:v>90</x:v>
      </x:c>
      <x:c r="H3861" t="n">
        <x:f>ROUND(F3861*G3861/100,2)</x:f>
        <x:v>81</x:v>
      </x:c>
      <x:c r="I3861" t="n">
        <x:v>10</x:v>
      </x:c>
      <x:c r="J3861" t="n">
        <x:f>ROUND(F3861*I3861/100,2)</x:f>
        <x:v>9</x:v>
      </x:c>
      <x:c r="K3861" t="n">
        <x:v>2</x:v>
      </x:c>
      <x:c r="L3861" t="n">
        <x:f>ROUND(F3861*K3861/100,2)</x:f>
        <x:v>1.8</x:v>
      </x:c>
      <x:c r="M3861" t="n">
        <x:v>5</x:v>
      </x:c>
      <x:c r="N3861" t="n">
        <x:f>ROUND(F3861*M3861/100,2)</x:f>
        <x:v>4.5</x:v>
      </x:c>
      <x:c r="O3861" t="str">
        <x:v>净重</x:v>
      </x:c>
    </x:row>
    <x:row r="3862" ht="23" customHeight="1">
      <x:c r="A3862" t="n">
        <x:v>644</x:v>
      </x:c>
      <x:c r="B3862" t="n">
        <x:v>322</x:v>
      </x:c>
      <x:c r="C3862" t="str">
        <x:v>晚餐</x:v>
      </x:c>
      <x:c r="D3862" t="str">
        <x:v>蔬菜</x:v>
      </x:c>
      <x:c r="E3862" t="str">
        <x:v>菠菜</x:v>
      </x:c>
      <x:c r="F3862" t="n">
        <x:v>190</x:v>
      </x:c>
      <x:c r="G3862" t="n">
        <x:v>23</x:v>
      </x:c>
      <x:c r="H3862" t="n">
        <x:f>ROUND(F3862*G3862/100,2)</x:f>
        <x:v>43.7</x:v>
      </x:c>
      <x:c r="I3862" t="n">
        <x:v>2.9</x:v>
      </x:c>
      <x:c r="J3862" t="n">
        <x:f>ROUND(F3862*I3862/100,2)</x:f>
        <x:v>5.51</x:v>
      </x:c>
      <x:c r="K3862" t="n">
        <x:v>3.6</x:v>
      </x:c>
      <x:c r="L3862" t="n">
        <x:f>ROUND(F3862*K3862/100,2)</x:f>
        <x:v>6.84</x:v>
      </x:c>
      <x:c r="M3862" t="n">
        <x:v>0.4</x:v>
      </x:c>
      <x:c r="N3862" t="n">
        <x:f>ROUND(F3862*M3862/100,2)</x:f>
        <x:v>0.76</x:v>
      </x:c>
      <x:c r="O3862" t="str">
        <x:v>生重</x:v>
      </x:c>
    </x:row>
    <x:row r="3863" ht="23" customHeight="1">
      <x:c r="A3863" t="n">
        <x:v>644</x:v>
      </x:c>
      <x:c r="B3863" t="n">
        <x:v>322</x:v>
      </x:c>
      <x:c r="C3863" t="str">
        <x:v>晚餐</x:v>
      </x:c>
      <x:c r="D3863" t="str">
        <x:v>蔬菜</x:v>
      </x:c>
      <x:c r="E3863" t="str">
        <x:v>娃娃菜</x:v>
      </x:c>
      <x:c r="F3863" t="n">
        <x:v>140</x:v>
      </x:c>
      <x:c r="G3863" t="n">
        <x:v>17</x:v>
      </x:c>
      <x:c r="H3863" t="n">
        <x:f>ROUND(F3863*G3863/100,2)</x:f>
        <x:v>23.8</x:v>
      </x:c>
      <x:c r="I3863" t="n">
        <x:v>1.3</x:v>
      </x:c>
      <x:c r="J3863" t="n">
        <x:f>ROUND(F3863*I3863/100,2)</x:f>
        <x:v>1.82</x:v>
      </x:c>
      <x:c r="K3863" t="n">
        <x:v>3</x:v>
      </x:c>
      <x:c r="L3863" t="n">
        <x:f>ROUND(F3863*K3863/100,2)</x:f>
        <x:v>4.2</x:v>
      </x:c>
      <x:c r="M3863" t="n">
        <x:v>0.2</x:v>
      </x:c>
      <x:c r="N3863" t="n">
        <x:f>ROUND(F3863*M3863/100,2)</x:f>
        <x:v>0.28</x:v>
      </x:c>
      <x:c r="O3863" t="str">
        <x:v>生重</x:v>
      </x:c>
    </x:row>
    <x:row r="3864" ht="23" customHeight="1">
      <x:c r="A3864" t="n">
        <x:v>644</x:v>
      </x:c>
      <x:c r="B3864" t="n">
        <x:v>322</x:v>
      </x:c>
      <x:c r="C3864" t="str">
        <x:v>晚餐</x:v>
      </x:c>
      <x:c r="D3864" t="str">
        <x:v>主食</x:v>
      </x:c>
      <x:c r="E3864" t="str">
        <x:v>土豆</x:v>
      </x:c>
      <x:c r="F3864" t="n">
        <x:v>135</x:v>
      </x:c>
      <x:c r="G3864" t="n">
        <x:v>78</x:v>
      </x:c>
      <x:c r="H3864" t="n">
        <x:f>ROUND(F3864*G3864/100,2)</x:f>
        <x:v>105.3</x:v>
      </x:c>
      <x:c r="I3864" t="n">
        <x:v>2</x:v>
      </x:c>
      <x:c r="J3864" t="n">
        <x:f>ROUND(F3864*I3864/100,2)</x:f>
        <x:v>2.7</x:v>
      </x:c>
      <x:c r="K3864" t="n">
        <x:v>17.2</x:v>
      </x:c>
      <x:c r="L3864" t="n">
        <x:f>ROUND(F3864*K3864/100,2)</x:f>
        <x:v>23.22</x:v>
      </x:c>
      <x:c r="M3864" t="n">
        <x:v>0.1</x:v>
      </x:c>
      <x:c r="N3864" t="n">
        <x:f>ROUND(F3864*M3864/100,2)</x:f>
        <x:v>0.14</x:v>
      </x:c>
      <x:c r="O3864" t="str">
        <x:v>蒸熟净重</x:v>
      </x:c>
    </x:row>
    <x:row r="3865" ht="23" customHeight="1">
      <x:c r="A3865" t="n">
        <x:v>644</x:v>
      </x:c>
      <x:c r="B3865" t="n">
        <x:v>322</x:v>
      </x:c>
      <x:c r="C3865" t="str">
        <x:v>晚餐</x:v>
      </x:c>
      <x:c r="D3865" t="str">
        <x:v>油脂</x:v>
      </x:c>
      <x:c r="E3865" t="str">
        <x:v>烹调油</x:v>
      </x:c>
      <x:c r="F3865" t="n">
        <x:v>5</x:v>
      </x:c>
      <x:c r="G3865" t="n">
        <x:v>900</x:v>
      </x:c>
      <x:c r="H3865" t="n">
        <x:f>ROUND(F3865*G3865/100,2)</x:f>
        <x:v>45</x:v>
      </x:c>
      <x:c r="I3865" t="n">
        <x:v>0</x:v>
      </x:c>
      <x:c r="J3865" t="n">
        <x:f>ROUND(F3865*I3865/100,2)</x:f>
        <x:v>0</x:v>
      </x:c>
      <x:c r="K3865" t="n">
        <x:v>0</x:v>
      </x:c>
      <x:c r="L3865" t="n">
        <x:f>ROUND(F3865*K3865/100,2)</x:f>
        <x:v>0</x:v>
      </x:c>
      <x:c r="M3865" t="n">
        <x:v>100</x:v>
      </x:c>
      <x:c r="N3865" t="n">
        <x:f>ROUND(F3865*M3865/100,2)</x:f>
        <x:v>5</x:v>
      </x:c>
      <x:c r="O3865" t="str">
        <x:v>实际用油重</x:v>
      </x:c>
    </x:row>
    <x:row r="3866" ht="23" customHeight="1">
      <x:c r="A3866" t="n">
        <x:v>645</x:v>
      </x:c>
      <x:c r="B3866" t="n">
        <x:v>323</x:v>
      </x:c>
      <x:c r="C3866" t="str">
        <x:v>午餐</x:v>
      </x:c>
      <x:c r="D3866" t="str">
        <x:v>豆蛋</x:v>
      </x:c>
      <x:c r="E3866" t="str">
        <x:v>嫩豆腐</x:v>
      </x:c>
      <x:c r="F3866" t="n">
        <x:v>280</x:v>
      </x:c>
      <x:c r="G3866" t="n">
        <x:v>55</x:v>
      </x:c>
      <x:c r="H3866" t="n">
        <x:f>ROUND(F3866*G3866/100,2)</x:f>
        <x:v>154</x:v>
      </x:c>
      <x:c r="I3866" t="n">
        <x:v>5</x:v>
      </x:c>
      <x:c r="J3866" t="n">
        <x:f>ROUND(F3866*I3866/100,2)</x:f>
        <x:v>14</x:v>
      </x:c>
      <x:c r="K3866" t="n">
        <x:v>2</x:v>
      </x:c>
      <x:c r="L3866" t="n">
        <x:f>ROUND(F3866*K3866/100,2)</x:f>
        <x:v>5.6</x:v>
      </x:c>
      <x:c r="M3866" t="n">
        <x:v>2.8</x:v>
      </x:c>
      <x:c r="N3866" t="n">
        <x:f>ROUND(F3866*M3866/100,2)</x:f>
        <x:v>7.84</x:v>
      </x:c>
      <x:c r="O3866" t="str">
        <x:v>净重</x:v>
      </x:c>
    </x:row>
    <x:row r="3867" ht="23" customHeight="1">
      <x:c r="A3867" t="n">
        <x:v>645</x:v>
      </x:c>
      <x:c r="B3867" t="n">
        <x:v>323</x:v>
      </x:c>
      <x:c r="C3867" t="str">
        <x:v>午餐</x:v>
      </x:c>
      <x:c r="D3867" t="str">
        <x:v>豆蛋</x:v>
      </x:c>
      <x:c r="E3867" t="str">
        <x:v>鸡蛋</x:v>
      </x:c>
      <x:c r="F3867" t="n">
        <x:v>85</x:v>
      </x:c>
      <x:c r="G3867" t="n">
        <x:v>144</x:v>
      </x:c>
      <x:c r="H3867" t="n">
        <x:f>ROUND(F3867*G3867/100,2)</x:f>
        <x:v>122.4</x:v>
      </x:c>
      <x:c r="I3867" t="n">
        <x:v>13</x:v>
      </x:c>
      <x:c r="J3867" t="n">
        <x:f>ROUND(F3867*I3867/100,2)</x:f>
        <x:v>11.05</x:v>
      </x:c>
      <x:c r="K3867" t="n">
        <x:v>1.1</x:v>
      </x:c>
      <x:c r="L3867" t="n">
        <x:f>ROUND(F3867*K3867/100,2)</x:f>
        <x:v>0.94</x:v>
      </x:c>
      <x:c r="M3867" t="n">
        <x:v>10</x:v>
      </x:c>
      <x:c r="N3867" t="n">
        <x:f>ROUND(F3867*M3867/100,2)</x:f>
        <x:v>8.5</x:v>
      </x:c>
      <x:c r="O3867" t="str">
        <x:v>去壳可食重</x:v>
      </x:c>
    </x:row>
    <x:row r="3868" ht="23" customHeight="1">
      <x:c r="A3868" t="n">
        <x:v>645</x:v>
      </x:c>
      <x:c r="B3868" t="n">
        <x:v>323</x:v>
      </x:c>
      <x:c r="C3868" t="str">
        <x:v>午餐</x:v>
      </x:c>
      <x:c r="D3868" t="str">
        <x:v>蔬菜</x:v>
      </x:c>
      <x:c r="E3868" t="str">
        <x:v>茼蒿</x:v>
      </x:c>
      <x:c r="F3868" t="n">
        <x:v>160</x:v>
      </x:c>
      <x:c r="G3868" t="n">
        <x:v>24</x:v>
      </x:c>
      <x:c r="H3868" t="n">
        <x:f>ROUND(F3868*G3868/100,2)</x:f>
        <x:v>38.4</x:v>
      </x:c>
      <x:c r="I3868" t="n">
        <x:v>1.9</x:v>
      </x:c>
      <x:c r="J3868" t="n">
        <x:f>ROUND(F3868*I3868/100,2)</x:f>
        <x:v>3.04</x:v>
      </x:c>
      <x:c r="K3868" t="n">
        <x:v>4.3</x:v>
      </x:c>
      <x:c r="L3868" t="n">
        <x:f>ROUND(F3868*K3868/100,2)</x:f>
        <x:v>6.88</x:v>
      </x:c>
      <x:c r="M3868" t="n">
        <x:v>0.3</x:v>
      </x:c>
      <x:c r="N3868" t="n">
        <x:f>ROUND(F3868*M3868/100,2)</x:f>
        <x:v>0.48</x:v>
      </x:c>
      <x:c r="O3868" t="str">
        <x:v>生重</x:v>
      </x:c>
    </x:row>
    <x:row r="3869" ht="23" customHeight="1">
      <x:c r="A3869" t="n">
        <x:v>645</x:v>
      </x:c>
      <x:c r="B3869" t="n">
        <x:v>323</x:v>
      </x:c>
      <x:c r="C3869" t="str">
        <x:v>午餐</x:v>
      </x:c>
      <x:c r="D3869" t="str">
        <x:v>菌菇</x:v>
      </x:c>
      <x:c r="E3869" t="str">
        <x:v>香菇</x:v>
      </x:c>
      <x:c r="F3869" t="n">
        <x:v>125</x:v>
      </x:c>
      <x:c r="G3869" t="n">
        <x:v>34</x:v>
      </x:c>
      <x:c r="H3869" t="n">
        <x:f>ROUND(F3869*G3869/100,2)</x:f>
        <x:v>42.5</x:v>
      </x:c>
      <x:c r="I3869" t="n">
        <x:v>2.2</x:v>
      </x:c>
      <x:c r="J3869" t="n">
        <x:f>ROUND(F3869*I3869/100,2)</x:f>
        <x:v>2.75</x:v>
      </x:c>
      <x:c r="K3869" t="n">
        <x:v>6.8</x:v>
      </x:c>
      <x:c r="L3869" t="n">
        <x:f>ROUND(F3869*K3869/100,2)</x:f>
        <x:v>8.5</x:v>
      </x:c>
      <x:c r="M3869" t="n">
        <x:v>0.5</x:v>
      </x:c>
      <x:c r="N3869" t="n">
        <x:f>ROUND(F3869*M3869/100,2)</x:f>
        <x:v>0.63</x:v>
      </x:c>
      <x:c r="O3869" t="str">
        <x:v>生重</x:v>
      </x:c>
    </x:row>
    <x:row r="3870" ht="23" customHeight="1">
      <x:c r="A3870" t="n">
        <x:v>645</x:v>
      </x:c>
      <x:c r="B3870" t="n">
        <x:v>323</x:v>
      </x:c>
      <x:c r="C3870" t="str">
        <x:v>午餐</x:v>
      </x:c>
      <x:c r="D3870" t="str">
        <x:v>主食</x:v>
      </x:c>
      <x:c r="E3870" t="str">
        <x:v>杂粮饭</x:v>
      </x:c>
      <x:c r="F3870" t="n">
        <x:v>110</x:v>
      </x:c>
      <x:c r="G3870" t="n">
        <x:v>115</x:v>
      </x:c>
      <x:c r="H3870" t="n">
        <x:f>ROUND(F3870*G3870/100,2)</x:f>
        <x:v>126.5</x:v>
      </x:c>
      <x:c r="I3870" t="n">
        <x:v>3.1</x:v>
      </x:c>
      <x:c r="J3870" t="n">
        <x:f>ROUND(F3870*I3870/100,2)</x:f>
        <x:v>3.41</x:v>
      </x:c>
      <x:c r="K3870" t="n">
        <x:v>23.5</x:v>
      </x:c>
      <x:c r="L3870" t="n">
        <x:f>ROUND(F3870*K3870/100,2)</x:f>
        <x:v>25.85</x:v>
      </x:c>
      <x:c r="M3870" t="n">
        <x:v>1.1</x:v>
      </x:c>
      <x:c r="N3870" t="n">
        <x:f>ROUND(F3870*M3870/100,2)</x:f>
        <x:v>1.21</x:v>
      </x:c>
      <x:c r="O3870" t="str">
        <x:v>熟重</x:v>
      </x:c>
    </x:row>
    <x:row r="3871" ht="23" customHeight="1">
      <x:c r="A3871" t="n">
        <x:v>645</x:v>
      </x:c>
      <x:c r="B3871" t="n">
        <x:v>323</x:v>
      </x:c>
      <x:c r="C3871" t="str">
        <x:v>午餐</x:v>
      </x:c>
      <x:c r="D3871" t="str">
        <x:v>油脂</x:v>
      </x:c>
      <x:c r="E3871" t="str">
        <x:v>烹调油</x:v>
      </x:c>
      <x:c r="F3871" t="n">
        <x:v>4</x:v>
      </x:c>
      <x:c r="G3871" t="n">
        <x:v>900</x:v>
      </x:c>
      <x:c r="H3871" t="n">
        <x:f>ROUND(F3871*G3871/100,2)</x:f>
        <x:v>36</x:v>
      </x:c>
      <x:c r="I3871" t="n">
        <x:v>0</x:v>
      </x:c>
      <x:c r="J3871" t="n">
        <x:f>ROUND(F3871*I3871/100,2)</x:f>
        <x:v>0</x:v>
      </x:c>
      <x:c r="K3871" t="n">
        <x:v>0</x:v>
      </x:c>
      <x:c r="L3871" t="n">
        <x:f>ROUND(F3871*K3871/100,2)</x:f>
        <x:v>0</x:v>
      </x:c>
      <x:c r="M3871" t="n">
        <x:v>100</x:v>
      </x:c>
      <x:c r="N3871" t="n">
        <x:f>ROUND(F3871*M3871/100,2)</x:f>
        <x:v>4</x:v>
      </x:c>
      <x:c r="O3871" t="str">
        <x:v>实际用油重</x:v>
      </x:c>
    </x:row>
    <x:row r="3872" ht="23" customHeight="1">
      <x:c r="A3872" t="n">
        <x:v>646</x:v>
      </x:c>
      <x:c r="B3872" t="n">
        <x:v>323</x:v>
      </x:c>
      <x:c r="C3872" t="str">
        <x:v>晚餐</x:v>
      </x:c>
      <x:c r="D3872" t="str">
        <x:v>禽肉</x:v>
      </x:c>
      <x:c r="E3872" t="str">
        <x:v>鸡胸肉</x:v>
      </x:c>
      <x:c r="F3872" t="n">
        <x:v>180</x:v>
      </x:c>
      <x:c r="G3872" t="n">
        <x:v>110</x:v>
      </x:c>
      <x:c r="H3872" t="n">
        <x:f>ROUND(F3872*G3872/100,2)</x:f>
        <x:v>198</x:v>
      </x:c>
      <x:c r="I3872" t="n">
        <x:v>23</x:v>
      </x:c>
      <x:c r="J3872" t="n">
        <x:f>ROUND(F3872*I3872/100,2)</x:f>
        <x:v>41.4</x:v>
      </x:c>
      <x:c r="K3872" t="n">
        <x:v>0</x:v>
      </x:c>
      <x:c r="L3872" t="n">
        <x:f>ROUND(F3872*K3872/100,2)</x:f>
        <x:v>0</x:v>
      </x:c>
      <x:c r="M3872" t="n">
        <x:v>2</x:v>
      </x:c>
      <x:c r="N3872" t="n">
        <x:f>ROUND(F3872*M3872/100,2)</x:f>
        <x:v>3.6</x:v>
      </x:c>
      <x:c r="O3872" t="str">
        <x:v>生重</x:v>
      </x:c>
    </x:row>
    <x:row r="3873" ht="23" customHeight="1">
      <x:c r="A3873" t="n">
        <x:v>646</x:v>
      </x:c>
      <x:c r="B3873" t="n">
        <x:v>323</x:v>
      </x:c>
      <x:c r="C3873" t="str">
        <x:v>晚餐</x:v>
      </x:c>
      <x:c r="D3873" t="str"/>
      <x:c r="E3873" t="str"/>
      <x:c r="F3873" t="n">
        <x:v>0</x:v>
      </x:c>
      <x:c r="G3873" t="n">
        <x:v>0</x:v>
      </x:c>
      <x:c r="H3873" t="n">
        <x:f>ROUND(F3873*G3873/100,2)</x:f>
        <x:v>0</x:v>
      </x:c>
      <x:c r="I3873" t="n">
        <x:v>0</x:v>
      </x:c>
      <x:c r="J3873" t="n">
        <x:f>ROUND(F3873*I3873/100,2)</x:f>
        <x:v>0</x:v>
      </x:c>
      <x:c r="K3873" t="n">
        <x:v>0</x:v>
      </x:c>
      <x:c r="L3873" t="n">
        <x:f>ROUND(F3873*K3873/100,2)</x:f>
        <x:v>0</x:v>
      </x:c>
      <x:c r="M3873" t="n">
        <x:v>0</x:v>
      </x:c>
      <x:c r="N3873" t="n">
        <x:f>ROUND(F3873*M3873/100,2)</x:f>
        <x:v>0</x:v>
      </x:c>
      <x:c r="O3873" t="str"/>
    </x:row>
    <x:row r="3874" ht="23" customHeight="1">
      <x:c r="A3874" t="n">
        <x:v>646</x:v>
      </x:c>
      <x:c r="B3874" t="n">
        <x:v>323</x:v>
      </x:c>
      <x:c r="C3874" t="str">
        <x:v>晚餐</x:v>
      </x:c>
      <x:c r="D3874" t="str">
        <x:v>蔬菜</x:v>
      </x:c>
      <x:c r="E3874" t="str">
        <x:v>娃娃菜</x:v>
      </x:c>
      <x:c r="F3874" t="n">
        <x:v>190</x:v>
      </x:c>
      <x:c r="G3874" t="n">
        <x:v>17</x:v>
      </x:c>
      <x:c r="H3874" t="n">
        <x:f>ROUND(F3874*G3874/100,2)</x:f>
        <x:v>32.3</x:v>
      </x:c>
      <x:c r="I3874" t="n">
        <x:v>1.3</x:v>
      </x:c>
      <x:c r="J3874" t="n">
        <x:f>ROUND(F3874*I3874/100,2)</x:f>
        <x:v>2.47</x:v>
      </x:c>
      <x:c r="K3874" t="n">
        <x:v>3</x:v>
      </x:c>
      <x:c r="L3874" t="n">
        <x:f>ROUND(F3874*K3874/100,2)</x:f>
        <x:v>5.7</x:v>
      </x:c>
      <x:c r="M3874" t="n">
        <x:v>0.2</x:v>
      </x:c>
      <x:c r="N3874" t="n">
        <x:f>ROUND(F3874*M3874/100,2)</x:f>
        <x:v>0.38</x:v>
      </x:c>
      <x:c r="O3874" t="str">
        <x:v>生重</x:v>
      </x:c>
    </x:row>
    <x:row r="3875" ht="23" customHeight="1">
      <x:c r="A3875" t="n">
        <x:v>646</x:v>
      </x:c>
      <x:c r="B3875" t="n">
        <x:v>323</x:v>
      </x:c>
      <x:c r="C3875" t="str">
        <x:v>晚餐</x:v>
      </x:c>
      <x:c r="D3875" t="str">
        <x:v>菌菇</x:v>
      </x:c>
      <x:c r="E3875" t="str">
        <x:v>杏鲍菇</x:v>
      </x:c>
      <x:c r="F3875" t="n">
        <x:v>140</x:v>
      </x:c>
      <x:c r="G3875" t="n">
        <x:v>35</x:v>
      </x:c>
      <x:c r="H3875" t="n">
        <x:f>ROUND(F3875*G3875/100,2)</x:f>
        <x:v>49</x:v>
      </x:c>
      <x:c r="I3875" t="n">
        <x:v>2</x:v>
      </x:c>
      <x:c r="J3875" t="n">
        <x:f>ROUND(F3875*I3875/100,2)</x:f>
        <x:v>2.8</x:v>
      </x:c>
      <x:c r="K3875" t="n">
        <x:v>7.4</x:v>
      </x:c>
      <x:c r="L3875" t="n">
        <x:f>ROUND(F3875*K3875/100,2)</x:f>
        <x:v>10.36</x:v>
      </x:c>
      <x:c r="M3875" t="n">
        <x:v>0.3</x:v>
      </x:c>
      <x:c r="N3875" t="n">
        <x:f>ROUND(F3875*M3875/100,2)</x:f>
        <x:v>0.42</x:v>
      </x:c>
      <x:c r="O3875" t="str">
        <x:v>生重</x:v>
      </x:c>
    </x:row>
    <x:row r="3876" ht="23" customHeight="1">
      <x:c r="A3876" t="n">
        <x:v>646</x:v>
      </x:c>
      <x:c r="B3876" t="n">
        <x:v>323</x:v>
      </x:c>
      <x:c r="C3876" t="str">
        <x:v>晚餐</x:v>
      </x:c>
      <x:c r="D3876" t="str">
        <x:v>主食</x:v>
      </x:c>
      <x:c r="E3876" t="str">
        <x:v>荞麦饭</x:v>
      </x:c>
      <x:c r="F3876" t="n">
        <x:v>110</x:v>
      </x:c>
      <x:c r="G3876" t="n">
        <x:v>110</x:v>
      </x:c>
      <x:c r="H3876" t="n">
        <x:f>ROUND(F3876*G3876/100,2)</x:f>
        <x:v>121</x:v>
      </x:c>
      <x:c r="I3876" t="n">
        <x:v>3.4</x:v>
      </x:c>
      <x:c r="J3876" t="n">
        <x:f>ROUND(F3876*I3876/100,2)</x:f>
        <x:v>3.74</x:v>
      </x:c>
      <x:c r="K3876" t="n">
        <x:v>22</x:v>
      </x:c>
      <x:c r="L3876" t="n">
        <x:f>ROUND(F3876*K3876/100,2)</x:f>
        <x:v>24.2</x:v>
      </x:c>
      <x:c r="M3876" t="n">
        <x:v>1.1</x:v>
      </x:c>
      <x:c r="N3876" t="n">
        <x:f>ROUND(F3876*M3876/100,2)</x:f>
        <x:v>1.21</x:v>
      </x:c>
      <x:c r="O3876" t="str">
        <x:v>熟重</x:v>
      </x:c>
    </x:row>
    <x:row r="3877" ht="23" customHeight="1">
      <x:c r="A3877" t="n">
        <x:v>646</x:v>
      </x:c>
      <x:c r="B3877" t="n">
        <x:v>323</x:v>
      </x:c>
      <x:c r="C3877" t="str">
        <x:v>晚餐</x:v>
      </x:c>
      <x:c r="D3877" t="str">
        <x:v>油脂</x:v>
      </x:c>
      <x:c r="E3877" t="str">
        <x:v>烹调油</x:v>
      </x:c>
      <x:c r="F3877" t="n">
        <x:v>5</x:v>
      </x:c>
      <x:c r="G3877" t="n">
        <x:v>900</x:v>
      </x:c>
      <x:c r="H3877" t="n">
        <x:f>ROUND(F3877*G3877/100,2)</x:f>
        <x:v>45</x:v>
      </x:c>
      <x:c r="I3877" t="n">
        <x:v>0</x:v>
      </x:c>
      <x:c r="J3877" t="n">
        <x:f>ROUND(F3877*I3877/100,2)</x:f>
        <x:v>0</x:v>
      </x:c>
      <x:c r="K3877" t="n">
        <x:v>0</x:v>
      </x:c>
      <x:c r="L3877" t="n">
        <x:f>ROUND(F3877*K3877/100,2)</x:f>
        <x:v>0</x:v>
      </x:c>
      <x:c r="M3877" t="n">
        <x:v>100</x:v>
      </x:c>
      <x:c r="N3877" t="n">
        <x:f>ROUND(F3877*M3877/100,2)</x:f>
        <x:v>5</x:v>
      </x:c>
      <x:c r="O3877" t="str">
        <x:v>实际用油重</x:v>
      </x:c>
    </x:row>
    <x:row r="3878" ht="23" customHeight="1">
      <x:c r="A3878" t="n">
        <x:v>647</x:v>
      </x:c>
      <x:c r="B3878" t="n">
        <x:v>324</x:v>
      </x:c>
      <x:c r="C3878" t="str">
        <x:v>午餐</x:v>
      </x:c>
      <x:c r="D3878" t="str">
        <x:v>鱼类</x:v>
      </x:c>
      <x:c r="E3878" t="str">
        <x:v>三文鱼</x:v>
      </x:c>
      <x:c r="F3878" t="n">
        <x:v>120</x:v>
      </x:c>
      <x:c r="G3878" t="n">
        <x:v>205</x:v>
      </x:c>
      <x:c r="H3878" t="n">
        <x:f>ROUND(F3878*G3878/100,2)</x:f>
        <x:v>246</x:v>
      </x:c>
      <x:c r="I3878" t="n">
        <x:v>20</x:v>
      </x:c>
      <x:c r="J3878" t="n">
        <x:f>ROUND(F3878*I3878/100,2)</x:f>
        <x:v>24</x:v>
      </x:c>
      <x:c r="K3878" t="n">
        <x:v>0</x:v>
      </x:c>
      <x:c r="L3878" t="n">
        <x:f>ROUND(F3878*K3878/100,2)</x:f>
        <x:v>0</x:v>
      </x:c>
      <x:c r="M3878" t="n">
        <x:v>13</x:v>
      </x:c>
      <x:c r="N3878" t="n">
        <x:f>ROUND(F3878*M3878/100,2)</x:f>
        <x:v>15.6</x:v>
      </x:c>
      <x:c r="O3878" t="str">
        <x:v>净鱼肉生重</x:v>
      </x:c>
    </x:row>
    <x:row r="3879" ht="23" customHeight="1">
      <x:c r="A3879" t="n">
        <x:v>647</x:v>
      </x:c>
      <x:c r="B3879" t="n">
        <x:v>324</x:v>
      </x:c>
      <x:c r="C3879" t="str">
        <x:v>午餐</x:v>
      </x:c>
      <x:c r="D3879" t="str"/>
      <x:c r="E3879" t="str"/>
      <x:c r="F3879" t="n">
        <x:v>0</x:v>
      </x:c>
      <x:c r="G3879" t="n">
        <x:v>0</x:v>
      </x:c>
      <x:c r="H3879" t="n">
        <x:f>ROUND(F3879*G3879/100,2)</x:f>
        <x:v>0</x:v>
      </x:c>
      <x:c r="I3879" t="n">
        <x:v>0</x:v>
      </x:c>
      <x:c r="J3879" t="n">
        <x:f>ROUND(F3879*I3879/100,2)</x:f>
        <x:v>0</x:v>
      </x:c>
      <x:c r="K3879" t="n">
        <x:v>0</x:v>
      </x:c>
      <x:c r="L3879" t="n">
        <x:f>ROUND(F3879*K3879/100,2)</x:f>
        <x:v>0</x:v>
      </x:c>
      <x:c r="M3879" t="n">
        <x:v>0</x:v>
      </x:c>
      <x:c r="N3879" t="n">
        <x:f>ROUND(F3879*M3879/100,2)</x:f>
        <x:v>0</x:v>
      </x:c>
      <x:c r="O3879" t="str"/>
    </x:row>
    <x:row r="3880" ht="23" customHeight="1">
      <x:c r="A3880" t="n">
        <x:v>647</x:v>
      </x:c>
      <x:c r="B3880" t="n">
        <x:v>324</x:v>
      </x:c>
      <x:c r="C3880" t="str">
        <x:v>午餐</x:v>
      </x:c>
      <x:c r="D3880" t="str">
        <x:v>蔬菜</x:v>
      </x:c>
      <x:c r="E3880" t="str">
        <x:v>秋葵</x:v>
      </x:c>
      <x:c r="F3880" t="n">
        <x:v>160</x:v>
      </x:c>
      <x:c r="G3880" t="n">
        <x:v>33</x:v>
      </x:c>
      <x:c r="H3880" t="n">
        <x:f>ROUND(F3880*G3880/100,2)</x:f>
        <x:v>52.8</x:v>
      </x:c>
      <x:c r="I3880" t="n">
        <x:v>1.9</x:v>
      </x:c>
      <x:c r="J3880" t="n">
        <x:f>ROUND(F3880*I3880/100,2)</x:f>
        <x:v>3.04</x:v>
      </x:c>
      <x:c r="K3880" t="n">
        <x:v>7.5</x:v>
      </x:c>
      <x:c r="L3880" t="n">
        <x:f>ROUND(F3880*K3880/100,2)</x:f>
        <x:v>12</x:v>
      </x:c>
      <x:c r="M3880" t="n">
        <x:v>0.2</x:v>
      </x:c>
      <x:c r="N3880" t="n">
        <x:f>ROUND(F3880*M3880/100,2)</x:f>
        <x:v>0.32</x:v>
      </x:c>
      <x:c r="O3880" t="str">
        <x:v>生重</x:v>
      </x:c>
    </x:row>
    <x:row r="3881" ht="23" customHeight="1">
      <x:c r="A3881" t="n">
        <x:v>647</x:v>
      </x:c>
      <x:c r="B3881" t="n">
        <x:v>324</x:v>
      </x:c>
      <x:c r="C3881" t="str">
        <x:v>午餐</x:v>
      </x:c>
      <x:c r="D3881" t="str">
        <x:v>菌菇</x:v>
      </x:c>
      <x:c r="E3881" t="str">
        <x:v>泡发木耳</x:v>
      </x:c>
      <x:c r="F3881" t="n">
        <x:v>125</x:v>
      </x:c>
      <x:c r="G3881" t="n">
        <x:v>25</x:v>
      </x:c>
      <x:c r="H3881" t="n">
        <x:f>ROUND(F3881*G3881/100,2)</x:f>
        <x:v>31.25</x:v>
      </x:c>
      <x:c r="I3881" t="n">
        <x:v>1.5</x:v>
      </x:c>
      <x:c r="J3881" t="n">
        <x:f>ROUND(F3881*I3881/100,2)</x:f>
        <x:v>1.88</x:v>
      </x:c>
      <x:c r="K3881" t="n">
        <x:v>6</x:v>
      </x:c>
      <x:c r="L3881" t="n">
        <x:f>ROUND(F3881*K3881/100,2)</x:f>
        <x:v>7.5</x:v>
      </x:c>
      <x:c r="M3881" t="n">
        <x:v>0.1</x:v>
      </x:c>
      <x:c r="N3881" t="n">
        <x:f>ROUND(F3881*M3881/100,2)</x:f>
        <x:v>0.13</x:v>
      </x:c>
      <x:c r="O3881" t="str">
        <x:v>泡发沥水重</x:v>
      </x:c>
    </x:row>
    <x:row r="3882" ht="23" customHeight="1">
      <x:c r="A3882" t="n">
        <x:v>647</x:v>
      </x:c>
      <x:c r="B3882" t="n">
        <x:v>324</x:v>
      </x:c>
      <x:c r="C3882" t="str">
        <x:v>午餐</x:v>
      </x:c>
      <x:c r="D3882" t="str">
        <x:v>主食</x:v>
      </x:c>
      <x:c r="E3882" t="str">
        <x:v>燕麦饭</x:v>
      </x:c>
      <x:c r="F3882" t="n">
        <x:v>125</x:v>
      </x:c>
      <x:c r="G3882" t="n">
        <x:v>110</x:v>
      </x:c>
      <x:c r="H3882" t="n">
        <x:f>ROUND(F3882*G3882/100,2)</x:f>
        <x:v>137.5</x:v>
      </x:c>
      <x:c r="I3882" t="n">
        <x:v>3.2</x:v>
      </x:c>
      <x:c r="J3882" t="n">
        <x:f>ROUND(F3882*I3882/100,2)</x:f>
        <x:v>4</x:v>
      </x:c>
      <x:c r="K3882" t="n">
        <x:v>21</x:v>
      </x:c>
      <x:c r="L3882" t="n">
        <x:f>ROUND(F3882*K3882/100,2)</x:f>
        <x:v>26.25</x:v>
      </x:c>
      <x:c r="M3882" t="n">
        <x:v>1.8</x:v>
      </x:c>
      <x:c r="N3882" t="n">
        <x:f>ROUND(F3882*M3882/100,2)</x:f>
        <x:v>2.25</x:v>
      </x:c>
      <x:c r="O3882" t="str">
        <x:v>熟重</x:v>
      </x:c>
    </x:row>
    <x:row r="3883" ht="23" customHeight="1">
      <x:c r="A3883" t="n">
        <x:v>647</x:v>
      </x:c>
      <x:c r="B3883" t="n">
        <x:v>324</x:v>
      </x:c>
      <x:c r="C3883" t="str">
        <x:v>午餐</x:v>
      </x:c>
      <x:c r="D3883" t="str">
        <x:v>油脂</x:v>
      </x:c>
      <x:c r="E3883" t="str">
        <x:v>烹调油</x:v>
      </x:c>
      <x:c r="F3883" t="n">
        <x:v>3</x:v>
      </x:c>
      <x:c r="G3883" t="n">
        <x:v>900</x:v>
      </x:c>
      <x:c r="H3883" t="n">
        <x:f>ROUND(F3883*G3883/100,2)</x:f>
        <x:v>27</x:v>
      </x:c>
      <x:c r="I3883" t="n">
        <x:v>0</x:v>
      </x:c>
      <x:c r="J3883" t="n">
        <x:f>ROUND(F3883*I3883/100,2)</x:f>
        <x:v>0</x:v>
      </x:c>
      <x:c r="K3883" t="n">
        <x:v>0</x:v>
      </x:c>
      <x:c r="L3883" t="n">
        <x:f>ROUND(F3883*K3883/100,2)</x:f>
        <x:v>0</x:v>
      </x:c>
      <x:c r="M3883" t="n">
        <x:v>100</x:v>
      </x:c>
      <x:c r="N3883" t="n">
        <x:f>ROUND(F3883*M3883/100,2)</x:f>
        <x:v>3</x:v>
      </x:c>
      <x:c r="O3883" t="str">
        <x:v>实际用油重</x:v>
      </x:c>
    </x:row>
    <x:row r="3884" ht="23" customHeight="1">
      <x:c r="A3884" t="n">
        <x:v>648</x:v>
      </x:c>
      <x:c r="B3884" t="n">
        <x:v>324</x:v>
      </x:c>
      <x:c r="C3884" t="str">
        <x:v>晚餐</x:v>
      </x:c>
      <x:c r="D3884" t="str">
        <x:v>牛肉</x:v>
      </x:c>
      <x:c r="E3884" t="str">
        <x:v>瘦牛肉</x:v>
      </x:c>
      <x:c r="F3884" t="n">
        <x:v>170</x:v>
      </x:c>
      <x:c r="G3884" t="n">
        <x:v>125</x:v>
      </x:c>
      <x:c r="H3884" t="n">
        <x:f>ROUND(F3884*G3884/100,2)</x:f>
        <x:v>212.5</x:v>
      </x:c>
      <x:c r="I3884" t="n">
        <x:v>21</x:v>
      </x:c>
      <x:c r="J3884" t="n">
        <x:f>ROUND(F3884*I3884/100,2)</x:f>
        <x:v>35.7</x:v>
      </x:c>
      <x:c r="K3884" t="n">
        <x:v>0</x:v>
      </x:c>
      <x:c r="L3884" t="n">
        <x:f>ROUND(F3884*K3884/100,2)</x:f>
        <x:v>0</x:v>
      </x:c>
      <x:c r="M3884" t="n">
        <x:v>4</x:v>
      </x:c>
      <x:c r="N3884" t="n">
        <x:f>ROUND(F3884*M3884/100,2)</x:f>
        <x:v>6.8</x:v>
      </x:c>
      <x:c r="O3884" t="str">
        <x:v>生重</x:v>
      </x:c>
    </x:row>
    <x:row r="3885" ht="23" customHeight="1">
      <x:c r="A3885" t="n">
        <x:v>648</x:v>
      </x:c>
      <x:c r="B3885" t="n">
        <x:v>324</x:v>
      </x:c>
      <x:c r="C3885" t="str">
        <x:v>晚餐</x:v>
      </x:c>
      <x:c r="D3885" t="str"/>
      <x:c r="E3885" t="str"/>
      <x:c r="F3885" t="n">
        <x:v>0</x:v>
      </x:c>
      <x:c r="G3885" t="n">
        <x:v>0</x:v>
      </x:c>
      <x:c r="H3885" t="n">
        <x:f>ROUND(F3885*G3885/100,2)</x:f>
        <x:v>0</x:v>
      </x:c>
      <x:c r="I3885" t="n">
        <x:v>0</x:v>
      </x:c>
      <x:c r="J3885" t="n">
        <x:f>ROUND(F3885*I3885/100,2)</x:f>
        <x:v>0</x:v>
      </x:c>
      <x:c r="K3885" t="n">
        <x:v>0</x:v>
      </x:c>
      <x:c r="L3885" t="n">
        <x:f>ROUND(F3885*K3885/100,2)</x:f>
        <x:v>0</x:v>
      </x:c>
      <x:c r="M3885" t="n">
        <x:v>0</x:v>
      </x:c>
      <x:c r="N3885" t="n">
        <x:f>ROUND(F3885*M3885/100,2)</x:f>
        <x:v>0</x:v>
      </x:c>
      <x:c r="O3885" t="str"/>
    </x:row>
    <x:row r="3886" ht="23" customHeight="1">
      <x:c r="A3886" t="n">
        <x:v>648</x:v>
      </x:c>
      <x:c r="B3886" t="n">
        <x:v>324</x:v>
      </x:c>
      <x:c r="C3886" t="str">
        <x:v>晚餐</x:v>
      </x:c>
      <x:c r="D3886" t="str">
        <x:v>蔬菜</x:v>
      </x:c>
      <x:c r="E3886" t="str">
        <x:v>荷兰豆</x:v>
      </x:c>
      <x:c r="F3886" t="n">
        <x:v>175</x:v>
      </x:c>
      <x:c r="G3886" t="n">
        <x:v>42</x:v>
      </x:c>
      <x:c r="H3886" t="n">
        <x:f>ROUND(F3886*G3886/100,2)</x:f>
        <x:v>73.5</x:v>
      </x:c>
      <x:c r="I3886" t="n">
        <x:v>2.8</x:v>
      </x:c>
      <x:c r="J3886" t="n">
        <x:f>ROUND(F3886*I3886/100,2)</x:f>
        <x:v>4.9</x:v>
      </x:c>
      <x:c r="K3886" t="n">
        <x:v>7.5</x:v>
      </x:c>
      <x:c r="L3886" t="n">
        <x:f>ROUND(F3886*K3886/100,2)</x:f>
        <x:v>13.13</x:v>
      </x:c>
      <x:c r="M3886" t="n">
        <x:v>0.3</x:v>
      </x:c>
      <x:c r="N3886" t="n">
        <x:f>ROUND(F3886*M3886/100,2)</x:f>
        <x:v>0.53</x:v>
      </x:c>
      <x:c r="O3886" t="str">
        <x:v>生重</x:v>
      </x:c>
    </x:row>
    <x:row r="3887" ht="23" customHeight="1">
      <x:c r="A3887" t="n">
        <x:v>648</x:v>
      </x:c>
      <x:c r="B3887" t="n">
        <x:v>324</x:v>
      </x:c>
      <x:c r="C3887" t="str">
        <x:v>晚餐</x:v>
      </x:c>
      <x:c r="D3887" t="str">
        <x:v>蔬菜</x:v>
      </x:c>
      <x:c r="E3887" t="str">
        <x:v>玉米笋</x:v>
      </x:c>
      <x:c r="F3887" t="n">
        <x:v>140</x:v>
      </x:c>
      <x:c r="G3887" t="n">
        <x:v>26</x:v>
      </x:c>
      <x:c r="H3887" t="n">
        <x:f>ROUND(F3887*G3887/100,2)</x:f>
        <x:v>36.4</x:v>
      </x:c>
      <x:c r="I3887" t="n">
        <x:v>2</x:v>
      </x:c>
      <x:c r="J3887" t="n">
        <x:f>ROUND(F3887*I3887/100,2)</x:f>
        <x:v>2.8</x:v>
      </x:c>
      <x:c r="K3887" t="n">
        <x:v>4.9</x:v>
      </x:c>
      <x:c r="L3887" t="n">
        <x:f>ROUND(F3887*K3887/100,2)</x:f>
        <x:v>6.86</x:v>
      </x:c>
      <x:c r="M3887" t="n">
        <x:v>0.1</x:v>
      </x:c>
      <x:c r="N3887" t="n">
        <x:f>ROUND(F3887*M3887/100,2)</x:f>
        <x:v>0.14</x:v>
      </x:c>
      <x:c r="O3887" t="str">
        <x:v>生重</x:v>
      </x:c>
    </x:row>
    <x:row r="3888" ht="23" customHeight="1">
      <x:c r="A3888" t="n">
        <x:v>648</x:v>
      </x:c>
      <x:c r="B3888" t="n">
        <x:v>324</x:v>
      </x:c>
      <x:c r="C3888" t="str">
        <x:v>晚餐</x:v>
      </x:c>
      <x:c r="D3888" t="str">
        <x:v>主食</x:v>
      </x:c>
      <x:c r="E3888" t="str">
        <x:v>红薯</x:v>
      </x:c>
      <x:c r="F3888" t="n">
        <x:v>135</x:v>
      </x:c>
      <x:c r="G3888" t="n">
        <x:v>88</x:v>
      </x:c>
      <x:c r="H3888" t="n">
        <x:f>ROUND(F3888*G3888/100,2)</x:f>
        <x:v>118.8</x:v>
      </x:c>
      <x:c r="I3888" t="n">
        <x:v>1.6</x:v>
      </x:c>
      <x:c r="J3888" t="n">
        <x:f>ROUND(F3888*I3888/100,2)</x:f>
        <x:v>2.16</x:v>
      </x:c>
      <x:c r="K3888" t="n">
        <x:v>20.5</x:v>
      </x:c>
      <x:c r="L3888" t="n">
        <x:f>ROUND(F3888*K3888/100,2)</x:f>
        <x:v>27.68</x:v>
      </x:c>
      <x:c r="M3888" t="n">
        <x:v>0.1</x:v>
      </x:c>
      <x:c r="N3888" t="n">
        <x:f>ROUND(F3888*M3888/100,2)</x:f>
        <x:v>0.14</x:v>
      </x:c>
      <x:c r="O3888" t="str">
        <x:v>蒸熟净重</x:v>
      </x:c>
    </x:row>
    <x:row r="3889" ht="23" customHeight="1">
      <x:c r="A3889" t="n">
        <x:v>648</x:v>
      </x:c>
      <x:c r="B3889" t="n">
        <x:v>324</x:v>
      </x:c>
      <x:c r="C3889" t="str">
        <x:v>晚餐</x:v>
      </x:c>
      <x:c r="D3889" t="str">
        <x:v>油脂</x:v>
      </x:c>
      <x:c r="E3889" t="str">
        <x:v>烹调油</x:v>
      </x:c>
      <x:c r="F3889" t="n">
        <x:v>3</x:v>
      </x:c>
      <x:c r="G3889" t="n">
        <x:v>900</x:v>
      </x:c>
      <x:c r="H3889" t="n">
        <x:f>ROUND(F3889*G3889/100,2)</x:f>
        <x:v>27</x:v>
      </x:c>
      <x:c r="I3889" t="n">
        <x:v>0</x:v>
      </x:c>
      <x:c r="J3889" t="n">
        <x:f>ROUND(F3889*I3889/100,2)</x:f>
        <x:v>0</x:v>
      </x:c>
      <x:c r="K3889" t="n">
        <x:v>0</x:v>
      </x:c>
      <x:c r="L3889" t="n">
        <x:f>ROUND(F3889*K3889/100,2)</x:f>
        <x:v>0</x:v>
      </x:c>
      <x:c r="M3889" t="n">
        <x:v>100</x:v>
      </x:c>
      <x:c r="N3889" t="n">
        <x:f>ROUND(F3889*M3889/100,2)</x:f>
        <x:v>3</x:v>
      </x:c>
      <x:c r="O3889" t="str">
        <x:v>实际用油重</x:v>
      </x:c>
    </x:row>
    <x:row r="3890" ht="23" customHeight="1">
      <x:c r="A3890" t="n">
        <x:v>649</x:v>
      </x:c>
      <x:c r="B3890" t="n">
        <x:v>325</x:v>
      </x:c>
      <x:c r="C3890" t="str">
        <x:v>午餐</x:v>
      </x:c>
      <x:c r="D3890" t="str">
        <x:v>牛肉</x:v>
      </x:c>
      <x:c r="E3890" t="str">
        <x:v>牛里脊</x:v>
      </x:c>
      <x:c r="F3890" t="n">
        <x:v>185</x:v>
      </x:c>
      <x:c r="G3890" t="n">
        <x:v>130</x:v>
      </x:c>
      <x:c r="H3890" t="n">
        <x:f>ROUND(F3890*G3890/100,2)</x:f>
        <x:v>240.5</x:v>
      </x:c>
      <x:c r="I3890" t="n">
        <x:v>21</x:v>
      </x:c>
      <x:c r="J3890" t="n">
        <x:f>ROUND(F3890*I3890/100,2)</x:f>
        <x:v>38.85</x:v>
      </x:c>
      <x:c r="K3890" t="n">
        <x:v>0</x:v>
      </x:c>
      <x:c r="L3890" t="n">
        <x:f>ROUND(F3890*K3890/100,2)</x:f>
        <x:v>0</x:v>
      </x:c>
      <x:c r="M3890" t="n">
        <x:v>4.8</x:v>
      </x:c>
      <x:c r="N3890" t="n">
        <x:f>ROUND(F3890*M3890/100,2)</x:f>
        <x:v>8.88</x:v>
      </x:c>
      <x:c r="O3890" t="str">
        <x:v>生重</x:v>
      </x:c>
    </x:row>
    <x:row r="3891" ht="23" customHeight="1">
      <x:c r="A3891" t="n">
        <x:v>649</x:v>
      </x:c>
      <x:c r="B3891" t="n">
        <x:v>325</x:v>
      </x:c>
      <x:c r="C3891" t="str">
        <x:v>午餐</x:v>
      </x:c>
      <x:c r="D3891" t="str"/>
      <x:c r="E3891" t="str"/>
      <x:c r="F3891" t="n">
        <x:v>0</x:v>
      </x:c>
      <x:c r="G3891" t="n">
        <x:v>0</x:v>
      </x:c>
      <x:c r="H3891" t="n">
        <x:f>ROUND(F3891*G3891/100,2)</x:f>
        <x:v>0</x:v>
      </x:c>
      <x:c r="I3891" t="n">
        <x:v>0</x:v>
      </x:c>
      <x:c r="J3891" t="n">
        <x:f>ROUND(F3891*I3891/100,2)</x:f>
        <x:v>0</x:v>
      </x:c>
      <x:c r="K3891" t="n">
        <x:v>0</x:v>
      </x:c>
      <x:c r="L3891" t="n">
        <x:f>ROUND(F3891*K3891/100,2)</x:f>
        <x:v>0</x:v>
      </x:c>
      <x:c r="M3891" t="n">
        <x:v>0</x:v>
      </x:c>
      <x:c r="N3891" t="n">
        <x:f>ROUND(F3891*M3891/100,2)</x:f>
        <x:v>0</x:v>
      </x:c>
      <x:c r="O3891" t="str"/>
    </x:row>
    <x:row r="3892" ht="23" customHeight="1">
      <x:c r="A3892" t="n">
        <x:v>649</x:v>
      </x:c>
      <x:c r="B3892" t="n">
        <x:v>325</x:v>
      </x:c>
      <x:c r="C3892" t="str">
        <x:v>午餐</x:v>
      </x:c>
      <x:c r="D3892" t="str">
        <x:v>蔬菜</x:v>
      </x:c>
      <x:c r="E3892" t="str">
        <x:v>苦瓜</x:v>
      </x:c>
      <x:c r="F3892" t="n">
        <x:v>160</x:v>
      </x:c>
      <x:c r="G3892" t="n">
        <x:v>19</x:v>
      </x:c>
      <x:c r="H3892" t="n">
        <x:f>ROUND(F3892*G3892/100,2)</x:f>
        <x:v>30.4</x:v>
      </x:c>
      <x:c r="I3892" t="n">
        <x:v>1</x:v>
      </x:c>
      <x:c r="J3892" t="n">
        <x:f>ROUND(F3892*I3892/100,2)</x:f>
        <x:v>1.6</x:v>
      </x:c>
      <x:c r="K3892" t="n">
        <x:v>4.1</x:v>
      </x:c>
      <x:c r="L3892" t="n">
        <x:f>ROUND(F3892*K3892/100,2)</x:f>
        <x:v>6.56</x:v>
      </x:c>
      <x:c r="M3892" t="n">
        <x:v>0.2</x:v>
      </x:c>
      <x:c r="N3892" t="n">
        <x:f>ROUND(F3892*M3892/100,2)</x:f>
        <x:v>0.32</x:v>
      </x:c>
      <x:c r="O3892" t="str">
        <x:v>生重</x:v>
      </x:c>
    </x:row>
    <x:row r="3893" ht="23" customHeight="1">
      <x:c r="A3893" t="n">
        <x:v>649</x:v>
      </x:c>
      <x:c r="B3893" t="n">
        <x:v>325</x:v>
      </x:c>
      <x:c r="C3893" t="str">
        <x:v>午餐</x:v>
      </x:c>
      <x:c r="D3893" t="str">
        <x:v>菌菇</x:v>
      </x:c>
      <x:c r="E3893" t="str">
        <x:v>杏鲍菇</x:v>
      </x:c>
      <x:c r="F3893" t="n">
        <x:v>110</x:v>
      </x:c>
      <x:c r="G3893" t="n">
        <x:v>35</x:v>
      </x:c>
      <x:c r="H3893" t="n">
        <x:f>ROUND(F3893*G3893/100,2)</x:f>
        <x:v>38.5</x:v>
      </x:c>
      <x:c r="I3893" t="n">
        <x:v>2</x:v>
      </x:c>
      <x:c r="J3893" t="n">
        <x:f>ROUND(F3893*I3893/100,2)</x:f>
        <x:v>2.2</x:v>
      </x:c>
      <x:c r="K3893" t="n">
        <x:v>7.4</x:v>
      </x:c>
      <x:c r="L3893" t="n">
        <x:f>ROUND(F3893*K3893/100,2)</x:f>
        <x:v>8.14</x:v>
      </x:c>
      <x:c r="M3893" t="n">
        <x:v>0.3</x:v>
      </x:c>
      <x:c r="N3893" t="n">
        <x:f>ROUND(F3893*M3893/100,2)</x:f>
        <x:v>0.33</x:v>
      </x:c>
      <x:c r="O3893" t="str">
        <x:v>生重</x:v>
      </x:c>
    </x:row>
    <x:row r="3894" ht="23" customHeight="1">
      <x:c r="A3894" t="n">
        <x:v>649</x:v>
      </x:c>
      <x:c r="B3894" t="n">
        <x:v>325</x:v>
      </x:c>
      <x:c r="C3894" t="str">
        <x:v>午餐</x:v>
      </x:c>
      <x:c r="D3894" t="str">
        <x:v>主食</x:v>
      </x:c>
      <x:c r="E3894" t="str">
        <x:v>燕麦饭</x:v>
      </x:c>
      <x:c r="F3894" t="n">
        <x:v>150</x:v>
      </x:c>
      <x:c r="G3894" t="n">
        <x:v>110</x:v>
      </x:c>
      <x:c r="H3894" t="n">
        <x:f>ROUND(F3894*G3894/100,2)</x:f>
        <x:v>165</x:v>
      </x:c>
      <x:c r="I3894" t="n">
        <x:v>3.2</x:v>
      </x:c>
      <x:c r="J3894" t="n">
        <x:f>ROUND(F3894*I3894/100,2)</x:f>
        <x:v>4.8</x:v>
      </x:c>
      <x:c r="K3894" t="n">
        <x:v>21</x:v>
      </x:c>
      <x:c r="L3894" t="n">
        <x:f>ROUND(F3894*K3894/100,2)</x:f>
        <x:v>31.5</x:v>
      </x:c>
      <x:c r="M3894" t="n">
        <x:v>1.8</x:v>
      </x:c>
      <x:c r="N3894" t="n">
        <x:f>ROUND(F3894*M3894/100,2)</x:f>
        <x:v>2.7</x:v>
      </x:c>
      <x:c r="O3894" t="str">
        <x:v>熟重</x:v>
      </x:c>
    </x:row>
    <x:row r="3895" ht="23" customHeight="1">
      <x:c r="A3895" t="n">
        <x:v>649</x:v>
      </x:c>
      <x:c r="B3895" t="n">
        <x:v>325</x:v>
      </x:c>
      <x:c r="C3895" t="str">
        <x:v>午餐</x:v>
      </x:c>
      <x:c r="D3895" t="str">
        <x:v>油脂</x:v>
      </x:c>
      <x:c r="E3895" t="str">
        <x:v>烹调油</x:v>
      </x:c>
      <x:c r="F3895" t="n">
        <x:v>3</x:v>
      </x:c>
      <x:c r="G3895" t="n">
        <x:v>900</x:v>
      </x:c>
      <x:c r="H3895" t="n">
        <x:f>ROUND(F3895*G3895/100,2)</x:f>
        <x:v>27</x:v>
      </x:c>
      <x:c r="I3895" t="n">
        <x:v>0</x:v>
      </x:c>
      <x:c r="J3895" t="n">
        <x:f>ROUND(F3895*I3895/100,2)</x:f>
        <x:v>0</x:v>
      </x:c>
      <x:c r="K3895" t="n">
        <x:v>0</x:v>
      </x:c>
      <x:c r="L3895" t="n">
        <x:f>ROUND(F3895*K3895/100,2)</x:f>
        <x:v>0</x:v>
      </x:c>
      <x:c r="M3895" t="n">
        <x:v>100</x:v>
      </x:c>
      <x:c r="N3895" t="n">
        <x:f>ROUND(F3895*M3895/100,2)</x:f>
        <x:v>3</x:v>
      </x:c>
      <x:c r="O3895" t="str">
        <x:v>实际用油重</x:v>
      </x:c>
    </x:row>
    <x:row r="3896" ht="23" customHeight="1">
      <x:c r="A3896" t="n">
        <x:v>650</x:v>
      </x:c>
      <x:c r="B3896" t="n">
        <x:v>325</x:v>
      </x:c>
      <x:c r="C3896" t="str">
        <x:v>晚餐</x:v>
      </x:c>
      <x:c r="D3896" t="str">
        <x:v>海鲜</x:v>
      </x:c>
      <x:c r="E3896" t="str">
        <x:v>虾仁</x:v>
      </x:c>
      <x:c r="F3896" t="n">
        <x:v>160</x:v>
      </x:c>
      <x:c r="G3896" t="n">
        <x:v>90</x:v>
      </x:c>
      <x:c r="H3896" t="n">
        <x:f>ROUND(F3896*G3896/100,2)</x:f>
        <x:v>144</x:v>
      </x:c>
      <x:c r="I3896" t="n">
        <x:v>19</x:v>
      </x:c>
      <x:c r="J3896" t="n">
        <x:f>ROUND(F3896*I3896/100,2)</x:f>
        <x:v>30.4</x:v>
      </x:c>
      <x:c r="K3896" t="n">
        <x:v>0.4</x:v>
      </x:c>
      <x:c r="L3896" t="n">
        <x:f>ROUND(F3896*K3896/100,2)</x:f>
        <x:v>0.64</x:v>
      </x:c>
      <x:c r="M3896" t="n">
        <x:v>1.1</x:v>
      </x:c>
      <x:c r="N3896" t="n">
        <x:f>ROUND(F3896*M3896/100,2)</x:f>
        <x:v>1.76</x:v>
      </x:c>
      <x:c r="O3896" t="str">
        <x:v>生重</x:v>
      </x:c>
    </x:row>
    <x:row r="3897" ht="23" customHeight="1">
      <x:c r="A3897" t="n">
        <x:v>650</x:v>
      </x:c>
      <x:c r="B3897" t="n">
        <x:v>325</x:v>
      </x:c>
      <x:c r="C3897" t="str">
        <x:v>晚餐</x:v>
      </x:c>
      <x:c r="D3897" t="str">
        <x:v>豆蛋</x:v>
      </x:c>
      <x:c r="E3897" t="str">
        <x:v>北豆腐</x:v>
      </x:c>
      <x:c r="F3897" t="n">
        <x:v>130</x:v>
      </x:c>
      <x:c r="G3897" t="n">
        <x:v>90</x:v>
      </x:c>
      <x:c r="H3897" t="n">
        <x:f>ROUND(F3897*G3897/100,2)</x:f>
        <x:v>117</x:v>
      </x:c>
      <x:c r="I3897" t="n">
        <x:v>10</x:v>
      </x:c>
      <x:c r="J3897" t="n">
        <x:f>ROUND(F3897*I3897/100,2)</x:f>
        <x:v>13</x:v>
      </x:c>
      <x:c r="K3897" t="n">
        <x:v>2</x:v>
      </x:c>
      <x:c r="L3897" t="n">
        <x:f>ROUND(F3897*K3897/100,2)</x:f>
        <x:v>2.6</x:v>
      </x:c>
      <x:c r="M3897" t="n">
        <x:v>5</x:v>
      </x:c>
      <x:c r="N3897" t="n">
        <x:f>ROUND(F3897*M3897/100,2)</x:f>
        <x:v>6.5</x:v>
      </x:c>
      <x:c r="O3897" t="str">
        <x:v>净重</x:v>
      </x:c>
    </x:row>
    <x:row r="3898" ht="23" customHeight="1">
      <x:c r="A3898" t="n">
        <x:v>650</x:v>
      </x:c>
      <x:c r="B3898" t="n">
        <x:v>325</x:v>
      </x:c>
      <x:c r="C3898" t="str">
        <x:v>晚餐</x:v>
      </x:c>
      <x:c r="D3898" t="str">
        <x:v>蔬菜</x:v>
      </x:c>
      <x:c r="E3898" t="str">
        <x:v>菠菜</x:v>
      </x:c>
      <x:c r="F3898" t="n">
        <x:v>175</x:v>
      </x:c>
      <x:c r="G3898" t="n">
        <x:v>23</x:v>
      </x:c>
      <x:c r="H3898" t="n">
        <x:f>ROUND(F3898*G3898/100,2)</x:f>
        <x:v>40.25</x:v>
      </x:c>
      <x:c r="I3898" t="n">
        <x:v>2.9</x:v>
      </x:c>
      <x:c r="J3898" t="n">
        <x:f>ROUND(F3898*I3898/100,2)</x:f>
        <x:v>5.08</x:v>
      </x:c>
      <x:c r="K3898" t="n">
        <x:v>3.6</x:v>
      </x:c>
      <x:c r="L3898" t="n">
        <x:f>ROUND(F3898*K3898/100,2)</x:f>
        <x:v>6.3</x:v>
      </x:c>
      <x:c r="M3898" t="n">
        <x:v>0.4</x:v>
      </x:c>
      <x:c r="N3898" t="n">
        <x:f>ROUND(F3898*M3898/100,2)</x:f>
        <x:v>0.7</x:v>
      </x:c>
      <x:c r="O3898" t="str">
        <x:v>生重</x:v>
      </x:c>
    </x:row>
    <x:row r="3899" ht="23" customHeight="1">
      <x:c r="A3899" t="n">
        <x:v>650</x:v>
      </x:c>
      <x:c r="B3899" t="n">
        <x:v>325</x:v>
      </x:c>
      <x:c r="C3899" t="str">
        <x:v>晚餐</x:v>
      </x:c>
      <x:c r="D3899" t="str">
        <x:v>蔬菜</x:v>
      </x:c>
      <x:c r="E3899" t="str">
        <x:v>芦笋</x:v>
      </x:c>
      <x:c r="F3899" t="n">
        <x:v>110</x:v>
      </x:c>
      <x:c r="G3899" t="n">
        <x:v>20</x:v>
      </x:c>
      <x:c r="H3899" t="n">
        <x:f>ROUND(F3899*G3899/100,2)</x:f>
        <x:v>22</x:v>
      </x:c>
      <x:c r="I3899" t="n">
        <x:v>2.2</x:v>
      </x:c>
      <x:c r="J3899" t="n">
        <x:f>ROUND(F3899*I3899/100,2)</x:f>
        <x:v>2.42</x:v>
      </x:c>
      <x:c r="K3899" t="n">
        <x:v>3.9</x:v>
      </x:c>
      <x:c r="L3899" t="n">
        <x:f>ROUND(F3899*K3899/100,2)</x:f>
        <x:v>4.29</x:v>
      </x:c>
      <x:c r="M3899" t="n">
        <x:v>0.1</x:v>
      </x:c>
      <x:c r="N3899" t="n">
        <x:f>ROUND(F3899*M3899/100,2)</x:f>
        <x:v>0.11</x:v>
      </x:c>
      <x:c r="O3899" t="str">
        <x:v>生重</x:v>
      </x:c>
    </x:row>
    <x:row r="3900" ht="23" customHeight="1">
      <x:c r="A3900" t="n">
        <x:v>650</x:v>
      </x:c>
      <x:c r="B3900" t="n">
        <x:v>325</x:v>
      </x:c>
      <x:c r="C3900" t="str">
        <x:v>晚餐</x:v>
      </x:c>
      <x:c r="D3900" t="str">
        <x:v>主食</x:v>
      </x:c>
      <x:c r="E3900" t="str">
        <x:v>红薯</x:v>
      </x:c>
      <x:c r="F3900" t="n">
        <x:v>110</x:v>
      </x:c>
      <x:c r="G3900" t="n">
        <x:v>88</x:v>
      </x:c>
      <x:c r="H3900" t="n">
        <x:f>ROUND(F3900*G3900/100,2)</x:f>
        <x:v>96.8</x:v>
      </x:c>
      <x:c r="I3900" t="n">
        <x:v>1.6</x:v>
      </x:c>
      <x:c r="J3900" t="n">
        <x:f>ROUND(F3900*I3900/100,2)</x:f>
        <x:v>1.76</x:v>
      </x:c>
      <x:c r="K3900" t="n">
        <x:v>20.5</x:v>
      </x:c>
      <x:c r="L3900" t="n">
        <x:f>ROUND(F3900*K3900/100,2)</x:f>
        <x:v>22.55</x:v>
      </x:c>
      <x:c r="M3900" t="n">
        <x:v>0.1</x:v>
      </x:c>
      <x:c r="N3900" t="n">
        <x:f>ROUND(F3900*M3900/100,2)</x:f>
        <x:v>0.11</x:v>
      </x:c>
      <x:c r="O3900" t="str">
        <x:v>蒸熟净重</x:v>
      </x:c>
    </x:row>
    <x:row r="3901" ht="23" customHeight="1">
      <x:c r="A3901" t="n">
        <x:v>650</x:v>
      </x:c>
      <x:c r="B3901" t="n">
        <x:v>325</x:v>
      </x:c>
      <x:c r="C3901" t="str">
        <x:v>晚餐</x:v>
      </x:c>
      <x:c r="D3901" t="str">
        <x:v>油脂</x:v>
      </x:c>
      <x:c r="E3901" t="str">
        <x:v>烹调油</x:v>
      </x:c>
      <x:c r="F3901" t="n">
        <x:v>6</x:v>
      </x:c>
      <x:c r="G3901" t="n">
        <x:v>900</x:v>
      </x:c>
      <x:c r="H3901" t="n">
        <x:f>ROUND(F3901*G3901/100,2)</x:f>
        <x:v>54</x:v>
      </x:c>
      <x:c r="I3901" t="n">
        <x:v>0</x:v>
      </x:c>
      <x:c r="J3901" t="n">
        <x:f>ROUND(F3901*I3901/100,2)</x:f>
        <x:v>0</x:v>
      </x:c>
      <x:c r="K3901" t="n">
        <x:v>0</x:v>
      </x:c>
      <x:c r="L3901" t="n">
        <x:f>ROUND(F3901*K3901/100,2)</x:f>
        <x:v>0</x:v>
      </x:c>
      <x:c r="M3901" t="n">
        <x:v>100</x:v>
      </x:c>
      <x:c r="N3901" t="n">
        <x:f>ROUND(F3901*M3901/100,2)</x:f>
        <x:v>6</x:v>
      </x:c>
      <x:c r="O3901" t="str">
        <x:v>实际用油重</x:v>
      </x:c>
    </x:row>
    <x:row r="3902" ht="23" customHeight="1">
      <x:c r="A3902" t="n">
        <x:v>651</x:v>
      </x:c>
      <x:c r="B3902" t="n">
        <x:v>326</x:v>
      </x:c>
      <x:c r="C3902" t="str">
        <x:v>午餐</x:v>
      </x:c>
      <x:c r="D3902" t="str">
        <x:v>豆蛋</x:v>
      </x:c>
      <x:c r="E3902" t="str">
        <x:v>北豆腐</x:v>
      </x:c>
      <x:c r="F3902" t="n">
        <x:v>300</x:v>
      </x:c>
      <x:c r="G3902" t="n">
        <x:v>90</x:v>
      </x:c>
      <x:c r="H3902" t="n">
        <x:f>ROUND(F3902*G3902/100,2)</x:f>
        <x:v>270</x:v>
      </x:c>
      <x:c r="I3902" t="n">
        <x:v>10</x:v>
      </x:c>
      <x:c r="J3902" t="n">
        <x:f>ROUND(F3902*I3902/100,2)</x:f>
        <x:v>30</x:v>
      </x:c>
      <x:c r="K3902" t="n">
        <x:v>2</x:v>
      </x:c>
      <x:c r="L3902" t="n">
        <x:f>ROUND(F3902*K3902/100,2)</x:f>
        <x:v>6</x:v>
      </x:c>
      <x:c r="M3902" t="n">
        <x:v>5</x:v>
      </x:c>
      <x:c r="N3902" t="n">
        <x:f>ROUND(F3902*M3902/100,2)</x:f>
        <x:v>15</x:v>
      </x:c>
      <x:c r="O3902" t="str">
        <x:v>净重</x:v>
      </x:c>
    </x:row>
    <x:row r="3903" ht="23" customHeight="1">
      <x:c r="A3903" t="n">
        <x:v>651</x:v>
      </x:c>
      <x:c r="B3903" t="n">
        <x:v>326</x:v>
      </x:c>
      <x:c r="C3903" t="str">
        <x:v>午餐</x:v>
      </x:c>
      <x:c r="D3903" t="str">
        <x:v>豆蛋</x:v>
      </x:c>
      <x:c r="E3903" t="str">
        <x:v>鸡蛋</x:v>
      </x:c>
      <x:c r="F3903" t="n">
        <x:v>60</x:v>
      </x:c>
      <x:c r="G3903" t="n">
        <x:v>144</x:v>
      </x:c>
      <x:c r="H3903" t="n">
        <x:f>ROUND(F3903*G3903/100,2)</x:f>
        <x:v>86.4</x:v>
      </x:c>
      <x:c r="I3903" t="n">
        <x:v>13</x:v>
      </x:c>
      <x:c r="J3903" t="n">
        <x:f>ROUND(F3903*I3903/100,2)</x:f>
        <x:v>7.8</x:v>
      </x:c>
      <x:c r="K3903" t="n">
        <x:v>1.1</x:v>
      </x:c>
      <x:c r="L3903" t="n">
        <x:f>ROUND(F3903*K3903/100,2)</x:f>
        <x:v>0.66</x:v>
      </x:c>
      <x:c r="M3903" t="n">
        <x:v>10</x:v>
      </x:c>
      <x:c r="N3903" t="n">
        <x:f>ROUND(F3903*M3903/100,2)</x:f>
        <x:v>6</x:v>
      </x:c>
      <x:c r="O3903" t="str">
        <x:v>去壳可食重</x:v>
      </x:c>
    </x:row>
    <x:row r="3904" ht="23" customHeight="1">
      <x:c r="A3904" t="n">
        <x:v>651</x:v>
      </x:c>
      <x:c r="B3904" t="n">
        <x:v>326</x:v>
      </x:c>
      <x:c r="C3904" t="str">
        <x:v>午餐</x:v>
      </x:c>
      <x:c r="D3904" t="str">
        <x:v>蔬菜</x:v>
      </x:c>
      <x:c r="E3904" t="str">
        <x:v>大白菜</x:v>
      </x:c>
      <x:c r="F3904" t="n">
        <x:v>140</x:v>
      </x:c>
      <x:c r="G3904" t="n">
        <x:v>17</x:v>
      </x:c>
      <x:c r="H3904" t="n">
        <x:f>ROUND(F3904*G3904/100,2)</x:f>
        <x:v>23.8</x:v>
      </x:c>
      <x:c r="I3904" t="n">
        <x:v>1.5</x:v>
      </x:c>
      <x:c r="J3904" t="n">
        <x:f>ROUND(F3904*I3904/100,2)</x:f>
        <x:v>2.1</x:v>
      </x:c>
      <x:c r="K3904" t="n">
        <x:v>3.2</x:v>
      </x:c>
      <x:c r="L3904" t="n">
        <x:f>ROUND(F3904*K3904/100,2)</x:f>
        <x:v>4.48</x:v>
      </x:c>
      <x:c r="M3904" t="n">
        <x:v>0.1</x:v>
      </x:c>
      <x:c r="N3904" t="n">
        <x:f>ROUND(F3904*M3904/100,2)</x:f>
        <x:v>0.14</x:v>
      </x:c>
      <x:c r="O3904" t="str">
        <x:v>生重</x:v>
      </x:c>
    </x:row>
    <x:row r="3905" ht="23" customHeight="1">
      <x:c r="A3905" t="n">
        <x:v>651</x:v>
      </x:c>
      <x:c r="B3905" t="n">
        <x:v>326</x:v>
      </x:c>
      <x:c r="C3905" t="str">
        <x:v>午餐</x:v>
      </x:c>
      <x:c r="D3905" t="str">
        <x:v>蔬菜</x:v>
      </x:c>
      <x:c r="E3905" t="str">
        <x:v>洋葱</x:v>
      </x:c>
      <x:c r="F3905" t="n">
        <x:v>110</x:v>
      </x:c>
      <x:c r="G3905" t="n">
        <x:v>40</x:v>
      </x:c>
      <x:c r="H3905" t="n">
        <x:f>ROUND(F3905*G3905/100,2)</x:f>
        <x:v>44</x:v>
      </x:c>
      <x:c r="I3905" t="n">
        <x:v>1.1</x:v>
      </x:c>
      <x:c r="J3905" t="n">
        <x:f>ROUND(F3905*I3905/100,2)</x:f>
        <x:v>1.21</x:v>
      </x:c>
      <x:c r="K3905" t="n">
        <x:v>9.3</x:v>
      </x:c>
      <x:c r="L3905" t="n">
        <x:f>ROUND(F3905*K3905/100,2)</x:f>
        <x:v>10.23</x:v>
      </x:c>
      <x:c r="M3905" t="n">
        <x:v>0.1</x:v>
      </x:c>
      <x:c r="N3905" t="n">
        <x:f>ROUND(F3905*M3905/100,2)</x:f>
        <x:v>0.11</x:v>
      </x:c>
      <x:c r="O3905" t="str">
        <x:v>生重</x:v>
      </x:c>
    </x:row>
    <x:row r="3906" ht="23" customHeight="1">
      <x:c r="A3906" t="n">
        <x:v>651</x:v>
      </x:c>
      <x:c r="B3906" t="n">
        <x:v>326</x:v>
      </x:c>
      <x:c r="C3906" t="str">
        <x:v>午餐</x:v>
      </x:c>
      <x:c r="D3906" t="str">
        <x:v>主食</x:v>
      </x:c>
      <x:c r="E3906" t="str">
        <x:v>红薯</x:v>
      </x:c>
      <x:c r="F3906" t="n">
        <x:v>135</x:v>
      </x:c>
      <x:c r="G3906" t="n">
        <x:v>88</x:v>
      </x:c>
      <x:c r="H3906" t="n">
        <x:f>ROUND(F3906*G3906/100,2)</x:f>
        <x:v>118.8</x:v>
      </x:c>
      <x:c r="I3906" t="n">
        <x:v>1.6</x:v>
      </x:c>
      <x:c r="J3906" t="n">
        <x:f>ROUND(F3906*I3906/100,2)</x:f>
        <x:v>2.16</x:v>
      </x:c>
      <x:c r="K3906" t="n">
        <x:v>20.5</x:v>
      </x:c>
      <x:c r="L3906" t="n">
        <x:f>ROUND(F3906*K3906/100,2)</x:f>
        <x:v>27.68</x:v>
      </x:c>
      <x:c r="M3906" t="n">
        <x:v>0.1</x:v>
      </x:c>
      <x:c r="N3906" t="n">
        <x:f>ROUND(F3906*M3906/100,2)</x:f>
        <x:v>0.14</x:v>
      </x:c>
      <x:c r="O3906" t="str">
        <x:v>蒸熟净重</x:v>
      </x:c>
    </x:row>
    <x:row r="3907" ht="23" customHeight="1">
      <x:c r="A3907" t="n">
        <x:v>651</x:v>
      </x:c>
      <x:c r="B3907" t="n">
        <x:v>326</x:v>
      </x:c>
      <x:c r="C3907" t="str">
        <x:v>午餐</x:v>
      </x:c>
      <x:c r="D3907" t="str">
        <x:v>油脂</x:v>
      </x:c>
      <x:c r="E3907" t="str">
        <x:v>烹调油</x:v>
      </x:c>
      <x:c r="F3907" t="n">
        <x:v>3</x:v>
      </x:c>
      <x:c r="G3907" t="n">
        <x:v>900</x:v>
      </x:c>
      <x:c r="H3907" t="n">
        <x:f>ROUND(F3907*G3907/100,2)</x:f>
        <x:v>27</x:v>
      </x:c>
      <x:c r="I3907" t="n">
        <x:v>0</x:v>
      </x:c>
      <x:c r="J3907" t="n">
        <x:f>ROUND(F3907*I3907/100,2)</x:f>
        <x:v>0</x:v>
      </x:c>
      <x:c r="K3907" t="n">
        <x:v>0</x:v>
      </x:c>
      <x:c r="L3907" t="n">
        <x:f>ROUND(F3907*K3907/100,2)</x:f>
        <x:v>0</x:v>
      </x:c>
      <x:c r="M3907" t="n">
        <x:v>100</x:v>
      </x:c>
      <x:c r="N3907" t="n">
        <x:f>ROUND(F3907*M3907/100,2)</x:f>
        <x:v>3</x:v>
      </x:c>
      <x:c r="O3907" t="str">
        <x:v>实际用油重</x:v>
      </x:c>
    </x:row>
    <x:row r="3908" ht="23" customHeight="1">
      <x:c r="A3908" t="n">
        <x:v>652</x:v>
      </x:c>
      <x:c r="B3908" t="n">
        <x:v>326</x:v>
      </x:c>
      <x:c r="C3908" t="str">
        <x:v>晚餐</x:v>
      </x:c>
      <x:c r="D3908" t="str">
        <x:v>猪肉</x:v>
      </x:c>
      <x:c r="E3908" t="str">
        <x:v>猪瘦肉</x:v>
      </x:c>
      <x:c r="F3908" t="n">
        <x:v>145</x:v>
      </x:c>
      <x:c r="G3908" t="n">
        <x:v>130</x:v>
      </x:c>
      <x:c r="H3908" t="n">
        <x:f>ROUND(F3908*G3908/100,2)</x:f>
        <x:v>188.5</x:v>
      </x:c>
      <x:c r="I3908" t="n">
        <x:v>20</x:v>
      </x:c>
      <x:c r="J3908" t="n">
        <x:f>ROUND(F3908*I3908/100,2)</x:f>
        <x:v>29</x:v>
      </x:c>
      <x:c r="K3908" t="n">
        <x:v>0</x:v>
      </x:c>
      <x:c r="L3908" t="n">
        <x:f>ROUND(F3908*K3908/100,2)</x:f>
        <x:v>0</x:v>
      </x:c>
      <x:c r="M3908" t="n">
        <x:v>5.5</x:v>
      </x:c>
      <x:c r="N3908" t="n">
        <x:f>ROUND(F3908*M3908/100,2)</x:f>
        <x:v>7.98</x:v>
      </x:c>
      <x:c r="O3908" t="str">
        <x:v>生重</x:v>
      </x:c>
    </x:row>
    <x:row r="3909" ht="23" customHeight="1">
      <x:c r="A3909" t="n">
        <x:v>652</x:v>
      </x:c>
      <x:c r="B3909" t="n">
        <x:v>326</x:v>
      </x:c>
      <x:c r="C3909" t="str">
        <x:v>晚餐</x:v>
      </x:c>
      <x:c r="D3909" t="str"/>
      <x:c r="E3909" t="str"/>
      <x:c r="F3909" t="n">
        <x:v>0</x:v>
      </x:c>
      <x:c r="G3909" t="n">
        <x:v>0</x:v>
      </x:c>
      <x:c r="H3909" t="n">
        <x:f>ROUND(F3909*G3909/100,2)</x:f>
        <x:v>0</x:v>
      </x:c>
      <x:c r="I3909" t="n">
        <x:v>0</x:v>
      </x:c>
      <x:c r="J3909" t="n">
        <x:f>ROUND(F3909*I3909/100,2)</x:f>
        <x:v>0</x:v>
      </x:c>
      <x:c r="K3909" t="n">
        <x:v>0</x:v>
      </x:c>
      <x:c r="L3909" t="n">
        <x:f>ROUND(F3909*K3909/100,2)</x:f>
        <x:v>0</x:v>
      </x:c>
      <x:c r="M3909" t="n">
        <x:v>0</x:v>
      </x:c>
      <x:c r="N3909" t="n">
        <x:f>ROUND(F3909*M3909/100,2)</x:f>
        <x:v>0</x:v>
      </x:c>
      <x:c r="O3909" t="str"/>
    </x:row>
    <x:row r="3910" ht="23" customHeight="1">
      <x:c r="A3910" t="n">
        <x:v>652</x:v>
      </x:c>
      <x:c r="B3910" t="n">
        <x:v>326</x:v>
      </x:c>
      <x:c r="C3910" t="str">
        <x:v>晚餐</x:v>
      </x:c>
      <x:c r="D3910" t="str">
        <x:v>蔬菜</x:v>
      </x:c>
      <x:c r="E3910" t="str">
        <x:v>番茄</x:v>
      </x:c>
      <x:c r="F3910" t="n">
        <x:v>190</x:v>
      </x:c>
      <x:c r="G3910" t="n">
        <x:v>20</x:v>
      </x:c>
      <x:c r="H3910" t="n">
        <x:f>ROUND(F3910*G3910/100,2)</x:f>
        <x:v>38</x:v>
      </x:c>
      <x:c r="I3910" t="n">
        <x:v>0.9</x:v>
      </x:c>
      <x:c r="J3910" t="n">
        <x:f>ROUND(F3910*I3910/100,2)</x:f>
        <x:v>1.71</x:v>
      </x:c>
      <x:c r="K3910" t="n">
        <x:v>4</x:v>
      </x:c>
      <x:c r="L3910" t="n">
        <x:f>ROUND(F3910*K3910/100,2)</x:f>
        <x:v>7.6</x:v>
      </x:c>
      <x:c r="M3910" t="n">
        <x:v>0.2</x:v>
      </x:c>
      <x:c r="N3910" t="n">
        <x:f>ROUND(F3910*M3910/100,2)</x:f>
        <x:v>0.38</x:v>
      </x:c>
      <x:c r="O3910" t="str">
        <x:v>生重</x:v>
      </x:c>
    </x:row>
    <x:row r="3911" ht="23" customHeight="1">
      <x:c r="A3911" t="n">
        <x:v>652</x:v>
      </x:c>
      <x:c r="B3911" t="n">
        <x:v>326</x:v>
      </x:c>
      <x:c r="C3911" t="str">
        <x:v>晚餐</x:v>
      </x:c>
      <x:c r="D3911" t="str">
        <x:v>蔬菜</x:v>
      </x:c>
      <x:c r="E3911" t="str">
        <x:v>丝瓜</x:v>
      </x:c>
      <x:c r="F3911" t="n">
        <x:v>125</x:v>
      </x:c>
      <x:c r="G3911" t="n">
        <x:v>20</x:v>
      </x:c>
      <x:c r="H3911" t="n">
        <x:f>ROUND(F3911*G3911/100,2)</x:f>
        <x:v>25</x:v>
      </x:c>
      <x:c r="I3911" t="n">
        <x:v>1</x:v>
      </x:c>
      <x:c r="J3911" t="n">
        <x:f>ROUND(F3911*I3911/100,2)</x:f>
        <x:v>1.25</x:v>
      </x:c>
      <x:c r="K3911" t="n">
        <x:v>4</x:v>
      </x:c>
      <x:c r="L3911" t="n">
        <x:f>ROUND(F3911*K3911/100,2)</x:f>
        <x:v>5</x:v>
      </x:c>
      <x:c r="M3911" t="n">
        <x:v>0.2</x:v>
      </x:c>
      <x:c r="N3911" t="n">
        <x:f>ROUND(F3911*M3911/100,2)</x:f>
        <x:v>0.25</x:v>
      </x:c>
      <x:c r="O3911" t="str">
        <x:v>生重</x:v>
      </x:c>
    </x:row>
    <x:row r="3912" ht="23" customHeight="1">
      <x:c r="A3912" t="n">
        <x:v>652</x:v>
      </x:c>
      <x:c r="B3912" t="n">
        <x:v>326</x:v>
      </x:c>
      <x:c r="C3912" t="str">
        <x:v>晚餐</x:v>
      </x:c>
      <x:c r="D3912" t="str">
        <x:v>主食</x:v>
      </x:c>
      <x:c r="E3912" t="str">
        <x:v>藜麦饭</x:v>
      </x:c>
      <x:c r="F3912" t="n">
        <x:v>125</x:v>
      </x:c>
      <x:c r="G3912" t="n">
        <x:v>120</x:v>
      </x:c>
      <x:c r="H3912" t="n">
        <x:f>ROUND(F3912*G3912/100,2)</x:f>
        <x:v>150</x:v>
      </x:c>
      <x:c r="I3912" t="n">
        <x:v>4.4</x:v>
      </x:c>
      <x:c r="J3912" t="n">
        <x:f>ROUND(F3912*I3912/100,2)</x:f>
        <x:v>5.5</x:v>
      </x:c>
      <x:c r="K3912" t="n">
        <x:v>21.3</x:v>
      </x:c>
      <x:c r="L3912" t="n">
        <x:f>ROUND(F3912*K3912/100,2)</x:f>
        <x:v>26.63</x:v>
      </x:c>
      <x:c r="M3912" t="n">
        <x:v>1.9</x:v>
      </x:c>
      <x:c r="N3912" t="n">
        <x:f>ROUND(F3912*M3912/100,2)</x:f>
        <x:v>2.38</x:v>
      </x:c>
      <x:c r="O3912" t="str">
        <x:v>熟重</x:v>
      </x:c>
    </x:row>
    <x:row r="3913" ht="23" customHeight="1">
      <x:c r="A3913" t="n">
        <x:v>652</x:v>
      </x:c>
      <x:c r="B3913" t="n">
        <x:v>326</x:v>
      </x:c>
      <x:c r="C3913" t="str">
        <x:v>晚餐</x:v>
      </x:c>
      <x:c r="D3913" t="str">
        <x:v>油脂</x:v>
      </x:c>
      <x:c r="E3913" t="str">
        <x:v>烹调油</x:v>
      </x:c>
      <x:c r="F3913" t="n">
        <x:v>3</x:v>
      </x:c>
      <x:c r="G3913" t="n">
        <x:v>900</x:v>
      </x:c>
      <x:c r="H3913" t="n">
        <x:f>ROUND(F3913*G3913/100,2)</x:f>
        <x:v>27</x:v>
      </x:c>
      <x:c r="I3913" t="n">
        <x:v>0</x:v>
      </x:c>
      <x:c r="J3913" t="n">
        <x:f>ROUND(F3913*I3913/100,2)</x:f>
        <x:v>0</x:v>
      </x:c>
      <x:c r="K3913" t="n">
        <x:v>0</x:v>
      </x:c>
      <x:c r="L3913" t="n">
        <x:f>ROUND(F3913*K3913/100,2)</x:f>
        <x:v>0</x:v>
      </x:c>
      <x:c r="M3913" t="n">
        <x:v>100</x:v>
      </x:c>
      <x:c r="N3913" t="n">
        <x:f>ROUND(F3913*M3913/100,2)</x:f>
        <x:v>3</x:v>
      </x:c>
      <x:c r="O3913" t="str">
        <x:v>实际用油重</x:v>
      </x:c>
    </x:row>
    <x:row r="3914" ht="23" customHeight="1">
      <x:c r="A3914" t="n">
        <x:v>653</x:v>
      </x:c>
      <x:c r="B3914" t="n">
        <x:v>327</x:v>
      </x:c>
      <x:c r="C3914" t="str">
        <x:v>午餐</x:v>
      </x:c>
      <x:c r="D3914" t="str">
        <x:v>牛肉</x:v>
      </x:c>
      <x:c r="E3914" t="str">
        <x:v>瘦牛肉</x:v>
      </x:c>
      <x:c r="F3914" t="n">
        <x:v>185</x:v>
      </x:c>
      <x:c r="G3914" t="n">
        <x:v>125</x:v>
      </x:c>
      <x:c r="H3914" t="n">
        <x:f>ROUND(F3914*G3914/100,2)</x:f>
        <x:v>231.25</x:v>
      </x:c>
      <x:c r="I3914" t="n">
        <x:v>21</x:v>
      </x:c>
      <x:c r="J3914" t="n">
        <x:f>ROUND(F3914*I3914/100,2)</x:f>
        <x:v>38.85</x:v>
      </x:c>
      <x:c r="K3914" t="n">
        <x:v>0</x:v>
      </x:c>
      <x:c r="L3914" t="n">
        <x:f>ROUND(F3914*K3914/100,2)</x:f>
        <x:v>0</x:v>
      </x:c>
      <x:c r="M3914" t="n">
        <x:v>4</x:v>
      </x:c>
      <x:c r="N3914" t="n">
        <x:f>ROUND(F3914*M3914/100,2)</x:f>
        <x:v>7.4</x:v>
      </x:c>
      <x:c r="O3914" t="str">
        <x:v>生重</x:v>
      </x:c>
    </x:row>
    <x:row r="3915" ht="23" customHeight="1">
      <x:c r="A3915" t="n">
        <x:v>653</x:v>
      </x:c>
      <x:c r="B3915" t="n">
        <x:v>327</x:v>
      </x:c>
      <x:c r="C3915" t="str">
        <x:v>午餐</x:v>
      </x:c>
      <x:c r="D3915" t="str"/>
      <x:c r="E3915" t="str"/>
      <x:c r="F3915" t="n">
        <x:v>0</x:v>
      </x:c>
      <x:c r="G3915" t="n">
        <x:v>0</x:v>
      </x:c>
      <x:c r="H3915" t="n">
        <x:f>ROUND(F3915*G3915/100,2)</x:f>
        <x:v>0</x:v>
      </x:c>
      <x:c r="I3915" t="n">
        <x:v>0</x:v>
      </x:c>
      <x:c r="J3915" t="n">
        <x:f>ROUND(F3915*I3915/100,2)</x:f>
        <x:v>0</x:v>
      </x:c>
      <x:c r="K3915" t="n">
        <x:v>0</x:v>
      </x:c>
      <x:c r="L3915" t="n">
        <x:f>ROUND(F3915*K3915/100,2)</x:f>
        <x:v>0</x:v>
      </x:c>
      <x:c r="M3915" t="n">
        <x:v>0</x:v>
      </x:c>
      <x:c r="N3915" t="n">
        <x:f>ROUND(F3915*M3915/100,2)</x:f>
        <x:v>0</x:v>
      </x:c>
      <x:c r="O3915" t="str"/>
    </x:row>
    <x:row r="3916" ht="23" customHeight="1">
      <x:c r="A3916" t="n">
        <x:v>653</x:v>
      </x:c>
      <x:c r="B3916" t="n">
        <x:v>327</x:v>
      </x:c>
      <x:c r="C3916" t="str">
        <x:v>午餐</x:v>
      </x:c>
      <x:c r="D3916" t="str">
        <x:v>蔬菜</x:v>
      </x:c>
      <x:c r="E3916" t="str">
        <x:v>丝瓜</x:v>
      </x:c>
      <x:c r="F3916" t="n">
        <x:v>140</x:v>
      </x:c>
      <x:c r="G3916" t="n">
        <x:v>20</x:v>
      </x:c>
      <x:c r="H3916" t="n">
        <x:f>ROUND(F3916*G3916/100,2)</x:f>
        <x:v>28</x:v>
      </x:c>
      <x:c r="I3916" t="n">
        <x:v>1</x:v>
      </x:c>
      <x:c r="J3916" t="n">
        <x:f>ROUND(F3916*I3916/100,2)</x:f>
        <x:v>1.4</x:v>
      </x:c>
      <x:c r="K3916" t="n">
        <x:v>4</x:v>
      </x:c>
      <x:c r="L3916" t="n">
        <x:f>ROUND(F3916*K3916/100,2)</x:f>
        <x:v>5.6</x:v>
      </x:c>
      <x:c r="M3916" t="n">
        <x:v>0.2</x:v>
      </x:c>
      <x:c r="N3916" t="n">
        <x:f>ROUND(F3916*M3916/100,2)</x:f>
        <x:v>0.28</x:v>
      </x:c>
      <x:c r="O3916" t="str">
        <x:v>生重</x:v>
      </x:c>
    </x:row>
    <x:row r="3917" ht="23" customHeight="1">
      <x:c r="A3917" t="n">
        <x:v>653</x:v>
      </x:c>
      <x:c r="B3917" t="n">
        <x:v>327</x:v>
      </x:c>
      <x:c r="C3917" t="str">
        <x:v>午餐</x:v>
      </x:c>
      <x:c r="D3917" t="str">
        <x:v>菌菇</x:v>
      </x:c>
      <x:c r="E3917" t="str">
        <x:v>口蘑</x:v>
      </x:c>
      <x:c r="F3917" t="n">
        <x:v>155</x:v>
      </x:c>
      <x:c r="G3917" t="n">
        <x:v>22</x:v>
      </x:c>
      <x:c r="H3917" t="n">
        <x:f>ROUND(F3917*G3917/100,2)</x:f>
        <x:v>34.1</x:v>
      </x:c>
      <x:c r="I3917" t="n">
        <x:v>3.1</x:v>
      </x:c>
      <x:c r="J3917" t="n">
        <x:f>ROUND(F3917*I3917/100,2)</x:f>
        <x:v>4.81</x:v>
      </x:c>
      <x:c r="K3917" t="n">
        <x:v>3.3</x:v>
      </x:c>
      <x:c r="L3917" t="n">
        <x:f>ROUND(F3917*K3917/100,2)</x:f>
        <x:v>5.12</x:v>
      </x:c>
      <x:c r="M3917" t="n">
        <x:v>0.3</x:v>
      </x:c>
      <x:c r="N3917" t="n">
        <x:f>ROUND(F3917*M3917/100,2)</x:f>
        <x:v>0.47</x:v>
      </x:c>
      <x:c r="O3917" t="str">
        <x:v>生重</x:v>
      </x:c>
    </x:row>
    <x:row r="3918" ht="23" customHeight="1">
      <x:c r="A3918" t="n">
        <x:v>653</x:v>
      </x:c>
      <x:c r="B3918" t="n">
        <x:v>327</x:v>
      </x:c>
      <x:c r="C3918" t="str">
        <x:v>午餐</x:v>
      </x:c>
      <x:c r="D3918" t="str">
        <x:v>主食</x:v>
      </x:c>
      <x:c r="E3918" t="str">
        <x:v>杂粮饭</x:v>
      </x:c>
      <x:c r="F3918" t="n">
        <x:v>150</x:v>
      </x:c>
      <x:c r="G3918" t="n">
        <x:v>115</x:v>
      </x:c>
      <x:c r="H3918" t="n">
        <x:f>ROUND(F3918*G3918/100,2)</x:f>
        <x:v>172.5</x:v>
      </x:c>
      <x:c r="I3918" t="n">
        <x:v>3.1</x:v>
      </x:c>
      <x:c r="J3918" t="n">
        <x:f>ROUND(F3918*I3918/100,2)</x:f>
        <x:v>4.65</x:v>
      </x:c>
      <x:c r="K3918" t="n">
        <x:v>23.5</x:v>
      </x:c>
      <x:c r="L3918" t="n">
        <x:f>ROUND(F3918*K3918/100,2)</x:f>
        <x:v>35.25</x:v>
      </x:c>
      <x:c r="M3918" t="n">
        <x:v>1.1</x:v>
      </x:c>
      <x:c r="N3918" t="n">
        <x:f>ROUND(F3918*M3918/100,2)</x:f>
        <x:v>1.65</x:v>
      </x:c>
      <x:c r="O3918" t="str">
        <x:v>熟重</x:v>
      </x:c>
    </x:row>
    <x:row r="3919" ht="23" customHeight="1">
      <x:c r="A3919" t="n">
        <x:v>653</x:v>
      </x:c>
      <x:c r="B3919" t="n">
        <x:v>327</x:v>
      </x:c>
      <x:c r="C3919" t="str">
        <x:v>午餐</x:v>
      </x:c>
      <x:c r="D3919" t="str">
        <x:v>油脂</x:v>
      </x:c>
      <x:c r="E3919" t="str">
        <x:v>烹调油</x:v>
      </x:c>
      <x:c r="F3919" t="n">
        <x:v>3</x:v>
      </x:c>
      <x:c r="G3919" t="n">
        <x:v>900</x:v>
      </x:c>
      <x:c r="H3919" t="n">
        <x:f>ROUND(F3919*G3919/100,2)</x:f>
        <x:v>27</x:v>
      </x:c>
      <x:c r="I3919" t="n">
        <x:v>0</x:v>
      </x:c>
      <x:c r="J3919" t="n">
        <x:f>ROUND(F3919*I3919/100,2)</x:f>
        <x:v>0</x:v>
      </x:c>
      <x:c r="K3919" t="n">
        <x:v>0</x:v>
      </x:c>
      <x:c r="L3919" t="n">
        <x:f>ROUND(F3919*K3919/100,2)</x:f>
        <x:v>0</x:v>
      </x:c>
      <x:c r="M3919" t="n">
        <x:v>100</x:v>
      </x:c>
      <x:c r="N3919" t="n">
        <x:f>ROUND(F3919*M3919/100,2)</x:f>
        <x:v>3</x:v>
      </x:c>
      <x:c r="O3919" t="str">
        <x:v>实际用油重</x:v>
      </x:c>
    </x:row>
    <x:row r="3920" ht="23" customHeight="1">
      <x:c r="A3920" t="n">
        <x:v>654</x:v>
      </x:c>
      <x:c r="B3920" t="n">
        <x:v>327</x:v>
      </x:c>
      <x:c r="C3920" t="str">
        <x:v>晚餐</x:v>
      </x:c>
      <x:c r="D3920" t="str">
        <x:v>禽肉</x:v>
      </x:c>
      <x:c r="E3920" t="str">
        <x:v>鸡里脊肉</x:v>
      </x:c>
      <x:c r="F3920" t="n">
        <x:v>170</x:v>
      </x:c>
      <x:c r="G3920" t="n">
        <x:v>110</x:v>
      </x:c>
      <x:c r="H3920" t="n">
        <x:f>ROUND(F3920*G3920/100,2)</x:f>
        <x:v>187</x:v>
      </x:c>
      <x:c r="I3920" t="n">
        <x:v>23</x:v>
      </x:c>
      <x:c r="J3920" t="n">
        <x:f>ROUND(F3920*I3920/100,2)</x:f>
        <x:v>39.1</x:v>
      </x:c>
      <x:c r="K3920" t="n">
        <x:v>0</x:v>
      </x:c>
      <x:c r="L3920" t="n">
        <x:f>ROUND(F3920*K3920/100,2)</x:f>
        <x:v>0</x:v>
      </x:c>
      <x:c r="M3920" t="n">
        <x:v>1.8</x:v>
      </x:c>
      <x:c r="N3920" t="n">
        <x:f>ROUND(F3920*M3920/100,2)</x:f>
        <x:v>3.06</x:v>
      </x:c>
      <x:c r="O3920" t="str">
        <x:v>生重</x:v>
      </x:c>
    </x:row>
    <x:row r="3921" ht="23" customHeight="1">
      <x:c r="A3921" t="n">
        <x:v>654</x:v>
      </x:c>
      <x:c r="B3921" t="n">
        <x:v>327</x:v>
      </x:c>
      <x:c r="C3921" t="str">
        <x:v>晚餐</x:v>
      </x:c>
      <x:c r="D3921" t="str"/>
      <x:c r="E3921" t="str"/>
      <x:c r="F3921" t="n">
        <x:v>0</x:v>
      </x:c>
      <x:c r="G3921" t="n">
        <x:v>0</x:v>
      </x:c>
      <x:c r="H3921" t="n">
        <x:f>ROUND(F3921*G3921/100,2)</x:f>
        <x:v>0</x:v>
      </x:c>
      <x:c r="I3921" t="n">
        <x:v>0</x:v>
      </x:c>
      <x:c r="J3921" t="n">
        <x:f>ROUND(F3921*I3921/100,2)</x:f>
        <x:v>0</x:v>
      </x:c>
      <x:c r="K3921" t="n">
        <x:v>0</x:v>
      </x:c>
      <x:c r="L3921" t="n">
        <x:f>ROUND(F3921*K3921/100,2)</x:f>
        <x:v>0</x:v>
      </x:c>
      <x:c r="M3921" t="n">
        <x:v>0</x:v>
      </x:c>
      <x:c r="N3921" t="n">
        <x:f>ROUND(F3921*M3921/100,2)</x:f>
        <x:v>0</x:v>
      </x:c>
      <x:c r="O3921" t="str"/>
    </x:row>
    <x:row r="3922" ht="23" customHeight="1">
      <x:c r="A3922" t="n">
        <x:v>654</x:v>
      </x:c>
      <x:c r="B3922" t="n">
        <x:v>327</x:v>
      </x:c>
      <x:c r="C3922" t="str">
        <x:v>晚餐</x:v>
      </x:c>
      <x:c r="D3922" t="str">
        <x:v>蔬菜</x:v>
      </x:c>
      <x:c r="E3922" t="str">
        <x:v>荷兰豆</x:v>
      </x:c>
      <x:c r="F3922" t="n">
        <x:v>160</x:v>
      </x:c>
      <x:c r="G3922" t="n">
        <x:v>42</x:v>
      </x:c>
      <x:c r="H3922" t="n">
        <x:f>ROUND(F3922*G3922/100,2)</x:f>
        <x:v>67.2</x:v>
      </x:c>
      <x:c r="I3922" t="n">
        <x:v>2.8</x:v>
      </x:c>
      <x:c r="J3922" t="n">
        <x:f>ROUND(F3922*I3922/100,2)</x:f>
        <x:v>4.48</x:v>
      </x:c>
      <x:c r="K3922" t="n">
        <x:v>7.5</x:v>
      </x:c>
      <x:c r="L3922" t="n">
        <x:f>ROUND(F3922*K3922/100,2)</x:f>
        <x:v>12</x:v>
      </x:c>
      <x:c r="M3922" t="n">
        <x:v>0.3</x:v>
      </x:c>
      <x:c r="N3922" t="n">
        <x:f>ROUND(F3922*M3922/100,2)</x:f>
        <x:v>0.48</x:v>
      </x:c>
      <x:c r="O3922" t="str">
        <x:v>生重</x:v>
      </x:c>
    </x:row>
    <x:row r="3923" ht="23" customHeight="1">
      <x:c r="A3923" t="n">
        <x:v>654</x:v>
      </x:c>
      <x:c r="B3923" t="n">
        <x:v>327</x:v>
      </x:c>
      <x:c r="C3923" t="str">
        <x:v>晚餐</x:v>
      </x:c>
      <x:c r="D3923" t="str">
        <x:v>蔬菜</x:v>
      </x:c>
      <x:c r="E3923" t="str">
        <x:v>莴笋</x:v>
      </x:c>
      <x:c r="F3923" t="n">
        <x:v>110</x:v>
      </x:c>
      <x:c r="G3923" t="n">
        <x:v>15</x:v>
      </x:c>
      <x:c r="H3923" t="n">
        <x:f>ROUND(F3923*G3923/100,2)</x:f>
        <x:v>16.5</x:v>
      </x:c>
      <x:c r="I3923" t="n">
        <x:v>1</x:v>
      </x:c>
      <x:c r="J3923" t="n">
        <x:f>ROUND(F3923*I3923/100,2)</x:f>
        <x:v>1.1</x:v>
      </x:c>
      <x:c r="K3923" t="n">
        <x:v>2.8</x:v>
      </x:c>
      <x:c r="L3923" t="n">
        <x:f>ROUND(F3923*K3923/100,2)</x:f>
        <x:v>3.08</x:v>
      </x:c>
      <x:c r="M3923" t="n">
        <x:v>0.1</x:v>
      </x:c>
      <x:c r="N3923" t="n">
        <x:f>ROUND(F3923*M3923/100,2)</x:f>
        <x:v>0.11</x:v>
      </x:c>
      <x:c r="O3923" t="str">
        <x:v>生重</x:v>
      </x:c>
    </x:row>
    <x:row r="3924" ht="23" customHeight="1">
      <x:c r="A3924" t="n">
        <x:v>654</x:v>
      </x:c>
      <x:c r="B3924" t="n">
        <x:v>327</x:v>
      </x:c>
      <x:c r="C3924" t="str">
        <x:v>晚餐</x:v>
      </x:c>
      <x:c r="D3924" t="str">
        <x:v>主食</x:v>
      </x:c>
      <x:c r="E3924" t="str">
        <x:v>糙米饭</x:v>
      </x:c>
      <x:c r="F3924" t="n">
        <x:v>95</x:v>
      </x:c>
      <x:c r="G3924" t="n">
        <x:v>112</x:v>
      </x:c>
      <x:c r="H3924" t="n">
        <x:f>ROUND(F3924*G3924/100,2)</x:f>
        <x:v>106.4</x:v>
      </x:c>
      <x:c r="I3924" t="n">
        <x:v>2.6</x:v>
      </x:c>
      <x:c r="J3924" t="n">
        <x:f>ROUND(F3924*I3924/100,2)</x:f>
        <x:v>2.47</x:v>
      </x:c>
      <x:c r="K3924" t="n">
        <x:v>23.5</x:v>
      </x:c>
      <x:c r="L3924" t="n">
        <x:f>ROUND(F3924*K3924/100,2)</x:f>
        <x:v>22.33</x:v>
      </x:c>
      <x:c r="M3924" t="n">
        <x:v>0.9</x:v>
      </x:c>
      <x:c r="N3924" t="n">
        <x:f>ROUND(F3924*M3924/100,2)</x:f>
        <x:v>0.86</x:v>
      </x:c>
      <x:c r="O3924" t="str">
        <x:v>熟重</x:v>
      </x:c>
    </x:row>
    <x:row r="3925" ht="23" customHeight="1">
      <x:c r="A3925" t="n">
        <x:v>654</x:v>
      </x:c>
      <x:c r="B3925" t="n">
        <x:v>327</x:v>
      </x:c>
      <x:c r="C3925" t="str">
        <x:v>晚餐</x:v>
      </x:c>
      <x:c r="D3925" t="str">
        <x:v>油脂</x:v>
      </x:c>
      <x:c r="E3925" t="str">
        <x:v>烹调油</x:v>
      </x:c>
      <x:c r="F3925" t="n">
        <x:v>3</x:v>
      </x:c>
      <x:c r="G3925" t="n">
        <x:v>900</x:v>
      </x:c>
      <x:c r="H3925" t="n">
        <x:f>ROUND(F3925*G3925/100,2)</x:f>
        <x:v>27</x:v>
      </x:c>
      <x:c r="I3925" t="n">
        <x:v>0</x:v>
      </x:c>
      <x:c r="J3925" t="n">
        <x:f>ROUND(F3925*I3925/100,2)</x:f>
        <x:v>0</x:v>
      </x:c>
      <x:c r="K3925" t="n">
        <x:v>0</x:v>
      </x:c>
      <x:c r="L3925" t="n">
        <x:f>ROUND(F3925*K3925/100,2)</x:f>
        <x:v>0</x:v>
      </x:c>
      <x:c r="M3925" t="n">
        <x:v>100</x:v>
      </x:c>
      <x:c r="N3925" t="n">
        <x:f>ROUND(F3925*M3925/100,2)</x:f>
        <x:v>3</x:v>
      </x:c>
      <x:c r="O3925" t="str">
        <x:v>实际用油重</x:v>
      </x:c>
    </x:row>
    <x:row r="3926" ht="23" customHeight="1">
      <x:c r="A3926" t="n">
        <x:v>655</x:v>
      </x:c>
      <x:c r="B3926" t="n">
        <x:v>328</x:v>
      </x:c>
      <x:c r="C3926" t="str">
        <x:v>午餐</x:v>
      </x:c>
      <x:c r="D3926" t="str">
        <x:v>海鲜</x:v>
      </x:c>
      <x:c r="E3926" t="str">
        <x:v>虾仁</x:v>
      </x:c>
      <x:c r="F3926" t="n">
        <x:v>175</x:v>
      </x:c>
      <x:c r="G3926" t="n">
        <x:v>90</x:v>
      </x:c>
      <x:c r="H3926" t="n">
        <x:f>ROUND(F3926*G3926/100,2)</x:f>
        <x:v>157.5</x:v>
      </x:c>
      <x:c r="I3926" t="n">
        <x:v>19</x:v>
      </x:c>
      <x:c r="J3926" t="n">
        <x:f>ROUND(F3926*I3926/100,2)</x:f>
        <x:v>33.25</x:v>
      </x:c>
      <x:c r="K3926" t="n">
        <x:v>0.4</x:v>
      </x:c>
      <x:c r="L3926" t="n">
        <x:f>ROUND(F3926*K3926/100,2)</x:f>
        <x:v>0.7</x:v>
      </x:c>
      <x:c r="M3926" t="n">
        <x:v>1.1</x:v>
      </x:c>
      <x:c r="N3926" t="n">
        <x:f>ROUND(F3926*M3926/100,2)</x:f>
        <x:v>1.93</x:v>
      </x:c>
      <x:c r="O3926" t="str">
        <x:v>生重</x:v>
      </x:c>
    </x:row>
    <x:row r="3927" ht="23" customHeight="1">
      <x:c r="A3927" t="n">
        <x:v>655</x:v>
      </x:c>
      <x:c r="B3927" t="n">
        <x:v>328</x:v>
      </x:c>
      <x:c r="C3927" t="str">
        <x:v>午餐</x:v>
      </x:c>
      <x:c r="D3927" t="str"/>
      <x:c r="E3927" t="str"/>
      <x:c r="F3927" t="n">
        <x:v>0</x:v>
      </x:c>
      <x:c r="G3927" t="n">
        <x:v>0</x:v>
      </x:c>
      <x:c r="H3927" t="n">
        <x:f>ROUND(F3927*G3927/100,2)</x:f>
        <x:v>0</x:v>
      </x:c>
      <x:c r="I3927" t="n">
        <x:v>0</x:v>
      </x:c>
      <x:c r="J3927" t="n">
        <x:f>ROUND(F3927*I3927/100,2)</x:f>
        <x:v>0</x:v>
      </x:c>
      <x:c r="K3927" t="n">
        <x:v>0</x:v>
      </x:c>
      <x:c r="L3927" t="n">
        <x:f>ROUND(F3927*K3927/100,2)</x:f>
        <x:v>0</x:v>
      </x:c>
      <x:c r="M3927" t="n">
        <x:v>0</x:v>
      </x:c>
      <x:c r="N3927" t="n">
        <x:f>ROUND(F3927*M3927/100,2)</x:f>
        <x:v>0</x:v>
      </x:c>
      <x:c r="O3927" t="str"/>
    </x:row>
    <x:row r="3928" ht="23" customHeight="1">
      <x:c r="A3928" t="n">
        <x:v>655</x:v>
      </x:c>
      <x:c r="B3928" t="n">
        <x:v>328</x:v>
      </x:c>
      <x:c r="C3928" t="str">
        <x:v>午餐</x:v>
      </x:c>
      <x:c r="D3928" t="str">
        <x:v>蔬菜</x:v>
      </x:c>
      <x:c r="E3928" t="str">
        <x:v>菠菜</x:v>
      </x:c>
      <x:c r="F3928" t="n">
        <x:v>190</x:v>
      </x:c>
      <x:c r="G3928" t="n">
        <x:v>23</x:v>
      </x:c>
      <x:c r="H3928" t="n">
        <x:f>ROUND(F3928*G3928/100,2)</x:f>
        <x:v>43.7</x:v>
      </x:c>
      <x:c r="I3928" t="n">
        <x:v>2.9</x:v>
      </x:c>
      <x:c r="J3928" t="n">
        <x:f>ROUND(F3928*I3928/100,2)</x:f>
        <x:v>5.51</x:v>
      </x:c>
      <x:c r="K3928" t="n">
        <x:v>3.6</x:v>
      </x:c>
      <x:c r="L3928" t="n">
        <x:f>ROUND(F3928*K3928/100,2)</x:f>
        <x:v>6.84</x:v>
      </x:c>
      <x:c r="M3928" t="n">
        <x:v>0.4</x:v>
      </x:c>
      <x:c r="N3928" t="n">
        <x:f>ROUND(F3928*M3928/100,2)</x:f>
        <x:v>0.76</x:v>
      </x:c>
      <x:c r="O3928" t="str">
        <x:v>生重</x:v>
      </x:c>
    </x:row>
    <x:row r="3929" ht="23" customHeight="1">
      <x:c r="A3929" t="n">
        <x:v>655</x:v>
      </x:c>
      <x:c r="B3929" t="n">
        <x:v>328</x:v>
      </x:c>
      <x:c r="C3929" t="str">
        <x:v>午餐</x:v>
      </x:c>
      <x:c r="D3929" t="str">
        <x:v>菌菇</x:v>
      </x:c>
      <x:c r="E3929" t="str">
        <x:v>口蘑</x:v>
      </x:c>
      <x:c r="F3929" t="n">
        <x:v>140</x:v>
      </x:c>
      <x:c r="G3929" t="n">
        <x:v>22</x:v>
      </x:c>
      <x:c r="H3929" t="n">
        <x:f>ROUND(F3929*G3929/100,2)</x:f>
        <x:v>30.8</x:v>
      </x:c>
      <x:c r="I3929" t="n">
        <x:v>3.1</x:v>
      </x:c>
      <x:c r="J3929" t="n">
        <x:f>ROUND(F3929*I3929/100,2)</x:f>
        <x:v>4.34</x:v>
      </x:c>
      <x:c r="K3929" t="n">
        <x:v>3.3</x:v>
      </x:c>
      <x:c r="L3929" t="n">
        <x:f>ROUND(F3929*K3929/100,2)</x:f>
        <x:v>4.62</x:v>
      </x:c>
      <x:c r="M3929" t="n">
        <x:v>0.3</x:v>
      </x:c>
      <x:c r="N3929" t="n">
        <x:f>ROUND(F3929*M3929/100,2)</x:f>
        <x:v>0.42</x:v>
      </x:c>
      <x:c r="O3929" t="str">
        <x:v>生重</x:v>
      </x:c>
    </x:row>
    <x:row r="3930" ht="23" customHeight="1">
      <x:c r="A3930" t="n">
        <x:v>655</x:v>
      </x:c>
      <x:c r="B3930" t="n">
        <x:v>328</x:v>
      </x:c>
      <x:c r="C3930" t="str">
        <x:v>午餐</x:v>
      </x:c>
      <x:c r="D3930" t="str">
        <x:v>主食</x:v>
      </x:c>
      <x:c r="E3930" t="str">
        <x:v>燕麦饭</x:v>
      </x:c>
      <x:c r="F3930" t="n">
        <x:v>110</x:v>
      </x:c>
      <x:c r="G3930" t="n">
        <x:v>110</x:v>
      </x:c>
      <x:c r="H3930" t="n">
        <x:f>ROUND(F3930*G3930/100,2)</x:f>
        <x:v>121</x:v>
      </x:c>
      <x:c r="I3930" t="n">
        <x:v>3.2</x:v>
      </x:c>
      <x:c r="J3930" t="n">
        <x:f>ROUND(F3930*I3930/100,2)</x:f>
        <x:v>3.52</x:v>
      </x:c>
      <x:c r="K3930" t="n">
        <x:v>21</x:v>
      </x:c>
      <x:c r="L3930" t="n">
        <x:f>ROUND(F3930*K3930/100,2)</x:f>
        <x:v>23.1</x:v>
      </x:c>
      <x:c r="M3930" t="n">
        <x:v>1.8</x:v>
      </x:c>
      <x:c r="N3930" t="n">
        <x:f>ROUND(F3930*M3930/100,2)</x:f>
        <x:v>1.98</x:v>
      </x:c>
      <x:c r="O3930" t="str">
        <x:v>熟重</x:v>
      </x:c>
    </x:row>
    <x:row r="3931" ht="23" customHeight="1">
      <x:c r="A3931" t="n">
        <x:v>655</x:v>
      </x:c>
      <x:c r="B3931" t="n">
        <x:v>328</x:v>
      </x:c>
      <x:c r="C3931" t="str">
        <x:v>午餐</x:v>
      </x:c>
      <x:c r="D3931" t="str">
        <x:v>油脂</x:v>
      </x:c>
      <x:c r="E3931" t="str">
        <x:v>烹调油</x:v>
      </x:c>
      <x:c r="F3931" t="n">
        <x:v>5</x:v>
      </x:c>
      <x:c r="G3931" t="n">
        <x:v>900</x:v>
      </x:c>
      <x:c r="H3931" t="n">
        <x:f>ROUND(F3931*G3931/100,2)</x:f>
        <x:v>45</x:v>
      </x:c>
      <x:c r="I3931" t="n">
        <x:v>0</x:v>
      </x:c>
      <x:c r="J3931" t="n">
        <x:f>ROUND(F3931*I3931/100,2)</x:f>
        <x:v>0</x:v>
      </x:c>
      <x:c r="K3931" t="n">
        <x:v>0</x:v>
      </x:c>
      <x:c r="L3931" t="n">
        <x:f>ROUND(F3931*K3931/100,2)</x:f>
        <x:v>0</x:v>
      </x:c>
      <x:c r="M3931" t="n">
        <x:v>100</x:v>
      </x:c>
      <x:c r="N3931" t="n">
        <x:f>ROUND(F3931*M3931/100,2)</x:f>
        <x:v>5</x:v>
      </x:c>
      <x:c r="O3931" t="str">
        <x:v>实际用油重</x:v>
      </x:c>
    </x:row>
    <x:row r="3932" ht="23" customHeight="1">
      <x:c r="A3932" t="n">
        <x:v>656</x:v>
      </x:c>
      <x:c r="B3932" t="n">
        <x:v>328</x:v>
      </x:c>
      <x:c r="C3932" t="str">
        <x:v>晚餐</x:v>
      </x:c>
      <x:c r="D3932" t="str">
        <x:v>禽肉</x:v>
      </x:c>
      <x:c r="E3932" t="str">
        <x:v>鸡胸肉</x:v>
      </x:c>
      <x:c r="F3932" t="n">
        <x:v>170</x:v>
      </x:c>
      <x:c r="G3932" t="n">
        <x:v>110</x:v>
      </x:c>
      <x:c r="H3932" t="n">
        <x:f>ROUND(F3932*G3932/100,2)</x:f>
        <x:v>187</x:v>
      </x:c>
      <x:c r="I3932" t="n">
        <x:v>23</x:v>
      </x:c>
      <x:c r="J3932" t="n">
        <x:f>ROUND(F3932*I3932/100,2)</x:f>
        <x:v>39.1</x:v>
      </x:c>
      <x:c r="K3932" t="n">
        <x:v>0</x:v>
      </x:c>
      <x:c r="L3932" t="n">
        <x:f>ROUND(F3932*K3932/100,2)</x:f>
        <x:v>0</x:v>
      </x:c>
      <x:c r="M3932" t="n">
        <x:v>2</x:v>
      </x:c>
      <x:c r="N3932" t="n">
        <x:f>ROUND(F3932*M3932/100,2)</x:f>
        <x:v>3.4</x:v>
      </x:c>
      <x:c r="O3932" t="str">
        <x:v>生重</x:v>
      </x:c>
    </x:row>
    <x:row r="3933" ht="23" customHeight="1">
      <x:c r="A3933" t="n">
        <x:v>656</x:v>
      </x:c>
      <x:c r="B3933" t="n">
        <x:v>328</x:v>
      </x:c>
      <x:c r="C3933" t="str">
        <x:v>晚餐</x:v>
      </x:c>
      <x:c r="D3933" t="str"/>
      <x:c r="E3933" t="str"/>
      <x:c r="F3933" t="n">
        <x:v>0</x:v>
      </x:c>
      <x:c r="G3933" t="n">
        <x:v>0</x:v>
      </x:c>
      <x:c r="H3933" t="n">
        <x:f>ROUND(F3933*G3933/100,2)</x:f>
        <x:v>0</x:v>
      </x:c>
      <x:c r="I3933" t="n">
        <x:v>0</x:v>
      </x:c>
      <x:c r="J3933" t="n">
        <x:f>ROUND(F3933*I3933/100,2)</x:f>
        <x:v>0</x:v>
      </x:c>
      <x:c r="K3933" t="n">
        <x:v>0</x:v>
      </x:c>
      <x:c r="L3933" t="n">
        <x:f>ROUND(F3933*K3933/100,2)</x:f>
        <x:v>0</x:v>
      </x:c>
      <x:c r="M3933" t="n">
        <x:v>0</x:v>
      </x:c>
      <x:c r="N3933" t="n">
        <x:f>ROUND(F3933*M3933/100,2)</x:f>
        <x:v>0</x:v>
      </x:c>
      <x:c r="O3933" t="str"/>
    </x:row>
    <x:row r="3934" ht="23" customHeight="1">
      <x:c r="A3934" t="n">
        <x:v>656</x:v>
      </x:c>
      <x:c r="B3934" t="n">
        <x:v>328</x:v>
      </x:c>
      <x:c r="C3934" t="str">
        <x:v>晚餐</x:v>
      </x:c>
      <x:c r="D3934" t="str">
        <x:v>蔬菜</x:v>
      </x:c>
      <x:c r="E3934" t="str">
        <x:v>娃娃菜</x:v>
      </x:c>
      <x:c r="F3934" t="n">
        <x:v>160</x:v>
      </x:c>
      <x:c r="G3934" t="n">
        <x:v>17</x:v>
      </x:c>
      <x:c r="H3934" t="n">
        <x:f>ROUND(F3934*G3934/100,2)</x:f>
        <x:v>27.2</x:v>
      </x:c>
      <x:c r="I3934" t="n">
        <x:v>1.3</x:v>
      </x:c>
      <x:c r="J3934" t="n">
        <x:f>ROUND(F3934*I3934/100,2)</x:f>
        <x:v>2.08</x:v>
      </x:c>
      <x:c r="K3934" t="n">
        <x:v>3</x:v>
      </x:c>
      <x:c r="L3934" t="n">
        <x:f>ROUND(F3934*K3934/100,2)</x:f>
        <x:v>4.8</x:v>
      </x:c>
      <x:c r="M3934" t="n">
        <x:v>0.2</x:v>
      </x:c>
      <x:c r="N3934" t="n">
        <x:f>ROUND(F3934*M3934/100,2)</x:f>
        <x:v>0.32</x:v>
      </x:c>
      <x:c r="O3934" t="str">
        <x:v>生重</x:v>
      </x:c>
    </x:row>
    <x:row r="3935" ht="23" customHeight="1">
      <x:c r="A3935" t="n">
        <x:v>656</x:v>
      </x:c>
      <x:c r="B3935" t="n">
        <x:v>328</x:v>
      </x:c>
      <x:c r="C3935" t="str">
        <x:v>晚餐</x:v>
      </x:c>
      <x:c r="D3935" t="str">
        <x:v>蔬菜</x:v>
      </x:c>
      <x:c r="E3935" t="str">
        <x:v>海带</x:v>
      </x:c>
      <x:c r="F3935" t="n">
        <x:v>140</x:v>
      </x:c>
      <x:c r="G3935" t="n">
        <x:v>25</x:v>
      </x:c>
      <x:c r="H3935" t="n">
        <x:f>ROUND(F3935*G3935/100,2)</x:f>
        <x:v>35</x:v>
      </x:c>
      <x:c r="I3935" t="n">
        <x:v>1</x:v>
      </x:c>
      <x:c r="J3935" t="n">
        <x:f>ROUND(F3935*I3935/100,2)</x:f>
        <x:v>1.4</x:v>
      </x:c>
      <x:c r="K3935" t="n">
        <x:v>5</x:v>
      </x:c>
      <x:c r="L3935" t="n">
        <x:f>ROUND(F3935*K3935/100,2)</x:f>
        <x:v>7</x:v>
      </x:c>
      <x:c r="M3935" t="n">
        <x:v>0.1</x:v>
      </x:c>
      <x:c r="N3935" t="n">
        <x:f>ROUND(F3935*M3935/100,2)</x:f>
        <x:v>0.14</x:v>
      </x:c>
      <x:c r="O3935" t="str">
        <x:v>泡发沥水重</x:v>
      </x:c>
    </x:row>
    <x:row r="3936" ht="23" customHeight="1">
      <x:c r="A3936" t="n">
        <x:v>656</x:v>
      </x:c>
      <x:c r="B3936" t="n">
        <x:v>328</x:v>
      </x:c>
      <x:c r="C3936" t="str">
        <x:v>晚餐</x:v>
      </x:c>
      <x:c r="D3936" t="str">
        <x:v>主食</x:v>
      </x:c>
      <x:c r="E3936" t="str">
        <x:v>杂粮饭</x:v>
      </x:c>
      <x:c r="F3936" t="n">
        <x:v>125</x:v>
      </x:c>
      <x:c r="G3936" t="n">
        <x:v>115</x:v>
      </x:c>
      <x:c r="H3936" t="n">
        <x:f>ROUND(F3936*G3936/100,2)</x:f>
        <x:v>143.75</x:v>
      </x:c>
      <x:c r="I3936" t="n">
        <x:v>3.1</x:v>
      </x:c>
      <x:c r="J3936" t="n">
        <x:f>ROUND(F3936*I3936/100,2)</x:f>
        <x:v>3.88</x:v>
      </x:c>
      <x:c r="K3936" t="n">
        <x:v>23.5</x:v>
      </x:c>
      <x:c r="L3936" t="n">
        <x:f>ROUND(F3936*K3936/100,2)</x:f>
        <x:v>29.38</x:v>
      </x:c>
      <x:c r="M3936" t="n">
        <x:v>1.1</x:v>
      </x:c>
      <x:c r="N3936" t="n">
        <x:f>ROUND(F3936*M3936/100,2)</x:f>
        <x:v>1.38</x:v>
      </x:c>
      <x:c r="O3936" t="str">
        <x:v>熟重</x:v>
      </x:c>
    </x:row>
    <x:row r="3937" ht="23" customHeight="1">
      <x:c r="A3937" t="n">
        <x:v>656</x:v>
      </x:c>
      <x:c r="B3937" t="n">
        <x:v>328</x:v>
      </x:c>
      <x:c r="C3937" t="str">
        <x:v>晚餐</x:v>
      </x:c>
      <x:c r="D3937" t="str">
        <x:v>油脂</x:v>
      </x:c>
      <x:c r="E3937" t="str">
        <x:v>烹调油</x:v>
      </x:c>
      <x:c r="F3937" t="n">
        <x:v>5</x:v>
      </x:c>
      <x:c r="G3937" t="n">
        <x:v>900</x:v>
      </x:c>
      <x:c r="H3937" t="n">
        <x:f>ROUND(F3937*G3937/100,2)</x:f>
        <x:v>45</x:v>
      </x:c>
      <x:c r="I3937" t="n">
        <x:v>0</x:v>
      </x:c>
      <x:c r="J3937" t="n">
        <x:f>ROUND(F3937*I3937/100,2)</x:f>
        <x:v>0</x:v>
      </x:c>
      <x:c r="K3937" t="n">
        <x:v>0</x:v>
      </x:c>
      <x:c r="L3937" t="n">
        <x:f>ROUND(F3937*K3937/100,2)</x:f>
        <x:v>0</x:v>
      </x:c>
      <x:c r="M3937" t="n">
        <x:v>100</x:v>
      </x:c>
      <x:c r="N3937" t="n">
        <x:f>ROUND(F3937*M3937/100,2)</x:f>
        <x:v>5</x:v>
      </x:c>
      <x:c r="O3937" t="str">
        <x:v>实际用油重</x:v>
      </x:c>
    </x:row>
    <x:row r="3938" ht="23" customHeight="1">
      <x:c r="A3938" t="n">
        <x:v>657</x:v>
      </x:c>
      <x:c r="B3938" t="n">
        <x:v>329</x:v>
      </x:c>
      <x:c r="C3938" t="str">
        <x:v>午餐</x:v>
      </x:c>
      <x:c r="D3938" t="str">
        <x:v>牛肉</x:v>
      </x:c>
      <x:c r="E3938" t="str">
        <x:v>瘦牛肉</x:v>
      </x:c>
      <x:c r="F3938" t="n">
        <x:v>165</x:v>
      </x:c>
      <x:c r="G3938" t="n">
        <x:v>125</x:v>
      </x:c>
      <x:c r="H3938" t="n">
        <x:f>ROUND(F3938*G3938/100,2)</x:f>
        <x:v>206.25</x:v>
      </x:c>
      <x:c r="I3938" t="n">
        <x:v>21</x:v>
      </x:c>
      <x:c r="J3938" t="n">
        <x:f>ROUND(F3938*I3938/100,2)</x:f>
        <x:v>34.65</x:v>
      </x:c>
      <x:c r="K3938" t="n">
        <x:v>0</x:v>
      </x:c>
      <x:c r="L3938" t="n">
        <x:f>ROUND(F3938*K3938/100,2)</x:f>
        <x:v>0</x:v>
      </x:c>
      <x:c r="M3938" t="n">
        <x:v>4</x:v>
      </x:c>
      <x:c r="N3938" t="n">
        <x:f>ROUND(F3938*M3938/100,2)</x:f>
        <x:v>6.6</x:v>
      </x:c>
      <x:c r="O3938" t="str">
        <x:v>生重</x:v>
      </x:c>
    </x:row>
    <x:row r="3939" ht="23" customHeight="1">
      <x:c r="A3939" t="n">
        <x:v>657</x:v>
      </x:c>
      <x:c r="B3939" t="n">
        <x:v>329</x:v>
      </x:c>
      <x:c r="C3939" t="str">
        <x:v>午餐</x:v>
      </x:c>
      <x:c r="D3939" t="str"/>
      <x:c r="E3939" t="str"/>
      <x:c r="F3939" t="n">
        <x:v>0</x:v>
      </x:c>
      <x:c r="G3939" t="n">
        <x:v>0</x:v>
      </x:c>
      <x:c r="H3939" t="n">
        <x:f>ROUND(F3939*G3939/100,2)</x:f>
        <x:v>0</x:v>
      </x:c>
      <x:c r="I3939" t="n">
        <x:v>0</x:v>
      </x:c>
      <x:c r="J3939" t="n">
        <x:f>ROUND(F3939*I3939/100,2)</x:f>
        <x:v>0</x:v>
      </x:c>
      <x:c r="K3939" t="n">
        <x:v>0</x:v>
      </x:c>
      <x:c r="L3939" t="n">
        <x:f>ROUND(F3939*K3939/100,2)</x:f>
        <x:v>0</x:v>
      </x:c>
      <x:c r="M3939" t="n">
        <x:v>0</x:v>
      </x:c>
      <x:c r="N3939" t="n">
        <x:f>ROUND(F3939*M3939/100,2)</x:f>
        <x:v>0</x:v>
      </x:c>
      <x:c r="O3939" t="str"/>
    </x:row>
    <x:row r="3940" ht="23" customHeight="1">
      <x:c r="A3940" t="n">
        <x:v>657</x:v>
      </x:c>
      <x:c r="B3940" t="n">
        <x:v>329</x:v>
      </x:c>
      <x:c r="C3940" t="str">
        <x:v>午餐</x:v>
      </x:c>
      <x:c r="D3940" t="str">
        <x:v>蔬菜</x:v>
      </x:c>
      <x:c r="E3940" t="str">
        <x:v>荷兰豆</x:v>
      </x:c>
      <x:c r="F3940" t="n">
        <x:v>175</x:v>
      </x:c>
      <x:c r="G3940" t="n">
        <x:v>42</x:v>
      </x:c>
      <x:c r="H3940" t="n">
        <x:f>ROUND(F3940*G3940/100,2)</x:f>
        <x:v>73.5</x:v>
      </x:c>
      <x:c r="I3940" t="n">
        <x:v>2.8</x:v>
      </x:c>
      <x:c r="J3940" t="n">
        <x:f>ROUND(F3940*I3940/100,2)</x:f>
        <x:v>4.9</x:v>
      </x:c>
      <x:c r="K3940" t="n">
        <x:v>7.5</x:v>
      </x:c>
      <x:c r="L3940" t="n">
        <x:f>ROUND(F3940*K3940/100,2)</x:f>
        <x:v>13.13</x:v>
      </x:c>
      <x:c r="M3940" t="n">
        <x:v>0.3</x:v>
      </x:c>
      <x:c r="N3940" t="n">
        <x:f>ROUND(F3940*M3940/100,2)</x:f>
        <x:v>0.53</x:v>
      </x:c>
      <x:c r="O3940" t="str">
        <x:v>生重</x:v>
      </x:c>
    </x:row>
    <x:row r="3941" ht="23" customHeight="1">
      <x:c r="A3941" t="n">
        <x:v>657</x:v>
      </x:c>
      <x:c r="B3941" t="n">
        <x:v>329</x:v>
      </x:c>
      <x:c r="C3941" t="str">
        <x:v>午餐</x:v>
      </x:c>
      <x:c r="D3941" t="str">
        <x:v>蔬菜</x:v>
      </x:c>
      <x:c r="E3941" t="str">
        <x:v>绿豆芽</x:v>
      </x:c>
      <x:c r="F3941" t="n">
        <x:v>110</x:v>
      </x:c>
      <x:c r="G3941" t="n">
        <x:v>31</x:v>
      </x:c>
      <x:c r="H3941" t="n">
        <x:f>ROUND(F3941*G3941/100,2)</x:f>
        <x:v>34.1</x:v>
      </x:c>
      <x:c r="I3941" t="n">
        <x:v>3</x:v>
      </x:c>
      <x:c r="J3941" t="n">
        <x:f>ROUND(F3941*I3941/100,2)</x:f>
        <x:v>3.3</x:v>
      </x:c>
      <x:c r="K3941" t="n">
        <x:v>6</x:v>
      </x:c>
      <x:c r="L3941" t="n">
        <x:f>ROUND(F3941*K3941/100,2)</x:f>
        <x:v>6.6</x:v>
      </x:c>
      <x:c r="M3941" t="n">
        <x:v>0.2</x:v>
      </x:c>
      <x:c r="N3941" t="n">
        <x:f>ROUND(F3941*M3941/100,2)</x:f>
        <x:v>0.22</x:v>
      </x:c>
      <x:c r="O3941" t="str">
        <x:v>生重</x:v>
      </x:c>
    </x:row>
    <x:row r="3942" ht="23" customHeight="1">
      <x:c r="A3942" t="n">
        <x:v>657</x:v>
      </x:c>
      <x:c r="B3942" t="n">
        <x:v>329</x:v>
      </x:c>
      <x:c r="C3942" t="str">
        <x:v>午餐</x:v>
      </x:c>
      <x:c r="D3942" t="str">
        <x:v>主食</x:v>
      </x:c>
      <x:c r="E3942" t="str">
        <x:v>藜麦饭</x:v>
      </x:c>
      <x:c r="F3942" t="n">
        <x:v>110</x:v>
      </x:c>
      <x:c r="G3942" t="n">
        <x:v>120</x:v>
      </x:c>
      <x:c r="H3942" t="n">
        <x:f>ROUND(F3942*G3942/100,2)</x:f>
        <x:v>132</x:v>
      </x:c>
      <x:c r="I3942" t="n">
        <x:v>4.4</x:v>
      </x:c>
      <x:c r="J3942" t="n">
        <x:f>ROUND(F3942*I3942/100,2)</x:f>
        <x:v>4.84</x:v>
      </x:c>
      <x:c r="K3942" t="n">
        <x:v>21.3</x:v>
      </x:c>
      <x:c r="L3942" t="n">
        <x:f>ROUND(F3942*K3942/100,2)</x:f>
        <x:v>23.43</x:v>
      </x:c>
      <x:c r="M3942" t="n">
        <x:v>1.9</x:v>
      </x:c>
      <x:c r="N3942" t="n">
        <x:f>ROUND(F3942*M3942/100,2)</x:f>
        <x:v>2.09</x:v>
      </x:c>
      <x:c r="O3942" t="str">
        <x:v>熟重</x:v>
      </x:c>
    </x:row>
    <x:row r="3943" ht="23" customHeight="1">
      <x:c r="A3943" t="n">
        <x:v>657</x:v>
      </x:c>
      <x:c r="B3943" t="n">
        <x:v>329</x:v>
      </x:c>
      <x:c r="C3943" t="str">
        <x:v>午餐</x:v>
      </x:c>
      <x:c r="D3943" t="str">
        <x:v>油脂</x:v>
      </x:c>
      <x:c r="E3943" t="str">
        <x:v>烹调油</x:v>
      </x:c>
      <x:c r="F3943" t="n">
        <x:v>5</x:v>
      </x:c>
      <x:c r="G3943" t="n">
        <x:v>900</x:v>
      </x:c>
      <x:c r="H3943" t="n">
        <x:f>ROUND(F3943*G3943/100,2)</x:f>
        <x:v>45</x:v>
      </x:c>
      <x:c r="I3943" t="n">
        <x:v>0</x:v>
      </x:c>
      <x:c r="J3943" t="n">
        <x:f>ROUND(F3943*I3943/100,2)</x:f>
        <x:v>0</x:v>
      </x:c>
      <x:c r="K3943" t="n">
        <x:v>0</x:v>
      </x:c>
      <x:c r="L3943" t="n">
        <x:f>ROUND(F3943*K3943/100,2)</x:f>
        <x:v>0</x:v>
      </x:c>
      <x:c r="M3943" t="n">
        <x:v>100</x:v>
      </x:c>
      <x:c r="N3943" t="n">
        <x:f>ROUND(F3943*M3943/100,2)</x:f>
        <x:v>5</x:v>
      </x:c>
      <x:c r="O3943" t="str">
        <x:v>实际用油重</x:v>
      </x:c>
    </x:row>
    <x:row r="3944" ht="23" customHeight="1">
      <x:c r="A3944" t="n">
        <x:v>658</x:v>
      </x:c>
      <x:c r="B3944" t="n">
        <x:v>329</x:v>
      </x:c>
      <x:c r="C3944" t="str">
        <x:v>晚餐</x:v>
      </x:c>
      <x:c r="D3944" t="str">
        <x:v>海鲜</x:v>
      </x:c>
      <x:c r="E3944" t="str">
        <x:v>鱿鱼</x:v>
      </x:c>
      <x:c r="F3944" t="n">
        <x:v>160</x:v>
      </x:c>
      <x:c r="G3944" t="n">
        <x:v>95</x:v>
      </x:c>
      <x:c r="H3944" t="n">
        <x:f>ROUND(F3944*G3944/100,2)</x:f>
        <x:v>152</x:v>
      </x:c>
      <x:c r="I3944" t="n">
        <x:v>17</x:v>
      </x:c>
      <x:c r="J3944" t="n">
        <x:f>ROUND(F3944*I3944/100,2)</x:f>
        <x:v>27.2</x:v>
      </x:c>
      <x:c r="K3944" t="n">
        <x:v>2</x:v>
      </x:c>
      <x:c r="L3944" t="n">
        <x:f>ROUND(F3944*K3944/100,2)</x:f>
        <x:v>3.2</x:v>
      </x:c>
      <x:c r="M3944" t="n">
        <x:v>1.4</x:v>
      </x:c>
      <x:c r="N3944" t="n">
        <x:f>ROUND(F3944*M3944/100,2)</x:f>
        <x:v>2.24</x:v>
      </x:c>
      <x:c r="O3944" t="str">
        <x:v>生重</x:v>
      </x:c>
    </x:row>
    <x:row r="3945" ht="23" customHeight="1">
      <x:c r="A3945" t="n">
        <x:v>658</x:v>
      </x:c>
      <x:c r="B3945" t="n">
        <x:v>329</x:v>
      </x:c>
      <x:c r="C3945" t="str">
        <x:v>晚餐</x:v>
      </x:c>
      <x:c r="D3945" t="str"/>
      <x:c r="E3945" t="str"/>
      <x:c r="F3945" t="n">
        <x:v>0</x:v>
      </x:c>
      <x:c r="G3945" t="n">
        <x:v>0</x:v>
      </x:c>
      <x:c r="H3945" t="n">
        <x:f>ROUND(F3945*G3945/100,2)</x:f>
        <x:v>0</x:v>
      </x:c>
      <x:c r="I3945" t="n">
        <x:v>0</x:v>
      </x:c>
      <x:c r="J3945" t="n">
        <x:f>ROUND(F3945*I3945/100,2)</x:f>
        <x:v>0</x:v>
      </x:c>
      <x:c r="K3945" t="n">
        <x:v>0</x:v>
      </x:c>
      <x:c r="L3945" t="n">
        <x:f>ROUND(F3945*K3945/100,2)</x:f>
        <x:v>0</x:v>
      </x:c>
      <x:c r="M3945" t="n">
        <x:v>0</x:v>
      </x:c>
      <x:c r="N3945" t="n">
        <x:f>ROUND(F3945*M3945/100,2)</x:f>
        <x:v>0</x:v>
      </x:c>
      <x:c r="O3945" t="str"/>
    </x:row>
    <x:row r="3946" ht="23" customHeight="1">
      <x:c r="A3946" t="n">
        <x:v>658</x:v>
      </x:c>
      <x:c r="B3946" t="n">
        <x:v>329</x:v>
      </x:c>
      <x:c r="C3946" t="str">
        <x:v>晚餐</x:v>
      </x:c>
      <x:c r="D3946" t="str">
        <x:v>蔬菜</x:v>
      </x:c>
      <x:c r="E3946" t="str">
        <x:v>菠菜</x:v>
      </x:c>
      <x:c r="F3946" t="n">
        <x:v>140</x:v>
      </x:c>
      <x:c r="G3946" t="n">
        <x:v>23</x:v>
      </x:c>
      <x:c r="H3946" t="n">
        <x:f>ROUND(F3946*G3946/100,2)</x:f>
        <x:v>32.2</x:v>
      </x:c>
      <x:c r="I3946" t="n">
        <x:v>2.9</x:v>
      </x:c>
      <x:c r="J3946" t="n">
        <x:f>ROUND(F3946*I3946/100,2)</x:f>
        <x:v>4.06</x:v>
      </x:c>
      <x:c r="K3946" t="n">
        <x:v>3.6</x:v>
      </x:c>
      <x:c r="L3946" t="n">
        <x:f>ROUND(F3946*K3946/100,2)</x:f>
        <x:v>5.04</x:v>
      </x:c>
      <x:c r="M3946" t="n">
        <x:v>0.4</x:v>
      </x:c>
      <x:c r="N3946" t="n">
        <x:f>ROUND(F3946*M3946/100,2)</x:f>
        <x:v>0.56</x:v>
      </x:c>
      <x:c r="O3946" t="str">
        <x:v>生重</x:v>
      </x:c>
    </x:row>
    <x:row r="3947" ht="23" customHeight="1">
      <x:c r="A3947" t="n">
        <x:v>658</x:v>
      </x:c>
      <x:c r="B3947" t="n">
        <x:v>329</x:v>
      </x:c>
      <x:c r="C3947" t="str">
        <x:v>晚餐</x:v>
      </x:c>
      <x:c r="D3947" t="str">
        <x:v>蔬菜</x:v>
      </x:c>
      <x:c r="E3947" t="str">
        <x:v>冬瓜</x:v>
      </x:c>
      <x:c r="F3947" t="n">
        <x:v>110</x:v>
      </x:c>
      <x:c r="G3947" t="n">
        <x:v>13</x:v>
      </x:c>
      <x:c r="H3947" t="n">
        <x:f>ROUND(F3947*G3947/100,2)</x:f>
        <x:v>14.3</x:v>
      </x:c>
      <x:c r="I3947" t="n">
        <x:v>0.4</x:v>
      </x:c>
      <x:c r="J3947" t="n">
        <x:f>ROUND(F3947*I3947/100,2)</x:f>
        <x:v>0.44</x:v>
      </x:c>
      <x:c r="K3947" t="n">
        <x:v>3</x:v>
      </x:c>
      <x:c r="L3947" t="n">
        <x:f>ROUND(F3947*K3947/100,2)</x:f>
        <x:v>3.3</x:v>
      </x:c>
      <x:c r="M3947" t="n">
        <x:v>0.2</x:v>
      </x:c>
      <x:c r="N3947" t="n">
        <x:f>ROUND(F3947*M3947/100,2)</x:f>
        <x:v>0.22</x:v>
      </x:c>
      <x:c r="O3947" t="str">
        <x:v>生重</x:v>
      </x:c>
    </x:row>
    <x:row r="3948" ht="23" customHeight="1">
      <x:c r="A3948" t="n">
        <x:v>658</x:v>
      </x:c>
      <x:c r="B3948" t="n">
        <x:v>329</x:v>
      </x:c>
      <x:c r="C3948" t="str">
        <x:v>晚餐</x:v>
      </x:c>
      <x:c r="D3948" t="str">
        <x:v>主食</x:v>
      </x:c>
      <x:c r="E3948" t="str">
        <x:v>荞麦面</x:v>
      </x:c>
      <x:c r="F3948" t="n">
        <x:v>125</x:v>
      </x:c>
      <x:c r="G3948" t="n">
        <x:v>105</x:v>
      </x:c>
      <x:c r="H3948" t="n">
        <x:f>ROUND(F3948*G3948/100,2)</x:f>
        <x:v>131.25</x:v>
      </x:c>
      <x:c r="I3948" t="n">
        <x:v>4</x:v>
      </x:c>
      <x:c r="J3948" t="n">
        <x:f>ROUND(F3948*I3948/100,2)</x:f>
        <x:v>5</x:v>
      </x:c>
      <x:c r="K3948" t="n">
        <x:v>21</x:v>
      </x:c>
      <x:c r="L3948" t="n">
        <x:f>ROUND(F3948*K3948/100,2)</x:f>
        <x:v>26.25</x:v>
      </x:c>
      <x:c r="M3948" t="n">
        <x:v>0.7</x:v>
      </x:c>
      <x:c r="N3948" t="n">
        <x:f>ROUND(F3948*M3948/100,2)</x:f>
        <x:v>0.88</x:v>
      </x:c>
      <x:c r="O3948" t="str">
        <x:v>煮熟沥水重</x:v>
      </x:c>
    </x:row>
    <x:row r="3949" ht="23" customHeight="1">
      <x:c r="A3949" t="n">
        <x:v>658</x:v>
      </x:c>
      <x:c r="B3949" t="n">
        <x:v>329</x:v>
      </x:c>
      <x:c r="C3949" t="str">
        <x:v>晚餐</x:v>
      </x:c>
      <x:c r="D3949" t="str">
        <x:v>油脂</x:v>
      </x:c>
      <x:c r="E3949" t="str">
        <x:v>烹调油</x:v>
      </x:c>
      <x:c r="F3949" t="n">
        <x:v>5</x:v>
      </x:c>
      <x:c r="G3949" t="n">
        <x:v>900</x:v>
      </x:c>
      <x:c r="H3949" t="n">
        <x:f>ROUND(F3949*G3949/100,2)</x:f>
        <x:v>45</x:v>
      </x:c>
      <x:c r="I3949" t="n">
        <x:v>0</x:v>
      </x:c>
      <x:c r="J3949" t="n">
        <x:f>ROUND(F3949*I3949/100,2)</x:f>
        <x:v>0</x:v>
      </x:c>
      <x:c r="K3949" t="n">
        <x:v>0</x:v>
      </x:c>
      <x:c r="L3949" t="n">
        <x:f>ROUND(F3949*K3949/100,2)</x:f>
        <x:v>0</x:v>
      </x:c>
      <x:c r="M3949" t="n">
        <x:v>100</x:v>
      </x:c>
      <x:c r="N3949" t="n">
        <x:f>ROUND(F3949*M3949/100,2)</x:f>
        <x:v>5</x:v>
      </x:c>
      <x:c r="O3949" t="str">
        <x:v>实际用油重</x:v>
      </x:c>
    </x:row>
    <x:row r="3950" ht="23" customHeight="1">
      <x:c r="A3950" t="n">
        <x:v>659</x:v>
      </x:c>
      <x:c r="B3950" t="n">
        <x:v>330</x:v>
      </x:c>
      <x:c r="C3950" t="str">
        <x:v>午餐</x:v>
      </x:c>
      <x:c r="D3950" t="str">
        <x:v>鱼类</x:v>
      </x:c>
      <x:c r="E3950" t="str">
        <x:v>巴沙鱼</x:v>
      </x:c>
      <x:c r="F3950" t="n">
        <x:v>200</x:v>
      </x:c>
      <x:c r="G3950" t="n">
        <x:v>90</x:v>
      </x:c>
      <x:c r="H3950" t="n">
        <x:f>ROUND(F3950*G3950/100,2)</x:f>
        <x:v>180</x:v>
      </x:c>
      <x:c r="I3950" t="n">
        <x:v>17</x:v>
      </x:c>
      <x:c r="J3950" t="n">
        <x:f>ROUND(F3950*I3950/100,2)</x:f>
        <x:v>34</x:v>
      </x:c>
      <x:c r="K3950" t="n">
        <x:v>0</x:v>
      </x:c>
      <x:c r="L3950" t="n">
        <x:f>ROUND(F3950*K3950/100,2)</x:f>
        <x:v>0</x:v>
      </x:c>
      <x:c r="M3950" t="n">
        <x:v>2.3</x:v>
      </x:c>
      <x:c r="N3950" t="n">
        <x:f>ROUND(F3950*M3950/100,2)</x:f>
        <x:v>4.6</x:v>
      </x:c>
      <x:c r="O3950" t="str">
        <x:v>净鱼肉生重</x:v>
      </x:c>
    </x:row>
    <x:row r="3951" ht="23" customHeight="1">
      <x:c r="A3951" t="n">
        <x:v>659</x:v>
      </x:c>
      <x:c r="B3951" t="n">
        <x:v>330</x:v>
      </x:c>
      <x:c r="C3951" t="str">
        <x:v>午餐</x:v>
      </x:c>
      <x:c r="D3951" t="str"/>
      <x:c r="E3951" t="str"/>
      <x:c r="F3951" t="n">
        <x:v>0</x:v>
      </x:c>
      <x:c r="G3951" t="n">
        <x:v>0</x:v>
      </x:c>
      <x:c r="H3951" t="n">
        <x:f>ROUND(F3951*G3951/100,2)</x:f>
        <x:v>0</x:v>
      </x:c>
      <x:c r="I3951" t="n">
        <x:v>0</x:v>
      </x:c>
      <x:c r="J3951" t="n">
        <x:f>ROUND(F3951*I3951/100,2)</x:f>
        <x:v>0</x:v>
      </x:c>
      <x:c r="K3951" t="n">
        <x:v>0</x:v>
      </x:c>
      <x:c r="L3951" t="n">
        <x:f>ROUND(F3951*K3951/100,2)</x:f>
        <x:v>0</x:v>
      </x:c>
      <x:c r="M3951" t="n">
        <x:v>0</x:v>
      </x:c>
      <x:c r="N3951" t="n">
        <x:f>ROUND(F3951*M3951/100,2)</x:f>
        <x:v>0</x:v>
      </x:c>
      <x:c r="O3951" t="str"/>
    </x:row>
    <x:row r="3952" ht="23" customHeight="1">
      <x:c r="A3952" t="n">
        <x:v>659</x:v>
      </x:c>
      <x:c r="B3952" t="n">
        <x:v>330</x:v>
      </x:c>
      <x:c r="C3952" t="str">
        <x:v>午餐</x:v>
      </x:c>
      <x:c r="D3952" t="str">
        <x:v>蔬菜</x:v>
      </x:c>
      <x:c r="E3952" t="str">
        <x:v>番茄</x:v>
      </x:c>
      <x:c r="F3952" t="n">
        <x:v>175</x:v>
      </x:c>
      <x:c r="G3952" t="n">
        <x:v>20</x:v>
      </x:c>
      <x:c r="H3952" t="n">
        <x:f>ROUND(F3952*G3952/100,2)</x:f>
        <x:v>35</x:v>
      </x:c>
      <x:c r="I3952" t="n">
        <x:v>0.9</x:v>
      </x:c>
      <x:c r="J3952" t="n">
        <x:f>ROUND(F3952*I3952/100,2)</x:f>
        <x:v>1.58</x:v>
      </x:c>
      <x:c r="K3952" t="n">
        <x:v>4</x:v>
      </x:c>
      <x:c r="L3952" t="n">
        <x:f>ROUND(F3952*K3952/100,2)</x:f>
        <x:v>7</x:v>
      </x:c>
      <x:c r="M3952" t="n">
        <x:v>0.2</x:v>
      </x:c>
      <x:c r="N3952" t="n">
        <x:f>ROUND(F3952*M3952/100,2)</x:f>
        <x:v>0.35</x:v>
      </x:c>
      <x:c r="O3952" t="str">
        <x:v>生重</x:v>
      </x:c>
    </x:row>
    <x:row r="3953" ht="23" customHeight="1">
      <x:c r="A3953" t="n">
        <x:v>659</x:v>
      </x:c>
      <x:c r="B3953" t="n">
        <x:v>330</x:v>
      </x:c>
      <x:c r="C3953" t="str">
        <x:v>午餐</x:v>
      </x:c>
      <x:c r="D3953" t="str">
        <x:v>菌菇</x:v>
      </x:c>
      <x:c r="E3953" t="str">
        <x:v>金针菇</x:v>
      </x:c>
      <x:c r="F3953" t="n">
        <x:v>110</x:v>
      </x:c>
      <x:c r="G3953" t="n">
        <x:v>32</x:v>
      </x:c>
      <x:c r="H3953" t="n">
        <x:f>ROUND(F3953*G3953/100,2)</x:f>
        <x:v>35.2</x:v>
      </x:c>
      <x:c r="I3953" t="n">
        <x:v>2.4</x:v>
      </x:c>
      <x:c r="J3953" t="n">
        <x:f>ROUND(F3953*I3953/100,2)</x:f>
        <x:v>2.64</x:v>
      </x:c>
      <x:c r="K3953" t="n">
        <x:v>6.4</x:v>
      </x:c>
      <x:c r="L3953" t="n">
        <x:f>ROUND(F3953*K3953/100,2)</x:f>
        <x:v>7.04</x:v>
      </x:c>
      <x:c r="M3953" t="n">
        <x:v>0.2</x:v>
      </x:c>
      <x:c r="N3953" t="n">
        <x:f>ROUND(F3953*M3953/100,2)</x:f>
        <x:v>0.22</x:v>
      </x:c>
      <x:c r="O3953" t="str">
        <x:v>生重</x:v>
      </x:c>
    </x:row>
    <x:row r="3954" ht="23" customHeight="1">
      <x:c r="A3954" t="n">
        <x:v>659</x:v>
      </x:c>
      <x:c r="B3954" t="n">
        <x:v>330</x:v>
      </x:c>
      <x:c r="C3954" t="str">
        <x:v>午餐</x:v>
      </x:c>
      <x:c r="D3954" t="str">
        <x:v>主食</x:v>
      </x:c>
      <x:c r="E3954" t="str">
        <x:v>糙米饭</x:v>
      </x:c>
      <x:c r="F3954" t="n">
        <x:v>150</x:v>
      </x:c>
      <x:c r="G3954" t="n">
        <x:v>112</x:v>
      </x:c>
      <x:c r="H3954" t="n">
        <x:f>ROUND(F3954*G3954/100,2)</x:f>
        <x:v>168</x:v>
      </x:c>
      <x:c r="I3954" t="n">
        <x:v>2.6</x:v>
      </x:c>
      <x:c r="J3954" t="n">
        <x:f>ROUND(F3954*I3954/100,2)</x:f>
        <x:v>3.9</x:v>
      </x:c>
      <x:c r="K3954" t="n">
        <x:v>23.5</x:v>
      </x:c>
      <x:c r="L3954" t="n">
        <x:f>ROUND(F3954*K3954/100,2)</x:f>
        <x:v>35.25</x:v>
      </x:c>
      <x:c r="M3954" t="n">
        <x:v>0.9</x:v>
      </x:c>
      <x:c r="N3954" t="n">
        <x:f>ROUND(F3954*M3954/100,2)</x:f>
        <x:v>1.35</x:v>
      </x:c>
      <x:c r="O3954" t="str">
        <x:v>熟重</x:v>
      </x:c>
    </x:row>
    <x:row r="3955" ht="23" customHeight="1">
      <x:c r="A3955" t="n">
        <x:v>659</x:v>
      </x:c>
      <x:c r="B3955" t="n">
        <x:v>330</x:v>
      </x:c>
      <x:c r="C3955" t="str">
        <x:v>午餐</x:v>
      </x:c>
      <x:c r="D3955" t="str">
        <x:v>油脂</x:v>
      </x:c>
      <x:c r="E3955" t="str">
        <x:v>烹调油</x:v>
      </x:c>
      <x:c r="F3955" t="n">
        <x:v>5</x:v>
      </x:c>
      <x:c r="G3955" t="n">
        <x:v>900</x:v>
      </x:c>
      <x:c r="H3955" t="n">
        <x:f>ROUND(F3955*G3955/100,2)</x:f>
        <x:v>45</x:v>
      </x:c>
      <x:c r="I3955" t="n">
        <x:v>0</x:v>
      </x:c>
      <x:c r="J3955" t="n">
        <x:f>ROUND(F3955*I3955/100,2)</x:f>
        <x:v>0</x:v>
      </x:c>
      <x:c r="K3955" t="n">
        <x:v>0</x:v>
      </x:c>
      <x:c r="L3955" t="n">
        <x:f>ROUND(F3955*K3955/100,2)</x:f>
        <x:v>0</x:v>
      </x:c>
      <x:c r="M3955" t="n">
        <x:v>100</x:v>
      </x:c>
      <x:c r="N3955" t="n">
        <x:f>ROUND(F3955*M3955/100,2)</x:f>
        <x:v>5</x:v>
      </x:c>
      <x:c r="O3955" t="str">
        <x:v>实际用油重</x:v>
      </x:c>
    </x:row>
    <x:row r="3956" ht="23" customHeight="1">
      <x:c r="A3956" t="n">
        <x:v>660</x:v>
      </x:c>
      <x:c r="B3956" t="n">
        <x:v>330</x:v>
      </x:c>
      <x:c r="C3956" t="str">
        <x:v>晚餐</x:v>
      </x:c>
      <x:c r="D3956" t="str">
        <x:v>豆蛋</x:v>
      </x:c>
      <x:c r="E3956" t="str">
        <x:v>鸡蛋</x:v>
      </x:c>
      <x:c r="F3956" t="n">
        <x:v>110</x:v>
      </x:c>
      <x:c r="G3956" t="n">
        <x:v>144</x:v>
      </x:c>
      <x:c r="H3956" t="n">
        <x:f>ROUND(F3956*G3956/100,2)</x:f>
        <x:v>158.4</x:v>
      </x:c>
      <x:c r="I3956" t="n">
        <x:v>13</x:v>
      </x:c>
      <x:c r="J3956" t="n">
        <x:f>ROUND(F3956*I3956/100,2)</x:f>
        <x:v>14.3</x:v>
      </x:c>
      <x:c r="K3956" t="n">
        <x:v>1.1</x:v>
      </x:c>
      <x:c r="L3956" t="n">
        <x:f>ROUND(F3956*K3956/100,2)</x:f>
        <x:v>1.21</x:v>
      </x:c>
      <x:c r="M3956" t="n">
        <x:v>10</x:v>
      </x:c>
      <x:c r="N3956" t="n">
        <x:f>ROUND(F3956*M3956/100,2)</x:f>
        <x:v>11</x:v>
      </x:c>
      <x:c r="O3956" t="str">
        <x:v>去壳可食重</x:v>
      </x:c>
    </x:row>
    <x:row r="3957" ht="23" customHeight="1">
      <x:c r="A3957" t="n">
        <x:v>660</x:v>
      </x:c>
      <x:c r="B3957" t="n">
        <x:v>330</x:v>
      </x:c>
      <x:c r="C3957" t="str">
        <x:v>晚餐</x:v>
      </x:c>
      <x:c r="D3957" t="str">
        <x:v>豆蛋</x:v>
      </x:c>
      <x:c r="E3957" t="str">
        <x:v>北豆腐</x:v>
      </x:c>
      <x:c r="F3957" t="n">
        <x:v>130</x:v>
      </x:c>
      <x:c r="G3957" t="n">
        <x:v>90</x:v>
      </x:c>
      <x:c r="H3957" t="n">
        <x:f>ROUND(F3957*G3957/100,2)</x:f>
        <x:v>117</x:v>
      </x:c>
      <x:c r="I3957" t="n">
        <x:v>10</x:v>
      </x:c>
      <x:c r="J3957" t="n">
        <x:f>ROUND(F3957*I3957/100,2)</x:f>
        <x:v>13</x:v>
      </x:c>
      <x:c r="K3957" t="n">
        <x:v>2</x:v>
      </x:c>
      <x:c r="L3957" t="n">
        <x:f>ROUND(F3957*K3957/100,2)</x:f>
        <x:v>2.6</x:v>
      </x:c>
      <x:c r="M3957" t="n">
        <x:v>5</x:v>
      </x:c>
      <x:c r="N3957" t="n">
        <x:f>ROUND(F3957*M3957/100,2)</x:f>
        <x:v>6.5</x:v>
      </x:c>
      <x:c r="O3957" t="str">
        <x:v>净重</x:v>
      </x:c>
    </x:row>
    <x:row r="3958" ht="23" customHeight="1">
      <x:c r="A3958" t="n">
        <x:v>660</x:v>
      </x:c>
      <x:c r="B3958" t="n">
        <x:v>330</x:v>
      </x:c>
      <x:c r="C3958" t="str">
        <x:v>晚餐</x:v>
      </x:c>
      <x:c r="D3958" t="str">
        <x:v>蔬菜</x:v>
      </x:c>
      <x:c r="E3958" t="str">
        <x:v>番茄</x:v>
      </x:c>
      <x:c r="F3958" t="n">
        <x:v>140</x:v>
      </x:c>
      <x:c r="G3958" t="n">
        <x:v>20</x:v>
      </x:c>
      <x:c r="H3958" t="n">
        <x:f>ROUND(F3958*G3958/100,2)</x:f>
        <x:v>28</x:v>
      </x:c>
      <x:c r="I3958" t="n">
        <x:v>0.9</x:v>
      </x:c>
      <x:c r="J3958" t="n">
        <x:f>ROUND(F3958*I3958/100,2)</x:f>
        <x:v>1.26</x:v>
      </x:c>
      <x:c r="K3958" t="n">
        <x:v>4</x:v>
      </x:c>
      <x:c r="L3958" t="n">
        <x:f>ROUND(F3958*K3958/100,2)</x:f>
        <x:v>5.6</x:v>
      </x:c>
      <x:c r="M3958" t="n">
        <x:v>0.2</x:v>
      </x:c>
      <x:c r="N3958" t="n">
        <x:f>ROUND(F3958*M3958/100,2)</x:f>
        <x:v>0.28</x:v>
      </x:c>
      <x:c r="O3958" t="str">
        <x:v>生重</x:v>
      </x:c>
    </x:row>
    <x:row r="3959" ht="23" customHeight="1">
      <x:c r="A3959" t="n">
        <x:v>660</x:v>
      </x:c>
      <x:c r="B3959" t="n">
        <x:v>330</x:v>
      </x:c>
      <x:c r="C3959" t="str">
        <x:v>晚餐</x:v>
      </x:c>
      <x:c r="D3959" t="str">
        <x:v>菌菇</x:v>
      </x:c>
      <x:c r="E3959" t="str">
        <x:v>金针菇</x:v>
      </x:c>
      <x:c r="F3959" t="n">
        <x:v>110</x:v>
      </x:c>
      <x:c r="G3959" t="n">
        <x:v>32</x:v>
      </x:c>
      <x:c r="H3959" t="n">
        <x:f>ROUND(F3959*G3959/100,2)</x:f>
        <x:v>35.2</x:v>
      </x:c>
      <x:c r="I3959" t="n">
        <x:v>2.4</x:v>
      </x:c>
      <x:c r="J3959" t="n">
        <x:f>ROUND(F3959*I3959/100,2)</x:f>
        <x:v>2.64</x:v>
      </x:c>
      <x:c r="K3959" t="n">
        <x:v>6.4</x:v>
      </x:c>
      <x:c r="L3959" t="n">
        <x:f>ROUND(F3959*K3959/100,2)</x:f>
        <x:v>7.04</x:v>
      </x:c>
      <x:c r="M3959" t="n">
        <x:v>0.2</x:v>
      </x:c>
      <x:c r="N3959" t="n">
        <x:f>ROUND(F3959*M3959/100,2)</x:f>
        <x:v>0.22</x:v>
      </x:c>
      <x:c r="O3959" t="str">
        <x:v>生重</x:v>
      </x:c>
    </x:row>
    <x:row r="3960" ht="23" customHeight="1">
      <x:c r="A3960" t="n">
        <x:v>660</x:v>
      </x:c>
      <x:c r="B3960" t="n">
        <x:v>330</x:v>
      </x:c>
      <x:c r="C3960" t="str">
        <x:v>晚餐</x:v>
      </x:c>
      <x:c r="D3960" t="str">
        <x:v>主食</x:v>
      </x:c>
      <x:c r="E3960" t="str">
        <x:v>糙米饭</x:v>
      </x:c>
      <x:c r="F3960" t="n">
        <x:v>80</x:v>
      </x:c>
      <x:c r="G3960" t="n">
        <x:v>112</x:v>
      </x:c>
      <x:c r="H3960" t="n">
        <x:f>ROUND(F3960*G3960/100,2)</x:f>
        <x:v>89.6</x:v>
      </x:c>
      <x:c r="I3960" t="n">
        <x:v>2.6</x:v>
      </x:c>
      <x:c r="J3960" t="n">
        <x:f>ROUND(F3960*I3960/100,2)</x:f>
        <x:v>2.08</x:v>
      </x:c>
      <x:c r="K3960" t="n">
        <x:v>23.5</x:v>
      </x:c>
      <x:c r="L3960" t="n">
        <x:f>ROUND(F3960*K3960/100,2)</x:f>
        <x:v>18.8</x:v>
      </x:c>
      <x:c r="M3960" t="n">
        <x:v>0.9</x:v>
      </x:c>
      <x:c r="N3960" t="n">
        <x:f>ROUND(F3960*M3960/100,2)</x:f>
        <x:v>0.72</x:v>
      </x:c>
      <x:c r="O3960" t="str">
        <x:v>熟重</x:v>
      </x:c>
    </x:row>
    <x:row r="3961" ht="23" customHeight="1">
      <x:c r="A3961" t="n">
        <x:v>660</x:v>
      </x:c>
      <x:c r="B3961" t="n">
        <x:v>330</x:v>
      </x:c>
      <x:c r="C3961" t="str">
        <x:v>晚餐</x:v>
      </x:c>
      <x:c r="D3961" t="str">
        <x:v>油脂</x:v>
      </x:c>
      <x:c r="E3961" t="str">
        <x:v>烹调油</x:v>
      </x:c>
      <x:c r="F3961" t="n">
        <x:v>3</x:v>
      </x:c>
      <x:c r="G3961" t="n">
        <x:v>900</x:v>
      </x:c>
      <x:c r="H3961" t="n">
        <x:f>ROUND(F3961*G3961/100,2)</x:f>
        <x:v>27</x:v>
      </x:c>
      <x:c r="I3961" t="n">
        <x:v>0</x:v>
      </x:c>
      <x:c r="J3961" t="n">
        <x:f>ROUND(F3961*I3961/100,2)</x:f>
        <x:v>0</x:v>
      </x:c>
      <x:c r="K3961" t="n">
        <x:v>0</x:v>
      </x:c>
      <x:c r="L3961" t="n">
        <x:f>ROUND(F3961*K3961/100,2)</x:f>
        <x:v>0</x:v>
      </x:c>
      <x:c r="M3961" t="n">
        <x:v>100</x:v>
      </x:c>
      <x:c r="N3961" t="n">
        <x:f>ROUND(F3961*M3961/100,2)</x:f>
        <x:v>3</x:v>
      </x:c>
      <x:c r="O3961" t="str">
        <x:v>实际用油重</x:v>
      </x:c>
    </x:row>
    <x:row r="3962" ht="23" customHeight="1">
      <x:c r="A3962" t="n">
        <x:v>661</x:v>
      </x:c>
      <x:c r="B3962" t="n">
        <x:v>331</x:v>
      </x:c>
      <x:c r="C3962" t="str">
        <x:v>午餐</x:v>
      </x:c>
      <x:c r="D3962" t="str">
        <x:v>海鲜</x:v>
      </x:c>
      <x:c r="E3962" t="str">
        <x:v>鱿鱼</x:v>
      </x:c>
      <x:c r="F3962" t="n">
        <x:v>190</x:v>
      </x:c>
      <x:c r="G3962" t="n">
        <x:v>95</x:v>
      </x:c>
      <x:c r="H3962" t="n">
        <x:f>ROUND(F3962*G3962/100,2)</x:f>
        <x:v>180.5</x:v>
      </x:c>
      <x:c r="I3962" t="n">
        <x:v>17</x:v>
      </x:c>
      <x:c r="J3962" t="n">
        <x:f>ROUND(F3962*I3962/100,2)</x:f>
        <x:v>32.3</x:v>
      </x:c>
      <x:c r="K3962" t="n">
        <x:v>2</x:v>
      </x:c>
      <x:c r="L3962" t="n">
        <x:f>ROUND(F3962*K3962/100,2)</x:f>
        <x:v>3.8</x:v>
      </x:c>
      <x:c r="M3962" t="n">
        <x:v>1.4</x:v>
      </x:c>
      <x:c r="N3962" t="n">
        <x:f>ROUND(F3962*M3962/100,2)</x:f>
        <x:v>2.66</x:v>
      </x:c>
      <x:c r="O3962" t="str">
        <x:v>生重</x:v>
      </x:c>
    </x:row>
    <x:row r="3963" ht="23" customHeight="1">
      <x:c r="A3963" t="n">
        <x:v>661</x:v>
      </x:c>
      <x:c r="B3963" t="n">
        <x:v>331</x:v>
      </x:c>
      <x:c r="C3963" t="str">
        <x:v>午餐</x:v>
      </x:c>
      <x:c r="D3963" t="str"/>
      <x:c r="E3963" t="str"/>
      <x:c r="F3963" t="n">
        <x:v>0</x:v>
      </x:c>
      <x:c r="G3963" t="n">
        <x:v>0</x:v>
      </x:c>
      <x:c r="H3963" t="n">
        <x:f>ROUND(F3963*G3963/100,2)</x:f>
        <x:v>0</x:v>
      </x:c>
      <x:c r="I3963" t="n">
        <x:v>0</x:v>
      </x:c>
      <x:c r="J3963" t="n">
        <x:f>ROUND(F3963*I3963/100,2)</x:f>
        <x:v>0</x:v>
      </x:c>
      <x:c r="K3963" t="n">
        <x:v>0</x:v>
      </x:c>
      <x:c r="L3963" t="n">
        <x:f>ROUND(F3963*K3963/100,2)</x:f>
        <x:v>0</x:v>
      </x:c>
      <x:c r="M3963" t="n">
        <x:v>0</x:v>
      </x:c>
      <x:c r="N3963" t="n">
        <x:f>ROUND(F3963*M3963/100,2)</x:f>
        <x:v>0</x:v>
      </x:c>
      <x:c r="O3963" t="str"/>
    </x:row>
    <x:row r="3964" ht="23" customHeight="1">
      <x:c r="A3964" t="n">
        <x:v>661</x:v>
      </x:c>
      <x:c r="B3964" t="n">
        <x:v>331</x:v>
      </x:c>
      <x:c r="C3964" t="str">
        <x:v>午餐</x:v>
      </x:c>
      <x:c r="D3964" t="str">
        <x:v>蔬菜</x:v>
      </x:c>
      <x:c r="E3964" t="str">
        <x:v>芹菜</x:v>
      </x:c>
      <x:c r="F3964" t="n">
        <x:v>175</x:v>
      </x:c>
      <x:c r="G3964" t="n">
        <x:v>17</x:v>
      </x:c>
      <x:c r="H3964" t="n">
        <x:f>ROUND(F3964*G3964/100,2)</x:f>
        <x:v>29.75</x:v>
      </x:c>
      <x:c r="I3964" t="n">
        <x:v>1</x:v>
      </x:c>
      <x:c r="J3964" t="n">
        <x:f>ROUND(F3964*I3964/100,2)</x:f>
        <x:v>1.75</x:v>
      </x:c>
      <x:c r="K3964" t="n">
        <x:v>3.5</x:v>
      </x:c>
      <x:c r="L3964" t="n">
        <x:f>ROUND(F3964*K3964/100,2)</x:f>
        <x:v>6.13</x:v>
      </x:c>
      <x:c r="M3964" t="n">
        <x:v>0.1</x:v>
      </x:c>
      <x:c r="N3964" t="n">
        <x:f>ROUND(F3964*M3964/100,2)</x:f>
        <x:v>0.18</x:v>
      </x:c>
      <x:c r="O3964" t="str">
        <x:v>生重</x:v>
      </x:c>
    </x:row>
    <x:row r="3965" ht="23" customHeight="1">
      <x:c r="A3965" t="n">
        <x:v>661</x:v>
      </x:c>
      <x:c r="B3965" t="n">
        <x:v>331</x:v>
      </x:c>
      <x:c r="C3965" t="str">
        <x:v>午餐</x:v>
      </x:c>
      <x:c r="D3965" t="str">
        <x:v>蔬菜</x:v>
      </x:c>
      <x:c r="E3965" t="str">
        <x:v>白萝卜</x:v>
      </x:c>
      <x:c r="F3965" t="n">
        <x:v>155</x:v>
      </x:c>
      <x:c r="G3965" t="n">
        <x:v>18</x:v>
      </x:c>
      <x:c r="H3965" t="n">
        <x:f>ROUND(F3965*G3965/100,2)</x:f>
        <x:v>27.9</x:v>
      </x:c>
      <x:c r="I3965" t="n">
        <x:v>0.6</x:v>
      </x:c>
      <x:c r="J3965" t="n">
        <x:f>ROUND(F3965*I3965/100,2)</x:f>
        <x:v>0.93</x:v>
      </x:c>
      <x:c r="K3965" t="n">
        <x:v>4</x:v>
      </x:c>
      <x:c r="L3965" t="n">
        <x:f>ROUND(F3965*K3965/100,2)</x:f>
        <x:v>6.2</x:v>
      </x:c>
      <x:c r="M3965" t="n">
        <x:v>0.1</x:v>
      </x:c>
      <x:c r="N3965" t="n">
        <x:f>ROUND(F3965*M3965/100,2)</x:f>
        <x:v>0.16</x:v>
      </x:c>
      <x:c r="O3965" t="str">
        <x:v>生重</x:v>
      </x:c>
    </x:row>
    <x:row r="3966" ht="23" customHeight="1">
      <x:c r="A3966" t="n">
        <x:v>661</x:v>
      </x:c>
      <x:c r="B3966" t="n">
        <x:v>331</x:v>
      </x:c>
      <x:c r="C3966" t="str">
        <x:v>午餐</x:v>
      </x:c>
      <x:c r="D3966" t="str">
        <x:v>主食</x:v>
      </x:c>
      <x:c r="E3966" t="str">
        <x:v>糙米饭</x:v>
      </x:c>
      <x:c r="F3966" t="n">
        <x:v>135</x:v>
      </x:c>
      <x:c r="G3966" t="n">
        <x:v>112</x:v>
      </x:c>
      <x:c r="H3966" t="n">
        <x:f>ROUND(F3966*G3966/100,2)</x:f>
        <x:v>151.2</x:v>
      </x:c>
      <x:c r="I3966" t="n">
        <x:v>2.6</x:v>
      </x:c>
      <x:c r="J3966" t="n">
        <x:f>ROUND(F3966*I3966/100,2)</x:f>
        <x:v>3.51</x:v>
      </x:c>
      <x:c r="K3966" t="n">
        <x:v>23.5</x:v>
      </x:c>
      <x:c r="L3966" t="n">
        <x:f>ROUND(F3966*K3966/100,2)</x:f>
        <x:v>31.73</x:v>
      </x:c>
      <x:c r="M3966" t="n">
        <x:v>0.9</x:v>
      </x:c>
      <x:c r="N3966" t="n">
        <x:f>ROUND(F3966*M3966/100,2)</x:f>
        <x:v>1.22</x:v>
      </x:c>
      <x:c r="O3966" t="str">
        <x:v>熟重</x:v>
      </x:c>
    </x:row>
    <x:row r="3967" ht="23" customHeight="1">
      <x:c r="A3967" t="n">
        <x:v>661</x:v>
      </x:c>
      <x:c r="B3967" t="n">
        <x:v>331</x:v>
      </x:c>
      <x:c r="C3967" t="str">
        <x:v>午餐</x:v>
      </x:c>
      <x:c r="D3967" t="str">
        <x:v>油脂</x:v>
      </x:c>
      <x:c r="E3967" t="str">
        <x:v>烹调油</x:v>
      </x:c>
      <x:c r="F3967" t="n">
        <x:v>4</x:v>
      </x:c>
      <x:c r="G3967" t="n">
        <x:v>900</x:v>
      </x:c>
      <x:c r="H3967" t="n">
        <x:f>ROUND(F3967*G3967/100,2)</x:f>
        <x:v>36</x:v>
      </x:c>
      <x:c r="I3967" t="n">
        <x:v>0</x:v>
      </x:c>
      <x:c r="J3967" t="n">
        <x:f>ROUND(F3967*I3967/100,2)</x:f>
        <x:v>0</x:v>
      </x:c>
      <x:c r="K3967" t="n">
        <x:v>0</x:v>
      </x:c>
      <x:c r="L3967" t="n">
        <x:f>ROUND(F3967*K3967/100,2)</x:f>
        <x:v>0</x:v>
      </x:c>
      <x:c r="M3967" t="n">
        <x:v>100</x:v>
      </x:c>
      <x:c r="N3967" t="n">
        <x:f>ROUND(F3967*M3967/100,2)</x:f>
        <x:v>4</x:v>
      </x:c>
      <x:c r="O3967" t="str">
        <x:v>实际用油重</x:v>
      </x:c>
    </x:row>
    <x:row r="3968" ht="23" customHeight="1">
      <x:c r="A3968" t="n">
        <x:v>662</x:v>
      </x:c>
      <x:c r="B3968" t="n">
        <x:v>331</x:v>
      </x:c>
      <x:c r="C3968" t="str">
        <x:v>晚餐</x:v>
      </x:c>
      <x:c r="D3968" t="str">
        <x:v>豆蛋</x:v>
      </x:c>
      <x:c r="E3968" t="str">
        <x:v>嫩豆腐</x:v>
      </x:c>
      <x:c r="F3968" t="n">
        <x:v>260</x:v>
      </x:c>
      <x:c r="G3968" t="n">
        <x:v>55</x:v>
      </x:c>
      <x:c r="H3968" t="n">
        <x:f>ROUND(F3968*G3968/100,2)</x:f>
        <x:v>143</x:v>
      </x:c>
      <x:c r="I3968" t="n">
        <x:v>5</x:v>
      </x:c>
      <x:c r="J3968" t="n">
        <x:f>ROUND(F3968*I3968/100,2)</x:f>
        <x:v>13</x:v>
      </x:c>
      <x:c r="K3968" t="n">
        <x:v>2</x:v>
      </x:c>
      <x:c r="L3968" t="n">
        <x:f>ROUND(F3968*K3968/100,2)</x:f>
        <x:v>5.2</x:v>
      </x:c>
      <x:c r="M3968" t="n">
        <x:v>2.8</x:v>
      </x:c>
      <x:c r="N3968" t="n">
        <x:f>ROUND(F3968*M3968/100,2)</x:f>
        <x:v>7.28</x:v>
      </x:c>
      <x:c r="O3968" t="str">
        <x:v>净重</x:v>
      </x:c>
    </x:row>
    <x:row r="3969" ht="23" customHeight="1">
      <x:c r="A3969" t="n">
        <x:v>662</x:v>
      </x:c>
      <x:c r="B3969" t="n">
        <x:v>331</x:v>
      </x:c>
      <x:c r="C3969" t="str">
        <x:v>晚餐</x:v>
      </x:c>
      <x:c r="D3969" t="str">
        <x:v>海鲜</x:v>
      </x:c>
      <x:c r="E3969" t="str">
        <x:v>虾仁</x:v>
      </x:c>
      <x:c r="F3969" t="n">
        <x:v>85</x:v>
      </x:c>
      <x:c r="G3969" t="n">
        <x:v>90</x:v>
      </x:c>
      <x:c r="H3969" t="n">
        <x:f>ROUND(F3969*G3969/100,2)</x:f>
        <x:v>76.5</x:v>
      </x:c>
      <x:c r="I3969" t="n">
        <x:v>19</x:v>
      </x:c>
      <x:c r="J3969" t="n">
        <x:f>ROUND(F3969*I3969/100,2)</x:f>
        <x:v>16.15</x:v>
      </x:c>
      <x:c r="K3969" t="n">
        <x:v>0.4</x:v>
      </x:c>
      <x:c r="L3969" t="n">
        <x:f>ROUND(F3969*K3969/100,2)</x:f>
        <x:v>0.34</x:v>
      </x:c>
      <x:c r="M3969" t="n">
        <x:v>1.1</x:v>
      </x:c>
      <x:c r="N3969" t="n">
        <x:f>ROUND(F3969*M3969/100,2)</x:f>
        <x:v>0.94</x:v>
      </x:c>
      <x:c r="O3969" t="str">
        <x:v>生重</x:v>
      </x:c>
    </x:row>
    <x:row r="3970" ht="23" customHeight="1">
      <x:c r="A3970" t="n">
        <x:v>662</x:v>
      </x:c>
      <x:c r="B3970" t="n">
        <x:v>331</x:v>
      </x:c>
      <x:c r="C3970" t="str">
        <x:v>晚餐</x:v>
      </x:c>
      <x:c r="D3970" t="str">
        <x:v>蔬菜</x:v>
      </x:c>
      <x:c r="E3970" t="str">
        <x:v>竹笋</x:v>
      </x:c>
      <x:c r="F3970" t="n">
        <x:v>140</x:v>
      </x:c>
      <x:c r="G3970" t="n">
        <x:v>27</x:v>
      </x:c>
      <x:c r="H3970" t="n">
        <x:f>ROUND(F3970*G3970/100,2)</x:f>
        <x:v>37.8</x:v>
      </x:c>
      <x:c r="I3970" t="n">
        <x:v>2.6</x:v>
      </x:c>
      <x:c r="J3970" t="n">
        <x:f>ROUND(F3970*I3970/100,2)</x:f>
        <x:v>3.64</x:v>
      </x:c>
      <x:c r="K3970" t="n">
        <x:v>5.2</x:v>
      </x:c>
      <x:c r="L3970" t="n">
        <x:f>ROUND(F3970*K3970/100,2)</x:f>
        <x:v>7.28</x:v>
      </x:c>
      <x:c r="M3970" t="n">
        <x:v>0.3</x:v>
      </x:c>
      <x:c r="N3970" t="n">
        <x:f>ROUND(F3970*M3970/100,2)</x:f>
        <x:v>0.42</x:v>
      </x:c>
      <x:c r="O3970" t="str">
        <x:v>生重</x:v>
      </x:c>
    </x:row>
    <x:row r="3971" ht="23" customHeight="1">
      <x:c r="A3971" t="n">
        <x:v>662</x:v>
      </x:c>
      <x:c r="B3971" t="n">
        <x:v>331</x:v>
      </x:c>
      <x:c r="C3971" t="str">
        <x:v>晚餐</x:v>
      </x:c>
      <x:c r="D3971" t="str">
        <x:v>菌菇</x:v>
      </x:c>
      <x:c r="E3971" t="str">
        <x:v>口蘑</x:v>
      </x:c>
      <x:c r="F3971" t="n">
        <x:v>155</x:v>
      </x:c>
      <x:c r="G3971" t="n">
        <x:v>22</x:v>
      </x:c>
      <x:c r="H3971" t="n">
        <x:f>ROUND(F3971*G3971/100,2)</x:f>
        <x:v>34.1</x:v>
      </x:c>
      <x:c r="I3971" t="n">
        <x:v>3.1</x:v>
      </x:c>
      <x:c r="J3971" t="n">
        <x:f>ROUND(F3971*I3971/100,2)</x:f>
        <x:v>4.81</x:v>
      </x:c>
      <x:c r="K3971" t="n">
        <x:v>3.3</x:v>
      </x:c>
      <x:c r="L3971" t="n">
        <x:f>ROUND(F3971*K3971/100,2)</x:f>
        <x:v>5.12</x:v>
      </x:c>
      <x:c r="M3971" t="n">
        <x:v>0.3</x:v>
      </x:c>
      <x:c r="N3971" t="n">
        <x:f>ROUND(F3971*M3971/100,2)</x:f>
        <x:v>0.47</x:v>
      </x:c>
      <x:c r="O3971" t="str">
        <x:v>生重</x:v>
      </x:c>
    </x:row>
    <x:row r="3972" ht="23" customHeight="1">
      <x:c r="A3972" t="n">
        <x:v>662</x:v>
      </x:c>
      <x:c r="B3972" t="n">
        <x:v>331</x:v>
      </x:c>
      <x:c r="C3972" t="str">
        <x:v>晚餐</x:v>
      </x:c>
      <x:c r="D3972" t="str">
        <x:v>主食</x:v>
      </x:c>
      <x:c r="E3972" t="str">
        <x:v>白米饭</x:v>
      </x:c>
      <x:c r="F3972" t="n">
        <x:v>80</x:v>
      </x:c>
      <x:c r="G3972" t="n">
        <x:v>116</x:v>
      </x:c>
      <x:c r="H3972" t="n">
        <x:f>ROUND(F3972*G3972/100,2)</x:f>
        <x:v>92.8</x:v>
      </x:c>
      <x:c r="I3972" t="n">
        <x:v>2.6</x:v>
      </x:c>
      <x:c r="J3972" t="n">
        <x:f>ROUND(F3972*I3972/100,2)</x:f>
        <x:v>2.08</x:v>
      </x:c>
      <x:c r="K3972" t="n">
        <x:v>25.6</x:v>
      </x:c>
      <x:c r="L3972" t="n">
        <x:f>ROUND(F3972*K3972/100,2)</x:f>
        <x:v>20.48</x:v>
      </x:c>
      <x:c r="M3972" t="n">
        <x:v>0.3</x:v>
      </x:c>
      <x:c r="N3972" t="n">
        <x:f>ROUND(F3972*M3972/100,2)</x:f>
        <x:v>0.24</x:v>
      </x:c>
      <x:c r="O3972" t="str">
        <x:v>熟重</x:v>
      </x:c>
    </x:row>
    <x:row r="3973" ht="23" customHeight="1">
      <x:c r="A3973" t="n">
        <x:v>662</x:v>
      </x:c>
      <x:c r="B3973" t="n">
        <x:v>331</x:v>
      </x:c>
      <x:c r="C3973" t="str">
        <x:v>晚餐</x:v>
      </x:c>
      <x:c r="D3973" t="str">
        <x:v>油脂</x:v>
      </x:c>
      <x:c r="E3973" t="str">
        <x:v>烹调油</x:v>
      </x:c>
      <x:c r="F3973" t="n">
        <x:v>5</x:v>
      </x:c>
      <x:c r="G3973" t="n">
        <x:v>900</x:v>
      </x:c>
      <x:c r="H3973" t="n">
        <x:f>ROUND(F3973*G3973/100,2)</x:f>
        <x:v>45</x:v>
      </x:c>
      <x:c r="I3973" t="n">
        <x:v>0</x:v>
      </x:c>
      <x:c r="J3973" t="n">
        <x:f>ROUND(F3973*I3973/100,2)</x:f>
        <x:v>0</x:v>
      </x:c>
      <x:c r="K3973" t="n">
        <x:v>0</x:v>
      </x:c>
      <x:c r="L3973" t="n">
        <x:f>ROUND(F3973*K3973/100,2)</x:f>
        <x:v>0</x:v>
      </x:c>
      <x:c r="M3973" t="n">
        <x:v>100</x:v>
      </x:c>
      <x:c r="N3973" t="n">
        <x:f>ROUND(F3973*M3973/100,2)</x:f>
        <x:v>5</x:v>
      </x:c>
      <x:c r="O3973" t="str">
        <x:v>实际用油重</x:v>
      </x:c>
    </x:row>
    <x:row r="3974" ht="23" customHeight="1">
      <x:c r="A3974" t="n">
        <x:v>663</x:v>
      </x:c>
      <x:c r="B3974" t="n">
        <x:v>332</x:v>
      </x:c>
      <x:c r="C3974" t="str">
        <x:v>午餐</x:v>
      </x:c>
      <x:c r="D3974" t="str">
        <x:v>豆蛋</x:v>
      </x:c>
      <x:c r="E3974" t="str">
        <x:v>北豆腐</x:v>
      </x:c>
      <x:c r="F3974" t="n">
        <x:v>240</x:v>
      </x:c>
      <x:c r="G3974" t="n">
        <x:v>90</x:v>
      </x:c>
      <x:c r="H3974" t="n">
        <x:f>ROUND(F3974*G3974/100,2)</x:f>
        <x:v>216</x:v>
      </x:c>
      <x:c r="I3974" t="n">
        <x:v>10</x:v>
      </x:c>
      <x:c r="J3974" t="n">
        <x:f>ROUND(F3974*I3974/100,2)</x:f>
        <x:v>24</x:v>
      </x:c>
      <x:c r="K3974" t="n">
        <x:v>2</x:v>
      </x:c>
      <x:c r="L3974" t="n">
        <x:f>ROUND(F3974*K3974/100,2)</x:f>
        <x:v>4.8</x:v>
      </x:c>
      <x:c r="M3974" t="n">
        <x:v>5</x:v>
      </x:c>
      <x:c r="N3974" t="n">
        <x:f>ROUND(F3974*M3974/100,2)</x:f>
        <x:v>12</x:v>
      </x:c>
      <x:c r="O3974" t="str">
        <x:v>净重</x:v>
      </x:c>
    </x:row>
    <x:row r="3975" ht="23" customHeight="1">
      <x:c r="A3975" t="n">
        <x:v>663</x:v>
      </x:c>
      <x:c r="B3975" t="n">
        <x:v>332</x:v>
      </x:c>
      <x:c r="C3975" t="str">
        <x:v>午餐</x:v>
      </x:c>
      <x:c r="D3975" t="str">
        <x:v>豆蛋</x:v>
      </x:c>
      <x:c r="E3975" t="str">
        <x:v>鸡蛋</x:v>
      </x:c>
      <x:c r="F3975" t="n">
        <x:v>60</x:v>
      </x:c>
      <x:c r="G3975" t="n">
        <x:v>144</x:v>
      </x:c>
      <x:c r="H3975" t="n">
        <x:f>ROUND(F3975*G3975/100,2)</x:f>
        <x:v>86.4</x:v>
      </x:c>
      <x:c r="I3975" t="n">
        <x:v>13</x:v>
      </x:c>
      <x:c r="J3975" t="n">
        <x:f>ROUND(F3975*I3975/100,2)</x:f>
        <x:v>7.8</x:v>
      </x:c>
      <x:c r="K3975" t="n">
        <x:v>1.1</x:v>
      </x:c>
      <x:c r="L3975" t="n">
        <x:f>ROUND(F3975*K3975/100,2)</x:f>
        <x:v>0.66</x:v>
      </x:c>
      <x:c r="M3975" t="n">
        <x:v>10</x:v>
      </x:c>
      <x:c r="N3975" t="n">
        <x:f>ROUND(F3975*M3975/100,2)</x:f>
        <x:v>6</x:v>
      </x:c>
      <x:c r="O3975" t="str">
        <x:v>去壳可食重</x:v>
      </x:c>
    </x:row>
    <x:row r="3976" ht="23" customHeight="1">
      <x:c r="A3976" t="n">
        <x:v>663</x:v>
      </x:c>
      <x:c r="B3976" t="n">
        <x:v>332</x:v>
      </x:c>
      <x:c r="C3976" t="str">
        <x:v>午餐</x:v>
      </x:c>
      <x:c r="D3976" t="str">
        <x:v>蔬菜</x:v>
      </x:c>
      <x:c r="E3976" t="str">
        <x:v>紫甘蓝</x:v>
      </x:c>
      <x:c r="F3976" t="n">
        <x:v>190</x:v>
      </x:c>
      <x:c r="G3976" t="n">
        <x:v>31</x:v>
      </x:c>
      <x:c r="H3976" t="n">
        <x:f>ROUND(F3976*G3976/100,2)</x:f>
        <x:v>58.9</x:v>
      </x:c>
      <x:c r="I3976" t="n">
        <x:v>1.4</x:v>
      </x:c>
      <x:c r="J3976" t="n">
        <x:f>ROUND(F3976*I3976/100,2)</x:f>
        <x:v>2.66</x:v>
      </x:c>
      <x:c r="K3976" t="n">
        <x:v>7.3</x:v>
      </x:c>
      <x:c r="L3976" t="n">
        <x:f>ROUND(F3976*K3976/100,2)</x:f>
        <x:v>13.87</x:v>
      </x:c>
      <x:c r="M3976" t="n">
        <x:v>0.1</x:v>
      </x:c>
      <x:c r="N3976" t="n">
        <x:f>ROUND(F3976*M3976/100,2)</x:f>
        <x:v>0.19</x:v>
      </x:c>
      <x:c r="O3976" t="str">
        <x:v>生重</x:v>
      </x:c>
    </x:row>
    <x:row r="3977" ht="23" customHeight="1">
      <x:c r="A3977" t="n">
        <x:v>663</x:v>
      </x:c>
      <x:c r="B3977" t="n">
        <x:v>332</x:v>
      </x:c>
      <x:c r="C3977" t="str">
        <x:v>午餐</x:v>
      </x:c>
      <x:c r="D3977" t="str">
        <x:v>菌菇</x:v>
      </x:c>
      <x:c r="E3977" t="str">
        <x:v>金针菇</x:v>
      </x:c>
      <x:c r="F3977" t="n">
        <x:v>155</x:v>
      </x:c>
      <x:c r="G3977" t="n">
        <x:v>32</x:v>
      </x:c>
      <x:c r="H3977" t="n">
        <x:f>ROUND(F3977*G3977/100,2)</x:f>
        <x:v>49.6</x:v>
      </x:c>
      <x:c r="I3977" t="n">
        <x:v>2.4</x:v>
      </x:c>
      <x:c r="J3977" t="n">
        <x:f>ROUND(F3977*I3977/100,2)</x:f>
        <x:v>3.72</x:v>
      </x:c>
      <x:c r="K3977" t="n">
        <x:v>6.4</x:v>
      </x:c>
      <x:c r="L3977" t="n">
        <x:f>ROUND(F3977*K3977/100,2)</x:f>
        <x:v>9.92</x:v>
      </x:c>
      <x:c r="M3977" t="n">
        <x:v>0.2</x:v>
      </x:c>
      <x:c r="N3977" t="n">
        <x:f>ROUND(F3977*M3977/100,2)</x:f>
        <x:v>0.31</x:v>
      </x:c>
      <x:c r="O3977" t="str">
        <x:v>生重</x:v>
      </x:c>
    </x:row>
    <x:row r="3978" ht="23" customHeight="1">
      <x:c r="A3978" t="n">
        <x:v>663</x:v>
      </x:c>
      <x:c r="B3978" t="n">
        <x:v>332</x:v>
      </x:c>
      <x:c r="C3978" t="str">
        <x:v>午餐</x:v>
      </x:c>
      <x:c r="D3978" t="str">
        <x:v>低主食</x:v>
      </x:c>
      <x:c r="E3978" t="str">
        <x:v>魔芋丝</x:v>
      </x:c>
      <x:c r="F3978" t="n">
        <x:v>130</x:v>
      </x:c>
      <x:c r="G3978" t="n">
        <x:v>9</x:v>
      </x:c>
      <x:c r="H3978" t="n">
        <x:f>ROUND(F3978*G3978/100,2)</x:f>
        <x:v>11.7</x:v>
      </x:c>
      <x:c r="I3978" t="n">
        <x:v>0.3</x:v>
      </x:c>
      <x:c r="J3978" t="n">
        <x:f>ROUND(F3978*I3978/100,2)</x:f>
        <x:v>0.39</x:v>
      </x:c>
      <x:c r="K3978" t="n">
        <x:v>2</x:v>
      </x:c>
      <x:c r="L3978" t="n">
        <x:f>ROUND(F3978*K3978/100,2)</x:f>
        <x:v>2.6</x:v>
      </x:c>
      <x:c r="M3978" t="n">
        <x:v>0</x:v>
      </x:c>
      <x:c r="N3978" t="n">
        <x:f>ROUND(F3978*M3978/100,2)</x:f>
        <x:v>0</x:v>
      </x:c>
      <x:c r="O3978" t="str">
        <x:v>沥水重</x:v>
      </x:c>
    </x:row>
    <x:row r="3979" ht="23" customHeight="1">
      <x:c r="A3979" t="n">
        <x:v>663</x:v>
      </x:c>
      <x:c r="B3979" t="n">
        <x:v>332</x:v>
      </x:c>
      <x:c r="C3979" t="str">
        <x:v>午餐</x:v>
      </x:c>
      <x:c r="D3979" t="str">
        <x:v>油脂</x:v>
      </x:c>
      <x:c r="E3979" t="str">
        <x:v>烹调油</x:v>
      </x:c>
      <x:c r="F3979" t="n">
        <x:v>5</x:v>
      </x:c>
      <x:c r="G3979" t="n">
        <x:v>900</x:v>
      </x:c>
      <x:c r="H3979" t="n">
        <x:f>ROUND(F3979*G3979/100,2)</x:f>
        <x:v>45</x:v>
      </x:c>
      <x:c r="I3979" t="n">
        <x:v>0</x:v>
      </x:c>
      <x:c r="J3979" t="n">
        <x:f>ROUND(F3979*I3979/100,2)</x:f>
        <x:v>0</x:v>
      </x:c>
      <x:c r="K3979" t="n">
        <x:v>0</x:v>
      </x:c>
      <x:c r="L3979" t="n">
        <x:f>ROUND(F3979*K3979/100,2)</x:f>
        <x:v>0</x:v>
      </x:c>
      <x:c r="M3979" t="n">
        <x:v>100</x:v>
      </x:c>
      <x:c r="N3979" t="n">
        <x:f>ROUND(F3979*M3979/100,2)</x:f>
        <x:v>5</x:v>
      </x:c>
      <x:c r="O3979" t="str">
        <x:v>实际用油重</x:v>
      </x:c>
    </x:row>
    <x:row r="3980" ht="23" customHeight="1">
      <x:c r="A3980" t="n">
        <x:v>664</x:v>
      </x:c>
      <x:c r="B3980" t="n">
        <x:v>332</x:v>
      </x:c>
      <x:c r="C3980" t="str">
        <x:v>晚餐</x:v>
      </x:c>
      <x:c r="D3980" t="str">
        <x:v>海鲜</x:v>
      </x:c>
      <x:c r="E3980" t="str">
        <x:v>扇贝肉</x:v>
      </x:c>
      <x:c r="F3980" t="n">
        <x:v>170</x:v>
      </x:c>
      <x:c r="G3980" t="n">
        <x:v>90</x:v>
      </x:c>
      <x:c r="H3980" t="n">
        <x:f>ROUND(F3980*G3980/100,2)</x:f>
        <x:v>153</x:v>
      </x:c>
      <x:c r="I3980" t="n">
        <x:v>17</x:v>
      </x:c>
      <x:c r="J3980" t="n">
        <x:f>ROUND(F3980*I3980/100,2)</x:f>
        <x:v>28.9</x:v>
      </x:c>
      <x:c r="K3980" t="n">
        <x:v>3</x:v>
      </x:c>
      <x:c r="L3980" t="n">
        <x:f>ROUND(F3980*K3980/100,2)</x:f>
        <x:v>5.1</x:v>
      </x:c>
      <x:c r="M3980" t="n">
        <x:v>0.8</x:v>
      </x:c>
      <x:c r="N3980" t="n">
        <x:f>ROUND(F3980*M3980/100,2)</x:f>
        <x:v>1.36</x:v>
      </x:c>
      <x:c r="O3980" t="str">
        <x:v>生重</x:v>
      </x:c>
    </x:row>
    <x:row r="3981" ht="23" customHeight="1">
      <x:c r="A3981" t="n">
        <x:v>664</x:v>
      </x:c>
      <x:c r="B3981" t="n">
        <x:v>332</x:v>
      </x:c>
      <x:c r="C3981" t="str">
        <x:v>晚餐</x:v>
      </x:c>
      <x:c r="D3981" t="str"/>
      <x:c r="E3981" t="str"/>
      <x:c r="F3981" t="n">
        <x:v>0</x:v>
      </x:c>
      <x:c r="G3981" t="n">
        <x:v>0</x:v>
      </x:c>
      <x:c r="H3981" t="n">
        <x:f>ROUND(F3981*G3981/100,2)</x:f>
        <x:v>0</x:v>
      </x:c>
      <x:c r="I3981" t="n">
        <x:v>0</x:v>
      </x:c>
      <x:c r="J3981" t="n">
        <x:f>ROUND(F3981*I3981/100,2)</x:f>
        <x:v>0</x:v>
      </x:c>
      <x:c r="K3981" t="n">
        <x:v>0</x:v>
      </x:c>
      <x:c r="L3981" t="n">
        <x:f>ROUND(F3981*K3981/100,2)</x:f>
        <x:v>0</x:v>
      </x:c>
      <x:c r="M3981" t="n">
        <x:v>0</x:v>
      </x:c>
      <x:c r="N3981" t="n">
        <x:f>ROUND(F3981*M3981/100,2)</x:f>
        <x:v>0</x:v>
      </x:c>
      <x:c r="O3981" t="str"/>
    </x:row>
    <x:row r="3982" ht="23" customHeight="1">
      <x:c r="A3982" t="n">
        <x:v>664</x:v>
      </x:c>
      <x:c r="B3982" t="n">
        <x:v>332</x:v>
      </x:c>
      <x:c r="C3982" t="str">
        <x:v>晚餐</x:v>
      </x:c>
      <x:c r="D3982" t="str">
        <x:v>蔬菜</x:v>
      </x:c>
      <x:c r="E3982" t="str">
        <x:v>娃娃菜</x:v>
      </x:c>
      <x:c r="F3982" t="n">
        <x:v>160</x:v>
      </x:c>
      <x:c r="G3982" t="n">
        <x:v>17</x:v>
      </x:c>
      <x:c r="H3982" t="n">
        <x:f>ROUND(F3982*G3982/100,2)</x:f>
        <x:v>27.2</x:v>
      </x:c>
      <x:c r="I3982" t="n">
        <x:v>1.3</x:v>
      </x:c>
      <x:c r="J3982" t="n">
        <x:f>ROUND(F3982*I3982/100,2)</x:f>
        <x:v>2.08</x:v>
      </x:c>
      <x:c r="K3982" t="n">
        <x:v>3</x:v>
      </x:c>
      <x:c r="L3982" t="n">
        <x:f>ROUND(F3982*K3982/100,2)</x:f>
        <x:v>4.8</x:v>
      </x:c>
      <x:c r="M3982" t="n">
        <x:v>0.2</x:v>
      </x:c>
      <x:c r="N3982" t="n">
        <x:f>ROUND(F3982*M3982/100,2)</x:f>
        <x:v>0.32</x:v>
      </x:c>
      <x:c r="O3982" t="str">
        <x:v>生重</x:v>
      </x:c>
    </x:row>
    <x:row r="3983" ht="23" customHeight="1">
      <x:c r="A3983" t="n">
        <x:v>664</x:v>
      </x:c>
      <x:c r="B3983" t="n">
        <x:v>332</x:v>
      </x:c>
      <x:c r="C3983" t="str">
        <x:v>晚餐</x:v>
      </x:c>
      <x:c r="D3983" t="str">
        <x:v>菌菇</x:v>
      </x:c>
      <x:c r="E3983" t="str">
        <x:v>香菇</x:v>
      </x:c>
      <x:c r="F3983" t="n">
        <x:v>110</x:v>
      </x:c>
      <x:c r="G3983" t="n">
        <x:v>34</x:v>
      </x:c>
      <x:c r="H3983" t="n">
        <x:f>ROUND(F3983*G3983/100,2)</x:f>
        <x:v>37.4</x:v>
      </x:c>
      <x:c r="I3983" t="n">
        <x:v>2.2</x:v>
      </x:c>
      <x:c r="J3983" t="n">
        <x:f>ROUND(F3983*I3983/100,2)</x:f>
        <x:v>2.42</x:v>
      </x:c>
      <x:c r="K3983" t="n">
        <x:v>6.8</x:v>
      </x:c>
      <x:c r="L3983" t="n">
        <x:f>ROUND(F3983*K3983/100,2)</x:f>
        <x:v>7.48</x:v>
      </x:c>
      <x:c r="M3983" t="n">
        <x:v>0.5</x:v>
      </x:c>
      <x:c r="N3983" t="n">
        <x:f>ROUND(F3983*M3983/100,2)</x:f>
        <x:v>0.55</x:v>
      </x:c>
      <x:c r="O3983" t="str">
        <x:v>生重</x:v>
      </x:c>
    </x:row>
    <x:row r="3984" ht="23" customHeight="1">
      <x:c r="A3984" t="n">
        <x:v>664</x:v>
      </x:c>
      <x:c r="B3984" t="n">
        <x:v>332</x:v>
      </x:c>
      <x:c r="C3984" t="str">
        <x:v>晚餐</x:v>
      </x:c>
      <x:c r="D3984" t="str">
        <x:v>主食</x:v>
      </x:c>
      <x:c r="E3984" t="str">
        <x:v>燕麦饭</x:v>
      </x:c>
      <x:c r="F3984" t="n">
        <x:v>95</x:v>
      </x:c>
      <x:c r="G3984" t="n">
        <x:v>110</x:v>
      </x:c>
      <x:c r="H3984" t="n">
        <x:f>ROUND(F3984*G3984/100,2)</x:f>
        <x:v>104.5</x:v>
      </x:c>
      <x:c r="I3984" t="n">
        <x:v>3.2</x:v>
      </x:c>
      <x:c r="J3984" t="n">
        <x:f>ROUND(F3984*I3984/100,2)</x:f>
        <x:v>3.04</x:v>
      </x:c>
      <x:c r="K3984" t="n">
        <x:v>21</x:v>
      </x:c>
      <x:c r="L3984" t="n">
        <x:f>ROUND(F3984*K3984/100,2)</x:f>
        <x:v>19.95</x:v>
      </x:c>
      <x:c r="M3984" t="n">
        <x:v>1.8</x:v>
      </x:c>
      <x:c r="N3984" t="n">
        <x:f>ROUND(F3984*M3984/100,2)</x:f>
        <x:v>1.71</x:v>
      </x:c>
      <x:c r="O3984" t="str">
        <x:v>熟重</x:v>
      </x:c>
    </x:row>
    <x:row r="3985" ht="23" customHeight="1">
      <x:c r="A3985" t="n">
        <x:v>664</x:v>
      </x:c>
      <x:c r="B3985" t="n">
        <x:v>332</x:v>
      </x:c>
      <x:c r="C3985" t="str">
        <x:v>晚餐</x:v>
      </x:c>
      <x:c r="D3985" t="str">
        <x:v>油脂</x:v>
      </x:c>
      <x:c r="E3985" t="str">
        <x:v>烹调油</x:v>
      </x:c>
      <x:c r="F3985" t="n">
        <x:v>5</x:v>
      </x:c>
      <x:c r="G3985" t="n">
        <x:v>900</x:v>
      </x:c>
      <x:c r="H3985" t="n">
        <x:f>ROUND(F3985*G3985/100,2)</x:f>
        <x:v>45</x:v>
      </x:c>
      <x:c r="I3985" t="n">
        <x:v>0</x:v>
      </x:c>
      <x:c r="J3985" t="n">
        <x:f>ROUND(F3985*I3985/100,2)</x:f>
        <x:v>0</x:v>
      </x:c>
      <x:c r="K3985" t="n">
        <x:v>0</x:v>
      </x:c>
      <x:c r="L3985" t="n">
        <x:f>ROUND(F3985*K3985/100,2)</x:f>
        <x:v>0</x:v>
      </x:c>
      <x:c r="M3985" t="n">
        <x:v>100</x:v>
      </x:c>
      <x:c r="N3985" t="n">
        <x:f>ROUND(F3985*M3985/100,2)</x:f>
        <x:v>5</x:v>
      </x:c>
      <x:c r="O3985" t="str">
        <x:v>实际用油重</x:v>
      </x:c>
    </x:row>
    <x:row r="3986" ht="23" customHeight="1">
      <x:c r="A3986" t="n">
        <x:v>665</x:v>
      </x:c>
      <x:c r="B3986" t="n">
        <x:v>333</x:v>
      </x:c>
      <x:c r="C3986" t="str">
        <x:v>午餐</x:v>
      </x:c>
      <x:c r="D3986" t="str">
        <x:v>牛肉</x:v>
      </x:c>
      <x:c r="E3986" t="str">
        <x:v>瘦牛肉</x:v>
      </x:c>
      <x:c r="F3986" t="n">
        <x:v>155</x:v>
      </x:c>
      <x:c r="G3986" t="n">
        <x:v>125</x:v>
      </x:c>
      <x:c r="H3986" t="n">
        <x:f>ROUND(F3986*G3986/100,2)</x:f>
        <x:v>193.75</x:v>
      </x:c>
      <x:c r="I3986" t="n">
        <x:v>21</x:v>
      </x:c>
      <x:c r="J3986" t="n">
        <x:f>ROUND(F3986*I3986/100,2)</x:f>
        <x:v>32.55</x:v>
      </x:c>
      <x:c r="K3986" t="n">
        <x:v>0</x:v>
      </x:c>
      <x:c r="L3986" t="n">
        <x:f>ROUND(F3986*K3986/100,2)</x:f>
        <x:v>0</x:v>
      </x:c>
      <x:c r="M3986" t="n">
        <x:v>4</x:v>
      </x:c>
      <x:c r="N3986" t="n">
        <x:f>ROUND(F3986*M3986/100,2)</x:f>
        <x:v>6.2</x:v>
      </x:c>
      <x:c r="O3986" t="str">
        <x:v>生重</x:v>
      </x:c>
    </x:row>
    <x:row r="3987" ht="23" customHeight="1">
      <x:c r="A3987" t="n">
        <x:v>665</x:v>
      </x:c>
      <x:c r="B3987" t="n">
        <x:v>333</x:v>
      </x:c>
      <x:c r="C3987" t="str">
        <x:v>午餐</x:v>
      </x:c>
      <x:c r="D3987" t="str"/>
      <x:c r="E3987" t="str"/>
      <x:c r="F3987" t="n">
        <x:v>0</x:v>
      </x:c>
      <x:c r="G3987" t="n">
        <x:v>0</x:v>
      </x:c>
      <x:c r="H3987" t="n">
        <x:f>ROUND(F3987*G3987/100,2)</x:f>
        <x:v>0</x:v>
      </x:c>
      <x:c r="I3987" t="n">
        <x:v>0</x:v>
      </x:c>
      <x:c r="J3987" t="n">
        <x:f>ROUND(F3987*I3987/100,2)</x:f>
        <x:v>0</x:v>
      </x:c>
      <x:c r="K3987" t="n">
        <x:v>0</x:v>
      </x:c>
      <x:c r="L3987" t="n">
        <x:f>ROUND(F3987*K3987/100,2)</x:f>
        <x:v>0</x:v>
      </x:c>
      <x:c r="M3987" t="n">
        <x:v>0</x:v>
      </x:c>
      <x:c r="N3987" t="n">
        <x:f>ROUND(F3987*M3987/100,2)</x:f>
        <x:v>0</x:v>
      </x:c>
      <x:c r="O3987" t="str"/>
    </x:row>
    <x:row r="3988" ht="23" customHeight="1">
      <x:c r="A3988" t="n">
        <x:v>665</x:v>
      </x:c>
      <x:c r="B3988" t="n">
        <x:v>333</x:v>
      </x:c>
      <x:c r="C3988" t="str">
        <x:v>午餐</x:v>
      </x:c>
      <x:c r="D3988" t="str">
        <x:v>蔬菜</x:v>
      </x:c>
      <x:c r="E3988" t="str">
        <x:v>莴笋</x:v>
      </x:c>
      <x:c r="F3988" t="n">
        <x:v>140</x:v>
      </x:c>
      <x:c r="G3988" t="n">
        <x:v>15</x:v>
      </x:c>
      <x:c r="H3988" t="n">
        <x:f>ROUND(F3988*G3988/100,2)</x:f>
        <x:v>21</x:v>
      </x:c>
      <x:c r="I3988" t="n">
        <x:v>1</x:v>
      </x:c>
      <x:c r="J3988" t="n">
        <x:f>ROUND(F3988*I3988/100,2)</x:f>
        <x:v>1.4</x:v>
      </x:c>
      <x:c r="K3988" t="n">
        <x:v>2.8</x:v>
      </x:c>
      <x:c r="L3988" t="n">
        <x:f>ROUND(F3988*K3988/100,2)</x:f>
        <x:v>3.92</x:v>
      </x:c>
      <x:c r="M3988" t="n">
        <x:v>0.1</x:v>
      </x:c>
      <x:c r="N3988" t="n">
        <x:f>ROUND(F3988*M3988/100,2)</x:f>
        <x:v>0.14</x:v>
      </x:c>
      <x:c r="O3988" t="str">
        <x:v>生重</x:v>
      </x:c>
    </x:row>
    <x:row r="3989" ht="23" customHeight="1">
      <x:c r="A3989" t="n">
        <x:v>665</x:v>
      </x:c>
      <x:c r="B3989" t="n">
        <x:v>333</x:v>
      </x:c>
      <x:c r="C3989" t="str">
        <x:v>午餐</x:v>
      </x:c>
      <x:c r="D3989" t="str">
        <x:v>菌菇</x:v>
      </x:c>
      <x:c r="E3989" t="str">
        <x:v>口蘑</x:v>
      </x:c>
      <x:c r="F3989" t="n">
        <x:v>110</x:v>
      </x:c>
      <x:c r="G3989" t="n">
        <x:v>22</x:v>
      </x:c>
      <x:c r="H3989" t="n">
        <x:f>ROUND(F3989*G3989/100,2)</x:f>
        <x:v>24.2</x:v>
      </x:c>
      <x:c r="I3989" t="n">
        <x:v>3.1</x:v>
      </x:c>
      <x:c r="J3989" t="n">
        <x:f>ROUND(F3989*I3989/100,2)</x:f>
        <x:v>3.41</x:v>
      </x:c>
      <x:c r="K3989" t="n">
        <x:v>3.3</x:v>
      </x:c>
      <x:c r="L3989" t="n">
        <x:f>ROUND(F3989*K3989/100,2)</x:f>
        <x:v>3.63</x:v>
      </x:c>
      <x:c r="M3989" t="n">
        <x:v>0.3</x:v>
      </x:c>
      <x:c r="N3989" t="n">
        <x:f>ROUND(F3989*M3989/100,2)</x:f>
        <x:v>0.33</x:v>
      </x:c>
      <x:c r="O3989" t="str">
        <x:v>生重</x:v>
      </x:c>
    </x:row>
    <x:row r="3990" ht="23" customHeight="1">
      <x:c r="A3990" t="n">
        <x:v>665</x:v>
      </x:c>
      <x:c r="B3990" t="n">
        <x:v>333</x:v>
      </x:c>
      <x:c r="C3990" t="str">
        <x:v>午餐</x:v>
      </x:c>
      <x:c r="D3990" t="str">
        <x:v>主食</x:v>
      </x:c>
      <x:c r="E3990" t="str">
        <x:v>糙米饭</x:v>
      </x:c>
      <x:c r="F3990" t="n">
        <x:v>125</x:v>
      </x:c>
      <x:c r="G3990" t="n">
        <x:v>112</x:v>
      </x:c>
      <x:c r="H3990" t="n">
        <x:f>ROUND(F3990*G3990/100,2)</x:f>
        <x:v>140</x:v>
      </x:c>
      <x:c r="I3990" t="n">
        <x:v>2.6</x:v>
      </x:c>
      <x:c r="J3990" t="n">
        <x:f>ROUND(F3990*I3990/100,2)</x:f>
        <x:v>3.25</x:v>
      </x:c>
      <x:c r="K3990" t="n">
        <x:v>23.5</x:v>
      </x:c>
      <x:c r="L3990" t="n">
        <x:f>ROUND(F3990*K3990/100,2)</x:f>
        <x:v>29.38</x:v>
      </x:c>
      <x:c r="M3990" t="n">
        <x:v>0.9</x:v>
      </x:c>
      <x:c r="N3990" t="n">
        <x:f>ROUND(F3990*M3990/100,2)</x:f>
        <x:v>1.13</x:v>
      </x:c>
      <x:c r="O3990" t="str">
        <x:v>熟重</x:v>
      </x:c>
    </x:row>
    <x:row r="3991" ht="23" customHeight="1">
      <x:c r="A3991" t="n">
        <x:v>665</x:v>
      </x:c>
      <x:c r="B3991" t="n">
        <x:v>333</x:v>
      </x:c>
      <x:c r="C3991" t="str">
        <x:v>午餐</x:v>
      </x:c>
      <x:c r="D3991" t="str">
        <x:v>油脂</x:v>
      </x:c>
      <x:c r="E3991" t="str">
        <x:v>烹调油</x:v>
      </x:c>
      <x:c r="F3991" t="n">
        <x:v>4</x:v>
      </x:c>
      <x:c r="G3991" t="n">
        <x:v>900</x:v>
      </x:c>
      <x:c r="H3991" t="n">
        <x:f>ROUND(F3991*G3991/100,2)</x:f>
        <x:v>36</x:v>
      </x:c>
      <x:c r="I3991" t="n">
        <x:v>0</x:v>
      </x:c>
      <x:c r="J3991" t="n">
        <x:f>ROUND(F3991*I3991/100,2)</x:f>
        <x:v>0</x:v>
      </x:c>
      <x:c r="K3991" t="n">
        <x:v>0</x:v>
      </x:c>
      <x:c r="L3991" t="n">
        <x:f>ROUND(F3991*K3991/100,2)</x:f>
        <x:v>0</x:v>
      </x:c>
      <x:c r="M3991" t="n">
        <x:v>100</x:v>
      </x:c>
      <x:c r="N3991" t="n">
        <x:f>ROUND(F3991*M3991/100,2)</x:f>
        <x:v>4</x:v>
      </x:c>
      <x:c r="O3991" t="str">
        <x:v>实际用油重</x:v>
      </x:c>
    </x:row>
    <x:row r="3992" ht="23" customHeight="1">
      <x:c r="A3992" t="n">
        <x:v>666</x:v>
      </x:c>
      <x:c r="B3992" t="n">
        <x:v>333</x:v>
      </x:c>
      <x:c r="C3992" t="str">
        <x:v>晚餐</x:v>
      </x:c>
      <x:c r="D3992" t="str">
        <x:v>牛肉</x:v>
      </x:c>
      <x:c r="E3992" t="str">
        <x:v>牛腱子</x:v>
      </x:c>
      <x:c r="F3992" t="n">
        <x:v>160</x:v>
      </x:c>
      <x:c r="G3992" t="n">
        <x:v>140</x:v>
      </x:c>
      <x:c r="H3992" t="n">
        <x:f>ROUND(F3992*G3992/100,2)</x:f>
        <x:v>224</x:v>
      </x:c>
      <x:c r="I3992" t="n">
        <x:v>21</x:v>
      </x:c>
      <x:c r="J3992" t="n">
        <x:f>ROUND(F3992*I3992/100,2)</x:f>
        <x:v>33.6</x:v>
      </x:c>
      <x:c r="K3992" t="n">
        <x:v>0</x:v>
      </x:c>
      <x:c r="L3992" t="n">
        <x:f>ROUND(F3992*K3992/100,2)</x:f>
        <x:v>0</x:v>
      </x:c>
      <x:c r="M3992" t="n">
        <x:v>6</x:v>
      </x:c>
      <x:c r="N3992" t="n">
        <x:f>ROUND(F3992*M3992/100,2)</x:f>
        <x:v>9.6</x:v>
      </x:c>
      <x:c r="O3992" t="str">
        <x:v>生重</x:v>
      </x:c>
    </x:row>
    <x:row r="3993" ht="23" customHeight="1">
      <x:c r="A3993" t="n">
        <x:v>666</x:v>
      </x:c>
      <x:c r="B3993" t="n">
        <x:v>333</x:v>
      </x:c>
      <x:c r="C3993" t="str">
        <x:v>晚餐</x:v>
      </x:c>
      <x:c r="D3993" t="str"/>
      <x:c r="E3993" t="str"/>
      <x:c r="F3993" t="n">
        <x:v>0</x:v>
      </x:c>
      <x:c r="G3993" t="n">
        <x:v>0</x:v>
      </x:c>
      <x:c r="H3993" t="n">
        <x:f>ROUND(F3993*G3993/100,2)</x:f>
        <x:v>0</x:v>
      </x:c>
      <x:c r="I3993" t="n">
        <x:v>0</x:v>
      </x:c>
      <x:c r="J3993" t="n">
        <x:f>ROUND(F3993*I3993/100,2)</x:f>
        <x:v>0</x:v>
      </x:c>
      <x:c r="K3993" t="n">
        <x:v>0</x:v>
      </x:c>
      <x:c r="L3993" t="n">
        <x:f>ROUND(F3993*K3993/100,2)</x:f>
        <x:v>0</x:v>
      </x:c>
      <x:c r="M3993" t="n">
        <x:v>0</x:v>
      </x:c>
      <x:c r="N3993" t="n">
        <x:f>ROUND(F3993*M3993/100,2)</x:f>
        <x:v>0</x:v>
      </x:c>
      <x:c r="O3993" t="str"/>
    </x:row>
    <x:row r="3994" ht="23" customHeight="1">
      <x:c r="A3994" t="n">
        <x:v>666</x:v>
      </x:c>
      <x:c r="B3994" t="n">
        <x:v>333</x:v>
      </x:c>
      <x:c r="C3994" t="str">
        <x:v>晚餐</x:v>
      </x:c>
      <x:c r="D3994" t="str">
        <x:v>蔬菜</x:v>
      </x:c>
      <x:c r="E3994" t="str">
        <x:v>娃娃菜</x:v>
      </x:c>
      <x:c r="F3994" t="n">
        <x:v>160</x:v>
      </x:c>
      <x:c r="G3994" t="n">
        <x:v>17</x:v>
      </x:c>
      <x:c r="H3994" t="n">
        <x:f>ROUND(F3994*G3994/100,2)</x:f>
        <x:v>27.2</x:v>
      </x:c>
      <x:c r="I3994" t="n">
        <x:v>1.3</x:v>
      </x:c>
      <x:c r="J3994" t="n">
        <x:f>ROUND(F3994*I3994/100,2)</x:f>
        <x:v>2.08</x:v>
      </x:c>
      <x:c r="K3994" t="n">
        <x:v>3</x:v>
      </x:c>
      <x:c r="L3994" t="n">
        <x:f>ROUND(F3994*K3994/100,2)</x:f>
        <x:v>4.8</x:v>
      </x:c>
      <x:c r="M3994" t="n">
        <x:v>0.2</x:v>
      </x:c>
      <x:c r="N3994" t="n">
        <x:f>ROUND(F3994*M3994/100,2)</x:f>
        <x:v>0.32</x:v>
      </x:c>
      <x:c r="O3994" t="str">
        <x:v>生重</x:v>
      </x:c>
    </x:row>
    <x:row r="3995" ht="23" customHeight="1">
      <x:c r="A3995" t="n">
        <x:v>666</x:v>
      </x:c>
      <x:c r="B3995" t="n">
        <x:v>333</x:v>
      </x:c>
      <x:c r="C3995" t="str">
        <x:v>晚餐</x:v>
      </x:c>
      <x:c r="D3995" t="str">
        <x:v>蔬菜</x:v>
      </x:c>
      <x:c r="E3995" t="str">
        <x:v>洋葱</x:v>
      </x:c>
      <x:c r="F3995" t="n">
        <x:v>140</x:v>
      </x:c>
      <x:c r="G3995" t="n">
        <x:v>40</x:v>
      </x:c>
      <x:c r="H3995" t="n">
        <x:f>ROUND(F3995*G3995/100,2)</x:f>
        <x:v>56</x:v>
      </x:c>
      <x:c r="I3995" t="n">
        <x:v>1.1</x:v>
      </x:c>
      <x:c r="J3995" t="n">
        <x:f>ROUND(F3995*I3995/100,2)</x:f>
        <x:v>1.54</x:v>
      </x:c>
      <x:c r="K3995" t="n">
        <x:v>9.3</x:v>
      </x:c>
      <x:c r="L3995" t="n">
        <x:f>ROUND(F3995*K3995/100,2)</x:f>
        <x:v>13.02</x:v>
      </x:c>
      <x:c r="M3995" t="n">
        <x:v>0.1</x:v>
      </x:c>
      <x:c r="N3995" t="n">
        <x:f>ROUND(F3995*M3995/100,2)</x:f>
        <x:v>0.14</x:v>
      </x:c>
      <x:c r="O3995" t="str">
        <x:v>生重</x:v>
      </x:c>
    </x:row>
    <x:row r="3996" ht="23" customHeight="1">
      <x:c r="A3996" t="n">
        <x:v>666</x:v>
      </x:c>
      <x:c r="B3996" t="n">
        <x:v>333</x:v>
      </x:c>
      <x:c r="C3996" t="str">
        <x:v>晚餐</x:v>
      </x:c>
      <x:c r="D3996" t="str">
        <x:v>主食</x:v>
      </x:c>
      <x:c r="E3996" t="str">
        <x:v>乌冬面</x:v>
      </x:c>
      <x:c r="F3996" t="n">
        <x:v>125</x:v>
      </x:c>
      <x:c r="G3996" t="n">
        <x:v>120</x:v>
      </x:c>
      <x:c r="H3996" t="n">
        <x:f>ROUND(F3996*G3996/100,2)</x:f>
        <x:v>150</x:v>
      </x:c>
      <x:c r="I3996" t="n">
        <x:v>2.5</x:v>
      </x:c>
      <x:c r="J3996" t="n">
        <x:f>ROUND(F3996*I3996/100,2)</x:f>
        <x:v>3.13</x:v>
      </x:c>
      <x:c r="K3996" t="n">
        <x:v>25</x:v>
      </x:c>
      <x:c r="L3996" t="n">
        <x:f>ROUND(F3996*K3996/100,2)</x:f>
        <x:v>31.25</x:v>
      </x:c>
      <x:c r="M3996" t="n">
        <x:v>0.6</x:v>
      </x:c>
      <x:c r="N3996" t="n">
        <x:f>ROUND(F3996*M3996/100,2)</x:f>
        <x:v>0.75</x:v>
      </x:c>
      <x:c r="O3996" t="str">
        <x:v>煮熟沥水重</x:v>
      </x:c>
    </x:row>
    <x:row r="3997" ht="23" customHeight="1">
      <x:c r="A3997" t="n">
        <x:v>666</x:v>
      </x:c>
      <x:c r="B3997" t="n">
        <x:v>333</x:v>
      </x:c>
      <x:c r="C3997" t="str">
        <x:v>晚餐</x:v>
      </x:c>
      <x:c r="D3997" t="str">
        <x:v>油脂</x:v>
      </x:c>
      <x:c r="E3997" t="str">
        <x:v>烹调油</x:v>
      </x:c>
      <x:c r="F3997" t="n">
        <x:v>6</x:v>
      </x:c>
      <x:c r="G3997" t="n">
        <x:v>900</x:v>
      </x:c>
      <x:c r="H3997" t="n">
        <x:f>ROUND(F3997*G3997/100,2)</x:f>
        <x:v>54</x:v>
      </x:c>
      <x:c r="I3997" t="n">
        <x:v>0</x:v>
      </x:c>
      <x:c r="J3997" t="n">
        <x:f>ROUND(F3997*I3997/100,2)</x:f>
        <x:v>0</x:v>
      </x:c>
      <x:c r="K3997" t="n">
        <x:v>0</x:v>
      </x:c>
      <x:c r="L3997" t="n">
        <x:f>ROUND(F3997*K3997/100,2)</x:f>
        <x:v>0</x:v>
      </x:c>
      <x:c r="M3997" t="n">
        <x:v>100</x:v>
      </x:c>
      <x:c r="N3997" t="n">
        <x:f>ROUND(F3997*M3997/100,2)</x:f>
        <x:v>6</x:v>
      </x:c>
      <x:c r="O3997" t="str">
        <x:v>实际用油重</x:v>
      </x:c>
    </x:row>
    <x:row r="3998" ht="23" customHeight="1">
      <x:c r="A3998" t="n">
        <x:v>667</x:v>
      </x:c>
      <x:c r="B3998" t="n">
        <x:v>334</x:v>
      </x:c>
      <x:c r="C3998" t="str">
        <x:v>午餐</x:v>
      </x:c>
      <x:c r="D3998" t="str">
        <x:v>牛肉</x:v>
      </x:c>
      <x:c r="E3998" t="str">
        <x:v>瘦牛肉</x:v>
      </x:c>
      <x:c r="F3998" t="n">
        <x:v>175</x:v>
      </x:c>
      <x:c r="G3998" t="n">
        <x:v>125</x:v>
      </x:c>
      <x:c r="H3998" t="n">
        <x:f>ROUND(F3998*G3998/100,2)</x:f>
        <x:v>218.75</x:v>
      </x:c>
      <x:c r="I3998" t="n">
        <x:v>21</x:v>
      </x:c>
      <x:c r="J3998" t="n">
        <x:f>ROUND(F3998*I3998/100,2)</x:f>
        <x:v>36.75</x:v>
      </x:c>
      <x:c r="K3998" t="n">
        <x:v>0</x:v>
      </x:c>
      <x:c r="L3998" t="n">
        <x:f>ROUND(F3998*K3998/100,2)</x:f>
        <x:v>0</x:v>
      </x:c>
      <x:c r="M3998" t="n">
        <x:v>4</x:v>
      </x:c>
      <x:c r="N3998" t="n">
        <x:f>ROUND(F3998*M3998/100,2)</x:f>
        <x:v>7</x:v>
      </x:c>
      <x:c r="O3998" t="str">
        <x:v>生重</x:v>
      </x:c>
    </x:row>
    <x:row r="3999" ht="23" customHeight="1">
      <x:c r="A3999" t="n">
        <x:v>667</x:v>
      </x:c>
      <x:c r="B3999" t="n">
        <x:v>334</x:v>
      </x:c>
      <x:c r="C3999" t="str">
        <x:v>午餐</x:v>
      </x:c>
      <x:c r="D3999" t="str"/>
      <x:c r="E3999" t="str"/>
      <x:c r="F3999" t="n">
        <x:v>0</x:v>
      </x:c>
      <x:c r="G3999" t="n">
        <x:v>0</x:v>
      </x:c>
      <x:c r="H3999" t="n">
        <x:f>ROUND(F3999*G3999/100,2)</x:f>
        <x:v>0</x:v>
      </x:c>
      <x:c r="I3999" t="n">
        <x:v>0</x:v>
      </x:c>
      <x:c r="J3999" t="n">
        <x:f>ROUND(F3999*I3999/100,2)</x:f>
        <x:v>0</x:v>
      </x:c>
      <x:c r="K3999" t="n">
        <x:v>0</x:v>
      </x:c>
      <x:c r="L3999" t="n">
        <x:f>ROUND(F3999*K3999/100,2)</x:f>
        <x:v>0</x:v>
      </x:c>
      <x:c r="M3999" t="n">
        <x:v>0</x:v>
      </x:c>
      <x:c r="N3999" t="n">
        <x:f>ROUND(F3999*M3999/100,2)</x:f>
        <x:v>0</x:v>
      </x:c>
      <x:c r="O3999" t="str"/>
    </x:row>
    <x:row r="4000" ht="23" customHeight="1">
      <x:c r="A4000" t="n">
        <x:v>667</x:v>
      </x:c>
      <x:c r="B4000" t="n">
        <x:v>334</x:v>
      </x:c>
      <x:c r="C4000" t="str">
        <x:v>午餐</x:v>
      </x:c>
      <x:c r="D4000" t="str">
        <x:v>蔬菜</x:v>
      </x:c>
      <x:c r="E4000" t="str">
        <x:v>油麦菜</x:v>
      </x:c>
      <x:c r="F4000" t="n">
        <x:v>160</x:v>
      </x:c>
      <x:c r="G4000" t="n">
        <x:v>18</x:v>
      </x:c>
      <x:c r="H4000" t="n">
        <x:f>ROUND(F4000*G4000/100,2)</x:f>
        <x:v>28.8</x:v>
      </x:c>
      <x:c r="I4000" t="n">
        <x:v>1.4</x:v>
      </x:c>
      <x:c r="J4000" t="n">
        <x:f>ROUND(F4000*I4000/100,2)</x:f>
        <x:v>2.24</x:v>
      </x:c>
      <x:c r="K4000" t="n">
        <x:v>3.1</x:v>
      </x:c>
      <x:c r="L4000" t="n">
        <x:f>ROUND(F4000*K4000/100,2)</x:f>
        <x:v>4.96</x:v>
      </x:c>
      <x:c r="M4000" t="n">
        <x:v>0.2</x:v>
      </x:c>
      <x:c r="N4000" t="n">
        <x:f>ROUND(F4000*M4000/100,2)</x:f>
        <x:v>0.32</x:v>
      </x:c>
      <x:c r="O4000" t="str">
        <x:v>生重</x:v>
      </x:c>
    </x:row>
    <x:row r="4001" ht="23" customHeight="1">
      <x:c r="A4001" t="n">
        <x:v>667</x:v>
      </x:c>
      <x:c r="B4001" t="n">
        <x:v>334</x:v>
      </x:c>
      <x:c r="C4001" t="str">
        <x:v>午餐</x:v>
      </x:c>
      <x:c r="D4001" t="str">
        <x:v>蔬菜</x:v>
      </x:c>
      <x:c r="E4001" t="str">
        <x:v>彩椒</x:v>
      </x:c>
      <x:c r="F4001" t="n">
        <x:v>125</x:v>
      </x:c>
      <x:c r="G4001" t="n">
        <x:v>27</x:v>
      </x:c>
      <x:c r="H4001" t="n">
        <x:f>ROUND(F4001*G4001/100,2)</x:f>
        <x:v>33.75</x:v>
      </x:c>
      <x:c r="I4001" t="n">
        <x:v>1</x:v>
      </x:c>
      <x:c r="J4001" t="n">
        <x:f>ROUND(F4001*I4001/100,2)</x:f>
        <x:v>1.25</x:v>
      </x:c>
      <x:c r="K4001" t="n">
        <x:v>6.1</x:v>
      </x:c>
      <x:c r="L4001" t="n">
        <x:f>ROUND(F4001*K4001/100,2)</x:f>
        <x:v>7.63</x:v>
      </x:c>
      <x:c r="M4001" t="n">
        <x:v>0.2</x:v>
      </x:c>
      <x:c r="N4001" t="n">
        <x:f>ROUND(F4001*M4001/100,2)</x:f>
        <x:v>0.25</x:v>
      </x:c>
      <x:c r="O4001" t="str">
        <x:v>生重</x:v>
      </x:c>
    </x:row>
    <x:row r="4002" ht="23" customHeight="1">
      <x:c r="A4002" t="n">
        <x:v>667</x:v>
      </x:c>
      <x:c r="B4002" t="n">
        <x:v>334</x:v>
      </x:c>
      <x:c r="C4002" t="str">
        <x:v>午餐</x:v>
      </x:c>
      <x:c r="D4002" t="str">
        <x:v>主食</x:v>
      </x:c>
      <x:c r="E4002" t="str">
        <x:v>山药</x:v>
      </x:c>
      <x:c r="F4002" t="n">
        <x:v>165</x:v>
      </x:c>
      <x:c r="G4002" t="n">
        <x:v>62</x:v>
      </x:c>
      <x:c r="H4002" t="n">
        <x:f>ROUND(F4002*G4002/100,2)</x:f>
        <x:v>102.3</x:v>
      </x:c>
      <x:c r="I4002" t="n">
        <x:v>1.5</x:v>
      </x:c>
      <x:c r="J4002" t="n">
        <x:f>ROUND(F4002*I4002/100,2)</x:f>
        <x:v>2.48</x:v>
      </x:c>
      <x:c r="K4002" t="n">
        <x:v>14.1</x:v>
      </x:c>
      <x:c r="L4002" t="n">
        <x:f>ROUND(F4002*K4002/100,2)</x:f>
        <x:v>23.27</x:v>
      </x:c>
      <x:c r="M4002" t="n">
        <x:v>0.1</x:v>
      </x:c>
      <x:c r="N4002" t="n">
        <x:f>ROUND(F4002*M4002/100,2)</x:f>
        <x:v>0.17</x:v>
      </x:c>
      <x:c r="O4002" t="str">
        <x:v>蒸熟净重</x:v>
      </x:c>
    </x:row>
    <x:row r="4003" ht="23" customHeight="1">
      <x:c r="A4003" t="n">
        <x:v>667</x:v>
      </x:c>
      <x:c r="B4003" t="n">
        <x:v>334</x:v>
      </x:c>
      <x:c r="C4003" t="str">
        <x:v>午餐</x:v>
      </x:c>
      <x:c r="D4003" t="str">
        <x:v>油脂</x:v>
      </x:c>
      <x:c r="E4003" t="str">
        <x:v>烹调油</x:v>
      </x:c>
      <x:c r="F4003" t="n">
        <x:v>5</x:v>
      </x:c>
      <x:c r="G4003" t="n">
        <x:v>900</x:v>
      </x:c>
      <x:c r="H4003" t="n">
        <x:f>ROUND(F4003*G4003/100,2)</x:f>
        <x:v>45</x:v>
      </x:c>
      <x:c r="I4003" t="n">
        <x:v>0</x:v>
      </x:c>
      <x:c r="J4003" t="n">
        <x:f>ROUND(F4003*I4003/100,2)</x:f>
        <x:v>0</x:v>
      </x:c>
      <x:c r="K4003" t="n">
        <x:v>0</x:v>
      </x:c>
      <x:c r="L4003" t="n">
        <x:f>ROUND(F4003*K4003/100,2)</x:f>
        <x:v>0</x:v>
      </x:c>
      <x:c r="M4003" t="n">
        <x:v>100</x:v>
      </x:c>
      <x:c r="N4003" t="n">
        <x:f>ROUND(F4003*M4003/100,2)</x:f>
        <x:v>5</x:v>
      </x:c>
      <x:c r="O4003" t="str">
        <x:v>实际用油重</x:v>
      </x:c>
    </x:row>
    <x:row r="4004" ht="23" customHeight="1">
      <x:c r="A4004" t="n">
        <x:v>668</x:v>
      </x:c>
      <x:c r="B4004" t="n">
        <x:v>334</x:v>
      </x:c>
      <x:c r="C4004" t="str">
        <x:v>晚餐</x:v>
      </x:c>
      <x:c r="D4004" t="str">
        <x:v>鱼类</x:v>
      </x:c>
      <x:c r="E4004" t="str">
        <x:v>鲈鱼</x:v>
      </x:c>
      <x:c r="F4004" t="n">
        <x:v>200</x:v>
      </x:c>
      <x:c r="G4004" t="n">
        <x:v>105</x:v>
      </x:c>
      <x:c r="H4004" t="n">
        <x:f>ROUND(F4004*G4004/100,2)</x:f>
        <x:v>210</x:v>
      </x:c>
      <x:c r="I4004" t="n">
        <x:v>19</x:v>
      </x:c>
      <x:c r="J4004" t="n">
        <x:f>ROUND(F4004*I4004/100,2)</x:f>
        <x:v>38</x:v>
      </x:c>
      <x:c r="K4004" t="n">
        <x:v>0</x:v>
      </x:c>
      <x:c r="L4004" t="n">
        <x:f>ROUND(F4004*K4004/100,2)</x:f>
        <x:v>0</x:v>
      </x:c>
      <x:c r="M4004" t="n">
        <x:v>3</x:v>
      </x:c>
      <x:c r="N4004" t="n">
        <x:f>ROUND(F4004*M4004/100,2)</x:f>
        <x:v>6</x:v>
      </x:c>
      <x:c r="O4004" t="str">
        <x:v>净鱼肉生重</x:v>
      </x:c>
    </x:row>
    <x:row r="4005" ht="23" customHeight="1">
      <x:c r="A4005" t="n">
        <x:v>668</x:v>
      </x:c>
      <x:c r="B4005" t="n">
        <x:v>334</x:v>
      </x:c>
      <x:c r="C4005" t="str">
        <x:v>晚餐</x:v>
      </x:c>
      <x:c r="D4005" t="str"/>
      <x:c r="E4005" t="str"/>
      <x:c r="F4005" t="n">
        <x:v>0</x:v>
      </x:c>
      <x:c r="G4005" t="n">
        <x:v>0</x:v>
      </x:c>
      <x:c r="H4005" t="n">
        <x:f>ROUND(F4005*G4005/100,2)</x:f>
        <x:v>0</x:v>
      </x:c>
      <x:c r="I4005" t="n">
        <x:v>0</x:v>
      </x:c>
      <x:c r="J4005" t="n">
        <x:f>ROUND(F4005*I4005/100,2)</x:f>
        <x:v>0</x:v>
      </x:c>
      <x:c r="K4005" t="n">
        <x:v>0</x:v>
      </x:c>
      <x:c r="L4005" t="n">
        <x:f>ROUND(F4005*K4005/100,2)</x:f>
        <x:v>0</x:v>
      </x:c>
      <x:c r="M4005" t="n">
        <x:v>0</x:v>
      </x:c>
      <x:c r="N4005" t="n">
        <x:f>ROUND(F4005*M4005/100,2)</x:f>
        <x:v>0</x:v>
      </x:c>
      <x:c r="O4005" t="str"/>
    </x:row>
    <x:row r="4006" ht="23" customHeight="1">
      <x:c r="A4006" t="n">
        <x:v>668</x:v>
      </x:c>
      <x:c r="B4006" t="n">
        <x:v>334</x:v>
      </x:c>
      <x:c r="C4006" t="str">
        <x:v>晚餐</x:v>
      </x:c>
      <x:c r="D4006" t="str">
        <x:v>蔬菜</x:v>
      </x:c>
      <x:c r="E4006" t="str">
        <x:v>冬瓜</x:v>
      </x:c>
      <x:c r="F4006" t="n">
        <x:v>160</x:v>
      </x:c>
      <x:c r="G4006" t="n">
        <x:v>13</x:v>
      </x:c>
      <x:c r="H4006" t="n">
        <x:f>ROUND(F4006*G4006/100,2)</x:f>
        <x:v>20.8</x:v>
      </x:c>
      <x:c r="I4006" t="n">
        <x:v>0.4</x:v>
      </x:c>
      <x:c r="J4006" t="n">
        <x:f>ROUND(F4006*I4006/100,2)</x:f>
        <x:v>0.64</x:v>
      </x:c>
      <x:c r="K4006" t="n">
        <x:v>3</x:v>
      </x:c>
      <x:c r="L4006" t="n">
        <x:f>ROUND(F4006*K4006/100,2)</x:f>
        <x:v>4.8</x:v>
      </x:c>
      <x:c r="M4006" t="n">
        <x:v>0.2</x:v>
      </x:c>
      <x:c r="N4006" t="n">
        <x:f>ROUND(F4006*M4006/100,2)</x:f>
        <x:v>0.32</x:v>
      </x:c>
      <x:c r="O4006" t="str">
        <x:v>生重</x:v>
      </x:c>
    </x:row>
    <x:row r="4007" ht="23" customHeight="1">
      <x:c r="A4007" t="n">
        <x:v>668</x:v>
      </x:c>
      <x:c r="B4007" t="n">
        <x:v>334</x:v>
      </x:c>
      <x:c r="C4007" t="str">
        <x:v>晚餐</x:v>
      </x:c>
      <x:c r="D4007" t="str">
        <x:v>蔬菜</x:v>
      </x:c>
      <x:c r="E4007" t="str">
        <x:v>彩椒</x:v>
      </x:c>
      <x:c r="F4007" t="n">
        <x:v>110</x:v>
      </x:c>
      <x:c r="G4007" t="n">
        <x:v>27</x:v>
      </x:c>
      <x:c r="H4007" t="n">
        <x:f>ROUND(F4007*G4007/100,2)</x:f>
        <x:v>29.7</x:v>
      </x:c>
      <x:c r="I4007" t="n">
        <x:v>1</x:v>
      </x:c>
      <x:c r="J4007" t="n">
        <x:f>ROUND(F4007*I4007/100,2)</x:f>
        <x:v>1.1</x:v>
      </x:c>
      <x:c r="K4007" t="n">
        <x:v>6.1</x:v>
      </x:c>
      <x:c r="L4007" t="n">
        <x:f>ROUND(F4007*K4007/100,2)</x:f>
        <x:v>6.71</x:v>
      </x:c>
      <x:c r="M4007" t="n">
        <x:v>0.2</x:v>
      </x:c>
      <x:c r="N4007" t="n">
        <x:f>ROUND(F4007*M4007/100,2)</x:f>
        <x:v>0.22</x:v>
      </x:c>
      <x:c r="O4007" t="str">
        <x:v>生重</x:v>
      </x:c>
    </x:row>
    <x:row r="4008" ht="23" customHeight="1">
      <x:c r="A4008" t="n">
        <x:v>668</x:v>
      </x:c>
      <x:c r="B4008" t="n">
        <x:v>334</x:v>
      </x:c>
      <x:c r="C4008" t="str">
        <x:v>晚餐</x:v>
      </x:c>
      <x:c r="D4008" t="str">
        <x:v>主食</x:v>
      </x:c>
      <x:c r="E4008" t="str">
        <x:v>燕麦饭</x:v>
      </x:c>
      <x:c r="F4008" t="n">
        <x:v>95</x:v>
      </x:c>
      <x:c r="G4008" t="n">
        <x:v>110</x:v>
      </x:c>
      <x:c r="H4008" t="n">
        <x:f>ROUND(F4008*G4008/100,2)</x:f>
        <x:v>104.5</x:v>
      </x:c>
      <x:c r="I4008" t="n">
        <x:v>3.2</x:v>
      </x:c>
      <x:c r="J4008" t="n">
        <x:f>ROUND(F4008*I4008/100,2)</x:f>
        <x:v>3.04</x:v>
      </x:c>
      <x:c r="K4008" t="n">
        <x:v>21</x:v>
      </x:c>
      <x:c r="L4008" t="n">
        <x:f>ROUND(F4008*K4008/100,2)</x:f>
        <x:v>19.95</x:v>
      </x:c>
      <x:c r="M4008" t="n">
        <x:v>1.8</x:v>
      </x:c>
      <x:c r="N4008" t="n">
        <x:f>ROUND(F4008*M4008/100,2)</x:f>
        <x:v>1.71</x:v>
      </x:c>
      <x:c r="O4008" t="str">
        <x:v>熟重</x:v>
      </x:c>
    </x:row>
    <x:row r="4009" ht="23" customHeight="1">
      <x:c r="A4009" t="n">
        <x:v>668</x:v>
      </x:c>
      <x:c r="B4009" t="n">
        <x:v>334</x:v>
      </x:c>
      <x:c r="C4009" t="str">
        <x:v>晚餐</x:v>
      </x:c>
      <x:c r="D4009" t="str">
        <x:v>油脂</x:v>
      </x:c>
      <x:c r="E4009" t="str">
        <x:v>烹调油</x:v>
      </x:c>
      <x:c r="F4009" t="n">
        <x:v>6</x:v>
      </x:c>
      <x:c r="G4009" t="n">
        <x:v>900</x:v>
      </x:c>
      <x:c r="H4009" t="n">
        <x:f>ROUND(F4009*G4009/100,2)</x:f>
        <x:v>54</x:v>
      </x:c>
      <x:c r="I4009" t="n">
        <x:v>0</x:v>
      </x:c>
      <x:c r="J4009" t="n">
        <x:f>ROUND(F4009*I4009/100,2)</x:f>
        <x:v>0</x:v>
      </x:c>
      <x:c r="K4009" t="n">
        <x:v>0</x:v>
      </x:c>
      <x:c r="L4009" t="n">
        <x:f>ROUND(F4009*K4009/100,2)</x:f>
        <x:v>0</x:v>
      </x:c>
      <x:c r="M4009" t="n">
        <x:v>100</x:v>
      </x:c>
      <x:c r="N4009" t="n">
        <x:f>ROUND(F4009*M4009/100,2)</x:f>
        <x:v>6</x:v>
      </x:c>
      <x:c r="O4009" t="str">
        <x:v>实际用油重</x:v>
      </x:c>
    </x:row>
    <x:row r="4010" ht="23" customHeight="1">
      <x:c r="A4010" t="n">
        <x:v>669</x:v>
      </x:c>
      <x:c r="B4010" t="n">
        <x:v>335</x:v>
      </x:c>
      <x:c r="C4010" t="str">
        <x:v>午餐</x:v>
      </x:c>
      <x:c r="D4010" t="str">
        <x:v>海鲜</x:v>
      </x:c>
      <x:c r="E4010" t="str">
        <x:v>扇贝肉</x:v>
      </x:c>
      <x:c r="F4010" t="n">
        <x:v>190</x:v>
      </x:c>
      <x:c r="G4010" t="n">
        <x:v>90</x:v>
      </x:c>
      <x:c r="H4010" t="n">
        <x:f>ROUND(F4010*G4010/100,2)</x:f>
        <x:v>171</x:v>
      </x:c>
      <x:c r="I4010" t="n">
        <x:v>17</x:v>
      </x:c>
      <x:c r="J4010" t="n">
        <x:f>ROUND(F4010*I4010/100,2)</x:f>
        <x:v>32.3</x:v>
      </x:c>
      <x:c r="K4010" t="n">
        <x:v>3</x:v>
      </x:c>
      <x:c r="L4010" t="n">
        <x:f>ROUND(F4010*K4010/100,2)</x:f>
        <x:v>5.7</x:v>
      </x:c>
      <x:c r="M4010" t="n">
        <x:v>0.8</x:v>
      </x:c>
      <x:c r="N4010" t="n">
        <x:f>ROUND(F4010*M4010/100,2)</x:f>
        <x:v>1.52</x:v>
      </x:c>
      <x:c r="O4010" t="str">
        <x:v>生重</x:v>
      </x:c>
    </x:row>
    <x:row r="4011" ht="23" customHeight="1">
      <x:c r="A4011" t="n">
        <x:v>669</x:v>
      </x:c>
      <x:c r="B4011" t="n">
        <x:v>335</x:v>
      </x:c>
      <x:c r="C4011" t="str">
        <x:v>午餐</x:v>
      </x:c>
      <x:c r="D4011" t="str"/>
      <x:c r="E4011" t="str"/>
      <x:c r="F4011" t="n">
        <x:v>0</x:v>
      </x:c>
      <x:c r="G4011" t="n">
        <x:v>0</x:v>
      </x:c>
      <x:c r="H4011" t="n">
        <x:f>ROUND(F4011*G4011/100,2)</x:f>
        <x:v>0</x:v>
      </x:c>
      <x:c r="I4011" t="n">
        <x:v>0</x:v>
      </x:c>
      <x:c r="J4011" t="n">
        <x:f>ROUND(F4011*I4011/100,2)</x:f>
        <x:v>0</x:v>
      </x:c>
      <x:c r="K4011" t="n">
        <x:v>0</x:v>
      </x:c>
      <x:c r="L4011" t="n">
        <x:f>ROUND(F4011*K4011/100,2)</x:f>
        <x:v>0</x:v>
      </x:c>
      <x:c r="M4011" t="n">
        <x:v>0</x:v>
      </x:c>
      <x:c r="N4011" t="n">
        <x:f>ROUND(F4011*M4011/100,2)</x:f>
        <x:v>0</x:v>
      </x:c>
      <x:c r="O4011" t="str"/>
    </x:row>
    <x:row r="4012" ht="23" customHeight="1">
      <x:c r="A4012" t="n">
        <x:v>669</x:v>
      </x:c>
      <x:c r="B4012" t="n">
        <x:v>335</x:v>
      </x:c>
      <x:c r="C4012" t="str">
        <x:v>午餐</x:v>
      </x:c>
      <x:c r="D4012" t="str">
        <x:v>蔬菜</x:v>
      </x:c>
      <x:c r="E4012" t="str">
        <x:v>冬瓜</x:v>
      </x:c>
      <x:c r="F4012" t="n">
        <x:v>140</x:v>
      </x:c>
      <x:c r="G4012" t="n">
        <x:v>13</x:v>
      </x:c>
      <x:c r="H4012" t="n">
        <x:f>ROUND(F4012*G4012/100,2)</x:f>
        <x:v>18.2</x:v>
      </x:c>
      <x:c r="I4012" t="n">
        <x:v>0.4</x:v>
      </x:c>
      <x:c r="J4012" t="n">
        <x:f>ROUND(F4012*I4012/100,2)</x:f>
        <x:v>0.56</x:v>
      </x:c>
      <x:c r="K4012" t="n">
        <x:v>3</x:v>
      </x:c>
      <x:c r="L4012" t="n">
        <x:f>ROUND(F4012*K4012/100,2)</x:f>
        <x:v>4.2</x:v>
      </x:c>
      <x:c r="M4012" t="n">
        <x:v>0.2</x:v>
      </x:c>
      <x:c r="N4012" t="n">
        <x:f>ROUND(F4012*M4012/100,2)</x:f>
        <x:v>0.28</x:v>
      </x:c>
      <x:c r="O4012" t="str">
        <x:v>生重</x:v>
      </x:c>
    </x:row>
    <x:row r="4013" ht="23" customHeight="1">
      <x:c r="A4013" t="n">
        <x:v>669</x:v>
      </x:c>
      <x:c r="B4013" t="n">
        <x:v>335</x:v>
      </x:c>
      <x:c r="C4013" t="str">
        <x:v>午餐</x:v>
      </x:c>
      <x:c r="D4013" t="str">
        <x:v>菌菇</x:v>
      </x:c>
      <x:c r="E4013" t="str">
        <x:v>香菇</x:v>
      </x:c>
      <x:c r="F4013" t="n">
        <x:v>155</x:v>
      </x:c>
      <x:c r="G4013" t="n">
        <x:v>34</x:v>
      </x:c>
      <x:c r="H4013" t="n">
        <x:f>ROUND(F4013*G4013/100,2)</x:f>
        <x:v>52.7</x:v>
      </x:c>
      <x:c r="I4013" t="n">
        <x:v>2.2</x:v>
      </x:c>
      <x:c r="J4013" t="n">
        <x:f>ROUND(F4013*I4013/100,2)</x:f>
        <x:v>3.41</x:v>
      </x:c>
      <x:c r="K4013" t="n">
        <x:v>6.8</x:v>
      </x:c>
      <x:c r="L4013" t="n">
        <x:f>ROUND(F4013*K4013/100,2)</x:f>
        <x:v>10.54</x:v>
      </x:c>
      <x:c r="M4013" t="n">
        <x:v>0.5</x:v>
      </x:c>
      <x:c r="N4013" t="n">
        <x:f>ROUND(F4013*M4013/100,2)</x:f>
        <x:v>0.78</x:v>
      </x:c>
      <x:c r="O4013" t="str">
        <x:v>生重</x:v>
      </x:c>
    </x:row>
    <x:row r="4014" ht="23" customHeight="1">
      <x:c r="A4014" t="n">
        <x:v>669</x:v>
      </x:c>
      <x:c r="B4014" t="n">
        <x:v>335</x:v>
      </x:c>
      <x:c r="C4014" t="str">
        <x:v>午餐</x:v>
      </x:c>
      <x:c r="D4014" t="str">
        <x:v>主食</x:v>
      </x:c>
      <x:c r="E4014" t="str">
        <x:v>全麦面</x:v>
      </x:c>
      <x:c r="F4014" t="n">
        <x:v>165</x:v>
      </x:c>
      <x:c r="G4014" t="n">
        <x:v>124</x:v>
      </x:c>
      <x:c r="H4014" t="n">
        <x:f>ROUND(F4014*G4014/100,2)</x:f>
        <x:v>204.6</x:v>
      </x:c>
      <x:c r="I4014" t="n">
        <x:v>5</x:v>
      </x:c>
      <x:c r="J4014" t="n">
        <x:f>ROUND(F4014*I4014/100,2)</x:f>
        <x:v>8.25</x:v>
      </x:c>
      <x:c r="K4014" t="n">
        <x:v>25</x:v>
      </x:c>
      <x:c r="L4014" t="n">
        <x:f>ROUND(F4014*K4014/100,2)</x:f>
        <x:v>41.25</x:v>
      </x:c>
      <x:c r="M4014" t="n">
        <x:v>1.1</x:v>
      </x:c>
      <x:c r="N4014" t="n">
        <x:f>ROUND(F4014*M4014/100,2)</x:f>
        <x:v>1.82</x:v>
      </x:c>
      <x:c r="O4014" t="str">
        <x:v>煮熟沥水重</x:v>
      </x:c>
    </x:row>
    <x:row r="4015" ht="23" customHeight="1">
      <x:c r="A4015" t="n">
        <x:v>669</x:v>
      </x:c>
      <x:c r="B4015" t="n">
        <x:v>335</x:v>
      </x:c>
      <x:c r="C4015" t="str">
        <x:v>午餐</x:v>
      </x:c>
      <x:c r="D4015" t="str">
        <x:v>油脂</x:v>
      </x:c>
      <x:c r="E4015" t="str">
        <x:v>烹调油</x:v>
      </x:c>
      <x:c r="F4015" t="n">
        <x:v>5</x:v>
      </x:c>
      <x:c r="G4015" t="n">
        <x:v>900</x:v>
      </x:c>
      <x:c r="H4015" t="n">
        <x:f>ROUND(F4015*G4015/100,2)</x:f>
        <x:v>45</x:v>
      </x:c>
      <x:c r="I4015" t="n">
        <x:v>0</x:v>
      </x:c>
      <x:c r="J4015" t="n">
        <x:f>ROUND(F4015*I4015/100,2)</x:f>
        <x:v>0</x:v>
      </x:c>
      <x:c r="K4015" t="n">
        <x:v>0</x:v>
      </x:c>
      <x:c r="L4015" t="n">
        <x:f>ROUND(F4015*K4015/100,2)</x:f>
        <x:v>0</x:v>
      </x:c>
      <x:c r="M4015" t="n">
        <x:v>100</x:v>
      </x:c>
      <x:c r="N4015" t="n">
        <x:f>ROUND(F4015*M4015/100,2)</x:f>
        <x:v>5</x:v>
      </x:c>
      <x:c r="O4015" t="str">
        <x:v>实际用油重</x:v>
      </x:c>
    </x:row>
    <x:row r="4016" ht="23" customHeight="1">
      <x:c r="A4016" t="n">
        <x:v>670</x:v>
      </x:c>
      <x:c r="B4016" t="n">
        <x:v>335</x:v>
      </x:c>
      <x:c r="C4016" t="str">
        <x:v>晚餐</x:v>
      </x:c>
      <x:c r="D4016" t="str">
        <x:v>牛肉</x:v>
      </x:c>
      <x:c r="E4016" t="str">
        <x:v>牛里脊</x:v>
      </x:c>
      <x:c r="F4016" t="n">
        <x:v>170</x:v>
      </x:c>
      <x:c r="G4016" t="n">
        <x:v>130</x:v>
      </x:c>
      <x:c r="H4016" t="n">
        <x:f>ROUND(F4016*G4016/100,2)</x:f>
        <x:v>221</x:v>
      </x:c>
      <x:c r="I4016" t="n">
        <x:v>21</x:v>
      </x:c>
      <x:c r="J4016" t="n">
        <x:f>ROUND(F4016*I4016/100,2)</x:f>
        <x:v>35.7</x:v>
      </x:c>
      <x:c r="K4016" t="n">
        <x:v>0</x:v>
      </x:c>
      <x:c r="L4016" t="n">
        <x:f>ROUND(F4016*K4016/100,2)</x:f>
        <x:v>0</x:v>
      </x:c>
      <x:c r="M4016" t="n">
        <x:v>4.8</x:v>
      </x:c>
      <x:c r="N4016" t="n">
        <x:f>ROUND(F4016*M4016/100,2)</x:f>
        <x:v>8.16</x:v>
      </x:c>
      <x:c r="O4016" t="str">
        <x:v>生重</x:v>
      </x:c>
    </x:row>
    <x:row r="4017" ht="23" customHeight="1">
      <x:c r="A4017" t="n">
        <x:v>670</x:v>
      </x:c>
      <x:c r="B4017" t="n">
        <x:v>335</x:v>
      </x:c>
      <x:c r="C4017" t="str">
        <x:v>晚餐</x:v>
      </x:c>
      <x:c r="D4017" t="str"/>
      <x:c r="E4017" t="str"/>
      <x:c r="F4017" t="n">
        <x:v>0</x:v>
      </x:c>
      <x:c r="G4017" t="n">
        <x:v>0</x:v>
      </x:c>
      <x:c r="H4017" t="n">
        <x:f>ROUND(F4017*G4017/100,2)</x:f>
        <x:v>0</x:v>
      </x:c>
      <x:c r="I4017" t="n">
        <x:v>0</x:v>
      </x:c>
      <x:c r="J4017" t="n">
        <x:f>ROUND(F4017*I4017/100,2)</x:f>
        <x:v>0</x:v>
      </x:c>
      <x:c r="K4017" t="n">
        <x:v>0</x:v>
      </x:c>
      <x:c r="L4017" t="n">
        <x:f>ROUND(F4017*K4017/100,2)</x:f>
        <x:v>0</x:v>
      </x:c>
      <x:c r="M4017" t="n">
        <x:v>0</x:v>
      </x:c>
      <x:c r="N4017" t="n">
        <x:f>ROUND(F4017*M4017/100,2)</x:f>
        <x:v>0</x:v>
      </x:c>
      <x:c r="O4017" t="str"/>
    </x:row>
    <x:row r="4018" ht="23" customHeight="1">
      <x:c r="A4018" t="n">
        <x:v>670</x:v>
      </x:c>
      <x:c r="B4018" t="n">
        <x:v>335</x:v>
      </x:c>
      <x:c r="C4018" t="str">
        <x:v>晚餐</x:v>
      </x:c>
      <x:c r="D4018" t="str">
        <x:v>蔬菜</x:v>
      </x:c>
      <x:c r="E4018" t="str">
        <x:v>番茄</x:v>
      </x:c>
      <x:c r="F4018" t="n">
        <x:v>175</x:v>
      </x:c>
      <x:c r="G4018" t="n">
        <x:v>20</x:v>
      </x:c>
      <x:c r="H4018" t="n">
        <x:f>ROUND(F4018*G4018/100,2)</x:f>
        <x:v>35</x:v>
      </x:c>
      <x:c r="I4018" t="n">
        <x:v>0.9</x:v>
      </x:c>
      <x:c r="J4018" t="n">
        <x:f>ROUND(F4018*I4018/100,2)</x:f>
        <x:v>1.58</x:v>
      </x:c>
      <x:c r="K4018" t="n">
        <x:v>4</x:v>
      </x:c>
      <x:c r="L4018" t="n">
        <x:f>ROUND(F4018*K4018/100,2)</x:f>
        <x:v>7</x:v>
      </x:c>
      <x:c r="M4018" t="n">
        <x:v>0.2</x:v>
      </x:c>
      <x:c r="N4018" t="n">
        <x:f>ROUND(F4018*M4018/100,2)</x:f>
        <x:v>0.35</x:v>
      </x:c>
      <x:c r="O4018" t="str">
        <x:v>生重</x:v>
      </x:c>
    </x:row>
    <x:row r="4019" ht="23" customHeight="1">
      <x:c r="A4019" t="n">
        <x:v>670</x:v>
      </x:c>
      <x:c r="B4019" t="n">
        <x:v>335</x:v>
      </x:c>
      <x:c r="C4019" t="str">
        <x:v>晚餐</x:v>
      </x:c>
      <x:c r="D4019" t="str">
        <x:v>菌菇</x:v>
      </x:c>
      <x:c r="E4019" t="str">
        <x:v>泡发木耳</x:v>
      </x:c>
      <x:c r="F4019" t="n">
        <x:v>125</x:v>
      </x:c>
      <x:c r="G4019" t="n">
        <x:v>25</x:v>
      </x:c>
      <x:c r="H4019" t="n">
        <x:f>ROUND(F4019*G4019/100,2)</x:f>
        <x:v>31.25</x:v>
      </x:c>
      <x:c r="I4019" t="n">
        <x:v>1.5</x:v>
      </x:c>
      <x:c r="J4019" t="n">
        <x:f>ROUND(F4019*I4019/100,2)</x:f>
        <x:v>1.88</x:v>
      </x:c>
      <x:c r="K4019" t="n">
        <x:v>6</x:v>
      </x:c>
      <x:c r="L4019" t="n">
        <x:f>ROUND(F4019*K4019/100,2)</x:f>
        <x:v>7.5</x:v>
      </x:c>
      <x:c r="M4019" t="n">
        <x:v>0.1</x:v>
      </x:c>
      <x:c r="N4019" t="n">
        <x:f>ROUND(F4019*M4019/100,2)</x:f>
        <x:v>0.13</x:v>
      </x:c>
      <x:c r="O4019" t="str">
        <x:v>泡发沥水重</x:v>
      </x:c>
    </x:row>
    <x:row r="4020" ht="23" customHeight="1">
      <x:c r="A4020" t="n">
        <x:v>670</x:v>
      </x:c>
      <x:c r="B4020" t="n">
        <x:v>335</x:v>
      </x:c>
      <x:c r="C4020" t="str">
        <x:v>晚餐</x:v>
      </x:c>
      <x:c r="D4020" t="str">
        <x:v>主食</x:v>
      </x:c>
      <x:c r="E4020" t="str">
        <x:v>玉米</x:v>
      </x:c>
      <x:c r="F4020" t="n">
        <x:v>80</x:v>
      </x:c>
      <x:c r="G4020" t="n">
        <x:v>105</x:v>
      </x:c>
      <x:c r="H4020" t="n">
        <x:f>ROUND(F4020*G4020/100,2)</x:f>
        <x:v>84</x:v>
      </x:c>
      <x:c r="I4020" t="n">
        <x:v>3.4</x:v>
      </x:c>
      <x:c r="J4020" t="n">
        <x:f>ROUND(F4020*I4020/100,2)</x:f>
        <x:v>2.72</x:v>
      </x:c>
      <x:c r="K4020" t="n">
        <x:v>22</x:v>
      </x:c>
      <x:c r="L4020" t="n">
        <x:f>ROUND(F4020*K4020/100,2)</x:f>
        <x:v>17.6</x:v>
      </x:c>
      <x:c r="M4020" t="n">
        <x:v>1.5</x:v>
      </x:c>
      <x:c r="N4020" t="n">
        <x:f>ROUND(F4020*M4020/100,2)</x:f>
        <x:v>1.2</x:v>
      </x:c>
      <x:c r="O4020" t="str">
        <x:v>蒸熟净重</x:v>
      </x:c>
    </x:row>
    <x:row r="4021" ht="23" customHeight="1">
      <x:c r="A4021" t="n">
        <x:v>670</x:v>
      </x:c>
      <x:c r="B4021" t="n">
        <x:v>335</x:v>
      </x:c>
      <x:c r="C4021" t="str">
        <x:v>晚餐</x:v>
      </x:c>
      <x:c r="D4021" t="str">
        <x:v>油脂</x:v>
      </x:c>
      <x:c r="E4021" t="str">
        <x:v>烹调油</x:v>
      </x:c>
      <x:c r="F4021" t="n">
        <x:v>3</x:v>
      </x:c>
      <x:c r="G4021" t="n">
        <x:v>900</x:v>
      </x:c>
      <x:c r="H4021" t="n">
        <x:f>ROUND(F4021*G4021/100,2)</x:f>
        <x:v>27</x:v>
      </x:c>
      <x:c r="I4021" t="n">
        <x:v>0</x:v>
      </x:c>
      <x:c r="J4021" t="n">
        <x:f>ROUND(F4021*I4021/100,2)</x:f>
        <x:v>0</x:v>
      </x:c>
      <x:c r="K4021" t="n">
        <x:v>0</x:v>
      </x:c>
      <x:c r="L4021" t="n">
        <x:f>ROUND(F4021*K4021/100,2)</x:f>
        <x:v>0</x:v>
      </x:c>
      <x:c r="M4021" t="n">
        <x:v>100</x:v>
      </x:c>
      <x:c r="N4021" t="n">
        <x:f>ROUND(F4021*M4021/100,2)</x:f>
        <x:v>3</x:v>
      </x:c>
      <x:c r="O4021" t="str">
        <x:v>实际用油重</x:v>
      </x:c>
    </x:row>
    <x:row r="4022" ht="23" customHeight="1">
      <x:c r="A4022" t="n">
        <x:v>671</x:v>
      </x:c>
      <x:c r="B4022" t="n">
        <x:v>336</x:v>
      </x:c>
      <x:c r="C4022" t="str">
        <x:v>午餐</x:v>
      </x:c>
      <x:c r="D4022" t="str">
        <x:v>猪肉</x:v>
      </x:c>
      <x:c r="E4022" t="str">
        <x:v>猪里脊</x:v>
      </x:c>
      <x:c r="F4022" t="n">
        <x:v>185</x:v>
      </x:c>
      <x:c r="G4022" t="n">
        <x:v>120</x:v>
      </x:c>
      <x:c r="H4022" t="n">
        <x:f>ROUND(F4022*G4022/100,2)</x:f>
        <x:v>222</x:v>
      </x:c>
      <x:c r="I4022" t="n">
        <x:v>21</x:v>
      </x:c>
      <x:c r="J4022" t="n">
        <x:f>ROUND(F4022*I4022/100,2)</x:f>
        <x:v>38.85</x:v>
      </x:c>
      <x:c r="K4022" t="n">
        <x:v>0</x:v>
      </x:c>
      <x:c r="L4022" t="n">
        <x:f>ROUND(F4022*K4022/100,2)</x:f>
        <x:v>0</x:v>
      </x:c>
      <x:c r="M4022" t="n">
        <x:v>3.5</x:v>
      </x:c>
      <x:c r="N4022" t="n">
        <x:f>ROUND(F4022*M4022/100,2)</x:f>
        <x:v>6.48</x:v>
      </x:c>
      <x:c r="O4022" t="str">
        <x:v>生重</x:v>
      </x:c>
    </x:row>
    <x:row r="4023" ht="23" customHeight="1">
      <x:c r="A4023" t="n">
        <x:v>671</x:v>
      </x:c>
      <x:c r="B4023" t="n">
        <x:v>336</x:v>
      </x:c>
      <x:c r="C4023" t="str">
        <x:v>午餐</x:v>
      </x:c>
      <x:c r="D4023" t="str"/>
      <x:c r="E4023" t="str"/>
      <x:c r="F4023" t="n">
        <x:v>0</x:v>
      </x:c>
      <x:c r="G4023" t="n">
        <x:v>0</x:v>
      </x:c>
      <x:c r="H4023" t="n">
        <x:f>ROUND(F4023*G4023/100,2)</x:f>
        <x:v>0</x:v>
      </x:c>
      <x:c r="I4023" t="n">
        <x:v>0</x:v>
      </x:c>
      <x:c r="J4023" t="n">
        <x:f>ROUND(F4023*I4023/100,2)</x:f>
        <x:v>0</x:v>
      </x:c>
      <x:c r="K4023" t="n">
        <x:v>0</x:v>
      </x:c>
      <x:c r="L4023" t="n">
        <x:f>ROUND(F4023*K4023/100,2)</x:f>
        <x:v>0</x:v>
      </x:c>
      <x:c r="M4023" t="n">
        <x:v>0</x:v>
      </x:c>
      <x:c r="N4023" t="n">
        <x:f>ROUND(F4023*M4023/100,2)</x:f>
        <x:v>0</x:v>
      </x:c>
      <x:c r="O4023" t="str"/>
    </x:row>
    <x:row r="4024" ht="23" customHeight="1">
      <x:c r="A4024" t="n">
        <x:v>671</x:v>
      </x:c>
      <x:c r="B4024" t="n">
        <x:v>336</x:v>
      </x:c>
      <x:c r="C4024" t="str">
        <x:v>午餐</x:v>
      </x:c>
      <x:c r="D4024" t="str">
        <x:v>蔬菜</x:v>
      </x:c>
      <x:c r="E4024" t="str">
        <x:v>莴笋</x:v>
      </x:c>
      <x:c r="F4024" t="n">
        <x:v>190</x:v>
      </x:c>
      <x:c r="G4024" t="n">
        <x:v>15</x:v>
      </x:c>
      <x:c r="H4024" t="n">
        <x:f>ROUND(F4024*G4024/100,2)</x:f>
        <x:v>28.5</x:v>
      </x:c>
      <x:c r="I4024" t="n">
        <x:v>1</x:v>
      </x:c>
      <x:c r="J4024" t="n">
        <x:f>ROUND(F4024*I4024/100,2)</x:f>
        <x:v>1.9</x:v>
      </x:c>
      <x:c r="K4024" t="n">
        <x:v>2.8</x:v>
      </x:c>
      <x:c r="L4024" t="n">
        <x:f>ROUND(F4024*K4024/100,2)</x:f>
        <x:v>5.32</x:v>
      </x:c>
      <x:c r="M4024" t="n">
        <x:v>0.1</x:v>
      </x:c>
      <x:c r="N4024" t="n">
        <x:f>ROUND(F4024*M4024/100,2)</x:f>
        <x:v>0.19</x:v>
      </x:c>
      <x:c r="O4024" t="str">
        <x:v>生重</x:v>
      </x:c>
    </x:row>
    <x:row r="4025" ht="23" customHeight="1">
      <x:c r="A4025" t="n">
        <x:v>671</x:v>
      </x:c>
      <x:c r="B4025" t="n">
        <x:v>336</x:v>
      </x:c>
      <x:c r="C4025" t="str">
        <x:v>午餐</x:v>
      </x:c>
      <x:c r="D4025" t="str">
        <x:v>蔬菜</x:v>
      </x:c>
      <x:c r="E4025" t="str">
        <x:v>番茄</x:v>
      </x:c>
      <x:c r="F4025" t="n">
        <x:v>125</x:v>
      </x:c>
      <x:c r="G4025" t="n">
        <x:v>20</x:v>
      </x:c>
      <x:c r="H4025" t="n">
        <x:f>ROUND(F4025*G4025/100,2)</x:f>
        <x:v>25</x:v>
      </x:c>
      <x:c r="I4025" t="n">
        <x:v>0.9</x:v>
      </x:c>
      <x:c r="J4025" t="n">
        <x:f>ROUND(F4025*I4025/100,2)</x:f>
        <x:v>1.13</x:v>
      </x:c>
      <x:c r="K4025" t="n">
        <x:v>4</x:v>
      </x:c>
      <x:c r="L4025" t="n">
        <x:f>ROUND(F4025*K4025/100,2)</x:f>
        <x:v>5</x:v>
      </x:c>
      <x:c r="M4025" t="n">
        <x:v>0.2</x:v>
      </x:c>
      <x:c r="N4025" t="n">
        <x:f>ROUND(F4025*M4025/100,2)</x:f>
        <x:v>0.25</x:v>
      </x:c>
      <x:c r="O4025" t="str">
        <x:v>生重</x:v>
      </x:c>
    </x:row>
    <x:row r="4026" ht="23" customHeight="1">
      <x:c r="A4026" t="n">
        <x:v>671</x:v>
      </x:c>
      <x:c r="B4026" t="n">
        <x:v>336</x:v>
      </x:c>
      <x:c r="C4026" t="str">
        <x:v>午餐</x:v>
      </x:c>
      <x:c r="D4026" t="str">
        <x:v>主食</x:v>
      </x:c>
      <x:c r="E4026" t="str">
        <x:v>白米饭</x:v>
      </x:c>
      <x:c r="F4026" t="n">
        <x:v>135</x:v>
      </x:c>
      <x:c r="G4026" t="n">
        <x:v>116</x:v>
      </x:c>
      <x:c r="H4026" t="n">
        <x:f>ROUND(F4026*G4026/100,2)</x:f>
        <x:v>156.6</x:v>
      </x:c>
      <x:c r="I4026" t="n">
        <x:v>2.6</x:v>
      </x:c>
      <x:c r="J4026" t="n">
        <x:f>ROUND(F4026*I4026/100,2)</x:f>
        <x:v>3.51</x:v>
      </x:c>
      <x:c r="K4026" t="n">
        <x:v>25.6</x:v>
      </x:c>
      <x:c r="L4026" t="n">
        <x:f>ROUND(F4026*K4026/100,2)</x:f>
        <x:v>34.56</x:v>
      </x:c>
      <x:c r="M4026" t="n">
        <x:v>0.3</x:v>
      </x:c>
      <x:c r="N4026" t="n">
        <x:f>ROUND(F4026*M4026/100,2)</x:f>
        <x:v>0.41</x:v>
      </x:c>
      <x:c r="O4026" t="str">
        <x:v>熟重</x:v>
      </x:c>
    </x:row>
    <x:row r="4027" ht="23" customHeight="1">
      <x:c r="A4027" t="n">
        <x:v>671</x:v>
      </x:c>
      <x:c r="B4027" t="n">
        <x:v>336</x:v>
      </x:c>
      <x:c r="C4027" t="str">
        <x:v>午餐</x:v>
      </x:c>
      <x:c r="D4027" t="str">
        <x:v>油脂</x:v>
      </x:c>
      <x:c r="E4027" t="str">
        <x:v>烹调油</x:v>
      </x:c>
      <x:c r="F4027" t="n">
        <x:v>5</x:v>
      </x:c>
      <x:c r="G4027" t="n">
        <x:v>900</x:v>
      </x:c>
      <x:c r="H4027" t="n">
        <x:f>ROUND(F4027*G4027/100,2)</x:f>
        <x:v>45</x:v>
      </x:c>
      <x:c r="I4027" t="n">
        <x:v>0</x:v>
      </x:c>
      <x:c r="J4027" t="n">
        <x:f>ROUND(F4027*I4027/100,2)</x:f>
        <x:v>0</x:v>
      </x:c>
      <x:c r="K4027" t="n">
        <x:v>0</x:v>
      </x:c>
      <x:c r="L4027" t="n">
        <x:f>ROUND(F4027*K4027/100,2)</x:f>
        <x:v>0</x:v>
      </x:c>
      <x:c r="M4027" t="n">
        <x:v>100</x:v>
      </x:c>
      <x:c r="N4027" t="n">
        <x:f>ROUND(F4027*M4027/100,2)</x:f>
        <x:v>5</x:v>
      </x:c>
      <x:c r="O4027" t="str">
        <x:v>实际用油重</x:v>
      </x:c>
    </x:row>
    <x:row r="4028" ht="23" customHeight="1">
      <x:c r="A4028" t="n">
        <x:v>672</x:v>
      </x:c>
      <x:c r="B4028" t="n">
        <x:v>336</x:v>
      </x:c>
      <x:c r="C4028" t="str">
        <x:v>晚餐</x:v>
      </x:c>
      <x:c r="D4028" t="str">
        <x:v>禽肉</x:v>
      </x:c>
      <x:c r="E4028" t="str">
        <x:v>去皮鸡腿肉</x:v>
      </x:c>
      <x:c r="F4028" t="n">
        <x:v>145</x:v>
      </x:c>
      <x:c r="G4028" t="n">
        <x:v>125</x:v>
      </x:c>
      <x:c r="H4028" t="n">
        <x:f>ROUND(F4028*G4028/100,2)</x:f>
        <x:v>181.25</x:v>
      </x:c>
      <x:c r="I4028" t="n">
        <x:v>20</x:v>
      </x:c>
      <x:c r="J4028" t="n">
        <x:f>ROUND(F4028*I4028/100,2)</x:f>
        <x:v>29</x:v>
      </x:c>
      <x:c r="K4028" t="n">
        <x:v>0</x:v>
      </x:c>
      <x:c r="L4028" t="n">
        <x:f>ROUND(F4028*K4028/100,2)</x:f>
        <x:v>0</x:v>
      </x:c>
      <x:c r="M4028" t="n">
        <x:v>5</x:v>
      </x:c>
      <x:c r="N4028" t="n">
        <x:f>ROUND(F4028*M4028/100,2)</x:f>
        <x:v>7.25</x:v>
      </x:c>
      <x:c r="O4028" t="str">
        <x:v>生重</x:v>
      </x:c>
    </x:row>
    <x:row r="4029" ht="23" customHeight="1">
      <x:c r="A4029" t="n">
        <x:v>672</x:v>
      </x:c>
      <x:c r="B4029" t="n">
        <x:v>336</x:v>
      </x:c>
      <x:c r="C4029" t="str">
        <x:v>晚餐</x:v>
      </x:c>
      <x:c r="D4029" t="str"/>
      <x:c r="E4029" t="str"/>
      <x:c r="F4029" t="n">
        <x:v>0</x:v>
      </x:c>
      <x:c r="G4029" t="n">
        <x:v>0</x:v>
      </x:c>
      <x:c r="H4029" t="n">
        <x:f>ROUND(F4029*G4029/100,2)</x:f>
        <x:v>0</x:v>
      </x:c>
      <x:c r="I4029" t="n">
        <x:v>0</x:v>
      </x:c>
      <x:c r="J4029" t="n">
        <x:f>ROUND(F4029*I4029/100,2)</x:f>
        <x:v>0</x:v>
      </x:c>
      <x:c r="K4029" t="n">
        <x:v>0</x:v>
      </x:c>
      <x:c r="L4029" t="n">
        <x:f>ROUND(F4029*K4029/100,2)</x:f>
        <x:v>0</x:v>
      </x:c>
      <x:c r="M4029" t="n">
        <x:v>0</x:v>
      </x:c>
      <x:c r="N4029" t="n">
        <x:f>ROUND(F4029*M4029/100,2)</x:f>
        <x:v>0</x:v>
      </x:c>
      <x:c r="O4029" t="str"/>
    </x:row>
    <x:row r="4030" ht="23" customHeight="1">
      <x:c r="A4030" t="n">
        <x:v>672</x:v>
      </x:c>
      <x:c r="B4030" t="n">
        <x:v>336</x:v>
      </x:c>
      <x:c r="C4030" t="str">
        <x:v>晚餐</x:v>
      </x:c>
      <x:c r="D4030" t="str">
        <x:v>蔬菜</x:v>
      </x:c>
      <x:c r="E4030" t="str">
        <x:v>菜心</x:v>
      </x:c>
      <x:c r="F4030" t="n">
        <x:v>190</x:v>
      </x:c>
      <x:c r="G4030" t="n">
        <x:v>20</x:v>
      </x:c>
      <x:c r="H4030" t="n">
        <x:f>ROUND(F4030*G4030/100,2)</x:f>
        <x:v>38</x:v>
      </x:c>
      <x:c r="I4030" t="n">
        <x:v>2</x:v>
      </x:c>
      <x:c r="J4030" t="n">
        <x:f>ROUND(F4030*I4030/100,2)</x:f>
        <x:v>3.8</x:v>
      </x:c>
      <x:c r="K4030" t="n">
        <x:v>3.5</x:v>
      </x:c>
      <x:c r="L4030" t="n">
        <x:f>ROUND(F4030*K4030/100,2)</x:f>
        <x:v>6.65</x:v>
      </x:c>
      <x:c r="M4030" t="n">
        <x:v>0.3</x:v>
      </x:c>
      <x:c r="N4030" t="n">
        <x:f>ROUND(F4030*M4030/100,2)</x:f>
        <x:v>0.57</x:v>
      </x:c>
      <x:c r="O4030" t="str">
        <x:v>生重</x:v>
      </x:c>
    </x:row>
    <x:row r="4031" ht="23" customHeight="1">
      <x:c r="A4031" t="n">
        <x:v>672</x:v>
      </x:c>
      <x:c r="B4031" t="n">
        <x:v>336</x:v>
      </x:c>
      <x:c r="C4031" t="str">
        <x:v>晚餐</x:v>
      </x:c>
      <x:c r="D4031" t="str">
        <x:v>蔬菜</x:v>
      </x:c>
      <x:c r="E4031" t="str">
        <x:v>丝瓜</x:v>
      </x:c>
      <x:c r="F4031" t="n">
        <x:v>110</x:v>
      </x:c>
      <x:c r="G4031" t="n">
        <x:v>20</x:v>
      </x:c>
      <x:c r="H4031" t="n">
        <x:f>ROUND(F4031*G4031/100,2)</x:f>
        <x:v>22</x:v>
      </x:c>
      <x:c r="I4031" t="n">
        <x:v>1</x:v>
      </x:c>
      <x:c r="J4031" t="n">
        <x:f>ROUND(F4031*I4031/100,2)</x:f>
        <x:v>1.1</x:v>
      </x:c>
      <x:c r="K4031" t="n">
        <x:v>4</x:v>
      </x:c>
      <x:c r="L4031" t="n">
        <x:f>ROUND(F4031*K4031/100,2)</x:f>
        <x:v>4.4</x:v>
      </x:c>
      <x:c r="M4031" t="n">
        <x:v>0.2</x:v>
      </x:c>
      <x:c r="N4031" t="n">
        <x:f>ROUND(F4031*M4031/100,2)</x:f>
        <x:v>0.22</x:v>
      </x:c>
      <x:c r="O4031" t="str">
        <x:v>生重</x:v>
      </x:c>
    </x:row>
    <x:row r="4032" ht="23" customHeight="1">
      <x:c r="A4032" t="n">
        <x:v>672</x:v>
      </x:c>
      <x:c r="B4032" t="n">
        <x:v>336</x:v>
      </x:c>
      <x:c r="C4032" t="str">
        <x:v>晚餐</x:v>
      </x:c>
      <x:c r="D4032" t="str">
        <x:v>主食</x:v>
      </x:c>
      <x:c r="E4032" t="str">
        <x:v>燕麦饭</x:v>
      </x:c>
      <x:c r="F4032" t="n">
        <x:v>80</x:v>
      </x:c>
      <x:c r="G4032" t="n">
        <x:v>110</x:v>
      </x:c>
      <x:c r="H4032" t="n">
        <x:f>ROUND(F4032*G4032/100,2)</x:f>
        <x:v>88</x:v>
      </x:c>
      <x:c r="I4032" t="n">
        <x:v>3.2</x:v>
      </x:c>
      <x:c r="J4032" t="n">
        <x:f>ROUND(F4032*I4032/100,2)</x:f>
        <x:v>2.56</x:v>
      </x:c>
      <x:c r="K4032" t="n">
        <x:v>21</x:v>
      </x:c>
      <x:c r="L4032" t="n">
        <x:f>ROUND(F4032*K4032/100,2)</x:f>
        <x:v>16.8</x:v>
      </x:c>
      <x:c r="M4032" t="n">
        <x:v>1.8</x:v>
      </x:c>
      <x:c r="N4032" t="n">
        <x:f>ROUND(F4032*M4032/100,2)</x:f>
        <x:v>1.44</x:v>
      </x:c>
      <x:c r="O4032" t="str">
        <x:v>熟重</x:v>
      </x:c>
    </x:row>
    <x:row r="4033" ht="23" customHeight="1">
      <x:c r="A4033" t="n">
        <x:v>672</x:v>
      </x:c>
      <x:c r="B4033" t="n">
        <x:v>336</x:v>
      </x:c>
      <x:c r="C4033" t="str">
        <x:v>晚餐</x:v>
      </x:c>
      <x:c r="D4033" t="str">
        <x:v>油脂</x:v>
      </x:c>
      <x:c r="E4033" t="str">
        <x:v>烹调油</x:v>
      </x:c>
      <x:c r="F4033" t="n">
        <x:v>3</x:v>
      </x:c>
      <x:c r="G4033" t="n">
        <x:v>900</x:v>
      </x:c>
      <x:c r="H4033" t="n">
        <x:f>ROUND(F4033*G4033/100,2)</x:f>
        <x:v>27</x:v>
      </x:c>
      <x:c r="I4033" t="n">
        <x:v>0</x:v>
      </x:c>
      <x:c r="J4033" t="n">
        <x:f>ROUND(F4033*I4033/100,2)</x:f>
        <x:v>0</x:v>
      </x:c>
      <x:c r="K4033" t="n">
        <x:v>0</x:v>
      </x:c>
      <x:c r="L4033" t="n">
        <x:f>ROUND(F4033*K4033/100,2)</x:f>
        <x:v>0</x:v>
      </x:c>
      <x:c r="M4033" t="n">
        <x:v>100</x:v>
      </x:c>
      <x:c r="N4033" t="n">
        <x:f>ROUND(F4033*M4033/100,2)</x:f>
        <x:v>3</x:v>
      </x:c>
      <x:c r="O4033" t="str">
        <x:v>实际用油重</x:v>
      </x:c>
    </x:row>
    <x:row r="4034" ht="23" customHeight="1">
      <x:c r="A4034" t="n">
        <x:v>673</x:v>
      </x:c>
      <x:c r="B4034" t="n">
        <x:v>337</x:v>
      </x:c>
      <x:c r="C4034" t="str">
        <x:v>午餐</x:v>
      </x:c>
      <x:c r="D4034" t="str">
        <x:v>豆蛋</x:v>
      </x:c>
      <x:c r="E4034" t="str">
        <x:v>嫩豆腐</x:v>
      </x:c>
      <x:c r="F4034" t="n">
        <x:v>260</x:v>
      </x:c>
      <x:c r="G4034" t="n">
        <x:v>55</x:v>
      </x:c>
      <x:c r="H4034" t="n">
        <x:f>ROUND(F4034*G4034/100,2)</x:f>
        <x:v>143</x:v>
      </x:c>
      <x:c r="I4034" t="n">
        <x:v>5</x:v>
      </x:c>
      <x:c r="J4034" t="n">
        <x:f>ROUND(F4034*I4034/100,2)</x:f>
        <x:v>13</x:v>
      </x:c>
      <x:c r="K4034" t="n">
        <x:v>2</x:v>
      </x:c>
      <x:c r="L4034" t="n">
        <x:f>ROUND(F4034*K4034/100,2)</x:f>
        <x:v>5.2</x:v>
      </x:c>
      <x:c r="M4034" t="n">
        <x:v>2.8</x:v>
      </x:c>
      <x:c r="N4034" t="n">
        <x:f>ROUND(F4034*M4034/100,2)</x:f>
        <x:v>7.28</x:v>
      </x:c>
      <x:c r="O4034" t="str">
        <x:v>净重</x:v>
      </x:c>
    </x:row>
    <x:row r="4035" ht="23" customHeight="1">
      <x:c r="A4035" t="n">
        <x:v>673</x:v>
      </x:c>
      <x:c r="B4035" t="n">
        <x:v>337</x:v>
      </x:c>
      <x:c r="C4035" t="str">
        <x:v>午餐</x:v>
      </x:c>
      <x:c r="D4035" t="str">
        <x:v>豆蛋</x:v>
      </x:c>
      <x:c r="E4035" t="str">
        <x:v>鸡蛋</x:v>
      </x:c>
      <x:c r="F4035" t="n">
        <x:v>85</x:v>
      </x:c>
      <x:c r="G4035" t="n">
        <x:v>144</x:v>
      </x:c>
      <x:c r="H4035" t="n">
        <x:f>ROUND(F4035*G4035/100,2)</x:f>
        <x:v>122.4</x:v>
      </x:c>
      <x:c r="I4035" t="n">
        <x:v>13</x:v>
      </x:c>
      <x:c r="J4035" t="n">
        <x:f>ROUND(F4035*I4035/100,2)</x:f>
        <x:v>11.05</x:v>
      </x:c>
      <x:c r="K4035" t="n">
        <x:v>1.1</x:v>
      </x:c>
      <x:c r="L4035" t="n">
        <x:f>ROUND(F4035*K4035/100,2)</x:f>
        <x:v>0.94</x:v>
      </x:c>
      <x:c r="M4035" t="n">
        <x:v>10</x:v>
      </x:c>
      <x:c r="N4035" t="n">
        <x:f>ROUND(F4035*M4035/100,2)</x:f>
        <x:v>8.5</x:v>
      </x:c>
      <x:c r="O4035" t="str">
        <x:v>去壳可食重</x:v>
      </x:c>
    </x:row>
    <x:row r="4036" ht="23" customHeight="1">
      <x:c r="A4036" t="n">
        <x:v>673</x:v>
      </x:c>
      <x:c r="B4036" t="n">
        <x:v>337</x:v>
      </x:c>
      <x:c r="C4036" t="str">
        <x:v>午餐</x:v>
      </x:c>
      <x:c r="D4036" t="str">
        <x:v>蔬菜</x:v>
      </x:c>
      <x:c r="E4036" t="str">
        <x:v>油麦菜</x:v>
      </x:c>
      <x:c r="F4036" t="n">
        <x:v>140</x:v>
      </x:c>
      <x:c r="G4036" t="n">
        <x:v>18</x:v>
      </x:c>
      <x:c r="H4036" t="n">
        <x:f>ROUND(F4036*G4036/100,2)</x:f>
        <x:v>25.2</x:v>
      </x:c>
      <x:c r="I4036" t="n">
        <x:v>1.4</x:v>
      </x:c>
      <x:c r="J4036" t="n">
        <x:f>ROUND(F4036*I4036/100,2)</x:f>
        <x:v>1.96</x:v>
      </x:c>
      <x:c r="K4036" t="n">
        <x:v>3.1</x:v>
      </x:c>
      <x:c r="L4036" t="n">
        <x:f>ROUND(F4036*K4036/100,2)</x:f>
        <x:v>4.34</x:v>
      </x:c>
      <x:c r="M4036" t="n">
        <x:v>0.2</x:v>
      </x:c>
      <x:c r="N4036" t="n">
        <x:f>ROUND(F4036*M4036/100,2)</x:f>
        <x:v>0.28</x:v>
      </x:c>
      <x:c r="O4036" t="str">
        <x:v>生重</x:v>
      </x:c>
    </x:row>
    <x:row r="4037" ht="23" customHeight="1">
      <x:c r="A4037" t="n">
        <x:v>673</x:v>
      </x:c>
      <x:c r="B4037" t="n">
        <x:v>337</x:v>
      </x:c>
      <x:c r="C4037" t="str">
        <x:v>午餐</x:v>
      </x:c>
      <x:c r="D4037" t="str">
        <x:v>蔬菜</x:v>
      </x:c>
      <x:c r="E4037" t="str">
        <x:v>花菜</x:v>
      </x:c>
      <x:c r="F4037" t="n">
        <x:v>140</x:v>
      </x:c>
      <x:c r="G4037" t="n">
        <x:v>25</x:v>
      </x:c>
      <x:c r="H4037" t="n">
        <x:f>ROUND(F4037*G4037/100,2)</x:f>
        <x:v>35</x:v>
      </x:c>
      <x:c r="I4037" t="n">
        <x:v>2</x:v>
      </x:c>
      <x:c r="J4037" t="n">
        <x:f>ROUND(F4037*I4037/100,2)</x:f>
        <x:v>2.8</x:v>
      </x:c>
      <x:c r="K4037" t="n">
        <x:v>5</x:v>
      </x:c>
      <x:c r="L4037" t="n">
        <x:f>ROUND(F4037*K4037/100,2)</x:f>
        <x:v>7</x:v>
      </x:c>
      <x:c r="M4037" t="n">
        <x:v>0.3</x:v>
      </x:c>
      <x:c r="N4037" t="n">
        <x:f>ROUND(F4037*M4037/100,2)</x:f>
        <x:v>0.42</x:v>
      </x:c>
      <x:c r="O4037" t="str">
        <x:v>生重</x:v>
      </x:c>
    </x:row>
    <x:row r="4038" ht="23" customHeight="1">
      <x:c r="A4038" t="n">
        <x:v>673</x:v>
      </x:c>
      <x:c r="B4038" t="n">
        <x:v>337</x:v>
      </x:c>
      <x:c r="C4038" t="str">
        <x:v>午餐</x:v>
      </x:c>
      <x:c r="D4038" t="str">
        <x:v>主食</x:v>
      </x:c>
      <x:c r="E4038" t="str">
        <x:v>杂粮饭</x:v>
      </x:c>
      <x:c r="F4038" t="n">
        <x:v>150</x:v>
      </x:c>
      <x:c r="G4038" t="n">
        <x:v>115</x:v>
      </x:c>
      <x:c r="H4038" t="n">
        <x:f>ROUND(F4038*G4038/100,2)</x:f>
        <x:v>172.5</x:v>
      </x:c>
      <x:c r="I4038" t="n">
        <x:v>3.1</x:v>
      </x:c>
      <x:c r="J4038" t="n">
        <x:f>ROUND(F4038*I4038/100,2)</x:f>
        <x:v>4.65</x:v>
      </x:c>
      <x:c r="K4038" t="n">
        <x:v>23.5</x:v>
      </x:c>
      <x:c r="L4038" t="n">
        <x:f>ROUND(F4038*K4038/100,2)</x:f>
        <x:v>35.25</x:v>
      </x:c>
      <x:c r="M4038" t="n">
        <x:v>1.1</x:v>
      </x:c>
      <x:c r="N4038" t="n">
        <x:f>ROUND(F4038*M4038/100,2)</x:f>
        <x:v>1.65</x:v>
      </x:c>
      <x:c r="O4038" t="str">
        <x:v>熟重</x:v>
      </x:c>
    </x:row>
    <x:row r="4039" ht="23" customHeight="1">
      <x:c r="A4039" t="n">
        <x:v>673</x:v>
      </x:c>
      <x:c r="B4039" t="n">
        <x:v>337</x:v>
      </x:c>
      <x:c r="C4039" t="str">
        <x:v>午餐</x:v>
      </x:c>
      <x:c r="D4039" t="str">
        <x:v>油脂</x:v>
      </x:c>
      <x:c r="E4039" t="str">
        <x:v>烹调油</x:v>
      </x:c>
      <x:c r="F4039" t="n">
        <x:v>5</x:v>
      </x:c>
      <x:c r="G4039" t="n">
        <x:v>900</x:v>
      </x:c>
      <x:c r="H4039" t="n">
        <x:f>ROUND(F4039*G4039/100,2)</x:f>
        <x:v>45</x:v>
      </x:c>
      <x:c r="I4039" t="n">
        <x:v>0</x:v>
      </x:c>
      <x:c r="J4039" t="n">
        <x:f>ROUND(F4039*I4039/100,2)</x:f>
        <x:v>0</x:v>
      </x:c>
      <x:c r="K4039" t="n">
        <x:v>0</x:v>
      </x:c>
      <x:c r="L4039" t="n">
        <x:f>ROUND(F4039*K4039/100,2)</x:f>
        <x:v>0</x:v>
      </x:c>
      <x:c r="M4039" t="n">
        <x:v>100</x:v>
      </x:c>
      <x:c r="N4039" t="n">
        <x:f>ROUND(F4039*M4039/100,2)</x:f>
        <x:v>5</x:v>
      </x:c>
      <x:c r="O4039" t="str">
        <x:v>实际用油重</x:v>
      </x:c>
    </x:row>
    <x:row r="4040" ht="23" customHeight="1">
      <x:c r="A4040" t="n">
        <x:v>674</x:v>
      </x:c>
      <x:c r="B4040" t="n">
        <x:v>337</x:v>
      </x:c>
      <x:c r="C4040" t="str">
        <x:v>晚餐</x:v>
      </x:c>
      <x:c r="D4040" t="str">
        <x:v>禽肉</x:v>
      </x:c>
      <x:c r="E4040" t="str">
        <x:v>去皮鸡腿肉</x:v>
      </x:c>
      <x:c r="F4040" t="n">
        <x:v>180</x:v>
      </x:c>
      <x:c r="G4040" t="n">
        <x:v>125</x:v>
      </x:c>
      <x:c r="H4040" t="n">
        <x:f>ROUND(F4040*G4040/100,2)</x:f>
        <x:v>225</x:v>
      </x:c>
      <x:c r="I4040" t="n">
        <x:v>20</x:v>
      </x:c>
      <x:c r="J4040" t="n">
        <x:f>ROUND(F4040*I4040/100,2)</x:f>
        <x:v>36</x:v>
      </x:c>
      <x:c r="K4040" t="n">
        <x:v>0</x:v>
      </x:c>
      <x:c r="L4040" t="n">
        <x:f>ROUND(F4040*K4040/100,2)</x:f>
        <x:v>0</x:v>
      </x:c>
      <x:c r="M4040" t="n">
        <x:v>5</x:v>
      </x:c>
      <x:c r="N4040" t="n">
        <x:f>ROUND(F4040*M4040/100,2)</x:f>
        <x:v>9</x:v>
      </x:c>
      <x:c r="O4040" t="str">
        <x:v>生重</x:v>
      </x:c>
    </x:row>
    <x:row r="4041" ht="23" customHeight="1">
      <x:c r="A4041" t="n">
        <x:v>674</x:v>
      </x:c>
      <x:c r="B4041" t="n">
        <x:v>337</x:v>
      </x:c>
      <x:c r="C4041" t="str">
        <x:v>晚餐</x:v>
      </x:c>
      <x:c r="D4041" t="str"/>
      <x:c r="E4041" t="str"/>
      <x:c r="F4041" t="n">
        <x:v>0</x:v>
      </x:c>
      <x:c r="G4041" t="n">
        <x:v>0</x:v>
      </x:c>
      <x:c r="H4041" t="n">
        <x:f>ROUND(F4041*G4041/100,2)</x:f>
        <x:v>0</x:v>
      </x:c>
      <x:c r="I4041" t="n">
        <x:v>0</x:v>
      </x:c>
      <x:c r="J4041" t="n">
        <x:f>ROUND(F4041*I4041/100,2)</x:f>
        <x:v>0</x:v>
      </x:c>
      <x:c r="K4041" t="n">
        <x:v>0</x:v>
      </x:c>
      <x:c r="L4041" t="n">
        <x:f>ROUND(F4041*K4041/100,2)</x:f>
        <x:v>0</x:v>
      </x:c>
      <x:c r="M4041" t="n">
        <x:v>0</x:v>
      </x:c>
      <x:c r="N4041" t="n">
        <x:f>ROUND(F4041*M4041/100,2)</x:f>
        <x:v>0</x:v>
      </x:c>
      <x:c r="O4041" t="str"/>
    </x:row>
    <x:row r="4042" ht="23" customHeight="1">
      <x:c r="A4042" t="n">
        <x:v>674</x:v>
      </x:c>
      <x:c r="B4042" t="n">
        <x:v>337</x:v>
      </x:c>
      <x:c r="C4042" t="str">
        <x:v>晚餐</x:v>
      </x:c>
      <x:c r="D4042" t="str">
        <x:v>蔬菜</x:v>
      </x:c>
      <x:c r="E4042" t="str">
        <x:v>番茄</x:v>
      </x:c>
      <x:c r="F4042" t="n">
        <x:v>140</x:v>
      </x:c>
      <x:c r="G4042" t="n">
        <x:v>20</x:v>
      </x:c>
      <x:c r="H4042" t="n">
        <x:f>ROUND(F4042*G4042/100,2)</x:f>
        <x:v>28</x:v>
      </x:c>
      <x:c r="I4042" t="n">
        <x:v>0.9</x:v>
      </x:c>
      <x:c r="J4042" t="n">
        <x:f>ROUND(F4042*I4042/100,2)</x:f>
        <x:v>1.26</x:v>
      </x:c>
      <x:c r="K4042" t="n">
        <x:v>4</x:v>
      </x:c>
      <x:c r="L4042" t="n">
        <x:f>ROUND(F4042*K4042/100,2)</x:f>
        <x:v>5.6</x:v>
      </x:c>
      <x:c r="M4042" t="n">
        <x:v>0.2</x:v>
      </x:c>
      <x:c r="N4042" t="n">
        <x:f>ROUND(F4042*M4042/100,2)</x:f>
        <x:v>0.28</x:v>
      </x:c>
      <x:c r="O4042" t="str">
        <x:v>生重</x:v>
      </x:c>
    </x:row>
    <x:row r="4043" ht="23" customHeight="1">
      <x:c r="A4043" t="n">
        <x:v>674</x:v>
      </x:c>
      <x:c r="B4043" t="n">
        <x:v>337</x:v>
      </x:c>
      <x:c r="C4043" t="str">
        <x:v>晚餐</x:v>
      </x:c>
      <x:c r="D4043" t="str">
        <x:v>蔬菜</x:v>
      </x:c>
      <x:c r="E4043" t="str">
        <x:v>西兰花</x:v>
      </x:c>
      <x:c r="F4043" t="n">
        <x:v>125</x:v>
      </x:c>
      <x:c r="G4043" t="n">
        <x:v>34</x:v>
      </x:c>
      <x:c r="H4043" t="n">
        <x:f>ROUND(F4043*G4043/100,2)</x:f>
        <x:v>42.5</x:v>
      </x:c>
      <x:c r="I4043" t="n">
        <x:v>2.8</x:v>
      </x:c>
      <x:c r="J4043" t="n">
        <x:f>ROUND(F4043*I4043/100,2)</x:f>
        <x:v>3.5</x:v>
      </x:c>
      <x:c r="K4043" t="n">
        <x:v>7</x:v>
      </x:c>
      <x:c r="L4043" t="n">
        <x:f>ROUND(F4043*K4043/100,2)</x:f>
        <x:v>8.75</x:v>
      </x:c>
      <x:c r="M4043" t="n">
        <x:v>0.4</x:v>
      </x:c>
      <x:c r="N4043" t="n">
        <x:f>ROUND(F4043*M4043/100,2)</x:f>
        <x:v>0.5</x:v>
      </x:c>
      <x:c r="O4043" t="str">
        <x:v>生重</x:v>
      </x:c>
    </x:row>
    <x:row r="4044" ht="23" customHeight="1">
      <x:c r="A4044" t="n">
        <x:v>674</x:v>
      </x:c>
      <x:c r="B4044" t="n">
        <x:v>337</x:v>
      </x:c>
      <x:c r="C4044" t="str">
        <x:v>晚餐</x:v>
      </x:c>
      <x:c r="D4044" t="str">
        <x:v>主食</x:v>
      </x:c>
      <x:c r="E4044" t="str">
        <x:v>糙米饭</x:v>
      </x:c>
      <x:c r="F4044" t="n">
        <x:v>95</x:v>
      </x:c>
      <x:c r="G4044" t="n">
        <x:v>112</x:v>
      </x:c>
      <x:c r="H4044" t="n">
        <x:f>ROUND(F4044*G4044/100,2)</x:f>
        <x:v>106.4</x:v>
      </x:c>
      <x:c r="I4044" t="n">
        <x:v>2.6</x:v>
      </x:c>
      <x:c r="J4044" t="n">
        <x:f>ROUND(F4044*I4044/100,2)</x:f>
        <x:v>2.47</x:v>
      </x:c>
      <x:c r="K4044" t="n">
        <x:v>23.5</x:v>
      </x:c>
      <x:c r="L4044" t="n">
        <x:f>ROUND(F4044*K4044/100,2)</x:f>
        <x:v>22.33</x:v>
      </x:c>
      <x:c r="M4044" t="n">
        <x:v>0.9</x:v>
      </x:c>
      <x:c r="N4044" t="n">
        <x:f>ROUND(F4044*M4044/100,2)</x:f>
        <x:v>0.86</x:v>
      </x:c>
      <x:c r="O4044" t="str">
        <x:v>熟重</x:v>
      </x:c>
    </x:row>
    <x:row r="4045" ht="23" customHeight="1">
      <x:c r="A4045" t="n">
        <x:v>674</x:v>
      </x:c>
      <x:c r="B4045" t="n">
        <x:v>337</x:v>
      </x:c>
      <x:c r="C4045" t="str">
        <x:v>晚餐</x:v>
      </x:c>
      <x:c r="D4045" t="str">
        <x:v>油脂</x:v>
      </x:c>
      <x:c r="E4045" t="str">
        <x:v>烹调油</x:v>
      </x:c>
      <x:c r="F4045" t="n">
        <x:v>4</x:v>
      </x:c>
      <x:c r="G4045" t="n">
        <x:v>900</x:v>
      </x:c>
      <x:c r="H4045" t="n">
        <x:f>ROUND(F4045*G4045/100,2)</x:f>
        <x:v>36</x:v>
      </x:c>
      <x:c r="I4045" t="n">
        <x:v>0</x:v>
      </x:c>
      <x:c r="J4045" t="n">
        <x:f>ROUND(F4045*I4045/100,2)</x:f>
        <x:v>0</x:v>
      </x:c>
      <x:c r="K4045" t="n">
        <x:v>0</x:v>
      </x:c>
      <x:c r="L4045" t="n">
        <x:f>ROUND(F4045*K4045/100,2)</x:f>
        <x:v>0</x:v>
      </x:c>
      <x:c r="M4045" t="n">
        <x:v>100</x:v>
      </x:c>
      <x:c r="N4045" t="n">
        <x:f>ROUND(F4045*M4045/100,2)</x:f>
        <x:v>4</x:v>
      </x:c>
      <x:c r="O4045" t="str">
        <x:v>实际用油重</x:v>
      </x:c>
    </x:row>
    <x:row r="4046" ht="23" customHeight="1">
      <x:c r="A4046" t="n">
        <x:v>675</x:v>
      </x:c>
      <x:c r="B4046" t="n">
        <x:v>338</x:v>
      </x:c>
      <x:c r="C4046" t="str">
        <x:v>午餐</x:v>
      </x:c>
      <x:c r="D4046" t="str">
        <x:v>禽肉</x:v>
      </x:c>
      <x:c r="E4046" t="str">
        <x:v>鸡胸肉</x:v>
      </x:c>
      <x:c r="F4046" t="n">
        <x:v>175</x:v>
      </x:c>
      <x:c r="G4046" t="n">
        <x:v>110</x:v>
      </x:c>
      <x:c r="H4046" t="n">
        <x:f>ROUND(F4046*G4046/100,2)</x:f>
        <x:v>192.5</x:v>
      </x:c>
      <x:c r="I4046" t="n">
        <x:v>23</x:v>
      </x:c>
      <x:c r="J4046" t="n">
        <x:f>ROUND(F4046*I4046/100,2)</x:f>
        <x:v>40.25</x:v>
      </x:c>
      <x:c r="K4046" t="n">
        <x:v>0</x:v>
      </x:c>
      <x:c r="L4046" t="n">
        <x:f>ROUND(F4046*K4046/100,2)</x:f>
        <x:v>0</x:v>
      </x:c>
      <x:c r="M4046" t="n">
        <x:v>2</x:v>
      </x:c>
      <x:c r="N4046" t="n">
        <x:f>ROUND(F4046*M4046/100,2)</x:f>
        <x:v>3.5</x:v>
      </x:c>
      <x:c r="O4046" t="str">
        <x:v>生重</x:v>
      </x:c>
    </x:row>
    <x:row r="4047" ht="23" customHeight="1">
      <x:c r="A4047" t="n">
        <x:v>675</x:v>
      </x:c>
      <x:c r="B4047" t="n">
        <x:v>338</x:v>
      </x:c>
      <x:c r="C4047" t="str">
        <x:v>午餐</x:v>
      </x:c>
      <x:c r="D4047" t="str">
        <x:v>豆蛋</x:v>
      </x:c>
      <x:c r="E4047" t="str">
        <x:v>嫩豆腐</x:v>
      </x:c>
      <x:c r="F4047" t="n">
        <x:v>160</x:v>
      </x:c>
      <x:c r="G4047" t="n">
        <x:v>55</x:v>
      </x:c>
      <x:c r="H4047" t="n">
        <x:f>ROUND(F4047*G4047/100,2)</x:f>
        <x:v>88</x:v>
      </x:c>
      <x:c r="I4047" t="n">
        <x:v>5</x:v>
      </x:c>
      <x:c r="J4047" t="n">
        <x:f>ROUND(F4047*I4047/100,2)</x:f>
        <x:v>8</x:v>
      </x:c>
      <x:c r="K4047" t="n">
        <x:v>2</x:v>
      </x:c>
      <x:c r="L4047" t="n">
        <x:f>ROUND(F4047*K4047/100,2)</x:f>
        <x:v>3.2</x:v>
      </x:c>
      <x:c r="M4047" t="n">
        <x:v>2.8</x:v>
      </x:c>
      <x:c r="N4047" t="n">
        <x:f>ROUND(F4047*M4047/100,2)</x:f>
        <x:v>4.48</x:v>
      </x:c>
      <x:c r="O4047" t="str">
        <x:v>净重</x:v>
      </x:c>
    </x:row>
    <x:row r="4048" ht="23" customHeight="1">
      <x:c r="A4048" t="n">
        <x:v>675</x:v>
      </x:c>
      <x:c r="B4048" t="n">
        <x:v>338</x:v>
      </x:c>
      <x:c r="C4048" t="str">
        <x:v>午餐</x:v>
      </x:c>
      <x:c r="D4048" t="str">
        <x:v>蔬菜</x:v>
      </x:c>
      <x:c r="E4048" t="str">
        <x:v>紫甘蓝</x:v>
      </x:c>
      <x:c r="F4048" t="n">
        <x:v>160</x:v>
      </x:c>
      <x:c r="G4048" t="n">
        <x:v>31</x:v>
      </x:c>
      <x:c r="H4048" t="n">
        <x:f>ROUND(F4048*G4048/100,2)</x:f>
        <x:v>49.6</x:v>
      </x:c>
      <x:c r="I4048" t="n">
        <x:v>1.4</x:v>
      </x:c>
      <x:c r="J4048" t="n">
        <x:f>ROUND(F4048*I4048/100,2)</x:f>
        <x:v>2.24</x:v>
      </x:c>
      <x:c r="K4048" t="n">
        <x:v>7.3</x:v>
      </x:c>
      <x:c r="L4048" t="n">
        <x:f>ROUND(F4048*K4048/100,2)</x:f>
        <x:v>11.68</x:v>
      </x:c>
      <x:c r="M4048" t="n">
        <x:v>0.1</x:v>
      </x:c>
      <x:c r="N4048" t="n">
        <x:f>ROUND(F4048*M4048/100,2)</x:f>
        <x:v>0.16</x:v>
      </x:c>
      <x:c r="O4048" t="str">
        <x:v>生重</x:v>
      </x:c>
    </x:row>
    <x:row r="4049" ht="23" customHeight="1">
      <x:c r="A4049" t="n">
        <x:v>675</x:v>
      </x:c>
      <x:c r="B4049" t="n">
        <x:v>338</x:v>
      </x:c>
      <x:c r="C4049" t="str">
        <x:v>午餐</x:v>
      </x:c>
      <x:c r="D4049" t="str">
        <x:v>菌菇</x:v>
      </x:c>
      <x:c r="E4049" t="str">
        <x:v>杏鲍菇</x:v>
      </x:c>
      <x:c r="F4049" t="n">
        <x:v>155</x:v>
      </x:c>
      <x:c r="G4049" t="n">
        <x:v>35</x:v>
      </x:c>
      <x:c r="H4049" t="n">
        <x:f>ROUND(F4049*G4049/100,2)</x:f>
        <x:v>54.25</x:v>
      </x:c>
      <x:c r="I4049" t="n">
        <x:v>2</x:v>
      </x:c>
      <x:c r="J4049" t="n">
        <x:f>ROUND(F4049*I4049/100,2)</x:f>
        <x:v>3.1</x:v>
      </x:c>
      <x:c r="K4049" t="n">
        <x:v>7.4</x:v>
      </x:c>
      <x:c r="L4049" t="n">
        <x:f>ROUND(F4049*K4049/100,2)</x:f>
        <x:v>11.47</x:v>
      </x:c>
      <x:c r="M4049" t="n">
        <x:v>0.3</x:v>
      </x:c>
      <x:c r="N4049" t="n">
        <x:f>ROUND(F4049*M4049/100,2)</x:f>
        <x:v>0.47</x:v>
      </x:c>
      <x:c r="O4049" t="str">
        <x:v>生重</x:v>
      </x:c>
    </x:row>
    <x:row r="4050" ht="23" customHeight="1">
      <x:c r="A4050" t="n">
        <x:v>675</x:v>
      </x:c>
      <x:c r="B4050" t="n">
        <x:v>338</x:v>
      </x:c>
      <x:c r="C4050" t="str">
        <x:v>午餐</x:v>
      </x:c>
      <x:c r="D4050" t="str">
        <x:v>主食</x:v>
      </x:c>
      <x:c r="E4050" t="str">
        <x:v>糙米饭</x:v>
      </x:c>
      <x:c r="F4050" t="n">
        <x:v>125</x:v>
      </x:c>
      <x:c r="G4050" t="n">
        <x:v>112</x:v>
      </x:c>
      <x:c r="H4050" t="n">
        <x:f>ROUND(F4050*G4050/100,2)</x:f>
        <x:v>140</x:v>
      </x:c>
      <x:c r="I4050" t="n">
        <x:v>2.6</x:v>
      </x:c>
      <x:c r="J4050" t="n">
        <x:f>ROUND(F4050*I4050/100,2)</x:f>
        <x:v>3.25</x:v>
      </x:c>
      <x:c r="K4050" t="n">
        <x:v>23.5</x:v>
      </x:c>
      <x:c r="L4050" t="n">
        <x:f>ROUND(F4050*K4050/100,2)</x:f>
        <x:v>29.38</x:v>
      </x:c>
      <x:c r="M4050" t="n">
        <x:v>0.9</x:v>
      </x:c>
      <x:c r="N4050" t="n">
        <x:f>ROUND(F4050*M4050/100,2)</x:f>
        <x:v>1.13</x:v>
      </x:c>
      <x:c r="O4050" t="str">
        <x:v>熟重</x:v>
      </x:c>
    </x:row>
    <x:row r="4051" ht="23" customHeight="1">
      <x:c r="A4051" t="n">
        <x:v>675</x:v>
      </x:c>
      <x:c r="B4051" t="n">
        <x:v>338</x:v>
      </x:c>
      <x:c r="C4051" t="str">
        <x:v>午餐</x:v>
      </x:c>
      <x:c r="D4051" t="str">
        <x:v>油脂</x:v>
      </x:c>
      <x:c r="E4051" t="str">
        <x:v>烹调油</x:v>
      </x:c>
      <x:c r="F4051" t="n">
        <x:v>3</x:v>
      </x:c>
      <x:c r="G4051" t="n">
        <x:v>900</x:v>
      </x:c>
      <x:c r="H4051" t="n">
        <x:f>ROUND(F4051*G4051/100,2)</x:f>
        <x:v>27</x:v>
      </x:c>
      <x:c r="I4051" t="n">
        <x:v>0</x:v>
      </x:c>
      <x:c r="J4051" t="n">
        <x:f>ROUND(F4051*I4051/100,2)</x:f>
        <x:v>0</x:v>
      </x:c>
      <x:c r="K4051" t="n">
        <x:v>0</x:v>
      </x:c>
      <x:c r="L4051" t="n">
        <x:f>ROUND(F4051*K4051/100,2)</x:f>
        <x:v>0</x:v>
      </x:c>
      <x:c r="M4051" t="n">
        <x:v>100</x:v>
      </x:c>
      <x:c r="N4051" t="n">
        <x:f>ROUND(F4051*M4051/100,2)</x:f>
        <x:v>3</x:v>
      </x:c>
      <x:c r="O4051" t="str">
        <x:v>实际用油重</x:v>
      </x:c>
    </x:row>
    <x:row r="4052" ht="23" customHeight="1">
      <x:c r="A4052" t="n">
        <x:v>676</x:v>
      </x:c>
      <x:c r="B4052" t="n">
        <x:v>338</x:v>
      </x:c>
      <x:c r="C4052" t="str">
        <x:v>晚餐</x:v>
      </x:c>
      <x:c r="D4052" t="str">
        <x:v>猪肉</x:v>
      </x:c>
      <x:c r="E4052" t="str">
        <x:v>猪里脊</x:v>
      </x:c>
      <x:c r="F4052" t="n">
        <x:v>145</x:v>
      </x:c>
      <x:c r="G4052" t="n">
        <x:v>120</x:v>
      </x:c>
      <x:c r="H4052" t="n">
        <x:f>ROUND(F4052*G4052/100,2)</x:f>
        <x:v>174</x:v>
      </x:c>
      <x:c r="I4052" t="n">
        <x:v>21</x:v>
      </x:c>
      <x:c r="J4052" t="n">
        <x:f>ROUND(F4052*I4052/100,2)</x:f>
        <x:v>30.45</x:v>
      </x:c>
      <x:c r="K4052" t="n">
        <x:v>0</x:v>
      </x:c>
      <x:c r="L4052" t="n">
        <x:f>ROUND(F4052*K4052/100,2)</x:f>
        <x:v>0</x:v>
      </x:c>
      <x:c r="M4052" t="n">
        <x:v>3.5</x:v>
      </x:c>
      <x:c r="N4052" t="n">
        <x:f>ROUND(F4052*M4052/100,2)</x:f>
        <x:v>5.08</x:v>
      </x:c>
      <x:c r="O4052" t="str">
        <x:v>生重</x:v>
      </x:c>
    </x:row>
    <x:row r="4053" ht="23" customHeight="1">
      <x:c r="A4053" t="n">
        <x:v>676</x:v>
      </x:c>
      <x:c r="B4053" t="n">
        <x:v>338</x:v>
      </x:c>
      <x:c r="C4053" t="str">
        <x:v>晚餐</x:v>
      </x:c>
      <x:c r="D4053" t="str"/>
      <x:c r="E4053" t="str"/>
      <x:c r="F4053" t="n">
        <x:v>0</x:v>
      </x:c>
      <x:c r="G4053" t="n">
        <x:v>0</x:v>
      </x:c>
      <x:c r="H4053" t="n">
        <x:f>ROUND(F4053*G4053/100,2)</x:f>
        <x:v>0</x:v>
      </x:c>
      <x:c r="I4053" t="n">
        <x:v>0</x:v>
      </x:c>
      <x:c r="J4053" t="n">
        <x:f>ROUND(F4053*I4053/100,2)</x:f>
        <x:v>0</x:v>
      </x:c>
      <x:c r="K4053" t="n">
        <x:v>0</x:v>
      </x:c>
      <x:c r="L4053" t="n">
        <x:f>ROUND(F4053*K4053/100,2)</x:f>
        <x:v>0</x:v>
      </x:c>
      <x:c r="M4053" t="n">
        <x:v>0</x:v>
      </x:c>
      <x:c r="N4053" t="n">
        <x:f>ROUND(F4053*M4053/100,2)</x:f>
        <x:v>0</x:v>
      </x:c>
      <x:c r="O4053" t="str"/>
    </x:row>
    <x:row r="4054" ht="23" customHeight="1">
      <x:c r="A4054" t="n">
        <x:v>676</x:v>
      </x:c>
      <x:c r="B4054" t="n">
        <x:v>338</x:v>
      </x:c>
      <x:c r="C4054" t="str">
        <x:v>晚餐</x:v>
      </x:c>
      <x:c r="D4054" t="str">
        <x:v>蔬菜</x:v>
      </x:c>
      <x:c r="E4054" t="str">
        <x:v>芹菜</x:v>
      </x:c>
      <x:c r="F4054" t="n">
        <x:v>175</x:v>
      </x:c>
      <x:c r="G4054" t="n">
        <x:v>17</x:v>
      </x:c>
      <x:c r="H4054" t="n">
        <x:f>ROUND(F4054*G4054/100,2)</x:f>
        <x:v>29.75</x:v>
      </x:c>
      <x:c r="I4054" t="n">
        <x:v>1</x:v>
      </x:c>
      <x:c r="J4054" t="n">
        <x:f>ROUND(F4054*I4054/100,2)</x:f>
        <x:v>1.75</x:v>
      </x:c>
      <x:c r="K4054" t="n">
        <x:v>3.5</x:v>
      </x:c>
      <x:c r="L4054" t="n">
        <x:f>ROUND(F4054*K4054/100,2)</x:f>
        <x:v>6.13</x:v>
      </x:c>
      <x:c r="M4054" t="n">
        <x:v>0.1</x:v>
      </x:c>
      <x:c r="N4054" t="n">
        <x:f>ROUND(F4054*M4054/100,2)</x:f>
        <x:v>0.18</x:v>
      </x:c>
      <x:c r="O4054" t="str">
        <x:v>生重</x:v>
      </x:c>
    </x:row>
    <x:row r="4055" ht="23" customHeight="1">
      <x:c r="A4055" t="n">
        <x:v>676</x:v>
      </x:c>
      <x:c r="B4055" t="n">
        <x:v>338</x:v>
      </x:c>
      <x:c r="C4055" t="str">
        <x:v>晚餐</x:v>
      </x:c>
      <x:c r="D4055" t="str">
        <x:v>菌菇</x:v>
      </x:c>
      <x:c r="E4055" t="str">
        <x:v>口蘑</x:v>
      </x:c>
      <x:c r="F4055" t="n">
        <x:v>155</x:v>
      </x:c>
      <x:c r="G4055" t="n">
        <x:v>22</x:v>
      </x:c>
      <x:c r="H4055" t="n">
        <x:f>ROUND(F4055*G4055/100,2)</x:f>
        <x:v>34.1</x:v>
      </x:c>
      <x:c r="I4055" t="n">
        <x:v>3.1</x:v>
      </x:c>
      <x:c r="J4055" t="n">
        <x:f>ROUND(F4055*I4055/100,2)</x:f>
        <x:v>4.81</x:v>
      </x:c>
      <x:c r="K4055" t="n">
        <x:v>3.3</x:v>
      </x:c>
      <x:c r="L4055" t="n">
        <x:f>ROUND(F4055*K4055/100,2)</x:f>
        <x:v>5.12</x:v>
      </x:c>
      <x:c r="M4055" t="n">
        <x:v>0.3</x:v>
      </x:c>
      <x:c r="N4055" t="n">
        <x:f>ROUND(F4055*M4055/100,2)</x:f>
        <x:v>0.47</x:v>
      </x:c>
      <x:c r="O4055" t="str">
        <x:v>生重</x:v>
      </x:c>
    </x:row>
    <x:row r="4056" ht="23" customHeight="1">
      <x:c r="A4056" t="n">
        <x:v>676</x:v>
      </x:c>
      <x:c r="B4056" t="n">
        <x:v>338</x:v>
      </x:c>
      <x:c r="C4056" t="str">
        <x:v>晚餐</x:v>
      </x:c>
      <x:c r="D4056" t="str">
        <x:v>主食</x:v>
      </x:c>
      <x:c r="E4056" t="str">
        <x:v>紫薯</x:v>
      </x:c>
      <x:c r="F4056" t="n">
        <x:v>125</x:v>
      </x:c>
      <x:c r="G4056" t="n">
        <x:v>95</x:v>
      </x:c>
      <x:c r="H4056" t="n">
        <x:f>ROUND(F4056*G4056/100,2)</x:f>
        <x:v>118.75</x:v>
      </x:c>
      <x:c r="I4056" t="n">
        <x:v>1.6</x:v>
      </x:c>
      <x:c r="J4056" t="n">
        <x:f>ROUND(F4056*I4056/100,2)</x:f>
        <x:v>2</x:v>
      </x:c>
      <x:c r="K4056" t="n">
        <x:v>22</x:v>
      </x:c>
      <x:c r="L4056" t="n">
        <x:f>ROUND(F4056*K4056/100,2)</x:f>
        <x:v>27.5</x:v>
      </x:c>
      <x:c r="M4056" t="n">
        <x:v>0.1</x:v>
      </x:c>
      <x:c r="N4056" t="n">
        <x:f>ROUND(F4056*M4056/100,2)</x:f>
        <x:v>0.13</x:v>
      </x:c>
      <x:c r="O4056" t="str">
        <x:v>蒸熟净重</x:v>
      </x:c>
    </x:row>
    <x:row r="4057" ht="23" customHeight="1">
      <x:c r="A4057" t="n">
        <x:v>676</x:v>
      </x:c>
      <x:c r="B4057" t="n">
        <x:v>338</x:v>
      </x:c>
      <x:c r="C4057" t="str">
        <x:v>晚餐</x:v>
      </x:c>
      <x:c r="D4057" t="str">
        <x:v>油脂</x:v>
      </x:c>
      <x:c r="E4057" t="str">
        <x:v>烹调油</x:v>
      </x:c>
      <x:c r="F4057" t="n">
        <x:v>4</x:v>
      </x:c>
      <x:c r="G4057" t="n">
        <x:v>900</x:v>
      </x:c>
      <x:c r="H4057" t="n">
        <x:f>ROUND(F4057*G4057/100,2)</x:f>
        <x:v>36</x:v>
      </x:c>
      <x:c r="I4057" t="n">
        <x:v>0</x:v>
      </x:c>
      <x:c r="J4057" t="n">
        <x:f>ROUND(F4057*I4057/100,2)</x:f>
        <x:v>0</x:v>
      </x:c>
      <x:c r="K4057" t="n">
        <x:v>0</x:v>
      </x:c>
      <x:c r="L4057" t="n">
        <x:f>ROUND(F4057*K4057/100,2)</x:f>
        <x:v>0</x:v>
      </x:c>
      <x:c r="M4057" t="n">
        <x:v>100</x:v>
      </x:c>
      <x:c r="N4057" t="n">
        <x:f>ROUND(F4057*M4057/100,2)</x:f>
        <x:v>4</x:v>
      </x:c>
      <x:c r="O4057" t="str">
        <x:v>实际用油重</x:v>
      </x:c>
    </x:row>
    <x:row r="4058" ht="23" customHeight="1">
      <x:c r="A4058" t="n">
        <x:v>677</x:v>
      </x:c>
      <x:c r="B4058" t="n">
        <x:v>339</x:v>
      </x:c>
      <x:c r="C4058" t="str">
        <x:v>午餐</x:v>
      </x:c>
      <x:c r="D4058" t="str">
        <x:v>猪肉</x:v>
      </x:c>
      <x:c r="E4058" t="str">
        <x:v>猪里脊</x:v>
      </x:c>
      <x:c r="F4058" t="n">
        <x:v>155</x:v>
      </x:c>
      <x:c r="G4058" t="n">
        <x:v>120</x:v>
      </x:c>
      <x:c r="H4058" t="n">
        <x:f>ROUND(F4058*G4058/100,2)</x:f>
        <x:v>186</x:v>
      </x:c>
      <x:c r="I4058" t="n">
        <x:v>21</x:v>
      </x:c>
      <x:c r="J4058" t="n">
        <x:f>ROUND(F4058*I4058/100,2)</x:f>
        <x:v>32.55</x:v>
      </x:c>
      <x:c r="K4058" t="n">
        <x:v>0</x:v>
      </x:c>
      <x:c r="L4058" t="n">
        <x:f>ROUND(F4058*K4058/100,2)</x:f>
        <x:v>0</x:v>
      </x:c>
      <x:c r="M4058" t="n">
        <x:v>3.5</x:v>
      </x:c>
      <x:c r="N4058" t="n">
        <x:f>ROUND(F4058*M4058/100,2)</x:f>
        <x:v>5.43</x:v>
      </x:c>
      <x:c r="O4058" t="str">
        <x:v>生重</x:v>
      </x:c>
    </x:row>
    <x:row r="4059" ht="23" customHeight="1">
      <x:c r="A4059" t="n">
        <x:v>677</x:v>
      </x:c>
      <x:c r="B4059" t="n">
        <x:v>339</x:v>
      </x:c>
      <x:c r="C4059" t="str">
        <x:v>午餐</x:v>
      </x:c>
      <x:c r="D4059" t="str"/>
      <x:c r="E4059" t="str"/>
      <x:c r="F4059" t="n">
        <x:v>0</x:v>
      </x:c>
      <x:c r="G4059" t="n">
        <x:v>0</x:v>
      </x:c>
      <x:c r="H4059" t="n">
        <x:f>ROUND(F4059*G4059/100,2)</x:f>
        <x:v>0</x:v>
      </x:c>
      <x:c r="I4059" t="n">
        <x:v>0</x:v>
      </x:c>
      <x:c r="J4059" t="n">
        <x:f>ROUND(F4059*I4059/100,2)</x:f>
        <x:v>0</x:v>
      </x:c>
      <x:c r="K4059" t="n">
        <x:v>0</x:v>
      </x:c>
      <x:c r="L4059" t="n">
        <x:f>ROUND(F4059*K4059/100,2)</x:f>
        <x:v>0</x:v>
      </x:c>
      <x:c r="M4059" t="n">
        <x:v>0</x:v>
      </x:c>
      <x:c r="N4059" t="n">
        <x:f>ROUND(F4059*M4059/100,2)</x:f>
        <x:v>0</x:v>
      </x:c>
      <x:c r="O4059" t="str"/>
    </x:row>
    <x:row r="4060" ht="23" customHeight="1">
      <x:c r="A4060" t="n">
        <x:v>677</x:v>
      </x:c>
      <x:c r="B4060" t="n">
        <x:v>339</x:v>
      </x:c>
      <x:c r="C4060" t="str">
        <x:v>午餐</x:v>
      </x:c>
      <x:c r="D4060" t="str">
        <x:v>蔬菜</x:v>
      </x:c>
      <x:c r="E4060" t="str">
        <x:v>苦瓜</x:v>
      </x:c>
      <x:c r="F4060" t="n">
        <x:v>175</x:v>
      </x:c>
      <x:c r="G4060" t="n">
        <x:v>19</x:v>
      </x:c>
      <x:c r="H4060" t="n">
        <x:f>ROUND(F4060*G4060/100,2)</x:f>
        <x:v>33.25</x:v>
      </x:c>
      <x:c r="I4060" t="n">
        <x:v>1</x:v>
      </x:c>
      <x:c r="J4060" t="n">
        <x:f>ROUND(F4060*I4060/100,2)</x:f>
        <x:v>1.75</x:v>
      </x:c>
      <x:c r="K4060" t="n">
        <x:v>4.1</x:v>
      </x:c>
      <x:c r="L4060" t="n">
        <x:f>ROUND(F4060*K4060/100,2)</x:f>
        <x:v>7.17</x:v>
      </x:c>
      <x:c r="M4060" t="n">
        <x:v>0.2</x:v>
      </x:c>
      <x:c r="N4060" t="n">
        <x:f>ROUND(F4060*M4060/100,2)</x:f>
        <x:v>0.35</x:v>
      </x:c>
      <x:c r="O4060" t="str">
        <x:v>生重</x:v>
      </x:c>
    </x:row>
    <x:row r="4061" ht="23" customHeight="1">
      <x:c r="A4061" t="n">
        <x:v>677</x:v>
      </x:c>
      <x:c r="B4061" t="n">
        <x:v>339</x:v>
      </x:c>
      <x:c r="C4061" t="str">
        <x:v>午餐</x:v>
      </x:c>
      <x:c r="D4061" t="str">
        <x:v>菌菇</x:v>
      </x:c>
      <x:c r="E4061" t="str">
        <x:v>泡发木耳</x:v>
      </x:c>
      <x:c r="F4061" t="n">
        <x:v>140</x:v>
      </x:c>
      <x:c r="G4061" t="n">
        <x:v>25</x:v>
      </x:c>
      <x:c r="H4061" t="n">
        <x:f>ROUND(F4061*G4061/100,2)</x:f>
        <x:v>35</x:v>
      </x:c>
      <x:c r="I4061" t="n">
        <x:v>1.5</x:v>
      </x:c>
      <x:c r="J4061" t="n">
        <x:f>ROUND(F4061*I4061/100,2)</x:f>
        <x:v>2.1</x:v>
      </x:c>
      <x:c r="K4061" t="n">
        <x:v>6</x:v>
      </x:c>
      <x:c r="L4061" t="n">
        <x:f>ROUND(F4061*K4061/100,2)</x:f>
        <x:v>8.4</x:v>
      </x:c>
      <x:c r="M4061" t="n">
        <x:v>0.1</x:v>
      </x:c>
      <x:c r="N4061" t="n">
        <x:f>ROUND(F4061*M4061/100,2)</x:f>
        <x:v>0.14</x:v>
      </x:c>
      <x:c r="O4061" t="str">
        <x:v>泡发沥水重</x:v>
      </x:c>
    </x:row>
    <x:row r="4062" ht="23" customHeight="1">
      <x:c r="A4062" t="n">
        <x:v>677</x:v>
      </x:c>
      <x:c r="B4062" t="n">
        <x:v>339</x:v>
      </x:c>
      <x:c r="C4062" t="str">
        <x:v>午餐</x:v>
      </x:c>
      <x:c r="D4062" t="str">
        <x:v>主食</x:v>
      </x:c>
      <x:c r="E4062" t="str">
        <x:v>杂粮饭</x:v>
      </x:c>
      <x:c r="F4062" t="n">
        <x:v>125</x:v>
      </x:c>
      <x:c r="G4062" t="n">
        <x:v>115</x:v>
      </x:c>
      <x:c r="H4062" t="n">
        <x:f>ROUND(F4062*G4062/100,2)</x:f>
        <x:v>143.75</x:v>
      </x:c>
      <x:c r="I4062" t="n">
        <x:v>3.1</x:v>
      </x:c>
      <x:c r="J4062" t="n">
        <x:f>ROUND(F4062*I4062/100,2)</x:f>
        <x:v>3.88</x:v>
      </x:c>
      <x:c r="K4062" t="n">
        <x:v>23.5</x:v>
      </x:c>
      <x:c r="L4062" t="n">
        <x:f>ROUND(F4062*K4062/100,2)</x:f>
        <x:v>29.38</x:v>
      </x:c>
      <x:c r="M4062" t="n">
        <x:v>1.1</x:v>
      </x:c>
      <x:c r="N4062" t="n">
        <x:f>ROUND(F4062*M4062/100,2)</x:f>
        <x:v>1.38</x:v>
      </x:c>
      <x:c r="O4062" t="str">
        <x:v>熟重</x:v>
      </x:c>
    </x:row>
    <x:row r="4063" ht="23" customHeight="1">
      <x:c r="A4063" t="n">
        <x:v>677</x:v>
      </x:c>
      <x:c r="B4063" t="n">
        <x:v>339</x:v>
      </x:c>
      <x:c r="C4063" t="str">
        <x:v>午餐</x:v>
      </x:c>
      <x:c r="D4063" t="str">
        <x:v>油脂</x:v>
      </x:c>
      <x:c r="E4063" t="str">
        <x:v>烹调油</x:v>
      </x:c>
      <x:c r="F4063" t="n">
        <x:v>5</x:v>
      </x:c>
      <x:c r="G4063" t="n">
        <x:v>900</x:v>
      </x:c>
      <x:c r="H4063" t="n">
        <x:f>ROUND(F4063*G4063/100,2)</x:f>
        <x:v>45</x:v>
      </x:c>
      <x:c r="I4063" t="n">
        <x:v>0</x:v>
      </x:c>
      <x:c r="J4063" t="n">
        <x:f>ROUND(F4063*I4063/100,2)</x:f>
        <x:v>0</x:v>
      </x:c>
      <x:c r="K4063" t="n">
        <x:v>0</x:v>
      </x:c>
      <x:c r="L4063" t="n">
        <x:f>ROUND(F4063*K4063/100,2)</x:f>
        <x:v>0</x:v>
      </x:c>
      <x:c r="M4063" t="n">
        <x:v>100</x:v>
      </x:c>
      <x:c r="N4063" t="n">
        <x:f>ROUND(F4063*M4063/100,2)</x:f>
        <x:v>5</x:v>
      </x:c>
      <x:c r="O4063" t="str">
        <x:v>实际用油重</x:v>
      </x:c>
    </x:row>
    <x:row r="4064" ht="23" customHeight="1">
      <x:c r="A4064" t="n">
        <x:v>678</x:v>
      </x:c>
      <x:c r="B4064" t="n">
        <x:v>339</x:v>
      </x:c>
      <x:c r="C4064" t="str">
        <x:v>晚餐</x:v>
      </x:c>
      <x:c r="D4064" t="str">
        <x:v>鱼类</x:v>
      </x:c>
      <x:c r="E4064" t="str">
        <x:v>巴沙鱼</x:v>
      </x:c>
      <x:c r="F4064" t="n">
        <x:v>175</x:v>
      </x:c>
      <x:c r="G4064" t="n">
        <x:v>90</x:v>
      </x:c>
      <x:c r="H4064" t="n">
        <x:f>ROUND(F4064*G4064/100,2)</x:f>
        <x:v>157.5</x:v>
      </x:c>
      <x:c r="I4064" t="n">
        <x:v>17</x:v>
      </x:c>
      <x:c r="J4064" t="n">
        <x:f>ROUND(F4064*I4064/100,2)</x:f>
        <x:v>29.75</x:v>
      </x:c>
      <x:c r="K4064" t="n">
        <x:v>0</x:v>
      </x:c>
      <x:c r="L4064" t="n">
        <x:f>ROUND(F4064*K4064/100,2)</x:f>
        <x:v>0</x:v>
      </x:c>
      <x:c r="M4064" t="n">
        <x:v>2.3</x:v>
      </x:c>
      <x:c r="N4064" t="n">
        <x:f>ROUND(F4064*M4064/100,2)</x:f>
        <x:v>4.02</x:v>
      </x:c>
      <x:c r="O4064" t="str">
        <x:v>净鱼肉生重</x:v>
      </x:c>
    </x:row>
    <x:row r="4065" ht="23" customHeight="1">
      <x:c r="A4065" t="n">
        <x:v>678</x:v>
      </x:c>
      <x:c r="B4065" t="n">
        <x:v>339</x:v>
      </x:c>
      <x:c r="C4065" t="str">
        <x:v>晚餐</x:v>
      </x:c>
      <x:c r="D4065" t="str"/>
      <x:c r="E4065" t="str"/>
      <x:c r="F4065" t="n">
        <x:v>0</x:v>
      </x:c>
      <x:c r="G4065" t="n">
        <x:v>0</x:v>
      </x:c>
      <x:c r="H4065" t="n">
        <x:f>ROUND(F4065*G4065/100,2)</x:f>
        <x:v>0</x:v>
      </x:c>
      <x:c r="I4065" t="n">
        <x:v>0</x:v>
      </x:c>
      <x:c r="J4065" t="n">
        <x:f>ROUND(F4065*I4065/100,2)</x:f>
        <x:v>0</x:v>
      </x:c>
      <x:c r="K4065" t="n">
        <x:v>0</x:v>
      </x:c>
      <x:c r="L4065" t="n">
        <x:f>ROUND(F4065*K4065/100,2)</x:f>
        <x:v>0</x:v>
      </x:c>
      <x:c r="M4065" t="n">
        <x:v>0</x:v>
      </x:c>
      <x:c r="N4065" t="n">
        <x:f>ROUND(F4065*M4065/100,2)</x:f>
        <x:v>0</x:v>
      </x:c>
      <x:c r="O4065" t="str"/>
    </x:row>
    <x:row r="4066" ht="23" customHeight="1">
      <x:c r="A4066" t="n">
        <x:v>678</x:v>
      </x:c>
      <x:c r="B4066" t="n">
        <x:v>339</x:v>
      </x:c>
      <x:c r="C4066" t="str">
        <x:v>晚餐</x:v>
      </x:c>
      <x:c r="D4066" t="str">
        <x:v>蔬菜</x:v>
      </x:c>
      <x:c r="E4066" t="str">
        <x:v>芹菜</x:v>
      </x:c>
      <x:c r="F4066" t="n">
        <x:v>190</x:v>
      </x:c>
      <x:c r="G4066" t="n">
        <x:v>17</x:v>
      </x:c>
      <x:c r="H4066" t="n">
        <x:f>ROUND(F4066*G4066/100,2)</x:f>
        <x:v>32.3</x:v>
      </x:c>
      <x:c r="I4066" t="n">
        <x:v>1</x:v>
      </x:c>
      <x:c r="J4066" t="n">
        <x:f>ROUND(F4066*I4066/100,2)</x:f>
        <x:v>1.9</x:v>
      </x:c>
      <x:c r="K4066" t="n">
        <x:v>3.5</x:v>
      </x:c>
      <x:c r="L4066" t="n">
        <x:f>ROUND(F4066*K4066/100,2)</x:f>
        <x:v>6.65</x:v>
      </x:c>
      <x:c r="M4066" t="n">
        <x:v>0.1</x:v>
      </x:c>
      <x:c r="N4066" t="n">
        <x:f>ROUND(F4066*M4066/100,2)</x:f>
        <x:v>0.19</x:v>
      </x:c>
      <x:c r="O4066" t="str">
        <x:v>生重</x:v>
      </x:c>
    </x:row>
    <x:row r="4067" ht="23" customHeight="1">
      <x:c r="A4067" t="n">
        <x:v>678</x:v>
      </x:c>
      <x:c r="B4067" t="n">
        <x:v>339</x:v>
      </x:c>
      <x:c r="C4067" t="str">
        <x:v>晚餐</x:v>
      </x:c>
      <x:c r="D4067" t="str">
        <x:v>蔬菜</x:v>
      </x:c>
      <x:c r="E4067" t="str">
        <x:v>小白菜</x:v>
      </x:c>
      <x:c r="F4067" t="n">
        <x:v>125</x:v>
      </x:c>
      <x:c r="G4067" t="n">
        <x:v>17</x:v>
      </x:c>
      <x:c r="H4067" t="n">
        <x:f>ROUND(F4067*G4067/100,2)</x:f>
        <x:v>21.25</x:v>
      </x:c>
      <x:c r="I4067" t="n">
        <x:v>1.6</x:v>
      </x:c>
      <x:c r="J4067" t="n">
        <x:f>ROUND(F4067*I4067/100,2)</x:f>
        <x:v>2</x:v>
      </x:c>
      <x:c r="K4067" t="n">
        <x:v>2.8</x:v>
      </x:c>
      <x:c r="L4067" t="n">
        <x:f>ROUND(F4067*K4067/100,2)</x:f>
        <x:v>3.5</x:v>
      </x:c>
      <x:c r="M4067" t="n">
        <x:v>0.2</x:v>
      </x:c>
      <x:c r="N4067" t="n">
        <x:f>ROUND(F4067*M4067/100,2)</x:f>
        <x:v>0.25</x:v>
      </x:c>
      <x:c r="O4067" t="str">
        <x:v>生重</x:v>
      </x:c>
    </x:row>
    <x:row r="4068" ht="23" customHeight="1">
      <x:c r="A4068" t="n">
        <x:v>678</x:v>
      </x:c>
      <x:c r="B4068" t="n">
        <x:v>339</x:v>
      </x:c>
      <x:c r="C4068" t="str">
        <x:v>晚餐</x:v>
      </x:c>
      <x:c r="D4068" t="str">
        <x:v>主食</x:v>
      </x:c>
      <x:c r="E4068" t="str">
        <x:v>土豆</x:v>
      </x:c>
      <x:c r="F4068" t="n">
        <x:v>170</x:v>
      </x:c>
      <x:c r="G4068" t="n">
        <x:v>78</x:v>
      </x:c>
      <x:c r="H4068" t="n">
        <x:f>ROUND(F4068*G4068/100,2)</x:f>
        <x:v>132.6</x:v>
      </x:c>
      <x:c r="I4068" t="n">
        <x:v>2</x:v>
      </x:c>
      <x:c r="J4068" t="n">
        <x:f>ROUND(F4068*I4068/100,2)</x:f>
        <x:v>3.4</x:v>
      </x:c>
      <x:c r="K4068" t="n">
        <x:v>17.2</x:v>
      </x:c>
      <x:c r="L4068" t="n">
        <x:f>ROUND(F4068*K4068/100,2)</x:f>
        <x:v>29.24</x:v>
      </x:c>
      <x:c r="M4068" t="n">
        <x:v>0.1</x:v>
      </x:c>
      <x:c r="N4068" t="n">
        <x:f>ROUND(F4068*M4068/100,2)</x:f>
        <x:v>0.17</x:v>
      </x:c>
      <x:c r="O4068" t="str">
        <x:v>蒸熟净重</x:v>
      </x:c>
    </x:row>
    <x:row r="4069" ht="23" customHeight="1">
      <x:c r="A4069" t="n">
        <x:v>678</x:v>
      </x:c>
      <x:c r="B4069" t="n">
        <x:v>339</x:v>
      </x:c>
      <x:c r="C4069" t="str">
        <x:v>晚餐</x:v>
      </x:c>
      <x:c r="D4069" t="str">
        <x:v>油脂</x:v>
      </x:c>
      <x:c r="E4069" t="str">
        <x:v>烹调油</x:v>
      </x:c>
      <x:c r="F4069" t="n">
        <x:v>3</x:v>
      </x:c>
      <x:c r="G4069" t="n">
        <x:v>900</x:v>
      </x:c>
      <x:c r="H4069" t="n">
        <x:f>ROUND(F4069*G4069/100,2)</x:f>
        <x:v>27</x:v>
      </x:c>
      <x:c r="I4069" t="n">
        <x:v>0</x:v>
      </x:c>
      <x:c r="J4069" t="n">
        <x:f>ROUND(F4069*I4069/100,2)</x:f>
        <x:v>0</x:v>
      </x:c>
      <x:c r="K4069" t="n">
        <x:v>0</x:v>
      </x:c>
      <x:c r="L4069" t="n">
        <x:f>ROUND(F4069*K4069/100,2)</x:f>
        <x:v>0</x:v>
      </x:c>
      <x:c r="M4069" t="n">
        <x:v>100</x:v>
      </x:c>
      <x:c r="N4069" t="n">
        <x:f>ROUND(F4069*M4069/100,2)</x:f>
        <x:v>3</x:v>
      </x:c>
      <x:c r="O4069" t="str">
        <x:v>实际用油重</x:v>
      </x:c>
    </x:row>
    <x:row r="4070" ht="23" customHeight="1">
      <x:c r="A4070" t="n">
        <x:v>679</x:v>
      </x:c>
      <x:c r="B4070" t="n">
        <x:v>340</x:v>
      </x:c>
      <x:c r="C4070" t="str">
        <x:v>午餐</x:v>
      </x:c>
      <x:c r="D4070" t="str">
        <x:v>猪肉</x:v>
      </x:c>
      <x:c r="E4070" t="str">
        <x:v>猪瘦肉</x:v>
      </x:c>
      <x:c r="F4070" t="n">
        <x:v>175</x:v>
      </x:c>
      <x:c r="G4070" t="n">
        <x:v>130</x:v>
      </x:c>
      <x:c r="H4070" t="n">
        <x:f>ROUND(F4070*G4070/100,2)</x:f>
        <x:v>227.5</x:v>
      </x:c>
      <x:c r="I4070" t="n">
        <x:v>20</x:v>
      </x:c>
      <x:c r="J4070" t="n">
        <x:f>ROUND(F4070*I4070/100,2)</x:f>
        <x:v>35</x:v>
      </x:c>
      <x:c r="K4070" t="n">
        <x:v>0</x:v>
      </x:c>
      <x:c r="L4070" t="n">
        <x:f>ROUND(F4070*K4070/100,2)</x:f>
        <x:v>0</x:v>
      </x:c>
      <x:c r="M4070" t="n">
        <x:v>5.5</x:v>
      </x:c>
      <x:c r="N4070" t="n">
        <x:f>ROUND(F4070*M4070/100,2)</x:f>
        <x:v>9.63</x:v>
      </x:c>
      <x:c r="O4070" t="str">
        <x:v>生重</x:v>
      </x:c>
    </x:row>
    <x:row r="4071" ht="23" customHeight="1">
      <x:c r="A4071" t="n">
        <x:v>679</x:v>
      </x:c>
      <x:c r="B4071" t="n">
        <x:v>340</x:v>
      </x:c>
      <x:c r="C4071" t="str">
        <x:v>午餐</x:v>
      </x:c>
      <x:c r="D4071" t="str"/>
      <x:c r="E4071" t="str"/>
      <x:c r="F4071" t="n">
        <x:v>0</x:v>
      </x:c>
      <x:c r="G4071" t="n">
        <x:v>0</x:v>
      </x:c>
      <x:c r="H4071" t="n">
        <x:f>ROUND(F4071*G4071/100,2)</x:f>
        <x:v>0</x:v>
      </x:c>
      <x:c r="I4071" t="n">
        <x:v>0</x:v>
      </x:c>
      <x:c r="J4071" t="n">
        <x:f>ROUND(F4071*I4071/100,2)</x:f>
        <x:v>0</x:v>
      </x:c>
      <x:c r="K4071" t="n">
        <x:v>0</x:v>
      </x:c>
      <x:c r="L4071" t="n">
        <x:f>ROUND(F4071*K4071/100,2)</x:f>
        <x:v>0</x:v>
      </x:c>
      <x:c r="M4071" t="n">
        <x:v>0</x:v>
      </x:c>
      <x:c r="N4071" t="n">
        <x:f>ROUND(F4071*M4071/100,2)</x:f>
        <x:v>0</x:v>
      </x:c>
      <x:c r="O4071" t="str"/>
    </x:row>
    <x:row r="4072" ht="23" customHeight="1">
      <x:c r="A4072" t="n">
        <x:v>679</x:v>
      </x:c>
      <x:c r="B4072" t="n">
        <x:v>340</x:v>
      </x:c>
      <x:c r="C4072" t="str">
        <x:v>午餐</x:v>
      </x:c>
      <x:c r="D4072" t="str">
        <x:v>蔬菜</x:v>
      </x:c>
      <x:c r="E4072" t="str">
        <x:v>大白菜</x:v>
      </x:c>
      <x:c r="F4072" t="n">
        <x:v>140</x:v>
      </x:c>
      <x:c r="G4072" t="n">
        <x:v>17</x:v>
      </x:c>
      <x:c r="H4072" t="n">
        <x:f>ROUND(F4072*G4072/100,2)</x:f>
        <x:v>23.8</x:v>
      </x:c>
      <x:c r="I4072" t="n">
        <x:v>1.5</x:v>
      </x:c>
      <x:c r="J4072" t="n">
        <x:f>ROUND(F4072*I4072/100,2)</x:f>
        <x:v>2.1</x:v>
      </x:c>
      <x:c r="K4072" t="n">
        <x:v>3.2</x:v>
      </x:c>
      <x:c r="L4072" t="n">
        <x:f>ROUND(F4072*K4072/100,2)</x:f>
        <x:v>4.48</x:v>
      </x:c>
      <x:c r="M4072" t="n">
        <x:v>0.1</x:v>
      </x:c>
      <x:c r="N4072" t="n">
        <x:f>ROUND(F4072*M4072/100,2)</x:f>
        <x:v>0.14</x:v>
      </x:c>
      <x:c r="O4072" t="str">
        <x:v>生重</x:v>
      </x:c>
    </x:row>
    <x:row r="4073" ht="23" customHeight="1">
      <x:c r="A4073" t="n">
        <x:v>679</x:v>
      </x:c>
      <x:c r="B4073" t="n">
        <x:v>340</x:v>
      </x:c>
      <x:c r="C4073" t="str">
        <x:v>午餐</x:v>
      </x:c>
      <x:c r="D4073" t="str">
        <x:v>蔬菜</x:v>
      </x:c>
      <x:c r="E4073" t="str">
        <x:v>绿豆芽</x:v>
      </x:c>
      <x:c r="F4073" t="n">
        <x:v>125</x:v>
      </x:c>
      <x:c r="G4073" t="n">
        <x:v>31</x:v>
      </x:c>
      <x:c r="H4073" t="n">
        <x:f>ROUND(F4073*G4073/100,2)</x:f>
        <x:v>38.75</x:v>
      </x:c>
      <x:c r="I4073" t="n">
        <x:v>3</x:v>
      </x:c>
      <x:c r="J4073" t="n">
        <x:f>ROUND(F4073*I4073/100,2)</x:f>
        <x:v>3.75</x:v>
      </x:c>
      <x:c r="K4073" t="n">
        <x:v>6</x:v>
      </x:c>
      <x:c r="L4073" t="n">
        <x:f>ROUND(F4073*K4073/100,2)</x:f>
        <x:v>7.5</x:v>
      </x:c>
      <x:c r="M4073" t="n">
        <x:v>0.2</x:v>
      </x:c>
      <x:c r="N4073" t="n">
        <x:f>ROUND(F4073*M4073/100,2)</x:f>
        <x:v>0.25</x:v>
      </x:c>
      <x:c r="O4073" t="str">
        <x:v>生重</x:v>
      </x:c>
    </x:row>
    <x:row r="4074" ht="23" customHeight="1">
      <x:c r="A4074" t="n">
        <x:v>679</x:v>
      </x:c>
      <x:c r="B4074" t="n">
        <x:v>340</x:v>
      </x:c>
      <x:c r="C4074" t="str">
        <x:v>午餐</x:v>
      </x:c>
      <x:c r="D4074" t="str">
        <x:v>主食</x:v>
      </x:c>
      <x:c r="E4074" t="str">
        <x:v>糙米饭</x:v>
      </x:c>
      <x:c r="F4074" t="n">
        <x:v>125</x:v>
      </x:c>
      <x:c r="G4074" t="n">
        <x:v>112</x:v>
      </x:c>
      <x:c r="H4074" t="n">
        <x:f>ROUND(F4074*G4074/100,2)</x:f>
        <x:v>140</x:v>
      </x:c>
      <x:c r="I4074" t="n">
        <x:v>2.6</x:v>
      </x:c>
      <x:c r="J4074" t="n">
        <x:f>ROUND(F4074*I4074/100,2)</x:f>
        <x:v>3.25</x:v>
      </x:c>
      <x:c r="K4074" t="n">
        <x:v>23.5</x:v>
      </x:c>
      <x:c r="L4074" t="n">
        <x:f>ROUND(F4074*K4074/100,2)</x:f>
        <x:v>29.38</x:v>
      </x:c>
      <x:c r="M4074" t="n">
        <x:v>0.9</x:v>
      </x:c>
      <x:c r="N4074" t="n">
        <x:f>ROUND(F4074*M4074/100,2)</x:f>
        <x:v>1.13</x:v>
      </x:c>
      <x:c r="O4074" t="str">
        <x:v>熟重</x:v>
      </x:c>
    </x:row>
    <x:row r="4075" ht="23" customHeight="1">
      <x:c r="A4075" t="n">
        <x:v>679</x:v>
      </x:c>
      <x:c r="B4075" t="n">
        <x:v>340</x:v>
      </x:c>
      <x:c r="C4075" t="str">
        <x:v>午餐</x:v>
      </x:c>
      <x:c r="D4075" t="str">
        <x:v>油脂</x:v>
      </x:c>
      <x:c r="E4075" t="str">
        <x:v>烹调油</x:v>
      </x:c>
      <x:c r="F4075" t="n">
        <x:v>6</x:v>
      </x:c>
      <x:c r="G4075" t="n">
        <x:v>900</x:v>
      </x:c>
      <x:c r="H4075" t="n">
        <x:f>ROUND(F4075*G4075/100,2)</x:f>
        <x:v>54</x:v>
      </x:c>
      <x:c r="I4075" t="n">
        <x:v>0</x:v>
      </x:c>
      <x:c r="J4075" t="n">
        <x:f>ROUND(F4075*I4075/100,2)</x:f>
        <x:v>0</x:v>
      </x:c>
      <x:c r="K4075" t="n">
        <x:v>0</x:v>
      </x:c>
      <x:c r="L4075" t="n">
        <x:f>ROUND(F4075*K4075/100,2)</x:f>
        <x:v>0</x:v>
      </x:c>
      <x:c r="M4075" t="n">
        <x:v>100</x:v>
      </x:c>
      <x:c r="N4075" t="n">
        <x:f>ROUND(F4075*M4075/100,2)</x:f>
        <x:v>6</x:v>
      </x:c>
      <x:c r="O4075" t="str">
        <x:v>实际用油重</x:v>
      </x:c>
    </x:row>
    <x:row r="4076" ht="23" customHeight="1">
      <x:c r="A4076" t="n">
        <x:v>680</x:v>
      </x:c>
      <x:c r="B4076" t="n">
        <x:v>340</x:v>
      </x:c>
      <x:c r="C4076" t="str">
        <x:v>晚餐</x:v>
      </x:c>
      <x:c r="D4076" t="str">
        <x:v>牛肉</x:v>
      </x:c>
      <x:c r="E4076" t="str">
        <x:v>瘦牛肉</x:v>
      </x:c>
      <x:c r="F4076" t="n">
        <x:v>145</x:v>
      </x:c>
      <x:c r="G4076" t="n">
        <x:v>125</x:v>
      </x:c>
      <x:c r="H4076" t="n">
        <x:f>ROUND(F4076*G4076/100,2)</x:f>
        <x:v>181.25</x:v>
      </x:c>
      <x:c r="I4076" t="n">
        <x:v>21</x:v>
      </x:c>
      <x:c r="J4076" t="n">
        <x:f>ROUND(F4076*I4076/100,2)</x:f>
        <x:v>30.45</x:v>
      </x:c>
      <x:c r="K4076" t="n">
        <x:v>0</x:v>
      </x:c>
      <x:c r="L4076" t="n">
        <x:f>ROUND(F4076*K4076/100,2)</x:f>
        <x:v>0</x:v>
      </x:c>
      <x:c r="M4076" t="n">
        <x:v>4</x:v>
      </x:c>
      <x:c r="N4076" t="n">
        <x:f>ROUND(F4076*M4076/100,2)</x:f>
        <x:v>5.8</x:v>
      </x:c>
      <x:c r="O4076" t="str">
        <x:v>生重</x:v>
      </x:c>
    </x:row>
    <x:row r="4077" ht="23" customHeight="1">
      <x:c r="A4077" t="n">
        <x:v>680</x:v>
      </x:c>
      <x:c r="B4077" t="n">
        <x:v>340</x:v>
      </x:c>
      <x:c r="C4077" t="str">
        <x:v>晚餐</x:v>
      </x:c>
      <x:c r="D4077" t="str"/>
      <x:c r="E4077" t="str"/>
      <x:c r="F4077" t="n">
        <x:v>0</x:v>
      </x:c>
      <x:c r="G4077" t="n">
        <x:v>0</x:v>
      </x:c>
      <x:c r="H4077" t="n">
        <x:f>ROUND(F4077*G4077/100,2)</x:f>
        <x:v>0</x:v>
      </x:c>
      <x:c r="I4077" t="n">
        <x:v>0</x:v>
      </x:c>
      <x:c r="J4077" t="n">
        <x:f>ROUND(F4077*I4077/100,2)</x:f>
        <x:v>0</x:v>
      </x:c>
      <x:c r="K4077" t="n">
        <x:v>0</x:v>
      </x:c>
      <x:c r="L4077" t="n">
        <x:f>ROUND(F4077*K4077/100,2)</x:f>
        <x:v>0</x:v>
      </x:c>
      <x:c r="M4077" t="n">
        <x:v>0</x:v>
      </x:c>
      <x:c r="N4077" t="n">
        <x:f>ROUND(F4077*M4077/100,2)</x:f>
        <x:v>0</x:v>
      </x:c>
      <x:c r="O4077" t="str"/>
    </x:row>
    <x:row r="4078" ht="23" customHeight="1">
      <x:c r="A4078" t="n">
        <x:v>680</x:v>
      </x:c>
      <x:c r="B4078" t="n">
        <x:v>340</x:v>
      </x:c>
      <x:c r="C4078" t="str">
        <x:v>晚餐</x:v>
      </x:c>
      <x:c r="D4078" t="str">
        <x:v>蔬菜</x:v>
      </x:c>
      <x:c r="E4078" t="str">
        <x:v>荷兰豆</x:v>
      </x:c>
      <x:c r="F4078" t="n">
        <x:v>160</x:v>
      </x:c>
      <x:c r="G4078" t="n">
        <x:v>42</x:v>
      </x:c>
      <x:c r="H4078" t="n">
        <x:f>ROUND(F4078*G4078/100,2)</x:f>
        <x:v>67.2</x:v>
      </x:c>
      <x:c r="I4078" t="n">
        <x:v>2.8</x:v>
      </x:c>
      <x:c r="J4078" t="n">
        <x:f>ROUND(F4078*I4078/100,2)</x:f>
        <x:v>4.48</x:v>
      </x:c>
      <x:c r="K4078" t="n">
        <x:v>7.5</x:v>
      </x:c>
      <x:c r="L4078" t="n">
        <x:f>ROUND(F4078*K4078/100,2)</x:f>
        <x:v>12</x:v>
      </x:c>
      <x:c r="M4078" t="n">
        <x:v>0.3</x:v>
      </x:c>
      <x:c r="N4078" t="n">
        <x:f>ROUND(F4078*M4078/100,2)</x:f>
        <x:v>0.48</x:v>
      </x:c>
      <x:c r="O4078" t="str">
        <x:v>生重</x:v>
      </x:c>
    </x:row>
    <x:row r="4079" ht="23" customHeight="1">
      <x:c r="A4079" t="n">
        <x:v>680</x:v>
      </x:c>
      <x:c r="B4079" t="n">
        <x:v>340</x:v>
      </x:c>
      <x:c r="C4079" t="str">
        <x:v>晚餐</x:v>
      </x:c>
      <x:c r="D4079" t="str">
        <x:v>蔬菜</x:v>
      </x:c>
      <x:c r="E4079" t="str">
        <x:v>芦笋</x:v>
      </x:c>
      <x:c r="F4079" t="n">
        <x:v>110</x:v>
      </x:c>
      <x:c r="G4079" t="n">
        <x:v>20</x:v>
      </x:c>
      <x:c r="H4079" t="n">
        <x:f>ROUND(F4079*G4079/100,2)</x:f>
        <x:v>22</x:v>
      </x:c>
      <x:c r="I4079" t="n">
        <x:v>2.2</x:v>
      </x:c>
      <x:c r="J4079" t="n">
        <x:f>ROUND(F4079*I4079/100,2)</x:f>
        <x:v>2.42</x:v>
      </x:c>
      <x:c r="K4079" t="n">
        <x:v>3.9</x:v>
      </x:c>
      <x:c r="L4079" t="n">
        <x:f>ROUND(F4079*K4079/100,2)</x:f>
        <x:v>4.29</x:v>
      </x:c>
      <x:c r="M4079" t="n">
        <x:v>0.1</x:v>
      </x:c>
      <x:c r="N4079" t="n">
        <x:f>ROUND(F4079*M4079/100,2)</x:f>
        <x:v>0.11</x:v>
      </x:c>
      <x:c r="O4079" t="str">
        <x:v>生重</x:v>
      </x:c>
    </x:row>
    <x:row r="4080" ht="23" customHeight="1">
      <x:c r="A4080" t="n">
        <x:v>680</x:v>
      </x:c>
      <x:c r="B4080" t="n">
        <x:v>340</x:v>
      </x:c>
      <x:c r="C4080" t="str">
        <x:v>晚餐</x:v>
      </x:c>
      <x:c r="D4080" t="str">
        <x:v>主食</x:v>
      </x:c>
      <x:c r="E4080" t="str">
        <x:v>米粉</x:v>
      </x:c>
      <x:c r="F4080" t="n">
        <x:v>95</x:v>
      </x:c>
      <x:c r="G4080" t="n">
        <x:v>110</x:v>
      </x:c>
      <x:c r="H4080" t="n">
        <x:f>ROUND(F4080*G4080/100,2)</x:f>
        <x:v>104.5</x:v>
      </x:c>
      <x:c r="I4080" t="n">
        <x:v>2</x:v>
      </x:c>
      <x:c r="J4080" t="n">
        <x:f>ROUND(F4080*I4080/100,2)</x:f>
        <x:v>1.9</x:v>
      </x:c>
      <x:c r="K4080" t="n">
        <x:v>24</x:v>
      </x:c>
      <x:c r="L4080" t="n">
        <x:f>ROUND(F4080*K4080/100,2)</x:f>
        <x:v>22.8</x:v>
      </x:c>
      <x:c r="M4080" t="n">
        <x:v>0.4</x:v>
      </x:c>
      <x:c r="N4080" t="n">
        <x:f>ROUND(F4080*M4080/100,2)</x:f>
        <x:v>0.38</x:v>
      </x:c>
      <x:c r="O4080" t="str">
        <x:v>煮熟沥水重</x:v>
      </x:c>
    </x:row>
    <x:row r="4081" ht="23" customHeight="1">
      <x:c r="A4081" t="n">
        <x:v>680</x:v>
      </x:c>
      <x:c r="B4081" t="n">
        <x:v>340</x:v>
      </x:c>
      <x:c r="C4081" t="str">
        <x:v>晚餐</x:v>
      </x:c>
      <x:c r="D4081" t="str">
        <x:v>油脂</x:v>
      </x:c>
      <x:c r="E4081" t="str">
        <x:v>烹调油</x:v>
      </x:c>
      <x:c r="F4081" t="n">
        <x:v>6</x:v>
      </x:c>
      <x:c r="G4081" t="n">
        <x:v>900</x:v>
      </x:c>
      <x:c r="H4081" t="n">
        <x:f>ROUND(F4081*G4081/100,2)</x:f>
        <x:v>54</x:v>
      </x:c>
      <x:c r="I4081" t="n">
        <x:v>0</x:v>
      </x:c>
      <x:c r="J4081" t="n">
        <x:f>ROUND(F4081*I4081/100,2)</x:f>
        <x:v>0</x:v>
      </x:c>
      <x:c r="K4081" t="n">
        <x:v>0</x:v>
      </x:c>
      <x:c r="L4081" t="n">
        <x:f>ROUND(F4081*K4081/100,2)</x:f>
        <x:v>0</x:v>
      </x:c>
      <x:c r="M4081" t="n">
        <x:v>100</x:v>
      </x:c>
      <x:c r="N4081" t="n">
        <x:f>ROUND(F4081*M4081/100,2)</x:f>
        <x:v>6</x:v>
      </x:c>
      <x:c r="O4081" t="str">
        <x:v>实际用油重</x:v>
      </x:c>
    </x:row>
    <x:row r="4082" ht="23" customHeight="1">
      <x:c r="A4082" t="n">
        <x:v>681</x:v>
      </x:c>
      <x:c r="B4082" t="n">
        <x:v>341</x:v>
      </x:c>
      <x:c r="C4082" t="str">
        <x:v>午餐</x:v>
      </x:c>
      <x:c r="D4082" t="str">
        <x:v>猪肉</x:v>
      </x:c>
      <x:c r="E4082" t="str">
        <x:v>猪里脊</x:v>
      </x:c>
      <x:c r="F4082" t="n">
        <x:v>165</x:v>
      </x:c>
      <x:c r="G4082" t="n">
        <x:v>120</x:v>
      </x:c>
      <x:c r="H4082" t="n">
        <x:f>ROUND(F4082*G4082/100,2)</x:f>
        <x:v>198</x:v>
      </x:c>
      <x:c r="I4082" t="n">
        <x:v>21</x:v>
      </x:c>
      <x:c r="J4082" t="n">
        <x:f>ROUND(F4082*I4082/100,2)</x:f>
        <x:v>34.65</x:v>
      </x:c>
      <x:c r="K4082" t="n">
        <x:v>0</x:v>
      </x:c>
      <x:c r="L4082" t="n">
        <x:f>ROUND(F4082*K4082/100,2)</x:f>
        <x:v>0</x:v>
      </x:c>
      <x:c r="M4082" t="n">
        <x:v>3.5</x:v>
      </x:c>
      <x:c r="N4082" t="n">
        <x:f>ROUND(F4082*M4082/100,2)</x:f>
        <x:v>5.78</x:v>
      </x:c>
      <x:c r="O4082" t="str">
        <x:v>生重</x:v>
      </x:c>
    </x:row>
    <x:row r="4083" ht="23" customHeight="1">
      <x:c r="A4083" t="n">
        <x:v>681</x:v>
      </x:c>
      <x:c r="B4083" t="n">
        <x:v>341</x:v>
      </x:c>
      <x:c r="C4083" t="str">
        <x:v>午餐</x:v>
      </x:c>
      <x:c r="D4083" t="str"/>
      <x:c r="E4083" t="str"/>
      <x:c r="F4083" t="n">
        <x:v>0</x:v>
      </x:c>
      <x:c r="G4083" t="n">
        <x:v>0</x:v>
      </x:c>
      <x:c r="H4083" t="n">
        <x:f>ROUND(F4083*G4083/100,2)</x:f>
        <x:v>0</x:v>
      </x:c>
      <x:c r="I4083" t="n">
        <x:v>0</x:v>
      </x:c>
      <x:c r="J4083" t="n">
        <x:f>ROUND(F4083*I4083/100,2)</x:f>
        <x:v>0</x:v>
      </x:c>
      <x:c r="K4083" t="n">
        <x:v>0</x:v>
      </x:c>
      <x:c r="L4083" t="n">
        <x:f>ROUND(F4083*K4083/100,2)</x:f>
        <x:v>0</x:v>
      </x:c>
      <x:c r="M4083" t="n">
        <x:v>0</x:v>
      </x:c>
      <x:c r="N4083" t="n">
        <x:f>ROUND(F4083*M4083/100,2)</x:f>
        <x:v>0</x:v>
      </x:c>
      <x:c r="O4083" t="str"/>
    </x:row>
    <x:row r="4084" ht="23" customHeight="1">
      <x:c r="A4084" t="n">
        <x:v>681</x:v>
      </x:c>
      <x:c r="B4084" t="n">
        <x:v>341</x:v>
      </x:c>
      <x:c r="C4084" t="str">
        <x:v>午餐</x:v>
      </x:c>
      <x:c r="D4084" t="str">
        <x:v>蔬菜</x:v>
      </x:c>
      <x:c r="E4084" t="str">
        <x:v>荷兰豆</x:v>
      </x:c>
      <x:c r="F4084" t="n">
        <x:v>160</x:v>
      </x:c>
      <x:c r="G4084" t="n">
        <x:v>42</x:v>
      </x:c>
      <x:c r="H4084" t="n">
        <x:f>ROUND(F4084*G4084/100,2)</x:f>
        <x:v>67.2</x:v>
      </x:c>
      <x:c r="I4084" t="n">
        <x:v>2.8</x:v>
      </x:c>
      <x:c r="J4084" t="n">
        <x:f>ROUND(F4084*I4084/100,2)</x:f>
        <x:v>4.48</x:v>
      </x:c>
      <x:c r="K4084" t="n">
        <x:v>7.5</x:v>
      </x:c>
      <x:c r="L4084" t="n">
        <x:f>ROUND(F4084*K4084/100,2)</x:f>
        <x:v>12</x:v>
      </x:c>
      <x:c r="M4084" t="n">
        <x:v>0.3</x:v>
      </x:c>
      <x:c r="N4084" t="n">
        <x:f>ROUND(F4084*M4084/100,2)</x:f>
        <x:v>0.48</x:v>
      </x:c>
      <x:c r="O4084" t="str">
        <x:v>生重</x:v>
      </x:c>
    </x:row>
    <x:row r="4085" ht="23" customHeight="1">
      <x:c r="A4085" t="n">
        <x:v>681</x:v>
      </x:c>
      <x:c r="B4085" t="n">
        <x:v>341</x:v>
      </x:c>
      <x:c r="C4085" t="str">
        <x:v>午餐</x:v>
      </x:c>
      <x:c r="D4085" t="str">
        <x:v>菌菇</x:v>
      </x:c>
      <x:c r="E4085" t="str">
        <x:v>杏鲍菇</x:v>
      </x:c>
      <x:c r="F4085" t="n">
        <x:v>125</x:v>
      </x:c>
      <x:c r="G4085" t="n">
        <x:v>35</x:v>
      </x:c>
      <x:c r="H4085" t="n">
        <x:f>ROUND(F4085*G4085/100,2)</x:f>
        <x:v>43.75</x:v>
      </x:c>
      <x:c r="I4085" t="n">
        <x:v>2</x:v>
      </x:c>
      <x:c r="J4085" t="n">
        <x:f>ROUND(F4085*I4085/100,2)</x:f>
        <x:v>2.5</x:v>
      </x:c>
      <x:c r="K4085" t="n">
        <x:v>7.4</x:v>
      </x:c>
      <x:c r="L4085" t="n">
        <x:f>ROUND(F4085*K4085/100,2)</x:f>
        <x:v>9.25</x:v>
      </x:c>
      <x:c r="M4085" t="n">
        <x:v>0.3</x:v>
      </x:c>
      <x:c r="N4085" t="n">
        <x:f>ROUND(F4085*M4085/100,2)</x:f>
        <x:v>0.38</x:v>
      </x:c>
      <x:c r="O4085" t="str">
        <x:v>生重</x:v>
      </x:c>
    </x:row>
    <x:row r="4086" ht="23" customHeight="1">
      <x:c r="A4086" t="n">
        <x:v>681</x:v>
      </x:c>
      <x:c r="B4086" t="n">
        <x:v>341</x:v>
      </x:c>
      <x:c r="C4086" t="str">
        <x:v>午餐</x:v>
      </x:c>
      <x:c r="D4086" t="str">
        <x:v>主食</x:v>
      </x:c>
      <x:c r="E4086" t="str">
        <x:v>山药</x:v>
      </x:c>
      <x:c r="F4086" t="n">
        <x:v>110</x:v>
      </x:c>
      <x:c r="G4086" t="n">
        <x:v>62</x:v>
      </x:c>
      <x:c r="H4086" t="n">
        <x:f>ROUND(F4086*G4086/100,2)</x:f>
        <x:v>68.2</x:v>
      </x:c>
      <x:c r="I4086" t="n">
        <x:v>1.5</x:v>
      </x:c>
      <x:c r="J4086" t="n">
        <x:f>ROUND(F4086*I4086/100,2)</x:f>
        <x:v>1.65</x:v>
      </x:c>
      <x:c r="K4086" t="n">
        <x:v>14.1</x:v>
      </x:c>
      <x:c r="L4086" t="n">
        <x:f>ROUND(F4086*K4086/100,2)</x:f>
        <x:v>15.51</x:v>
      </x:c>
      <x:c r="M4086" t="n">
        <x:v>0.1</x:v>
      </x:c>
      <x:c r="N4086" t="n">
        <x:f>ROUND(F4086*M4086/100,2)</x:f>
        <x:v>0.11</x:v>
      </x:c>
      <x:c r="O4086" t="str">
        <x:v>蒸熟净重</x:v>
      </x:c>
    </x:row>
    <x:row r="4087" ht="23" customHeight="1">
      <x:c r="A4087" t="n">
        <x:v>681</x:v>
      </x:c>
      <x:c r="B4087" t="n">
        <x:v>341</x:v>
      </x:c>
      <x:c r="C4087" t="str">
        <x:v>午餐</x:v>
      </x:c>
      <x:c r="D4087" t="str">
        <x:v>油脂</x:v>
      </x:c>
      <x:c r="E4087" t="str">
        <x:v>烹调油</x:v>
      </x:c>
      <x:c r="F4087" t="n">
        <x:v>5</x:v>
      </x:c>
      <x:c r="G4087" t="n">
        <x:v>900</x:v>
      </x:c>
      <x:c r="H4087" t="n">
        <x:f>ROUND(F4087*G4087/100,2)</x:f>
        <x:v>45</x:v>
      </x:c>
      <x:c r="I4087" t="n">
        <x:v>0</x:v>
      </x:c>
      <x:c r="J4087" t="n">
        <x:f>ROUND(F4087*I4087/100,2)</x:f>
        <x:v>0</x:v>
      </x:c>
      <x:c r="K4087" t="n">
        <x:v>0</x:v>
      </x:c>
      <x:c r="L4087" t="n">
        <x:f>ROUND(F4087*K4087/100,2)</x:f>
        <x:v>0</x:v>
      </x:c>
      <x:c r="M4087" t="n">
        <x:v>100</x:v>
      </x:c>
      <x:c r="N4087" t="n">
        <x:f>ROUND(F4087*M4087/100,2)</x:f>
        <x:v>5</x:v>
      </x:c>
      <x:c r="O4087" t="str">
        <x:v>实际用油重</x:v>
      </x:c>
    </x:row>
    <x:row r="4088" ht="23" customHeight="1">
      <x:c r="A4088" t="n">
        <x:v>682</x:v>
      </x:c>
      <x:c r="B4088" t="n">
        <x:v>341</x:v>
      </x:c>
      <x:c r="C4088" t="str">
        <x:v>晚餐</x:v>
      </x:c>
      <x:c r="D4088" t="str">
        <x:v>禽肉</x:v>
      </x:c>
      <x:c r="E4088" t="str">
        <x:v>鸡胸肉</x:v>
      </x:c>
      <x:c r="F4088" t="n">
        <x:v>170</x:v>
      </x:c>
      <x:c r="G4088" t="n">
        <x:v>110</x:v>
      </x:c>
      <x:c r="H4088" t="n">
        <x:f>ROUND(F4088*G4088/100,2)</x:f>
        <x:v>187</x:v>
      </x:c>
      <x:c r="I4088" t="n">
        <x:v>23</x:v>
      </x:c>
      <x:c r="J4088" t="n">
        <x:f>ROUND(F4088*I4088/100,2)</x:f>
        <x:v>39.1</x:v>
      </x:c>
      <x:c r="K4088" t="n">
        <x:v>0</x:v>
      </x:c>
      <x:c r="L4088" t="n">
        <x:f>ROUND(F4088*K4088/100,2)</x:f>
        <x:v>0</x:v>
      </x:c>
      <x:c r="M4088" t="n">
        <x:v>2</x:v>
      </x:c>
      <x:c r="N4088" t="n">
        <x:f>ROUND(F4088*M4088/100,2)</x:f>
        <x:v>3.4</x:v>
      </x:c>
      <x:c r="O4088" t="str">
        <x:v>生重</x:v>
      </x:c>
    </x:row>
    <x:row r="4089" ht="23" customHeight="1">
      <x:c r="A4089" t="n">
        <x:v>682</x:v>
      </x:c>
      <x:c r="B4089" t="n">
        <x:v>341</x:v>
      </x:c>
      <x:c r="C4089" t="str">
        <x:v>晚餐</x:v>
      </x:c>
      <x:c r="D4089" t="str"/>
      <x:c r="E4089" t="str"/>
      <x:c r="F4089" t="n">
        <x:v>0</x:v>
      </x:c>
      <x:c r="G4089" t="n">
        <x:v>0</x:v>
      </x:c>
      <x:c r="H4089" t="n">
        <x:f>ROUND(F4089*G4089/100,2)</x:f>
        <x:v>0</x:v>
      </x:c>
      <x:c r="I4089" t="n">
        <x:v>0</x:v>
      </x:c>
      <x:c r="J4089" t="n">
        <x:f>ROUND(F4089*I4089/100,2)</x:f>
        <x:v>0</x:v>
      </x:c>
      <x:c r="K4089" t="n">
        <x:v>0</x:v>
      </x:c>
      <x:c r="L4089" t="n">
        <x:f>ROUND(F4089*K4089/100,2)</x:f>
        <x:v>0</x:v>
      </x:c>
      <x:c r="M4089" t="n">
        <x:v>0</x:v>
      </x:c>
      <x:c r="N4089" t="n">
        <x:f>ROUND(F4089*M4089/100,2)</x:f>
        <x:v>0</x:v>
      </x:c>
      <x:c r="O4089" t="str"/>
    </x:row>
    <x:row r="4090" ht="23" customHeight="1">
      <x:c r="A4090" t="n">
        <x:v>682</x:v>
      </x:c>
      <x:c r="B4090" t="n">
        <x:v>341</x:v>
      </x:c>
      <x:c r="C4090" t="str">
        <x:v>晚餐</x:v>
      </x:c>
      <x:c r="D4090" t="str">
        <x:v>蔬菜</x:v>
      </x:c>
      <x:c r="E4090" t="str">
        <x:v>小白菜</x:v>
      </x:c>
      <x:c r="F4090" t="n">
        <x:v>175</x:v>
      </x:c>
      <x:c r="G4090" t="n">
        <x:v>17</x:v>
      </x:c>
      <x:c r="H4090" t="n">
        <x:f>ROUND(F4090*G4090/100,2)</x:f>
        <x:v>29.75</x:v>
      </x:c>
      <x:c r="I4090" t="n">
        <x:v>1.6</x:v>
      </x:c>
      <x:c r="J4090" t="n">
        <x:f>ROUND(F4090*I4090/100,2)</x:f>
        <x:v>2.8</x:v>
      </x:c>
      <x:c r="K4090" t="n">
        <x:v>2.8</x:v>
      </x:c>
      <x:c r="L4090" t="n">
        <x:f>ROUND(F4090*K4090/100,2)</x:f>
        <x:v>4.9</x:v>
      </x:c>
      <x:c r="M4090" t="n">
        <x:v>0.2</x:v>
      </x:c>
      <x:c r="N4090" t="n">
        <x:f>ROUND(F4090*M4090/100,2)</x:f>
        <x:v>0.35</x:v>
      </x:c>
      <x:c r="O4090" t="str">
        <x:v>生重</x:v>
      </x:c>
    </x:row>
    <x:row r="4091" ht="23" customHeight="1">
      <x:c r="A4091" t="n">
        <x:v>682</x:v>
      </x:c>
      <x:c r="B4091" t="n">
        <x:v>341</x:v>
      </x:c>
      <x:c r="C4091" t="str">
        <x:v>晚餐</x:v>
      </x:c>
      <x:c r="D4091" t="str">
        <x:v>菌菇</x:v>
      </x:c>
      <x:c r="E4091" t="str">
        <x:v>口蘑</x:v>
      </x:c>
      <x:c r="F4091" t="n">
        <x:v>125</x:v>
      </x:c>
      <x:c r="G4091" t="n">
        <x:v>22</x:v>
      </x:c>
      <x:c r="H4091" t="n">
        <x:f>ROUND(F4091*G4091/100,2)</x:f>
        <x:v>27.5</x:v>
      </x:c>
      <x:c r="I4091" t="n">
        <x:v>3.1</x:v>
      </x:c>
      <x:c r="J4091" t="n">
        <x:f>ROUND(F4091*I4091/100,2)</x:f>
        <x:v>3.88</x:v>
      </x:c>
      <x:c r="K4091" t="n">
        <x:v>3.3</x:v>
      </x:c>
      <x:c r="L4091" t="n">
        <x:f>ROUND(F4091*K4091/100,2)</x:f>
        <x:v>4.13</x:v>
      </x:c>
      <x:c r="M4091" t="n">
        <x:v>0.3</x:v>
      </x:c>
      <x:c r="N4091" t="n">
        <x:f>ROUND(F4091*M4091/100,2)</x:f>
        <x:v>0.38</x:v>
      </x:c>
      <x:c r="O4091" t="str">
        <x:v>生重</x:v>
      </x:c>
    </x:row>
    <x:row r="4092" ht="23" customHeight="1">
      <x:c r="A4092" t="n">
        <x:v>682</x:v>
      </x:c>
      <x:c r="B4092" t="n">
        <x:v>341</x:v>
      </x:c>
      <x:c r="C4092" t="str">
        <x:v>晚餐</x:v>
      </x:c>
      <x:c r="D4092" t="str">
        <x:v>主食</x:v>
      </x:c>
      <x:c r="E4092" t="str">
        <x:v>藜麦饭</x:v>
      </x:c>
      <x:c r="F4092" t="n">
        <x:v>135</x:v>
      </x:c>
      <x:c r="G4092" t="n">
        <x:v>120</x:v>
      </x:c>
      <x:c r="H4092" t="n">
        <x:f>ROUND(F4092*G4092/100,2)</x:f>
        <x:v>162</x:v>
      </x:c>
      <x:c r="I4092" t="n">
        <x:v>4.4</x:v>
      </x:c>
      <x:c r="J4092" t="n">
        <x:f>ROUND(F4092*I4092/100,2)</x:f>
        <x:v>5.94</x:v>
      </x:c>
      <x:c r="K4092" t="n">
        <x:v>21.3</x:v>
      </x:c>
      <x:c r="L4092" t="n">
        <x:f>ROUND(F4092*K4092/100,2)</x:f>
        <x:v>28.76</x:v>
      </x:c>
      <x:c r="M4092" t="n">
        <x:v>1.9</x:v>
      </x:c>
      <x:c r="N4092" t="n">
        <x:f>ROUND(F4092*M4092/100,2)</x:f>
        <x:v>2.57</x:v>
      </x:c>
      <x:c r="O4092" t="str">
        <x:v>熟重</x:v>
      </x:c>
    </x:row>
    <x:row r="4093" ht="23" customHeight="1">
      <x:c r="A4093" t="n">
        <x:v>682</x:v>
      </x:c>
      <x:c r="B4093" t="n">
        <x:v>341</x:v>
      </x:c>
      <x:c r="C4093" t="str">
        <x:v>晚餐</x:v>
      </x:c>
      <x:c r="D4093" t="str">
        <x:v>油脂</x:v>
      </x:c>
      <x:c r="E4093" t="str">
        <x:v>烹调油</x:v>
      </x:c>
      <x:c r="F4093" t="n">
        <x:v>4</x:v>
      </x:c>
      <x:c r="G4093" t="n">
        <x:v>900</x:v>
      </x:c>
      <x:c r="H4093" t="n">
        <x:f>ROUND(F4093*G4093/100,2)</x:f>
        <x:v>36</x:v>
      </x:c>
      <x:c r="I4093" t="n">
        <x:v>0</x:v>
      </x:c>
      <x:c r="J4093" t="n">
        <x:f>ROUND(F4093*I4093/100,2)</x:f>
        <x:v>0</x:v>
      </x:c>
      <x:c r="K4093" t="n">
        <x:v>0</x:v>
      </x:c>
      <x:c r="L4093" t="n">
        <x:f>ROUND(F4093*K4093/100,2)</x:f>
        <x:v>0</x:v>
      </x:c>
      <x:c r="M4093" t="n">
        <x:v>100</x:v>
      </x:c>
      <x:c r="N4093" t="n">
        <x:f>ROUND(F4093*M4093/100,2)</x:f>
        <x:v>4</x:v>
      </x:c>
      <x:c r="O4093" t="str">
        <x:v>实际用油重</x:v>
      </x:c>
    </x:row>
    <x:row r="4094" ht="23" customHeight="1">
      <x:c r="A4094" t="n">
        <x:v>683</x:v>
      </x:c>
      <x:c r="B4094" t="n">
        <x:v>342</x:v>
      </x:c>
      <x:c r="C4094" t="str">
        <x:v>午餐</x:v>
      </x:c>
      <x:c r="D4094" t="str">
        <x:v>海鲜</x:v>
      </x:c>
      <x:c r="E4094" t="str">
        <x:v>虾仁</x:v>
      </x:c>
      <x:c r="F4094" t="n">
        <x:v>190</x:v>
      </x:c>
      <x:c r="G4094" t="n">
        <x:v>90</x:v>
      </x:c>
      <x:c r="H4094" t="n">
        <x:f>ROUND(F4094*G4094/100,2)</x:f>
        <x:v>171</x:v>
      </x:c>
      <x:c r="I4094" t="n">
        <x:v>19</x:v>
      </x:c>
      <x:c r="J4094" t="n">
        <x:f>ROUND(F4094*I4094/100,2)</x:f>
        <x:v>36.1</x:v>
      </x:c>
      <x:c r="K4094" t="n">
        <x:v>0.4</x:v>
      </x:c>
      <x:c r="L4094" t="n">
        <x:f>ROUND(F4094*K4094/100,2)</x:f>
        <x:v>0.76</x:v>
      </x:c>
      <x:c r="M4094" t="n">
        <x:v>1.1</x:v>
      </x:c>
      <x:c r="N4094" t="n">
        <x:f>ROUND(F4094*M4094/100,2)</x:f>
        <x:v>2.09</x:v>
      </x:c>
      <x:c r="O4094" t="str">
        <x:v>生重</x:v>
      </x:c>
    </x:row>
    <x:row r="4095" ht="23" customHeight="1">
      <x:c r="A4095" t="n">
        <x:v>683</x:v>
      </x:c>
      <x:c r="B4095" t="n">
        <x:v>342</x:v>
      </x:c>
      <x:c r="C4095" t="str">
        <x:v>午餐</x:v>
      </x:c>
      <x:c r="D4095" t="str"/>
      <x:c r="E4095" t="str"/>
      <x:c r="F4095" t="n">
        <x:v>0</x:v>
      </x:c>
      <x:c r="G4095" t="n">
        <x:v>0</x:v>
      </x:c>
      <x:c r="H4095" t="n">
        <x:f>ROUND(F4095*G4095/100,2)</x:f>
        <x:v>0</x:v>
      </x:c>
      <x:c r="I4095" t="n">
        <x:v>0</x:v>
      </x:c>
      <x:c r="J4095" t="n">
        <x:f>ROUND(F4095*I4095/100,2)</x:f>
        <x:v>0</x:v>
      </x:c>
      <x:c r="K4095" t="n">
        <x:v>0</x:v>
      </x:c>
      <x:c r="L4095" t="n">
        <x:f>ROUND(F4095*K4095/100,2)</x:f>
        <x:v>0</x:v>
      </x:c>
      <x:c r="M4095" t="n">
        <x:v>0</x:v>
      </x:c>
      <x:c r="N4095" t="n">
        <x:f>ROUND(F4095*M4095/100,2)</x:f>
        <x:v>0</x:v>
      </x:c>
      <x:c r="O4095" t="str"/>
    </x:row>
    <x:row r="4096" ht="23" customHeight="1">
      <x:c r="A4096" t="n">
        <x:v>683</x:v>
      </x:c>
      <x:c r="B4096" t="n">
        <x:v>342</x:v>
      </x:c>
      <x:c r="C4096" t="str">
        <x:v>午餐</x:v>
      </x:c>
      <x:c r="D4096" t="str">
        <x:v>蔬菜</x:v>
      </x:c>
      <x:c r="E4096" t="str">
        <x:v>花菜</x:v>
      </x:c>
      <x:c r="F4096" t="n">
        <x:v>190</x:v>
      </x:c>
      <x:c r="G4096" t="n">
        <x:v>25</x:v>
      </x:c>
      <x:c r="H4096" t="n">
        <x:f>ROUND(F4096*G4096/100,2)</x:f>
        <x:v>47.5</x:v>
      </x:c>
      <x:c r="I4096" t="n">
        <x:v>2</x:v>
      </x:c>
      <x:c r="J4096" t="n">
        <x:f>ROUND(F4096*I4096/100,2)</x:f>
        <x:v>3.8</x:v>
      </x:c>
      <x:c r="K4096" t="n">
        <x:v>5</x:v>
      </x:c>
      <x:c r="L4096" t="n">
        <x:f>ROUND(F4096*K4096/100,2)</x:f>
        <x:v>9.5</x:v>
      </x:c>
      <x:c r="M4096" t="n">
        <x:v>0.3</x:v>
      </x:c>
      <x:c r="N4096" t="n">
        <x:f>ROUND(F4096*M4096/100,2)</x:f>
        <x:v>0.57</x:v>
      </x:c>
      <x:c r="O4096" t="str">
        <x:v>生重</x:v>
      </x:c>
    </x:row>
    <x:row r="4097" ht="23" customHeight="1">
      <x:c r="A4097" t="n">
        <x:v>683</x:v>
      </x:c>
      <x:c r="B4097" t="n">
        <x:v>342</x:v>
      </x:c>
      <x:c r="C4097" t="str">
        <x:v>午餐</x:v>
      </x:c>
      <x:c r="D4097" t="str">
        <x:v>蔬菜</x:v>
      </x:c>
      <x:c r="E4097" t="str">
        <x:v>小白菜</x:v>
      </x:c>
      <x:c r="F4097" t="n">
        <x:v>140</x:v>
      </x:c>
      <x:c r="G4097" t="n">
        <x:v>17</x:v>
      </x:c>
      <x:c r="H4097" t="n">
        <x:f>ROUND(F4097*G4097/100,2)</x:f>
        <x:v>23.8</x:v>
      </x:c>
      <x:c r="I4097" t="n">
        <x:v>1.6</x:v>
      </x:c>
      <x:c r="J4097" t="n">
        <x:f>ROUND(F4097*I4097/100,2)</x:f>
        <x:v>2.24</x:v>
      </x:c>
      <x:c r="K4097" t="n">
        <x:v>2.8</x:v>
      </x:c>
      <x:c r="L4097" t="n">
        <x:f>ROUND(F4097*K4097/100,2)</x:f>
        <x:v>3.92</x:v>
      </x:c>
      <x:c r="M4097" t="n">
        <x:v>0.2</x:v>
      </x:c>
      <x:c r="N4097" t="n">
        <x:f>ROUND(F4097*M4097/100,2)</x:f>
        <x:v>0.28</x:v>
      </x:c>
      <x:c r="O4097" t="str">
        <x:v>生重</x:v>
      </x:c>
    </x:row>
    <x:row r="4098" ht="23" customHeight="1">
      <x:c r="A4098" t="n">
        <x:v>683</x:v>
      </x:c>
      <x:c r="B4098" t="n">
        <x:v>342</x:v>
      </x:c>
      <x:c r="C4098" t="str">
        <x:v>午餐</x:v>
      </x:c>
      <x:c r="D4098" t="str">
        <x:v>主食</x:v>
      </x:c>
      <x:c r="E4098" t="str">
        <x:v>荞麦面</x:v>
      </x:c>
      <x:c r="F4098" t="n">
        <x:v>165</x:v>
      </x:c>
      <x:c r="G4098" t="n">
        <x:v>105</x:v>
      </x:c>
      <x:c r="H4098" t="n">
        <x:f>ROUND(F4098*G4098/100,2)</x:f>
        <x:v>173.25</x:v>
      </x:c>
      <x:c r="I4098" t="n">
        <x:v>4</x:v>
      </x:c>
      <x:c r="J4098" t="n">
        <x:f>ROUND(F4098*I4098/100,2)</x:f>
        <x:v>6.6</x:v>
      </x:c>
      <x:c r="K4098" t="n">
        <x:v>21</x:v>
      </x:c>
      <x:c r="L4098" t="n">
        <x:f>ROUND(F4098*K4098/100,2)</x:f>
        <x:v>34.65</x:v>
      </x:c>
      <x:c r="M4098" t="n">
        <x:v>0.7</x:v>
      </x:c>
      <x:c r="N4098" t="n">
        <x:f>ROUND(F4098*M4098/100,2)</x:f>
        <x:v>1.15</x:v>
      </x:c>
      <x:c r="O4098" t="str">
        <x:v>煮熟沥水重</x:v>
      </x:c>
    </x:row>
    <x:row r="4099" ht="23" customHeight="1">
      <x:c r="A4099" t="n">
        <x:v>683</x:v>
      </x:c>
      <x:c r="B4099" t="n">
        <x:v>342</x:v>
      </x:c>
      <x:c r="C4099" t="str">
        <x:v>午餐</x:v>
      </x:c>
      <x:c r="D4099" t="str">
        <x:v>油脂</x:v>
      </x:c>
      <x:c r="E4099" t="str">
        <x:v>烹调油</x:v>
      </x:c>
      <x:c r="F4099" t="n">
        <x:v>5</x:v>
      </x:c>
      <x:c r="G4099" t="n">
        <x:v>900</x:v>
      </x:c>
      <x:c r="H4099" t="n">
        <x:f>ROUND(F4099*G4099/100,2)</x:f>
        <x:v>45</x:v>
      </x:c>
      <x:c r="I4099" t="n">
        <x:v>0</x:v>
      </x:c>
      <x:c r="J4099" t="n">
        <x:f>ROUND(F4099*I4099/100,2)</x:f>
        <x:v>0</x:v>
      </x:c>
      <x:c r="K4099" t="n">
        <x:v>0</x:v>
      </x:c>
      <x:c r="L4099" t="n">
        <x:f>ROUND(F4099*K4099/100,2)</x:f>
        <x:v>0</x:v>
      </x:c>
      <x:c r="M4099" t="n">
        <x:v>100</x:v>
      </x:c>
      <x:c r="N4099" t="n">
        <x:f>ROUND(F4099*M4099/100,2)</x:f>
        <x:v>5</x:v>
      </x:c>
      <x:c r="O4099" t="str">
        <x:v>实际用油重</x:v>
      </x:c>
    </x:row>
    <x:row r="4100" ht="23" customHeight="1">
      <x:c r="A4100" t="n">
        <x:v>684</x:v>
      </x:c>
      <x:c r="B4100" t="n">
        <x:v>342</x:v>
      </x:c>
      <x:c r="C4100" t="str">
        <x:v>晚餐</x:v>
      </x:c>
      <x:c r="D4100" t="str">
        <x:v>禽肉</x:v>
      </x:c>
      <x:c r="E4100" t="str">
        <x:v>去皮鸡腿肉</x:v>
      </x:c>
      <x:c r="F4100" t="n">
        <x:v>180</x:v>
      </x:c>
      <x:c r="G4100" t="n">
        <x:v>125</x:v>
      </x:c>
      <x:c r="H4100" t="n">
        <x:f>ROUND(F4100*G4100/100,2)</x:f>
        <x:v>225</x:v>
      </x:c>
      <x:c r="I4100" t="n">
        <x:v>20</x:v>
      </x:c>
      <x:c r="J4100" t="n">
        <x:f>ROUND(F4100*I4100/100,2)</x:f>
        <x:v>36</x:v>
      </x:c>
      <x:c r="K4100" t="n">
        <x:v>0</x:v>
      </x:c>
      <x:c r="L4100" t="n">
        <x:f>ROUND(F4100*K4100/100,2)</x:f>
        <x:v>0</x:v>
      </x:c>
      <x:c r="M4100" t="n">
        <x:v>5</x:v>
      </x:c>
      <x:c r="N4100" t="n">
        <x:f>ROUND(F4100*M4100/100,2)</x:f>
        <x:v>9</x:v>
      </x:c>
      <x:c r="O4100" t="str">
        <x:v>生重</x:v>
      </x:c>
    </x:row>
    <x:row r="4101" ht="23" customHeight="1">
      <x:c r="A4101" t="n">
        <x:v>684</x:v>
      </x:c>
      <x:c r="B4101" t="n">
        <x:v>342</x:v>
      </x:c>
      <x:c r="C4101" t="str">
        <x:v>晚餐</x:v>
      </x:c>
      <x:c r="D4101" t="str"/>
      <x:c r="E4101" t="str"/>
      <x:c r="F4101" t="n">
        <x:v>0</x:v>
      </x:c>
      <x:c r="G4101" t="n">
        <x:v>0</x:v>
      </x:c>
      <x:c r="H4101" t="n">
        <x:f>ROUND(F4101*G4101/100,2)</x:f>
        <x:v>0</x:v>
      </x:c>
      <x:c r="I4101" t="n">
        <x:v>0</x:v>
      </x:c>
      <x:c r="J4101" t="n">
        <x:f>ROUND(F4101*I4101/100,2)</x:f>
        <x:v>0</x:v>
      </x:c>
      <x:c r="K4101" t="n">
        <x:v>0</x:v>
      </x:c>
      <x:c r="L4101" t="n">
        <x:f>ROUND(F4101*K4101/100,2)</x:f>
        <x:v>0</x:v>
      </x:c>
      <x:c r="M4101" t="n">
        <x:v>0</x:v>
      </x:c>
      <x:c r="N4101" t="n">
        <x:f>ROUND(F4101*M4101/100,2)</x:f>
        <x:v>0</x:v>
      </x:c>
      <x:c r="O4101" t="str"/>
    </x:row>
    <x:row r="4102" ht="23" customHeight="1">
      <x:c r="A4102" t="n">
        <x:v>684</x:v>
      </x:c>
      <x:c r="B4102" t="n">
        <x:v>342</x:v>
      </x:c>
      <x:c r="C4102" t="str">
        <x:v>晚餐</x:v>
      </x:c>
      <x:c r="D4102" t="str">
        <x:v>蔬菜</x:v>
      </x:c>
      <x:c r="E4102" t="str">
        <x:v>秋葵</x:v>
      </x:c>
      <x:c r="F4102" t="n">
        <x:v>190</x:v>
      </x:c>
      <x:c r="G4102" t="n">
        <x:v>33</x:v>
      </x:c>
      <x:c r="H4102" t="n">
        <x:f>ROUND(F4102*G4102/100,2)</x:f>
        <x:v>62.7</x:v>
      </x:c>
      <x:c r="I4102" t="n">
        <x:v>1.9</x:v>
      </x:c>
      <x:c r="J4102" t="n">
        <x:f>ROUND(F4102*I4102/100,2)</x:f>
        <x:v>3.61</x:v>
      </x:c>
      <x:c r="K4102" t="n">
        <x:v>7.5</x:v>
      </x:c>
      <x:c r="L4102" t="n">
        <x:f>ROUND(F4102*K4102/100,2)</x:f>
        <x:v>14.25</x:v>
      </x:c>
      <x:c r="M4102" t="n">
        <x:v>0.2</x:v>
      </x:c>
      <x:c r="N4102" t="n">
        <x:f>ROUND(F4102*M4102/100,2)</x:f>
        <x:v>0.38</x:v>
      </x:c>
      <x:c r="O4102" t="str">
        <x:v>生重</x:v>
      </x:c>
    </x:row>
    <x:row r="4103" ht="23" customHeight="1">
      <x:c r="A4103" t="n">
        <x:v>684</x:v>
      </x:c>
      <x:c r="B4103" t="n">
        <x:v>342</x:v>
      </x:c>
      <x:c r="C4103" t="str">
        <x:v>晚餐</x:v>
      </x:c>
      <x:c r="D4103" t="str">
        <x:v>菌菇</x:v>
      </x:c>
      <x:c r="E4103" t="str">
        <x:v>口蘑</x:v>
      </x:c>
      <x:c r="F4103" t="n">
        <x:v>125</x:v>
      </x:c>
      <x:c r="G4103" t="n">
        <x:v>22</x:v>
      </x:c>
      <x:c r="H4103" t="n">
        <x:f>ROUND(F4103*G4103/100,2)</x:f>
        <x:v>27.5</x:v>
      </x:c>
      <x:c r="I4103" t="n">
        <x:v>3.1</x:v>
      </x:c>
      <x:c r="J4103" t="n">
        <x:f>ROUND(F4103*I4103/100,2)</x:f>
        <x:v>3.88</x:v>
      </x:c>
      <x:c r="K4103" t="n">
        <x:v>3.3</x:v>
      </x:c>
      <x:c r="L4103" t="n">
        <x:f>ROUND(F4103*K4103/100,2)</x:f>
        <x:v>4.13</x:v>
      </x:c>
      <x:c r="M4103" t="n">
        <x:v>0.3</x:v>
      </x:c>
      <x:c r="N4103" t="n">
        <x:f>ROUND(F4103*M4103/100,2)</x:f>
        <x:v>0.38</x:v>
      </x:c>
      <x:c r="O4103" t="str">
        <x:v>生重</x:v>
      </x:c>
    </x:row>
    <x:row r="4104" ht="23" customHeight="1">
      <x:c r="A4104" t="n">
        <x:v>684</x:v>
      </x:c>
      <x:c r="B4104" t="n">
        <x:v>342</x:v>
      </x:c>
      <x:c r="C4104" t="str">
        <x:v>晚餐</x:v>
      </x:c>
      <x:c r="D4104" t="str">
        <x:v>主食</x:v>
      </x:c>
      <x:c r="E4104" t="str">
        <x:v>杂粮饭</x:v>
      </x:c>
      <x:c r="F4104" t="n">
        <x:v>110</x:v>
      </x:c>
      <x:c r="G4104" t="n">
        <x:v>115</x:v>
      </x:c>
      <x:c r="H4104" t="n">
        <x:f>ROUND(F4104*G4104/100,2)</x:f>
        <x:v>126.5</x:v>
      </x:c>
      <x:c r="I4104" t="n">
        <x:v>3.1</x:v>
      </x:c>
      <x:c r="J4104" t="n">
        <x:f>ROUND(F4104*I4104/100,2)</x:f>
        <x:v>3.41</x:v>
      </x:c>
      <x:c r="K4104" t="n">
        <x:v>23.5</x:v>
      </x:c>
      <x:c r="L4104" t="n">
        <x:f>ROUND(F4104*K4104/100,2)</x:f>
        <x:v>25.85</x:v>
      </x:c>
      <x:c r="M4104" t="n">
        <x:v>1.1</x:v>
      </x:c>
      <x:c r="N4104" t="n">
        <x:f>ROUND(F4104*M4104/100,2)</x:f>
        <x:v>1.21</x:v>
      </x:c>
      <x:c r="O4104" t="str">
        <x:v>熟重</x:v>
      </x:c>
    </x:row>
    <x:row r="4105" ht="23" customHeight="1">
      <x:c r="A4105" t="n">
        <x:v>684</x:v>
      </x:c>
      <x:c r="B4105" t="n">
        <x:v>342</x:v>
      </x:c>
      <x:c r="C4105" t="str">
        <x:v>晚餐</x:v>
      </x:c>
      <x:c r="D4105" t="str">
        <x:v>油脂</x:v>
      </x:c>
      <x:c r="E4105" t="str">
        <x:v>烹调油</x:v>
      </x:c>
      <x:c r="F4105" t="n">
        <x:v>3</x:v>
      </x:c>
      <x:c r="G4105" t="n">
        <x:v>900</x:v>
      </x:c>
      <x:c r="H4105" t="n">
        <x:f>ROUND(F4105*G4105/100,2)</x:f>
        <x:v>27</x:v>
      </x:c>
      <x:c r="I4105" t="n">
        <x:v>0</x:v>
      </x:c>
      <x:c r="J4105" t="n">
        <x:f>ROUND(F4105*I4105/100,2)</x:f>
        <x:v>0</x:v>
      </x:c>
      <x:c r="K4105" t="n">
        <x:v>0</x:v>
      </x:c>
      <x:c r="L4105" t="n">
        <x:f>ROUND(F4105*K4105/100,2)</x:f>
        <x:v>0</x:v>
      </x:c>
      <x:c r="M4105" t="n">
        <x:v>100</x:v>
      </x:c>
      <x:c r="N4105" t="n">
        <x:f>ROUND(F4105*M4105/100,2)</x:f>
        <x:v>3</x:v>
      </x:c>
      <x:c r="O4105" t="str">
        <x:v>实际用油重</x:v>
      </x:c>
    </x:row>
    <x:row r="4106" ht="23" customHeight="1">
      <x:c r="A4106" t="n">
        <x:v>685</x:v>
      </x:c>
      <x:c r="B4106" t="n">
        <x:v>343</x:v>
      </x:c>
      <x:c r="C4106" t="str">
        <x:v>午餐</x:v>
      </x:c>
      <x:c r="D4106" t="str">
        <x:v>禽肉</x:v>
      </x:c>
      <x:c r="E4106" t="str">
        <x:v>去皮鸡腿肉</x:v>
      </x:c>
      <x:c r="F4106" t="n">
        <x:v>155</x:v>
      </x:c>
      <x:c r="G4106" t="n">
        <x:v>125</x:v>
      </x:c>
      <x:c r="H4106" t="n">
        <x:f>ROUND(F4106*G4106/100,2)</x:f>
        <x:v>193.75</x:v>
      </x:c>
      <x:c r="I4106" t="n">
        <x:v>20</x:v>
      </x:c>
      <x:c r="J4106" t="n">
        <x:f>ROUND(F4106*I4106/100,2)</x:f>
        <x:v>31</x:v>
      </x:c>
      <x:c r="K4106" t="n">
        <x:v>0</x:v>
      </x:c>
      <x:c r="L4106" t="n">
        <x:f>ROUND(F4106*K4106/100,2)</x:f>
        <x:v>0</x:v>
      </x:c>
      <x:c r="M4106" t="n">
        <x:v>5</x:v>
      </x:c>
      <x:c r="N4106" t="n">
        <x:f>ROUND(F4106*M4106/100,2)</x:f>
        <x:v>7.75</x:v>
      </x:c>
      <x:c r="O4106" t="str">
        <x:v>生重</x:v>
      </x:c>
    </x:row>
    <x:row r="4107" ht="23" customHeight="1">
      <x:c r="A4107" t="n">
        <x:v>685</x:v>
      </x:c>
      <x:c r="B4107" t="n">
        <x:v>343</x:v>
      </x:c>
      <x:c r="C4107" t="str">
        <x:v>午餐</x:v>
      </x:c>
      <x:c r="D4107" t="str">
        <x:v>豆蛋</x:v>
      </x:c>
      <x:c r="E4107" t="str">
        <x:v>熟毛豆仁</x:v>
      </x:c>
      <x:c r="F4107" t="n">
        <x:v>50</x:v>
      </x:c>
      <x:c r="G4107" t="n">
        <x:v>120</x:v>
      </x:c>
      <x:c r="H4107" t="n">
        <x:f>ROUND(F4107*G4107/100,2)</x:f>
        <x:v>60</x:v>
      </x:c>
      <x:c r="I4107" t="n">
        <x:v>12</x:v>
      </x:c>
      <x:c r="J4107" t="n">
        <x:f>ROUND(F4107*I4107/100,2)</x:f>
        <x:v>6</x:v>
      </x:c>
      <x:c r="K4107" t="n">
        <x:v>9</x:v>
      </x:c>
      <x:c r="L4107" t="n">
        <x:f>ROUND(F4107*K4107/100,2)</x:f>
        <x:v>4.5</x:v>
      </x:c>
      <x:c r="M4107" t="n">
        <x:v>5</x:v>
      </x:c>
      <x:c r="N4107" t="n">
        <x:f>ROUND(F4107*M4107/100,2)</x:f>
        <x:v>2.5</x:v>
      </x:c>
      <x:c r="O4107" t="str">
        <x:v>熟重</x:v>
      </x:c>
    </x:row>
    <x:row r="4108" ht="23" customHeight="1">
      <x:c r="A4108" t="n">
        <x:v>685</x:v>
      </x:c>
      <x:c r="B4108" t="n">
        <x:v>343</x:v>
      </x:c>
      <x:c r="C4108" t="str">
        <x:v>午餐</x:v>
      </x:c>
      <x:c r="D4108" t="str">
        <x:v>蔬菜</x:v>
      </x:c>
      <x:c r="E4108" t="str">
        <x:v>芹菜</x:v>
      </x:c>
      <x:c r="F4108" t="n">
        <x:v>140</x:v>
      </x:c>
      <x:c r="G4108" t="n">
        <x:v>17</x:v>
      </x:c>
      <x:c r="H4108" t="n">
        <x:f>ROUND(F4108*G4108/100,2)</x:f>
        <x:v>23.8</x:v>
      </x:c>
      <x:c r="I4108" t="n">
        <x:v>1</x:v>
      </x:c>
      <x:c r="J4108" t="n">
        <x:f>ROUND(F4108*I4108/100,2)</x:f>
        <x:v>1.4</x:v>
      </x:c>
      <x:c r="K4108" t="n">
        <x:v>3.5</x:v>
      </x:c>
      <x:c r="L4108" t="n">
        <x:f>ROUND(F4108*K4108/100,2)</x:f>
        <x:v>4.9</x:v>
      </x:c>
      <x:c r="M4108" t="n">
        <x:v>0.1</x:v>
      </x:c>
      <x:c r="N4108" t="n">
        <x:f>ROUND(F4108*M4108/100,2)</x:f>
        <x:v>0.14</x:v>
      </x:c>
      <x:c r="O4108" t="str">
        <x:v>生重</x:v>
      </x:c>
    </x:row>
    <x:row r="4109" ht="23" customHeight="1">
      <x:c r="A4109" t="n">
        <x:v>685</x:v>
      </x:c>
      <x:c r="B4109" t="n">
        <x:v>343</x:v>
      </x:c>
      <x:c r="C4109" t="str">
        <x:v>午餐</x:v>
      </x:c>
      <x:c r="D4109" t="str">
        <x:v>蔬菜</x:v>
      </x:c>
      <x:c r="E4109" t="str">
        <x:v>彩椒</x:v>
      </x:c>
      <x:c r="F4109" t="n">
        <x:v>155</x:v>
      </x:c>
      <x:c r="G4109" t="n">
        <x:v>27</x:v>
      </x:c>
      <x:c r="H4109" t="n">
        <x:f>ROUND(F4109*G4109/100,2)</x:f>
        <x:v>41.85</x:v>
      </x:c>
      <x:c r="I4109" t="n">
        <x:v>1</x:v>
      </x:c>
      <x:c r="J4109" t="n">
        <x:f>ROUND(F4109*I4109/100,2)</x:f>
        <x:v>1.55</x:v>
      </x:c>
      <x:c r="K4109" t="n">
        <x:v>6.1</x:v>
      </x:c>
      <x:c r="L4109" t="n">
        <x:f>ROUND(F4109*K4109/100,2)</x:f>
        <x:v>9.46</x:v>
      </x:c>
      <x:c r="M4109" t="n">
        <x:v>0.2</x:v>
      </x:c>
      <x:c r="N4109" t="n">
        <x:f>ROUND(F4109*M4109/100,2)</x:f>
        <x:v>0.31</x:v>
      </x:c>
      <x:c r="O4109" t="str">
        <x:v>生重</x:v>
      </x:c>
    </x:row>
    <x:row r="4110" ht="23" customHeight="1">
      <x:c r="A4110" t="n">
        <x:v>685</x:v>
      </x:c>
      <x:c r="B4110" t="n">
        <x:v>343</x:v>
      </x:c>
      <x:c r="C4110" t="str">
        <x:v>午餐</x:v>
      </x:c>
      <x:c r="D4110" t="str">
        <x:v>主食</x:v>
      </x:c>
      <x:c r="E4110" t="str">
        <x:v>杂粮饭</x:v>
      </x:c>
      <x:c r="F4110" t="n">
        <x:v>135</x:v>
      </x:c>
      <x:c r="G4110" t="n">
        <x:v>115</x:v>
      </x:c>
      <x:c r="H4110" t="n">
        <x:f>ROUND(F4110*G4110/100,2)</x:f>
        <x:v>155.25</x:v>
      </x:c>
      <x:c r="I4110" t="n">
        <x:v>3.1</x:v>
      </x:c>
      <x:c r="J4110" t="n">
        <x:f>ROUND(F4110*I4110/100,2)</x:f>
        <x:v>4.18</x:v>
      </x:c>
      <x:c r="K4110" t="n">
        <x:v>23.5</x:v>
      </x:c>
      <x:c r="L4110" t="n">
        <x:f>ROUND(F4110*K4110/100,2)</x:f>
        <x:v>31.73</x:v>
      </x:c>
      <x:c r="M4110" t="n">
        <x:v>1.1</x:v>
      </x:c>
      <x:c r="N4110" t="n">
        <x:f>ROUND(F4110*M4110/100,2)</x:f>
        <x:v>1.49</x:v>
      </x:c>
      <x:c r="O4110" t="str">
        <x:v>熟重</x:v>
      </x:c>
    </x:row>
    <x:row r="4111" ht="23" customHeight="1">
      <x:c r="A4111" t="n">
        <x:v>685</x:v>
      </x:c>
      <x:c r="B4111" t="n">
        <x:v>343</x:v>
      </x:c>
      <x:c r="C4111" t="str">
        <x:v>午餐</x:v>
      </x:c>
      <x:c r="D4111" t="str">
        <x:v>油脂</x:v>
      </x:c>
      <x:c r="E4111" t="str">
        <x:v>烹调油</x:v>
      </x:c>
      <x:c r="F4111" t="n">
        <x:v>3</x:v>
      </x:c>
      <x:c r="G4111" t="n">
        <x:v>900</x:v>
      </x:c>
      <x:c r="H4111" t="n">
        <x:f>ROUND(F4111*G4111/100,2)</x:f>
        <x:v>27</x:v>
      </x:c>
      <x:c r="I4111" t="n">
        <x:v>0</x:v>
      </x:c>
      <x:c r="J4111" t="n">
        <x:f>ROUND(F4111*I4111/100,2)</x:f>
        <x:v>0</x:v>
      </x:c>
      <x:c r="K4111" t="n">
        <x:v>0</x:v>
      </x:c>
      <x:c r="L4111" t="n">
        <x:f>ROUND(F4111*K4111/100,2)</x:f>
        <x:v>0</x:v>
      </x:c>
      <x:c r="M4111" t="n">
        <x:v>100</x:v>
      </x:c>
      <x:c r="N4111" t="n">
        <x:f>ROUND(F4111*M4111/100,2)</x:f>
        <x:v>3</x:v>
      </x:c>
      <x:c r="O4111" t="str">
        <x:v>实际用油重</x:v>
      </x:c>
    </x:row>
    <x:row r="4112" ht="23" customHeight="1">
      <x:c r="A4112" t="n">
        <x:v>686</x:v>
      </x:c>
      <x:c r="B4112" t="n">
        <x:v>343</x:v>
      </x:c>
      <x:c r="C4112" t="str">
        <x:v>晚餐</x:v>
      </x:c>
      <x:c r="D4112" t="str">
        <x:v>海鲜</x:v>
      </x:c>
      <x:c r="E4112" t="str">
        <x:v>虾仁</x:v>
      </x:c>
      <x:c r="F4112" t="n">
        <x:v>175</x:v>
      </x:c>
      <x:c r="G4112" t="n">
        <x:v>90</x:v>
      </x:c>
      <x:c r="H4112" t="n">
        <x:f>ROUND(F4112*G4112/100,2)</x:f>
        <x:v>157.5</x:v>
      </x:c>
      <x:c r="I4112" t="n">
        <x:v>19</x:v>
      </x:c>
      <x:c r="J4112" t="n">
        <x:f>ROUND(F4112*I4112/100,2)</x:f>
        <x:v>33.25</x:v>
      </x:c>
      <x:c r="K4112" t="n">
        <x:v>0.4</x:v>
      </x:c>
      <x:c r="L4112" t="n">
        <x:f>ROUND(F4112*K4112/100,2)</x:f>
        <x:v>0.7</x:v>
      </x:c>
      <x:c r="M4112" t="n">
        <x:v>1.1</x:v>
      </x:c>
      <x:c r="N4112" t="n">
        <x:f>ROUND(F4112*M4112/100,2)</x:f>
        <x:v>1.93</x:v>
      </x:c>
      <x:c r="O4112" t="str">
        <x:v>生重</x:v>
      </x:c>
    </x:row>
    <x:row r="4113" ht="23" customHeight="1">
      <x:c r="A4113" t="n">
        <x:v>686</x:v>
      </x:c>
      <x:c r="B4113" t="n">
        <x:v>343</x:v>
      </x:c>
      <x:c r="C4113" t="str">
        <x:v>晚餐</x:v>
      </x:c>
      <x:c r="D4113" t="str"/>
      <x:c r="E4113" t="str"/>
      <x:c r="F4113" t="n">
        <x:v>0</x:v>
      </x:c>
      <x:c r="G4113" t="n">
        <x:v>0</x:v>
      </x:c>
      <x:c r="H4113" t="n">
        <x:f>ROUND(F4113*G4113/100,2)</x:f>
        <x:v>0</x:v>
      </x:c>
      <x:c r="I4113" t="n">
        <x:v>0</x:v>
      </x:c>
      <x:c r="J4113" t="n">
        <x:f>ROUND(F4113*I4113/100,2)</x:f>
        <x:v>0</x:v>
      </x:c>
      <x:c r="K4113" t="n">
        <x:v>0</x:v>
      </x:c>
      <x:c r="L4113" t="n">
        <x:f>ROUND(F4113*K4113/100,2)</x:f>
        <x:v>0</x:v>
      </x:c>
      <x:c r="M4113" t="n">
        <x:v>0</x:v>
      </x:c>
      <x:c r="N4113" t="n">
        <x:f>ROUND(F4113*M4113/100,2)</x:f>
        <x:v>0</x:v>
      </x:c>
      <x:c r="O4113" t="str"/>
    </x:row>
    <x:row r="4114" ht="23" customHeight="1">
      <x:c r="A4114" t="n">
        <x:v>686</x:v>
      </x:c>
      <x:c r="B4114" t="n">
        <x:v>343</x:v>
      </x:c>
      <x:c r="C4114" t="str">
        <x:v>晚餐</x:v>
      </x:c>
      <x:c r="D4114" t="str">
        <x:v>蔬菜</x:v>
      </x:c>
      <x:c r="E4114" t="str">
        <x:v>紫甘蓝</x:v>
      </x:c>
      <x:c r="F4114" t="n">
        <x:v>175</x:v>
      </x:c>
      <x:c r="G4114" t="n">
        <x:v>31</x:v>
      </x:c>
      <x:c r="H4114" t="n">
        <x:f>ROUND(F4114*G4114/100,2)</x:f>
        <x:v>54.25</x:v>
      </x:c>
      <x:c r="I4114" t="n">
        <x:v>1.4</x:v>
      </x:c>
      <x:c r="J4114" t="n">
        <x:f>ROUND(F4114*I4114/100,2)</x:f>
        <x:v>2.45</x:v>
      </x:c>
      <x:c r="K4114" t="n">
        <x:v>7.3</x:v>
      </x:c>
      <x:c r="L4114" t="n">
        <x:f>ROUND(F4114*K4114/100,2)</x:f>
        <x:v>12.78</x:v>
      </x:c>
      <x:c r="M4114" t="n">
        <x:v>0.1</x:v>
      </x:c>
      <x:c r="N4114" t="n">
        <x:f>ROUND(F4114*M4114/100,2)</x:f>
        <x:v>0.18</x:v>
      </x:c>
      <x:c r="O4114" t="str">
        <x:v>生重</x:v>
      </x:c>
    </x:row>
    <x:row r="4115" ht="23" customHeight="1">
      <x:c r="A4115" t="n">
        <x:v>686</x:v>
      </x:c>
      <x:c r="B4115" t="n">
        <x:v>343</x:v>
      </x:c>
      <x:c r="C4115" t="str">
        <x:v>晚餐</x:v>
      </x:c>
      <x:c r="D4115" t="str">
        <x:v>蔬菜</x:v>
      </x:c>
      <x:c r="E4115" t="str">
        <x:v>莴笋</x:v>
      </x:c>
      <x:c r="F4115" t="n">
        <x:v>140</x:v>
      </x:c>
      <x:c r="G4115" t="n">
        <x:v>15</x:v>
      </x:c>
      <x:c r="H4115" t="n">
        <x:f>ROUND(F4115*G4115/100,2)</x:f>
        <x:v>21</x:v>
      </x:c>
      <x:c r="I4115" t="n">
        <x:v>1</x:v>
      </x:c>
      <x:c r="J4115" t="n">
        <x:f>ROUND(F4115*I4115/100,2)</x:f>
        <x:v>1.4</x:v>
      </x:c>
      <x:c r="K4115" t="n">
        <x:v>2.8</x:v>
      </x:c>
      <x:c r="L4115" t="n">
        <x:f>ROUND(F4115*K4115/100,2)</x:f>
        <x:v>3.92</x:v>
      </x:c>
      <x:c r="M4115" t="n">
        <x:v>0.1</x:v>
      </x:c>
      <x:c r="N4115" t="n">
        <x:f>ROUND(F4115*M4115/100,2)</x:f>
        <x:v>0.14</x:v>
      </x:c>
      <x:c r="O4115" t="str">
        <x:v>生重</x:v>
      </x:c>
    </x:row>
    <x:row r="4116" ht="23" customHeight="1">
      <x:c r="A4116" t="n">
        <x:v>686</x:v>
      </x:c>
      <x:c r="B4116" t="n">
        <x:v>343</x:v>
      </x:c>
      <x:c r="C4116" t="str">
        <x:v>晚餐</x:v>
      </x:c>
      <x:c r="D4116" t="str">
        <x:v>主食</x:v>
      </x:c>
      <x:c r="E4116" t="str">
        <x:v>荞麦饭</x:v>
      </x:c>
      <x:c r="F4116" t="n">
        <x:v>135</x:v>
      </x:c>
      <x:c r="G4116" t="n">
        <x:v>110</x:v>
      </x:c>
      <x:c r="H4116" t="n">
        <x:f>ROUND(F4116*G4116/100,2)</x:f>
        <x:v>148.5</x:v>
      </x:c>
      <x:c r="I4116" t="n">
        <x:v>3.4</x:v>
      </x:c>
      <x:c r="J4116" t="n">
        <x:f>ROUND(F4116*I4116/100,2)</x:f>
        <x:v>4.59</x:v>
      </x:c>
      <x:c r="K4116" t="n">
        <x:v>22</x:v>
      </x:c>
      <x:c r="L4116" t="n">
        <x:f>ROUND(F4116*K4116/100,2)</x:f>
        <x:v>29.7</x:v>
      </x:c>
      <x:c r="M4116" t="n">
        <x:v>1.1</x:v>
      </x:c>
      <x:c r="N4116" t="n">
        <x:f>ROUND(F4116*M4116/100,2)</x:f>
        <x:v>1.49</x:v>
      </x:c>
      <x:c r="O4116" t="str">
        <x:v>熟重</x:v>
      </x:c>
    </x:row>
    <x:row r="4117" ht="23" customHeight="1">
      <x:c r="A4117" t="n">
        <x:v>686</x:v>
      </x:c>
      <x:c r="B4117" t="n">
        <x:v>343</x:v>
      </x:c>
      <x:c r="C4117" t="str">
        <x:v>晚餐</x:v>
      </x:c>
      <x:c r="D4117" t="str">
        <x:v>油脂</x:v>
      </x:c>
      <x:c r="E4117" t="str">
        <x:v>烹调油</x:v>
      </x:c>
      <x:c r="F4117" t="n">
        <x:v>6</x:v>
      </x:c>
      <x:c r="G4117" t="n">
        <x:v>900</x:v>
      </x:c>
      <x:c r="H4117" t="n">
        <x:f>ROUND(F4117*G4117/100,2)</x:f>
        <x:v>54</x:v>
      </x:c>
      <x:c r="I4117" t="n">
        <x:v>0</x:v>
      </x:c>
      <x:c r="J4117" t="n">
        <x:f>ROUND(F4117*I4117/100,2)</x:f>
        <x:v>0</x:v>
      </x:c>
      <x:c r="K4117" t="n">
        <x:v>0</x:v>
      </x:c>
      <x:c r="L4117" t="n">
        <x:f>ROUND(F4117*K4117/100,2)</x:f>
        <x:v>0</x:v>
      </x:c>
      <x:c r="M4117" t="n">
        <x:v>100</x:v>
      </x:c>
      <x:c r="N4117" t="n">
        <x:f>ROUND(F4117*M4117/100,2)</x:f>
        <x:v>6</x:v>
      </x:c>
      <x:c r="O4117" t="str">
        <x:v>实际用油重</x:v>
      </x:c>
    </x:row>
    <x:row r="4118" ht="23" customHeight="1">
      <x:c r="A4118" t="n">
        <x:v>687</x:v>
      </x:c>
      <x:c r="B4118" t="n">
        <x:v>344</x:v>
      </x:c>
      <x:c r="C4118" t="str">
        <x:v>午餐</x:v>
      </x:c>
      <x:c r="D4118" t="str">
        <x:v>鱼类</x:v>
      </x:c>
      <x:c r="E4118" t="str">
        <x:v>巴沙鱼</x:v>
      </x:c>
      <x:c r="F4118" t="n">
        <x:v>215</x:v>
      </x:c>
      <x:c r="G4118" t="n">
        <x:v>90</x:v>
      </x:c>
      <x:c r="H4118" t="n">
        <x:f>ROUND(F4118*G4118/100,2)</x:f>
        <x:v>193.5</x:v>
      </x:c>
      <x:c r="I4118" t="n">
        <x:v>17</x:v>
      </x:c>
      <x:c r="J4118" t="n">
        <x:f>ROUND(F4118*I4118/100,2)</x:f>
        <x:v>36.55</x:v>
      </x:c>
      <x:c r="K4118" t="n">
        <x:v>0</x:v>
      </x:c>
      <x:c r="L4118" t="n">
        <x:f>ROUND(F4118*K4118/100,2)</x:f>
        <x:v>0</x:v>
      </x:c>
      <x:c r="M4118" t="n">
        <x:v>2.3</x:v>
      </x:c>
      <x:c r="N4118" t="n">
        <x:f>ROUND(F4118*M4118/100,2)</x:f>
        <x:v>4.94</x:v>
      </x:c>
      <x:c r="O4118" t="str">
        <x:v>净鱼肉生重</x:v>
      </x:c>
    </x:row>
    <x:row r="4119" ht="23" customHeight="1">
      <x:c r="A4119" t="n">
        <x:v>687</x:v>
      </x:c>
      <x:c r="B4119" t="n">
        <x:v>344</x:v>
      </x:c>
      <x:c r="C4119" t="str">
        <x:v>午餐</x:v>
      </x:c>
      <x:c r="D4119" t="str"/>
      <x:c r="E4119" t="str"/>
      <x:c r="F4119" t="n">
        <x:v>0</x:v>
      </x:c>
      <x:c r="G4119" t="n">
        <x:v>0</x:v>
      </x:c>
      <x:c r="H4119" t="n">
        <x:f>ROUND(F4119*G4119/100,2)</x:f>
        <x:v>0</x:v>
      </x:c>
      <x:c r="I4119" t="n">
        <x:v>0</x:v>
      </x:c>
      <x:c r="J4119" t="n">
        <x:f>ROUND(F4119*I4119/100,2)</x:f>
        <x:v>0</x:v>
      </x:c>
      <x:c r="K4119" t="n">
        <x:v>0</x:v>
      </x:c>
      <x:c r="L4119" t="n">
        <x:f>ROUND(F4119*K4119/100,2)</x:f>
        <x:v>0</x:v>
      </x:c>
      <x:c r="M4119" t="n">
        <x:v>0</x:v>
      </x:c>
      <x:c r="N4119" t="n">
        <x:f>ROUND(F4119*M4119/100,2)</x:f>
        <x:v>0</x:v>
      </x:c>
      <x:c r="O4119" t="str"/>
    </x:row>
    <x:row r="4120" ht="23" customHeight="1">
      <x:c r="A4120" t="n">
        <x:v>687</x:v>
      </x:c>
      <x:c r="B4120" t="n">
        <x:v>344</x:v>
      </x:c>
      <x:c r="C4120" t="str">
        <x:v>午餐</x:v>
      </x:c>
      <x:c r="D4120" t="str">
        <x:v>蔬菜</x:v>
      </x:c>
      <x:c r="E4120" t="str">
        <x:v>紫甘蓝</x:v>
      </x:c>
      <x:c r="F4120" t="n">
        <x:v>175</x:v>
      </x:c>
      <x:c r="G4120" t="n">
        <x:v>31</x:v>
      </x:c>
      <x:c r="H4120" t="n">
        <x:f>ROUND(F4120*G4120/100,2)</x:f>
        <x:v>54.25</x:v>
      </x:c>
      <x:c r="I4120" t="n">
        <x:v>1.4</x:v>
      </x:c>
      <x:c r="J4120" t="n">
        <x:f>ROUND(F4120*I4120/100,2)</x:f>
        <x:v>2.45</x:v>
      </x:c>
      <x:c r="K4120" t="n">
        <x:v>7.3</x:v>
      </x:c>
      <x:c r="L4120" t="n">
        <x:f>ROUND(F4120*K4120/100,2)</x:f>
        <x:v>12.78</x:v>
      </x:c>
      <x:c r="M4120" t="n">
        <x:v>0.1</x:v>
      </x:c>
      <x:c r="N4120" t="n">
        <x:f>ROUND(F4120*M4120/100,2)</x:f>
        <x:v>0.18</x:v>
      </x:c>
      <x:c r="O4120" t="str">
        <x:v>生重</x:v>
      </x:c>
    </x:row>
    <x:row r="4121" ht="23" customHeight="1">
      <x:c r="A4121" t="n">
        <x:v>687</x:v>
      </x:c>
      <x:c r="B4121" t="n">
        <x:v>344</x:v>
      </x:c>
      <x:c r="C4121" t="str">
        <x:v>午餐</x:v>
      </x:c>
      <x:c r="D4121" t="str">
        <x:v>蔬菜</x:v>
      </x:c>
      <x:c r="E4121" t="str">
        <x:v>小白菜</x:v>
      </x:c>
      <x:c r="F4121" t="n">
        <x:v>155</x:v>
      </x:c>
      <x:c r="G4121" t="n">
        <x:v>17</x:v>
      </x:c>
      <x:c r="H4121" t="n">
        <x:f>ROUND(F4121*G4121/100,2)</x:f>
        <x:v>26.35</x:v>
      </x:c>
      <x:c r="I4121" t="n">
        <x:v>1.6</x:v>
      </x:c>
      <x:c r="J4121" t="n">
        <x:f>ROUND(F4121*I4121/100,2)</x:f>
        <x:v>2.48</x:v>
      </x:c>
      <x:c r="K4121" t="n">
        <x:v>2.8</x:v>
      </x:c>
      <x:c r="L4121" t="n">
        <x:f>ROUND(F4121*K4121/100,2)</x:f>
        <x:v>4.34</x:v>
      </x:c>
      <x:c r="M4121" t="n">
        <x:v>0.2</x:v>
      </x:c>
      <x:c r="N4121" t="n">
        <x:f>ROUND(F4121*M4121/100,2)</x:f>
        <x:v>0.31</x:v>
      </x:c>
      <x:c r="O4121" t="str">
        <x:v>生重</x:v>
      </x:c>
    </x:row>
    <x:row r="4122" ht="23" customHeight="1">
      <x:c r="A4122" t="n">
        <x:v>687</x:v>
      </x:c>
      <x:c r="B4122" t="n">
        <x:v>344</x:v>
      </x:c>
      <x:c r="C4122" t="str">
        <x:v>午餐</x:v>
      </x:c>
      <x:c r="D4122" t="str">
        <x:v>主食</x:v>
      </x:c>
      <x:c r="E4122" t="str">
        <x:v>杂粮饭</x:v>
      </x:c>
      <x:c r="F4122" t="n">
        <x:v>110</x:v>
      </x:c>
      <x:c r="G4122" t="n">
        <x:v>115</x:v>
      </x:c>
      <x:c r="H4122" t="n">
        <x:f>ROUND(F4122*G4122/100,2)</x:f>
        <x:v>126.5</x:v>
      </x:c>
      <x:c r="I4122" t="n">
        <x:v>3.1</x:v>
      </x:c>
      <x:c r="J4122" t="n">
        <x:f>ROUND(F4122*I4122/100,2)</x:f>
        <x:v>3.41</x:v>
      </x:c>
      <x:c r="K4122" t="n">
        <x:v>23.5</x:v>
      </x:c>
      <x:c r="L4122" t="n">
        <x:f>ROUND(F4122*K4122/100,2)</x:f>
        <x:v>25.85</x:v>
      </x:c>
      <x:c r="M4122" t="n">
        <x:v>1.1</x:v>
      </x:c>
      <x:c r="N4122" t="n">
        <x:f>ROUND(F4122*M4122/100,2)</x:f>
        <x:v>1.21</x:v>
      </x:c>
      <x:c r="O4122" t="str">
        <x:v>熟重</x:v>
      </x:c>
    </x:row>
    <x:row r="4123" ht="23" customHeight="1">
      <x:c r="A4123" t="n">
        <x:v>687</x:v>
      </x:c>
      <x:c r="B4123" t="n">
        <x:v>344</x:v>
      </x:c>
      <x:c r="C4123" t="str">
        <x:v>午餐</x:v>
      </x:c>
      <x:c r="D4123" t="str">
        <x:v>油脂</x:v>
      </x:c>
      <x:c r="E4123" t="str">
        <x:v>烹调油</x:v>
      </x:c>
      <x:c r="F4123" t="n">
        <x:v>5</x:v>
      </x:c>
      <x:c r="G4123" t="n">
        <x:v>900</x:v>
      </x:c>
      <x:c r="H4123" t="n">
        <x:f>ROUND(F4123*G4123/100,2)</x:f>
        <x:v>45</x:v>
      </x:c>
      <x:c r="I4123" t="n">
        <x:v>0</x:v>
      </x:c>
      <x:c r="J4123" t="n">
        <x:f>ROUND(F4123*I4123/100,2)</x:f>
        <x:v>0</x:v>
      </x:c>
      <x:c r="K4123" t="n">
        <x:v>0</x:v>
      </x:c>
      <x:c r="L4123" t="n">
        <x:f>ROUND(F4123*K4123/100,2)</x:f>
        <x:v>0</x:v>
      </x:c>
      <x:c r="M4123" t="n">
        <x:v>100</x:v>
      </x:c>
      <x:c r="N4123" t="n">
        <x:f>ROUND(F4123*M4123/100,2)</x:f>
        <x:v>5</x:v>
      </x:c>
      <x:c r="O4123" t="str">
        <x:v>实际用油重</x:v>
      </x:c>
    </x:row>
    <x:row r="4124" ht="23" customHeight="1">
      <x:c r="A4124" t="n">
        <x:v>688</x:v>
      </x:c>
      <x:c r="B4124" t="n">
        <x:v>344</x:v>
      </x:c>
      <x:c r="C4124" t="str">
        <x:v>晚餐</x:v>
      </x:c>
      <x:c r="D4124" t="str">
        <x:v>禽肉</x:v>
      </x:c>
      <x:c r="E4124" t="str">
        <x:v>去皮鸭胸肉</x:v>
      </x:c>
      <x:c r="F4124" t="n">
        <x:v>145</x:v>
      </x:c>
      <x:c r="G4124" t="n">
        <x:v>140</x:v>
      </x:c>
      <x:c r="H4124" t="n">
        <x:f>ROUND(F4124*G4124/100,2)</x:f>
        <x:v>203</x:v>
      </x:c>
      <x:c r="I4124" t="n">
        <x:v>19</x:v>
      </x:c>
      <x:c r="J4124" t="n">
        <x:f>ROUND(F4124*I4124/100,2)</x:f>
        <x:v>27.55</x:v>
      </x:c>
      <x:c r="K4124" t="n">
        <x:v>0</x:v>
      </x:c>
      <x:c r="L4124" t="n">
        <x:f>ROUND(F4124*K4124/100,2)</x:f>
        <x:v>0</x:v>
      </x:c>
      <x:c r="M4124" t="n">
        <x:v>7</x:v>
      </x:c>
      <x:c r="N4124" t="n">
        <x:f>ROUND(F4124*M4124/100,2)</x:f>
        <x:v>10.15</x:v>
      </x:c>
      <x:c r="O4124" t="str">
        <x:v>生重</x:v>
      </x:c>
    </x:row>
    <x:row r="4125" ht="23" customHeight="1">
      <x:c r="A4125" t="n">
        <x:v>688</x:v>
      </x:c>
      <x:c r="B4125" t="n">
        <x:v>344</x:v>
      </x:c>
      <x:c r="C4125" t="str">
        <x:v>晚餐</x:v>
      </x:c>
      <x:c r="D4125" t="str"/>
      <x:c r="E4125" t="str"/>
      <x:c r="F4125" t="n">
        <x:v>0</x:v>
      </x:c>
      <x:c r="G4125" t="n">
        <x:v>0</x:v>
      </x:c>
      <x:c r="H4125" t="n">
        <x:f>ROUND(F4125*G4125/100,2)</x:f>
        <x:v>0</x:v>
      </x:c>
      <x:c r="I4125" t="n">
        <x:v>0</x:v>
      </x:c>
      <x:c r="J4125" t="n">
        <x:f>ROUND(F4125*I4125/100,2)</x:f>
        <x:v>0</x:v>
      </x:c>
      <x:c r="K4125" t="n">
        <x:v>0</x:v>
      </x:c>
      <x:c r="L4125" t="n">
        <x:f>ROUND(F4125*K4125/100,2)</x:f>
        <x:v>0</x:v>
      </x:c>
      <x:c r="M4125" t="n">
        <x:v>0</x:v>
      </x:c>
      <x:c r="N4125" t="n">
        <x:f>ROUND(F4125*M4125/100,2)</x:f>
        <x:v>0</x:v>
      </x:c>
      <x:c r="O4125" t="str"/>
    </x:row>
    <x:row r="4126" ht="23" customHeight="1">
      <x:c r="A4126" t="n">
        <x:v>688</x:v>
      </x:c>
      <x:c r="B4126" t="n">
        <x:v>344</x:v>
      </x:c>
      <x:c r="C4126" t="str">
        <x:v>晚餐</x:v>
      </x:c>
      <x:c r="D4126" t="str">
        <x:v>蔬菜</x:v>
      </x:c>
      <x:c r="E4126" t="str">
        <x:v>番茄</x:v>
      </x:c>
      <x:c r="F4126" t="n">
        <x:v>190</x:v>
      </x:c>
      <x:c r="G4126" t="n">
        <x:v>20</x:v>
      </x:c>
      <x:c r="H4126" t="n">
        <x:f>ROUND(F4126*G4126/100,2)</x:f>
        <x:v>38</x:v>
      </x:c>
      <x:c r="I4126" t="n">
        <x:v>0.9</x:v>
      </x:c>
      <x:c r="J4126" t="n">
        <x:f>ROUND(F4126*I4126/100,2)</x:f>
        <x:v>1.71</x:v>
      </x:c>
      <x:c r="K4126" t="n">
        <x:v>4</x:v>
      </x:c>
      <x:c r="L4126" t="n">
        <x:f>ROUND(F4126*K4126/100,2)</x:f>
        <x:v>7.6</x:v>
      </x:c>
      <x:c r="M4126" t="n">
        <x:v>0.2</x:v>
      </x:c>
      <x:c r="N4126" t="n">
        <x:f>ROUND(F4126*M4126/100,2)</x:f>
        <x:v>0.38</x:v>
      </x:c>
      <x:c r="O4126" t="str">
        <x:v>生重</x:v>
      </x:c>
    </x:row>
    <x:row r="4127" ht="23" customHeight="1">
      <x:c r="A4127" t="n">
        <x:v>688</x:v>
      </x:c>
      <x:c r="B4127" t="n">
        <x:v>344</x:v>
      </x:c>
      <x:c r="C4127" t="str">
        <x:v>晚餐</x:v>
      </x:c>
      <x:c r="D4127" t="str">
        <x:v>蔬菜</x:v>
      </x:c>
      <x:c r="E4127" t="str">
        <x:v>海带</x:v>
      </x:c>
      <x:c r="F4127" t="n">
        <x:v>155</x:v>
      </x:c>
      <x:c r="G4127" t="n">
        <x:v>25</x:v>
      </x:c>
      <x:c r="H4127" t="n">
        <x:f>ROUND(F4127*G4127/100,2)</x:f>
        <x:v>38.75</x:v>
      </x:c>
      <x:c r="I4127" t="n">
        <x:v>1</x:v>
      </x:c>
      <x:c r="J4127" t="n">
        <x:f>ROUND(F4127*I4127/100,2)</x:f>
        <x:v>1.55</x:v>
      </x:c>
      <x:c r="K4127" t="n">
        <x:v>5</x:v>
      </x:c>
      <x:c r="L4127" t="n">
        <x:f>ROUND(F4127*K4127/100,2)</x:f>
        <x:v>7.75</x:v>
      </x:c>
      <x:c r="M4127" t="n">
        <x:v>0.1</x:v>
      </x:c>
      <x:c r="N4127" t="n">
        <x:f>ROUND(F4127*M4127/100,2)</x:f>
        <x:v>0.16</x:v>
      </x:c>
      <x:c r="O4127" t="str">
        <x:v>泡发沥水重</x:v>
      </x:c>
    </x:row>
    <x:row r="4128" ht="23" customHeight="1">
      <x:c r="A4128" t="n">
        <x:v>688</x:v>
      </x:c>
      <x:c r="B4128" t="n">
        <x:v>344</x:v>
      </x:c>
      <x:c r="C4128" t="str">
        <x:v>晚餐</x:v>
      </x:c>
      <x:c r="D4128" t="str">
        <x:v>主食</x:v>
      </x:c>
      <x:c r="E4128" t="str">
        <x:v>土豆</x:v>
      </x:c>
      <x:c r="F4128" t="n">
        <x:v>135</x:v>
      </x:c>
      <x:c r="G4128" t="n">
        <x:v>78</x:v>
      </x:c>
      <x:c r="H4128" t="n">
        <x:f>ROUND(F4128*G4128/100,2)</x:f>
        <x:v>105.3</x:v>
      </x:c>
      <x:c r="I4128" t="n">
        <x:v>2</x:v>
      </x:c>
      <x:c r="J4128" t="n">
        <x:f>ROUND(F4128*I4128/100,2)</x:f>
        <x:v>2.7</x:v>
      </x:c>
      <x:c r="K4128" t="n">
        <x:v>17.2</x:v>
      </x:c>
      <x:c r="L4128" t="n">
        <x:f>ROUND(F4128*K4128/100,2)</x:f>
        <x:v>23.22</x:v>
      </x:c>
      <x:c r="M4128" t="n">
        <x:v>0.1</x:v>
      </x:c>
      <x:c r="N4128" t="n">
        <x:f>ROUND(F4128*M4128/100,2)</x:f>
        <x:v>0.14</x:v>
      </x:c>
      <x:c r="O4128" t="str">
        <x:v>蒸熟净重</x:v>
      </x:c>
    </x:row>
    <x:row r="4129" ht="23" customHeight="1">
      <x:c r="A4129" t="n">
        <x:v>688</x:v>
      </x:c>
      <x:c r="B4129" t="n">
        <x:v>344</x:v>
      </x:c>
      <x:c r="C4129" t="str">
        <x:v>晚餐</x:v>
      </x:c>
      <x:c r="D4129" t="str">
        <x:v>油脂</x:v>
      </x:c>
      <x:c r="E4129" t="str">
        <x:v>烹调油</x:v>
      </x:c>
      <x:c r="F4129" t="n">
        <x:v>6</x:v>
      </x:c>
      <x:c r="G4129" t="n">
        <x:v>900</x:v>
      </x:c>
      <x:c r="H4129" t="n">
        <x:f>ROUND(F4129*G4129/100,2)</x:f>
        <x:v>54</x:v>
      </x:c>
      <x:c r="I4129" t="n">
        <x:v>0</x:v>
      </x:c>
      <x:c r="J4129" t="n">
        <x:f>ROUND(F4129*I4129/100,2)</x:f>
        <x:v>0</x:v>
      </x:c>
      <x:c r="K4129" t="n">
        <x:v>0</x:v>
      </x:c>
      <x:c r="L4129" t="n">
        <x:f>ROUND(F4129*K4129/100,2)</x:f>
        <x:v>0</x:v>
      </x:c>
      <x:c r="M4129" t="n">
        <x:v>100</x:v>
      </x:c>
      <x:c r="N4129" t="n">
        <x:f>ROUND(F4129*M4129/100,2)</x:f>
        <x:v>6</x:v>
      </x:c>
      <x:c r="O4129" t="str">
        <x:v>实际用油重</x:v>
      </x:c>
    </x:row>
    <x:row r="4130" ht="23" customHeight="1">
      <x:c r="A4130" t="n">
        <x:v>689</x:v>
      </x:c>
      <x:c r="B4130" t="n">
        <x:v>345</x:v>
      </x:c>
      <x:c r="C4130" t="str">
        <x:v>午餐</x:v>
      </x:c>
      <x:c r="D4130" t="str">
        <x:v>鱼类</x:v>
      </x:c>
      <x:c r="E4130" t="str">
        <x:v>鲈鱼</x:v>
      </x:c>
      <x:c r="F4130" t="n">
        <x:v>215</x:v>
      </x:c>
      <x:c r="G4130" t="n">
        <x:v>105</x:v>
      </x:c>
      <x:c r="H4130" t="n">
        <x:f>ROUND(F4130*G4130/100,2)</x:f>
        <x:v>225.75</x:v>
      </x:c>
      <x:c r="I4130" t="n">
        <x:v>19</x:v>
      </x:c>
      <x:c r="J4130" t="n">
        <x:f>ROUND(F4130*I4130/100,2)</x:f>
        <x:v>40.85</x:v>
      </x:c>
      <x:c r="K4130" t="n">
        <x:v>0</x:v>
      </x:c>
      <x:c r="L4130" t="n">
        <x:f>ROUND(F4130*K4130/100,2)</x:f>
        <x:v>0</x:v>
      </x:c>
      <x:c r="M4130" t="n">
        <x:v>3</x:v>
      </x:c>
      <x:c r="N4130" t="n">
        <x:f>ROUND(F4130*M4130/100,2)</x:f>
        <x:v>6.45</x:v>
      </x:c>
      <x:c r="O4130" t="str">
        <x:v>净鱼肉生重</x:v>
      </x:c>
    </x:row>
    <x:row r="4131" ht="23" customHeight="1">
      <x:c r="A4131" t="n">
        <x:v>689</x:v>
      </x:c>
      <x:c r="B4131" t="n">
        <x:v>345</x:v>
      </x:c>
      <x:c r="C4131" t="str">
        <x:v>午餐</x:v>
      </x:c>
      <x:c r="D4131" t="str"/>
      <x:c r="E4131" t="str"/>
      <x:c r="F4131" t="n">
        <x:v>0</x:v>
      </x:c>
      <x:c r="G4131" t="n">
        <x:v>0</x:v>
      </x:c>
      <x:c r="H4131" t="n">
        <x:f>ROUND(F4131*G4131/100,2)</x:f>
        <x:v>0</x:v>
      </x:c>
      <x:c r="I4131" t="n">
        <x:v>0</x:v>
      </x:c>
      <x:c r="J4131" t="n">
        <x:f>ROUND(F4131*I4131/100,2)</x:f>
        <x:v>0</x:v>
      </x:c>
      <x:c r="K4131" t="n">
        <x:v>0</x:v>
      </x:c>
      <x:c r="L4131" t="n">
        <x:f>ROUND(F4131*K4131/100,2)</x:f>
        <x:v>0</x:v>
      </x:c>
      <x:c r="M4131" t="n">
        <x:v>0</x:v>
      </x:c>
      <x:c r="N4131" t="n">
        <x:f>ROUND(F4131*M4131/100,2)</x:f>
        <x:v>0</x:v>
      </x:c>
      <x:c r="O4131" t="str"/>
    </x:row>
    <x:row r="4132" ht="23" customHeight="1">
      <x:c r="A4132" t="n">
        <x:v>689</x:v>
      </x:c>
      <x:c r="B4132" t="n">
        <x:v>345</x:v>
      </x:c>
      <x:c r="C4132" t="str">
        <x:v>午餐</x:v>
      </x:c>
      <x:c r="D4132" t="str">
        <x:v>蔬菜</x:v>
      </x:c>
      <x:c r="E4132" t="str">
        <x:v>西兰花</x:v>
      </x:c>
      <x:c r="F4132" t="n">
        <x:v>175</x:v>
      </x:c>
      <x:c r="G4132" t="n">
        <x:v>34</x:v>
      </x:c>
      <x:c r="H4132" t="n">
        <x:f>ROUND(F4132*G4132/100,2)</x:f>
        <x:v>59.5</x:v>
      </x:c>
      <x:c r="I4132" t="n">
        <x:v>2.8</x:v>
      </x:c>
      <x:c r="J4132" t="n">
        <x:f>ROUND(F4132*I4132/100,2)</x:f>
        <x:v>4.9</x:v>
      </x:c>
      <x:c r="K4132" t="n">
        <x:v>7</x:v>
      </x:c>
      <x:c r="L4132" t="n">
        <x:f>ROUND(F4132*K4132/100,2)</x:f>
        <x:v>12.25</x:v>
      </x:c>
      <x:c r="M4132" t="n">
        <x:v>0.4</x:v>
      </x:c>
      <x:c r="N4132" t="n">
        <x:f>ROUND(F4132*M4132/100,2)</x:f>
        <x:v>0.7</x:v>
      </x:c>
      <x:c r="O4132" t="str">
        <x:v>生重</x:v>
      </x:c>
    </x:row>
    <x:row r="4133" ht="23" customHeight="1">
      <x:c r="A4133" t="n">
        <x:v>689</x:v>
      </x:c>
      <x:c r="B4133" t="n">
        <x:v>345</x:v>
      </x:c>
      <x:c r="C4133" t="str">
        <x:v>午餐</x:v>
      </x:c>
      <x:c r="D4133" t="str">
        <x:v>菌菇</x:v>
      </x:c>
      <x:c r="E4133" t="str">
        <x:v>金针菇</x:v>
      </x:c>
      <x:c r="F4133" t="n">
        <x:v>155</x:v>
      </x:c>
      <x:c r="G4133" t="n">
        <x:v>32</x:v>
      </x:c>
      <x:c r="H4133" t="n">
        <x:f>ROUND(F4133*G4133/100,2)</x:f>
        <x:v>49.6</x:v>
      </x:c>
      <x:c r="I4133" t="n">
        <x:v>2.4</x:v>
      </x:c>
      <x:c r="J4133" t="n">
        <x:f>ROUND(F4133*I4133/100,2)</x:f>
        <x:v>3.72</x:v>
      </x:c>
      <x:c r="K4133" t="n">
        <x:v>6.4</x:v>
      </x:c>
      <x:c r="L4133" t="n">
        <x:f>ROUND(F4133*K4133/100,2)</x:f>
        <x:v>9.92</x:v>
      </x:c>
      <x:c r="M4133" t="n">
        <x:v>0.2</x:v>
      </x:c>
      <x:c r="N4133" t="n">
        <x:f>ROUND(F4133*M4133/100,2)</x:f>
        <x:v>0.31</x:v>
      </x:c>
      <x:c r="O4133" t="str">
        <x:v>生重</x:v>
      </x:c>
    </x:row>
    <x:row r="4134" ht="23" customHeight="1">
      <x:c r="A4134" t="n">
        <x:v>689</x:v>
      </x:c>
      <x:c r="B4134" t="n">
        <x:v>345</x:v>
      </x:c>
      <x:c r="C4134" t="str">
        <x:v>午餐</x:v>
      </x:c>
      <x:c r="D4134" t="str">
        <x:v>主食</x:v>
      </x:c>
      <x:c r="E4134" t="str">
        <x:v>白米饭</x:v>
      </x:c>
      <x:c r="F4134" t="n">
        <x:v>135</x:v>
      </x:c>
      <x:c r="G4134" t="n">
        <x:v>116</x:v>
      </x:c>
      <x:c r="H4134" t="n">
        <x:f>ROUND(F4134*G4134/100,2)</x:f>
        <x:v>156.6</x:v>
      </x:c>
      <x:c r="I4134" t="n">
        <x:v>2.6</x:v>
      </x:c>
      <x:c r="J4134" t="n">
        <x:f>ROUND(F4134*I4134/100,2)</x:f>
        <x:v>3.51</x:v>
      </x:c>
      <x:c r="K4134" t="n">
        <x:v>25.6</x:v>
      </x:c>
      <x:c r="L4134" t="n">
        <x:f>ROUND(F4134*K4134/100,2)</x:f>
        <x:v>34.56</x:v>
      </x:c>
      <x:c r="M4134" t="n">
        <x:v>0.3</x:v>
      </x:c>
      <x:c r="N4134" t="n">
        <x:f>ROUND(F4134*M4134/100,2)</x:f>
        <x:v>0.41</x:v>
      </x:c>
      <x:c r="O4134" t="str">
        <x:v>熟重</x:v>
      </x:c>
    </x:row>
    <x:row r="4135" ht="23" customHeight="1">
      <x:c r="A4135" t="n">
        <x:v>689</x:v>
      </x:c>
      <x:c r="B4135" t="n">
        <x:v>345</x:v>
      </x:c>
      <x:c r="C4135" t="str">
        <x:v>午餐</x:v>
      </x:c>
      <x:c r="D4135" t="str">
        <x:v>油脂</x:v>
      </x:c>
      <x:c r="E4135" t="str">
        <x:v>烹调油</x:v>
      </x:c>
      <x:c r="F4135" t="n">
        <x:v>5</x:v>
      </x:c>
      <x:c r="G4135" t="n">
        <x:v>900</x:v>
      </x:c>
      <x:c r="H4135" t="n">
        <x:f>ROUND(F4135*G4135/100,2)</x:f>
        <x:v>45</x:v>
      </x:c>
      <x:c r="I4135" t="n">
        <x:v>0</x:v>
      </x:c>
      <x:c r="J4135" t="n">
        <x:f>ROUND(F4135*I4135/100,2)</x:f>
        <x:v>0</x:v>
      </x:c>
      <x:c r="K4135" t="n">
        <x:v>0</x:v>
      </x:c>
      <x:c r="L4135" t="n">
        <x:f>ROUND(F4135*K4135/100,2)</x:f>
        <x:v>0</x:v>
      </x:c>
      <x:c r="M4135" t="n">
        <x:v>100</x:v>
      </x:c>
      <x:c r="N4135" t="n">
        <x:f>ROUND(F4135*M4135/100,2)</x:f>
        <x:v>5</x:v>
      </x:c>
      <x:c r="O4135" t="str">
        <x:v>实际用油重</x:v>
      </x:c>
    </x:row>
    <x:row r="4136" ht="23" customHeight="1">
      <x:c r="A4136" t="n">
        <x:v>690</x:v>
      </x:c>
      <x:c r="B4136" t="n">
        <x:v>345</x:v>
      </x:c>
      <x:c r="C4136" t="str">
        <x:v>晚餐</x:v>
      </x:c>
      <x:c r="D4136" t="str">
        <x:v>禽肉</x:v>
      </x:c>
      <x:c r="E4136" t="str">
        <x:v>去皮鸡腿肉</x:v>
      </x:c>
      <x:c r="F4136" t="n">
        <x:v>180</x:v>
      </x:c>
      <x:c r="G4136" t="n">
        <x:v>125</x:v>
      </x:c>
      <x:c r="H4136" t="n">
        <x:f>ROUND(F4136*G4136/100,2)</x:f>
        <x:v>225</x:v>
      </x:c>
      <x:c r="I4136" t="n">
        <x:v>20</x:v>
      </x:c>
      <x:c r="J4136" t="n">
        <x:f>ROUND(F4136*I4136/100,2)</x:f>
        <x:v>36</x:v>
      </x:c>
      <x:c r="K4136" t="n">
        <x:v>0</x:v>
      </x:c>
      <x:c r="L4136" t="n">
        <x:f>ROUND(F4136*K4136/100,2)</x:f>
        <x:v>0</x:v>
      </x:c>
      <x:c r="M4136" t="n">
        <x:v>5</x:v>
      </x:c>
      <x:c r="N4136" t="n">
        <x:f>ROUND(F4136*M4136/100,2)</x:f>
        <x:v>9</x:v>
      </x:c>
      <x:c r="O4136" t="str">
        <x:v>生重</x:v>
      </x:c>
    </x:row>
    <x:row r="4137" ht="23" customHeight="1">
      <x:c r="A4137" t="n">
        <x:v>690</x:v>
      </x:c>
      <x:c r="B4137" t="n">
        <x:v>345</x:v>
      </x:c>
      <x:c r="C4137" t="str">
        <x:v>晚餐</x:v>
      </x:c>
      <x:c r="D4137" t="str"/>
      <x:c r="E4137" t="str"/>
      <x:c r="F4137" t="n">
        <x:v>0</x:v>
      </x:c>
      <x:c r="G4137" t="n">
        <x:v>0</x:v>
      </x:c>
      <x:c r="H4137" t="n">
        <x:f>ROUND(F4137*G4137/100,2)</x:f>
        <x:v>0</x:v>
      </x:c>
      <x:c r="I4137" t="n">
        <x:v>0</x:v>
      </x:c>
      <x:c r="J4137" t="n">
        <x:f>ROUND(F4137*I4137/100,2)</x:f>
        <x:v>0</x:v>
      </x:c>
      <x:c r="K4137" t="n">
        <x:v>0</x:v>
      </x:c>
      <x:c r="L4137" t="n">
        <x:f>ROUND(F4137*K4137/100,2)</x:f>
        <x:v>0</x:v>
      </x:c>
      <x:c r="M4137" t="n">
        <x:v>0</x:v>
      </x:c>
      <x:c r="N4137" t="n">
        <x:f>ROUND(F4137*M4137/100,2)</x:f>
        <x:v>0</x:v>
      </x:c>
      <x:c r="O4137" t="str"/>
    </x:row>
    <x:row r="4138" ht="23" customHeight="1">
      <x:c r="A4138" t="n">
        <x:v>690</x:v>
      </x:c>
      <x:c r="B4138" t="n">
        <x:v>345</x:v>
      </x:c>
      <x:c r="C4138" t="str">
        <x:v>晚餐</x:v>
      </x:c>
      <x:c r="D4138" t="str">
        <x:v>蔬菜</x:v>
      </x:c>
      <x:c r="E4138" t="str">
        <x:v>四季豆</x:v>
      </x:c>
      <x:c r="F4138" t="n">
        <x:v>140</x:v>
      </x:c>
      <x:c r="G4138" t="n">
        <x:v>31</x:v>
      </x:c>
      <x:c r="H4138" t="n">
        <x:f>ROUND(F4138*G4138/100,2)</x:f>
        <x:v>43.4</x:v>
      </x:c>
      <x:c r="I4138" t="n">
        <x:v>1.8</x:v>
      </x:c>
      <x:c r="J4138" t="n">
        <x:f>ROUND(F4138*I4138/100,2)</x:f>
        <x:v>2.52</x:v>
      </x:c>
      <x:c r="K4138" t="n">
        <x:v>7</x:v>
      </x:c>
      <x:c r="L4138" t="n">
        <x:f>ROUND(F4138*K4138/100,2)</x:f>
        <x:v>9.8</x:v>
      </x:c>
      <x:c r="M4138" t="n">
        <x:v>0.1</x:v>
      </x:c>
      <x:c r="N4138" t="n">
        <x:f>ROUND(F4138*M4138/100,2)</x:f>
        <x:v>0.14</x:v>
      </x:c>
      <x:c r="O4138" t="str">
        <x:v>生重</x:v>
      </x:c>
    </x:row>
    <x:row r="4139" ht="23" customHeight="1">
      <x:c r="A4139" t="n">
        <x:v>690</x:v>
      </x:c>
      <x:c r="B4139" t="n">
        <x:v>345</x:v>
      </x:c>
      <x:c r="C4139" t="str">
        <x:v>晚餐</x:v>
      </x:c>
      <x:c r="D4139" t="str">
        <x:v>蔬菜</x:v>
      </x:c>
      <x:c r="E4139" t="str">
        <x:v>胡萝卜</x:v>
      </x:c>
      <x:c r="F4139" t="n">
        <x:v>155</x:v>
      </x:c>
      <x:c r="G4139" t="n">
        <x:v>41</x:v>
      </x:c>
      <x:c r="H4139" t="n">
        <x:f>ROUND(F4139*G4139/100,2)</x:f>
        <x:v>63.55</x:v>
      </x:c>
      <x:c r="I4139" t="n">
        <x:v>0.9</x:v>
      </x:c>
      <x:c r="J4139" t="n">
        <x:f>ROUND(F4139*I4139/100,2)</x:f>
        <x:v>1.4</x:v>
      </x:c>
      <x:c r="K4139" t="n">
        <x:v>10</x:v>
      </x:c>
      <x:c r="L4139" t="n">
        <x:f>ROUND(F4139*K4139/100,2)</x:f>
        <x:v>15.5</x:v>
      </x:c>
      <x:c r="M4139" t="n">
        <x:v>0.2</x:v>
      </x:c>
      <x:c r="N4139" t="n">
        <x:f>ROUND(F4139*M4139/100,2)</x:f>
        <x:v>0.31</x:v>
      </x:c>
      <x:c r="O4139" t="str">
        <x:v>生重</x:v>
      </x:c>
    </x:row>
    <x:row r="4140" ht="23" customHeight="1">
      <x:c r="A4140" t="n">
        <x:v>690</x:v>
      </x:c>
      <x:c r="B4140" t="n">
        <x:v>345</x:v>
      </x:c>
      <x:c r="C4140" t="str">
        <x:v>晚餐</x:v>
      </x:c>
      <x:c r="D4140" t="str">
        <x:v>主食</x:v>
      </x:c>
      <x:c r="E4140" t="str">
        <x:v>荞麦饭</x:v>
      </x:c>
      <x:c r="F4140" t="n">
        <x:v>110</x:v>
      </x:c>
      <x:c r="G4140" t="n">
        <x:v>110</x:v>
      </x:c>
      <x:c r="H4140" t="n">
        <x:f>ROUND(F4140*G4140/100,2)</x:f>
        <x:v>121</x:v>
      </x:c>
      <x:c r="I4140" t="n">
        <x:v>3.4</x:v>
      </x:c>
      <x:c r="J4140" t="n">
        <x:f>ROUND(F4140*I4140/100,2)</x:f>
        <x:v>3.74</x:v>
      </x:c>
      <x:c r="K4140" t="n">
        <x:v>22</x:v>
      </x:c>
      <x:c r="L4140" t="n">
        <x:f>ROUND(F4140*K4140/100,2)</x:f>
        <x:v>24.2</x:v>
      </x:c>
      <x:c r="M4140" t="n">
        <x:v>1.1</x:v>
      </x:c>
      <x:c r="N4140" t="n">
        <x:f>ROUND(F4140*M4140/100,2)</x:f>
        <x:v>1.21</x:v>
      </x:c>
      <x:c r="O4140" t="str">
        <x:v>熟重</x:v>
      </x:c>
    </x:row>
    <x:row r="4141" ht="23" customHeight="1">
      <x:c r="A4141" t="n">
        <x:v>690</x:v>
      </x:c>
      <x:c r="B4141" t="n">
        <x:v>345</x:v>
      </x:c>
      <x:c r="C4141" t="str">
        <x:v>晚餐</x:v>
      </x:c>
      <x:c r="D4141" t="str">
        <x:v>油脂</x:v>
      </x:c>
      <x:c r="E4141" t="str">
        <x:v>烹调油</x:v>
      </x:c>
      <x:c r="F4141" t="n">
        <x:v>6</x:v>
      </x:c>
      <x:c r="G4141" t="n">
        <x:v>900</x:v>
      </x:c>
      <x:c r="H4141" t="n">
        <x:f>ROUND(F4141*G4141/100,2)</x:f>
        <x:v>54</x:v>
      </x:c>
      <x:c r="I4141" t="n">
        <x:v>0</x:v>
      </x:c>
      <x:c r="J4141" t="n">
        <x:f>ROUND(F4141*I4141/100,2)</x:f>
        <x:v>0</x:v>
      </x:c>
      <x:c r="K4141" t="n">
        <x:v>0</x:v>
      </x:c>
      <x:c r="L4141" t="n">
        <x:f>ROUND(F4141*K4141/100,2)</x:f>
        <x:v>0</x:v>
      </x:c>
      <x:c r="M4141" t="n">
        <x:v>100</x:v>
      </x:c>
      <x:c r="N4141" t="n">
        <x:f>ROUND(F4141*M4141/100,2)</x:f>
        <x:v>6</x:v>
      </x:c>
      <x:c r="O4141" t="str">
        <x:v>实际用油重</x:v>
      </x:c>
    </x:row>
    <x:row r="4142" ht="23" customHeight="1">
      <x:c r="A4142" t="n">
        <x:v>691</x:v>
      </x:c>
      <x:c r="B4142" t="n">
        <x:v>346</x:v>
      </x:c>
      <x:c r="C4142" t="str">
        <x:v>午餐</x:v>
      </x:c>
      <x:c r="D4142" t="str">
        <x:v>海鲜</x:v>
      </x:c>
      <x:c r="E4142" t="str">
        <x:v>虾仁</x:v>
      </x:c>
      <x:c r="F4142" t="n">
        <x:v>175</x:v>
      </x:c>
      <x:c r="G4142" t="n">
        <x:v>90</x:v>
      </x:c>
      <x:c r="H4142" t="n">
        <x:f>ROUND(F4142*G4142/100,2)</x:f>
        <x:v>157.5</x:v>
      </x:c>
      <x:c r="I4142" t="n">
        <x:v>19</x:v>
      </x:c>
      <x:c r="J4142" t="n">
        <x:f>ROUND(F4142*I4142/100,2)</x:f>
        <x:v>33.25</x:v>
      </x:c>
      <x:c r="K4142" t="n">
        <x:v>0.4</x:v>
      </x:c>
      <x:c r="L4142" t="n">
        <x:f>ROUND(F4142*K4142/100,2)</x:f>
        <x:v>0.7</x:v>
      </x:c>
      <x:c r="M4142" t="n">
        <x:v>1.1</x:v>
      </x:c>
      <x:c r="N4142" t="n">
        <x:f>ROUND(F4142*M4142/100,2)</x:f>
        <x:v>1.93</x:v>
      </x:c>
      <x:c r="O4142" t="str">
        <x:v>生重</x:v>
      </x:c>
    </x:row>
    <x:row r="4143" ht="23" customHeight="1">
      <x:c r="A4143" t="n">
        <x:v>691</x:v>
      </x:c>
      <x:c r="B4143" t="n">
        <x:v>346</x:v>
      </x:c>
      <x:c r="C4143" t="str">
        <x:v>午餐</x:v>
      </x:c>
      <x:c r="D4143" t="str"/>
      <x:c r="E4143" t="str"/>
      <x:c r="F4143" t="n">
        <x:v>0</x:v>
      </x:c>
      <x:c r="G4143" t="n">
        <x:v>0</x:v>
      </x:c>
      <x:c r="H4143" t="n">
        <x:f>ROUND(F4143*G4143/100,2)</x:f>
        <x:v>0</x:v>
      </x:c>
      <x:c r="I4143" t="n">
        <x:v>0</x:v>
      </x:c>
      <x:c r="J4143" t="n">
        <x:f>ROUND(F4143*I4143/100,2)</x:f>
        <x:v>0</x:v>
      </x:c>
      <x:c r="K4143" t="n">
        <x:v>0</x:v>
      </x:c>
      <x:c r="L4143" t="n">
        <x:f>ROUND(F4143*K4143/100,2)</x:f>
        <x:v>0</x:v>
      </x:c>
      <x:c r="M4143" t="n">
        <x:v>0</x:v>
      </x:c>
      <x:c r="N4143" t="n">
        <x:f>ROUND(F4143*M4143/100,2)</x:f>
        <x:v>0</x:v>
      </x:c>
      <x:c r="O4143" t="str"/>
    </x:row>
    <x:row r="4144" ht="23" customHeight="1">
      <x:c r="A4144" t="n">
        <x:v>691</x:v>
      </x:c>
      <x:c r="B4144" t="n">
        <x:v>346</x:v>
      </x:c>
      <x:c r="C4144" t="str">
        <x:v>午餐</x:v>
      </x:c>
      <x:c r="D4144" t="str">
        <x:v>蔬菜</x:v>
      </x:c>
      <x:c r="E4144" t="str">
        <x:v>西兰花</x:v>
      </x:c>
      <x:c r="F4144" t="n">
        <x:v>140</x:v>
      </x:c>
      <x:c r="G4144" t="n">
        <x:v>34</x:v>
      </x:c>
      <x:c r="H4144" t="n">
        <x:f>ROUND(F4144*G4144/100,2)</x:f>
        <x:v>47.6</x:v>
      </x:c>
      <x:c r="I4144" t="n">
        <x:v>2.8</x:v>
      </x:c>
      <x:c r="J4144" t="n">
        <x:f>ROUND(F4144*I4144/100,2)</x:f>
        <x:v>3.92</x:v>
      </x:c>
      <x:c r="K4144" t="n">
        <x:v>7</x:v>
      </x:c>
      <x:c r="L4144" t="n">
        <x:f>ROUND(F4144*K4144/100,2)</x:f>
        <x:v>9.8</x:v>
      </x:c>
      <x:c r="M4144" t="n">
        <x:v>0.4</x:v>
      </x:c>
      <x:c r="N4144" t="n">
        <x:f>ROUND(F4144*M4144/100,2)</x:f>
        <x:v>0.56</x:v>
      </x:c>
      <x:c r="O4144" t="str">
        <x:v>生重</x:v>
      </x:c>
    </x:row>
    <x:row r="4145" ht="23" customHeight="1">
      <x:c r="A4145" t="n">
        <x:v>691</x:v>
      </x:c>
      <x:c r="B4145" t="n">
        <x:v>346</x:v>
      </x:c>
      <x:c r="C4145" t="str">
        <x:v>午餐</x:v>
      </x:c>
      <x:c r="D4145" t="str">
        <x:v>蔬菜</x:v>
      </x:c>
      <x:c r="E4145" t="str">
        <x:v>紫甘蓝</x:v>
      </x:c>
      <x:c r="F4145" t="n">
        <x:v>140</x:v>
      </x:c>
      <x:c r="G4145" t="n">
        <x:v>31</x:v>
      </x:c>
      <x:c r="H4145" t="n">
        <x:f>ROUND(F4145*G4145/100,2)</x:f>
        <x:v>43.4</x:v>
      </x:c>
      <x:c r="I4145" t="n">
        <x:v>1.4</x:v>
      </x:c>
      <x:c r="J4145" t="n">
        <x:f>ROUND(F4145*I4145/100,2)</x:f>
        <x:v>1.96</x:v>
      </x:c>
      <x:c r="K4145" t="n">
        <x:v>7.3</x:v>
      </x:c>
      <x:c r="L4145" t="n">
        <x:f>ROUND(F4145*K4145/100,2)</x:f>
        <x:v>10.22</x:v>
      </x:c>
      <x:c r="M4145" t="n">
        <x:v>0.1</x:v>
      </x:c>
      <x:c r="N4145" t="n">
        <x:f>ROUND(F4145*M4145/100,2)</x:f>
        <x:v>0.14</x:v>
      </x:c>
      <x:c r="O4145" t="str">
        <x:v>生重</x:v>
      </x:c>
    </x:row>
    <x:row r="4146" ht="23" customHeight="1">
      <x:c r="A4146" t="n">
        <x:v>691</x:v>
      </x:c>
      <x:c r="B4146" t="n">
        <x:v>346</x:v>
      </x:c>
      <x:c r="C4146" t="str">
        <x:v>午餐</x:v>
      </x:c>
      <x:c r="D4146" t="str">
        <x:v>主食</x:v>
      </x:c>
      <x:c r="E4146" t="str">
        <x:v>土豆</x:v>
      </x:c>
      <x:c r="F4146" t="n">
        <x:v>110</x:v>
      </x:c>
      <x:c r="G4146" t="n">
        <x:v>78</x:v>
      </x:c>
      <x:c r="H4146" t="n">
        <x:f>ROUND(F4146*G4146/100,2)</x:f>
        <x:v>85.8</x:v>
      </x:c>
      <x:c r="I4146" t="n">
        <x:v>2</x:v>
      </x:c>
      <x:c r="J4146" t="n">
        <x:f>ROUND(F4146*I4146/100,2)</x:f>
        <x:v>2.2</x:v>
      </x:c>
      <x:c r="K4146" t="n">
        <x:v>17.2</x:v>
      </x:c>
      <x:c r="L4146" t="n">
        <x:f>ROUND(F4146*K4146/100,2)</x:f>
        <x:v>18.92</x:v>
      </x:c>
      <x:c r="M4146" t="n">
        <x:v>0.1</x:v>
      </x:c>
      <x:c r="N4146" t="n">
        <x:f>ROUND(F4146*M4146/100,2)</x:f>
        <x:v>0.11</x:v>
      </x:c>
      <x:c r="O4146" t="str">
        <x:v>蒸熟净重</x:v>
      </x:c>
    </x:row>
    <x:row r="4147" ht="23" customHeight="1">
      <x:c r="A4147" t="n">
        <x:v>691</x:v>
      </x:c>
      <x:c r="B4147" t="n">
        <x:v>346</x:v>
      </x:c>
      <x:c r="C4147" t="str">
        <x:v>午餐</x:v>
      </x:c>
      <x:c r="D4147" t="str">
        <x:v>油脂</x:v>
      </x:c>
      <x:c r="E4147" t="str">
        <x:v>烹调油</x:v>
      </x:c>
      <x:c r="F4147" t="n">
        <x:v>5</x:v>
      </x:c>
      <x:c r="G4147" t="n">
        <x:v>900</x:v>
      </x:c>
      <x:c r="H4147" t="n">
        <x:f>ROUND(F4147*G4147/100,2)</x:f>
        <x:v>45</x:v>
      </x:c>
      <x:c r="I4147" t="n">
        <x:v>0</x:v>
      </x:c>
      <x:c r="J4147" t="n">
        <x:f>ROUND(F4147*I4147/100,2)</x:f>
        <x:v>0</x:v>
      </x:c>
      <x:c r="K4147" t="n">
        <x:v>0</x:v>
      </x:c>
      <x:c r="L4147" t="n">
        <x:f>ROUND(F4147*K4147/100,2)</x:f>
        <x:v>0</x:v>
      </x:c>
      <x:c r="M4147" t="n">
        <x:v>100</x:v>
      </x:c>
      <x:c r="N4147" t="n">
        <x:f>ROUND(F4147*M4147/100,2)</x:f>
        <x:v>5</x:v>
      </x:c>
      <x:c r="O4147" t="str">
        <x:v>实际用油重</x:v>
      </x:c>
    </x:row>
    <x:row r="4148" ht="23" customHeight="1">
      <x:c r="A4148" t="n">
        <x:v>692</x:v>
      </x:c>
      <x:c r="B4148" t="n">
        <x:v>346</x:v>
      </x:c>
      <x:c r="C4148" t="str">
        <x:v>晚餐</x:v>
      </x:c>
      <x:c r="D4148" t="str">
        <x:v>禽肉</x:v>
      </x:c>
      <x:c r="E4148" t="str">
        <x:v>去皮鸡腿肉</x:v>
      </x:c>
      <x:c r="F4148" t="n">
        <x:v>160</x:v>
      </x:c>
      <x:c r="G4148" t="n">
        <x:v>125</x:v>
      </x:c>
      <x:c r="H4148" t="n">
        <x:f>ROUND(F4148*G4148/100,2)</x:f>
        <x:v>200</x:v>
      </x:c>
      <x:c r="I4148" t="n">
        <x:v>20</x:v>
      </x:c>
      <x:c r="J4148" t="n">
        <x:f>ROUND(F4148*I4148/100,2)</x:f>
        <x:v>32</x:v>
      </x:c>
      <x:c r="K4148" t="n">
        <x:v>0</x:v>
      </x:c>
      <x:c r="L4148" t="n">
        <x:f>ROUND(F4148*K4148/100,2)</x:f>
        <x:v>0</x:v>
      </x:c>
      <x:c r="M4148" t="n">
        <x:v>5</x:v>
      </x:c>
      <x:c r="N4148" t="n">
        <x:f>ROUND(F4148*M4148/100,2)</x:f>
        <x:v>8</x:v>
      </x:c>
      <x:c r="O4148" t="str">
        <x:v>生重</x:v>
      </x:c>
    </x:row>
    <x:row r="4149" ht="23" customHeight="1">
      <x:c r="A4149" t="n">
        <x:v>692</x:v>
      </x:c>
      <x:c r="B4149" t="n">
        <x:v>346</x:v>
      </x:c>
      <x:c r="C4149" t="str">
        <x:v>晚餐</x:v>
      </x:c>
      <x:c r="D4149" t="str"/>
      <x:c r="E4149" t="str"/>
      <x:c r="F4149" t="n">
        <x:v>0</x:v>
      </x:c>
      <x:c r="G4149" t="n">
        <x:v>0</x:v>
      </x:c>
      <x:c r="H4149" t="n">
        <x:f>ROUND(F4149*G4149/100,2)</x:f>
        <x:v>0</x:v>
      </x:c>
      <x:c r="I4149" t="n">
        <x:v>0</x:v>
      </x:c>
      <x:c r="J4149" t="n">
        <x:f>ROUND(F4149*I4149/100,2)</x:f>
        <x:v>0</x:v>
      </x:c>
      <x:c r="K4149" t="n">
        <x:v>0</x:v>
      </x:c>
      <x:c r="L4149" t="n">
        <x:f>ROUND(F4149*K4149/100,2)</x:f>
        <x:v>0</x:v>
      </x:c>
      <x:c r="M4149" t="n">
        <x:v>0</x:v>
      </x:c>
      <x:c r="N4149" t="n">
        <x:f>ROUND(F4149*M4149/100,2)</x:f>
        <x:v>0</x:v>
      </x:c>
      <x:c r="O4149" t="str"/>
    </x:row>
    <x:row r="4150" ht="23" customHeight="1">
      <x:c r="A4150" t="n">
        <x:v>692</x:v>
      </x:c>
      <x:c r="B4150" t="n">
        <x:v>346</x:v>
      </x:c>
      <x:c r="C4150" t="str">
        <x:v>晚餐</x:v>
      </x:c>
      <x:c r="D4150" t="str">
        <x:v>蔬菜</x:v>
      </x:c>
      <x:c r="E4150" t="str">
        <x:v>芦笋</x:v>
      </x:c>
      <x:c r="F4150" t="n">
        <x:v>175</x:v>
      </x:c>
      <x:c r="G4150" t="n">
        <x:v>20</x:v>
      </x:c>
      <x:c r="H4150" t="n">
        <x:f>ROUND(F4150*G4150/100,2)</x:f>
        <x:v>35</x:v>
      </x:c>
      <x:c r="I4150" t="n">
        <x:v>2.2</x:v>
      </x:c>
      <x:c r="J4150" t="n">
        <x:f>ROUND(F4150*I4150/100,2)</x:f>
        <x:v>3.85</x:v>
      </x:c>
      <x:c r="K4150" t="n">
        <x:v>3.9</x:v>
      </x:c>
      <x:c r="L4150" t="n">
        <x:f>ROUND(F4150*K4150/100,2)</x:f>
        <x:v>6.83</x:v>
      </x:c>
      <x:c r="M4150" t="n">
        <x:v>0.1</x:v>
      </x:c>
      <x:c r="N4150" t="n">
        <x:f>ROUND(F4150*M4150/100,2)</x:f>
        <x:v>0.18</x:v>
      </x:c>
      <x:c r="O4150" t="str">
        <x:v>生重</x:v>
      </x:c>
    </x:row>
    <x:row r="4151" ht="23" customHeight="1">
      <x:c r="A4151" t="n">
        <x:v>692</x:v>
      </x:c>
      <x:c r="B4151" t="n">
        <x:v>346</x:v>
      </x:c>
      <x:c r="C4151" t="str">
        <x:v>晚餐</x:v>
      </x:c>
      <x:c r="D4151" t="str">
        <x:v>蔬菜</x:v>
      </x:c>
      <x:c r="E4151" t="str">
        <x:v>西兰花</x:v>
      </x:c>
      <x:c r="F4151" t="n">
        <x:v>140</x:v>
      </x:c>
      <x:c r="G4151" t="n">
        <x:v>34</x:v>
      </x:c>
      <x:c r="H4151" t="n">
        <x:f>ROUND(F4151*G4151/100,2)</x:f>
        <x:v>47.6</x:v>
      </x:c>
      <x:c r="I4151" t="n">
        <x:v>2.8</x:v>
      </x:c>
      <x:c r="J4151" t="n">
        <x:f>ROUND(F4151*I4151/100,2)</x:f>
        <x:v>3.92</x:v>
      </x:c>
      <x:c r="K4151" t="n">
        <x:v>7</x:v>
      </x:c>
      <x:c r="L4151" t="n">
        <x:f>ROUND(F4151*K4151/100,2)</x:f>
        <x:v>9.8</x:v>
      </x:c>
      <x:c r="M4151" t="n">
        <x:v>0.4</x:v>
      </x:c>
      <x:c r="N4151" t="n">
        <x:f>ROUND(F4151*M4151/100,2)</x:f>
        <x:v>0.56</x:v>
      </x:c>
      <x:c r="O4151" t="str">
        <x:v>生重</x:v>
      </x:c>
    </x:row>
    <x:row r="4152" ht="23" customHeight="1">
      <x:c r="A4152" t="n">
        <x:v>692</x:v>
      </x:c>
      <x:c r="B4152" t="n">
        <x:v>346</x:v>
      </x:c>
      <x:c r="C4152" t="str">
        <x:v>晚餐</x:v>
      </x:c>
      <x:c r="D4152" t="str">
        <x:v>主食</x:v>
      </x:c>
      <x:c r="E4152" t="str">
        <x:v>白米饭</x:v>
      </x:c>
      <x:c r="F4152" t="n">
        <x:v>135</x:v>
      </x:c>
      <x:c r="G4152" t="n">
        <x:v>116</x:v>
      </x:c>
      <x:c r="H4152" t="n">
        <x:f>ROUND(F4152*G4152/100,2)</x:f>
        <x:v>156.6</x:v>
      </x:c>
      <x:c r="I4152" t="n">
        <x:v>2.6</x:v>
      </x:c>
      <x:c r="J4152" t="n">
        <x:f>ROUND(F4152*I4152/100,2)</x:f>
        <x:v>3.51</x:v>
      </x:c>
      <x:c r="K4152" t="n">
        <x:v>25.6</x:v>
      </x:c>
      <x:c r="L4152" t="n">
        <x:f>ROUND(F4152*K4152/100,2)</x:f>
        <x:v>34.56</x:v>
      </x:c>
      <x:c r="M4152" t="n">
        <x:v>0.3</x:v>
      </x:c>
      <x:c r="N4152" t="n">
        <x:f>ROUND(F4152*M4152/100,2)</x:f>
        <x:v>0.41</x:v>
      </x:c>
      <x:c r="O4152" t="str">
        <x:v>熟重</x:v>
      </x:c>
    </x:row>
    <x:row r="4153" ht="23" customHeight="1">
      <x:c r="A4153" t="n">
        <x:v>692</x:v>
      </x:c>
      <x:c r="B4153" t="n">
        <x:v>346</x:v>
      </x:c>
      <x:c r="C4153" t="str">
        <x:v>晚餐</x:v>
      </x:c>
      <x:c r="D4153" t="str">
        <x:v>油脂</x:v>
      </x:c>
      <x:c r="E4153" t="str">
        <x:v>烹调油</x:v>
      </x:c>
      <x:c r="F4153" t="n">
        <x:v>5</x:v>
      </x:c>
      <x:c r="G4153" t="n">
        <x:v>900</x:v>
      </x:c>
      <x:c r="H4153" t="n">
        <x:f>ROUND(F4153*G4153/100,2)</x:f>
        <x:v>45</x:v>
      </x:c>
      <x:c r="I4153" t="n">
        <x:v>0</x:v>
      </x:c>
      <x:c r="J4153" t="n">
        <x:f>ROUND(F4153*I4153/100,2)</x:f>
        <x:v>0</x:v>
      </x:c>
      <x:c r="K4153" t="n">
        <x:v>0</x:v>
      </x:c>
      <x:c r="L4153" t="n">
        <x:f>ROUND(F4153*K4153/100,2)</x:f>
        <x:v>0</x:v>
      </x:c>
      <x:c r="M4153" t="n">
        <x:v>100</x:v>
      </x:c>
      <x:c r="N4153" t="n">
        <x:f>ROUND(F4153*M4153/100,2)</x:f>
        <x:v>5</x:v>
      </x:c>
      <x:c r="O4153" t="str">
        <x:v>实际用油重</x:v>
      </x:c>
    </x:row>
    <x:row r="4154" ht="23" customHeight="1">
      <x:c r="A4154" t="n">
        <x:v>693</x:v>
      </x:c>
      <x:c r="B4154" t="n">
        <x:v>347</x:v>
      </x:c>
      <x:c r="C4154" t="str">
        <x:v>午餐</x:v>
      </x:c>
      <x:c r="D4154" t="str">
        <x:v>禽肉</x:v>
      </x:c>
      <x:c r="E4154" t="str">
        <x:v>去皮鸡腿肉</x:v>
      </x:c>
      <x:c r="F4154" t="n">
        <x:v>175</x:v>
      </x:c>
      <x:c r="G4154" t="n">
        <x:v>125</x:v>
      </x:c>
      <x:c r="H4154" t="n">
        <x:f>ROUND(F4154*G4154/100,2)</x:f>
        <x:v>218.75</x:v>
      </x:c>
      <x:c r="I4154" t="n">
        <x:v>20</x:v>
      </x:c>
      <x:c r="J4154" t="n">
        <x:f>ROUND(F4154*I4154/100,2)</x:f>
        <x:v>35</x:v>
      </x:c>
      <x:c r="K4154" t="n">
        <x:v>0</x:v>
      </x:c>
      <x:c r="L4154" t="n">
        <x:f>ROUND(F4154*K4154/100,2)</x:f>
        <x:v>0</x:v>
      </x:c>
      <x:c r="M4154" t="n">
        <x:v>5</x:v>
      </x:c>
      <x:c r="N4154" t="n">
        <x:f>ROUND(F4154*M4154/100,2)</x:f>
        <x:v>8.75</x:v>
      </x:c>
      <x:c r="O4154" t="str">
        <x:v>生重</x:v>
      </x:c>
    </x:row>
    <x:row r="4155" ht="23" customHeight="1">
      <x:c r="A4155" t="n">
        <x:v>693</x:v>
      </x:c>
      <x:c r="B4155" t="n">
        <x:v>347</x:v>
      </x:c>
      <x:c r="C4155" t="str">
        <x:v>午餐</x:v>
      </x:c>
      <x:c r="D4155" t="str"/>
      <x:c r="E4155" t="str"/>
      <x:c r="F4155" t="n">
        <x:v>0</x:v>
      </x:c>
      <x:c r="G4155" t="n">
        <x:v>0</x:v>
      </x:c>
      <x:c r="H4155" t="n">
        <x:f>ROUND(F4155*G4155/100,2)</x:f>
        <x:v>0</x:v>
      </x:c>
      <x:c r="I4155" t="n">
        <x:v>0</x:v>
      </x:c>
      <x:c r="J4155" t="n">
        <x:f>ROUND(F4155*I4155/100,2)</x:f>
        <x:v>0</x:v>
      </x:c>
      <x:c r="K4155" t="n">
        <x:v>0</x:v>
      </x:c>
      <x:c r="L4155" t="n">
        <x:f>ROUND(F4155*K4155/100,2)</x:f>
        <x:v>0</x:v>
      </x:c>
      <x:c r="M4155" t="n">
        <x:v>0</x:v>
      </x:c>
      <x:c r="N4155" t="n">
        <x:f>ROUND(F4155*M4155/100,2)</x:f>
        <x:v>0</x:v>
      </x:c>
      <x:c r="O4155" t="str"/>
    </x:row>
    <x:row r="4156" ht="23" customHeight="1">
      <x:c r="A4156" t="n">
        <x:v>693</x:v>
      </x:c>
      <x:c r="B4156" t="n">
        <x:v>347</x:v>
      </x:c>
      <x:c r="C4156" t="str">
        <x:v>午餐</x:v>
      </x:c>
      <x:c r="D4156" t="str">
        <x:v>蔬菜</x:v>
      </x:c>
      <x:c r="E4156" t="str">
        <x:v>竹笋</x:v>
      </x:c>
      <x:c r="F4156" t="n">
        <x:v>140</x:v>
      </x:c>
      <x:c r="G4156" t="n">
        <x:v>27</x:v>
      </x:c>
      <x:c r="H4156" t="n">
        <x:f>ROUND(F4156*G4156/100,2)</x:f>
        <x:v>37.8</x:v>
      </x:c>
      <x:c r="I4156" t="n">
        <x:v>2.6</x:v>
      </x:c>
      <x:c r="J4156" t="n">
        <x:f>ROUND(F4156*I4156/100,2)</x:f>
        <x:v>3.64</x:v>
      </x:c>
      <x:c r="K4156" t="n">
        <x:v>5.2</x:v>
      </x:c>
      <x:c r="L4156" t="n">
        <x:f>ROUND(F4156*K4156/100,2)</x:f>
        <x:v>7.28</x:v>
      </x:c>
      <x:c r="M4156" t="n">
        <x:v>0.3</x:v>
      </x:c>
      <x:c r="N4156" t="n">
        <x:f>ROUND(F4156*M4156/100,2)</x:f>
        <x:v>0.42</x:v>
      </x:c>
      <x:c r="O4156" t="str">
        <x:v>生重</x:v>
      </x:c>
    </x:row>
    <x:row r="4157" ht="23" customHeight="1">
      <x:c r="A4157" t="n">
        <x:v>693</x:v>
      </x:c>
      <x:c r="B4157" t="n">
        <x:v>347</x:v>
      </x:c>
      <x:c r="C4157" t="str">
        <x:v>午餐</x:v>
      </x:c>
      <x:c r="D4157" t="str">
        <x:v>蔬菜</x:v>
      </x:c>
      <x:c r="E4157" t="str">
        <x:v>冬瓜</x:v>
      </x:c>
      <x:c r="F4157" t="n">
        <x:v>125</x:v>
      </x:c>
      <x:c r="G4157" t="n">
        <x:v>13</x:v>
      </x:c>
      <x:c r="H4157" t="n">
        <x:f>ROUND(F4157*G4157/100,2)</x:f>
        <x:v>16.25</x:v>
      </x:c>
      <x:c r="I4157" t="n">
        <x:v>0.4</x:v>
      </x:c>
      <x:c r="J4157" t="n">
        <x:f>ROUND(F4157*I4157/100,2)</x:f>
        <x:v>0.5</x:v>
      </x:c>
      <x:c r="K4157" t="n">
        <x:v>3</x:v>
      </x:c>
      <x:c r="L4157" t="n">
        <x:f>ROUND(F4157*K4157/100,2)</x:f>
        <x:v>3.75</x:v>
      </x:c>
      <x:c r="M4157" t="n">
        <x:v>0.2</x:v>
      </x:c>
      <x:c r="N4157" t="n">
        <x:f>ROUND(F4157*M4157/100,2)</x:f>
        <x:v>0.25</x:v>
      </x:c>
      <x:c r="O4157" t="str">
        <x:v>生重</x:v>
      </x:c>
    </x:row>
    <x:row r="4158" ht="23" customHeight="1">
      <x:c r="A4158" t="n">
        <x:v>693</x:v>
      </x:c>
      <x:c r="B4158" t="n">
        <x:v>347</x:v>
      </x:c>
      <x:c r="C4158" t="str">
        <x:v>午餐</x:v>
      </x:c>
      <x:c r="D4158" t="str">
        <x:v>主食</x:v>
      </x:c>
      <x:c r="E4158" t="str">
        <x:v>白米饭</x:v>
      </x:c>
      <x:c r="F4158" t="n">
        <x:v>165</x:v>
      </x:c>
      <x:c r="G4158" t="n">
        <x:v>116</x:v>
      </x:c>
      <x:c r="H4158" t="n">
        <x:f>ROUND(F4158*G4158/100,2)</x:f>
        <x:v>191.4</x:v>
      </x:c>
      <x:c r="I4158" t="n">
        <x:v>2.6</x:v>
      </x:c>
      <x:c r="J4158" t="n">
        <x:f>ROUND(F4158*I4158/100,2)</x:f>
        <x:v>4.29</x:v>
      </x:c>
      <x:c r="K4158" t="n">
        <x:v>25.6</x:v>
      </x:c>
      <x:c r="L4158" t="n">
        <x:f>ROUND(F4158*K4158/100,2)</x:f>
        <x:v>42.24</x:v>
      </x:c>
      <x:c r="M4158" t="n">
        <x:v>0.3</x:v>
      </x:c>
      <x:c r="N4158" t="n">
        <x:f>ROUND(F4158*M4158/100,2)</x:f>
        <x:v>0.5</x:v>
      </x:c>
      <x:c r="O4158" t="str">
        <x:v>熟重</x:v>
      </x:c>
    </x:row>
    <x:row r="4159" ht="23" customHeight="1">
      <x:c r="A4159" t="n">
        <x:v>693</x:v>
      </x:c>
      <x:c r="B4159" t="n">
        <x:v>347</x:v>
      </x:c>
      <x:c r="C4159" t="str">
        <x:v>午餐</x:v>
      </x:c>
      <x:c r="D4159" t="str">
        <x:v>油脂</x:v>
      </x:c>
      <x:c r="E4159" t="str">
        <x:v>烹调油</x:v>
      </x:c>
      <x:c r="F4159" t="n">
        <x:v>4</x:v>
      </x:c>
      <x:c r="G4159" t="n">
        <x:v>900</x:v>
      </x:c>
      <x:c r="H4159" t="n">
        <x:f>ROUND(F4159*G4159/100,2)</x:f>
        <x:v>36</x:v>
      </x:c>
      <x:c r="I4159" t="n">
        <x:v>0</x:v>
      </x:c>
      <x:c r="J4159" t="n">
        <x:f>ROUND(F4159*I4159/100,2)</x:f>
        <x:v>0</x:v>
      </x:c>
      <x:c r="K4159" t="n">
        <x:v>0</x:v>
      </x:c>
      <x:c r="L4159" t="n">
        <x:f>ROUND(F4159*K4159/100,2)</x:f>
        <x:v>0</x:v>
      </x:c>
      <x:c r="M4159" t="n">
        <x:v>100</x:v>
      </x:c>
      <x:c r="N4159" t="n">
        <x:f>ROUND(F4159*M4159/100,2)</x:f>
        <x:v>4</x:v>
      </x:c>
      <x:c r="O4159" t="str">
        <x:v>实际用油重</x:v>
      </x:c>
    </x:row>
    <x:row r="4160" ht="23" customHeight="1">
      <x:c r="A4160" t="n">
        <x:v>694</x:v>
      </x:c>
      <x:c r="B4160" t="n">
        <x:v>347</x:v>
      </x:c>
      <x:c r="C4160" t="str">
        <x:v>晚餐</x:v>
      </x:c>
      <x:c r="D4160" t="str">
        <x:v>禽肉</x:v>
      </x:c>
      <x:c r="E4160" t="str">
        <x:v>鸡里脊肉</x:v>
      </x:c>
      <x:c r="F4160" t="n">
        <x:v>145</x:v>
      </x:c>
      <x:c r="G4160" t="n">
        <x:v>110</x:v>
      </x:c>
      <x:c r="H4160" t="n">
        <x:f>ROUND(F4160*G4160/100,2)</x:f>
        <x:v>159.5</x:v>
      </x:c>
      <x:c r="I4160" t="n">
        <x:v>23</x:v>
      </x:c>
      <x:c r="J4160" t="n">
        <x:f>ROUND(F4160*I4160/100,2)</x:f>
        <x:v>33.35</x:v>
      </x:c>
      <x:c r="K4160" t="n">
        <x:v>0</x:v>
      </x:c>
      <x:c r="L4160" t="n">
        <x:f>ROUND(F4160*K4160/100,2)</x:f>
        <x:v>0</x:v>
      </x:c>
      <x:c r="M4160" t="n">
        <x:v>1.8</x:v>
      </x:c>
      <x:c r="N4160" t="n">
        <x:f>ROUND(F4160*M4160/100,2)</x:f>
        <x:v>2.61</x:v>
      </x:c>
      <x:c r="O4160" t="str">
        <x:v>生重</x:v>
      </x:c>
    </x:row>
    <x:row r="4161" ht="23" customHeight="1">
      <x:c r="A4161" t="n">
        <x:v>694</x:v>
      </x:c>
      <x:c r="B4161" t="n">
        <x:v>347</x:v>
      </x:c>
      <x:c r="C4161" t="str">
        <x:v>晚餐</x:v>
      </x:c>
      <x:c r="D4161" t="str">
        <x:v>豆蛋</x:v>
      </x:c>
      <x:c r="E4161" t="str">
        <x:v>熟毛豆仁</x:v>
      </x:c>
      <x:c r="F4161" t="n">
        <x:v>50</x:v>
      </x:c>
      <x:c r="G4161" t="n">
        <x:v>120</x:v>
      </x:c>
      <x:c r="H4161" t="n">
        <x:f>ROUND(F4161*G4161/100,2)</x:f>
        <x:v>60</x:v>
      </x:c>
      <x:c r="I4161" t="n">
        <x:v>12</x:v>
      </x:c>
      <x:c r="J4161" t="n">
        <x:f>ROUND(F4161*I4161/100,2)</x:f>
        <x:v>6</x:v>
      </x:c>
      <x:c r="K4161" t="n">
        <x:v>9</x:v>
      </x:c>
      <x:c r="L4161" t="n">
        <x:f>ROUND(F4161*K4161/100,2)</x:f>
        <x:v>4.5</x:v>
      </x:c>
      <x:c r="M4161" t="n">
        <x:v>5</x:v>
      </x:c>
      <x:c r="N4161" t="n">
        <x:f>ROUND(F4161*M4161/100,2)</x:f>
        <x:v>2.5</x:v>
      </x:c>
      <x:c r="O4161" t="str">
        <x:v>熟重</x:v>
      </x:c>
    </x:row>
    <x:row r="4162" ht="23" customHeight="1">
      <x:c r="A4162" t="n">
        <x:v>694</x:v>
      </x:c>
      <x:c r="B4162" t="n">
        <x:v>347</x:v>
      </x:c>
      <x:c r="C4162" t="str">
        <x:v>晚餐</x:v>
      </x:c>
      <x:c r="D4162" t="str">
        <x:v>蔬菜</x:v>
      </x:c>
      <x:c r="E4162" t="str">
        <x:v>娃娃菜</x:v>
      </x:c>
      <x:c r="F4162" t="n">
        <x:v>160</x:v>
      </x:c>
      <x:c r="G4162" t="n">
        <x:v>17</x:v>
      </x:c>
      <x:c r="H4162" t="n">
        <x:f>ROUND(F4162*G4162/100,2)</x:f>
        <x:v>27.2</x:v>
      </x:c>
      <x:c r="I4162" t="n">
        <x:v>1.3</x:v>
      </x:c>
      <x:c r="J4162" t="n">
        <x:f>ROUND(F4162*I4162/100,2)</x:f>
        <x:v>2.08</x:v>
      </x:c>
      <x:c r="K4162" t="n">
        <x:v>3</x:v>
      </x:c>
      <x:c r="L4162" t="n">
        <x:f>ROUND(F4162*K4162/100,2)</x:f>
        <x:v>4.8</x:v>
      </x:c>
      <x:c r="M4162" t="n">
        <x:v>0.2</x:v>
      </x:c>
      <x:c r="N4162" t="n">
        <x:f>ROUND(F4162*M4162/100,2)</x:f>
        <x:v>0.32</x:v>
      </x:c>
      <x:c r="O4162" t="str">
        <x:v>生重</x:v>
      </x:c>
    </x:row>
    <x:row r="4163" ht="23" customHeight="1">
      <x:c r="A4163" t="n">
        <x:v>694</x:v>
      </x:c>
      <x:c r="B4163" t="n">
        <x:v>347</x:v>
      </x:c>
      <x:c r="C4163" t="str">
        <x:v>晚餐</x:v>
      </x:c>
      <x:c r="D4163" t="str">
        <x:v>蔬菜</x:v>
      </x:c>
      <x:c r="E4163" t="str">
        <x:v>海带</x:v>
      </x:c>
      <x:c r="F4163" t="n">
        <x:v>140</x:v>
      </x:c>
      <x:c r="G4163" t="n">
        <x:v>25</x:v>
      </x:c>
      <x:c r="H4163" t="n">
        <x:f>ROUND(F4163*G4163/100,2)</x:f>
        <x:v>35</x:v>
      </x:c>
      <x:c r="I4163" t="n">
        <x:v>1</x:v>
      </x:c>
      <x:c r="J4163" t="n">
        <x:f>ROUND(F4163*I4163/100,2)</x:f>
        <x:v>1.4</x:v>
      </x:c>
      <x:c r="K4163" t="n">
        <x:v>5</x:v>
      </x:c>
      <x:c r="L4163" t="n">
        <x:f>ROUND(F4163*K4163/100,2)</x:f>
        <x:v>7</x:v>
      </x:c>
      <x:c r="M4163" t="n">
        <x:v>0.1</x:v>
      </x:c>
      <x:c r="N4163" t="n">
        <x:f>ROUND(F4163*M4163/100,2)</x:f>
        <x:v>0.14</x:v>
      </x:c>
      <x:c r="O4163" t="str">
        <x:v>泡发沥水重</x:v>
      </x:c>
    </x:row>
    <x:row r="4164" ht="23" customHeight="1">
      <x:c r="A4164" t="n">
        <x:v>694</x:v>
      </x:c>
      <x:c r="B4164" t="n">
        <x:v>347</x:v>
      </x:c>
      <x:c r="C4164" t="str">
        <x:v>晚餐</x:v>
      </x:c>
      <x:c r="D4164" t="str">
        <x:v>主食</x:v>
      </x:c>
      <x:c r="E4164" t="str">
        <x:v>燕麦饭</x:v>
      </x:c>
      <x:c r="F4164" t="n">
        <x:v>110</x:v>
      </x:c>
      <x:c r="G4164" t="n">
        <x:v>110</x:v>
      </x:c>
      <x:c r="H4164" t="n">
        <x:f>ROUND(F4164*G4164/100,2)</x:f>
        <x:v>121</x:v>
      </x:c>
      <x:c r="I4164" t="n">
        <x:v>3.2</x:v>
      </x:c>
      <x:c r="J4164" t="n">
        <x:f>ROUND(F4164*I4164/100,2)</x:f>
        <x:v>3.52</x:v>
      </x:c>
      <x:c r="K4164" t="n">
        <x:v>21</x:v>
      </x:c>
      <x:c r="L4164" t="n">
        <x:f>ROUND(F4164*K4164/100,2)</x:f>
        <x:v>23.1</x:v>
      </x:c>
      <x:c r="M4164" t="n">
        <x:v>1.8</x:v>
      </x:c>
      <x:c r="N4164" t="n">
        <x:f>ROUND(F4164*M4164/100,2)</x:f>
        <x:v>1.98</x:v>
      </x:c>
      <x:c r="O4164" t="str">
        <x:v>熟重</x:v>
      </x:c>
    </x:row>
    <x:row r="4165" ht="23" customHeight="1">
      <x:c r="A4165" t="n">
        <x:v>694</x:v>
      </x:c>
      <x:c r="B4165" t="n">
        <x:v>347</x:v>
      </x:c>
      <x:c r="C4165" t="str">
        <x:v>晚餐</x:v>
      </x:c>
      <x:c r="D4165" t="str">
        <x:v>油脂</x:v>
      </x:c>
      <x:c r="E4165" t="str">
        <x:v>烹调油</x:v>
      </x:c>
      <x:c r="F4165" t="n">
        <x:v>3</x:v>
      </x:c>
      <x:c r="G4165" t="n">
        <x:v>900</x:v>
      </x:c>
      <x:c r="H4165" t="n">
        <x:f>ROUND(F4165*G4165/100,2)</x:f>
        <x:v>27</x:v>
      </x:c>
      <x:c r="I4165" t="n">
        <x:v>0</x:v>
      </x:c>
      <x:c r="J4165" t="n">
        <x:f>ROUND(F4165*I4165/100,2)</x:f>
        <x:v>0</x:v>
      </x:c>
      <x:c r="K4165" t="n">
        <x:v>0</x:v>
      </x:c>
      <x:c r="L4165" t="n">
        <x:f>ROUND(F4165*K4165/100,2)</x:f>
        <x:v>0</x:v>
      </x:c>
      <x:c r="M4165" t="n">
        <x:v>100</x:v>
      </x:c>
      <x:c r="N4165" t="n">
        <x:f>ROUND(F4165*M4165/100,2)</x:f>
        <x:v>3</x:v>
      </x:c>
      <x:c r="O4165" t="str">
        <x:v>实际用油重</x:v>
      </x:c>
    </x:row>
    <x:row r="4166" ht="23" customHeight="1">
      <x:c r="A4166" t="n">
        <x:v>695</x:v>
      </x:c>
      <x:c r="B4166" t="n">
        <x:v>348</x:v>
      </x:c>
      <x:c r="C4166" t="str">
        <x:v>午餐</x:v>
      </x:c>
      <x:c r="D4166" t="str">
        <x:v>禽肉</x:v>
      </x:c>
      <x:c r="E4166" t="str">
        <x:v>去皮鸡腿肉</x:v>
      </x:c>
      <x:c r="F4166" t="n">
        <x:v>175</x:v>
      </x:c>
      <x:c r="G4166" t="n">
        <x:v>125</x:v>
      </x:c>
      <x:c r="H4166" t="n">
        <x:f>ROUND(F4166*G4166/100,2)</x:f>
        <x:v>218.75</x:v>
      </x:c>
      <x:c r="I4166" t="n">
        <x:v>20</x:v>
      </x:c>
      <x:c r="J4166" t="n">
        <x:f>ROUND(F4166*I4166/100,2)</x:f>
        <x:v>35</x:v>
      </x:c>
      <x:c r="K4166" t="n">
        <x:v>0</x:v>
      </x:c>
      <x:c r="L4166" t="n">
        <x:f>ROUND(F4166*K4166/100,2)</x:f>
        <x:v>0</x:v>
      </x:c>
      <x:c r="M4166" t="n">
        <x:v>5</x:v>
      </x:c>
      <x:c r="N4166" t="n">
        <x:f>ROUND(F4166*M4166/100,2)</x:f>
        <x:v>8.75</x:v>
      </x:c>
      <x:c r="O4166" t="str">
        <x:v>生重</x:v>
      </x:c>
    </x:row>
    <x:row r="4167" ht="23" customHeight="1">
      <x:c r="A4167" t="n">
        <x:v>695</x:v>
      </x:c>
      <x:c r="B4167" t="n">
        <x:v>348</x:v>
      </x:c>
      <x:c r="C4167" t="str">
        <x:v>午餐</x:v>
      </x:c>
      <x:c r="D4167" t="str"/>
      <x:c r="E4167" t="str"/>
      <x:c r="F4167" t="n">
        <x:v>0</x:v>
      </x:c>
      <x:c r="G4167" t="n">
        <x:v>0</x:v>
      </x:c>
      <x:c r="H4167" t="n">
        <x:f>ROUND(F4167*G4167/100,2)</x:f>
        <x:v>0</x:v>
      </x:c>
      <x:c r="I4167" t="n">
        <x:v>0</x:v>
      </x:c>
      <x:c r="J4167" t="n">
        <x:f>ROUND(F4167*I4167/100,2)</x:f>
        <x:v>0</x:v>
      </x:c>
      <x:c r="K4167" t="n">
        <x:v>0</x:v>
      </x:c>
      <x:c r="L4167" t="n">
        <x:f>ROUND(F4167*K4167/100,2)</x:f>
        <x:v>0</x:v>
      </x:c>
      <x:c r="M4167" t="n">
        <x:v>0</x:v>
      </x:c>
      <x:c r="N4167" t="n">
        <x:f>ROUND(F4167*M4167/100,2)</x:f>
        <x:v>0</x:v>
      </x:c>
      <x:c r="O4167" t="str"/>
    </x:row>
    <x:row r="4168" ht="23" customHeight="1">
      <x:c r="A4168" t="n">
        <x:v>695</x:v>
      </x:c>
      <x:c r="B4168" t="n">
        <x:v>348</x:v>
      </x:c>
      <x:c r="C4168" t="str">
        <x:v>午餐</x:v>
      </x:c>
      <x:c r="D4168" t="str">
        <x:v>蔬菜</x:v>
      </x:c>
      <x:c r="E4168" t="str">
        <x:v>冬瓜</x:v>
      </x:c>
      <x:c r="F4168" t="n">
        <x:v>160</x:v>
      </x:c>
      <x:c r="G4168" t="n">
        <x:v>13</x:v>
      </x:c>
      <x:c r="H4168" t="n">
        <x:f>ROUND(F4168*G4168/100,2)</x:f>
        <x:v>20.8</x:v>
      </x:c>
      <x:c r="I4168" t="n">
        <x:v>0.4</x:v>
      </x:c>
      <x:c r="J4168" t="n">
        <x:f>ROUND(F4168*I4168/100,2)</x:f>
        <x:v>0.64</x:v>
      </x:c>
      <x:c r="K4168" t="n">
        <x:v>3</x:v>
      </x:c>
      <x:c r="L4168" t="n">
        <x:f>ROUND(F4168*K4168/100,2)</x:f>
        <x:v>4.8</x:v>
      </x:c>
      <x:c r="M4168" t="n">
        <x:v>0.2</x:v>
      </x:c>
      <x:c r="N4168" t="n">
        <x:f>ROUND(F4168*M4168/100,2)</x:f>
        <x:v>0.32</x:v>
      </x:c>
      <x:c r="O4168" t="str">
        <x:v>生重</x:v>
      </x:c>
    </x:row>
    <x:row r="4169" ht="23" customHeight="1">
      <x:c r="A4169" t="n">
        <x:v>695</x:v>
      </x:c>
      <x:c r="B4169" t="n">
        <x:v>348</x:v>
      </x:c>
      <x:c r="C4169" t="str">
        <x:v>午餐</x:v>
      </x:c>
      <x:c r="D4169" t="str">
        <x:v>蔬菜</x:v>
      </x:c>
      <x:c r="E4169" t="str">
        <x:v>洋葱</x:v>
      </x:c>
      <x:c r="F4169" t="n">
        <x:v>110</x:v>
      </x:c>
      <x:c r="G4169" t="n">
        <x:v>40</x:v>
      </x:c>
      <x:c r="H4169" t="n">
        <x:f>ROUND(F4169*G4169/100,2)</x:f>
        <x:v>44</x:v>
      </x:c>
      <x:c r="I4169" t="n">
        <x:v>1.1</x:v>
      </x:c>
      <x:c r="J4169" t="n">
        <x:f>ROUND(F4169*I4169/100,2)</x:f>
        <x:v>1.21</x:v>
      </x:c>
      <x:c r="K4169" t="n">
        <x:v>9.3</x:v>
      </x:c>
      <x:c r="L4169" t="n">
        <x:f>ROUND(F4169*K4169/100,2)</x:f>
        <x:v>10.23</x:v>
      </x:c>
      <x:c r="M4169" t="n">
        <x:v>0.1</x:v>
      </x:c>
      <x:c r="N4169" t="n">
        <x:f>ROUND(F4169*M4169/100,2)</x:f>
        <x:v>0.11</x:v>
      </x:c>
      <x:c r="O4169" t="str">
        <x:v>生重</x:v>
      </x:c>
    </x:row>
    <x:row r="4170" ht="23" customHeight="1">
      <x:c r="A4170" t="n">
        <x:v>695</x:v>
      </x:c>
      <x:c r="B4170" t="n">
        <x:v>348</x:v>
      </x:c>
      <x:c r="C4170" t="str">
        <x:v>午餐</x:v>
      </x:c>
      <x:c r="D4170" t="str">
        <x:v>主食</x:v>
      </x:c>
      <x:c r="E4170" t="str">
        <x:v>荞麦饭</x:v>
      </x:c>
      <x:c r="F4170" t="n">
        <x:v>125</x:v>
      </x:c>
      <x:c r="G4170" t="n">
        <x:v>110</x:v>
      </x:c>
      <x:c r="H4170" t="n">
        <x:f>ROUND(F4170*G4170/100,2)</x:f>
        <x:v>137.5</x:v>
      </x:c>
      <x:c r="I4170" t="n">
        <x:v>3.4</x:v>
      </x:c>
      <x:c r="J4170" t="n">
        <x:f>ROUND(F4170*I4170/100,2)</x:f>
        <x:v>4.25</x:v>
      </x:c>
      <x:c r="K4170" t="n">
        <x:v>22</x:v>
      </x:c>
      <x:c r="L4170" t="n">
        <x:f>ROUND(F4170*K4170/100,2)</x:f>
        <x:v>27.5</x:v>
      </x:c>
      <x:c r="M4170" t="n">
        <x:v>1.1</x:v>
      </x:c>
      <x:c r="N4170" t="n">
        <x:f>ROUND(F4170*M4170/100,2)</x:f>
        <x:v>1.38</x:v>
      </x:c>
      <x:c r="O4170" t="str">
        <x:v>熟重</x:v>
      </x:c>
    </x:row>
    <x:row r="4171" ht="23" customHeight="1">
      <x:c r="A4171" t="n">
        <x:v>695</x:v>
      </x:c>
      <x:c r="B4171" t="n">
        <x:v>348</x:v>
      </x:c>
      <x:c r="C4171" t="str">
        <x:v>午餐</x:v>
      </x:c>
      <x:c r="D4171" t="str">
        <x:v>油脂</x:v>
      </x:c>
      <x:c r="E4171" t="str">
        <x:v>烹调油</x:v>
      </x:c>
      <x:c r="F4171" t="n">
        <x:v>4</x:v>
      </x:c>
      <x:c r="G4171" t="n">
        <x:v>900</x:v>
      </x:c>
      <x:c r="H4171" t="n">
        <x:f>ROUND(F4171*G4171/100,2)</x:f>
        <x:v>36</x:v>
      </x:c>
      <x:c r="I4171" t="n">
        <x:v>0</x:v>
      </x:c>
      <x:c r="J4171" t="n">
        <x:f>ROUND(F4171*I4171/100,2)</x:f>
        <x:v>0</x:v>
      </x:c>
      <x:c r="K4171" t="n">
        <x:v>0</x:v>
      </x:c>
      <x:c r="L4171" t="n">
        <x:f>ROUND(F4171*K4171/100,2)</x:f>
        <x:v>0</x:v>
      </x:c>
      <x:c r="M4171" t="n">
        <x:v>100</x:v>
      </x:c>
      <x:c r="N4171" t="n">
        <x:f>ROUND(F4171*M4171/100,2)</x:f>
        <x:v>4</x:v>
      </x:c>
      <x:c r="O4171" t="str">
        <x:v>实际用油重</x:v>
      </x:c>
    </x:row>
    <x:row r="4172" ht="23" customHeight="1">
      <x:c r="A4172" t="n">
        <x:v>696</x:v>
      </x:c>
      <x:c r="B4172" t="n">
        <x:v>348</x:v>
      </x:c>
      <x:c r="C4172" t="str">
        <x:v>晚餐</x:v>
      </x:c>
      <x:c r="D4172" t="str">
        <x:v>豆蛋</x:v>
      </x:c>
      <x:c r="E4172" t="str">
        <x:v>嫩豆腐</x:v>
      </x:c>
      <x:c r="F4172" t="n">
        <x:v>260</x:v>
      </x:c>
      <x:c r="G4172" t="n">
        <x:v>55</x:v>
      </x:c>
      <x:c r="H4172" t="n">
        <x:f>ROUND(F4172*G4172/100,2)</x:f>
        <x:v>143</x:v>
      </x:c>
      <x:c r="I4172" t="n">
        <x:v>5</x:v>
      </x:c>
      <x:c r="J4172" t="n">
        <x:f>ROUND(F4172*I4172/100,2)</x:f>
        <x:v>13</x:v>
      </x:c>
      <x:c r="K4172" t="n">
        <x:v>2</x:v>
      </x:c>
      <x:c r="L4172" t="n">
        <x:f>ROUND(F4172*K4172/100,2)</x:f>
        <x:v>5.2</x:v>
      </x:c>
      <x:c r="M4172" t="n">
        <x:v>2.8</x:v>
      </x:c>
      <x:c r="N4172" t="n">
        <x:f>ROUND(F4172*M4172/100,2)</x:f>
        <x:v>7.28</x:v>
      </x:c>
      <x:c r="O4172" t="str">
        <x:v>净重</x:v>
      </x:c>
    </x:row>
    <x:row r="4173" ht="23" customHeight="1">
      <x:c r="A4173" t="n">
        <x:v>696</x:v>
      </x:c>
      <x:c r="B4173" t="n">
        <x:v>348</x:v>
      </x:c>
      <x:c r="C4173" t="str">
        <x:v>晚餐</x:v>
      </x:c>
      <x:c r="D4173" t="str">
        <x:v>豆蛋</x:v>
      </x:c>
      <x:c r="E4173" t="str">
        <x:v>熟毛豆仁</x:v>
      </x:c>
      <x:c r="F4173" t="n">
        <x:v>50</x:v>
      </x:c>
      <x:c r="G4173" t="n">
        <x:v>120</x:v>
      </x:c>
      <x:c r="H4173" t="n">
        <x:f>ROUND(F4173*G4173/100,2)</x:f>
        <x:v>60</x:v>
      </x:c>
      <x:c r="I4173" t="n">
        <x:v>12</x:v>
      </x:c>
      <x:c r="J4173" t="n">
        <x:f>ROUND(F4173*I4173/100,2)</x:f>
        <x:v>6</x:v>
      </x:c>
      <x:c r="K4173" t="n">
        <x:v>9</x:v>
      </x:c>
      <x:c r="L4173" t="n">
        <x:f>ROUND(F4173*K4173/100,2)</x:f>
        <x:v>4.5</x:v>
      </x:c>
      <x:c r="M4173" t="n">
        <x:v>5</x:v>
      </x:c>
      <x:c r="N4173" t="n">
        <x:f>ROUND(F4173*M4173/100,2)</x:f>
        <x:v>2.5</x:v>
      </x:c>
      <x:c r="O4173" t="str">
        <x:v>熟重</x:v>
      </x:c>
    </x:row>
    <x:row r="4174" ht="23" customHeight="1">
      <x:c r="A4174" t="n">
        <x:v>696</x:v>
      </x:c>
      <x:c r="B4174" t="n">
        <x:v>348</x:v>
      </x:c>
      <x:c r="C4174" t="str">
        <x:v>晚餐</x:v>
      </x:c>
      <x:c r="D4174" t="str">
        <x:v>蔬菜</x:v>
      </x:c>
      <x:c r="E4174" t="str">
        <x:v>大白菜</x:v>
      </x:c>
      <x:c r="F4174" t="n">
        <x:v>175</x:v>
      </x:c>
      <x:c r="G4174" t="n">
        <x:v>17</x:v>
      </x:c>
      <x:c r="H4174" t="n">
        <x:f>ROUND(F4174*G4174/100,2)</x:f>
        <x:v>29.75</x:v>
      </x:c>
      <x:c r="I4174" t="n">
        <x:v>1.5</x:v>
      </x:c>
      <x:c r="J4174" t="n">
        <x:f>ROUND(F4174*I4174/100,2)</x:f>
        <x:v>2.63</x:v>
      </x:c>
      <x:c r="K4174" t="n">
        <x:v>3.2</x:v>
      </x:c>
      <x:c r="L4174" t="n">
        <x:f>ROUND(F4174*K4174/100,2)</x:f>
        <x:v>5.6</x:v>
      </x:c>
      <x:c r="M4174" t="n">
        <x:v>0.1</x:v>
      </x:c>
      <x:c r="N4174" t="n">
        <x:f>ROUND(F4174*M4174/100,2)</x:f>
        <x:v>0.18</x:v>
      </x:c>
      <x:c r="O4174" t="str">
        <x:v>生重</x:v>
      </x:c>
    </x:row>
    <x:row r="4175" ht="23" customHeight="1">
      <x:c r="A4175" t="n">
        <x:v>696</x:v>
      </x:c>
      <x:c r="B4175" t="n">
        <x:v>348</x:v>
      </x:c>
      <x:c r="C4175" t="str">
        <x:v>晚餐</x:v>
      </x:c>
      <x:c r="D4175" t="str">
        <x:v>菌菇</x:v>
      </x:c>
      <x:c r="E4175" t="str">
        <x:v>泡发木耳</x:v>
      </x:c>
      <x:c r="F4175" t="n">
        <x:v>110</x:v>
      </x:c>
      <x:c r="G4175" t="n">
        <x:v>25</x:v>
      </x:c>
      <x:c r="H4175" t="n">
        <x:f>ROUND(F4175*G4175/100,2)</x:f>
        <x:v>27.5</x:v>
      </x:c>
      <x:c r="I4175" t="n">
        <x:v>1.5</x:v>
      </x:c>
      <x:c r="J4175" t="n">
        <x:f>ROUND(F4175*I4175/100,2)</x:f>
        <x:v>1.65</x:v>
      </x:c>
      <x:c r="K4175" t="n">
        <x:v>6</x:v>
      </x:c>
      <x:c r="L4175" t="n">
        <x:f>ROUND(F4175*K4175/100,2)</x:f>
        <x:v>6.6</x:v>
      </x:c>
      <x:c r="M4175" t="n">
        <x:v>0.1</x:v>
      </x:c>
      <x:c r="N4175" t="n">
        <x:f>ROUND(F4175*M4175/100,2)</x:f>
        <x:v>0.11</x:v>
      </x:c>
      <x:c r="O4175" t="str">
        <x:v>泡发沥水重</x:v>
      </x:c>
    </x:row>
    <x:row r="4176" ht="23" customHeight="1">
      <x:c r="A4176" t="n">
        <x:v>696</x:v>
      </x:c>
      <x:c r="B4176" t="n">
        <x:v>348</x:v>
      </x:c>
      <x:c r="C4176" t="str">
        <x:v>晚餐</x:v>
      </x:c>
      <x:c r="D4176" t="str">
        <x:v>主食</x:v>
      </x:c>
      <x:c r="E4176" t="str">
        <x:v>藜麦饭</x:v>
      </x:c>
      <x:c r="F4176" t="n">
        <x:v>110</x:v>
      </x:c>
      <x:c r="G4176" t="n">
        <x:v>120</x:v>
      </x:c>
      <x:c r="H4176" t="n">
        <x:f>ROUND(F4176*G4176/100,2)</x:f>
        <x:v>132</x:v>
      </x:c>
      <x:c r="I4176" t="n">
        <x:v>4.4</x:v>
      </x:c>
      <x:c r="J4176" t="n">
        <x:f>ROUND(F4176*I4176/100,2)</x:f>
        <x:v>4.84</x:v>
      </x:c>
      <x:c r="K4176" t="n">
        <x:v>21.3</x:v>
      </x:c>
      <x:c r="L4176" t="n">
        <x:f>ROUND(F4176*K4176/100,2)</x:f>
        <x:v>23.43</x:v>
      </x:c>
      <x:c r="M4176" t="n">
        <x:v>1.9</x:v>
      </x:c>
      <x:c r="N4176" t="n">
        <x:f>ROUND(F4176*M4176/100,2)</x:f>
        <x:v>2.09</x:v>
      </x:c>
      <x:c r="O4176" t="str">
        <x:v>熟重</x:v>
      </x:c>
    </x:row>
    <x:row r="4177" ht="23" customHeight="1">
      <x:c r="A4177" t="n">
        <x:v>696</x:v>
      </x:c>
      <x:c r="B4177" t="n">
        <x:v>348</x:v>
      </x:c>
      <x:c r="C4177" t="str">
        <x:v>晚餐</x:v>
      </x:c>
      <x:c r="D4177" t="str">
        <x:v>油脂</x:v>
      </x:c>
      <x:c r="E4177" t="str">
        <x:v>烹调油</x:v>
      </x:c>
      <x:c r="F4177" t="n">
        <x:v>3</x:v>
      </x:c>
      <x:c r="G4177" t="n">
        <x:v>900</x:v>
      </x:c>
      <x:c r="H4177" t="n">
        <x:f>ROUND(F4177*G4177/100,2)</x:f>
        <x:v>27</x:v>
      </x:c>
      <x:c r="I4177" t="n">
        <x:v>0</x:v>
      </x:c>
      <x:c r="J4177" t="n">
        <x:f>ROUND(F4177*I4177/100,2)</x:f>
        <x:v>0</x:v>
      </x:c>
      <x:c r="K4177" t="n">
        <x:v>0</x:v>
      </x:c>
      <x:c r="L4177" t="n">
        <x:f>ROUND(F4177*K4177/100,2)</x:f>
        <x:v>0</x:v>
      </x:c>
      <x:c r="M4177" t="n">
        <x:v>100</x:v>
      </x:c>
      <x:c r="N4177" t="n">
        <x:f>ROUND(F4177*M4177/100,2)</x:f>
        <x:v>3</x:v>
      </x:c>
      <x:c r="O4177" t="str">
        <x:v>实际用油重</x:v>
      </x:c>
    </x:row>
    <x:row r="4178" ht="23" customHeight="1">
      <x:c r="A4178" t="n">
        <x:v>697</x:v>
      </x:c>
      <x:c r="B4178" t="n">
        <x:v>349</x:v>
      </x:c>
      <x:c r="C4178" t="str">
        <x:v>午餐</x:v>
      </x:c>
      <x:c r="D4178" t="str">
        <x:v>海鲜</x:v>
      </x:c>
      <x:c r="E4178" t="str">
        <x:v>鱿鱼</x:v>
      </x:c>
      <x:c r="F4178" t="n">
        <x:v>160</x:v>
      </x:c>
      <x:c r="G4178" t="n">
        <x:v>95</x:v>
      </x:c>
      <x:c r="H4178" t="n">
        <x:f>ROUND(F4178*G4178/100,2)</x:f>
        <x:v>152</x:v>
      </x:c>
      <x:c r="I4178" t="n">
        <x:v>17</x:v>
      </x:c>
      <x:c r="J4178" t="n">
        <x:f>ROUND(F4178*I4178/100,2)</x:f>
        <x:v>27.2</x:v>
      </x:c>
      <x:c r="K4178" t="n">
        <x:v>2</x:v>
      </x:c>
      <x:c r="L4178" t="n">
        <x:f>ROUND(F4178*K4178/100,2)</x:f>
        <x:v>3.2</x:v>
      </x:c>
      <x:c r="M4178" t="n">
        <x:v>1.4</x:v>
      </x:c>
      <x:c r="N4178" t="n">
        <x:f>ROUND(F4178*M4178/100,2)</x:f>
        <x:v>2.24</x:v>
      </x:c>
      <x:c r="O4178" t="str">
        <x:v>生重</x:v>
      </x:c>
    </x:row>
    <x:row r="4179" ht="23" customHeight="1">
      <x:c r="A4179" t="n">
        <x:v>697</x:v>
      </x:c>
      <x:c r="B4179" t="n">
        <x:v>349</x:v>
      </x:c>
      <x:c r="C4179" t="str">
        <x:v>午餐</x:v>
      </x:c>
      <x:c r="D4179" t="str"/>
      <x:c r="E4179" t="str"/>
      <x:c r="F4179" t="n">
        <x:v>0</x:v>
      </x:c>
      <x:c r="G4179" t="n">
        <x:v>0</x:v>
      </x:c>
      <x:c r="H4179" t="n">
        <x:f>ROUND(F4179*G4179/100,2)</x:f>
        <x:v>0</x:v>
      </x:c>
      <x:c r="I4179" t="n">
        <x:v>0</x:v>
      </x:c>
      <x:c r="J4179" t="n">
        <x:f>ROUND(F4179*I4179/100,2)</x:f>
        <x:v>0</x:v>
      </x:c>
      <x:c r="K4179" t="n">
        <x:v>0</x:v>
      </x:c>
      <x:c r="L4179" t="n">
        <x:f>ROUND(F4179*K4179/100,2)</x:f>
        <x:v>0</x:v>
      </x:c>
      <x:c r="M4179" t="n">
        <x:v>0</x:v>
      </x:c>
      <x:c r="N4179" t="n">
        <x:f>ROUND(F4179*M4179/100,2)</x:f>
        <x:v>0</x:v>
      </x:c>
      <x:c r="O4179" t="str"/>
    </x:row>
    <x:row r="4180" ht="23" customHeight="1">
      <x:c r="A4180" t="n">
        <x:v>697</x:v>
      </x:c>
      <x:c r="B4180" t="n">
        <x:v>349</x:v>
      </x:c>
      <x:c r="C4180" t="str">
        <x:v>午餐</x:v>
      </x:c>
      <x:c r="D4180" t="str">
        <x:v>蔬菜</x:v>
      </x:c>
      <x:c r="E4180" t="str">
        <x:v>菜心</x:v>
      </x:c>
      <x:c r="F4180" t="n">
        <x:v>140</x:v>
      </x:c>
      <x:c r="G4180" t="n">
        <x:v>20</x:v>
      </x:c>
      <x:c r="H4180" t="n">
        <x:f>ROUND(F4180*G4180/100,2)</x:f>
        <x:v>28</x:v>
      </x:c>
      <x:c r="I4180" t="n">
        <x:v>2</x:v>
      </x:c>
      <x:c r="J4180" t="n">
        <x:f>ROUND(F4180*I4180/100,2)</x:f>
        <x:v>2.8</x:v>
      </x:c>
      <x:c r="K4180" t="n">
        <x:v>3.5</x:v>
      </x:c>
      <x:c r="L4180" t="n">
        <x:f>ROUND(F4180*K4180/100,2)</x:f>
        <x:v>4.9</x:v>
      </x:c>
      <x:c r="M4180" t="n">
        <x:v>0.3</x:v>
      </x:c>
      <x:c r="N4180" t="n">
        <x:f>ROUND(F4180*M4180/100,2)</x:f>
        <x:v>0.42</x:v>
      </x:c>
      <x:c r="O4180" t="str">
        <x:v>生重</x:v>
      </x:c>
    </x:row>
    <x:row r="4181" ht="23" customHeight="1">
      <x:c r="A4181" t="n">
        <x:v>697</x:v>
      </x:c>
      <x:c r="B4181" t="n">
        <x:v>349</x:v>
      </x:c>
      <x:c r="C4181" t="str">
        <x:v>午餐</x:v>
      </x:c>
      <x:c r="D4181" t="str">
        <x:v>菌菇</x:v>
      </x:c>
      <x:c r="E4181" t="str">
        <x:v>香菇</x:v>
      </x:c>
      <x:c r="F4181" t="n">
        <x:v>110</x:v>
      </x:c>
      <x:c r="G4181" t="n">
        <x:v>34</x:v>
      </x:c>
      <x:c r="H4181" t="n">
        <x:f>ROUND(F4181*G4181/100,2)</x:f>
        <x:v>37.4</x:v>
      </x:c>
      <x:c r="I4181" t="n">
        <x:v>2.2</x:v>
      </x:c>
      <x:c r="J4181" t="n">
        <x:f>ROUND(F4181*I4181/100,2)</x:f>
        <x:v>2.42</x:v>
      </x:c>
      <x:c r="K4181" t="n">
        <x:v>6.8</x:v>
      </x:c>
      <x:c r="L4181" t="n">
        <x:f>ROUND(F4181*K4181/100,2)</x:f>
        <x:v>7.48</x:v>
      </x:c>
      <x:c r="M4181" t="n">
        <x:v>0.5</x:v>
      </x:c>
      <x:c r="N4181" t="n">
        <x:f>ROUND(F4181*M4181/100,2)</x:f>
        <x:v>0.55</x:v>
      </x:c>
      <x:c r="O4181" t="str">
        <x:v>生重</x:v>
      </x:c>
    </x:row>
    <x:row r="4182" ht="23" customHeight="1">
      <x:c r="A4182" t="n">
        <x:v>697</x:v>
      </x:c>
      <x:c r="B4182" t="n">
        <x:v>349</x:v>
      </x:c>
      <x:c r="C4182" t="str">
        <x:v>午餐</x:v>
      </x:c>
      <x:c r="D4182" t="str">
        <x:v>主食</x:v>
      </x:c>
      <x:c r="E4182" t="str">
        <x:v>土豆</x:v>
      </x:c>
      <x:c r="F4182" t="n">
        <x:v>165</x:v>
      </x:c>
      <x:c r="G4182" t="n">
        <x:v>78</x:v>
      </x:c>
      <x:c r="H4182" t="n">
        <x:f>ROUND(F4182*G4182/100,2)</x:f>
        <x:v>128.7</x:v>
      </x:c>
      <x:c r="I4182" t="n">
        <x:v>2</x:v>
      </x:c>
      <x:c r="J4182" t="n">
        <x:f>ROUND(F4182*I4182/100,2)</x:f>
        <x:v>3.3</x:v>
      </x:c>
      <x:c r="K4182" t="n">
        <x:v>17.2</x:v>
      </x:c>
      <x:c r="L4182" t="n">
        <x:f>ROUND(F4182*K4182/100,2)</x:f>
        <x:v>28.38</x:v>
      </x:c>
      <x:c r="M4182" t="n">
        <x:v>0.1</x:v>
      </x:c>
      <x:c r="N4182" t="n">
        <x:f>ROUND(F4182*M4182/100,2)</x:f>
        <x:v>0.17</x:v>
      </x:c>
      <x:c r="O4182" t="str">
        <x:v>蒸熟净重</x:v>
      </x:c>
    </x:row>
    <x:row r="4183" ht="23" customHeight="1">
      <x:c r="A4183" t="n">
        <x:v>697</x:v>
      </x:c>
      <x:c r="B4183" t="n">
        <x:v>349</x:v>
      </x:c>
      <x:c r="C4183" t="str">
        <x:v>午餐</x:v>
      </x:c>
      <x:c r="D4183" t="str">
        <x:v>油脂</x:v>
      </x:c>
      <x:c r="E4183" t="str">
        <x:v>烹调油</x:v>
      </x:c>
      <x:c r="F4183" t="n">
        <x:v>6</x:v>
      </x:c>
      <x:c r="G4183" t="n">
        <x:v>900</x:v>
      </x:c>
      <x:c r="H4183" t="n">
        <x:f>ROUND(F4183*G4183/100,2)</x:f>
        <x:v>54</x:v>
      </x:c>
      <x:c r="I4183" t="n">
        <x:v>0</x:v>
      </x:c>
      <x:c r="J4183" t="n">
        <x:f>ROUND(F4183*I4183/100,2)</x:f>
        <x:v>0</x:v>
      </x:c>
      <x:c r="K4183" t="n">
        <x:v>0</x:v>
      </x:c>
      <x:c r="L4183" t="n">
        <x:f>ROUND(F4183*K4183/100,2)</x:f>
        <x:v>0</x:v>
      </x:c>
      <x:c r="M4183" t="n">
        <x:v>100</x:v>
      </x:c>
      <x:c r="N4183" t="n">
        <x:f>ROUND(F4183*M4183/100,2)</x:f>
        <x:v>6</x:v>
      </x:c>
      <x:c r="O4183" t="str">
        <x:v>实际用油重</x:v>
      </x:c>
    </x:row>
    <x:row r="4184" ht="23" customHeight="1">
      <x:c r="A4184" t="n">
        <x:v>698</x:v>
      </x:c>
      <x:c r="B4184" t="n">
        <x:v>349</x:v>
      </x:c>
      <x:c r="C4184" t="str">
        <x:v>晚餐</x:v>
      </x:c>
      <x:c r="D4184" t="str">
        <x:v>鱼类</x:v>
      </x:c>
      <x:c r="E4184" t="str">
        <x:v>鲈鱼</x:v>
      </x:c>
      <x:c r="F4184" t="n">
        <x:v>215</x:v>
      </x:c>
      <x:c r="G4184" t="n">
        <x:v>105</x:v>
      </x:c>
      <x:c r="H4184" t="n">
        <x:f>ROUND(F4184*G4184/100,2)</x:f>
        <x:v>225.75</x:v>
      </x:c>
      <x:c r="I4184" t="n">
        <x:v>19</x:v>
      </x:c>
      <x:c r="J4184" t="n">
        <x:f>ROUND(F4184*I4184/100,2)</x:f>
        <x:v>40.85</x:v>
      </x:c>
      <x:c r="K4184" t="n">
        <x:v>0</x:v>
      </x:c>
      <x:c r="L4184" t="n">
        <x:f>ROUND(F4184*K4184/100,2)</x:f>
        <x:v>0</x:v>
      </x:c>
      <x:c r="M4184" t="n">
        <x:v>3</x:v>
      </x:c>
      <x:c r="N4184" t="n">
        <x:f>ROUND(F4184*M4184/100,2)</x:f>
        <x:v>6.45</x:v>
      </x:c>
      <x:c r="O4184" t="str">
        <x:v>净鱼肉生重</x:v>
      </x:c>
    </x:row>
    <x:row r="4185" ht="23" customHeight="1">
      <x:c r="A4185" t="n">
        <x:v>698</x:v>
      </x:c>
      <x:c r="B4185" t="n">
        <x:v>349</x:v>
      </x:c>
      <x:c r="C4185" t="str">
        <x:v>晚餐</x:v>
      </x:c>
      <x:c r="D4185" t="str"/>
      <x:c r="E4185" t="str"/>
      <x:c r="F4185" t="n">
        <x:v>0</x:v>
      </x:c>
      <x:c r="G4185" t="n">
        <x:v>0</x:v>
      </x:c>
      <x:c r="H4185" t="n">
        <x:f>ROUND(F4185*G4185/100,2)</x:f>
        <x:v>0</x:v>
      </x:c>
      <x:c r="I4185" t="n">
        <x:v>0</x:v>
      </x:c>
      <x:c r="J4185" t="n">
        <x:f>ROUND(F4185*I4185/100,2)</x:f>
        <x:v>0</x:v>
      </x:c>
      <x:c r="K4185" t="n">
        <x:v>0</x:v>
      </x:c>
      <x:c r="L4185" t="n">
        <x:f>ROUND(F4185*K4185/100,2)</x:f>
        <x:v>0</x:v>
      </x:c>
      <x:c r="M4185" t="n">
        <x:v>0</x:v>
      </x:c>
      <x:c r="N4185" t="n">
        <x:f>ROUND(F4185*M4185/100,2)</x:f>
        <x:v>0</x:v>
      </x:c>
      <x:c r="O4185" t="str"/>
    </x:row>
    <x:row r="4186" ht="23" customHeight="1">
      <x:c r="A4186" t="n">
        <x:v>698</x:v>
      </x:c>
      <x:c r="B4186" t="n">
        <x:v>349</x:v>
      </x:c>
      <x:c r="C4186" t="str">
        <x:v>晚餐</x:v>
      </x:c>
      <x:c r="D4186" t="str">
        <x:v>蔬菜</x:v>
      </x:c>
      <x:c r="E4186" t="str">
        <x:v>菠菜</x:v>
      </x:c>
      <x:c r="F4186" t="n">
        <x:v>160</x:v>
      </x:c>
      <x:c r="G4186" t="n">
        <x:v>23</x:v>
      </x:c>
      <x:c r="H4186" t="n">
        <x:f>ROUND(F4186*G4186/100,2)</x:f>
        <x:v>36.8</x:v>
      </x:c>
      <x:c r="I4186" t="n">
        <x:v>2.9</x:v>
      </x:c>
      <x:c r="J4186" t="n">
        <x:f>ROUND(F4186*I4186/100,2)</x:f>
        <x:v>4.64</x:v>
      </x:c>
      <x:c r="K4186" t="n">
        <x:v>3.6</x:v>
      </x:c>
      <x:c r="L4186" t="n">
        <x:f>ROUND(F4186*K4186/100,2)</x:f>
        <x:v>5.76</x:v>
      </x:c>
      <x:c r="M4186" t="n">
        <x:v>0.4</x:v>
      </x:c>
      <x:c r="N4186" t="n">
        <x:f>ROUND(F4186*M4186/100,2)</x:f>
        <x:v>0.64</x:v>
      </x:c>
      <x:c r="O4186" t="str">
        <x:v>生重</x:v>
      </x:c>
    </x:row>
    <x:row r="4187" ht="23" customHeight="1">
      <x:c r="A4187" t="n">
        <x:v>698</x:v>
      </x:c>
      <x:c r="B4187" t="n">
        <x:v>349</x:v>
      </x:c>
      <x:c r="C4187" t="str">
        <x:v>晚餐</x:v>
      </x:c>
      <x:c r="D4187" t="str">
        <x:v>蔬菜</x:v>
      </x:c>
      <x:c r="E4187" t="str">
        <x:v>西兰花</x:v>
      </x:c>
      <x:c r="F4187" t="n">
        <x:v>110</x:v>
      </x:c>
      <x:c r="G4187" t="n">
        <x:v>34</x:v>
      </x:c>
      <x:c r="H4187" t="n">
        <x:f>ROUND(F4187*G4187/100,2)</x:f>
        <x:v>37.4</x:v>
      </x:c>
      <x:c r="I4187" t="n">
        <x:v>2.8</x:v>
      </x:c>
      <x:c r="J4187" t="n">
        <x:f>ROUND(F4187*I4187/100,2)</x:f>
        <x:v>3.08</x:v>
      </x:c>
      <x:c r="K4187" t="n">
        <x:v>7</x:v>
      </x:c>
      <x:c r="L4187" t="n">
        <x:f>ROUND(F4187*K4187/100,2)</x:f>
        <x:v>7.7</x:v>
      </x:c>
      <x:c r="M4187" t="n">
        <x:v>0.4</x:v>
      </x:c>
      <x:c r="N4187" t="n">
        <x:f>ROUND(F4187*M4187/100,2)</x:f>
        <x:v>0.44</x:v>
      </x:c>
      <x:c r="O4187" t="str">
        <x:v>生重</x:v>
      </x:c>
    </x:row>
    <x:row r="4188" ht="23" customHeight="1">
      <x:c r="A4188" t="n">
        <x:v>698</x:v>
      </x:c>
      <x:c r="B4188" t="n">
        <x:v>349</x:v>
      </x:c>
      <x:c r="C4188" t="str">
        <x:v>晚餐</x:v>
      </x:c>
      <x:c r="D4188" t="str">
        <x:v>主食</x:v>
      </x:c>
      <x:c r="E4188" t="str">
        <x:v>荞麦面</x:v>
      </x:c>
      <x:c r="F4188" t="n">
        <x:v>135</x:v>
      </x:c>
      <x:c r="G4188" t="n">
        <x:v>105</x:v>
      </x:c>
      <x:c r="H4188" t="n">
        <x:f>ROUND(F4188*G4188/100,2)</x:f>
        <x:v>141.75</x:v>
      </x:c>
      <x:c r="I4188" t="n">
        <x:v>4</x:v>
      </x:c>
      <x:c r="J4188" t="n">
        <x:f>ROUND(F4188*I4188/100,2)</x:f>
        <x:v>5.4</x:v>
      </x:c>
      <x:c r="K4188" t="n">
        <x:v>21</x:v>
      </x:c>
      <x:c r="L4188" t="n">
        <x:f>ROUND(F4188*K4188/100,2)</x:f>
        <x:v>28.35</x:v>
      </x:c>
      <x:c r="M4188" t="n">
        <x:v>0.7</x:v>
      </x:c>
      <x:c r="N4188" t="n">
        <x:f>ROUND(F4188*M4188/100,2)</x:f>
        <x:v>0.95</x:v>
      </x:c>
      <x:c r="O4188" t="str">
        <x:v>煮熟沥水重</x:v>
      </x:c>
    </x:row>
    <x:row r="4189" ht="23" customHeight="1">
      <x:c r="A4189" t="n">
        <x:v>698</x:v>
      </x:c>
      <x:c r="B4189" t="n">
        <x:v>349</x:v>
      </x:c>
      <x:c r="C4189" t="str">
        <x:v>晚餐</x:v>
      </x:c>
      <x:c r="D4189" t="str">
        <x:v>油脂</x:v>
      </x:c>
      <x:c r="E4189" t="str">
        <x:v>烹调油</x:v>
      </x:c>
      <x:c r="F4189" t="n">
        <x:v>4</x:v>
      </x:c>
      <x:c r="G4189" t="n">
        <x:v>900</x:v>
      </x:c>
      <x:c r="H4189" t="n">
        <x:f>ROUND(F4189*G4189/100,2)</x:f>
        <x:v>36</x:v>
      </x:c>
      <x:c r="I4189" t="n">
        <x:v>0</x:v>
      </x:c>
      <x:c r="J4189" t="n">
        <x:f>ROUND(F4189*I4189/100,2)</x:f>
        <x:v>0</x:v>
      </x:c>
      <x:c r="K4189" t="n">
        <x:v>0</x:v>
      </x:c>
      <x:c r="L4189" t="n">
        <x:f>ROUND(F4189*K4189/100,2)</x:f>
        <x:v>0</x:v>
      </x:c>
      <x:c r="M4189" t="n">
        <x:v>100</x:v>
      </x:c>
      <x:c r="N4189" t="n">
        <x:f>ROUND(F4189*M4189/100,2)</x:f>
        <x:v>4</x:v>
      </x:c>
      <x:c r="O4189" t="str">
        <x:v>实际用油重</x:v>
      </x:c>
    </x:row>
    <x:row r="4190" ht="23" customHeight="1">
      <x:c r="A4190" t="n">
        <x:v>699</x:v>
      </x:c>
      <x:c r="B4190" t="n">
        <x:v>350</x:v>
      </x:c>
      <x:c r="C4190" t="str">
        <x:v>午餐</x:v>
      </x:c>
      <x:c r="D4190" t="str">
        <x:v>禽肉</x:v>
      </x:c>
      <x:c r="E4190" t="str">
        <x:v>去皮鸡腿肉</x:v>
      </x:c>
      <x:c r="F4190" t="n">
        <x:v>185</x:v>
      </x:c>
      <x:c r="G4190" t="n">
        <x:v>125</x:v>
      </x:c>
      <x:c r="H4190" t="n">
        <x:f>ROUND(F4190*G4190/100,2)</x:f>
        <x:v>231.25</x:v>
      </x:c>
      <x:c r="I4190" t="n">
        <x:v>20</x:v>
      </x:c>
      <x:c r="J4190" t="n">
        <x:f>ROUND(F4190*I4190/100,2)</x:f>
        <x:v>37</x:v>
      </x:c>
      <x:c r="K4190" t="n">
        <x:v>0</x:v>
      </x:c>
      <x:c r="L4190" t="n">
        <x:f>ROUND(F4190*K4190/100,2)</x:f>
        <x:v>0</x:v>
      </x:c>
      <x:c r="M4190" t="n">
        <x:v>5</x:v>
      </x:c>
      <x:c r="N4190" t="n">
        <x:f>ROUND(F4190*M4190/100,2)</x:f>
        <x:v>9.25</x:v>
      </x:c>
      <x:c r="O4190" t="str">
        <x:v>生重</x:v>
      </x:c>
    </x:row>
    <x:row r="4191" ht="23" customHeight="1">
      <x:c r="A4191" t="n">
        <x:v>699</x:v>
      </x:c>
      <x:c r="B4191" t="n">
        <x:v>350</x:v>
      </x:c>
      <x:c r="C4191" t="str">
        <x:v>午餐</x:v>
      </x:c>
      <x:c r="D4191" t="str"/>
      <x:c r="E4191" t="str"/>
      <x:c r="F4191" t="n">
        <x:v>0</x:v>
      </x:c>
      <x:c r="G4191" t="n">
        <x:v>0</x:v>
      </x:c>
      <x:c r="H4191" t="n">
        <x:f>ROUND(F4191*G4191/100,2)</x:f>
        <x:v>0</x:v>
      </x:c>
      <x:c r="I4191" t="n">
        <x:v>0</x:v>
      </x:c>
      <x:c r="J4191" t="n">
        <x:f>ROUND(F4191*I4191/100,2)</x:f>
        <x:v>0</x:v>
      </x:c>
      <x:c r="K4191" t="n">
        <x:v>0</x:v>
      </x:c>
      <x:c r="L4191" t="n">
        <x:f>ROUND(F4191*K4191/100,2)</x:f>
        <x:v>0</x:v>
      </x:c>
      <x:c r="M4191" t="n">
        <x:v>0</x:v>
      </x:c>
      <x:c r="N4191" t="n">
        <x:f>ROUND(F4191*M4191/100,2)</x:f>
        <x:v>0</x:v>
      </x:c>
      <x:c r="O4191" t="str"/>
    </x:row>
    <x:row r="4192" ht="23" customHeight="1">
      <x:c r="A4192" t="n">
        <x:v>699</x:v>
      </x:c>
      <x:c r="B4192" t="n">
        <x:v>350</x:v>
      </x:c>
      <x:c r="C4192" t="str">
        <x:v>午餐</x:v>
      </x:c>
      <x:c r="D4192" t="str">
        <x:v>蔬菜</x:v>
      </x:c>
      <x:c r="E4192" t="str">
        <x:v>秋葵</x:v>
      </x:c>
      <x:c r="F4192" t="n">
        <x:v>140</x:v>
      </x:c>
      <x:c r="G4192" t="n">
        <x:v>33</x:v>
      </x:c>
      <x:c r="H4192" t="n">
        <x:f>ROUND(F4192*G4192/100,2)</x:f>
        <x:v>46.2</x:v>
      </x:c>
      <x:c r="I4192" t="n">
        <x:v>1.9</x:v>
      </x:c>
      <x:c r="J4192" t="n">
        <x:f>ROUND(F4192*I4192/100,2)</x:f>
        <x:v>2.66</x:v>
      </x:c>
      <x:c r="K4192" t="n">
        <x:v>7.5</x:v>
      </x:c>
      <x:c r="L4192" t="n">
        <x:f>ROUND(F4192*K4192/100,2)</x:f>
        <x:v>10.5</x:v>
      </x:c>
      <x:c r="M4192" t="n">
        <x:v>0.2</x:v>
      </x:c>
      <x:c r="N4192" t="n">
        <x:f>ROUND(F4192*M4192/100,2)</x:f>
        <x:v>0.28</x:v>
      </x:c>
      <x:c r="O4192" t="str">
        <x:v>生重</x:v>
      </x:c>
    </x:row>
    <x:row r="4193" ht="23" customHeight="1">
      <x:c r="A4193" t="n">
        <x:v>699</x:v>
      </x:c>
      <x:c r="B4193" t="n">
        <x:v>350</x:v>
      </x:c>
      <x:c r="C4193" t="str">
        <x:v>午餐</x:v>
      </x:c>
      <x:c r="D4193" t="str">
        <x:v>蔬菜</x:v>
      </x:c>
      <x:c r="E4193" t="str">
        <x:v>丝瓜</x:v>
      </x:c>
      <x:c r="F4193" t="n">
        <x:v>125</x:v>
      </x:c>
      <x:c r="G4193" t="n">
        <x:v>20</x:v>
      </x:c>
      <x:c r="H4193" t="n">
        <x:f>ROUND(F4193*G4193/100,2)</x:f>
        <x:v>25</x:v>
      </x:c>
      <x:c r="I4193" t="n">
        <x:v>1</x:v>
      </x:c>
      <x:c r="J4193" t="n">
        <x:f>ROUND(F4193*I4193/100,2)</x:f>
        <x:v>1.25</x:v>
      </x:c>
      <x:c r="K4193" t="n">
        <x:v>4</x:v>
      </x:c>
      <x:c r="L4193" t="n">
        <x:f>ROUND(F4193*K4193/100,2)</x:f>
        <x:v>5</x:v>
      </x:c>
      <x:c r="M4193" t="n">
        <x:v>0.2</x:v>
      </x:c>
      <x:c r="N4193" t="n">
        <x:f>ROUND(F4193*M4193/100,2)</x:f>
        <x:v>0.25</x:v>
      </x:c>
      <x:c r="O4193" t="str">
        <x:v>生重</x:v>
      </x:c>
    </x:row>
    <x:row r="4194" ht="23" customHeight="1">
      <x:c r="A4194" t="n">
        <x:v>699</x:v>
      </x:c>
      <x:c r="B4194" t="n">
        <x:v>350</x:v>
      </x:c>
      <x:c r="C4194" t="str">
        <x:v>午餐</x:v>
      </x:c>
      <x:c r="D4194" t="str">
        <x:v>主食</x:v>
      </x:c>
      <x:c r="E4194" t="str">
        <x:v>红薯</x:v>
      </x:c>
      <x:c r="F4194" t="n">
        <x:v>110</x:v>
      </x:c>
      <x:c r="G4194" t="n">
        <x:v>88</x:v>
      </x:c>
      <x:c r="H4194" t="n">
        <x:f>ROUND(F4194*G4194/100,2)</x:f>
        <x:v>96.8</x:v>
      </x:c>
      <x:c r="I4194" t="n">
        <x:v>1.6</x:v>
      </x:c>
      <x:c r="J4194" t="n">
        <x:f>ROUND(F4194*I4194/100,2)</x:f>
        <x:v>1.76</x:v>
      </x:c>
      <x:c r="K4194" t="n">
        <x:v>20.5</x:v>
      </x:c>
      <x:c r="L4194" t="n">
        <x:f>ROUND(F4194*K4194/100,2)</x:f>
        <x:v>22.55</x:v>
      </x:c>
      <x:c r="M4194" t="n">
        <x:v>0.1</x:v>
      </x:c>
      <x:c r="N4194" t="n">
        <x:f>ROUND(F4194*M4194/100,2)</x:f>
        <x:v>0.11</x:v>
      </x:c>
      <x:c r="O4194" t="str">
        <x:v>蒸熟净重</x:v>
      </x:c>
    </x:row>
    <x:row r="4195" ht="23" customHeight="1">
      <x:c r="A4195" t="n">
        <x:v>699</x:v>
      </x:c>
      <x:c r="B4195" t="n">
        <x:v>350</x:v>
      </x:c>
      <x:c r="C4195" t="str">
        <x:v>午餐</x:v>
      </x:c>
      <x:c r="D4195" t="str">
        <x:v>油脂</x:v>
      </x:c>
      <x:c r="E4195" t="str">
        <x:v>烹调油</x:v>
      </x:c>
      <x:c r="F4195" t="n">
        <x:v>3</x:v>
      </x:c>
      <x:c r="G4195" t="n">
        <x:v>900</x:v>
      </x:c>
      <x:c r="H4195" t="n">
        <x:f>ROUND(F4195*G4195/100,2)</x:f>
        <x:v>27</x:v>
      </x:c>
      <x:c r="I4195" t="n">
        <x:v>0</x:v>
      </x:c>
      <x:c r="J4195" t="n">
        <x:f>ROUND(F4195*I4195/100,2)</x:f>
        <x:v>0</x:v>
      </x:c>
      <x:c r="K4195" t="n">
        <x:v>0</x:v>
      </x:c>
      <x:c r="L4195" t="n">
        <x:f>ROUND(F4195*K4195/100,2)</x:f>
        <x:v>0</x:v>
      </x:c>
      <x:c r="M4195" t="n">
        <x:v>100</x:v>
      </x:c>
      <x:c r="N4195" t="n">
        <x:f>ROUND(F4195*M4195/100,2)</x:f>
        <x:v>3</x:v>
      </x:c>
      <x:c r="O4195" t="str">
        <x:v>实际用油重</x:v>
      </x:c>
    </x:row>
    <x:row r="4196" ht="23" customHeight="1">
      <x:c r="A4196" t="n">
        <x:v>700</x:v>
      </x:c>
      <x:c r="B4196" t="n">
        <x:v>350</x:v>
      </x:c>
      <x:c r="C4196" t="str">
        <x:v>晚餐</x:v>
      </x:c>
      <x:c r="D4196" t="str">
        <x:v>牛肉</x:v>
      </x:c>
      <x:c r="E4196" t="str">
        <x:v>牛腱子</x:v>
      </x:c>
      <x:c r="F4196" t="n">
        <x:v>160</x:v>
      </x:c>
      <x:c r="G4196" t="n">
        <x:v>140</x:v>
      </x:c>
      <x:c r="H4196" t="n">
        <x:f>ROUND(F4196*G4196/100,2)</x:f>
        <x:v>224</x:v>
      </x:c>
      <x:c r="I4196" t="n">
        <x:v>21</x:v>
      </x:c>
      <x:c r="J4196" t="n">
        <x:f>ROUND(F4196*I4196/100,2)</x:f>
        <x:v>33.6</x:v>
      </x:c>
      <x:c r="K4196" t="n">
        <x:v>0</x:v>
      </x:c>
      <x:c r="L4196" t="n">
        <x:f>ROUND(F4196*K4196/100,2)</x:f>
        <x:v>0</x:v>
      </x:c>
      <x:c r="M4196" t="n">
        <x:v>6</x:v>
      </x:c>
      <x:c r="N4196" t="n">
        <x:f>ROUND(F4196*M4196/100,2)</x:f>
        <x:v>9.6</x:v>
      </x:c>
      <x:c r="O4196" t="str">
        <x:v>生重</x:v>
      </x:c>
    </x:row>
    <x:row r="4197" ht="23" customHeight="1">
      <x:c r="A4197" t="n">
        <x:v>700</x:v>
      </x:c>
      <x:c r="B4197" t="n">
        <x:v>350</x:v>
      </x:c>
      <x:c r="C4197" t="str">
        <x:v>晚餐</x:v>
      </x:c>
      <x:c r="D4197" t="str"/>
      <x:c r="E4197" t="str"/>
      <x:c r="F4197" t="n">
        <x:v>0</x:v>
      </x:c>
      <x:c r="G4197" t="n">
        <x:v>0</x:v>
      </x:c>
      <x:c r="H4197" t="n">
        <x:f>ROUND(F4197*G4197/100,2)</x:f>
        <x:v>0</x:v>
      </x:c>
      <x:c r="I4197" t="n">
        <x:v>0</x:v>
      </x:c>
      <x:c r="J4197" t="n">
        <x:f>ROUND(F4197*I4197/100,2)</x:f>
        <x:v>0</x:v>
      </x:c>
      <x:c r="K4197" t="n">
        <x:v>0</x:v>
      </x:c>
      <x:c r="L4197" t="n">
        <x:f>ROUND(F4197*K4197/100,2)</x:f>
        <x:v>0</x:v>
      </x:c>
      <x:c r="M4197" t="n">
        <x:v>0</x:v>
      </x:c>
      <x:c r="N4197" t="n">
        <x:f>ROUND(F4197*M4197/100,2)</x:f>
        <x:v>0</x:v>
      </x:c>
      <x:c r="O4197" t="str"/>
    </x:row>
    <x:row r="4198" ht="23" customHeight="1">
      <x:c r="A4198" t="n">
        <x:v>700</x:v>
      </x:c>
      <x:c r="B4198" t="n">
        <x:v>350</x:v>
      </x:c>
      <x:c r="C4198" t="str">
        <x:v>晚餐</x:v>
      </x:c>
      <x:c r="D4198" t="str">
        <x:v>蔬菜</x:v>
      </x:c>
      <x:c r="E4198" t="str">
        <x:v>娃娃菜</x:v>
      </x:c>
      <x:c r="F4198" t="n">
        <x:v>175</x:v>
      </x:c>
      <x:c r="G4198" t="n">
        <x:v>17</x:v>
      </x:c>
      <x:c r="H4198" t="n">
        <x:f>ROUND(F4198*G4198/100,2)</x:f>
        <x:v>29.75</x:v>
      </x:c>
      <x:c r="I4198" t="n">
        <x:v>1.3</x:v>
      </x:c>
      <x:c r="J4198" t="n">
        <x:f>ROUND(F4198*I4198/100,2)</x:f>
        <x:v>2.28</x:v>
      </x:c>
      <x:c r="K4198" t="n">
        <x:v>3</x:v>
      </x:c>
      <x:c r="L4198" t="n">
        <x:f>ROUND(F4198*K4198/100,2)</x:f>
        <x:v>5.25</x:v>
      </x:c>
      <x:c r="M4198" t="n">
        <x:v>0.2</x:v>
      </x:c>
      <x:c r="N4198" t="n">
        <x:f>ROUND(F4198*M4198/100,2)</x:f>
        <x:v>0.35</x:v>
      </x:c>
      <x:c r="O4198" t="str">
        <x:v>生重</x:v>
      </x:c>
    </x:row>
    <x:row r="4199" ht="23" customHeight="1">
      <x:c r="A4199" t="n">
        <x:v>700</x:v>
      </x:c>
      <x:c r="B4199" t="n">
        <x:v>350</x:v>
      </x:c>
      <x:c r="C4199" t="str">
        <x:v>晚餐</x:v>
      </x:c>
      <x:c r="D4199" t="str">
        <x:v>蔬菜</x:v>
      </x:c>
      <x:c r="E4199" t="str">
        <x:v>玉米笋</x:v>
      </x:c>
      <x:c r="F4199" t="n">
        <x:v>140</x:v>
      </x:c>
      <x:c r="G4199" t="n">
        <x:v>26</x:v>
      </x:c>
      <x:c r="H4199" t="n">
        <x:f>ROUND(F4199*G4199/100,2)</x:f>
        <x:v>36.4</x:v>
      </x:c>
      <x:c r="I4199" t="n">
        <x:v>2</x:v>
      </x:c>
      <x:c r="J4199" t="n">
        <x:f>ROUND(F4199*I4199/100,2)</x:f>
        <x:v>2.8</x:v>
      </x:c>
      <x:c r="K4199" t="n">
        <x:v>4.9</x:v>
      </x:c>
      <x:c r="L4199" t="n">
        <x:f>ROUND(F4199*K4199/100,2)</x:f>
        <x:v>6.86</x:v>
      </x:c>
      <x:c r="M4199" t="n">
        <x:v>0.1</x:v>
      </x:c>
      <x:c r="N4199" t="n">
        <x:f>ROUND(F4199*M4199/100,2)</x:f>
        <x:v>0.14</x:v>
      </x:c>
      <x:c r="O4199" t="str">
        <x:v>生重</x:v>
      </x:c>
    </x:row>
    <x:row r="4200" ht="23" customHeight="1">
      <x:c r="A4200" t="n">
        <x:v>700</x:v>
      </x:c>
      <x:c r="B4200" t="n">
        <x:v>350</x:v>
      </x:c>
      <x:c r="C4200" t="str">
        <x:v>晚餐</x:v>
      </x:c>
      <x:c r="D4200" t="str">
        <x:v>主食</x:v>
      </x:c>
      <x:c r="E4200" t="str">
        <x:v>红薯</x:v>
      </x:c>
      <x:c r="F4200" t="n">
        <x:v>135</x:v>
      </x:c>
      <x:c r="G4200" t="n">
        <x:v>88</x:v>
      </x:c>
      <x:c r="H4200" t="n">
        <x:f>ROUND(F4200*G4200/100,2)</x:f>
        <x:v>118.8</x:v>
      </x:c>
      <x:c r="I4200" t="n">
        <x:v>1.6</x:v>
      </x:c>
      <x:c r="J4200" t="n">
        <x:f>ROUND(F4200*I4200/100,2)</x:f>
        <x:v>2.16</x:v>
      </x:c>
      <x:c r="K4200" t="n">
        <x:v>20.5</x:v>
      </x:c>
      <x:c r="L4200" t="n">
        <x:f>ROUND(F4200*K4200/100,2)</x:f>
        <x:v>27.68</x:v>
      </x:c>
      <x:c r="M4200" t="n">
        <x:v>0.1</x:v>
      </x:c>
      <x:c r="N4200" t="n">
        <x:f>ROUND(F4200*M4200/100,2)</x:f>
        <x:v>0.14</x:v>
      </x:c>
      <x:c r="O4200" t="str">
        <x:v>蒸熟净重</x:v>
      </x:c>
    </x:row>
    <x:row r="4201" ht="23" customHeight="1">
      <x:c r="A4201" t="n">
        <x:v>700</x:v>
      </x:c>
      <x:c r="B4201" t="n">
        <x:v>350</x:v>
      </x:c>
      <x:c r="C4201" t="str">
        <x:v>晚餐</x:v>
      </x:c>
      <x:c r="D4201" t="str">
        <x:v>油脂</x:v>
      </x:c>
      <x:c r="E4201" t="str">
        <x:v>烹调油</x:v>
      </x:c>
      <x:c r="F4201" t="n">
        <x:v>5</x:v>
      </x:c>
      <x:c r="G4201" t="n">
        <x:v>900</x:v>
      </x:c>
      <x:c r="H4201" t="n">
        <x:f>ROUND(F4201*G4201/100,2)</x:f>
        <x:v>45</x:v>
      </x:c>
      <x:c r="I4201" t="n">
        <x:v>0</x:v>
      </x:c>
      <x:c r="J4201" t="n">
        <x:f>ROUND(F4201*I4201/100,2)</x:f>
        <x:v>0</x:v>
      </x:c>
      <x:c r="K4201" t="n">
        <x:v>0</x:v>
      </x:c>
      <x:c r="L4201" t="n">
        <x:f>ROUND(F4201*K4201/100,2)</x:f>
        <x:v>0</x:v>
      </x:c>
      <x:c r="M4201" t="n">
        <x:v>100</x:v>
      </x:c>
      <x:c r="N4201" t="n">
        <x:f>ROUND(F4201*M4201/100,2)</x:f>
        <x:v>5</x:v>
      </x:c>
      <x:c r="O4201" t="str">
        <x:v>实际用油重</x:v>
      </x:c>
    </x:row>
    <x:row r="4202" ht="23" customHeight="1">
      <x:c r="A4202" t="n">
        <x:v>701</x:v>
      </x:c>
      <x:c r="B4202" t="n">
        <x:v>351</x:v>
      </x:c>
      <x:c r="C4202" t="str">
        <x:v>午餐</x:v>
      </x:c>
      <x:c r="D4202" t="str">
        <x:v>鱼类</x:v>
      </x:c>
      <x:c r="E4202" t="str">
        <x:v>鳕鱼</x:v>
      </x:c>
      <x:c r="F4202" t="n">
        <x:v>200</x:v>
      </x:c>
      <x:c r="G4202" t="n">
        <x:v>85</x:v>
      </x:c>
      <x:c r="H4202" t="n">
        <x:f>ROUND(F4202*G4202/100,2)</x:f>
        <x:v>170</x:v>
      </x:c>
      <x:c r="I4202" t="n">
        <x:v>18</x:v>
      </x:c>
      <x:c r="J4202" t="n">
        <x:f>ROUND(F4202*I4202/100,2)</x:f>
        <x:v>36</x:v>
      </x:c>
      <x:c r="K4202" t="n">
        <x:v>0</x:v>
      </x:c>
      <x:c r="L4202" t="n">
        <x:f>ROUND(F4202*K4202/100,2)</x:f>
        <x:v>0</x:v>
      </x:c>
      <x:c r="M4202" t="n">
        <x:v>0.8</x:v>
      </x:c>
      <x:c r="N4202" t="n">
        <x:f>ROUND(F4202*M4202/100,2)</x:f>
        <x:v>1.6</x:v>
      </x:c>
      <x:c r="O4202" t="str">
        <x:v>净鱼肉生重</x:v>
      </x:c>
    </x:row>
    <x:row r="4203" ht="23" customHeight="1">
      <x:c r="A4203" t="n">
        <x:v>701</x:v>
      </x:c>
      <x:c r="B4203" t="n">
        <x:v>351</x:v>
      </x:c>
      <x:c r="C4203" t="str">
        <x:v>午餐</x:v>
      </x:c>
      <x:c r="D4203" t="str"/>
      <x:c r="E4203" t="str"/>
      <x:c r="F4203" t="n">
        <x:v>0</x:v>
      </x:c>
      <x:c r="G4203" t="n">
        <x:v>0</x:v>
      </x:c>
      <x:c r="H4203" t="n">
        <x:f>ROUND(F4203*G4203/100,2)</x:f>
        <x:v>0</x:v>
      </x:c>
      <x:c r="I4203" t="n">
        <x:v>0</x:v>
      </x:c>
      <x:c r="J4203" t="n">
        <x:f>ROUND(F4203*I4203/100,2)</x:f>
        <x:v>0</x:v>
      </x:c>
      <x:c r="K4203" t="n">
        <x:v>0</x:v>
      </x:c>
      <x:c r="L4203" t="n">
        <x:f>ROUND(F4203*K4203/100,2)</x:f>
        <x:v>0</x:v>
      </x:c>
      <x:c r="M4203" t="n">
        <x:v>0</x:v>
      </x:c>
      <x:c r="N4203" t="n">
        <x:f>ROUND(F4203*M4203/100,2)</x:f>
        <x:v>0</x:v>
      </x:c>
      <x:c r="O4203" t="str"/>
    </x:row>
    <x:row r="4204" ht="23" customHeight="1">
      <x:c r="A4204" t="n">
        <x:v>701</x:v>
      </x:c>
      <x:c r="B4204" t="n">
        <x:v>351</x:v>
      </x:c>
      <x:c r="C4204" t="str">
        <x:v>午餐</x:v>
      </x:c>
      <x:c r="D4204" t="str">
        <x:v>蔬菜</x:v>
      </x:c>
      <x:c r="E4204" t="str">
        <x:v>荷兰豆</x:v>
      </x:c>
      <x:c r="F4204" t="n">
        <x:v>140</x:v>
      </x:c>
      <x:c r="G4204" t="n">
        <x:v>42</x:v>
      </x:c>
      <x:c r="H4204" t="n">
        <x:f>ROUND(F4204*G4204/100,2)</x:f>
        <x:v>58.8</x:v>
      </x:c>
      <x:c r="I4204" t="n">
        <x:v>2.8</x:v>
      </x:c>
      <x:c r="J4204" t="n">
        <x:f>ROUND(F4204*I4204/100,2)</x:f>
        <x:v>3.92</x:v>
      </x:c>
      <x:c r="K4204" t="n">
        <x:v>7.5</x:v>
      </x:c>
      <x:c r="L4204" t="n">
        <x:f>ROUND(F4204*K4204/100,2)</x:f>
        <x:v>10.5</x:v>
      </x:c>
      <x:c r="M4204" t="n">
        <x:v>0.3</x:v>
      </x:c>
      <x:c r="N4204" t="n">
        <x:f>ROUND(F4204*M4204/100,2)</x:f>
        <x:v>0.42</x:v>
      </x:c>
      <x:c r="O4204" t="str">
        <x:v>生重</x:v>
      </x:c>
    </x:row>
    <x:row r="4205" ht="23" customHeight="1">
      <x:c r="A4205" t="n">
        <x:v>701</x:v>
      </x:c>
      <x:c r="B4205" t="n">
        <x:v>351</x:v>
      </x:c>
      <x:c r="C4205" t="str">
        <x:v>午餐</x:v>
      </x:c>
      <x:c r="D4205" t="str">
        <x:v>菌菇</x:v>
      </x:c>
      <x:c r="E4205" t="str">
        <x:v>口蘑</x:v>
      </x:c>
      <x:c r="F4205" t="n">
        <x:v>125</x:v>
      </x:c>
      <x:c r="G4205" t="n">
        <x:v>22</x:v>
      </x:c>
      <x:c r="H4205" t="n">
        <x:f>ROUND(F4205*G4205/100,2)</x:f>
        <x:v>27.5</x:v>
      </x:c>
      <x:c r="I4205" t="n">
        <x:v>3.1</x:v>
      </x:c>
      <x:c r="J4205" t="n">
        <x:f>ROUND(F4205*I4205/100,2)</x:f>
        <x:v>3.88</x:v>
      </x:c>
      <x:c r="K4205" t="n">
        <x:v>3.3</x:v>
      </x:c>
      <x:c r="L4205" t="n">
        <x:f>ROUND(F4205*K4205/100,2)</x:f>
        <x:v>4.13</x:v>
      </x:c>
      <x:c r="M4205" t="n">
        <x:v>0.3</x:v>
      </x:c>
      <x:c r="N4205" t="n">
        <x:f>ROUND(F4205*M4205/100,2)</x:f>
        <x:v>0.38</x:v>
      </x:c>
      <x:c r="O4205" t="str">
        <x:v>生重</x:v>
      </x:c>
    </x:row>
    <x:row r="4206" ht="23" customHeight="1">
      <x:c r="A4206" t="n">
        <x:v>701</x:v>
      </x:c>
      <x:c r="B4206" t="n">
        <x:v>351</x:v>
      </x:c>
      <x:c r="C4206" t="str">
        <x:v>午餐</x:v>
      </x:c>
      <x:c r="D4206" t="str">
        <x:v>主食</x:v>
      </x:c>
      <x:c r="E4206" t="str">
        <x:v>杂粮饭</x:v>
      </x:c>
      <x:c r="F4206" t="n">
        <x:v>150</x:v>
      </x:c>
      <x:c r="G4206" t="n">
        <x:v>115</x:v>
      </x:c>
      <x:c r="H4206" t="n">
        <x:f>ROUND(F4206*G4206/100,2)</x:f>
        <x:v>172.5</x:v>
      </x:c>
      <x:c r="I4206" t="n">
        <x:v>3.1</x:v>
      </x:c>
      <x:c r="J4206" t="n">
        <x:f>ROUND(F4206*I4206/100,2)</x:f>
        <x:v>4.65</x:v>
      </x:c>
      <x:c r="K4206" t="n">
        <x:v>23.5</x:v>
      </x:c>
      <x:c r="L4206" t="n">
        <x:f>ROUND(F4206*K4206/100,2)</x:f>
        <x:v>35.25</x:v>
      </x:c>
      <x:c r="M4206" t="n">
        <x:v>1.1</x:v>
      </x:c>
      <x:c r="N4206" t="n">
        <x:f>ROUND(F4206*M4206/100,2)</x:f>
        <x:v>1.65</x:v>
      </x:c>
      <x:c r="O4206" t="str">
        <x:v>熟重</x:v>
      </x:c>
    </x:row>
    <x:row r="4207" ht="23" customHeight="1">
      <x:c r="A4207" t="n">
        <x:v>701</x:v>
      </x:c>
      <x:c r="B4207" t="n">
        <x:v>351</x:v>
      </x:c>
      <x:c r="C4207" t="str">
        <x:v>午餐</x:v>
      </x:c>
      <x:c r="D4207" t="str">
        <x:v>油脂</x:v>
      </x:c>
      <x:c r="E4207" t="str">
        <x:v>烹调油</x:v>
      </x:c>
      <x:c r="F4207" t="n">
        <x:v>3</x:v>
      </x:c>
      <x:c r="G4207" t="n">
        <x:v>900</x:v>
      </x:c>
      <x:c r="H4207" t="n">
        <x:f>ROUND(F4207*G4207/100,2)</x:f>
        <x:v>27</x:v>
      </x:c>
      <x:c r="I4207" t="n">
        <x:v>0</x:v>
      </x:c>
      <x:c r="J4207" t="n">
        <x:f>ROUND(F4207*I4207/100,2)</x:f>
        <x:v>0</x:v>
      </x:c>
      <x:c r="K4207" t="n">
        <x:v>0</x:v>
      </x:c>
      <x:c r="L4207" t="n">
        <x:f>ROUND(F4207*K4207/100,2)</x:f>
        <x:v>0</x:v>
      </x:c>
      <x:c r="M4207" t="n">
        <x:v>100</x:v>
      </x:c>
      <x:c r="N4207" t="n">
        <x:f>ROUND(F4207*M4207/100,2)</x:f>
        <x:v>3</x:v>
      </x:c>
      <x:c r="O4207" t="str">
        <x:v>实际用油重</x:v>
      </x:c>
    </x:row>
    <x:row r="4208" ht="23" customHeight="1">
      <x:c r="A4208" t="n">
        <x:v>702</x:v>
      </x:c>
      <x:c r="B4208" t="n">
        <x:v>351</x:v>
      </x:c>
      <x:c r="C4208" t="str">
        <x:v>晚餐</x:v>
      </x:c>
      <x:c r="D4208" t="str">
        <x:v>牛肉</x:v>
      </x:c>
      <x:c r="E4208" t="str">
        <x:v>牛里脊</x:v>
      </x:c>
      <x:c r="F4208" t="n">
        <x:v>145</x:v>
      </x:c>
      <x:c r="G4208" t="n">
        <x:v>130</x:v>
      </x:c>
      <x:c r="H4208" t="n">
        <x:f>ROUND(F4208*G4208/100,2)</x:f>
        <x:v>188.5</x:v>
      </x:c>
      <x:c r="I4208" t="n">
        <x:v>21</x:v>
      </x:c>
      <x:c r="J4208" t="n">
        <x:f>ROUND(F4208*I4208/100,2)</x:f>
        <x:v>30.45</x:v>
      </x:c>
      <x:c r="K4208" t="n">
        <x:v>0</x:v>
      </x:c>
      <x:c r="L4208" t="n">
        <x:f>ROUND(F4208*K4208/100,2)</x:f>
        <x:v>0</x:v>
      </x:c>
      <x:c r="M4208" t="n">
        <x:v>4.8</x:v>
      </x:c>
      <x:c r="N4208" t="n">
        <x:f>ROUND(F4208*M4208/100,2)</x:f>
        <x:v>6.96</x:v>
      </x:c>
      <x:c r="O4208" t="str">
        <x:v>生重</x:v>
      </x:c>
    </x:row>
    <x:row r="4209" ht="23" customHeight="1">
      <x:c r="A4209" t="n">
        <x:v>702</x:v>
      </x:c>
      <x:c r="B4209" t="n">
        <x:v>351</x:v>
      </x:c>
      <x:c r="C4209" t="str">
        <x:v>晚餐</x:v>
      </x:c>
      <x:c r="D4209" t="str"/>
      <x:c r="E4209" t="str"/>
      <x:c r="F4209" t="n">
        <x:v>0</x:v>
      </x:c>
      <x:c r="G4209" t="n">
        <x:v>0</x:v>
      </x:c>
      <x:c r="H4209" t="n">
        <x:f>ROUND(F4209*G4209/100,2)</x:f>
        <x:v>0</x:v>
      </x:c>
      <x:c r="I4209" t="n">
        <x:v>0</x:v>
      </x:c>
      <x:c r="J4209" t="n">
        <x:f>ROUND(F4209*I4209/100,2)</x:f>
        <x:v>0</x:v>
      </x:c>
      <x:c r="K4209" t="n">
        <x:v>0</x:v>
      </x:c>
      <x:c r="L4209" t="n">
        <x:f>ROUND(F4209*K4209/100,2)</x:f>
        <x:v>0</x:v>
      </x:c>
      <x:c r="M4209" t="n">
        <x:v>0</x:v>
      </x:c>
      <x:c r="N4209" t="n">
        <x:f>ROUND(F4209*M4209/100,2)</x:f>
        <x:v>0</x:v>
      </x:c>
      <x:c r="O4209" t="str"/>
    </x:row>
    <x:row r="4210" ht="23" customHeight="1">
      <x:c r="A4210" t="n">
        <x:v>702</x:v>
      </x:c>
      <x:c r="B4210" t="n">
        <x:v>351</x:v>
      </x:c>
      <x:c r="C4210" t="str">
        <x:v>晚餐</x:v>
      </x:c>
      <x:c r="D4210" t="str">
        <x:v>蔬菜</x:v>
      </x:c>
      <x:c r="E4210" t="str">
        <x:v>番茄</x:v>
      </x:c>
      <x:c r="F4210" t="n">
        <x:v>175</x:v>
      </x:c>
      <x:c r="G4210" t="n">
        <x:v>20</x:v>
      </x:c>
      <x:c r="H4210" t="n">
        <x:f>ROUND(F4210*G4210/100,2)</x:f>
        <x:v>35</x:v>
      </x:c>
      <x:c r="I4210" t="n">
        <x:v>0.9</x:v>
      </x:c>
      <x:c r="J4210" t="n">
        <x:f>ROUND(F4210*I4210/100,2)</x:f>
        <x:v>1.58</x:v>
      </x:c>
      <x:c r="K4210" t="n">
        <x:v>4</x:v>
      </x:c>
      <x:c r="L4210" t="n">
        <x:f>ROUND(F4210*K4210/100,2)</x:f>
        <x:v>7</x:v>
      </x:c>
      <x:c r="M4210" t="n">
        <x:v>0.2</x:v>
      </x:c>
      <x:c r="N4210" t="n">
        <x:f>ROUND(F4210*M4210/100,2)</x:f>
        <x:v>0.35</x:v>
      </x:c>
      <x:c r="O4210" t="str">
        <x:v>生重</x:v>
      </x:c>
    </x:row>
    <x:row r="4211" ht="23" customHeight="1">
      <x:c r="A4211" t="n">
        <x:v>702</x:v>
      </x:c>
      <x:c r="B4211" t="n">
        <x:v>351</x:v>
      </x:c>
      <x:c r="C4211" t="str">
        <x:v>晚餐</x:v>
      </x:c>
      <x:c r="D4211" t="str">
        <x:v>蔬菜</x:v>
      </x:c>
      <x:c r="E4211" t="str">
        <x:v>花菜</x:v>
      </x:c>
      <x:c r="F4211" t="n">
        <x:v>155</x:v>
      </x:c>
      <x:c r="G4211" t="n">
        <x:v>25</x:v>
      </x:c>
      <x:c r="H4211" t="n">
        <x:f>ROUND(F4211*G4211/100,2)</x:f>
        <x:v>38.75</x:v>
      </x:c>
      <x:c r="I4211" t="n">
        <x:v>2</x:v>
      </x:c>
      <x:c r="J4211" t="n">
        <x:f>ROUND(F4211*I4211/100,2)</x:f>
        <x:v>3.1</x:v>
      </x:c>
      <x:c r="K4211" t="n">
        <x:v>5</x:v>
      </x:c>
      <x:c r="L4211" t="n">
        <x:f>ROUND(F4211*K4211/100,2)</x:f>
        <x:v>7.75</x:v>
      </x:c>
      <x:c r="M4211" t="n">
        <x:v>0.3</x:v>
      </x:c>
      <x:c r="N4211" t="n">
        <x:f>ROUND(F4211*M4211/100,2)</x:f>
        <x:v>0.47</x:v>
      </x:c>
      <x:c r="O4211" t="str">
        <x:v>生重</x:v>
      </x:c>
    </x:row>
    <x:row r="4212" ht="23" customHeight="1">
      <x:c r="A4212" t="n">
        <x:v>702</x:v>
      </x:c>
      <x:c r="B4212" t="n">
        <x:v>351</x:v>
      </x:c>
      <x:c r="C4212" t="str">
        <x:v>晚餐</x:v>
      </x:c>
      <x:c r="D4212" t="str">
        <x:v>主食</x:v>
      </x:c>
      <x:c r="E4212" t="str">
        <x:v>乌冬面</x:v>
      </x:c>
      <x:c r="F4212" t="n">
        <x:v>110</x:v>
      </x:c>
      <x:c r="G4212" t="n">
        <x:v>120</x:v>
      </x:c>
      <x:c r="H4212" t="n">
        <x:f>ROUND(F4212*G4212/100,2)</x:f>
        <x:v>132</x:v>
      </x:c>
      <x:c r="I4212" t="n">
        <x:v>2.5</x:v>
      </x:c>
      <x:c r="J4212" t="n">
        <x:f>ROUND(F4212*I4212/100,2)</x:f>
        <x:v>2.75</x:v>
      </x:c>
      <x:c r="K4212" t="n">
        <x:v>25</x:v>
      </x:c>
      <x:c r="L4212" t="n">
        <x:f>ROUND(F4212*K4212/100,2)</x:f>
        <x:v>27.5</x:v>
      </x:c>
      <x:c r="M4212" t="n">
        <x:v>0.6</x:v>
      </x:c>
      <x:c r="N4212" t="n">
        <x:f>ROUND(F4212*M4212/100,2)</x:f>
        <x:v>0.66</x:v>
      </x:c>
      <x:c r="O4212" t="str">
        <x:v>煮熟沥水重</x:v>
      </x:c>
    </x:row>
    <x:row r="4213" ht="23" customHeight="1">
      <x:c r="A4213" t="n">
        <x:v>702</x:v>
      </x:c>
      <x:c r="B4213" t="n">
        <x:v>351</x:v>
      </x:c>
      <x:c r="C4213" t="str">
        <x:v>晚餐</x:v>
      </x:c>
      <x:c r="D4213" t="str">
        <x:v>油脂</x:v>
      </x:c>
      <x:c r="E4213" t="str">
        <x:v>烹调油</x:v>
      </x:c>
      <x:c r="F4213" t="n">
        <x:v>5</x:v>
      </x:c>
      <x:c r="G4213" t="n">
        <x:v>900</x:v>
      </x:c>
      <x:c r="H4213" t="n">
        <x:f>ROUND(F4213*G4213/100,2)</x:f>
        <x:v>45</x:v>
      </x:c>
      <x:c r="I4213" t="n">
        <x:v>0</x:v>
      </x:c>
      <x:c r="J4213" t="n">
        <x:f>ROUND(F4213*I4213/100,2)</x:f>
        <x:v>0</x:v>
      </x:c>
      <x:c r="K4213" t="n">
        <x:v>0</x:v>
      </x:c>
      <x:c r="L4213" t="n">
        <x:f>ROUND(F4213*K4213/100,2)</x:f>
        <x:v>0</x:v>
      </x:c>
      <x:c r="M4213" t="n">
        <x:v>100</x:v>
      </x:c>
      <x:c r="N4213" t="n">
        <x:f>ROUND(F4213*M4213/100,2)</x:f>
        <x:v>5</x:v>
      </x:c>
      <x:c r="O4213" t="str">
        <x:v>实际用油重</x:v>
      </x:c>
    </x:row>
    <x:row r="4214" ht="23" customHeight="1">
      <x:c r="A4214" t="n">
        <x:v>703</x:v>
      </x:c>
      <x:c r="B4214" t="n">
        <x:v>352</x:v>
      </x:c>
      <x:c r="C4214" t="str">
        <x:v>午餐</x:v>
      </x:c>
      <x:c r="D4214" t="str">
        <x:v>猪肉</x:v>
      </x:c>
      <x:c r="E4214" t="str">
        <x:v>猪里脊</x:v>
      </x:c>
      <x:c r="F4214" t="n">
        <x:v>175</x:v>
      </x:c>
      <x:c r="G4214" t="n">
        <x:v>120</x:v>
      </x:c>
      <x:c r="H4214" t="n">
        <x:f>ROUND(F4214*G4214/100,2)</x:f>
        <x:v>210</x:v>
      </x:c>
      <x:c r="I4214" t="n">
        <x:v>21</x:v>
      </x:c>
      <x:c r="J4214" t="n">
        <x:f>ROUND(F4214*I4214/100,2)</x:f>
        <x:v>36.75</x:v>
      </x:c>
      <x:c r="K4214" t="n">
        <x:v>0</x:v>
      </x:c>
      <x:c r="L4214" t="n">
        <x:f>ROUND(F4214*K4214/100,2)</x:f>
        <x:v>0</x:v>
      </x:c>
      <x:c r="M4214" t="n">
        <x:v>3.5</x:v>
      </x:c>
      <x:c r="N4214" t="n">
        <x:f>ROUND(F4214*M4214/100,2)</x:f>
        <x:v>6.13</x:v>
      </x:c>
      <x:c r="O4214" t="str">
        <x:v>生重</x:v>
      </x:c>
    </x:row>
    <x:row r="4215" ht="23" customHeight="1">
      <x:c r="A4215" t="n">
        <x:v>703</x:v>
      </x:c>
      <x:c r="B4215" t="n">
        <x:v>352</x:v>
      </x:c>
      <x:c r="C4215" t="str">
        <x:v>午餐</x:v>
      </x:c>
      <x:c r="D4215" t="str"/>
      <x:c r="E4215" t="str"/>
      <x:c r="F4215" t="n">
        <x:v>0</x:v>
      </x:c>
      <x:c r="G4215" t="n">
        <x:v>0</x:v>
      </x:c>
      <x:c r="H4215" t="n">
        <x:f>ROUND(F4215*G4215/100,2)</x:f>
        <x:v>0</x:v>
      </x:c>
      <x:c r="I4215" t="n">
        <x:v>0</x:v>
      </x:c>
      <x:c r="J4215" t="n">
        <x:f>ROUND(F4215*I4215/100,2)</x:f>
        <x:v>0</x:v>
      </x:c>
      <x:c r="K4215" t="n">
        <x:v>0</x:v>
      </x:c>
      <x:c r="L4215" t="n">
        <x:f>ROUND(F4215*K4215/100,2)</x:f>
        <x:v>0</x:v>
      </x:c>
      <x:c r="M4215" t="n">
        <x:v>0</x:v>
      </x:c>
      <x:c r="N4215" t="n">
        <x:f>ROUND(F4215*M4215/100,2)</x:f>
        <x:v>0</x:v>
      </x:c>
      <x:c r="O4215" t="str"/>
    </x:row>
    <x:row r="4216" ht="23" customHeight="1">
      <x:c r="A4216" t="n">
        <x:v>703</x:v>
      </x:c>
      <x:c r="B4216" t="n">
        <x:v>352</x:v>
      </x:c>
      <x:c r="C4216" t="str">
        <x:v>午餐</x:v>
      </x:c>
      <x:c r="D4216" t="str">
        <x:v>蔬菜</x:v>
      </x:c>
      <x:c r="E4216" t="str">
        <x:v>彩椒</x:v>
      </x:c>
      <x:c r="F4216" t="n">
        <x:v>160</x:v>
      </x:c>
      <x:c r="G4216" t="n">
        <x:v>27</x:v>
      </x:c>
      <x:c r="H4216" t="n">
        <x:f>ROUND(F4216*G4216/100,2)</x:f>
        <x:v>43.2</x:v>
      </x:c>
      <x:c r="I4216" t="n">
        <x:v>1</x:v>
      </x:c>
      <x:c r="J4216" t="n">
        <x:f>ROUND(F4216*I4216/100,2)</x:f>
        <x:v>1.6</x:v>
      </x:c>
      <x:c r="K4216" t="n">
        <x:v>6.1</x:v>
      </x:c>
      <x:c r="L4216" t="n">
        <x:f>ROUND(F4216*K4216/100,2)</x:f>
        <x:v>9.76</x:v>
      </x:c>
      <x:c r="M4216" t="n">
        <x:v>0.2</x:v>
      </x:c>
      <x:c r="N4216" t="n">
        <x:f>ROUND(F4216*M4216/100,2)</x:f>
        <x:v>0.32</x:v>
      </x:c>
      <x:c r="O4216" t="str">
        <x:v>生重</x:v>
      </x:c>
    </x:row>
    <x:row r="4217" ht="23" customHeight="1">
      <x:c r="A4217" t="n">
        <x:v>703</x:v>
      </x:c>
      <x:c r="B4217" t="n">
        <x:v>352</x:v>
      </x:c>
      <x:c r="C4217" t="str">
        <x:v>午餐</x:v>
      </x:c>
      <x:c r="D4217" t="str">
        <x:v>蔬菜</x:v>
      </x:c>
      <x:c r="E4217" t="str">
        <x:v>丝瓜</x:v>
      </x:c>
      <x:c r="F4217" t="n">
        <x:v>140</x:v>
      </x:c>
      <x:c r="G4217" t="n">
        <x:v>20</x:v>
      </x:c>
      <x:c r="H4217" t="n">
        <x:f>ROUND(F4217*G4217/100,2)</x:f>
        <x:v>28</x:v>
      </x:c>
      <x:c r="I4217" t="n">
        <x:v>1</x:v>
      </x:c>
      <x:c r="J4217" t="n">
        <x:f>ROUND(F4217*I4217/100,2)</x:f>
        <x:v>1.4</x:v>
      </x:c>
      <x:c r="K4217" t="n">
        <x:v>4</x:v>
      </x:c>
      <x:c r="L4217" t="n">
        <x:f>ROUND(F4217*K4217/100,2)</x:f>
        <x:v>5.6</x:v>
      </x:c>
      <x:c r="M4217" t="n">
        <x:v>0.2</x:v>
      </x:c>
      <x:c r="N4217" t="n">
        <x:f>ROUND(F4217*M4217/100,2)</x:f>
        <x:v>0.28</x:v>
      </x:c>
      <x:c r="O4217" t="str">
        <x:v>生重</x:v>
      </x:c>
    </x:row>
    <x:row r="4218" ht="23" customHeight="1">
      <x:c r="A4218" t="n">
        <x:v>703</x:v>
      </x:c>
      <x:c r="B4218" t="n">
        <x:v>352</x:v>
      </x:c>
      <x:c r="C4218" t="str">
        <x:v>午餐</x:v>
      </x:c>
      <x:c r="D4218" t="str">
        <x:v>主食</x:v>
      </x:c>
      <x:c r="E4218" t="str">
        <x:v>糙米饭</x:v>
      </x:c>
      <x:c r="F4218" t="n">
        <x:v>135</x:v>
      </x:c>
      <x:c r="G4218" t="n">
        <x:v>112</x:v>
      </x:c>
      <x:c r="H4218" t="n">
        <x:f>ROUND(F4218*G4218/100,2)</x:f>
        <x:v>151.2</x:v>
      </x:c>
      <x:c r="I4218" t="n">
        <x:v>2.6</x:v>
      </x:c>
      <x:c r="J4218" t="n">
        <x:f>ROUND(F4218*I4218/100,2)</x:f>
        <x:v>3.51</x:v>
      </x:c>
      <x:c r="K4218" t="n">
        <x:v>23.5</x:v>
      </x:c>
      <x:c r="L4218" t="n">
        <x:f>ROUND(F4218*K4218/100,2)</x:f>
        <x:v>31.73</x:v>
      </x:c>
      <x:c r="M4218" t="n">
        <x:v>0.9</x:v>
      </x:c>
      <x:c r="N4218" t="n">
        <x:f>ROUND(F4218*M4218/100,2)</x:f>
        <x:v>1.22</x:v>
      </x:c>
      <x:c r="O4218" t="str">
        <x:v>熟重</x:v>
      </x:c>
    </x:row>
    <x:row r="4219" ht="23" customHeight="1">
      <x:c r="A4219" t="n">
        <x:v>703</x:v>
      </x:c>
      <x:c r="B4219" t="n">
        <x:v>352</x:v>
      </x:c>
      <x:c r="C4219" t="str">
        <x:v>午餐</x:v>
      </x:c>
      <x:c r="D4219" t="str">
        <x:v>油脂</x:v>
      </x:c>
      <x:c r="E4219" t="str">
        <x:v>烹调油</x:v>
      </x:c>
      <x:c r="F4219" t="n">
        <x:v>5</x:v>
      </x:c>
      <x:c r="G4219" t="n">
        <x:v>900</x:v>
      </x:c>
      <x:c r="H4219" t="n">
        <x:f>ROUND(F4219*G4219/100,2)</x:f>
        <x:v>45</x:v>
      </x:c>
      <x:c r="I4219" t="n">
        <x:v>0</x:v>
      </x:c>
      <x:c r="J4219" t="n">
        <x:f>ROUND(F4219*I4219/100,2)</x:f>
        <x:v>0</x:v>
      </x:c>
      <x:c r="K4219" t="n">
        <x:v>0</x:v>
      </x:c>
      <x:c r="L4219" t="n">
        <x:f>ROUND(F4219*K4219/100,2)</x:f>
        <x:v>0</x:v>
      </x:c>
      <x:c r="M4219" t="n">
        <x:v>100</x:v>
      </x:c>
      <x:c r="N4219" t="n">
        <x:f>ROUND(F4219*M4219/100,2)</x:f>
        <x:v>5</x:v>
      </x:c>
      <x:c r="O4219" t="str">
        <x:v>实际用油重</x:v>
      </x:c>
    </x:row>
    <x:row r="4220" ht="23" customHeight="1">
      <x:c r="A4220" t="n">
        <x:v>704</x:v>
      </x:c>
      <x:c r="B4220" t="n">
        <x:v>352</x:v>
      </x:c>
      <x:c r="C4220" t="str">
        <x:v>晚餐</x:v>
      </x:c>
      <x:c r="D4220" t="str">
        <x:v>海鲜</x:v>
      </x:c>
      <x:c r="E4220" t="str">
        <x:v>虾仁</x:v>
      </x:c>
      <x:c r="F4220" t="n">
        <x:v>160</x:v>
      </x:c>
      <x:c r="G4220" t="n">
        <x:v>90</x:v>
      </x:c>
      <x:c r="H4220" t="n">
        <x:f>ROUND(F4220*G4220/100,2)</x:f>
        <x:v>144</x:v>
      </x:c>
      <x:c r="I4220" t="n">
        <x:v>19</x:v>
      </x:c>
      <x:c r="J4220" t="n">
        <x:f>ROUND(F4220*I4220/100,2)</x:f>
        <x:v>30.4</x:v>
      </x:c>
      <x:c r="K4220" t="n">
        <x:v>0.4</x:v>
      </x:c>
      <x:c r="L4220" t="n">
        <x:f>ROUND(F4220*K4220/100,2)</x:f>
        <x:v>0.64</x:v>
      </x:c>
      <x:c r="M4220" t="n">
        <x:v>1.1</x:v>
      </x:c>
      <x:c r="N4220" t="n">
        <x:f>ROUND(F4220*M4220/100,2)</x:f>
        <x:v>1.76</x:v>
      </x:c>
      <x:c r="O4220" t="str">
        <x:v>生重</x:v>
      </x:c>
    </x:row>
    <x:row r="4221" ht="23" customHeight="1">
      <x:c r="A4221" t="n">
        <x:v>704</x:v>
      </x:c>
      <x:c r="B4221" t="n">
        <x:v>352</x:v>
      </x:c>
      <x:c r="C4221" t="str">
        <x:v>晚餐</x:v>
      </x:c>
      <x:c r="D4221" t="str"/>
      <x:c r="E4221" t="str"/>
      <x:c r="F4221" t="n">
        <x:v>0</x:v>
      </x:c>
      <x:c r="G4221" t="n">
        <x:v>0</x:v>
      </x:c>
      <x:c r="H4221" t="n">
        <x:f>ROUND(F4221*G4221/100,2)</x:f>
        <x:v>0</x:v>
      </x:c>
      <x:c r="I4221" t="n">
        <x:v>0</x:v>
      </x:c>
      <x:c r="J4221" t="n">
        <x:f>ROUND(F4221*I4221/100,2)</x:f>
        <x:v>0</x:v>
      </x:c>
      <x:c r="K4221" t="n">
        <x:v>0</x:v>
      </x:c>
      <x:c r="L4221" t="n">
        <x:f>ROUND(F4221*K4221/100,2)</x:f>
        <x:v>0</x:v>
      </x:c>
      <x:c r="M4221" t="n">
        <x:v>0</x:v>
      </x:c>
      <x:c r="N4221" t="n">
        <x:f>ROUND(F4221*M4221/100,2)</x:f>
        <x:v>0</x:v>
      </x:c>
      <x:c r="O4221" t="str"/>
    </x:row>
    <x:row r="4222" ht="23" customHeight="1">
      <x:c r="A4222" t="n">
        <x:v>704</x:v>
      </x:c>
      <x:c r="B4222" t="n">
        <x:v>352</x:v>
      </x:c>
      <x:c r="C4222" t="str">
        <x:v>晚餐</x:v>
      </x:c>
      <x:c r="D4222" t="str">
        <x:v>蔬菜</x:v>
      </x:c>
      <x:c r="E4222" t="str">
        <x:v>竹笋</x:v>
      </x:c>
      <x:c r="F4222" t="n">
        <x:v>175</x:v>
      </x:c>
      <x:c r="G4222" t="n">
        <x:v>27</x:v>
      </x:c>
      <x:c r="H4222" t="n">
        <x:f>ROUND(F4222*G4222/100,2)</x:f>
        <x:v>47.25</x:v>
      </x:c>
      <x:c r="I4222" t="n">
        <x:v>2.6</x:v>
      </x:c>
      <x:c r="J4222" t="n">
        <x:f>ROUND(F4222*I4222/100,2)</x:f>
        <x:v>4.55</x:v>
      </x:c>
      <x:c r="K4222" t="n">
        <x:v>5.2</x:v>
      </x:c>
      <x:c r="L4222" t="n">
        <x:f>ROUND(F4222*K4222/100,2)</x:f>
        <x:v>9.1</x:v>
      </x:c>
      <x:c r="M4222" t="n">
        <x:v>0.3</x:v>
      </x:c>
      <x:c r="N4222" t="n">
        <x:f>ROUND(F4222*M4222/100,2)</x:f>
        <x:v>0.53</x:v>
      </x:c>
      <x:c r="O4222" t="str">
        <x:v>生重</x:v>
      </x:c>
    </x:row>
    <x:row r="4223" ht="23" customHeight="1">
      <x:c r="A4223" t="n">
        <x:v>704</x:v>
      </x:c>
      <x:c r="B4223" t="n">
        <x:v>352</x:v>
      </x:c>
      <x:c r="C4223" t="str">
        <x:v>晚餐</x:v>
      </x:c>
      <x:c r="D4223" t="str">
        <x:v>菌菇</x:v>
      </x:c>
      <x:c r="E4223" t="str">
        <x:v>金针菇</x:v>
      </x:c>
      <x:c r="F4223" t="n">
        <x:v>125</x:v>
      </x:c>
      <x:c r="G4223" t="n">
        <x:v>32</x:v>
      </x:c>
      <x:c r="H4223" t="n">
        <x:f>ROUND(F4223*G4223/100,2)</x:f>
        <x:v>40</x:v>
      </x:c>
      <x:c r="I4223" t="n">
        <x:v>2.4</x:v>
      </x:c>
      <x:c r="J4223" t="n">
        <x:f>ROUND(F4223*I4223/100,2)</x:f>
        <x:v>3</x:v>
      </x:c>
      <x:c r="K4223" t="n">
        <x:v>6.4</x:v>
      </x:c>
      <x:c r="L4223" t="n">
        <x:f>ROUND(F4223*K4223/100,2)</x:f>
        <x:v>8</x:v>
      </x:c>
      <x:c r="M4223" t="n">
        <x:v>0.2</x:v>
      </x:c>
      <x:c r="N4223" t="n">
        <x:f>ROUND(F4223*M4223/100,2)</x:f>
        <x:v>0.25</x:v>
      </x:c>
      <x:c r="O4223" t="str">
        <x:v>生重</x:v>
      </x:c>
    </x:row>
    <x:row r="4224" ht="23" customHeight="1">
      <x:c r="A4224" t="n">
        <x:v>704</x:v>
      </x:c>
      <x:c r="B4224" t="n">
        <x:v>352</x:v>
      </x:c>
      <x:c r="C4224" t="str">
        <x:v>晚餐</x:v>
      </x:c>
      <x:c r="D4224" t="str">
        <x:v>主食</x:v>
      </x:c>
      <x:c r="E4224" t="str">
        <x:v>藜麦饭</x:v>
      </x:c>
      <x:c r="F4224" t="n">
        <x:v>80</x:v>
      </x:c>
      <x:c r="G4224" t="n">
        <x:v>120</x:v>
      </x:c>
      <x:c r="H4224" t="n">
        <x:f>ROUND(F4224*G4224/100,2)</x:f>
        <x:v>96</x:v>
      </x:c>
      <x:c r="I4224" t="n">
        <x:v>4.4</x:v>
      </x:c>
      <x:c r="J4224" t="n">
        <x:f>ROUND(F4224*I4224/100,2)</x:f>
        <x:v>3.52</x:v>
      </x:c>
      <x:c r="K4224" t="n">
        <x:v>21.3</x:v>
      </x:c>
      <x:c r="L4224" t="n">
        <x:f>ROUND(F4224*K4224/100,2)</x:f>
        <x:v>17.04</x:v>
      </x:c>
      <x:c r="M4224" t="n">
        <x:v>1.9</x:v>
      </x:c>
      <x:c r="N4224" t="n">
        <x:f>ROUND(F4224*M4224/100,2)</x:f>
        <x:v>1.52</x:v>
      </x:c>
      <x:c r="O4224" t="str">
        <x:v>熟重</x:v>
      </x:c>
    </x:row>
    <x:row r="4225" ht="23" customHeight="1">
      <x:c r="A4225" t="n">
        <x:v>704</x:v>
      </x:c>
      <x:c r="B4225" t="n">
        <x:v>352</x:v>
      </x:c>
      <x:c r="C4225" t="str">
        <x:v>晚餐</x:v>
      </x:c>
      <x:c r="D4225" t="str">
        <x:v>油脂</x:v>
      </x:c>
      <x:c r="E4225" t="str">
        <x:v>烹调油</x:v>
      </x:c>
      <x:c r="F4225" t="n">
        <x:v>5</x:v>
      </x:c>
      <x:c r="G4225" t="n">
        <x:v>900</x:v>
      </x:c>
      <x:c r="H4225" t="n">
        <x:f>ROUND(F4225*G4225/100,2)</x:f>
        <x:v>45</x:v>
      </x:c>
      <x:c r="I4225" t="n">
        <x:v>0</x:v>
      </x:c>
      <x:c r="J4225" t="n">
        <x:f>ROUND(F4225*I4225/100,2)</x:f>
        <x:v>0</x:v>
      </x:c>
      <x:c r="K4225" t="n">
        <x:v>0</x:v>
      </x:c>
      <x:c r="L4225" t="n">
        <x:f>ROUND(F4225*K4225/100,2)</x:f>
        <x:v>0</x:v>
      </x:c>
      <x:c r="M4225" t="n">
        <x:v>100</x:v>
      </x:c>
      <x:c r="N4225" t="n">
        <x:f>ROUND(F4225*M4225/100,2)</x:f>
        <x:v>5</x:v>
      </x:c>
      <x:c r="O4225" t="str">
        <x:v>实际用油重</x:v>
      </x:c>
    </x:row>
    <x:row r="4226" ht="23" customHeight="1">
      <x:c r="A4226" t="n">
        <x:v>705</x:v>
      </x:c>
      <x:c r="B4226" t="n">
        <x:v>353</x:v>
      </x:c>
      <x:c r="C4226" t="str">
        <x:v>午餐</x:v>
      </x:c>
      <x:c r="D4226" t="str">
        <x:v>海鲜</x:v>
      </x:c>
      <x:c r="E4226" t="str">
        <x:v>虾仁</x:v>
      </x:c>
      <x:c r="F4226" t="n">
        <x:v>160</x:v>
      </x:c>
      <x:c r="G4226" t="n">
        <x:v>90</x:v>
      </x:c>
      <x:c r="H4226" t="n">
        <x:f>ROUND(F4226*G4226/100,2)</x:f>
        <x:v>144</x:v>
      </x:c>
      <x:c r="I4226" t="n">
        <x:v>19</x:v>
      </x:c>
      <x:c r="J4226" t="n">
        <x:f>ROUND(F4226*I4226/100,2)</x:f>
        <x:v>30.4</x:v>
      </x:c>
      <x:c r="K4226" t="n">
        <x:v>0.4</x:v>
      </x:c>
      <x:c r="L4226" t="n">
        <x:f>ROUND(F4226*K4226/100,2)</x:f>
        <x:v>0.64</x:v>
      </x:c>
      <x:c r="M4226" t="n">
        <x:v>1.1</x:v>
      </x:c>
      <x:c r="N4226" t="n">
        <x:f>ROUND(F4226*M4226/100,2)</x:f>
        <x:v>1.76</x:v>
      </x:c>
      <x:c r="O4226" t="str">
        <x:v>生重</x:v>
      </x:c>
    </x:row>
    <x:row r="4227" ht="23" customHeight="1">
      <x:c r="A4227" t="n">
        <x:v>705</x:v>
      </x:c>
      <x:c r="B4227" t="n">
        <x:v>353</x:v>
      </x:c>
      <x:c r="C4227" t="str">
        <x:v>午餐</x:v>
      </x:c>
      <x:c r="D4227" t="str"/>
      <x:c r="E4227" t="str"/>
      <x:c r="F4227" t="n">
        <x:v>0</x:v>
      </x:c>
      <x:c r="G4227" t="n">
        <x:v>0</x:v>
      </x:c>
      <x:c r="H4227" t="n">
        <x:f>ROUND(F4227*G4227/100,2)</x:f>
        <x:v>0</x:v>
      </x:c>
      <x:c r="I4227" t="n">
        <x:v>0</x:v>
      </x:c>
      <x:c r="J4227" t="n">
        <x:f>ROUND(F4227*I4227/100,2)</x:f>
        <x:v>0</x:v>
      </x:c>
      <x:c r="K4227" t="n">
        <x:v>0</x:v>
      </x:c>
      <x:c r="L4227" t="n">
        <x:f>ROUND(F4227*K4227/100,2)</x:f>
        <x:v>0</x:v>
      </x:c>
      <x:c r="M4227" t="n">
        <x:v>0</x:v>
      </x:c>
      <x:c r="N4227" t="n">
        <x:f>ROUND(F4227*M4227/100,2)</x:f>
        <x:v>0</x:v>
      </x:c>
      <x:c r="O4227" t="str"/>
    </x:row>
    <x:row r="4228" ht="23" customHeight="1">
      <x:c r="A4228" t="n">
        <x:v>705</x:v>
      </x:c>
      <x:c r="B4228" t="n">
        <x:v>353</x:v>
      </x:c>
      <x:c r="C4228" t="str">
        <x:v>午餐</x:v>
      </x:c>
      <x:c r="D4228" t="str">
        <x:v>蔬菜</x:v>
      </x:c>
      <x:c r="E4228" t="str">
        <x:v>秋葵</x:v>
      </x:c>
      <x:c r="F4228" t="n">
        <x:v>175</x:v>
      </x:c>
      <x:c r="G4228" t="n">
        <x:v>33</x:v>
      </x:c>
      <x:c r="H4228" t="n">
        <x:f>ROUND(F4228*G4228/100,2)</x:f>
        <x:v>57.75</x:v>
      </x:c>
      <x:c r="I4228" t="n">
        <x:v>1.9</x:v>
      </x:c>
      <x:c r="J4228" t="n">
        <x:f>ROUND(F4228*I4228/100,2)</x:f>
        <x:v>3.33</x:v>
      </x:c>
      <x:c r="K4228" t="n">
        <x:v>7.5</x:v>
      </x:c>
      <x:c r="L4228" t="n">
        <x:f>ROUND(F4228*K4228/100,2)</x:f>
        <x:v>13.13</x:v>
      </x:c>
      <x:c r="M4228" t="n">
        <x:v>0.2</x:v>
      </x:c>
      <x:c r="N4228" t="n">
        <x:f>ROUND(F4228*M4228/100,2)</x:f>
        <x:v>0.35</x:v>
      </x:c>
      <x:c r="O4228" t="str">
        <x:v>生重</x:v>
      </x:c>
    </x:row>
    <x:row r="4229" ht="23" customHeight="1">
      <x:c r="A4229" t="n">
        <x:v>705</x:v>
      </x:c>
      <x:c r="B4229" t="n">
        <x:v>353</x:v>
      </x:c>
      <x:c r="C4229" t="str">
        <x:v>午餐</x:v>
      </x:c>
      <x:c r="D4229" t="str">
        <x:v>菌菇</x:v>
      </x:c>
      <x:c r="E4229" t="str">
        <x:v>杏鲍菇</x:v>
      </x:c>
      <x:c r="F4229" t="n">
        <x:v>125</x:v>
      </x:c>
      <x:c r="G4229" t="n">
        <x:v>35</x:v>
      </x:c>
      <x:c r="H4229" t="n">
        <x:f>ROUND(F4229*G4229/100,2)</x:f>
        <x:v>43.75</x:v>
      </x:c>
      <x:c r="I4229" t="n">
        <x:v>2</x:v>
      </x:c>
      <x:c r="J4229" t="n">
        <x:f>ROUND(F4229*I4229/100,2)</x:f>
        <x:v>2.5</x:v>
      </x:c>
      <x:c r="K4229" t="n">
        <x:v>7.4</x:v>
      </x:c>
      <x:c r="L4229" t="n">
        <x:f>ROUND(F4229*K4229/100,2)</x:f>
        <x:v>9.25</x:v>
      </x:c>
      <x:c r="M4229" t="n">
        <x:v>0.3</x:v>
      </x:c>
      <x:c r="N4229" t="n">
        <x:f>ROUND(F4229*M4229/100,2)</x:f>
        <x:v>0.38</x:v>
      </x:c>
      <x:c r="O4229" t="str">
        <x:v>生重</x:v>
      </x:c>
    </x:row>
    <x:row r="4230" ht="23" customHeight="1">
      <x:c r="A4230" t="n">
        <x:v>705</x:v>
      </x:c>
      <x:c r="B4230" t="n">
        <x:v>353</x:v>
      </x:c>
      <x:c r="C4230" t="str">
        <x:v>午餐</x:v>
      </x:c>
      <x:c r="D4230" t="str">
        <x:v>主食</x:v>
      </x:c>
      <x:c r="E4230" t="str">
        <x:v>荞麦面</x:v>
      </x:c>
      <x:c r="F4230" t="n">
        <x:v>110</x:v>
      </x:c>
      <x:c r="G4230" t="n">
        <x:v>105</x:v>
      </x:c>
      <x:c r="H4230" t="n">
        <x:f>ROUND(F4230*G4230/100,2)</x:f>
        <x:v>115.5</x:v>
      </x:c>
      <x:c r="I4230" t="n">
        <x:v>4</x:v>
      </x:c>
      <x:c r="J4230" t="n">
        <x:f>ROUND(F4230*I4230/100,2)</x:f>
        <x:v>4.4</x:v>
      </x:c>
      <x:c r="K4230" t="n">
        <x:v>21</x:v>
      </x:c>
      <x:c r="L4230" t="n">
        <x:f>ROUND(F4230*K4230/100,2)</x:f>
        <x:v>23.1</x:v>
      </x:c>
      <x:c r="M4230" t="n">
        <x:v>0.7</x:v>
      </x:c>
      <x:c r="N4230" t="n">
        <x:f>ROUND(F4230*M4230/100,2)</x:f>
        <x:v>0.77</x:v>
      </x:c>
      <x:c r="O4230" t="str">
        <x:v>煮熟沥水重</x:v>
      </x:c>
    </x:row>
    <x:row r="4231" ht="23" customHeight="1">
      <x:c r="A4231" t="n">
        <x:v>705</x:v>
      </x:c>
      <x:c r="B4231" t="n">
        <x:v>353</x:v>
      </x:c>
      <x:c r="C4231" t="str">
        <x:v>午餐</x:v>
      </x:c>
      <x:c r="D4231" t="str">
        <x:v>油脂</x:v>
      </x:c>
      <x:c r="E4231" t="str">
        <x:v>烹调油</x:v>
      </x:c>
      <x:c r="F4231" t="n">
        <x:v>5</x:v>
      </x:c>
      <x:c r="G4231" t="n">
        <x:v>900</x:v>
      </x:c>
      <x:c r="H4231" t="n">
        <x:f>ROUND(F4231*G4231/100,2)</x:f>
        <x:v>45</x:v>
      </x:c>
      <x:c r="I4231" t="n">
        <x:v>0</x:v>
      </x:c>
      <x:c r="J4231" t="n">
        <x:f>ROUND(F4231*I4231/100,2)</x:f>
        <x:v>0</x:v>
      </x:c>
      <x:c r="K4231" t="n">
        <x:v>0</x:v>
      </x:c>
      <x:c r="L4231" t="n">
        <x:f>ROUND(F4231*K4231/100,2)</x:f>
        <x:v>0</x:v>
      </x:c>
      <x:c r="M4231" t="n">
        <x:v>100</x:v>
      </x:c>
      <x:c r="N4231" t="n">
        <x:f>ROUND(F4231*M4231/100,2)</x:f>
        <x:v>5</x:v>
      </x:c>
      <x:c r="O4231" t="str">
        <x:v>实际用油重</x:v>
      </x:c>
    </x:row>
    <x:row r="4232" ht="23" customHeight="1">
      <x:c r="A4232" t="n">
        <x:v>706</x:v>
      </x:c>
      <x:c r="B4232" t="n">
        <x:v>353</x:v>
      </x:c>
      <x:c r="C4232" t="str">
        <x:v>晚餐</x:v>
      </x:c>
      <x:c r="D4232" t="str">
        <x:v>牛肉</x:v>
      </x:c>
      <x:c r="E4232" t="str">
        <x:v>瘦牛肉</x:v>
      </x:c>
      <x:c r="F4232" t="n">
        <x:v>160</x:v>
      </x:c>
      <x:c r="G4232" t="n">
        <x:v>125</x:v>
      </x:c>
      <x:c r="H4232" t="n">
        <x:f>ROUND(F4232*G4232/100,2)</x:f>
        <x:v>200</x:v>
      </x:c>
      <x:c r="I4232" t="n">
        <x:v>21</x:v>
      </x:c>
      <x:c r="J4232" t="n">
        <x:f>ROUND(F4232*I4232/100,2)</x:f>
        <x:v>33.6</x:v>
      </x:c>
      <x:c r="K4232" t="n">
        <x:v>0</x:v>
      </x:c>
      <x:c r="L4232" t="n">
        <x:f>ROUND(F4232*K4232/100,2)</x:f>
        <x:v>0</x:v>
      </x:c>
      <x:c r="M4232" t="n">
        <x:v>4</x:v>
      </x:c>
      <x:c r="N4232" t="n">
        <x:f>ROUND(F4232*M4232/100,2)</x:f>
        <x:v>6.4</x:v>
      </x:c>
      <x:c r="O4232" t="str">
        <x:v>生重</x:v>
      </x:c>
    </x:row>
    <x:row r="4233" ht="23" customHeight="1">
      <x:c r="A4233" t="n">
        <x:v>706</x:v>
      </x:c>
      <x:c r="B4233" t="n">
        <x:v>353</x:v>
      </x:c>
      <x:c r="C4233" t="str">
        <x:v>晚餐</x:v>
      </x:c>
      <x:c r="D4233" t="str"/>
      <x:c r="E4233" t="str"/>
      <x:c r="F4233" t="n">
        <x:v>0</x:v>
      </x:c>
      <x:c r="G4233" t="n">
        <x:v>0</x:v>
      </x:c>
      <x:c r="H4233" t="n">
        <x:f>ROUND(F4233*G4233/100,2)</x:f>
        <x:v>0</x:v>
      </x:c>
      <x:c r="I4233" t="n">
        <x:v>0</x:v>
      </x:c>
      <x:c r="J4233" t="n">
        <x:f>ROUND(F4233*I4233/100,2)</x:f>
        <x:v>0</x:v>
      </x:c>
      <x:c r="K4233" t="n">
        <x:v>0</x:v>
      </x:c>
      <x:c r="L4233" t="n">
        <x:f>ROUND(F4233*K4233/100,2)</x:f>
        <x:v>0</x:v>
      </x:c>
      <x:c r="M4233" t="n">
        <x:v>0</x:v>
      </x:c>
      <x:c r="N4233" t="n">
        <x:f>ROUND(F4233*M4233/100,2)</x:f>
        <x:v>0</x:v>
      </x:c>
      <x:c r="O4233" t="str"/>
    </x:row>
    <x:row r="4234" ht="23" customHeight="1">
      <x:c r="A4234" t="n">
        <x:v>706</x:v>
      </x:c>
      <x:c r="B4234" t="n">
        <x:v>353</x:v>
      </x:c>
      <x:c r="C4234" t="str">
        <x:v>晚餐</x:v>
      </x:c>
      <x:c r="D4234" t="str">
        <x:v>蔬菜</x:v>
      </x:c>
      <x:c r="E4234" t="str">
        <x:v>西兰花</x:v>
      </x:c>
      <x:c r="F4234" t="n">
        <x:v>190</x:v>
      </x:c>
      <x:c r="G4234" t="n">
        <x:v>34</x:v>
      </x:c>
      <x:c r="H4234" t="n">
        <x:f>ROUND(F4234*G4234/100,2)</x:f>
        <x:v>64.6</x:v>
      </x:c>
      <x:c r="I4234" t="n">
        <x:v>2.8</x:v>
      </x:c>
      <x:c r="J4234" t="n">
        <x:f>ROUND(F4234*I4234/100,2)</x:f>
        <x:v>5.32</x:v>
      </x:c>
      <x:c r="K4234" t="n">
        <x:v>7</x:v>
      </x:c>
      <x:c r="L4234" t="n">
        <x:f>ROUND(F4234*K4234/100,2)</x:f>
        <x:v>13.3</x:v>
      </x:c>
      <x:c r="M4234" t="n">
        <x:v>0.4</x:v>
      </x:c>
      <x:c r="N4234" t="n">
        <x:f>ROUND(F4234*M4234/100,2)</x:f>
        <x:v>0.76</x:v>
      </x:c>
      <x:c r="O4234" t="str">
        <x:v>生重</x:v>
      </x:c>
    </x:row>
    <x:row r="4235" ht="23" customHeight="1">
      <x:c r="A4235" t="n">
        <x:v>706</x:v>
      </x:c>
      <x:c r="B4235" t="n">
        <x:v>353</x:v>
      </x:c>
      <x:c r="C4235" t="str">
        <x:v>晚餐</x:v>
      </x:c>
      <x:c r="D4235" t="str">
        <x:v>蔬菜</x:v>
      </x:c>
      <x:c r="E4235" t="str">
        <x:v>洋葱</x:v>
      </x:c>
      <x:c r="F4235" t="n">
        <x:v>155</x:v>
      </x:c>
      <x:c r="G4235" t="n">
        <x:v>40</x:v>
      </x:c>
      <x:c r="H4235" t="n">
        <x:f>ROUND(F4235*G4235/100,2)</x:f>
        <x:v>62</x:v>
      </x:c>
      <x:c r="I4235" t="n">
        <x:v>1.1</x:v>
      </x:c>
      <x:c r="J4235" t="n">
        <x:f>ROUND(F4235*I4235/100,2)</x:f>
        <x:v>1.71</x:v>
      </x:c>
      <x:c r="K4235" t="n">
        <x:v>9.3</x:v>
      </x:c>
      <x:c r="L4235" t="n">
        <x:f>ROUND(F4235*K4235/100,2)</x:f>
        <x:v>14.42</x:v>
      </x:c>
      <x:c r="M4235" t="n">
        <x:v>0.1</x:v>
      </x:c>
      <x:c r="N4235" t="n">
        <x:f>ROUND(F4235*M4235/100,2)</x:f>
        <x:v>0.16</x:v>
      </x:c>
      <x:c r="O4235" t="str">
        <x:v>生重</x:v>
      </x:c>
    </x:row>
    <x:row r="4236" ht="23" customHeight="1">
      <x:c r="A4236" t="n">
        <x:v>706</x:v>
      </x:c>
      <x:c r="B4236" t="n">
        <x:v>353</x:v>
      </x:c>
      <x:c r="C4236" t="str">
        <x:v>晚餐</x:v>
      </x:c>
      <x:c r="D4236" t="str">
        <x:v>主食</x:v>
      </x:c>
      <x:c r="E4236" t="str">
        <x:v>乌冬面</x:v>
      </x:c>
      <x:c r="F4236" t="n">
        <x:v>95</x:v>
      </x:c>
      <x:c r="G4236" t="n">
        <x:v>120</x:v>
      </x:c>
      <x:c r="H4236" t="n">
        <x:f>ROUND(F4236*G4236/100,2)</x:f>
        <x:v>114</x:v>
      </x:c>
      <x:c r="I4236" t="n">
        <x:v>2.5</x:v>
      </x:c>
      <x:c r="J4236" t="n">
        <x:f>ROUND(F4236*I4236/100,2)</x:f>
        <x:v>2.38</x:v>
      </x:c>
      <x:c r="K4236" t="n">
        <x:v>25</x:v>
      </x:c>
      <x:c r="L4236" t="n">
        <x:f>ROUND(F4236*K4236/100,2)</x:f>
        <x:v>23.75</x:v>
      </x:c>
      <x:c r="M4236" t="n">
        <x:v>0.6</x:v>
      </x:c>
      <x:c r="N4236" t="n">
        <x:f>ROUND(F4236*M4236/100,2)</x:f>
        <x:v>0.57</x:v>
      </x:c>
      <x:c r="O4236" t="str">
        <x:v>煮熟沥水重</x:v>
      </x:c>
    </x:row>
    <x:row r="4237" ht="23" customHeight="1">
      <x:c r="A4237" t="n">
        <x:v>706</x:v>
      </x:c>
      <x:c r="B4237" t="n">
        <x:v>353</x:v>
      </x:c>
      <x:c r="C4237" t="str">
        <x:v>晚餐</x:v>
      </x:c>
      <x:c r="D4237" t="str">
        <x:v>油脂</x:v>
      </x:c>
      <x:c r="E4237" t="str">
        <x:v>烹调油</x:v>
      </x:c>
      <x:c r="F4237" t="n">
        <x:v>5</x:v>
      </x:c>
      <x:c r="G4237" t="n">
        <x:v>900</x:v>
      </x:c>
      <x:c r="H4237" t="n">
        <x:f>ROUND(F4237*G4237/100,2)</x:f>
        <x:v>45</x:v>
      </x:c>
      <x:c r="I4237" t="n">
        <x:v>0</x:v>
      </x:c>
      <x:c r="J4237" t="n">
        <x:f>ROUND(F4237*I4237/100,2)</x:f>
        <x:v>0</x:v>
      </x:c>
      <x:c r="K4237" t="n">
        <x:v>0</x:v>
      </x:c>
      <x:c r="L4237" t="n">
        <x:f>ROUND(F4237*K4237/100,2)</x:f>
        <x:v>0</x:v>
      </x:c>
      <x:c r="M4237" t="n">
        <x:v>100</x:v>
      </x:c>
      <x:c r="N4237" t="n">
        <x:f>ROUND(F4237*M4237/100,2)</x:f>
        <x:v>5</x:v>
      </x:c>
      <x:c r="O4237" t="str">
        <x:v>实际用油重</x:v>
      </x:c>
    </x:row>
    <x:row r="4238" ht="23" customHeight="1">
      <x:c r="A4238" t="n">
        <x:v>707</x:v>
      </x:c>
      <x:c r="B4238" t="n">
        <x:v>354</x:v>
      </x:c>
      <x:c r="C4238" t="str">
        <x:v>午餐</x:v>
      </x:c>
      <x:c r="D4238" t="str">
        <x:v>牛肉</x:v>
      </x:c>
      <x:c r="E4238" t="str">
        <x:v>瘦牛肉</x:v>
      </x:c>
      <x:c r="F4238" t="n">
        <x:v>165</x:v>
      </x:c>
      <x:c r="G4238" t="n">
        <x:v>125</x:v>
      </x:c>
      <x:c r="H4238" t="n">
        <x:f>ROUND(F4238*G4238/100,2)</x:f>
        <x:v>206.25</x:v>
      </x:c>
      <x:c r="I4238" t="n">
        <x:v>21</x:v>
      </x:c>
      <x:c r="J4238" t="n">
        <x:f>ROUND(F4238*I4238/100,2)</x:f>
        <x:v>34.65</x:v>
      </x:c>
      <x:c r="K4238" t="n">
        <x:v>0</x:v>
      </x:c>
      <x:c r="L4238" t="n">
        <x:f>ROUND(F4238*K4238/100,2)</x:f>
        <x:v>0</x:v>
      </x:c>
      <x:c r="M4238" t="n">
        <x:v>4</x:v>
      </x:c>
      <x:c r="N4238" t="n">
        <x:f>ROUND(F4238*M4238/100,2)</x:f>
        <x:v>6.6</x:v>
      </x:c>
      <x:c r="O4238" t="str">
        <x:v>生重</x:v>
      </x:c>
    </x:row>
    <x:row r="4239" ht="23" customHeight="1">
      <x:c r="A4239" t="n">
        <x:v>707</x:v>
      </x:c>
      <x:c r="B4239" t="n">
        <x:v>354</x:v>
      </x:c>
      <x:c r="C4239" t="str">
        <x:v>午餐</x:v>
      </x:c>
      <x:c r="D4239" t="str"/>
      <x:c r="E4239" t="str"/>
      <x:c r="F4239" t="n">
        <x:v>0</x:v>
      </x:c>
      <x:c r="G4239" t="n">
        <x:v>0</x:v>
      </x:c>
      <x:c r="H4239" t="n">
        <x:f>ROUND(F4239*G4239/100,2)</x:f>
        <x:v>0</x:v>
      </x:c>
      <x:c r="I4239" t="n">
        <x:v>0</x:v>
      </x:c>
      <x:c r="J4239" t="n">
        <x:f>ROUND(F4239*I4239/100,2)</x:f>
        <x:v>0</x:v>
      </x:c>
      <x:c r="K4239" t="n">
        <x:v>0</x:v>
      </x:c>
      <x:c r="L4239" t="n">
        <x:f>ROUND(F4239*K4239/100,2)</x:f>
        <x:v>0</x:v>
      </x:c>
      <x:c r="M4239" t="n">
        <x:v>0</x:v>
      </x:c>
      <x:c r="N4239" t="n">
        <x:f>ROUND(F4239*M4239/100,2)</x:f>
        <x:v>0</x:v>
      </x:c>
      <x:c r="O4239" t="str"/>
    </x:row>
    <x:row r="4240" ht="23" customHeight="1">
      <x:c r="A4240" t="n">
        <x:v>707</x:v>
      </x:c>
      <x:c r="B4240" t="n">
        <x:v>354</x:v>
      </x:c>
      <x:c r="C4240" t="str">
        <x:v>午餐</x:v>
      </x:c>
      <x:c r="D4240" t="str">
        <x:v>蔬菜</x:v>
      </x:c>
      <x:c r="E4240" t="str">
        <x:v>彩椒</x:v>
      </x:c>
      <x:c r="F4240" t="n">
        <x:v>140</x:v>
      </x:c>
      <x:c r="G4240" t="n">
        <x:v>27</x:v>
      </x:c>
      <x:c r="H4240" t="n">
        <x:f>ROUND(F4240*G4240/100,2)</x:f>
        <x:v>37.8</x:v>
      </x:c>
      <x:c r="I4240" t="n">
        <x:v>1</x:v>
      </x:c>
      <x:c r="J4240" t="n">
        <x:f>ROUND(F4240*I4240/100,2)</x:f>
        <x:v>1.4</x:v>
      </x:c>
      <x:c r="K4240" t="n">
        <x:v>6.1</x:v>
      </x:c>
      <x:c r="L4240" t="n">
        <x:f>ROUND(F4240*K4240/100,2)</x:f>
        <x:v>8.54</x:v>
      </x:c>
      <x:c r="M4240" t="n">
        <x:v>0.2</x:v>
      </x:c>
      <x:c r="N4240" t="n">
        <x:f>ROUND(F4240*M4240/100,2)</x:f>
        <x:v>0.28</x:v>
      </x:c>
      <x:c r="O4240" t="str">
        <x:v>生重</x:v>
      </x:c>
    </x:row>
    <x:row r="4241" ht="23" customHeight="1">
      <x:c r="A4241" t="n">
        <x:v>707</x:v>
      </x:c>
      <x:c r="B4241" t="n">
        <x:v>354</x:v>
      </x:c>
      <x:c r="C4241" t="str">
        <x:v>午餐</x:v>
      </x:c>
      <x:c r="D4241" t="str">
        <x:v>蔬菜</x:v>
      </x:c>
      <x:c r="E4241" t="str">
        <x:v>洋葱</x:v>
      </x:c>
      <x:c r="F4241" t="n">
        <x:v>125</x:v>
      </x:c>
      <x:c r="G4241" t="n">
        <x:v>40</x:v>
      </x:c>
      <x:c r="H4241" t="n">
        <x:f>ROUND(F4241*G4241/100,2)</x:f>
        <x:v>50</x:v>
      </x:c>
      <x:c r="I4241" t="n">
        <x:v>1.1</x:v>
      </x:c>
      <x:c r="J4241" t="n">
        <x:f>ROUND(F4241*I4241/100,2)</x:f>
        <x:v>1.38</x:v>
      </x:c>
      <x:c r="K4241" t="n">
        <x:v>9.3</x:v>
      </x:c>
      <x:c r="L4241" t="n">
        <x:f>ROUND(F4241*K4241/100,2)</x:f>
        <x:v>11.63</x:v>
      </x:c>
      <x:c r="M4241" t="n">
        <x:v>0.1</x:v>
      </x:c>
      <x:c r="N4241" t="n">
        <x:f>ROUND(F4241*M4241/100,2)</x:f>
        <x:v>0.13</x:v>
      </x:c>
      <x:c r="O4241" t="str">
        <x:v>生重</x:v>
      </x:c>
    </x:row>
    <x:row r="4242" ht="23" customHeight="1">
      <x:c r="A4242" t="n">
        <x:v>707</x:v>
      </x:c>
      <x:c r="B4242" t="n">
        <x:v>354</x:v>
      </x:c>
      <x:c r="C4242" t="str">
        <x:v>午餐</x:v>
      </x:c>
      <x:c r="D4242" t="str">
        <x:v>主食</x:v>
      </x:c>
      <x:c r="E4242" t="str">
        <x:v>全麦面</x:v>
      </x:c>
      <x:c r="F4242" t="n">
        <x:v>150</x:v>
      </x:c>
      <x:c r="G4242" t="n">
        <x:v>124</x:v>
      </x:c>
      <x:c r="H4242" t="n">
        <x:f>ROUND(F4242*G4242/100,2)</x:f>
        <x:v>186</x:v>
      </x:c>
      <x:c r="I4242" t="n">
        <x:v>5</x:v>
      </x:c>
      <x:c r="J4242" t="n">
        <x:f>ROUND(F4242*I4242/100,2)</x:f>
        <x:v>7.5</x:v>
      </x:c>
      <x:c r="K4242" t="n">
        <x:v>25</x:v>
      </x:c>
      <x:c r="L4242" t="n">
        <x:f>ROUND(F4242*K4242/100,2)</x:f>
        <x:v>37.5</x:v>
      </x:c>
      <x:c r="M4242" t="n">
        <x:v>1.1</x:v>
      </x:c>
      <x:c r="N4242" t="n">
        <x:f>ROUND(F4242*M4242/100,2)</x:f>
        <x:v>1.65</x:v>
      </x:c>
      <x:c r="O4242" t="str">
        <x:v>煮熟沥水重</x:v>
      </x:c>
    </x:row>
    <x:row r="4243" ht="23" customHeight="1">
      <x:c r="A4243" t="n">
        <x:v>707</x:v>
      </x:c>
      <x:c r="B4243" t="n">
        <x:v>354</x:v>
      </x:c>
      <x:c r="C4243" t="str">
        <x:v>午餐</x:v>
      </x:c>
      <x:c r="D4243" t="str">
        <x:v>油脂</x:v>
      </x:c>
      <x:c r="E4243" t="str">
        <x:v>烹调油</x:v>
      </x:c>
      <x:c r="F4243" t="n">
        <x:v>6</x:v>
      </x:c>
      <x:c r="G4243" t="n">
        <x:v>900</x:v>
      </x:c>
      <x:c r="H4243" t="n">
        <x:f>ROUND(F4243*G4243/100,2)</x:f>
        <x:v>54</x:v>
      </x:c>
      <x:c r="I4243" t="n">
        <x:v>0</x:v>
      </x:c>
      <x:c r="J4243" t="n">
        <x:f>ROUND(F4243*I4243/100,2)</x:f>
        <x:v>0</x:v>
      </x:c>
      <x:c r="K4243" t="n">
        <x:v>0</x:v>
      </x:c>
      <x:c r="L4243" t="n">
        <x:f>ROUND(F4243*K4243/100,2)</x:f>
        <x:v>0</x:v>
      </x:c>
      <x:c r="M4243" t="n">
        <x:v>100</x:v>
      </x:c>
      <x:c r="N4243" t="n">
        <x:f>ROUND(F4243*M4243/100,2)</x:f>
        <x:v>6</x:v>
      </x:c>
      <x:c r="O4243" t="str">
        <x:v>实际用油重</x:v>
      </x:c>
    </x:row>
    <x:row r="4244" ht="23" customHeight="1">
      <x:c r="A4244" t="n">
        <x:v>708</x:v>
      </x:c>
      <x:c r="B4244" t="n">
        <x:v>354</x:v>
      </x:c>
      <x:c r="C4244" t="str">
        <x:v>晚餐</x:v>
      </x:c>
      <x:c r="D4244" t="str">
        <x:v>禽肉</x:v>
      </x:c>
      <x:c r="E4244" t="str">
        <x:v>鸡里脊肉</x:v>
      </x:c>
      <x:c r="F4244" t="n">
        <x:v>145</x:v>
      </x:c>
      <x:c r="G4244" t="n">
        <x:v>110</x:v>
      </x:c>
      <x:c r="H4244" t="n">
        <x:f>ROUND(F4244*G4244/100,2)</x:f>
        <x:v>159.5</x:v>
      </x:c>
      <x:c r="I4244" t="n">
        <x:v>23</x:v>
      </x:c>
      <x:c r="J4244" t="n">
        <x:f>ROUND(F4244*I4244/100,2)</x:f>
        <x:v>33.35</x:v>
      </x:c>
      <x:c r="K4244" t="n">
        <x:v>0</x:v>
      </x:c>
      <x:c r="L4244" t="n">
        <x:f>ROUND(F4244*K4244/100,2)</x:f>
        <x:v>0</x:v>
      </x:c>
      <x:c r="M4244" t="n">
        <x:v>1.8</x:v>
      </x:c>
      <x:c r="N4244" t="n">
        <x:f>ROUND(F4244*M4244/100,2)</x:f>
        <x:v>2.61</x:v>
      </x:c>
      <x:c r="O4244" t="str">
        <x:v>生重</x:v>
      </x:c>
    </x:row>
    <x:row r="4245" ht="23" customHeight="1">
      <x:c r="A4245" t="n">
        <x:v>708</x:v>
      </x:c>
      <x:c r="B4245" t="n">
        <x:v>354</x:v>
      </x:c>
      <x:c r="C4245" t="str">
        <x:v>晚餐</x:v>
      </x:c>
      <x:c r="D4245" t="str"/>
      <x:c r="E4245" t="str"/>
      <x:c r="F4245" t="n">
        <x:v>0</x:v>
      </x:c>
      <x:c r="G4245" t="n">
        <x:v>0</x:v>
      </x:c>
      <x:c r="H4245" t="n">
        <x:f>ROUND(F4245*G4245/100,2)</x:f>
        <x:v>0</x:v>
      </x:c>
      <x:c r="I4245" t="n">
        <x:v>0</x:v>
      </x:c>
      <x:c r="J4245" t="n">
        <x:f>ROUND(F4245*I4245/100,2)</x:f>
        <x:v>0</x:v>
      </x:c>
      <x:c r="K4245" t="n">
        <x:v>0</x:v>
      </x:c>
      <x:c r="L4245" t="n">
        <x:f>ROUND(F4245*K4245/100,2)</x:f>
        <x:v>0</x:v>
      </x:c>
      <x:c r="M4245" t="n">
        <x:v>0</x:v>
      </x:c>
      <x:c r="N4245" t="n">
        <x:f>ROUND(F4245*M4245/100,2)</x:f>
        <x:v>0</x:v>
      </x:c>
      <x:c r="O4245" t="str"/>
    </x:row>
    <x:row r="4246" ht="23" customHeight="1">
      <x:c r="A4246" t="n">
        <x:v>708</x:v>
      </x:c>
      <x:c r="B4246" t="n">
        <x:v>354</x:v>
      </x:c>
      <x:c r="C4246" t="str">
        <x:v>晚餐</x:v>
      </x:c>
      <x:c r="D4246" t="str">
        <x:v>蔬菜</x:v>
      </x:c>
      <x:c r="E4246" t="str">
        <x:v>荷兰豆</x:v>
      </x:c>
      <x:c r="F4246" t="n">
        <x:v>140</x:v>
      </x:c>
      <x:c r="G4246" t="n">
        <x:v>42</x:v>
      </x:c>
      <x:c r="H4246" t="n">
        <x:f>ROUND(F4246*G4246/100,2)</x:f>
        <x:v>58.8</x:v>
      </x:c>
      <x:c r="I4246" t="n">
        <x:v>2.8</x:v>
      </x:c>
      <x:c r="J4246" t="n">
        <x:f>ROUND(F4246*I4246/100,2)</x:f>
        <x:v>3.92</x:v>
      </x:c>
      <x:c r="K4246" t="n">
        <x:v>7.5</x:v>
      </x:c>
      <x:c r="L4246" t="n">
        <x:f>ROUND(F4246*K4246/100,2)</x:f>
        <x:v>10.5</x:v>
      </x:c>
      <x:c r="M4246" t="n">
        <x:v>0.3</x:v>
      </x:c>
      <x:c r="N4246" t="n">
        <x:f>ROUND(F4246*M4246/100,2)</x:f>
        <x:v>0.42</x:v>
      </x:c>
      <x:c r="O4246" t="str">
        <x:v>生重</x:v>
      </x:c>
    </x:row>
    <x:row r="4247" ht="23" customHeight="1">
      <x:c r="A4247" t="n">
        <x:v>708</x:v>
      </x:c>
      <x:c r="B4247" t="n">
        <x:v>354</x:v>
      </x:c>
      <x:c r="C4247" t="str">
        <x:v>晚餐</x:v>
      </x:c>
      <x:c r="D4247" t="str">
        <x:v>菌菇</x:v>
      </x:c>
      <x:c r="E4247" t="str">
        <x:v>金针菇</x:v>
      </x:c>
      <x:c r="F4247" t="n">
        <x:v>110</x:v>
      </x:c>
      <x:c r="G4247" t="n">
        <x:v>32</x:v>
      </x:c>
      <x:c r="H4247" t="n">
        <x:f>ROUND(F4247*G4247/100,2)</x:f>
        <x:v>35.2</x:v>
      </x:c>
      <x:c r="I4247" t="n">
        <x:v>2.4</x:v>
      </x:c>
      <x:c r="J4247" t="n">
        <x:f>ROUND(F4247*I4247/100,2)</x:f>
        <x:v>2.64</x:v>
      </x:c>
      <x:c r="K4247" t="n">
        <x:v>6.4</x:v>
      </x:c>
      <x:c r="L4247" t="n">
        <x:f>ROUND(F4247*K4247/100,2)</x:f>
        <x:v>7.04</x:v>
      </x:c>
      <x:c r="M4247" t="n">
        <x:v>0.2</x:v>
      </x:c>
      <x:c r="N4247" t="n">
        <x:f>ROUND(F4247*M4247/100,2)</x:f>
        <x:v>0.22</x:v>
      </x:c>
      <x:c r="O4247" t="str">
        <x:v>生重</x:v>
      </x:c>
    </x:row>
    <x:row r="4248" ht="23" customHeight="1">
      <x:c r="A4248" t="n">
        <x:v>708</x:v>
      </x:c>
      <x:c r="B4248" t="n">
        <x:v>354</x:v>
      </x:c>
      <x:c r="C4248" t="str">
        <x:v>晚餐</x:v>
      </x:c>
      <x:c r="D4248" t="str">
        <x:v>主食</x:v>
      </x:c>
      <x:c r="E4248" t="str">
        <x:v>糙米饭</x:v>
      </x:c>
      <x:c r="F4248" t="n">
        <x:v>135</x:v>
      </x:c>
      <x:c r="G4248" t="n">
        <x:v>112</x:v>
      </x:c>
      <x:c r="H4248" t="n">
        <x:f>ROUND(F4248*G4248/100,2)</x:f>
        <x:v>151.2</x:v>
      </x:c>
      <x:c r="I4248" t="n">
        <x:v>2.6</x:v>
      </x:c>
      <x:c r="J4248" t="n">
        <x:f>ROUND(F4248*I4248/100,2)</x:f>
        <x:v>3.51</x:v>
      </x:c>
      <x:c r="K4248" t="n">
        <x:v>23.5</x:v>
      </x:c>
      <x:c r="L4248" t="n">
        <x:f>ROUND(F4248*K4248/100,2)</x:f>
        <x:v>31.73</x:v>
      </x:c>
      <x:c r="M4248" t="n">
        <x:v>0.9</x:v>
      </x:c>
      <x:c r="N4248" t="n">
        <x:f>ROUND(F4248*M4248/100,2)</x:f>
        <x:v>1.22</x:v>
      </x:c>
      <x:c r="O4248" t="str">
        <x:v>熟重</x:v>
      </x:c>
    </x:row>
    <x:row r="4249" ht="23" customHeight="1">
      <x:c r="A4249" t="n">
        <x:v>708</x:v>
      </x:c>
      <x:c r="B4249" t="n">
        <x:v>354</x:v>
      </x:c>
      <x:c r="C4249" t="str">
        <x:v>晚餐</x:v>
      </x:c>
      <x:c r="D4249" t="str">
        <x:v>油脂</x:v>
      </x:c>
      <x:c r="E4249" t="str">
        <x:v>烹调油</x:v>
      </x:c>
      <x:c r="F4249" t="n">
        <x:v>6</x:v>
      </x:c>
      <x:c r="G4249" t="n">
        <x:v>900</x:v>
      </x:c>
      <x:c r="H4249" t="n">
        <x:f>ROUND(F4249*G4249/100,2)</x:f>
        <x:v>54</x:v>
      </x:c>
      <x:c r="I4249" t="n">
        <x:v>0</x:v>
      </x:c>
      <x:c r="J4249" t="n">
        <x:f>ROUND(F4249*I4249/100,2)</x:f>
        <x:v>0</x:v>
      </x:c>
      <x:c r="K4249" t="n">
        <x:v>0</x:v>
      </x:c>
      <x:c r="L4249" t="n">
        <x:f>ROUND(F4249*K4249/100,2)</x:f>
        <x:v>0</x:v>
      </x:c>
      <x:c r="M4249" t="n">
        <x:v>100</x:v>
      </x:c>
      <x:c r="N4249" t="n">
        <x:f>ROUND(F4249*M4249/100,2)</x:f>
        <x:v>6</x:v>
      </x:c>
      <x:c r="O4249" t="str">
        <x:v>实际用油重</x:v>
      </x:c>
    </x:row>
    <x:row r="4250" ht="23" customHeight="1">
      <x:c r="A4250" t="n">
        <x:v>709</x:v>
      </x:c>
      <x:c r="B4250" t="n">
        <x:v>355</x:v>
      </x:c>
      <x:c r="C4250" t="str">
        <x:v>午餐</x:v>
      </x:c>
      <x:c r="D4250" t="str">
        <x:v>牛肉</x:v>
      </x:c>
      <x:c r="E4250" t="str">
        <x:v>瘦牛肉</x:v>
      </x:c>
      <x:c r="F4250" t="n">
        <x:v>155</x:v>
      </x:c>
      <x:c r="G4250" t="n">
        <x:v>125</x:v>
      </x:c>
      <x:c r="H4250" t="n">
        <x:f>ROUND(F4250*G4250/100,2)</x:f>
        <x:v>193.75</x:v>
      </x:c>
      <x:c r="I4250" t="n">
        <x:v>21</x:v>
      </x:c>
      <x:c r="J4250" t="n">
        <x:f>ROUND(F4250*I4250/100,2)</x:f>
        <x:v>32.55</x:v>
      </x:c>
      <x:c r="K4250" t="n">
        <x:v>0</x:v>
      </x:c>
      <x:c r="L4250" t="n">
        <x:f>ROUND(F4250*K4250/100,2)</x:f>
        <x:v>0</x:v>
      </x:c>
      <x:c r="M4250" t="n">
        <x:v>4</x:v>
      </x:c>
      <x:c r="N4250" t="n">
        <x:f>ROUND(F4250*M4250/100,2)</x:f>
        <x:v>6.2</x:v>
      </x:c>
      <x:c r="O4250" t="str">
        <x:v>生重</x:v>
      </x:c>
    </x:row>
    <x:row r="4251" ht="23" customHeight="1">
      <x:c r="A4251" t="n">
        <x:v>709</x:v>
      </x:c>
      <x:c r="B4251" t="n">
        <x:v>355</x:v>
      </x:c>
      <x:c r="C4251" t="str">
        <x:v>午餐</x:v>
      </x:c>
      <x:c r="D4251" t="str"/>
      <x:c r="E4251" t="str"/>
      <x:c r="F4251" t="n">
        <x:v>0</x:v>
      </x:c>
      <x:c r="G4251" t="n">
        <x:v>0</x:v>
      </x:c>
      <x:c r="H4251" t="n">
        <x:f>ROUND(F4251*G4251/100,2)</x:f>
        <x:v>0</x:v>
      </x:c>
      <x:c r="I4251" t="n">
        <x:v>0</x:v>
      </x:c>
      <x:c r="J4251" t="n">
        <x:f>ROUND(F4251*I4251/100,2)</x:f>
        <x:v>0</x:v>
      </x:c>
      <x:c r="K4251" t="n">
        <x:v>0</x:v>
      </x:c>
      <x:c r="L4251" t="n">
        <x:f>ROUND(F4251*K4251/100,2)</x:f>
        <x:v>0</x:v>
      </x:c>
      <x:c r="M4251" t="n">
        <x:v>0</x:v>
      </x:c>
      <x:c r="N4251" t="n">
        <x:f>ROUND(F4251*M4251/100,2)</x:f>
        <x:v>0</x:v>
      </x:c>
      <x:c r="O4251" t="str"/>
    </x:row>
    <x:row r="4252" ht="23" customHeight="1">
      <x:c r="A4252" t="n">
        <x:v>709</x:v>
      </x:c>
      <x:c r="B4252" t="n">
        <x:v>355</x:v>
      </x:c>
      <x:c r="C4252" t="str">
        <x:v>午餐</x:v>
      </x:c>
      <x:c r="D4252" t="str">
        <x:v>蔬菜</x:v>
      </x:c>
      <x:c r="E4252" t="str">
        <x:v>菠菜</x:v>
      </x:c>
      <x:c r="F4252" t="n">
        <x:v>175</x:v>
      </x:c>
      <x:c r="G4252" t="n">
        <x:v>23</x:v>
      </x:c>
      <x:c r="H4252" t="n">
        <x:f>ROUND(F4252*G4252/100,2)</x:f>
        <x:v>40.25</x:v>
      </x:c>
      <x:c r="I4252" t="n">
        <x:v>2.9</x:v>
      </x:c>
      <x:c r="J4252" t="n">
        <x:f>ROUND(F4252*I4252/100,2)</x:f>
        <x:v>5.08</x:v>
      </x:c>
      <x:c r="K4252" t="n">
        <x:v>3.6</x:v>
      </x:c>
      <x:c r="L4252" t="n">
        <x:f>ROUND(F4252*K4252/100,2)</x:f>
        <x:v>6.3</x:v>
      </x:c>
      <x:c r="M4252" t="n">
        <x:v>0.4</x:v>
      </x:c>
      <x:c r="N4252" t="n">
        <x:f>ROUND(F4252*M4252/100,2)</x:f>
        <x:v>0.7</x:v>
      </x:c>
      <x:c r="O4252" t="str">
        <x:v>生重</x:v>
      </x:c>
    </x:row>
    <x:row r="4253" ht="23" customHeight="1">
      <x:c r="A4253" t="n">
        <x:v>709</x:v>
      </x:c>
      <x:c r="B4253" t="n">
        <x:v>355</x:v>
      </x:c>
      <x:c r="C4253" t="str">
        <x:v>午餐</x:v>
      </x:c>
      <x:c r="D4253" t="str">
        <x:v>蔬菜</x:v>
      </x:c>
      <x:c r="E4253" t="str">
        <x:v>黄瓜</x:v>
      </x:c>
      <x:c r="F4253" t="n">
        <x:v>155</x:v>
      </x:c>
      <x:c r="G4253" t="n">
        <x:v>16</x:v>
      </x:c>
      <x:c r="H4253" t="n">
        <x:f>ROUND(F4253*G4253/100,2)</x:f>
        <x:v>24.8</x:v>
      </x:c>
      <x:c r="I4253" t="n">
        <x:v>0.7</x:v>
      </x:c>
      <x:c r="J4253" t="n">
        <x:f>ROUND(F4253*I4253/100,2)</x:f>
        <x:v>1.09</x:v>
      </x:c>
      <x:c r="K4253" t="n">
        <x:v>3.6</x:v>
      </x:c>
      <x:c r="L4253" t="n">
        <x:f>ROUND(F4253*K4253/100,2)</x:f>
        <x:v>5.58</x:v>
      </x:c>
      <x:c r="M4253" t="n">
        <x:v>0.1</x:v>
      </x:c>
      <x:c r="N4253" t="n">
        <x:f>ROUND(F4253*M4253/100,2)</x:f>
        <x:v>0.16</x:v>
      </x:c>
      <x:c r="O4253" t="str">
        <x:v>生重</x:v>
      </x:c>
    </x:row>
    <x:row r="4254" ht="23" customHeight="1">
      <x:c r="A4254" t="n">
        <x:v>709</x:v>
      </x:c>
      <x:c r="B4254" t="n">
        <x:v>355</x:v>
      </x:c>
      <x:c r="C4254" t="str">
        <x:v>午餐</x:v>
      </x:c>
      <x:c r="D4254" t="str">
        <x:v>主食</x:v>
      </x:c>
      <x:c r="E4254" t="str">
        <x:v>土豆</x:v>
      </x:c>
      <x:c r="F4254" t="n">
        <x:v>165</x:v>
      </x:c>
      <x:c r="G4254" t="n">
        <x:v>78</x:v>
      </x:c>
      <x:c r="H4254" t="n">
        <x:f>ROUND(F4254*G4254/100,2)</x:f>
        <x:v>128.7</x:v>
      </x:c>
      <x:c r="I4254" t="n">
        <x:v>2</x:v>
      </x:c>
      <x:c r="J4254" t="n">
        <x:f>ROUND(F4254*I4254/100,2)</x:f>
        <x:v>3.3</x:v>
      </x:c>
      <x:c r="K4254" t="n">
        <x:v>17.2</x:v>
      </x:c>
      <x:c r="L4254" t="n">
        <x:f>ROUND(F4254*K4254/100,2)</x:f>
        <x:v>28.38</x:v>
      </x:c>
      <x:c r="M4254" t="n">
        <x:v>0.1</x:v>
      </x:c>
      <x:c r="N4254" t="n">
        <x:f>ROUND(F4254*M4254/100,2)</x:f>
        <x:v>0.17</x:v>
      </x:c>
      <x:c r="O4254" t="str">
        <x:v>蒸熟净重</x:v>
      </x:c>
    </x:row>
    <x:row r="4255" ht="23" customHeight="1">
      <x:c r="A4255" t="n">
        <x:v>709</x:v>
      </x:c>
      <x:c r="B4255" t="n">
        <x:v>355</x:v>
      </x:c>
      <x:c r="C4255" t="str">
        <x:v>午餐</x:v>
      </x:c>
      <x:c r="D4255" t="str">
        <x:v>油脂</x:v>
      </x:c>
      <x:c r="E4255" t="str">
        <x:v>烹调油</x:v>
      </x:c>
      <x:c r="F4255" t="n">
        <x:v>5</x:v>
      </x:c>
      <x:c r="G4255" t="n">
        <x:v>900</x:v>
      </x:c>
      <x:c r="H4255" t="n">
        <x:f>ROUND(F4255*G4255/100,2)</x:f>
        <x:v>45</x:v>
      </x:c>
      <x:c r="I4255" t="n">
        <x:v>0</x:v>
      </x:c>
      <x:c r="J4255" t="n">
        <x:f>ROUND(F4255*I4255/100,2)</x:f>
        <x:v>0</x:v>
      </x:c>
      <x:c r="K4255" t="n">
        <x:v>0</x:v>
      </x:c>
      <x:c r="L4255" t="n">
        <x:f>ROUND(F4255*K4255/100,2)</x:f>
        <x:v>0</x:v>
      </x:c>
      <x:c r="M4255" t="n">
        <x:v>100</x:v>
      </x:c>
      <x:c r="N4255" t="n">
        <x:f>ROUND(F4255*M4255/100,2)</x:f>
        <x:v>5</x:v>
      </x:c>
      <x:c r="O4255" t="str">
        <x:v>实际用油重</x:v>
      </x:c>
    </x:row>
    <x:row r="4256" ht="23" customHeight="1">
      <x:c r="A4256" t="n">
        <x:v>710</x:v>
      </x:c>
      <x:c r="B4256" t="n">
        <x:v>355</x:v>
      </x:c>
      <x:c r="C4256" t="str">
        <x:v>晚餐</x:v>
      </x:c>
      <x:c r="D4256" t="str">
        <x:v>豆蛋</x:v>
      </x:c>
      <x:c r="E4256" t="str">
        <x:v>鸡蛋</x:v>
      </x:c>
      <x:c r="F4256" t="n">
        <x:v>120</x:v>
      </x:c>
      <x:c r="G4256" t="n">
        <x:v>144</x:v>
      </x:c>
      <x:c r="H4256" t="n">
        <x:f>ROUND(F4256*G4256/100,2)</x:f>
        <x:v>172.8</x:v>
      </x:c>
      <x:c r="I4256" t="n">
        <x:v>13</x:v>
      </x:c>
      <x:c r="J4256" t="n">
        <x:f>ROUND(F4256*I4256/100,2)</x:f>
        <x:v>15.6</x:v>
      </x:c>
      <x:c r="K4256" t="n">
        <x:v>1.1</x:v>
      </x:c>
      <x:c r="L4256" t="n">
        <x:f>ROUND(F4256*K4256/100,2)</x:f>
        <x:v>1.32</x:v>
      </x:c>
      <x:c r="M4256" t="n">
        <x:v>10</x:v>
      </x:c>
      <x:c r="N4256" t="n">
        <x:f>ROUND(F4256*M4256/100,2)</x:f>
        <x:v>12</x:v>
      </x:c>
      <x:c r="O4256" t="str">
        <x:v>去壳可食重</x:v>
      </x:c>
    </x:row>
    <x:row r="4257" ht="23" customHeight="1">
      <x:c r="A4257" t="n">
        <x:v>710</x:v>
      </x:c>
      <x:c r="B4257" t="n">
        <x:v>355</x:v>
      </x:c>
      <x:c r="C4257" t="str">
        <x:v>晚餐</x:v>
      </x:c>
      <x:c r="D4257" t="str">
        <x:v>豆蛋</x:v>
      </x:c>
      <x:c r="E4257" t="str">
        <x:v>嫩豆腐</x:v>
      </x:c>
      <x:c r="F4257" t="n">
        <x:v>135</x:v>
      </x:c>
      <x:c r="G4257" t="n">
        <x:v>55</x:v>
      </x:c>
      <x:c r="H4257" t="n">
        <x:f>ROUND(F4257*G4257/100,2)</x:f>
        <x:v>74.25</x:v>
      </x:c>
      <x:c r="I4257" t="n">
        <x:v>5</x:v>
      </x:c>
      <x:c r="J4257" t="n">
        <x:f>ROUND(F4257*I4257/100,2)</x:f>
        <x:v>6.75</x:v>
      </x:c>
      <x:c r="K4257" t="n">
        <x:v>2</x:v>
      </x:c>
      <x:c r="L4257" t="n">
        <x:f>ROUND(F4257*K4257/100,2)</x:f>
        <x:v>2.7</x:v>
      </x:c>
      <x:c r="M4257" t="n">
        <x:v>2.8</x:v>
      </x:c>
      <x:c r="N4257" t="n">
        <x:f>ROUND(F4257*M4257/100,2)</x:f>
        <x:v>3.78</x:v>
      </x:c>
      <x:c r="O4257" t="str">
        <x:v>净重</x:v>
      </x:c>
    </x:row>
    <x:row r="4258" ht="23" customHeight="1">
      <x:c r="A4258" t="n">
        <x:v>710</x:v>
      </x:c>
      <x:c r="B4258" t="n">
        <x:v>355</x:v>
      </x:c>
      <x:c r="C4258" t="str">
        <x:v>晚餐</x:v>
      </x:c>
      <x:c r="D4258" t="str">
        <x:v>蔬菜</x:v>
      </x:c>
      <x:c r="E4258" t="str">
        <x:v>芦笋</x:v>
      </x:c>
      <x:c r="F4258" t="n">
        <x:v>140</x:v>
      </x:c>
      <x:c r="G4258" t="n">
        <x:v>20</x:v>
      </x:c>
      <x:c r="H4258" t="n">
        <x:f>ROUND(F4258*G4258/100,2)</x:f>
        <x:v>28</x:v>
      </x:c>
      <x:c r="I4258" t="n">
        <x:v>2.2</x:v>
      </x:c>
      <x:c r="J4258" t="n">
        <x:f>ROUND(F4258*I4258/100,2)</x:f>
        <x:v>3.08</x:v>
      </x:c>
      <x:c r="K4258" t="n">
        <x:v>3.9</x:v>
      </x:c>
      <x:c r="L4258" t="n">
        <x:f>ROUND(F4258*K4258/100,2)</x:f>
        <x:v>5.46</x:v>
      </x:c>
      <x:c r="M4258" t="n">
        <x:v>0.1</x:v>
      </x:c>
      <x:c r="N4258" t="n">
        <x:f>ROUND(F4258*M4258/100,2)</x:f>
        <x:v>0.14</x:v>
      </x:c>
      <x:c r="O4258" t="str">
        <x:v>生重</x:v>
      </x:c>
    </x:row>
    <x:row r="4259" ht="23" customHeight="1">
      <x:c r="A4259" t="n">
        <x:v>710</x:v>
      </x:c>
      <x:c r="B4259" t="n">
        <x:v>355</x:v>
      </x:c>
      <x:c r="C4259" t="str">
        <x:v>晚餐</x:v>
      </x:c>
      <x:c r="D4259" t="str">
        <x:v>蔬菜</x:v>
      </x:c>
      <x:c r="E4259" t="str">
        <x:v>彩椒</x:v>
      </x:c>
      <x:c r="F4259" t="n">
        <x:v>140</x:v>
      </x:c>
      <x:c r="G4259" t="n">
        <x:v>27</x:v>
      </x:c>
      <x:c r="H4259" t="n">
        <x:f>ROUND(F4259*G4259/100,2)</x:f>
        <x:v>37.8</x:v>
      </x:c>
      <x:c r="I4259" t="n">
        <x:v>1</x:v>
      </x:c>
      <x:c r="J4259" t="n">
        <x:f>ROUND(F4259*I4259/100,2)</x:f>
        <x:v>1.4</x:v>
      </x:c>
      <x:c r="K4259" t="n">
        <x:v>6.1</x:v>
      </x:c>
      <x:c r="L4259" t="n">
        <x:f>ROUND(F4259*K4259/100,2)</x:f>
        <x:v>8.54</x:v>
      </x:c>
      <x:c r="M4259" t="n">
        <x:v>0.2</x:v>
      </x:c>
      <x:c r="N4259" t="n">
        <x:f>ROUND(F4259*M4259/100,2)</x:f>
        <x:v>0.28</x:v>
      </x:c>
      <x:c r="O4259" t="str">
        <x:v>生重</x:v>
      </x:c>
    </x:row>
    <x:row r="4260" ht="23" customHeight="1">
      <x:c r="A4260" t="n">
        <x:v>710</x:v>
      </x:c>
      <x:c r="B4260" t="n">
        <x:v>355</x:v>
      </x:c>
      <x:c r="C4260" t="str">
        <x:v>晚餐</x:v>
      </x:c>
      <x:c r="D4260" t="str">
        <x:v>主食</x:v>
      </x:c>
      <x:c r="E4260" t="str">
        <x:v>乌冬面</x:v>
      </x:c>
      <x:c r="F4260" t="n">
        <x:v>95</x:v>
      </x:c>
      <x:c r="G4260" t="n">
        <x:v>120</x:v>
      </x:c>
      <x:c r="H4260" t="n">
        <x:f>ROUND(F4260*G4260/100,2)</x:f>
        <x:v>114</x:v>
      </x:c>
      <x:c r="I4260" t="n">
        <x:v>2.5</x:v>
      </x:c>
      <x:c r="J4260" t="n">
        <x:f>ROUND(F4260*I4260/100,2)</x:f>
        <x:v>2.38</x:v>
      </x:c>
      <x:c r="K4260" t="n">
        <x:v>25</x:v>
      </x:c>
      <x:c r="L4260" t="n">
        <x:f>ROUND(F4260*K4260/100,2)</x:f>
        <x:v>23.75</x:v>
      </x:c>
      <x:c r="M4260" t="n">
        <x:v>0.6</x:v>
      </x:c>
      <x:c r="N4260" t="n">
        <x:f>ROUND(F4260*M4260/100,2)</x:f>
        <x:v>0.57</x:v>
      </x:c>
      <x:c r="O4260" t="str">
        <x:v>煮熟沥水重</x:v>
      </x:c>
    </x:row>
    <x:row r="4261" ht="23" customHeight="1">
      <x:c r="A4261" t="n">
        <x:v>710</x:v>
      </x:c>
      <x:c r="B4261" t="n">
        <x:v>355</x:v>
      </x:c>
      <x:c r="C4261" t="str">
        <x:v>晚餐</x:v>
      </x:c>
      <x:c r="D4261" t="str">
        <x:v>油脂</x:v>
      </x:c>
      <x:c r="E4261" t="str">
        <x:v>烹调油</x:v>
      </x:c>
      <x:c r="F4261" t="n">
        <x:v>6</x:v>
      </x:c>
      <x:c r="G4261" t="n">
        <x:v>900</x:v>
      </x:c>
      <x:c r="H4261" t="n">
        <x:f>ROUND(F4261*G4261/100,2)</x:f>
        <x:v>54</x:v>
      </x:c>
      <x:c r="I4261" t="n">
        <x:v>0</x:v>
      </x:c>
      <x:c r="J4261" t="n">
        <x:f>ROUND(F4261*I4261/100,2)</x:f>
        <x:v>0</x:v>
      </x:c>
      <x:c r="K4261" t="n">
        <x:v>0</x:v>
      </x:c>
      <x:c r="L4261" t="n">
        <x:f>ROUND(F4261*K4261/100,2)</x:f>
        <x:v>0</x:v>
      </x:c>
      <x:c r="M4261" t="n">
        <x:v>100</x:v>
      </x:c>
      <x:c r="N4261" t="n">
        <x:f>ROUND(F4261*M4261/100,2)</x:f>
        <x:v>6</x:v>
      </x:c>
      <x:c r="O4261" t="str">
        <x:v>实际用油重</x:v>
      </x:c>
    </x:row>
    <x:row r="4262" ht="23" customHeight="1">
      <x:c r="A4262" t="n">
        <x:v>711</x:v>
      </x:c>
      <x:c r="B4262" t="n">
        <x:v>356</x:v>
      </x:c>
      <x:c r="C4262" t="str">
        <x:v>午餐</x:v>
      </x:c>
      <x:c r="D4262" t="str">
        <x:v>禽肉</x:v>
      </x:c>
      <x:c r="E4262" t="str">
        <x:v>鸡里脊肉</x:v>
      </x:c>
      <x:c r="F4262" t="n">
        <x:v>175</x:v>
      </x:c>
      <x:c r="G4262" t="n">
        <x:v>110</x:v>
      </x:c>
      <x:c r="H4262" t="n">
        <x:f>ROUND(F4262*G4262/100,2)</x:f>
        <x:v>192.5</x:v>
      </x:c>
      <x:c r="I4262" t="n">
        <x:v>23</x:v>
      </x:c>
      <x:c r="J4262" t="n">
        <x:f>ROUND(F4262*I4262/100,2)</x:f>
        <x:v>40.25</x:v>
      </x:c>
      <x:c r="K4262" t="n">
        <x:v>0</x:v>
      </x:c>
      <x:c r="L4262" t="n">
        <x:f>ROUND(F4262*K4262/100,2)</x:f>
        <x:v>0</x:v>
      </x:c>
      <x:c r="M4262" t="n">
        <x:v>1.8</x:v>
      </x:c>
      <x:c r="N4262" t="n">
        <x:f>ROUND(F4262*M4262/100,2)</x:f>
        <x:v>3.15</x:v>
      </x:c>
      <x:c r="O4262" t="str">
        <x:v>生重</x:v>
      </x:c>
    </x:row>
    <x:row r="4263" ht="23" customHeight="1">
      <x:c r="A4263" t="n">
        <x:v>711</x:v>
      </x:c>
      <x:c r="B4263" t="n">
        <x:v>356</x:v>
      </x:c>
      <x:c r="C4263" t="str">
        <x:v>午餐</x:v>
      </x:c>
      <x:c r="D4263" t="str"/>
      <x:c r="E4263" t="str"/>
      <x:c r="F4263" t="n">
        <x:v>0</x:v>
      </x:c>
      <x:c r="G4263" t="n">
        <x:v>0</x:v>
      </x:c>
      <x:c r="H4263" t="n">
        <x:f>ROUND(F4263*G4263/100,2)</x:f>
        <x:v>0</x:v>
      </x:c>
      <x:c r="I4263" t="n">
        <x:v>0</x:v>
      </x:c>
      <x:c r="J4263" t="n">
        <x:f>ROUND(F4263*I4263/100,2)</x:f>
        <x:v>0</x:v>
      </x:c>
      <x:c r="K4263" t="n">
        <x:v>0</x:v>
      </x:c>
      <x:c r="L4263" t="n">
        <x:f>ROUND(F4263*K4263/100,2)</x:f>
        <x:v>0</x:v>
      </x:c>
      <x:c r="M4263" t="n">
        <x:v>0</x:v>
      </x:c>
      <x:c r="N4263" t="n">
        <x:f>ROUND(F4263*M4263/100,2)</x:f>
        <x:v>0</x:v>
      </x:c>
      <x:c r="O4263" t="str"/>
    </x:row>
    <x:row r="4264" ht="23" customHeight="1">
      <x:c r="A4264" t="n">
        <x:v>711</x:v>
      </x:c>
      <x:c r="B4264" t="n">
        <x:v>356</x:v>
      </x:c>
      <x:c r="C4264" t="str">
        <x:v>午餐</x:v>
      </x:c>
      <x:c r="D4264" t="str">
        <x:v>蔬菜</x:v>
      </x:c>
      <x:c r="E4264" t="str">
        <x:v>番茄</x:v>
      </x:c>
      <x:c r="F4264" t="n">
        <x:v>160</x:v>
      </x:c>
      <x:c r="G4264" t="n">
        <x:v>20</x:v>
      </x:c>
      <x:c r="H4264" t="n">
        <x:f>ROUND(F4264*G4264/100,2)</x:f>
        <x:v>32</x:v>
      </x:c>
      <x:c r="I4264" t="n">
        <x:v>0.9</x:v>
      </x:c>
      <x:c r="J4264" t="n">
        <x:f>ROUND(F4264*I4264/100,2)</x:f>
        <x:v>1.44</x:v>
      </x:c>
      <x:c r="K4264" t="n">
        <x:v>4</x:v>
      </x:c>
      <x:c r="L4264" t="n">
        <x:f>ROUND(F4264*K4264/100,2)</x:f>
        <x:v>6.4</x:v>
      </x:c>
      <x:c r="M4264" t="n">
        <x:v>0.2</x:v>
      </x:c>
      <x:c r="N4264" t="n">
        <x:f>ROUND(F4264*M4264/100,2)</x:f>
        <x:v>0.32</x:v>
      </x:c>
      <x:c r="O4264" t="str">
        <x:v>生重</x:v>
      </x:c>
    </x:row>
    <x:row r="4265" ht="23" customHeight="1">
      <x:c r="A4265" t="n">
        <x:v>711</x:v>
      </x:c>
      <x:c r="B4265" t="n">
        <x:v>356</x:v>
      </x:c>
      <x:c r="C4265" t="str">
        <x:v>午餐</x:v>
      </x:c>
      <x:c r="D4265" t="str">
        <x:v>蔬菜</x:v>
      </x:c>
      <x:c r="E4265" t="str">
        <x:v>芦笋</x:v>
      </x:c>
      <x:c r="F4265" t="n">
        <x:v>140</x:v>
      </x:c>
      <x:c r="G4265" t="n">
        <x:v>20</x:v>
      </x:c>
      <x:c r="H4265" t="n">
        <x:f>ROUND(F4265*G4265/100,2)</x:f>
        <x:v>28</x:v>
      </x:c>
      <x:c r="I4265" t="n">
        <x:v>2.2</x:v>
      </x:c>
      <x:c r="J4265" t="n">
        <x:f>ROUND(F4265*I4265/100,2)</x:f>
        <x:v>3.08</x:v>
      </x:c>
      <x:c r="K4265" t="n">
        <x:v>3.9</x:v>
      </x:c>
      <x:c r="L4265" t="n">
        <x:f>ROUND(F4265*K4265/100,2)</x:f>
        <x:v>5.46</x:v>
      </x:c>
      <x:c r="M4265" t="n">
        <x:v>0.1</x:v>
      </x:c>
      <x:c r="N4265" t="n">
        <x:f>ROUND(F4265*M4265/100,2)</x:f>
        <x:v>0.14</x:v>
      </x:c>
      <x:c r="O4265" t="str">
        <x:v>生重</x:v>
      </x:c>
    </x:row>
    <x:row r="4266" ht="23" customHeight="1">
      <x:c r="A4266" t="n">
        <x:v>711</x:v>
      </x:c>
      <x:c r="B4266" t="n">
        <x:v>356</x:v>
      </x:c>
      <x:c r="C4266" t="str">
        <x:v>午餐</x:v>
      </x:c>
      <x:c r="D4266" t="str">
        <x:v>主食</x:v>
      </x:c>
      <x:c r="E4266" t="str">
        <x:v>杂粮饭</x:v>
      </x:c>
      <x:c r="F4266" t="n">
        <x:v>135</x:v>
      </x:c>
      <x:c r="G4266" t="n">
        <x:v>115</x:v>
      </x:c>
      <x:c r="H4266" t="n">
        <x:f>ROUND(F4266*G4266/100,2)</x:f>
        <x:v>155.25</x:v>
      </x:c>
      <x:c r="I4266" t="n">
        <x:v>3.1</x:v>
      </x:c>
      <x:c r="J4266" t="n">
        <x:f>ROUND(F4266*I4266/100,2)</x:f>
        <x:v>4.18</x:v>
      </x:c>
      <x:c r="K4266" t="n">
        <x:v>23.5</x:v>
      </x:c>
      <x:c r="L4266" t="n">
        <x:f>ROUND(F4266*K4266/100,2)</x:f>
        <x:v>31.73</x:v>
      </x:c>
      <x:c r="M4266" t="n">
        <x:v>1.1</x:v>
      </x:c>
      <x:c r="N4266" t="n">
        <x:f>ROUND(F4266*M4266/100,2)</x:f>
        <x:v>1.49</x:v>
      </x:c>
      <x:c r="O4266" t="str">
        <x:v>熟重</x:v>
      </x:c>
    </x:row>
    <x:row r="4267" ht="23" customHeight="1">
      <x:c r="A4267" t="n">
        <x:v>711</x:v>
      </x:c>
      <x:c r="B4267" t="n">
        <x:v>356</x:v>
      </x:c>
      <x:c r="C4267" t="str">
        <x:v>午餐</x:v>
      </x:c>
      <x:c r="D4267" t="str">
        <x:v>油脂</x:v>
      </x:c>
      <x:c r="E4267" t="str">
        <x:v>烹调油</x:v>
      </x:c>
      <x:c r="F4267" t="n">
        <x:v>4</x:v>
      </x:c>
      <x:c r="G4267" t="n">
        <x:v>900</x:v>
      </x:c>
      <x:c r="H4267" t="n">
        <x:f>ROUND(F4267*G4267/100,2)</x:f>
        <x:v>36</x:v>
      </x:c>
      <x:c r="I4267" t="n">
        <x:v>0</x:v>
      </x:c>
      <x:c r="J4267" t="n">
        <x:f>ROUND(F4267*I4267/100,2)</x:f>
        <x:v>0</x:v>
      </x:c>
      <x:c r="K4267" t="n">
        <x:v>0</x:v>
      </x:c>
      <x:c r="L4267" t="n">
        <x:f>ROUND(F4267*K4267/100,2)</x:f>
        <x:v>0</x:v>
      </x:c>
      <x:c r="M4267" t="n">
        <x:v>100</x:v>
      </x:c>
      <x:c r="N4267" t="n">
        <x:f>ROUND(F4267*M4267/100,2)</x:f>
        <x:v>4</x:v>
      </x:c>
      <x:c r="O4267" t="str">
        <x:v>实际用油重</x:v>
      </x:c>
    </x:row>
    <x:row r="4268" ht="23" customHeight="1">
      <x:c r="A4268" t="n">
        <x:v>712</x:v>
      </x:c>
      <x:c r="B4268" t="n">
        <x:v>356</x:v>
      </x:c>
      <x:c r="C4268" t="str">
        <x:v>晚餐</x:v>
      </x:c>
      <x:c r="D4268" t="str">
        <x:v>豆蛋</x:v>
      </x:c>
      <x:c r="E4268" t="str">
        <x:v>北豆腐</x:v>
      </x:c>
      <x:c r="F4268" t="n">
        <x:v>260</x:v>
      </x:c>
      <x:c r="G4268" t="n">
        <x:v>90</x:v>
      </x:c>
      <x:c r="H4268" t="n">
        <x:f>ROUND(F4268*G4268/100,2)</x:f>
        <x:v>234</x:v>
      </x:c>
      <x:c r="I4268" t="n">
        <x:v>10</x:v>
      </x:c>
      <x:c r="J4268" t="n">
        <x:f>ROUND(F4268*I4268/100,2)</x:f>
        <x:v>26</x:v>
      </x:c>
      <x:c r="K4268" t="n">
        <x:v>2</x:v>
      </x:c>
      <x:c r="L4268" t="n">
        <x:f>ROUND(F4268*K4268/100,2)</x:f>
        <x:v>5.2</x:v>
      </x:c>
      <x:c r="M4268" t="n">
        <x:v>5</x:v>
      </x:c>
      <x:c r="N4268" t="n">
        <x:f>ROUND(F4268*M4268/100,2)</x:f>
        <x:v>13</x:v>
      </x:c>
      <x:c r="O4268" t="str">
        <x:v>净重</x:v>
      </x:c>
    </x:row>
    <x:row r="4269" ht="23" customHeight="1">
      <x:c r="A4269" t="n">
        <x:v>712</x:v>
      </x:c>
      <x:c r="B4269" t="n">
        <x:v>356</x:v>
      </x:c>
      <x:c r="C4269" t="str">
        <x:v>晚餐</x:v>
      </x:c>
      <x:c r="D4269" t="str"/>
      <x:c r="E4269" t="str"/>
      <x:c r="F4269" t="n">
        <x:v>0</x:v>
      </x:c>
      <x:c r="G4269" t="n">
        <x:v>0</x:v>
      </x:c>
      <x:c r="H4269" t="n">
        <x:f>ROUND(F4269*G4269/100,2)</x:f>
        <x:v>0</x:v>
      </x:c>
      <x:c r="I4269" t="n">
        <x:v>0</x:v>
      </x:c>
      <x:c r="J4269" t="n">
        <x:f>ROUND(F4269*I4269/100,2)</x:f>
        <x:v>0</x:v>
      </x:c>
      <x:c r="K4269" t="n">
        <x:v>0</x:v>
      </x:c>
      <x:c r="L4269" t="n">
        <x:f>ROUND(F4269*K4269/100,2)</x:f>
        <x:v>0</x:v>
      </x:c>
      <x:c r="M4269" t="n">
        <x:v>0</x:v>
      </x:c>
      <x:c r="N4269" t="n">
        <x:f>ROUND(F4269*M4269/100,2)</x:f>
        <x:v>0</x:v>
      </x:c>
      <x:c r="O4269" t="str"/>
    </x:row>
    <x:row r="4270" ht="23" customHeight="1">
      <x:c r="A4270" t="n">
        <x:v>712</x:v>
      </x:c>
      <x:c r="B4270" t="n">
        <x:v>356</x:v>
      </x:c>
      <x:c r="C4270" t="str">
        <x:v>晚餐</x:v>
      </x:c>
      <x:c r="D4270" t="str">
        <x:v>蔬菜</x:v>
      </x:c>
      <x:c r="E4270" t="str">
        <x:v>西兰花</x:v>
      </x:c>
      <x:c r="F4270" t="n">
        <x:v>190</x:v>
      </x:c>
      <x:c r="G4270" t="n">
        <x:v>34</x:v>
      </x:c>
      <x:c r="H4270" t="n">
        <x:f>ROUND(F4270*G4270/100,2)</x:f>
        <x:v>64.6</x:v>
      </x:c>
      <x:c r="I4270" t="n">
        <x:v>2.8</x:v>
      </x:c>
      <x:c r="J4270" t="n">
        <x:f>ROUND(F4270*I4270/100,2)</x:f>
        <x:v>5.32</x:v>
      </x:c>
      <x:c r="K4270" t="n">
        <x:v>7</x:v>
      </x:c>
      <x:c r="L4270" t="n">
        <x:f>ROUND(F4270*K4270/100,2)</x:f>
        <x:v>13.3</x:v>
      </x:c>
      <x:c r="M4270" t="n">
        <x:v>0.4</x:v>
      </x:c>
      <x:c r="N4270" t="n">
        <x:f>ROUND(F4270*M4270/100,2)</x:f>
        <x:v>0.76</x:v>
      </x:c>
      <x:c r="O4270" t="str">
        <x:v>生重</x:v>
      </x:c>
    </x:row>
    <x:row r="4271" ht="23" customHeight="1">
      <x:c r="A4271" t="n">
        <x:v>712</x:v>
      </x:c>
      <x:c r="B4271" t="n">
        <x:v>356</x:v>
      </x:c>
      <x:c r="C4271" t="str">
        <x:v>晚餐</x:v>
      </x:c>
      <x:c r="D4271" t="str">
        <x:v>菌菇</x:v>
      </x:c>
      <x:c r="E4271" t="str">
        <x:v>杏鲍菇</x:v>
      </x:c>
      <x:c r="F4271" t="n">
        <x:v>125</x:v>
      </x:c>
      <x:c r="G4271" t="n">
        <x:v>35</x:v>
      </x:c>
      <x:c r="H4271" t="n">
        <x:f>ROUND(F4271*G4271/100,2)</x:f>
        <x:v>43.75</x:v>
      </x:c>
      <x:c r="I4271" t="n">
        <x:v>2</x:v>
      </x:c>
      <x:c r="J4271" t="n">
        <x:f>ROUND(F4271*I4271/100,2)</x:f>
        <x:v>2.5</x:v>
      </x:c>
      <x:c r="K4271" t="n">
        <x:v>7.4</x:v>
      </x:c>
      <x:c r="L4271" t="n">
        <x:f>ROUND(F4271*K4271/100,2)</x:f>
        <x:v>9.25</x:v>
      </x:c>
      <x:c r="M4271" t="n">
        <x:v>0.3</x:v>
      </x:c>
      <x:c r="N4271" t="n">
        <x:f>ROUND(F4271*M4271/100,2)</x:f>
        <x:v>0.38</x:v>
      </x:c>
      <x:c r="O4271" t="str">
        <x:v>生重</x:v>
      </x:c>
    </x:row>
    <x:row r="4272" ht="23" customHeight="1">
      <x:c r="A4272" t="n">
        <x:v>712</x:v>
      </x:c>
      <x:c r="B4272" t="n">
        <x:v>356</x:v>
      </x:c>
      <x:c r="C4272" t="str">
        <x:v>晚餐</x:v>
      </x:c>
      <x:c r="D4272" t="str">
        <x:v>主食</x:v>
      </x:c>
      <x:c r="E4272" t="str">
        <x:v>紫薯</x:v>
      </x:c>
      <x:c r="F4272" t="n">
        <x:v>110</x:v>
      </x:c>
      <x:c r="G4272" t="n">
        <x:v>95</x:v>
      </x:c>
      <x:c r="H4272" t="n">
        <x:f>ROUND(F4272*G4272/100,2)</x:f>
        <x:v>104.5</x:v>
      </x:c>
      <x:c r="I4272" t="n">
        <x:v>1.6</x:v>
      </x:c>
      <x:c r="J4272" t="n">
        <x:f>ROUND(F4272*I4272/100,2)</x:f>
        <x:v>1.76</x:v>
      </x:c>
      <x:c r="K4272" t="n">
        <x:v>22</x:v>
      </x:c>
      <x:c r="L4272" t="n">
        <x:f>ROUND(F4272*K4272/100,2)</x:f>
        <x:v>24.2</x:v>
      </x:c>
      <x:c r="M4272" t="n">
        <x:v>0.1</x:v>
      </x:c>
      <x:c r="N4272" t="n">
        <x:f>ROUND(F4272*M4272/100,2)</x:f>
        <x:v>0.11</x:v>
      </x:c>
      <x:c r="O4272" t="str">
        <x:v>蒸熟净重</x:v>
      </x:c>
    </x:row>
    <x:row r="4273" ht="23" customHeight="1">
      <x:c r="A4273" t="n">
        <x:v>712</x:v>
      </x:c>
      <x:c r="B4273" t="n">
        <x:v>356</x:v>
      </x:c>
      <x:c r="C4273" t="str">
        <x:v>晚餐</x:v>
      </x:c>
      <x:c r="D4273" t="str">
        <x:v>油脂</x:v>
      </x:c>
      <x:c r="E4273" t="str">
        <x:v>烹调油</x:v>
      </x:c>
      <x:c r="F4273" t="n">
        <x:v>5</x:v>
      </x:c>
      <x:c r="G4273" t="n">
        <x:v>900</x:v>
      </x:c>
      <x:c r="H4273" t="n">
        <x:f>ROUND(F4273*G4273/100,2)</x:f>
        <x:v>45</x:v>
      </x:c>
      <x:c r="I4273" t="n">
        <x:v>0</x:v>
      </x:c>
      <x:c r="J4273" t="n">
        <x:f>ROUND(F4273*I4273/100,2)</x:f>
        <x:v>0</x:v>
      </x:c>
      <x:c r="K4273" t="n">
        <x:v>0</x:v>
      </x:c>
      <x:c r="L4273" t="n">
        <x:f>ROUND(F4273*K4273/100,2)</x:f>
        <x:v>0</x:v>
      </x:c>
      <x:c r="M4273" t="n">
        <x:v>100</x:v>
      </x:c>
      <x:c r="N4273" t="n">
        <x:f>ROUND(F4273*M4273/100,2)</x:f>
        <x:v>5</x:v>
      </x:c>
      <x:c r="O4273" t="str">
        <x:v>实际用油重</x:v>
      </x:c>
    </x:row>
    <x:row r="4274" ht="23" customHeight="1">
      <x:c r="A4274" t="n">
        <x:v>713</x:v>
      </x:c>
      <x:c r="B4274" t="n">
        <x:v>357</x:v>
      </x:c>
      <x:c r="C4274" t="str">
        <x:v>午餐</x:v>
      </x:c>
      <x:c r="D4274" t="str">
        <x:v>鱼类</x:v>
      </x:c>
      <x:c r="E4274" t="str">
        <x:v>三文鱼</x:v>
      </x:c>
      <x:c r="F4274" t="n">
        <x:v>135</x:v>
      </x:c>
      <x:c r="G4274" t="n">
        <x:v>205</x:v>
      </x:c>
      <x:c r="H4274" t="n">
        <x:f>ROUND(F4274*G4274/100,2)</x:f>
        <x:v>276.75</x:v>
      </x:c>
      <x:c r="I4274" t="n">
        <x:v>20</x:v>
      </x:c>
      <x:c r="J4274" t="n">
        <x:f>ROUND(F4274*I4274/100,2)</x:f>
        <x:v>27</x:v>
      </x:c>
      <x:c r="K4274" t="n">
        <x:v>0</x:v>
      </x:c>
      <x:c r="L4274" t="n">
        <x:f>ROUND(F4274*K4274/100,2)</x:f>
        <x:v>0</x:v>
      </x:c>
      <x:c r="M4274" t="n">
        <x:v>13</x:v>
      </x:c>
      <x:c r="N4274" t="n">
        <x:f>ROUND(F4274*M4274/100,2)</x:f>
        <x:v>17.55</x:v>
      </x:c>
      <x:c r="O4274" t="str">
        <x:v>净鱼肉生重</x:v>
      </x:c>
    </x:row>
    <x:row r="4275" ht="23" customHeight="1">
      <x:c r="A4275" t="n">
        <x:v>713</x:v>
      </x:c>
      <x:c r="B4275" t="n">
        <x:v>357</x:v>
      </x:c>
      <x:c r="C4275" t="str">
        <x:v>午餐</x:v>
      </x:c>
      <x:c r="D4275" t="str"/>
      <x:c r="E4275" t="str"/>
      <x:c r="F4275" t="n">
        <x:v>0</x:v>
      </x:c>
      <x:c r="G4275" t="n">
        <x:v>0</x:v>
      </x:c>
      <x:c r="H4275" t="n">
        <x:f>ROUND(F4275*G4275/100,2)</x:f>
        <x:v>0</x:v>
      </x:c>
      <x:c r="I4275" t="n">
        <x:v>0</x:v>
      </x:c>
      <x:c r="J4275" t="n">
        <x:f>ROUND(F4275*I4275/100,2)</x:f>
        <x:v>0</x:v>
      </x:c>
      <x:c r="K4275" t="n">
        <x:v>0</x:v>
      </x:c>
      <x:c r="L4275" t="n">
        <x:f>ROUND(F4275*K4275/100,2)</x:f>
        <x:v>0</x:v>
      </x:c>
      <x:c r="M4275" t="n">
        <x:v>0</x:v>
      </x:c>
      <x:c r="N4275" t="n">
        <x:f>ROUND(F4275*M4275/100,2)</x:f>
        <x:v>0</x:v>
      </x:c>
      <x:c r="O4275" t="str"/>
    </x:row>
    <x:row r="4276" ht="23" customHeight="1">
      <x:c r="A4276" t="n">
        <x:v>713</x:v>
      </x:c>
      <x:c r="B4276" t="n">
        <x:v>357</x:v>
      </x:c>
      <x:c r="C4276" t="str">
        <x:v>午餐</x:v>
      </x:c>
      <x:c r="D4276" t="str">
        <x:v>蔬菜</x:v>
      </x:c>
      <x:c r="E4276" t="str">
        <x:v>西兰花</x:v>
      </x:c>
      <x:c r="F4276" t="n">
        <x:v>175</x:v>
      </x:c>
      <x:c r="G4276" t="n">
        <x:v>34</x:v>
      </x:c>
      <x:c r="H4276" t="n">
        <x:f>ROUND(F4276*G4276/100,2)</x:f>
        <x:v>59.5</x:v>
      </x:c>
      <x:c r="I4276" t="n">
        <x:v>2.8</x:v>
      </x:c>
      <x:c r="J4276" t="n">
        <x:f>ROUND(F4276*I4276/100,2)</x:f>
        <x:v>4.9</x:v>
      </x:c>
      <x:c r="K4276" t="n">
        <x:v>7</x:v>
      </x:c>
      <x:c r="L4276" t="n">
        <x:f>ROUND(F4276*K4276/100,2)</x:f>
        <x:v>12.25</x:v>
      </x:c>
      <x:c r="M4276" t="n">
        <x:v>0.4</x:v>
      </x:c>
      <x:c r="N4276" t="n">
        <x:f>ROUND(F4276*M4276/100,2)</x:f>
        <x:v>0.7</x:v>
      </x:c>
      <x:c r="O4276" t="str">
        <x:v>生重</x:v>
      </x:c>
    </x:row>
    <x:row r="4277" ht="23" customHeight="1">
      <x:c r="A4277" t="n">
        <x:v>713</x:v>
      </x:c>
      <x:c r="B4277" t="n">
        <x:v>357</x:v>
      </x:c>
      <x:c r="C4277" t="str">
        <x:v>午餐</x:v>
      </x:c>
      <x:c r="D4277" t="str">
        <x:v>蔬菜</x:v>
      </x:c>
      <x:c r="E4277" t="str">
        <x:v>玉米笋</x:v>
      </x:c>
      <x:c r="F4277" t="n">
        <x:v>140</x:v>
      </x:c>
      <x:c r="G4277" t="n">
        <x:v>26</x:v>
      </x:c>
      <x:c r="H4277" t="n">
        <x:f>ROUND(F4277*G4277/100,2)</x:f>
        <x:v>36.4</x:v>
      </x:c>
      <x:c r="I4277" t="n">
        <x:v>2</x:v>
      </x:c>
      <x:c r="J4277" t="n">
        <x:f>ROUND(F4277*I4277/100,2)</x:f>
        <x:v>2.8</x:v>
      </x:c>
      <x:c r="K4277" t="n">
        <x:v>4.9</x:v>
      </x:c>
      <x:c r="L4277" t="n">
        <x:f>ROUND(F4277*K4277/100,2)</x:f>
        <x:v>6.86</x:v>
      </x:c>
      <x:c r="M4277" t="n">
        <x:v>0.1</x:v>
      </x:c>
      <x:c r="N4277" t="n">
        <x:f>ROUND(F4277*M4277/100,2)</x:f>
        <x:v>0.14</x:v>
      </x:c>
      <x:c r="O4277" t="str">
        <x:v>生重</x:v>
      </x:c>
    </x:row>
    <x:row r="4278" ht="23" customHeight="1">
      <x:c r="A4278" t="n">
        <x:v>713</x:v>
      </x:c>
      <x:c r="B4278" t="n">
        <x:v>357</x:v>
      </x:c>
      <x:c r="C4278" t="str">
        <x:v>午餐</x:v>
      </x:c>
      <x:c r="D4278" t="str">
        <x:v>主食</x:v>
      </x:c>
      <x:c r="E4278" t="str">
        <x:v>白米饭</x:v>
      </x:c>
      <x:c r="F4278" t="n">
        <x:v>125</x:v>
      </x:c>
      <x:c r="G4278" t="n">
        <x:v>116</x:v>
      </x:c>
      <x:c r="H4278" t="n">
        <x:f>ROUND(F4278*G4278/100,2)</x:f>
        <x:v>145</x:v>
      </x:c>
      <x:c r="I4278" t="n">
        <x:v>2.6</x:v>
      </x:c>
      <x:c r="J4278" t="n">
        <x:f>ROUND(F4278*I4278/100,2)</x:f>
        <x:v>3.25</x:v>
      </x:c>
      <x:c r="K4278" t="n">
        <x:v>25.6</x:v>
      </x:c>
      <x:c r="L4278" t="n">
        <x:f>ROUND(F4278*K4278/100,2)</x:f>
        <x:v>32</x:v>
      </x:c>
      <x:c r="M4278" t="n">
        <x:v>0.3</x:v>
      </x:c>
      <x:c r="N4278" t="n">
        <x:f>ROUND(F4278*M4278/100,2)</x:f>
        <x:v>0.38</x:v>
      </x:c>
      <x:c r="O4278" t="str">
        <x:v>熟重</x:v>
      </x:c>
    </x:row>
    <x:row r="4279" ht="23" customHeight="1">
      <x:c r="A4279" t="n">
        <x:v>713</x:v>
      </x:c>
      <x:c r="B4279" t="n">
        <x:v>357</x:v>
      </x:c>
      <x:c r="C4279" t="str">
        <x:v>午餐</x:v>
      </x:c>
      <x:c r="D4279" t="str">
        <x:v>油脂</x:v>
      </x:c>
      <x:c r="E4279" t="str">
        <x:v>烹调油</x:v>
      </x:c>
      <x:c r="F4279" t="n">
        <x:v>2</x:v>
      </x:c>
      <x:c r="G4279" t="n">
        <x:v>900</x:v>
      </x:c>
      <x:c r="H4279" t="n">
        <x:f>ROUND(F4279*G4279/100,2)</x:f>
        <x:v>18</x:v>
      </x:c>
      <x:c r="I4279" t="n">
        <x:v>0</x:v>
      </x:c>
      <x:c r="J4279" t="n">
        <x:f>ROUND(F4279*I4279/100,2)</x:f>
        <x:v>0</x:v>
      </x:c>
      <x:c r="K4279" t="n">
        <x:v>0</x:v>
      </x:c>
      <x:c r="L4279" t="n">
        <x:f>ROUND(F4279*K4279/100,2)</x:f>
        <x:v>0</x:v>
      </x:c>
      <x:c r="M4279" t="n">
        <x:v>100</x:v>
      </x:c>
      <x:c r="N4279" t="n">
        <x:f>ROUND(F4279*M4279/100,2)</x:f>
        <x:v>2</x:v>
      </x:c>
      <x:c r="O4279" t="str">
        <x:v>实际用油重</x:v>
      </x:c>
    </x:row>
    <x:row r="4280" ht="23" customHeight="1">
      <x:c r="A4280" t="n">
        <x:v>714</x:v>
      </x:c>
      <x:c r="B4280" t="n">
        <x:v>357</x:v>
      </x:c>
      <x:c r="C4280" t="str">
        <x:v>晚餐</x:v>
      </x:c>
      <x:c r="D4280" t="str">
        <x:v>海鲜</x:v>
      </x:c>
      <x:c r="E4280" t="str">
        <x:v>虾仁</x:v>
      </x:c>
      <x:c r="F4280" t="n">
        <x:v>175</x:v>
      </x:c>
      <x:c r="G4280" t="n">
        <x:v>90</x:v>
      </x:c>
      <x:c r="H4280" t="n">
        <x:f>ROUND(F4280*G4280/100,2)</x:f>
        <x:v>157.5</x:v>
      </x:c>
      <x:c r="I4280" t="n">
        <x:v>19</x:v>
      </x:c>
      <x:c r="J4280" t="n">
        <x:f>ROUND(F4280*I4280/100,2)</x:f>
        <x:v>33.25</x:v>
      </x:c>
      <x:c r="K4280" t="n">
        <x:v>0.4</x:v>
      </x:c>
      <x:c r="L4280" t="n">
        <x:f>ROUND(F4280*K4280/100,2)</x:f>
        <x:v>0.7</x:v>
      </x:c>
      <x:c r="M4280" t="n">
        <x:v>1.1</x:v>
      </x:c>
      <x:c r="N4280" t="n">
        <x:f>ROUND(F4280*M4280/100,2)</x:f>
        <x:v>1.93</x:v>
      </x:c>
      <x:c r="O4280" t="str">
        <x:v>生重</x:v>
      </x:c>
    </x:row>
    <x:row r="4281" ht="23" customHeight="1">
      <x:c r="A4281" t="n">
        <x:v>714</x:v>
      </x:c>
      <x:c r="B4281" t="n">
        <x:v>357</x:v>
      </x:c>
      <x:c r="C4281" t="str">
        <x:v>晚餐</x:v>
      </x:c>
      <x:c r="D4281" t="str"/>
      <x:c r="E4281" t="str"/>
      <x:c r="F4281" t="n">
        <x:v>0</x:v>
      </x:c>
      <x:c r="G4281" t="n">
        <x:v>0</x:v>
      </x:c>
      <x:c r="H4281" t="n">
        <x:f>ROUND(F4281*G4281/100,2)</x:f>
        <x:v>0</x:v>
      </x:c>
      <x:c r="I4281" t="n">
        <x:v>0</x:v>
      </x:c>
      <x:c r="J4281" t="n">
        <x:f>ROUND(F4281*I4281/100,2)</x:f>
        <x:v>0</x:v>
      </x:c>
      <x:c r="K4281" t="n">
        <x:v>0</x:v>
      </x:c>
      <x:c r="L4281" t="n">
        <x:f>ROUND(F4281*K4281/100,2)</x:f>
        <x:v>0</x:v>
      </x:c>
      <x:c r="M4281" t="n">
        <x:v>0</x:v>
      </x:c>
      <x:c r="N4281" t="n">
        <x:f>ROUND(F4281*M4281/100,2)</x:f>
        <x:v>0</x:v>
      </x:c>
      <x:c r="O4281" t="str"/>
    </x:row>
    <x:row r="4282" ht="23" customHeight="1">
      <x:c r="A4282" t="n">
        <x:v>714</x:v>
      </x:c>
      <x:c r="B4282" t="n">
        <x:v>357</x:v>
      </x:c>
      <x:c r="C4282" t="str">
        <x:v>晚餐</x:v>
      </x:c>
      <x:c r="D4282" t="str">
        <x:v>蔬菜</x:v>
      </x:c>
      <x:c r="E4282" t="str">
        <x:v>彩椒</x:v>
      </x:c>
      <x:c r="F4282" t="n">
        <x:v>140</x:v>
      </x:c>
      <x:c r="G4282" t="n">
        <x:v>27</x:v>
      </x:c>
      <x:c r="H4282" t="n">
        <x:f>ROUND(F4282*G4282/100,2)</x:f>
        <x:v>37.8</x:v>
      </x:c>
      <x:c r="I4282" t="n">
        <x:v>1</x:v>
      </x:c>
      <x:c r="J4282" t="n">
        <x:f>ROUND(F4282*I4282/100,2)</x:f>
        <x:v>1.4</x:v>
      </x:c>
      <x:c r="K4282" t="n">
        <x:v>6.1</x:v>
      </x:c>
      <x:c r="L4282" t="n">
        <x:f>ROUND(F4282*K4282/100,2)</x:f>
        <x:v>8.54</x:v>
      </x:c>
      <x:c r="M4282" t="n">
        <x:v>0.2</x:v>
      </x:c>
      <x:c r="N4282" t="n">
        <x:f>ROUND(F4282*M4282/100,2)</x:f>
        <x:v>0.28</x:v>
      </x:c>
      <x:c r="O4282" t="str">
        <x:v>生重</x:v>
      </x:c>
    </x:row>
    <x:row r="4283" ht="23" customHeight="1">
      <x:c r="A4283" t="n">
        <x:v>714</x:v>
      </x:c>
      <x:c r="B4283" t="n">
        <x:v>357</x:v>
      </x:c>
      <x:c r="C4283" t="str">
        <x:v>晚餐</x:v>
      </x:c>
      <x:c r="D4283" t="str">
        <x:v>蔬菜</x:v>
      </x:c>
      <x:c r="E4283" t="str">
        <x:v>黄瓜</x:v>
      </x:c>
      <x:c r="F4283" t="n">
        <x:v>155</x:v>
      </x:c>
      <x:c r="G4283" t="n">
        <x:v>16</x:v>
      </x:c>
      <x:c r="H4283" t="n">
        <x:f>ROUND(F4283*G4283/100,2)</x:f>
        <x:v>24.8</x:v>
      </x:c>
      <x:c r="I4283" t="n">
        <x:v>0.7</x:v>
      </x:c>
      <x:c r="J4283" t="n">
        <x:f>ROUND(F4283*I4283/100,2)</x:f>
        <x:v>1.09</x:v>
      </x:c>
      <x:c r="K4283" t="n">
        <x:v>3.6</x:v>
      </x:c>
      <x:c r="L4283" t="n">
        <x:f>ROUND(F4283*K4283/100,2)</x:f>
        <x:v>5.58</x:v>
      </x:c>
      <x:c r="M4283" t="n">
        <x:v>0.1</x:v>
      </x:c>
      <x:c r="N4283" t="n">
        <x:f>ROUND(F4283*M4283/100,2)</x:f>
        <x:v>0.16</x:v>
      </x:c>
      <x:c r="O4283" t="str">
        <x:v>生重</x:v>
      </x:c>
    </x:row>
    <x:row r="4284" ht="23" customHeight="1">
      <x:c r="A4284" t="n">
        <x:v>714</x:v>
      </x:c>
      <x:c r="B4284" t="n">
        <x:v>357</x:v>
      </x:c>
      <x:c r="C4284" t="str">
        <x:v>晚餐</x:v>
      </x:c>
      <x:c r="D4284" t="str">
        <x:v>主食</x:v>
      </x:c>
      <x:c r="E4284" t="str">
        <x:v>全麦面</x:v>
      </x:c>
      <x:c r="F4284" t="n">
        <x:v>95</x:v>
      </x:c>
      <x:c r="G4284" t="n">
        <x:v>124</x:v>
      </x:c>
      <x:c r="H4284" t="n">
        <x:f>ROUND(F4284*G4284/100,2)</x:f>
        <x:v>117.8</x:v>
      </x:c>
      <x:c r="I4284" t="n">
        <x:v>5</x:v>
      </x:c>
      <x:c r="J4284" t="n">
        <x:f>ROUND(F4284*I4284/100,2)</x:f>
        <x:v>4.75</x:v>
      </x:c>
      <x:c r="K4284" t="n">
        <x:v>25</x:v>
      </x:c>
      <x:c r="L4284" t="n">
        <x:f>ROUND(F4284*K4284/100,2)</x:f>
        <x:v>23.75</x:v>
      </x:c>
      <x:c r="M4284" t="n">
        <x:v>1.1</x:v>
      </x:c>
      <x:c r="N4284" t="n">
        <x:f>ROUND(F4284*M4284/100,2)</x:f>
        <x:v>1.05</x:v>
      </x:c>
      <x:c r="O4284" t="str">
        <x:v>煮熟沥水重</x:v>
      </x:c>
    </x:row>
    <x:row r="4285" ht="23" customHeight="1">
      <x:c r="A4285" t="n">
        <x:v>714</x:v>
      </x:c>
      <x:c r="B4285" t="n">
        <x:v>357</x:v>
      </x:c>
      <x:c r="C4285" t="str">
        <x:v>晚餐</x:v>
      </x:c>
      <x:c r="D4285" t="str">
        <x:v>油脂</x:v>
      </x:c>
      <x:c r="E4285" t="str">
        <x:v>烹调油</x:v>
      </x:c>
      <x:c r="F4285" t="n">
        <x:v>3</x:v>
      </x:c>
      <x:c r="G4285" t="n">
        <x:v>900</x:v>
      </x:c>
      <x:c r="H4285" t="n">
        <x:f>ROUND(F4285*G4285/100,2)</x:f>
        <x:v>27</x:v>
      </x:c>
      <x:c r="I4285" t="n">
        <x:v>0</x:v>
      </x:c>
      <x:c r="J4285" t="n">
        <x:f>ROUND(F4285*I4285/100,2)</x:f>
        <x:v>0</x:v>
      </x:c>
      <x:c r="K4285" t="n">
        <x:v>0</x:v>
      </x:c>
      <x:c r="L4285" t="n">
        <x:f>ROUND(F4285*K4285/100,2)</x:f>
        <x:v>0</x:v>
      </x:c>
      <x:c r="M4285" t="n">
        <x:v>100</x:v>
      </x:c>
      <x:c r="N4285" t="n">
        <x:f>ROUND(F4285*M4285/100,2)</x:f>
        <x:v>3</x:v>
      </x:c>
      <x:c r="O4285" t="str">
        <x:v>实际用油重</x:v>
      </x:c>
    </x:row>
    <x:row r="4286" ht="23" customHeight="1">
      <x:c r="A4286" t="n">
        <x:v>715</x:v>
      </x:c>
      <x:c r="B4286" t="n">
        <x:v>358</x:v>
      </x:c>
      <x:c r="C4286" t="str">
        <x:v>午餐</x:v>
      </x:c>
      <x:c r="D4286" t="str">
        <x:v>海鲜</x:v>
      </x:c>
      <x:c r="E4286" t="str">
        <x:v>虾仁</x:v>
      </x:c>
      <x:c r="F4286" t="n">
        <x:v>160</x:v>
      </x:c>
      <x:c r="G4286" t="n">
        <x:v>90</x:v>
      </x:c>
      <x:c r="H4286" t="n">
        <x:f>ROUND(F4286*G4286/100,2)</x:f>
        <x:v>144</x:v>
      </x:c>
      <x:c r="I4286" t="n">
        <x:v>19</x:v>
      </x:c>
      <x:c r="J4286" t="n">
        <x:f>ROUND(F4286*I4286/100,2)</x:f>
        <x:v>30.4</x:v>
      </x:c>
      <x:c r="K4286" t="n">
        <x:v>0.4</x:v>
      </x:c>
      <x:c r="L4286" t="n">
        <x:f>ROUND(F4286*K4286/100,2)</x:f>
        <x:v>0.64</x:v>
      </x:c>
      <x:c r="M4286" t="n">
        <x:v>1.1</x:v>
      </x:c>
      <x:c r="N4286" t="n">
        <x:f>ROUND(F4286*M4286/100,2)</x:f>
        <x:v>1.76</x:v>
      </x:c>
      <x:c r="O4286" t="str">
        <x:v>生重</x:v>
      </x:c>
    </x:row>
    <x:row r="4287" ht="23" customHeight="1">
      <x:c r="A4287" t="n">
        <x:v>715</x:v>
      </x:c>
      <x:c r="B4287" t="n">
        <x:v>358</x:v>
      </x:c>
      <x:c r="C4287" t="str">
        <x:v>午餐</x:v>
      </x:c>
      <x:c r="D4287" t="str"/>
      <x:c r="E4287" t="str"/>
      <x:c r="F4287" t="n">
        <x:v>0</x:v>
      </x:c>
      <x:c r="G4287" t="n">
        <x:v>0</x:v>
      </x:c>
      <x:c r="H4287" t="n">
        <x:f>ROUND(F4287*G4287/100,2)</x:f>
        <x:v>0</x:v>
      </x:c>
      <x:c r="I4287" t="n">
        <x:v>0</x:v>
      </x:c>
      <x:c r="J4287" t="n">
        <x:f>ROUND(F4287*I4287/100,2)</x:f>
        <x:v>0</x:v>
      </x:c>
      <x:c r="K4287" t="n">
        <x:v>0</x:v>
      </x:c>
      <x:c r="L4287" t="n">
        <x:f>ROUND(F4287*K4287/100,2)</x:f>
        <x:v>0</x:v>
      </x:c>
      <x:c r="M4287" t="n">
        <x:v>0</x:v>
      </x:c>
      <x:c r="N4287" t="n">
        <x:f>ROUND(F4287*M4287/100,2)</x:f>
        <x:v>0</x:v>
      </x:c>
      <x:c r="O4287" t="str"/>
    </x:row>
    <x:row r="4288" ht="23" customHeight="1">
      <x:c r="A4288" t="n">
        <x:v>715</x:v>
      </x:c>
      <x:c r="B4288" t="n">
        <x:v>358</x:v>
      </x:c>
      <x:c r="C4288" t="str">
        <x:v>午餐</x:v>
      </x:c>
      <x:c r="D4288" t="str">
        <x:v>蔬菜</x:v>
      </x:c>
      <x:c r="E4288" t="str">
        <x:v>花菜</x:v>
      </x:c>
      <x:c r="F4288" t="n">
        <x:v>175</x:v>
      </x:c>
      <x:c r="G4288" t="n">
        <x:v>25</x:v>
      </x:c>
      <x:c r="H4288" t="n">
        <x:f>ROUND(F4288*G4288/100,2)</x:f>
        <x:v>43.75</x:v>
      </x:c>
      <x:c r="I4288" t="n">
        <x:v>2</x:v>
      </x:c>
      <x:c r="J4288" t="n">
        <x:f>ROUND(F4288*I4288/100,2)</x:f>
        <x:v>3.5</x:v>
      </x:c>
      <x:c r="K4288" t="n">
        <x:v>5</x:v>
      </x:c>
      <x:c r="L4288" t="n">
        <x:f>ROUND(F4288*K4288/100,2)</x:f>
        <x:v>8.75</x:v>
      </x:c>
      <x:c r="M4288" t="n">
        <x:v>0.3</x:v>
      </x:c>
      <x:c r="N4288" t="n">
        <x:f>ROUND(F4288*M4288/100,2)</x:f>
        <x:v>0.53</x:v>
      </x:c>
      <x:c r="O4288" t="str">
        <x:v>生重</x:v>
      </x:c>
    </x:row>
    <x:row r="4289" ht="23" customHeight="1">
      <x:c r="A4289" t="n">
        <x:v>715</x:v>
      </x:c>
      <x:c r="B4289" t="n">
        <x:v>358</x:v>
      </x:c>
      <x:c r="C4289" t="str">
        <x:v>午餐</x:v>
      </x:c>
      <x:c r="D4289" t="str">
        <x:v>蔬菜</x:v>
      </x:c>
      <x:c r="E4289" t="str">
        <x:v>绿豆芽</x:v>
      </x:c>
      <x:c r="F4289" t="n">
        <x:v>140</x:v>
      </x:c>
      <x:c r="G4289" t="n">
        <x:v>31</x:v>
      </x:c>
      <x:c r="H4289" t="n">
        <x:f>ROUND(F4289*G4289/100,2)</x:f>
        <x:v>43.4</x:v>
      </x:c>
      <x:c r="I4289" t="n">
        <x:v>3</x:v>
      </x:c>
      <x:c r="J4289" t="n">
        <x:f>ROUND(F4289*I4289/100,2)</x:f>
        <x:v>4.2</x:v>
      </x:c>
      <x:c r="K4289" t="n">
        <x:v>6</x:v>
      </x:c>
      <x:c r="L4289" t="n">
        <x:f>ROUND(F4289*K4289/100,2)</x:f>
        <x:v>8.4</x:v>
      </x:c>
      <x:c r="M4289" t="n">
        <x:v>0.2</x:v>
      </x:c>
      <x:c r="N4289" t="n">
        <x:f>ROUND(F4289*M4289/100,2)</x:f>
        <x:v>0.28</x:v>
      </x:c>
      <x:c r="O4289" t="str">
        <x:v>生重</x:v>
      </x:c>
    </x:row>
    <x:row r="4290" ht="23" customHeight="1">
      <x:c r="A4290" t="n">
        <x:v>715</x:v>
      </x:c>
      <x:c r="B4290" t="n">
        <x:v>358</x:v>
      </x:c>
      <x:c r="C4290" t="str">
        <x:v>午餐</x:v>
      </x:c>
      <x:c r="D4290" t="str">
        <x:v>主食</x:v>
      </x:c>
      <x:c r="E4290" t="str">
        <x:v>燕麦饭</x:v>
      </x:c>
      <x:c r="F4290" t="n">
        <x:v>110</x:v>
      </x:c>
      <x:c r="G4290" t="n">
        <x:v>110</x:v>
      </x:c>
      <x:c r="H4290" t="n">
        <x:f>ROUND(F4290*G4290/100,2)</x:f>
        <x:v>121</x:v>
      </x:c>
      <x:c r="I4290" t="n">
        <x:v>3.2</x:v>
      </x:c>
      <x:c r="J4290" t="n">
        <x:f>ROUND(F4290*I4290/100,2)</x:f>
        <x:v>3.52</x:v>
      </x:c>
      <x:c r="K4290" t="n">
        <x:v>21</x:v>
      </x:c>
      <x:c r="L4290" t="n">
        <x:f>ROUND(F4290*K4290/100,2)</x:f>
        <x:v>23.1</x:v>
      </x:c>
      <x:c r="M4290" t="n">
        <x:v>1.8</x:v>
      </x:c>
      <x:c r="N4290" t="n">
        <x:f>ROUND(F4290*M4290/100,2)</x:f>
        <x:v>1.98</x:v>
      </x:c>
      <x:c r="O4290" t="str">
        <x:v>熟重</x:v>
      </x:c>
    </x:row>
    <x:row r="4291" ht="23" customHeight="1">
      <x:c r="A4291" t="n">
        <x:v>715</x:v>
      </x:c>
      <x:c r="B4291" t="n">
        <x:v>358</x:v>
      </x:c>
      <x:c r="C4291" t="str">
        <x:v>午餐</x:v>
      </x:c>
      <x:c r="D4291" t="str">
        <x:v>油脂</x:v>
      </x:c>
      <x:c r="E4291" t="str">
        <x:v>烹调油</x:v>
      </x:c>
      <x:c r="F4291" t="n">
        <x:v>3</x:v>
      </x:c>
      <x:c r="G4291" t="n">
        <x:v>900</x:v>
      </x:c>
      <x:c r="H4291" t="n">
        <x:f>ROUND(F4291*G4291/100,2)</x:f>
        <x:v>27</x:v>
      </x:c>
      <x:c r="I4291" t="n">
        <x:v>0</x:v>
      </x:c>
      <x:c r="J4291" t="n">
        <x:f>ROUND(F4291*I4291/100,2)</x:f>
        <x:v>0</x:v>
      </x:c>
      <x:c r="K4291" t="n">
        <x:v>0</x:v>
      </x:c>
      <x:c r="L4291" t="n">
        <x:f>ROUND(F4291*K4291/100,2)</x:f>
        <x:v>0</x:v>
      </x:c>
      <x:c r="M4291" t="n">
        <x:v>100</x:v>
      </x:c>
      <x:c r="N4291" t="n">
        <x:f>ROUND(F4291*M4291/100,2)</x:f>
        <x:v>3</x:v>
      </x:c>
      <x:c r="O4291" t="str">
        <x:v>实际用油重</x:v>
      </x:c>
    </x:row>
    <x:row r="4292" ht="23" customHeight="1">
      <x:c r="A4292" t="n">
        <x:v>716</x:v>
      </x:c>
      <x:c r="B4292" t="n">
        <x:v>358</x:v>
      </x:c>
      <x:c r="C4292" t="str">
        <x:v>晚餐</x:v>
      </x:c>
      <x:c r="D4292" t="str">
        <x:v>鱼类</x:v>
      </x:c>
      <x:c r="E4292" t="str">
        <x:v>巴沙鱼</x:v>
      </x:c>
      <x:c r="F4292" t="n">
        <x:v>200</x:v>
      </x:c>
      <x:c r="G4292" t="n">
        <x:v>90</x:v>
      </x:c>
      <x:c r="H4292" t="n">
        <x:f>ROUND(F4292*G4292/100,2)</x:f>
        <x:v>180</x:v>
      </x:c>
      <x:c r="I4292" t="n">
        <x:v>17</x:v>
      </x:c>
      <x:c r="J4292" t="n">
        <x:f>ROUND(F4292*I4292/100,2)</x:f>
        <x:v>34</x:v>
      </x:c>
      <x:c r="K4292" t="n">
        <x:v>0</x:v>
      </x:c>
      <x:c r="L4292" t="n">
        <x:f>ROUND(F4292*K4292/100,2)</x:f>
        <x:v>0</x:v>
      </x:c>
      <x:c r="M4292" t="n">
        <x:v>2.3</x:v>
      </x:c>
      <x:c r="N4292" t="n">
        <x:f>ROUND(F4292*M4292/100,2)</x:f>
        <x:v>4.6</x:v>
      </x:c>
      <x:c r="O4292" t="str">
        <x:v>净鱼肉生重</x:v>
      </x:c>
    </x:row>
    <x:row r="4293" ht="23" customHeight="1">
      <x:c r="A4293" t="n">
        <x:v>716</x:v>
      </x:c>
      <x:c r="B4293" t="n">
        <x:v>358</x:v>
      </x:c>
      <x:c r="C4293" t="str">
        <x:v>晚餐</x:v>
      </x:c>
      <x:c r="D4293" t="str"/>
      <x:c r="E4293" t="str"/>
      <x:c r="F4293" t="n">
        <x:v>0</x:v>
      </x:c>
      <x:c r="G4293" t="n">
        <x:v>0</x:v>
      </x:c>
      <x:c r="H4293" t="n">
        <x:f>ROUND(F4293*G4293/100,2)</x:f>
        <x:v>0</x:v>
      </x:c>
      <x:c r="I4293" t="n">
        <x:v>0</x:v>
      </x:c>
      <x:c r="J4293" t="n">
        <x:f>ROUND(F4293*I4293/100,2)</x:f>
        <x:v>0</x:v>
      </x:c>
      <x:c r="K4293" t="n">
        <x:v>0</x:v>
      </x:c>
      <x:c r="L4293" t="n">
        <x:f>ROUND(F4293*K4293/100,2)</x:f>
        <x:v>0</x:v>
      </x:c>
      <x:c r="M4293" t="n">
        <x:v>0</x:v>
      </x:c>
      <x:c r="N4293" t="n">
        <x:f>ROUND(F4293*M4293/100,2)</x:f>
        <x:v>0</x:v>
      </x:c>
      <x:c r="O4293" t="str"/>
    </x:row>
    <x:row r="4294" ht="23" customHeight="1">
      <x:c r="A4294" t="n">
        <x:v>716</x:v>
      </x:c>
      <x:c r="B4294" t="n">
        <x:v>358</x:v>
      </x:c>
      <x:c r="C4294" t="str">
        <x:v>晚餐</x:v>
      </x:c>
      <x:c r="D4294" t="str">
        <x:v>蔬菜</x:v>
      </x:c>
      <x:c r="E4294" t="str">
        <x:v>花菜</x:v>
      </x:c>
      <x:c r="F4294" t="n">
        <x:v>160</x:v>
      </x:c>
      <x:c r="G4294" t="n">
        <x:v>25</x:v>
      </x:c>
      <x:c r="H4294" t="n">
        <x:f>ROUND(F4294*G4294/100,2)</x:f>
        <x:v>40</x:v>
      </x:c>
      <x:c r="I4294" t="n">
        <x:v>2</x:v>
      </x:c>
      <x:c r="J4294" t="n">
        <x:f>ROUND(F4294*I4294/100,2)</x:f>
        <x:v>3.2</x:v>
      </x:c>
      <x:c r="K4294" t="n">
        <x:v>5</x:v>
      </x:c>
      <x:c r="L4294" t="n">
        <x:f>ROUND(F4294*K4294/100,2)</x:f>
        <x:v>8</x:v>
      </x:c>
      <x:c r="M4294" t="n">
        <x:v>0.3</x:v>
      </x:c>
      <x:c r="N4294" t="n">
        <x:f>ROUND(F4294*M4294/100,2)</x:f>
        <x:v>0.48</x:v>
      </x:c>
      <x:c r="O4294" t="str">
        <x:v>生重</x:v>
      </x:c>
    </x:row>
    <x:row r="4295" ht="23" customHeight="1">
      <x:c r="A4295" t="n">
        <x:v>716</x:v>
      </x:c>
      <x:c r="B4295" t="n">
        <x:v>358</x:v>
      </x:c>
      <x:c r="C4295" t="str">
        <x:v>晚餐</x:v>
      </x:c>
      <x:c r="D4295" t="str">
        <x:v>菌菇</x:v>
      </x:c>
      <x:c r="E4295" t="str">
        <x:v>口蘑</x:v>
      </x:c>
      <x:c r="F4295" t="n">
        <x:v>155</x:v>
      </x:c>
      <x:c r="G4295" t="n">
        <x:v>22</x:v>
      </x:c>
      <x:c r="H4295" t="n">
        <x:f>ROUND(F4295*G4295/100,2)</x:f>
        <x:v>34.1</x:v>
      </x:c>
      <x:c r="I4295" t="n">
        <x:v>3.1</x:v>
      </x:c>
      <x:c r="J4295" t="n">
        <x:f>ROUND(F4295*I4295/100,2)</x:f>
        <x:v>4.81</x:v>
      </x:c>
      <x:c r="K4295" t="n">
        <x:v>3.3</x:v>
      </x:c>
      <x:c r="L4295" t="n">
        <x:f>ROUND(F4295*K4295/100,2)</x:f>
        <x:v>5.12</x:v>
      </x:c>
      <x:c r="M4295" t="n">
        <x:v>0.3</x:v>
      </x:c>
      <x:c r="N4295" t="n">
        <x:f>ROUND(F4295*M4295/100,2)</x:f>
        <x:v>0.47</x:v>
      </x:c>
      <x:c r="O4295" t="str">
        <x:v>生重</x:v>
      </x:c>
    </x:row>
    <x:row r="4296" ht="23" customHeight="1">
      <x:c r="A4296" t="n">
        <x:v>716</x:v>
      </x:c>
      <x:c r="B4296" t="n">
        <x:v>358</x:v>
      </x:c>
      <x:c r="C4296" t="str">
        <x:v>晚餐</x:v>
      </x:c>
      <x:c r="D4296" t="str">
        <x:v>主食</x:v>
      </x:c>
      <x:c r="E4296" t="str">
        <x:v>红薯</x:v>
      </x:c>
      <x:c r="F4296" t="n">
        <x:v>125</x:v>
      </x:c>
      <x:c r="G4296" t="n">
        <x:v>88</x:v>
      </x:c>
      <x:c r="H4296" t="n">
        <x:f>ROUND(F4296*G4296/100,2)</x:f>
        <x:v>110</x:v>
      </x:c>
      <x:c r="I4296" t="n">
        <x:v>1.6</x:v>
      </x:c>
      <x:c r="J4296" t="n">
        <x:f>ROUND(F4296*I4296/100,2)</x:f>
        <x:v>2</x:v>
      </x:c>
      <x:c r="K4296" t="n">
        <x:v>20.5</x:v>
      </x:c>
      <x:c r="L4296" t="n">
        <x:f>ROUND(F4296*K4296/100,2)</x:f>
        <x:v>25.63</x:v>
      </x:c>
      <x:c r="M4296" t="n">
        <x:v>0.1</x:v>
      </x:c>
      <x:c r="N4296" t="n">
        <x:f>ROUND(F4296*M4296/100,2)</x:f>
        <x:v>0.13</x:v>
      </x:c>
      <x:c r="O4296" t="str">
        <x:v>蒸熟净重</x:v>
      </x:c>
    </x:row>
    <x:row r="4297" ht="23" customHeight="1">
      <x:c r="A4297" t="n">
        <x:v>716</x:v>
      </x:c>
      <x:c r="B4297" t="n">
        <x:v>358</x:v>
      </x:c>
      <x:c r="C4297" t="str">
        <x:v>晚餐</x:v>
      </x:c>
      <x:c r="D4297" t="str">
        <x:v>油脂</x:v>
      </x:c>
      <x:c r="E4297" t="str">
        <x:v>烹调油</x:v>
      </x:c>
      <x:c r="F4297" t="n">
        <x:v>6</x:v>
      </x:c>
      <x:c r="G4297" t="n">
        <x:v>900</x:v>
      </x:c>
      <x:c r="H4297" t="n">
        <x:f>ROUND(F4297*G4297/100,2)</x:f>
        <x:v>54</x:v>
      </x:c>
      <x:c r="I4297" t="n">
        <x:v>0</x:v>
      </x:c>
      <x:c r="J4297" t="n">
        <x:f>ROUND(F4297*I4297/100,2)</x:f>
        <x:v>0</x:v>
      </x:c>
      <x:c r="K4297" t="n">
        <x:v>0</x:v>
      </x:c>
      <x:c r="L4297" t="n">
        <x:f>ROUND(F4297*K4297/100,2)</x:f>
        <x:v>0</x:v>
      </x:c>
      <x:c r="M4297" t="n">
        <x:v>100</x:v>
      </x:c>
      <x:c r="N4297" t="n">
        <x:f>ROUND(F4297*M4297/100,2)</x:f>
        <x:v>6</x:v>
      </x:c>
      <x:c r="O4297" t="str">
        <x:v>实际用油重</x:v>
      </x:c>
    </x:row>
    <x:row r="4298" ht="23" customHeight="1">
      <x:c r="A4298" t="n">
        <x:v>717</x:v>
      </x:c>
      <x:c r="B4298" t="n">
        <x:v>359</x:v>
      </x:c>
      <x:c r="C4298" t="str">
        <x:v>午餐</x:v>
      </x:c>
      <x:c r="D4298" t="str">
        <x:v>海鲜</x:v>
      </x:c>
      <x:c r="E4298" t="str">
        <x:v>虾仁</x:v>
      </x:c>
      <x:c r="F4298" t="n">
        <x:v>190</x:v>
      </x:c>
      <x:c r="G4298" t="n">
        <x:v>90</x:v>
      </x:c>
      <x:c r="H4298" t="n">
        <x:f>ROUND(F4298*G4298/100,2)</x:f>
        <x:v>171</x:v>
      </x:c>
      <x:c r="I4298" t="n">
        <x:v>19</x:v>
      </x:c>
      <x:c r="J4298" t="n">
        <x:f>ROUND(F4298*I4298/100,2)</x:f>
        <x:v>36.1</x:v>
      </x:c>
      <x:c r="K4298" t="n">
        <x:v>0.4</x:v>
      </x:c>
      <x:c r="L4298" t="n">
        <x:f>ROUND(F4298*K4298/100,2)</x:f>
        <x:v>0.76</x:v>
      </x:c>
      <x:c r="M4298" t="n">
        <x:v>1.1</x:v>
      </x:c>
      <x:c r="N4298" t="n">
        <x:f>ROUND(F4298*M4298/100,2)</x:f>
        <x:v>2.09</x:v>
      </x:c>
      <x:c r="O4298" t="str">
        <x:v>生重</x:v>
      </x:c>
    </x:row>
    <x:row r="4299" ht="23" customHeight="1">
      <x:c r="A4299" t="n">
        <x:v>717</x:v>
      </x:c>
      <x:c r="B4299" t="n">
        <x:v>359</x:v>
      </x:c>
      <x:c r="C4299" t="str">
        <x:v>午餐</x:v>
      </x:c>
      <x:c r="D4299" t="str"/>
      <x:c r="E4299" t="str"/>
      <x:c r="F4299" t="n">
        <x:v>0</x:v>
      </x:c>
      <x:c r="G4299" t="n">
        <x:v>0</x:v>
      </x:c>
      <x:c r="H4299" t="n">
        <x:f>ROUND(F4299*G4299/100,2)</x:f>
        <x:v>0</x:v>
      </x:c>
      <x:c r="I4299" t="n">
        <x:v>0</x:v>
      </x:c>
      <x:c r="J4299" t="n">
        <x:f>ROUND(F4299*I4299/100,2)</x:f>
        <x:v>0</x:v>
      </x:c>
      <x:c r="K4299" t="n">
        <x:v>0</x:v>
      </x:c>
      <x:c r="L4299" t="n">
        <x:f>ROUND(F4299*K4299/100,2)</x:f>
        <x:v>0</x:v>
      </x:c>
      <x:c r="M4299" t="n">
        <x:v>0</x:v>
      </x:c>
      <x:c r="N4299" t="n">
        <x:f>ROUND(F4299*M4299/100,2)</x:f>
        <x:v>0</x:v>
      </x:c>
      <x:c r="O4299" t="str"/>
    </x:row>
    <x:row r="4300" ht="23" customHeight="1">
      <x:c r="A4300" t="n">
        <x:v>717</x:v>
      </x:c>
      <x:c r="B4300" t="n">
        <x:v>359</x:v>
      </x:c>
      <x:c r="C4300" t="str">
        <x:v>午餐</x:v>
      </x:c>
      <x:c r="D4300" t="str">
        <x:v>蔬菜</x:v>
      </x:c>
      <x:c r="E4300" t="str">
        <x:v>黄瓜</x:v>
      </x:c>
      <x:c r="F4300" t="n">
        <x:v>140</x:v>
      </x:c>
      <x:c r="G4300" t="n">
        <x:v>16</x:v>
      </x:c>
      <x:c r="H4300" t="n">
        <x:f>ROUND(F4300*G4300/100,2)</x:f>
        <x:v>22.4</x:v>
      </x:c>
      <x:c r="I4300" t="n">
        <x:v>0.7</x:v>
      </x:c>
      <x:c r="J4300" t="n">
        <x:f>ROUND(F4300*I4300/100,2)</x:f>
        <x:v>0.98</x:v>
      </x:c>
      <x:c r="K4300" t="n">
        <x:v>3.6</x:v>
      </x:c>
      <x:c r="L4300" t="n">
        <x:f>ROUND(F4300*K4300/100,2)</x:f>
        <x:v>5.04</x:v>
      </x:c>
      <x:c r="M4300" t="n">
        <x:v>0.1</x:v>
      </x:c>
      <x:c r="N4300" t="n">
        <x:f>ROUND(F4300*M4300/100,2)</x:f>
        <x:v>0.14</x:v>
      </x:c>
      <x:c r="O4300" t="str">
        <x:v>生重</x:v>
      </x:c>
    </x:row>
    <x:row r="4301" ht="23" customHeight="1">
      <x:c r="A4301" t="n">
        <x:v>717</x:v>
      </x:c>
      <x:c r="B4301" t="n">
        <x:v>359</x:v>
      </x:c>
      <x:c r="C4301" t="str">
        <x:v>午餐</x:v>
      </x:c>
      <x:c r="D4301" t="str">
        <x:v>蔬菜</x:v>
      </x:c>
      <x:c r="E4301" t="str">
        <x:v>芦笋</x:v>
      </x:c>
      <x:c r="F4301" t="n">
        <x:v>155</x:v>
      </x:c>
      <x:c r="G4301" t="n">
        <x:v>20</x:v>
      </x:c>
      <x:c r="H4301" t="n">
        <x:f>ROUND(F4301*G4301/100,2)</x:f>
        <x:v>31</x:v>
      </x:c>
      <x:c r="I4301" t="n">
        <x:v>2.2</x:v>
      </x:c>
      <x:c r="J4301" t="n">
        <x:f>ROUND(F4301*I4301/100,2)</x:f>
        <x:v>3.41</x:v>
      </x:c>
      <x:c r="K4301" t="n">
        <x:v>3.9</x:v>
      </x:c>
      <x:c r="L4301" t="n">
        <x:f>ROUND(F4301*K4301/100,2)</x:f>
        <x:v>6.05</x:v>
      </x:c>
      <x:c r="M4301" t="n">
        <x:v>0.1</x:v>
      </x:c>
      <x:c r="N4301" t="n">
        <x:f>ROUND(F4301*M4301/100,2)</x:f>
        <x:v>0.16</x:v>
      </x:c>
      <x:c r="O4301" t="str">
        <x:v>生重</x:v>
      </x:c>
    </x:row>
    <x:row r="4302" ht="23" customHeight="1">
      <x:c r="A4302" t="n">
        <x:v>717</x:v>
      </x:c>
      <x:c r="B4302" t="n">
        <x:v>359</x:v>
      </x:c>
      <x:c r="C4302" t="str">
        <x:v>午餐</x:v>
      </x:c>
      <x:c r="D4302" t="str">
        <x:v>主食</x:v>
      </x:c>
      <x:c r="E4302" t="str">
        <x:v>白米饭</x:v>
      </x:c>
      <x:c r="F4302" t="n">
        <x:v>125</x:v>
      </x:c>
      <x:c r="G4302" t="n">
        <x:v>116</x:v>
      </x:c>
      <x:c r="H4302" t="n">
        <x:f>ROUND(F4302*G4302/100,2)</x:f>
        <x:v>145</x:v>
      </x:c>
      <x:c r="I4302" t="n">
        <x:v>2.6</x:v>
      </x:c>
      <x:c r="J4302" t="n">
        <x:f>ROUND(F4302*I4302/100,2)</x:f>
        <x:v>3.25</x:v>
      </x:c>
      <x:c r="K4302" t="n">
        <x:v>25.6</x:v>
      </x:c>
      <x:c r="L4302" t="n">
        <x:f>ROUND(F4302*K4302/100,2)</x:f>
        <x:v>32</x:v>
      </x:c>
      <x:c r="M4302" t="n">
        <x:v>0.3</x:v>
      </x:c>
      <x:c r="N4302" t="n">
        <x:f>ROUND(F4302*M4302/100,2)</x:f>
        <x:v>0.38</x:v>
      </x:c>
      <x:c r="O4302" t="str">
        <x:v>熟重</x:v>
      </x:c>
    </x:row>
    <x:row r="4303" ht="23" customHeight="1">
      <x:c r="A4303" t="n">
        <x:v>717</x:v>
      </x:c>
      <x:c r="B4303" t="n">
        <x:v>359</x:v>
      </x:c>
      <x:c r="C4303" t="str">
        <x:v>午餐</x:v>
      </x:c>
      <x:c r="D4303" t="str">
        <x:v>油脂</x:v>
      </x:c>
      <x:c r="E4303" t="str">
        <x:v>烹调油</x:v>
      </x:c>
      <x:c r="F4303" t="n">
        <x:v>3</x:v>
      </x:c>
      <x:c r="G4303" t="n">
        <x:v>900</x:v>
      </x:c>
      <x:c r="H4303" t="n">
        <x:f>ROUND(F4303*G4303/100,2)</x:f>
        <x:v>27</x:v>
      </x:c>
      <x:c r="I4303" t="n">
        <x:v>0</x:v>
      </x:c>
      <x:c r="J4303" t="n">
        <x:f>ROUND(F4303*I4303/100,2)</x:f>
        <x:v>0</x:v>
      </x:c>
      <x:c r="K4303" t="n">
        <x:v>0</x:v>
      </x:c>
      <x:c r="L4303" t="n">
        <x:f>ROUND(F4303*K4303/100,2)</x:f>
        <x:v>0</x:v>
      </x:c>
      <x:c r="M4303" t="n">
        <x:v>100</x:v>
      </x:c>
      <x:c r="N4303" t="n">
        <x:f>ROUND(F4303*M4303/100,2)</x:f>
        <x:v>3</x:v>
      </x:c>
      <x:c r="O4303" t="str">
        <x:v>实际用油重</x:v>
      </x:c>
    </x:row>
    <x:row r="4304" ht="23" customHeight="1">
      <x:c r="A4304" t="n">
        <x:v>718</x:v>
      </x:c>
      <x:c r="B4304" t="n">
        <x:v>359</x:v>
      </x:c>
      <x:c r="C4304" t="str">
        <x:v>晚餐</x:v>
      </x:c>
      <x:c r="D4304" t="str">
        <x:v>豆蛋</x:v>
      </x:c>
      <x:c r="E4304" t="str">
        <x:v>嫩豆腐</x:v>
      </x:c>
      <x:c r="F4304" t="n">
        <x:v>260</x:v>
      </x:c>
      <x:c r="G4304" t="n">
        <x:v>55</x:v>
      </x:c>
      <x:c r="H4304" t="n">
        <x:f>ROUND(F4304*G4304/100,2)</x:f>
        <x:v>143</x:v>
      </x:c>
      <x:c r="I4304" t="n">
        <x:v>5</x:v>
      </x:c>
      <x:c r="J4304" t="n">
        <x:f>ROUND(F4304*I4304/100,2)</x:f>
        <x:v>13</x:v>
      </x:c>
      <x:c r="K4304" t="n">
        <x:v>2</x:v>
      </x:c>
      <x:c r="L4304" t="n">
        <x:f>ROUND(F4304*K4304/100,2)</x:f>
        <x:v>5.2</x:v>
      </x:c>
      <x:c r="M4304" t="n">
        <x:v>2.8</x:v>
      </x:c>
      <x:c r="N4304" t="n">
        <x:f>ROUND(F4304*M4304/100,2)</x:f>
        <x:v>7.28</x:v>
      </x:c>
      <x:c r="O4304" t="str">
        <x:v>净重</x:v>
      </x:c>
    </x:row>
    <x:row r="4305" ht="23" customHeight="1">
      <x:c r="A4305" t="n">
        <x:v>718</x:v>
      </x:c>
      <x:c r="B4305" t="n">
        <x:v>359</x:v>
      </x:c>
      <x:c r="C4305" t="str">
        <x:v>晚餐</x:v>
      </x:c>
      <x:c r="D4305" t="str">
        <x:v>豆蛋</x:v>
      </x:c>
      <x:c r="E4305" t="str">
        <x:v>鸡蛋</x:v>
      </x:c>
      <x:c r="F4305" t="n">
        <x:v>50</x:v>
      </x:c>
      <x:c r="G4305" t="n">
        <x:v>144</x:v>
      </x:c>
      <x:c r="H4305" t="n">
        <x:f>ROUND(F4305*G4305/100,2)</x:f>
        <x:v>72</x:v>
      </x:c>
      <x:c r="I4305" t="n">
        <x:v>13</x:v>
      </x:c>
      <x:c r="J4305" t="n">
        <x:f>ROUND(F4305*I4305/100,2)</x:f>
        <x:v>6.5</x:v>
      </x:c>
      <x:c r="K4305" t="n">
        <x:v>1.1</x:v>
      </x:c>
      <x:c r="L4305" t="n">
        <x:f>ROUND(F4305*K4305/100,2)</x:f>
        <x:v>0.55</x:v>
      </x:c>
      <x:c r="M4305" t="n">
        <x:v>10</x:v>
      </x:c>
      <x:c r="N4305" t="n">
        <x:f>ROUND(F4305*M4305/100,2)</x:f>
        <x:v>5</x:v>
      </x:c>
      <x:c r="O4305" t="str">
        <x:v>去壳可食重</x:v>
      </x:c>
    </x:row>
    <x:row r="4306" ht="23" customHeight="1">
      <x:c r="A4306" t="n">
        <x:v>718</x:v>
      </x:c>
      <x:c r="B4306" t="n">
        <x:v>359</x:v>
      </x:c>
      <x:c r="C4306" t="str">
        <x:v>晚餐</x:v>
      </x:c>
      <x:c r="D4306" t="str">
        <x:v>蔬菜</x:v>
      </x:c>
      <x:c r="E4306" t="str">
        <x:v>番茄</x:v>
      </x:c>
      <x:c r="F4306" t="n">
        <x:v>160</x:v>
      </x:c>
      <x:c r="G4306" t="n">
        <x:v>20</x:v>
      </x:c>
      <x:c r="H4306" t="n">
        <x:f>ROUND(F4306*G4306/100,2)</x:f>
        <x:v>32</x:v>
      </x:c>
      <x:c r="I4306" t="n">
        <x:v>0.9</x:v>
      </x:c>
      <x:c r="J4306" t="n">
        <x:f>ROUND(F4306*I4306/100,2)</x:f>
        <x:v>1.44</x:v>
      </x:c>
      <x:c r="K4306" t="n">
        <x:v>4</x:v>
      </x:c>
      <x:c r="L4306" t="n">
        <x:f>ROUND(F4306*K4306/100,2)</x:f>
        <x:v>6.4</x:v>
      </x:c>
      <x:c r="M4306" t="n">
        <x:v>0.2</x:v>
      </x:c>
      <x:c r="N4306" t="n">
        <x:f>ROUND(F4306*M4306/100,2)</x:f>
        <x:v>0.32</x:v>
      </x:c>
      <x:c r="O4306" t="str">
        <x:v>生重</x:v>
      </x:c>
    </x:row>
    <x:row r="4307" ht="23" customHeight="1">
      <x:c r="A4307" t="n">
        <x:v>718</x:v>
      </x:c>
      <x:c r="B4307" t="n">
        <x:v>359</x:v>
      </x:c>
      <x:c r="C4307" t="str">
        <x:v>晚餐</x:v>
      </x:c>
      <x:c r="D4307" t="str">
        <x:v>蔬菜</x:v>
      </x:c>
      <x:c r="E4307" t="str">
        <x:v>冬瓜</x:v>
      </x:c>
      <x:c r="F4307" t="n">
        <x:v>125</x:v>
      </x:c>
      <x:c r="G4307" t="n">
        <x:v>13</x:v>
      </x:c>
      <x:c r="H4307" t="n">
        <x:f>ROUND(F4307*G4307/100,2)</x:f>
        <x:v>16.25</x:v>
      </x:c>
      <x:c r="I4307" t="n">
        <x:v>0.4</x:v>
      </x:c>
      <x:c r="J4307" t="n">
        <x:f>ROUND(F4307*I4307/100,2)</x:f>
        <x:v>0.5</x:v>
      </x:c>
      <x:c r="K4307" t="n">
        <x:v>3</x:v>
      </x:c>
      <x:c r="L4307" t="n">
        <x:f>ROUND(F4307*K4307/100,2)</x:f>
        <x:v>3.75</x:v>
      </x:c>
      <x:c r="M4307" t="n">
        <x:v>0.2</x:v>
      </x:c>
      <x:c r="N4307" t="n">
        <x:f>ROUND(F4307*M4307/100,2)</x:f>
        <x:v>0.25</x:v>
      </x:c>
      <x:c r="O4307" t="str">
        <x:v>生重</x:v>
      </x:c>
    </x:row>
    <x:row r="4308" ht="23" customHeight="1">
      <x:c r="A4308" t="n">
        <x:v>718</x:v>
      </x:c>
      <x:c r="B4308" t="n">
        <x:v>359</x:v>
      </x:c>
      <x:c r="C4308" t="str">
        <x:v>晚餐</x:v>
      </x:c>
      <x:c r="D4308" t="str">
        <x:v>主食</x:v>
      </x:c>
      <x:c r="E4308" t="str">
        <x:v>杂粮饭</x:v>
      </x:c>
      <x:c r="F4308" t="n">
        <x:v>125</x:v>
      </x:c>
      <x:c r="G4308" t="n">
        <x:v>115</x:v>
      </x:c>
      <x:c r="H4308" t="n">
        <x:f>ROUND(F4308*G4308/100,2)</x:f>
        <x:v>143.75</x:v>
      </x:c>
      <x:c r="I4308" t="n">
        <x:v>3.1</x:v>
      </x:c>
      <x:c r="J4308" t="n">
        <x:f>ROUND(F4308*I4308/100,2)</x:f>
        <x:v>3.88</x:v>
      </x:c>
      <x:c r="K4308" t="n">
        <x:v>23.5</x:v>
      </x:c>
      <x:c r="L4308" t="n">
        <x:f>ROUND(F4308*K4308/100,2)</x:f>
        <x:v>29.38</x:v>
      </x:c>
      <x:c r="M4308" t="n">
        <x:v>1.1</x:v>
      </x:c>
      <x:c r="N4308" t="n">
        <x:f>ROUND(F4308*M4308/100,2)</x:f>
        <x:v>1.38</x:v>
      </x:c>
      <x:c r="O4308" t="str">
        <x:v>熟重</x:v>
      </x:c>
    </x:row>
    <x:row r="4309" ht="23" customHeight="1">
      <x:c r="A4309" t="n">
        <x:v>718</x:v>
      </x:c>
      <x:c r="B4309" t="n">
        <x:v>359</x:v>
      </x:c>
      <x:c r="C4309" t="str">
        <x:v>晚餐</x:v>
      </x:c>
      <x:c r="D4309" t="str">
        <x:v>油脂</x:v>
      </x:c>
      <x:c r="E4309" t="str">
        <x:v>烹调油</x:v>
      </x:c>
      <x:c r="F4309" t="n">
        <x:v>5</x:v>
      </x:c>
      <x:c r="G4309" t="n">
        <x:v>900</x:v>
      </x:c>
      <x:c r="H4309" t="n">
        <x:f>ROUND(F4309*G4309/100,2)</x:f>
        <x:v>45</x:v>
      </x:c>
      <x:c r="I4309" t="n">
        <x:v>0</x:v>
      </x:c>
      <x:c r="J4309" t="n">
        <x:f>ROUND(F4309*I4309/100,2)</x:f>
        <x:v>0</x:v>
      </x:c>
      <x:c r="K4309" t="n">
        <x:v>0</x:v>
      </x:c>
      <x:c r="L4309" t="n">
        <x:f>ROUND(F4309*K4309/100,2)</x:f>
        <x:v>0</x:v>
      </x:c>
      <x:c r="M4309" t="n">
        <x:v>100</x:v>
      </x:c>
      <x:c r="N4309" t="n">
        <x:f>ROUND(F4309*M4309/100,2)</x:f>
        <x:v>5</x:v>
      </x:c>
      <x:c r="O4309" t="str">
        <x:v>实际用油重</x:v>
      </x:c>
    </x:row>
    <x:row r="4310" ht="23" customHeight="1">
      <x:c r="A4310" t="n">
        <x:v>719</x:v>
      </x:c>
      <x:c r="B4310" t="n">
        <x:v>360</x:v>
      </x:c>
      <x:c r="C4310" t="str">
        <x:v>午餐</x:v>
      </x:c>
      <x:c r="D4310" t="str">
        <x:v>禽肉</x:v>
      </x:c>
      <x:c r="E4310" t="str">
        <x:v>去皮鸡腿肉</x:v>
      </x:c>
      <x:c r="F4310" t="n">
        <x:v>175</x:v>
      </x:c>
      <x:c r="G4310" t="n">
        <x:v>125</x:v>
      </x:c>
      <x:c r="H4310" t="n">
        <x:f>ROUND(F4310*G4310/100,2)</x:f>
        <x:v>218.75</x:v>
      </x:c>
      <x:c r="I4310" t="n">
        <x:v>20</x:v>
      </x:c>
      <x:c r="J4310" t="n">
        <x:f>ROUND(F4310*I4310/100,2)</x:f>
        <x:v>35</x:v>
      </x:c>
      <x:c r="K4310" t="n">
        <x:v>0</x:v>
      </x:c>
      <x:c r="L4310" t="n">
        <x:f>ROUND(F4310*K4310/100,2)</x:f>
        <x:v>0</x:v>
      </x:c>
      <x:c r="M4310" t="n">
        <x:v>5</x:v>
      </x:c>
      <x:c r="N4310" t="n">
        <x:f>ROUND(F4310*M4310/100,2)</x:f>
        <x:v>8.75</x:v>
      </x:c>
      <x:c r="O4310" t="str">
        <x:v>生重</x:v>
      </x:c>
    </x:row>
    <x:row r="4311" ht="23" customHeight="1">
      <x:c r="A4311" t="n">
        <x:v>719</x:v>
      </x:c>
      <x:c r="B4311" t="n">
        <x:v>360</x:v>
      </x:c>
      <x:c r="C4311" t="str">
        <x:v>午餐</x:v>
      </x:c>
      <x:c r="D4311" t="str"/>
      <x:c r="E4311" t="str"/>
      <x:c r="F4311" t="n">
        <x:v>0</x:v>
      </x:c>
      <x:c r="G4311" t="n">
        <x:v>0</x:v>
      </x:c>
      <x:c r="H4311" t="n">
        <x:f>ROUND(F4311*G4311/100,2)</x:f>
        <x:v>0</x:v>
      </x:c>
      <x:c r="I4311" t="n">
        <x:v>0</x:v>
      </x:c>
      <x:c r="J4311" t="n">
        <x:f>ROUND(F4311*I4311/100,2)</x:f>
        <x:v>0</x:v>
      </x:c>
      <x:c r="K4311" t="n">
        <x:v>0</x:v>
      </x:c>
      <x:c r="L4311" t="n">
        <x:f>ROUND(F4311*K4311/100,2)</x:f>
        <x:v>0</x:v>
      </x:c>
      <x:c r="M4311" t="n">
        <x:v>0</x:v>
      </x:c>
      <x:c r="N4311" t="n">
        <x:f>ROUND(F4311*M4311/100,2)</x:f>
        <x:v>0</x:v>
      </x:c>
      <x:c r="O4311" t="str"/>
    </x:row>
    <x:row r="4312" ht="23" customHeight="1">
      <x:c r="A4312" t="n">
        <x:v>719</x:v>
      </x:c>
      <x:c r="B4312" t="n">
        <x:v>360</x:v>
      </x:c>
      <x:c r="C4312" t="str">
        <x:v>午餐</x:v>
      </x:c>
      <x:c r="D4312" t="str">
        <x:v>蔬菜</x:v>
      </x:c>
      <x:c r="E4312" t="str">
        <x:v>冬瓜</x:v>
      </x:c>
      <x:c r="F4312" t="n">
        <x:v>175</x:v>
      </x:c>
      <x:c r="G4312" t="n">
        <x:v>13</x:v>
      </x:c>
      <x:c r="H4312" t="n">
        <x:f>ROUND(F4312*G4312/100,2)</x:f>
        <x:v>22.75</x:v>
      </x:c>
      <x:c r="I4312" t="n">
        <x:v>0.4</x:v>
      </x:c>
      <x:c r="J4312" t="n">
        <x:f>ROUND(F4312*I4312/100,2)</x:f>
        <x:v>0.7</x:v>
      </x:c>
      <x:c r="K4312" t="n">
        <x:v>3</x:v>
      </x:c>
      <x:c r="L4312" t="n">
        <x:f>ROUND(F4312*K4312/100,2)</x:f>
        <x:v>5.25</x:v>
      </x:c>
      <x:c r="M4312" t="n">
        <x:v>0.2</x:v>
      </x:c>
      <x:c r="N4312" t="n">
        <x:f>ROUND(F4312*M4312/100,2)</x:f>
        <x:v>0.35</x:v>
      </x:c>
      <x:c r="O4312" t="str">
        <x:v>生重</x:v>
      </x:c>
    </x:row>
    <x:row r="4313" ht="23" customHeight="1">
      <x:c r="A4313" t="n">
        <x:v>719</x:v>
      </x:c>
      <x:c r="B4313" t="n">
        <x:v>360</x:v>
      </x:c>
      <x:c r="C4313" t="str">
        <x:v>午餐</x:v>
      </x:c>
      <x:c r="D4313" t="str">
        <x:v>蔬菜</x:v>
      </x:c>
      <x:c r="E4313" t="str">
        <x:v>荷兰豆</x:v>
      </x:c>
      <x:c r="F4313" t="n">
        <x:v>125</x:v>
      </x:c>
      <x:c r="G4313" t="n">
        <x:v>42</x:v>
      </x:c>
      <x:c r="H4313" t="n">
        <x:f>ROUND(F4313*G4313/100,2)</x:f>
        <x:v>52.5</x:v>
      </x:c>
      <x:c r="I4313" t="n">
        <x:v>2.8</x:v>
      </x:c>
      <x:c r="J4313" t="n">
        <x:f>ROUND(F4313*I4313/100,2)</x:f>
        <x:v>3.5</x:v>
      </x:c>
      <x:c r="K4313" t="n">
        <x:v>7.5</x:v>
      </x:c>
      <x:c r="L4313" t="n">
        <x:f>ROUND(F4313*K4313/100,2)</x:f>
        <x:v>9.38</x:v>
      </x:c>
      <x:c r="M4313" t="n">
        <x:v>0.3</x:v>
      </x:c>
      <x:c r="N4313" t="n">
        <x:f>ROUND(F4313*M4313/100,2)</x:f>
        <x:v>0.38</x:v>
      </x:c>
      <x:c r="O4313" t="str">
        <x:v>生重</x:v>
      </x:c>
    </x:row>
    <x:row r="4314" ht="23" customHeight="1">
      <x:c r="A4314" t="n">
        <x:v>719</x:v>
      </x:c>
      <x:c r="B4314" t="n">
        <x:v>360</x:v>
      </x:c>
      <x:c r="C4314" t="str">
        <x:v>午餐</x:v>
      </x:c>
      <x:c r="D4314" t="str">
        <x:v>主食</x:v>
      </x:c>
      <x:c r="E4314" t="str">
        <x:v>红薯</x:v>
      </x:c>
      <x:c r="F4314" t="n">
        <x:v>110</x:v>
      </x:c>
      <x:c r="G4314" t="n">
        <x:v>88</x:v>
      </x:c>
      <x:c r="H4314" t="n">
        <x:f>ROUND(F4314*G4314/100,2)</x:f>
        <x:v>96.8</x:v>
      </x:c>
      <x:c r="I4314" t="n">
        <x:v>1.6</x:v>
      </x:c>
      <x:c r="J4314" t="n">
        <x:f>ROUND(F4314*I4314/100,2)</x:f>
        <x:v>1.76</x:v>
      </x:c>
      <x:c r="K4314" t="n">
        <x:v>20.5</x:v>
      </x:c>
      <x:c r="L4314" t="n">
        <x:f>ROUND(F4314*K4314/100,2)</x:f>
        <x:v>22.55</x:v>
      </x:c>
      <x:c r="M4314" t="n">
        <x:v>0.1</x:v>
      </x:c>
      <x:c r="N4314" t="n">
        <x:f>ROUND(F4314*M4314/100,2)</x:f>
        <x:v>0.11</x:v>
      </x:c>
      <x:c r="O4314" t="str">
        <x:v>蒸熟净重</x:v>
      </x:c>
    </x:row>
    <x:row r="4315" ht="23" customHeight="1">
      <x:c r="A4315" t="n">
        <x:v>719</x:v>
      </x:c>
      <x:c r="B4315" t="n">
        <x:v>360</x:v>
      </x:c>
      <x:c r="C4315" t="str">
        <x:v>午餐</x:v>
      </x:c>
      <x:c r="D4315" t="str">
        <x:v>油脂</x:v>
      </x:c>
      <x:c r="E4315" t="str">
        <x:v>烹调油</x:v>
      </x:c>
      <x:c r="F4315" t="n">
        <x:v>4</x:v>
      </x:c>
      <x:c r="G4315" t="n">
        <x:v>900</x:v>
      </x:c>
      <x:c r="H4315" t="n">
        <x:f>ROUND(F4315*G4315/100,2)</x:f>
        <x:v>36</x:v>
      </x:c>
      <x:c r="I4315" t="n">
        <x:v>0</x:v>
      </x:c>
      <x:c r="J4315" t="n">
        <x:f>ROUND(F4315*I4315/100,2)</x:f>
        <x:v>0</x:v>
      </x:c>
      <x:c r="K4315" t="n">
        <x:v>0</x:v>
      </x:c>
      <x:c r="L4315" t="n">
        <x:f>ROUND(F4315*K4315/100,2)</x:f>
        <x:v>0</x:v>
      </x:c>
      <x:c r="M4315" t="n">
        <x:v>100</x:v>
      </x:c>
      <x:c r="N4315" t="n">
        <x:f>ROUND(F4315*M4315/100,2)</x:f>
        <x:v>4</x:v>
      </x:c>
      <x:c r="O4315" t="str">
        <x:v>实际用油重</x:v>
      </x:c>
    </x:row>
    <x:row r="4316" ht="23" customHeight="1">
      <x:c r="A4316" t="n">
        <x:v>720</x:v>
      </x:c>
      <x:c r="B4316" t="n">
        <x:v>360</x:v>
      </x:c>
      <x:c r="C4316" t="str">
        <x:v>晚餐</x:v>
      </x:c>
      <x:c r="D4316" t="str">
        <x:v>牛肉</x:v>
      </x:c>
      <x:c r="E4316" t="str">
        <x:v>牛里脊</x:v>
      </x:c>
      <x:c r="F4316" t="n">
        <x:v>170</x:v>
      </x:c>
      <x:c r="G4316" t="n">
        <x:v>130</x:v>
      </x:c>
      <x:c r="H4316" t="n">
        <x:f>ROUND(F4316*G4316/100,2)</x:f>
        <x:v>221</x:v>
      </x:c>
      <x:c r="I4316" t="n">
        <x:v>21</x:v>
      </x:c>
      <x:c r="J4316" t="n">
        <x:f>ROUND(F4316*I4316/100,2)</x:f>
        <x:v>35.7</x:v>
      </x:c>
      <x:c r="K4316" t="n">
        <x:v>0</x:v>
      </x:c>
      <x:c r="L4316" t="n">
        <x:f>ROUND(F4316*K4316/100,2)</x:f>
        <x:v>0</x:v>
      </x:c>
      <x:c r="M4316" t="n">
        <x:v>4.8</x:v>
      </x:c>
      <x:c r="N4316" t="n">
        <x:f>ROUND(F4316*M4316/100,2)</x:f>
        <x:v>8.16</x:v>
      </x:c>
      <x:c r="O4316" t="str">
        <x:v>生重</x:v>
      </x:c>
    </x:row>
    <x:row r="4317" ht="23" customHeight="1">
      <x:c r="A4317" t="n">
        <x:v>720</x:v>
      </x:c>
      <x:c r="B4317" t="n">
        <x:v>360</x:v>
      </x:c>
      <x:c r="C4317" t="str">
        <x:v>晚餐</x:v>
      </x:c>
      <x:c r="D4317" t="str"/>
      <x:c r="E4317" t="str"/>
      <x:c r="F4317" t="n">
        <x:v>0</x:v>
      </x:c>
      <x:c r="G4317" t="n">
        <x:v>0</x:v>
      </x:c>
      <x:c r="H4317" t="n">
        <x:f>ROUND(F4317*G4317/100,2)</x:f>
        <x:v>0</x:v>
      </x:c>
      <x:c r="I4317" t="n">
        <x:v>0</x:v>
      </x:c>
      <x:c r="J4317" t="n">
        <x:f>ROUND(F4317*I4317/100,2)</x:f>
        <x:v>0</x:v>
      </x:c>
      <x:c r="K4317" t="n">
        <x:v>0</x:v>
      </x:c>
      <x:c r="L4317" t="n">
        <x:f>ROUND(F4317*K4317/100,2)</x:f>
        <x:v>0</x:v>
      </x:c>
      <x:c r="M4317" t="n">
        <x:v>0</x:v>
      </x:c>
      <x:c r="N4317" t="n">
        <x:f>ROUND(F4317*M4317/100,2)</x:f>
        <x:v>0</x:v>
      </x:c>
      <x:c r="O4317" t="str"/>
    </x:row>
    <x:row r="4318" ht="23" customHeight="1">
      <x:c r="A4318" t="n">
        <x:v>720</x:v>
      </x:c>
      <x:c r="B4318" t="n">
        <x:v>360</x:v>
      </x:c>
      <x:c r="C4318" t="str">
        <x:v>晚餐</x:v>
      </x:c>
      <x:c r="D4318" t="str">
        <x:v>蔬菜</x:v>
      </x:c>
      <x:c r="E4318" t="str">
        <x:v>黄瓜</x:v>
      </x:c>
      <x:c r="F4318" t="n">
        <x:v>160</x:v>
      </x:c>
      <x:c r="G4318" t="n">
        <x:v>16</x:v>
      </x:c>
      <x:c r="H4318" t="n">
        <x:f>ROUND(F4318*G4318/100,2)</x:f>
        <x:v>25.6</x:v>
      </x:c>
      <x:c r="I4318" t="n">
        <x:v>0.7</x:v>
      </x:c>
      <x:c r="J4318" t="n">
        <x:f>ROUND(F4318*I4318/100,2)</x:f>
        <x:v>1.12</x:v>
      </x:c>
      <x:c r="K4318" t="n">
        <x:v>3.6</x:v>
      </x:c>
      <x:c r="L4318" t="n">
        <x:f>ROUND(F4318*K4318/100,2)</x:f>
        <x:v>5.76</x:v>
      </x:c>
      <x:c r="M4318" t="n">
        <x:v>0.1</x:v>
      </x:c>
      <x:c r="N4318" t="n">
        <x:f>ROUND(F4318*M4318/100,2)</x:f>
        <x:v>0.16</x:v>
      </x:c>
      <x:c r="O4318" t="str">
        <x:v>生重</x:v>
      </x:c>
    </x:row>
    <x:row r="4319" ht="23" customHeight="1">
      <x:c r="A4319" t="n">
        <x:v>720</x:v>
      </x:c>
      <x:c r="B4319" t="n">
        <x:v>360</x:v>
      </x:c>
      <x:c r="C4319" t="str">
        <x:v>晚餐</x:v>
      </x:c>
      <x:c r="D4319" t="str">
        <x:v>菌菇</x:v>
      </x:c>
      <x:c r="E4319" t="str">
        <x:v>泡发木耳</x:v>
      </x:c>
      <x:c r="F4319" t="n">
        <x:v>110</x:v>
      </x:c>
      <x:c r="G4319" t="n">
        <x:v>25</x:v>
      </x:c>
      <x:c r="H4319" t="n">
        <x:f>ROUND(F4319*G4319/100,2)</x:f>
        <x:v>27.5</x:v>
      </x:c>
      <x:c r="I4319" t="n">
        <x:v>1.5</x:v>
      </x:c>
      <x:c r="J4319" t="n">
        <x:f>ROUND(F4319*I4319/100,2)</x:f>
        <x:v>1.65</x:v>
      </x:c>
      <x:c r="K4319" t="n">
        <x:v>6</x:v>
      </x:c>
      <x:c r="L4319" t="n">
        <x:f>ROUND(F4319*K4319/100,2)</x:f>
        <x:v>6.6</x:v>
      </x:c>
      <x:c r="M4319" t="n">
        <x:v>0.1</x:v>
      </x:c>
      <x:c r="N4319" t="n">
        <x:f>ROUND(F4319*M4319/100,2)</x:f>
        <x:v>0.11</x:v>
      </x:c>
      <x:c r="O4319" t="str">
        <x:v>泡发沥水重</x:v>
      </x:c>
    </x:row>
    <x:row r="4320" ht="23" customHeight="1">
      <x:c r="A4320" t="n">
        <x:v>720</x:v>
      </x:c>
      <x:c r="B4320" t="n">
        <x:v>360</x:v>
      </x:c>
      <x:c r="C4320" t="str">
        <x:v>晚餐</x:v>
      </x:c>
      <x:c r="D4320" t="str">
        <x:v>主食</x:v>
      </x:c>
      <x:c r="E4320" t="str">
        <x:v>藜麦饭</x:v>
      </x:c>
      <x:c r="F4320" t="n">
        <x:v>125</x:v>
      </x:c>
      <x:c r="G4320" t="n">
        <x:v>120</x:v>
      </x:c>
      <x:c r="H4320" t="n">
        <x:f>ROUND(F4320*G4320/100,2)</x:f>
        <x:v>150</x:v>
      </x:c>
      <x:c r="I4320" t="n">
        <x:v>4.4</x:v>
      </x:c>
      <x:c r="J4320" t="n">
        <x:f>ROUND(F4320*I4320/100,2)</x:f>
        <x:v>5.5</x:v>
      </x:c>
      <x:c r="K4320" t="n">
        <x:v>21.3</x:v>
      </x:c>
      <x:c r="L4320" t="n">
        <x:f>ROUND(F4320*K4320/100,2)</x:f>
        <x:v>26.63</x:v>
      </x:c>
      <x:c r="M4320" t="n">
        <x:v>1.9</x:v>
      </x:c>
      <x:c r="N4320" t="n">
        <x:f>ROUND(F4320*M4320/100,2)</x:f>
        <x:v>2.38</x:v>
      </x:c>
      <x:c r="O4320" t="str">
        <x:v>熟重</x:v>
      </x:c>
    </x:row>
    <x:row r="4321" ht="23" customHeight="1">
      <x:c r="A4321" t="n">
        <x:v>720</x:v>
      </x:c>
      <x:c r="B4321" t="n">
        <x:v>360</x:v>
      </x:c>
      <x:c r="C4321" t="str">
        <x:v>晚餐</x:v>
      </x:c>
      <x:c r="D4321" t="str">
        <x:v>油脂</x:v>
      </x:c>
      <x:c r="E4321" t="str">
        <x:v>烹调油</x:v>
      </x:c>
      <x:c r="F4321" t="n">
        <x:v>6</x:v>
      </x:c>
      <x:c r="G4321" t="n">
        <x:v>900</x:v>
      </x:c>
      <x:c r="H4321" t="n">
        <x:f>ROUND(F4321*G4321/100,2)</x:f>
        <x:v>54</x:v>
      </x:c>
      <x:c r="I4321" t="n">
        <x:v>0</x:v>
      </x:c>
      <x:c r="J4321" t="n">
        <x:f>ROUND(F4321*I4321/100,2)</x:f>
        <x:v>0</x:v>
      </x:c>
      <x:c r="K4321" t="n">
        <x:v>0</x:v>
      </x:c>
      <x:c r="L4321" t="n">
        <x:f>ROUND(F4321*K4321/100,2)</x:f>
        <x:v>0</x:v>
      </x:c>
      <x:c r="M4321" t="n">
        <x:v>100</x:v>
      </x:c>
      <x:c r="N4321" t="n">
        <x:f>ROUND(F4321*M4321/100,2)</x:f>
        <x:v>6</x:v>
      </x:c>
      <x:c r="O4321" t="str">
        <x:v>实际用油重</x:v>
      </x:c>
    </x:row>
    <x:row r="4322" ht="23" customHeight="1">
      <x:c r="A4322" t="n">
        <x:v>721</x:v>
      </x:c>
      <x:c r="B4322" t="n">
        <x:v>361</x:v>
      </x:c>
      <x:c r="C4322" t="str">
        <x:v>午餐</x:v>
      </x:c>
      <x:c r="D4322" t="str">
        <x:v>禽肉</x:v>
      </x:c>
      <x:c r="E4322" t="str">
        <x:v>去皮鸡腿肉</x:v>
      </x:c>
      <x:c r="F4322" t="n">
        <x:v>185</x:v>
      </x:c>
      <x:c r="G4322" t="n">
        <x:v>125</x:v>
      </x:c>
      <x:c r="H4322" t="n">
        <x:f>ROUND(F4322*G4322/100,2)</x:f>
        <x:v>231.25</x:v>
      </x:c>
      <x:c r="I4322" t="n">
        <x:v>20</x:v>
      </x:c>
      <x:c r="J4322" t="n">
        <x:f>ROUND(F4322*I4322/100,2)</x:f>
        <x:v>37</x:v>
      </x:c>
      <x:c r="K4322" t="n">
        <x:v>0</x:v>
      </x:c>
      <x:c r="L4322" t="n">
        <x:f>ROUND(F4322*K4322/100,2)</x:f>
        <x:v>0</x:v>
      </x:c>
      <x:c r="M4322" t="n">
        <x:v>5</x:v>
      </x:c>
      <x:c r="N4322" t="n">
        <x:f>ROUND(F4322*M4322/100,2)</x:f>
        <x:v>9.25</x:v>
      </x:c>
      <x:c r="O4322" t="str">
        <x:v>生重</x:v>
      </x:c>
    </x:row>
    <x:row r="4323" ht="23" customHeight="1">
      <x:c r="A4323" t="n">
        <x:v>721</x:v>
      </x:c>
      <x:c r="B4323" t="n">
        <x:v>361</x:v>
      </x:c>
      <x:c r="C4323" t="str">
        <x:v>午餐</x:v>
      </x:c>
      <x:c r="D4323" t="str"/>
      <x:c r="E4323" t="str"/>
      <x:c r="F4323" t="n">
        <x:v>0</x:v>
      </x:c>
      <x:c r="G4323" t="n">
        <x:v>0</x:v>
      </x:c>
      <x:c r="H4323" t="n">
        <x:f>ROUND(F4323*G4323/100,2)</x:f>
        <x:v>0</x:v>
      </x:c>
      <x:c r="I4323" t="n">
        <x:v>0</x:v>
      </x:c>
      <x:c r="J4323" t="n">
        <x:f>ROUND(F4323*I4323/100,2)</x:f>
        <x:v>0</x:v>
      </x:c>
      <x:c r="K4323" t="n">
        <x:v>0</x:v>
      </x:c>
      <x:c r="L4323" t="n">
        <x:f>ROUND(F4323*K4323/100,2)</x:f>
        <x:v>0</x:v>
      </x:c>
      <x:c r="M4323" t="n">
        <x:v>0</x:v>
      </x:c>
      <x:c r="N4323" t="n">
        <x:f>ROUND(F4323*M4323/100,2)</x:f>
        <x:v>0</x:v>
      </x:c>
      <x:c r="O4323" t="str"/>
    </x:row>
    <x:row r="4324" ht="23" customHeight="1">
      <x:c r="A4324" t="n">
        <x:v>721</x:v>
      </x:c>
      <x:c r="B4324" t="n">
        <x:v>361</x:v>
      </x:c>
      <x:c r="C4324" t="str">
        <x:v>午餐</x:v>
      </x:c>
      <x:c r="D4324" t="str">
        <x:v>蔬菜</x:v>
      </x:c>
      <x:c r="E4324" t="str">
        <x:v>番茄</x:v>
      </x:c>
      <x:c r="F4324" t="n">
        <x:v>175</x:v>
      </x:c>
      <x:c r="G4324" t="n">
        <x:v>20</x:v>
      </x:c>
      <x:c r="H4324" t="n">
        <x:f>ROUND(F4324*G4324/100,2)</x:f>
        <x:v>35</x:v>
      </x:c>
      <x:c r="I4324" t="n">
        <x:v>0.9</x:v>
      </x:c>
      <x:c r="J4324" t="n">
        <x:f>ROUND(F4324*I4324/100,2)</x:f>
        <x:v>1.58</x:v>
      </x:c>
      <x:c r="K4324" t="n">
        <x:v>4</x:v>
      </x:c>
      <x:c r="L4324" t="n">
        <x:f>ROUND(F4324*K4324/100,2)</x:f>
        <x:v>7</x:v>
      </x:c>
      <x:c r="M4324" t="n">
        <x:v>0.2</x:v>
      </x:c>
      <x:c r="N4324" t="n">
        <x:f>ROUND(F4324*M4324/100,2)</x:f>
        <x:v>0.35</x:v>
      </x:c>
      <x:c r="O4324" t="str">
        <x:v>生重</x:v>
      </x:c>
    </x:row>
    <x:row r="4325" ht="23" customHeight="1">
      <x:c r="A4325" t="n">
        <x:v>721</x:v>
      </x:c>
      <x:c r="B4325" t="n">
        <x:v>361</x:v>
      </x:c>
      <x:c r="C4325" t="str">
        <x:v>午餐</x:v>
      </x:c>
      <x:c r="D4325" t="str">
        <x:v>蔬菜</x:v>
      </x:c>
      <x:c r="E4325" t="str">
        <x:v>西兰花</x:v>
      </x:c>
      <x:c r="F4325" t="n">
        <x:v>110</x:v>
      </x:c>
      <x:c r="G4325" t="n">
        <x:v>34</x:v>
      </x:c>
      <x:c r="H4325" t="n">
        <x:f>ROUND(F4325*G4325/100,2)</x:f>
        <x:v>37.4</x:v>
      </x:c>
      <x:c r="I4325" t="n">
        <x:v>2.8</x:v>
      </x:c>
      <x:c r="J4325" t="n">
        <x:f>ROUND(F4325*I4325/100,2)</x:f>
        <x:v>3.08</x:v>
      </x:c>
      <x:c r="K4325" t="n">
        <x:v>7</x:v>
      </x:c>
      <x:c r="L4325" t="n">
        <x:f>ROUND(F4325*K4325/100,2)</x:f>
        <x:v>7.7</x:v>
      </x:c>
      <x:c r="M4325" t="n">
        <x:v>0.4</x:v>
      </x:c>
      <x:c r="N4325" t="n">
        <x:f>ROUND(F4325*M4325/100,2)</x:f>
        <x:v>0.44</x:v>
      </x:c>
      <x:c r="O4325" t="str">
        <x:v>生重</x:v>
      </x:c>
    </x:row>
    <x:row r="4326" ht="23" customHeight="1">
      <x:c r="A4326" t="n">
        <x:v>721</x:v>
      </x:c>
      <x:c r="B4326" t="n">
        <x:v>361</x:v>
      </x:c>
      <x:c r="C4326" t="str">
        <x:v>午餐</x:v>
      </x:c>
      <x:c r="D4326" t="str">
        <x:v>主食</x:v>
      </x:c>
      <x:c r="E4326" t="str">
        <x:v>荞麦饭</x:v>
      </x:c>
      <x:c r="F4326" t="n">
        <x:v>165</x:v>
      </x:c>
      <x:c r="G4326" t="n">
        <x:v>110</x:v>
      </x:c>
      <x:c r="H4326" t="n">
        <x:f>ROUND(F4326*G4326/100,2)</x:f>
        <x:v>181.5</x:v>
      </x:c>
      <x:c r="I4326" t="n">
        <x:v>3.4</x:v>
      </x:c>
      <x:c r="J4326" t="n">
        <x:f>ROUND(F4326*I4326/100,2)</x:f>
        <x:v>5.61</x:v>
      </x:c>
      <x:c r="K4326" t="n">
        <x:v>22</x:v>
      </x:c>
      <x:c r="L4326" t="n">
        <x:f>ROUND(F4326*K4326/100,2)</x:f>
        <x:v>36.3</x:v>
      </x:c>
      <x:c r="M4326" t="n">
        <x:v>1.1</x:v>
      </x:c>
      <x:c r="N4326" t="n">
        <x:f>ROUND(F4326*M4326/100,2)</x:f>
        <x:v>1.82</x:v>
      </x:c>
      <x:c r="O4326" t="str">
        <x:v>熟重</x:v>
      </x:c>
    </x:row>
    <x:row r="4327" ht="23" customHeight="1">
      <x:c r="A4327" t="n">
        <x:v>721</x:v>
      </x:c>
      <x:c r="B4327" t="n">
        <x:v>361</x:v>
      </x:c>
      <x:c r="C4327" t="str">
        <x:v>午餐</x:v>
      </x:c>
      <x:c r="D4327" t="str">
        <x:v>油脂</x:v>
      </x:c>
      <x:c r="E4327" t="str">
        <x:v>烹调油</x:v>
      </x:c>
      <x:c r="F4327" t="n">
        <x:v>5</x:v>
      </x:c>
      <x:c r="G4327" t="n">
        <x:v>900</x:v>
      </x:c>
      <x:c r="H4327" t="n">
        <x:f>ROUND(F4327*G4327/100,2)</x:f>
        <x:v>45</x:v>
      </x:c>
      <x:c r="I4327" t="n">
        <x:v>0</x:v>
      </x:c>
      <x:c r="J4327" t="n">
        <x:f>ROUND(F4327*I4327/100,2)</x:f>
        <x:v>0</x:v>
      </x:c>
      <x:c r="K4327" t="n">
        <x:v>0</x:v>
      </x:c>
      <x:c r="L4327" t="n">
        <x:f>ROUND(F4327*K4327/100,2)</x:f>
        <x:v>0</x:v>
      </x:c>
      <x:c r="M4327" t="n">
        <x:v>100</x:v>
      </x:c>
      <x:c r="N4327" t="n">
        <x:f>ROUND(F4327*M4327/100,2)</x:f>
        <x:v>5</x:v>
      </x:c>
      <x:c r="O4327" t="str">
        <x:v>实际用油重</x:v>
      </x:c>
    </x:row>
    <x:row r="4328" ht="23" customHeight="1">
      <x:c r="A4328" t="n">
        <x:v>722</x:v>
      </x:c>
      <x:c r="B4328" t="n">
        <x:v>361</x:v>
      </x:c>
      <x:c r="C4328" t="str">
        <x:v>晚餐</x:v>
      </x:c>
      <x:c r="D4328" t="str">
        <x:v>牛肉</x:v>
      </x:c>
      <x:c r="E4328" t="str">
        <x:v>牛里脊</x:v>
      </x:c>
      <x:c r="F4328" t="n">
        <x:v>145</x:v>
      </x:c>
      <x:c r="G4328" t="n">
        <x:v>130</x:v>
      </x:c>
      <x:c r="H4328" t="n">
        <x:f>ROUND(F4328*G4328/100,2)</x:f>
        <x:v>188.5</x:v>
      </x:c>
      <x:c r="I4328" t="n">
        <x:v>21</x:v>
      </x:c>
      <x:c r="J4328" t="n">
        <x:f>ROUND(F4328*I4328/100,2)</x:f>
        <x:v>30.45</x:v>
      </x:c>
      <x:c r="K4328" t="n">
        <x:v>0</x:v>
      </x:c>
      <x:c r="L4328" t="n">
        <x:f>ROUND(F4328*K4328/100,2)</x:f>
        <x:v>0</x:v>
      </x:c>
      <x:c r="M4328" t="n">
        <x:v>4.8</x:v>
      </x:c>
      <x:c r="N4328" t="n">
        <x:f>ROUND(F4328*M4328/100,2)</x:f>
        <x:v>6.96</x:v>
      </x:c>
      <x:c r="O4328" t="str">
        <x:v>生重</x:v>
      </x:c>
    </x:row>
    <x:row r="4329" ht="23" customHeight="1">
      <x:c r="A4329" t="n">
        <x:v>722</x:v>
      </x:c>
      <x:c r="B4329" t="n">
        <x:v>361</x:v>
      </x:c>
      <x:c r="C4329" t="str">
        <x:v>晚餐</x:v>
      </x:c>
      <x:c r="D4329" t="str"/>
      <x:c r="E4329" t="str"/>
      <x:c r="F4329" t="n">
        <x:v>0</x:v>
      </x:c>
      <x:c r="G4329" t="n">
        <x:v>0</x:v>
      </x:c>
      <x:c r="H4329" t="n">
        <x:f>ROUND(F4329*G4329/100,2)</x:f>
        <x:v>0</x:v>
      </x:c>
      <x:c r="I4329" t="n">
        <x:v>0</x:v>
      </x:c>
      <x:c r="J4329" t="n">
        <x:f>ROUND(F4329*I4329/100,2)</x:f>
        <x:v>0</x:v>
      </x:c>
      <x:c r="K4329" t="n">
        <x:v>0</x:v>
      </x:c>
      <x:c r="L4329" t="n">
        <x:f>ROUND(F4329*K4329/100,2)</x:f>
        <x:v>0</x:v>
      </x:c>
      <x:c r="M4329" t="n">
        <x:v>0</x:v>
      </x:c>
      <x:c r="N4329" t="n">
        <x:f>ROUND(F4329*M4329/100,2)</x:f>
        <x:v>0</x:v>
      </x:c>
      <x:c r="O4329" t="str"/>
    </x:row>
    <x:row r="4330" ht="23" customHeight="1">
      <x:c r="A4330" t="n">
        <x:v>722</x:v>
      </x:c>
      <x:c r="B4330" t="n">
        <x:v>361</x:v>
      </x:c>
      <x:c r="C4330" t="str">
        <x:v>晚餐</x:v>
      </x:c>
      <x:c r="D4330" t="str">
        <x:v>蔬菜</x:v>
      </x:c>
      <x:c r="E4330" t="str">
        <x:v>西葫芦</x:v>
      </x:c>
      <x:c r="F4330" t="n">
        <x:v>160</x:v>
      </x:c>
      <x:c r="G4330" t="n">
        <x:v>17</x:v>
      </x:c>
      <x:c r="H4330" t="n">
        <x:f>ROUND(F4330*G4330/100,2)</x:f>
        <x:v>27.2</x:v>
      </x:c>
      <x:c r="I4330" t="n">
        <x:v>1.2</x:v>
      </x:c>
      <x:c r="J4330" t="n">
        <x:f>ROUND(F4330*I4330/100,2)</x:f>
        <x:v>1.92</x:v>
      </x:c>
      <x:c r="K4330" t="n">
        <x:v>3.1</x:v>
      </x:c>
      <x:c r="L4330" t="n">
        <x:f>ROUND(F4330*K4330/100,2)</x:f>
        <x:v>4.96</x:v>
      </x:c>
      <x:c r="M4330" t="n">
        <x:v>0.3</x:v>
      </x:c>
      <x:c r="N4330" t="n">
        <x:f>ROUND(F4330*M4330/100,2)</x:f>
        <x:v>0.48</x:v>
      </x:c>
      <x:c r="O4330" t="str">
        <x:v>生重</x:v>
      </x:c>
    </x:row>
    <x:row r="4331" ht="23" customHeight="1">
      <x:c r="A4331" t="n">
        <x:v>722</x:v>
      </x:c>
      <x:c r="B4331" t="n">
        <x:v>361</x:v>
      </x:c>
      <x:c r="C4331" t="str">
        <x:v>晚餐</x:v>
      </x:c>
      <x:c r="D4331" t="str">
        <x:v>蔬菜</x:v>
      </x:c>
      <x:c r="E4331" t="str">
        <x:v>冬瓜</x:v>
      </x:c>
      <x:c r="F4331" t="n">
        <x:v>110</x:v>
      </x:c>
      <x:c r="G4331" t="n">
        <x:v>13</x:v>
      </x:c>
      <x:c r="H4331" t="n">
        <x:f>ROUND(F4331*G4331/100,2)</x:f>
        <x:v>14.3</x:v>
      </x:c>
      <x:c r="I4331" t="n">
        <x:v>0.4</x:v>
      </x:c>
      <x:c r="J4331" t="n">
        <x:f>ROUND(F4331*I4331/100,2)</x:f>
        <x:v>0.44</x:v>
      </x:c>
      <x:c r="K4331" t="n">
        <x:v>3</x:v>
      </x:c>
      <x:c r="L4331" t="n">
        <x:f>ROUND(F4331*K4331/100,2)</x:f>
        <x:v>3.3</x:v>
      </x:c>
      <x:c r="M4331" t="n">
        <x:v>0.2</x:v>
      </x:c>
      <x:c r="N4331" t="n">
        <x:f>ROUND(F4331*M4331/100,2)</x:f>
        <x:v>0.22</x:v>
      </x:c>
      <x:c r="O4331" t="str">
        <x:v>生重</x:v>
      </x:c>
    </x:row>
    <x:row r="4332" ht="23" customHeight="1">
      <x:c r="A4332" t="n">
        <x:v>722</x:v>
      </x:c>
      <x:c r="B4332" t="n">
        <x:v>361</x:v>
      </x:c>
      <x:c r="C4332" t="str">
        <x:v>晚餐</x:v>
      </x:c>
      <x:c r="D4332" t="str">
        <x:v>主食</x:v>
      </x:c>
      <x:c r="E4332" t="str">
        <x:v>荞麦饭</x:v>
      </x:c>
      <x:c r="F4332" t="n">
        <x:v>110</x:v>
      </x:c>
      <x:c r="G4332" t="n">
        <x:v>110</x:v>
      </x:c>
      <x:c r="H4332" t="n">
        <x:f>ROUND(F4332*G4332/100,2)</x:f>
        <x:v>121</x:v>
      </x:c>
      <x:c r="I4332" t="n">
        <x:v>3.4</x:v>
      </x:c>
      <x:c r="J4332" t="n">
        <x:f>ROUND(F4332*I4332/100,2)</x:f>
        <x:v>3.74</x:v>
      </x:c>
      <x:c r="K4332" t="n">
        <x:v>22</x:v>
      </x:c>
      <x:c r="L4332" t="n">
        <x:f>ROUND(F4332*K4332/100,2)</x:f>
        <x:v>24.2</x:v>
      </x:c>
      <x:c r="M4332" t="n">
        <x:v>1.1</x:v>
      </x:c>
      <x:c r="N4332" t="n">
        <x:f>ROUND(F4332*M4332/100,2)</x:f>
        <x:v>1.21</x:v>
      </x:c>
      <x:c r="O4332" t="str">
        <x:v>熟重</x:v>
      </x:c>
    </x:row>
    <x:row r="4333" ht="23" customHeight="1">
      <x:c r="A4333" t="n">
        <x:v>722</x:v>
      </x:c>
      <x:c r="B4333" t="n">
        <x:v>361</x:v>
      </x:c>
      <x:c r="C4333" t="str">
        <x:v>晚餐</x:v>
      </x:c>
      <x:c r="D4333" t="str">
        <x:v>油脂</x:v>
      </x:c>
      <x:c r="E4333" t="str">
        <x:v>烹调油</x:v>
      </x:c>
      <x:c r="F4333" t="n">
        <x:v>5</x:v>
      </x:c>
      <x:c r="G4333" t="n">
        <x:v>900</x:v>
      </x:c>
      <x:c r="H4333" t="n">
        <x:f>ROUND(F4333*G4333/100,2)</x:f>
        <x:v>45</x:v>
      </x:c>
      <x:c r="I4333" t="n">
        <x:v>0</x:v>
      </x:c>
      <x:c r="J4333" t="n">
        <x:f>ROUND(F4333*I4333/100,2)</x:f>
        <x:v>0</x:v>
      </x:c>
      <x:c r="K4333" t="n">
        <x:v>0</x:v>
      </x:c>
      <x:c r="L4333" t="n">
        <x:f>ROUND(F4333*K4333/100,2)</x:f>
        <x:v>0</x:v>
      </x:c>
      <x:c r="M4333" t="n">
        <x:v>100</x:v>
      </x:c>
      <x:c r="N4333" t="n">
        <x:f>ROUND(F4333*M4333/100,2)</x:f>
        <x:v>5</x:v>
      </x:c>
      <x:c r="O4333" t="str">
        <x:v>实际用油重</x:v>
      </x:c>
    </x:row>
    <x:row r="4334" ht="23" customHeight="1">
      <x:c r="A4334" t="n">
        <x:v>723</x:v>
      </x:c>
      <x:c r="B4334" t="n">
        <x:v>362</x:v>
      </x:c>
      <x:c r="C4334" t="str">
        <x:v>午餐</x:v>
      </x:c>
      <x:c r="D4334" t="str">
        <x:v>海鲜</x:v>
      </x:c>
      <x:c r="E4334" t="str">
        <x:v>鱿鱼</x:v>
      </x:c>
      <x:c r="F4334" t="n">
        <x:v>190</x:v>
      </x:c>
      <x:c r="G4334" t="n">
        <x:v>95</x:v>
      </x:c>
      <x:c r="H4334" t="n">
        <x:f>ROUND(F4334*G4334/100,2)</x:f>
        <x:v>180.5</x:v>
      </x:c>
      <x:c r="I4334" t="n">
        <x:v>17</x:v>
      </x:c>
      <x:c r="J4334" t="n">
        <x:f>ROUND(F4334*I4334/100,2)</x:f>
        <x:v>32.3</x:v>
      </x:c>
      <x:c r="K4334" t="n">
        <x:v>2</x:v>
      </x:c>
      <x:c r="L4334" t="n">
        <x:f>ROUND(F4334*K4334/100,2)</x:f>
        <x:v>3.8</x:v>
      </x:c>
      <x:c r="M4334" t="n">
        <x:v>1.4</x:v>
      </x:c>
      <x:c r="N4334" t="n">
        <x:f>ROUND(F4334*M4334/100,2)</x:f>
        <x:v>2.66</x:v>
      </x:c>
      <x:c r="O4334" t="str">
        <x:v>生重</x:v>
      </x:c>
    </x:row>
    <x:row r="4335" ht="23" customHeight="1">
      <x:c r="A4335" t="n">
        <x:v>723</x:v>
      </x:c>
      <x:c r="B4335" t="n">
        <x:v>362</x:v>
      </x:c>
      <x:c r="C4335" t="str">
        <x:v>午餐</x:v>
      </x:c>
      <x:c r="D4335" t="str"/>
      <x:c r="E4335" t="str"/>
      <x:c r="F4335" t="n">
        <x:v>0</x:v>
      </x:c>
      <x:c r="G4335" t="n">
        <x:v>0</x:v>
      </x:c>
      <x:c r="H4335" t="n">
        <x:f>ROUND(F4335*G4335/100,2)</x:f>
        <x:v>0</x:v>
      </x:c>
      <x:c r="I4335" t="n">
        <x:v>0</x:v>
      </x:c>
      <x:c r="J4335" t="n">
        <x:f>ROUND(F4335*I4335/100,2)</x:f>
        <x:v>0</x:v>
      </x:c>
      <x:c r="K4335" t="n">
        <x:v>0</x:v>
      </x:c>
      <x:c r="L4335" t="n">
        <x:f>ROUND(F4335*K4335/100,2)</x:f>
        <x:v>0</x:v>
      </x:c>
      <x:c r="M4335" t="n">
        <x:v>0</x:v>
      </x:c>
      <x:c r="N4335" t="n">
        <x:f>ROUND(F4335*M4335/100,2)</x:f>
        <x:v>0</x:v>
      </x:c>
      <x:c r="O4335" t="str"/>
    </x:row>
    <x:row r="4336" ht="23" customHeight="1">
      <x:c r="A4336" t="n">
        <x:v>723</x:v>
      </x:c>
      <x:c r="B4336" t="n">
        <x:v>362</x:v>
      </x:c>
      <x:c r="C4336" t="str">
        <x:v>午餐</x:v>
      </x:c>
      <x:c r="D4336" t="str">
        <x:v>蔬菜</x:v>
      </x:c>
      <x:c r="E4336" t="str">
        <x:v>四季豆</x:v>
      </x:c>
      <x:c r="F4336" t="n">
        <x:v>175</x:v>
      </x:c>
      <x:c r="G4336" t="n">
        <x:v>31</x:v>
      </x:c>
      <x:c r="H4336" t="n">
        <x:f>ROUND(F4336*G4336/100,2)</x:f>
        <x:v>54.25</x:v>
      </x:c>
      <x:c r="I4336" t="n">
        <x:v>1.8</x:v>
      </x:c>
      <x:c r="J4336" t="n">
        <x:f>ROUND(F4336*I4336/100,2)</x:f>
        <x:v>3.15</x:v>
      </x:c>
      <x:c r="K4336" t="n">
        <x:v>7</x:v>
      </x:c>
      <x:c r="L4336" t="n">
        <x:f>ROUND(F4336*K4336/100,2)</x:f>
        <x:v>12.25</x:v>
      </x:c>
      <x:c r="M4336" t="n">
        <x:v>0.1</x:v>
      </x:c>
      <x:c r="N4336" t="n">
        <x:f>ROUND(F4336*M4336/100,2)</x:f>
        <x:v>0.18</x:v>
      </x:c>
      <x:c r="O4336" t="str">
        <x:v>生重</x:v>
      </x:c>
    </x:row>
    <x:row r="4337" ht="23" customHeight="1">
      <x:c r="A4337" t="n">
        <x:v>723</x:v>
      </x:c>
      <x:c r="B4337" t="n">
        <x:v>362</x:v>
      </x:c>
      <x:c r="C4337" t="str">
        <x:v>午餐</x:v>
      </x:c>
      <x:c r="D4337" t="str">
        <x:v>蔬菜</x:v>
      </x:c>
      <x:c r="E4337" t="str">
        <x:v>小白菜</x:v>
      </x:c>
      <x:c r="F4337" t="n">
        <x:v>125</x:v>
      </x:c>
      <x:c r="G4337" t="n">
        <x:v>17</x:v>
      </x:c>
      <x:c r="H4337" t="n">
        <x:f>ROUND(F4337*G4337/100,2)</x:f>
        <x:v>21.25</x:v>
      </x:c>
      <x:c r="I4337" t="n">
        <x:v>1.6</x:v>
      </x:c>
      <x:c r="J4337" t="n">
        <x:f>ROUND(F4337*I4337/100,2)</x:f>
        <x:v>2</x:v>
      </x:c>
      <x:c r="K4337" t="n">
        <x:v>2.8</x:v>
      </x:c>
      <x:c r="L4337" t="n">
        <x:f>ROUND(F4337*K4337/100,2)</x:f>
        <x:v>3.5</x:v>
      </x:c>
      <x:c r="M4337" t="n">
        <x:v>0.2</x:v>
      </x:c>
      <x:c r="N4337" t="n">
        <x:f>ROUND(F4337*M4337/100,2)</x:f>
        <x:v>0.25</x:v>
      </x:c>
      <x:c r="O4337" t="str">
        <x:v>生重</x:v>
      </x:c>
    </x:row>
    <x:row r="4338" ht="23" customHeight="1">
      <x:c r="A4338" t="n">
        <x:v>723</x:v>
      </x:c>
      <x:c r="B4338" t="n">
        <x:v>362</x:v>
      </x:c>
      <x:c r="C4338" t="str">
        <x:v>午餐</x:v>
      </x:c>
      <x:c r="D4338" t="str">
        <x:v>主食</x:v>
      </x:c>
      <x:c r="E4338" t="str">
        <x:v>玉米</x:v>
      </x:c>
      <x:c r="F4338" t="n">
        <x:v>135</x:v>
      </x:c>
      <x:c r="G4338" t="n">
        <x:v>105</x:v>
      </x:c>
      <x:c r="H4338" t="n">
        <x:f>ROUND(F4338*G4338/100,2)</x:f>
        <x:v>141.75</x:v>
      </x:c>
      <x:c r="I4338" t="n">
        <x:v>3.4</x:v>
      </x:c>
      <x:c r="J4338" t="n">
        <x:f>ROUND(F4338*I4338/100,2)</x:f>
        <x:v>4.59</x:v>
      </x:c>
      <x:c r="K4338" t="n">
        <x:v>22</x:v>
      </x:c>
      <x:c r="L4338" t="n">
        <x:f>ROUND(F4338*K4338/100,2)</x:f>
        <x:v>29.7</x:v>
      </x:c>
      <x:c r="M4338" t="n">
        <x:v>1.5</x:v>
      </x:c>
      <x:c r="N4338" t="n">
        <x:f>ROUND(F4338*M4338/100,2)</x:f>
        <x:v>2.03</x:v>
      </x:c>
      <x:c r="O4338" t="str">
        <x:v>蒸熟净重</x:v>
      </x:c>
    </x:row>
    <x:row r="4339" ht="23" customHeight="1">
      <x:c r="A4339" t="n">
        <x:v>723</x:v>
      </x:c>
      <x:c r="B4339" t="n">
        <x:v>362</x:v>
      </x:c>
      <x:c r="C4339" t="str">
        <x:v>午餐</x:v>
      </x:c>
      <x:c r="D4339" t="str">
        <x:v>油脂</x:v>
      </x:c>
      <x:c r="E4339" t="str">
        <x:v>烹调油</x:v>
      </x:c>
      <x:c r="F4339" t="n">
        <x:v>4</x:v>
      </x:c>
      <x:c r="G4339" t="n">
        <x:v>900</x:v>
      </x:c>
      <x:c r="H4339" t="n">
        <x:f>ROUND(F4339*G4339/100,2)</x:f>
        <x:v>36</x:v>
      </x:c>
      <x:c r="I4339" t="n">
        <x:v>0</x:v>
      </x:c>
      <x:c r="J4339" t="n">
        <x:f>ROUND(F4339*I4339/100,2)</x:f>
        <x:v>0</x:v>
      </x:c>
      <x:c r="K4339" t="n">
        <x:v>0</x:v>
      </x:c>
      <x:c r="L4339" t="n">
        <x:f>ROUND(F4339*K4339/100,2)</x:f>
        <x:v>0</x:v>
      </x:c>
      <x:c r="M4339" t="n">
        <x:v>100</x:v>
      </x:c>
      <x:c r="N4339" t="n">
        <x:f>ROUND(F4339*M4339/100,2)</x:f>
        <x:v>4</x:v>
      </x:c>
      <x:c r="O4339" t="str">
        <x:v>实际用油重</x:v>
      </x:c>
    </x:row>
    <x:row r="4340" ht="23" customHeight="1">
      <x:c r="A4340" t="n">
        <x:v>724</x:v>
      </x:c>
      <x:c r="B4340" t="n">
        <x:v>362</x:v>
      </x:c>
      <x:c r="C4340" t="str">
        <x:v>晚餐</x:v>
      </x:c>
      <x:c r="D4340" t="str">
        <x:v>豆蛋</x:v>
      </x:c>
      <x:c r="E4340" t="str">
        <x:v>鸡蛋</x:v>
      </x:c>
      <x:c r="F4340" t="n">
        <x:v>120</x:v>
      </x:c>
      <x:c r="G4340" t="n">
        <x:v>144</x:v>
      </x:c>
      <x:c r="H4340" t="n">
        <x:f>ROUND(F4340*G4340/100,2)</x:f>
        <x:v>172.8</x:v>
      </x:c>
      <x:c r="I4340" t="n">
        <x:v>13</x:v>
      </x:c>
      <x:c r="J4340" t="n">
        <x:f>ROUND(F4340*I4340/100,2)</x:f>
        <x:v>15.6</x:v>
      </x:c>
      <x:c r="K4340" t="n">
        <x:v>1.1</x:v>
      </x:c>
      <x:c r="L4340" t="n">
        <x:f>ROUND(F4340*K4340/100,2)</x:f>
        <x:v>1.32</x:v>
      </x:c>
      <x:c r="M4340" t="n">
        <x:v>10</x:v>
      </x:c>
      <x:c r="N4340" t="n">
        <x:f>ROUND(F4340*M4340/100,2)</x:f>
        <x:v>12</x:v>
      </x:c>
      <x:c r="O4340" t="str">
        <x:v>去壳可食重</x:v>
      </x:c>
    </x:row>
    <x:row r="4341" ht="23" customHeight="1">
      <x:c r="A4341" t="n">
        <x:v>724</x:v>
      </x:c>
      <x:c r="B4341" t="n">
        <x:v>362</x:v>
      </x:c>
      <x:c r="C4341" t="str">
        <x:v>晚餐</x:v>
      </x:c>
      <x:c r="D4341" t="str">
        <x:v>豆蛋</x:v>
      </x:c>
      <x:c r="E4341" t="str">
        <x:v>嫩豆腐</x:v>
      </x:c>
      <x:c r="F4341" t="n">
        <x:v>110</x:v>
      </x:c>
      <x:c r="G4341" t="n">
        <x:v>55</x:v>
      </x:c>
      <x:c r="H4341" t="n">
        <x:f>ROUND(F4341*G4341/100,2)</x:f>
        <x:v>60.5</x:v>
      </x:c>
      <x:c r="I4341" t="n">
        <x:v>5</x:v>
      </x:c>
      <x:c r="J4341" t="n">
        <x:f>ROUND(F4341*I4341/100,2)</x:f>
        <x:v>5.5</x:v>
      </x:c>
      <x:c r="K4341" t="n">
        <x:v>2</x:v>
      </x:c>
      <x:c r="L4341" t="n">
        <x:f>ROUND(F4341*K4341/100,2)</x:f>
        <x:v>2.2</x:v>
      </x:c>
      <x:c r="M4341" t="n">
        <x:v>2.8</x:v>
      </x:c>
      <x:c r="N4341" t="n">
        <x:f>ROUND(F4341*M4341/100,2)</x:f>
        <x:v>3.08</x:v>
      </x:c>
      <x:c r="O4341" t="str">
        <x:v>净重</x:v>
      </x:c>
    </x:row>
    <x:row r="4342" ht="23" customHeight="1">
      <x:c r="A4342" t="n">
        <x:v>724</x:v>
      </x:c>
      <x:c r="B4342" t="n">
        <x:v>362</x:v>
      </x:c>
      <x:c r="C4342" t="str">
        <x:v>晚餐</x:v>
      </x:c>
      <x:c r="D4342" t="str">
        <x:v>蔬菜</x:v>
      </x:c>
      <x:c r="E4342" t="str">
        <x:v>芦笋</x:v>
      </x:c>
      <x:c r="F4342" t="n">
        <x:v>140</x:v>
      </x:c>
      <x:c r="G4342" t="n">
        <x:v>20</x:v>
      </x:c>
      <x:c r="H4342" t="n">
        <x:f>ROUND(F4342*G4342/100,2)</x:f>
        <x:v>28</x:v>
      </x:c>
      <x:c r="I4342" t="n">
        <x:v>2.2</x:v>
      </x:c>
      <x:c r="J4342" t="n">
        <x:f>ROUND(F4342*I4342/100,2)</x:f>
        <x:v>3.08</x:v>
      </x:c>
      <x:c r="K4342" t="n">
        <x:v>3.9</x:v>
      </x:c>
      <x:c r="L4342" t="n">
        <x:f>ROUND(F4342*K4342/100,2)</x:f>
        <x:v>5.46</x:v>
      </x:c>
      <x:c r="M4342" t="n">
        <x:v>0.1</x:v>
      </x:c>
      <x:c r="N4342" t="n">
        <x:f>ROUND(F4342*M4342/100,2)</x:f>
        <x:v>0.14</x:v>
      </x:c>
      <x:c r="O4342" t="str">
        <x:v>生重</x:v>
      </x:c>
    </x:row>
    <x:row r="4343" ht="23" customHeight="1">
      <x:c r="A4343" t="n">
        <x:v>724</x:v>
      </x:c>
      <x:c r="B4343" t="n">
        <x:v>362</x:v>
      </x:c>
      <x:c r="C4343" t="str">
        <x:v>晚餐</x:v>
      </x:c>
      <x:c r="D4343" t="str">
        <x:v>蔬菜</x:v>
      </x:c>
      <x:c r="E4343" t="str">
        <x:v>娃娃菜</x:v>
      </x:c>
      <x:c r="F4343" t="n">
        <x:v>110</x:v>
      </x:c>
      <x:c r="G4343" t="n">
        <x:v>17</x:v>
      </x:c>
      <x:c r="H4343" t="n">
        <x:f>ROUND(F4343*G4343/100,2)</x:f>
        <x:v>18.7</x:v>
      </x:c>
      <x:c r="I4343" t="n">
        <x:v>1.3</x:v>
      </x:c>
      <x:c r="J4343" t="n">
        <x:f>ROUND(F4343*I4343/100,2)</x:f>
        <x:v>1.43</x:v>
      </x:c>
      <x:c r="K4343" t="n">
        <x:v>3</x:v>
      </x:c>
      <x:c r="L4343" t="n">
        <x:f>ROUND(F4343*K4343/100,2)</x:f>
        <x:v>3.3</x:v>
      </x:c>
      <x:c r="M4343" t="n">
        <x:v>0.2</x:v>
      </x:c>
      <x:c r="N4343" t="n">
        <x:f>ROUND(F4343*M4343/100,2)</x:f>
        <x:v>0.22</x:v>
      </x:c>
      <x:c r="O4343" t="str">
        <x:v>生重</x:v>
      </x:c>
    </x:row>
    <x:row r="4344" ht="23" customHeight="1">
      <x:c r="A4344" t="n">
        <x:v>724</x:v>
      </x:c>
      <x:c r="B4344" t="n">
        <x:v>362</x:v>
      </x:c>
      <x:c r="C4344" t="str">
        <x:v>晚餐</x:v>
      </x:c>
      <x:c r="D4344" t="str">
        <x:v>主食</x:v>
      </x:c>
      <x:c r="E4344" t="str">
        <x:v>藜麦饭</x:v>
      </x:c>
      <x:c r="F4344" t="n">
        <x:v>110</x:v>
      </x:c>
      <x:c r="G4344" t="n">
        <x:v>120</x:v>
      </x:c>
      <x:c r="H4344" t="n">
        <x:f>ROUND(F4344*G4344/100,2)</x:f>
        <x:v>132</x:v>
      </x:c>
      <x:c r="I4344" t="n">
        <x:v>4.4</x:v>
      </x:c>
      <x:c r="J4344" t="n">
        <x:f>ROUND(F4344*I4344/100,2)</x:f>
        <x:v>4.84</x:v>
      </x:c>
      <x:c r="K4344" t="n">
        <x:v>21.3</x:v>
      </x:c>
      <x:c r="L4344" t="n">
        <x:f>ROUND(F4344*K4344/100,2)</x:f>
        <x:v>23.43</x:v>
      </x:c>
      <x:c r="M4344" t="n">
        <x:v>1.9</x:v>
      </x:c>
      <x:c r="N4344" t="n">
        <x:f>ROUND(F4344*M4344/100,2)</x:f>
        <x:v>2.09</x:v>
      </x:c>
      <x:c r="O4344" t="str">
        <x:v>熟重</x:v>
      </x:c>
    </x:row>
    <x:row r="4345" ht="23" customHeight="1">
      <x:c r="A4345" t="n">
        <x:v>724</x:v>
      </x:c>
      <x:c r="B4345" t="n">
        <x:v>362</x:v>
      </x:c>
      <x:c r="C4345" t="str">
        <x:v>晚餐</x:v>
      </x:c>
      <x:c r="D4345" t="str">
        <x:v>油脂</x:v>
      </x:c>
      <x:c r="E4345" t="str">
        <x:v>烹调油</x:v>
      </x:c>
      <x:c r="F4345" t="n">
        <x:v>6</x:v>
      </x:c>
      <x:c r="G4345" t="n">
        <x:v>900</x:v>
      </x:c>
      <x:c r="H4345" t="n">
        <x:f>ROUND(F4345*G4345/100,2)</x:f>
        <x:v>54</x:v>
      </x:c>
      <x:c r="I4345" t="n">
        <x:v>0</x:v>
      </x:c>
      <x:c r="J4345" t="n">
        <x:f>ROUND(F4345*I4345/100,2)</x:f>
        <x:v>0</x:v>
      </x:c>
      <x:c r="K4345" t="n">
        <x:v>0</x:v>
      </x:c>
      <x:c r="L4345" t="n">
        <x:f>ROUND(F4345*K4345/100,2)</x:f>
        <x:v>0</x:v>
      </x:c>
      <x:c r="M4345" t="n">
        <x:v>100</x:v>
      </x:c>
      <x:c r="N4345" t="n">
        <x:f>ROUND(F4345*M4345/100,2)</x:f>
        <x:v>6</x:v>
      </x:c>
      <x:c r="O4345" t="str">
        <x:v>实际用油重</x:v>
      </x:c>
    </x:row>
    <x:row r="4346" ht="23" customHeight="1">
      <x:c r="A4346" t="n">
        <x:v>725</x:v>
      </x:c>
      <x:c r="B4346" t="n">
        <x:v>363</x:v>
      </x:c>
      <x:c r="C4346" t="str">
        <x:v>午餐</x:v>
      </x:c>
      <x:c r="D4346" t="str">
        <x:v>豆蛋</x:v>
      </x:c>
      <x:c r="E4346" t="str">
        <x:v>北豆腐</x:v>
      </x:c>
      <x:c r="F4346" t="n">
        <x:v>300</x:v>
      </x:c>
      <x:c r="G4346" t="n">
        <x:v>90</x:v>
      </x:c>
      <x:c r="H4346" t="n">
        <x:f>ROUND(F4346*G4346/100,2)</x:f>
        <x:v>270</x:v>
      </x:c>
      <x:c r="I4346" t="n">
        <x:v>10</x:v>
      </x:c>
      <x:c r="J4346" t="n">
        <x:f>ROUND(F4346*I4346/100,2)</x:f>
        <x:v>30</x:v>
      </x:c>
      <x:c r="K4346" t="n">
        <x:v>2</x:v>
      </x:c>
      <x:c r="L4346" t="n">
        <x:f>ROUND(F4346*K4346/100,2)</x:f>
        <x:v>6</x:v>
      </x:c>
      <x:c r="M4346" t="n">
        <x:v>5</x:v>
      </x:c>
      <x:c r="N4346" t="n">
        <x:f>ROUND(F4346*M4346/100,2)</x:f>
        <x:v>15</x:v>
      </x:c>
      <x:c r="O4346" t="str">
        <x:v>净重</x:v>
      </x:c>
    </x:row>
    <x:row r="4347" ht="23" customHeight="1">
      <x:c r="A4347" t="n">
        <x:v>725</x:v>
      </x:c>
      <x:c r="B4347" t="n">
        <x:v>363</x:v>
      </x:c>
      <x:c r="C4347" t="str">
        <x:v>午餐</x:v>
      </x:c>
      <x:c r="D4347" t="str">
        <x:v>豆蛋</x:v>
      </x:c>
      <x:c r="E4347" t="str">
        <x:v>熟毛豆仁</x:v>
      </x:c>
      <x:c r="F4347" t="n">
        <x:v>70</x:v>
      </x:c>
      <x:c r="G4347" t="n">
        <x:v>120</x:v>
      </x:c>
      <x:c r="H4347" t="n">
        <x:f>ROUND(F4347*G4347/100,2)</x:f>
        <x:v>84</x:v>
      </x:c>
      <x:c r="I4347" t="n">
        <x:v>12</x:v>
      </x:c>
      <x:c r="J4347" t="n">
        <x:f>ROUND(F4347*I4347/100,2)</x:f>
        <x:v>8.4</x:v>
      </x:c>
      <x:c r="K4347" t="n">
        <x:v>9</x:v>
      </x:c>
      <x:c r="L4347" t="n">
        <x:f>ROUND(F4347*K4347/100,2)</x:f>
        <x:v>6.3</x:v>
      </x:c>
      <x:c r="M4347" t="n">
        <x:v>5</x:v>
      </x:c>
      <x:c r="N4347" t="n">
        <x:f>ROUND(F4347*M4347/100,2)</x:f>
        <x:v>3.5</x:v>
      </x:c>
      <x:c r="O4347" t="str">
        <x:v>熟重</x:v>
      </x:c>
    </x:row>
    <x:row r="4348" ht="23" customHeight="1">
      <x:c r="A4348" t="n">
        <x:v>725</x:v>
      </x:c>
      <x:c r="B4348" t="n">
        <x:v>363</x:v>
      </x:c>
      <x:c r="C4348" t="str">
        <x:v>午餐</x:v>
      </x:c>
      <x:c r="D4348" t="str">
        <x:v>蔬菜</x:v>
      </x:c>
      <x:c r="E4348" t="str">
        <x:v>番茄</x:v>
      </x:c>
      <x:c r="F4348" t="n">
        <x:v>140</x:v>
      </x:c>
      <x:c r="G4348" t="n">
        <x:v>20</x:v>
      </x:c>
      <x:c r="H4348" t="n">
        <x:f>ROUND(F4348*G4348/100,2)</x:f>
        <x:v>28</x:v>
      </x:c>
      <x:c r="I4348" t="n">
        <x:v>0.9</x:v>
      </x:c>
      <x:c r="J4348" t="n">
        <x:f>ROUND(F4348*I4348/100,2)</x:f>
        <x:v>1.26</x:v>
      </x:c>
      <x:c r="K4348" t="n">
        <x:v>4</x:v>
      </x:c>
      <x:c r="L4348" t="n">
        <x:f>ROUND(F4348*K4348/100,2)</x:f>
        <x:v>5.6</x:v>
      </x:c>
      <x:c r="M4348" t="n">
        <x:v>0.2</x:v>
      </x:c>
      <x:c r="N4348" t="n">
        <x:f>ROUND(F4348*M4348/100,2)</x:f>
        <x:v>0.28</x:v>
      </x:c>
      <x:c r="O4348" t="str">
        <x:v>生重</x:v>
      </x:c>
    </x:row>
    <x:row r="4349" ht="23" customHeight="1">
      <x:c r="A4349" t="n">
        <x:v>725</x:v>
      </x:c>
      <x:c r="B4349" t="n">
        <x:v>363</x:v>
      </x:c>
      <x:c r="C4349" t="str">
        <x:v>午餐</x:v>
      </x:c>
      <x:c r="D4349" t="str">
        <x:v>蔬菜</x:v>
      </x:c>
      <x:c r="E4349" t="str">
        <x:v>玉米笋</x:v>
      </x:c>
      <x:c r="F4349" t="n">
        <x:v>155</x:v>
      </x:c>
      <x:c r="G4349" t="n">
        <x:v>26</x:v>
      </x:c>
      <x:c r="H4349" t="n">
        <x:f>ROUND(F4349*G4349/100,2)</x:f>
        <x:v>40.3</x:v>
      </x:c>
      <x:c r="I4349" t="n">
        <x:v>2</x:v>
      </x:c>
      <x:c r="J4349" t="n">
        <x:f>ROUND(F4349*I4349/100,2)</x:f>
        <x:v>3.1</x:v>
      </x:c>
      <x:c r="K4349" t="n">
        <x:v>4.9</x:v>
      </x:c>
      <x:c r="L4349" t="n">
        <x:f>ROUND(F4349*K4349/100,2)</x:f>
        <x:v>7.6</x:v>
      </x:c>
      <x:c r="M4349" t="n">
        <x:v>0.1</x:v>
      </x:c>
      <x:c r="N4349" t="n">
        <x:f>ROUND(F4349*M4349/100,2)</x:f>
        <x:v>0.16</x:v>
      </x:c>
      <x:c r="O4349" t="str">
        <x:v>生重</x:v>
      </x:c>
    </x:row>
    <x:row r="4350" ht="23" customHeight="1">
      <x:c r="A4350" t="n">
        <x:v>725</x:v>
      </x:c>
      <x:c r="B4350" t="n">
        <x:v>363</x:v>
      </x:c>
      <x:c r="C4350" t="str">
        <x:v>午餐</x:v>
      </x:c>
      <x:c r="D4350" t="str">
        <x:v>主食</x:v>
      </x:c>
      <x:c r="E4350" t="str">
        <x:v>土豆</x:v>
      </x:c>
      <x:c r="F4350" t="n">
        <x:v>110</x:v>
      </x:c>
      <x:c r="G4350" t="n">
        <x:v>78</x:v>
      </x:c>
      <x:c r="H4350" t="n">
        <x:f>ROUND(F4350*G4350/100,2)</x:f>
        <x:v>85.8</x:v>
      </x:c>
      <x:c r="I4350" t="n">
        <x:v>2</x:v>
      </x:c>
      <x:c r="J4350" t="n">
        <x:f>ROUND(F4350*I4350/100,2)</x:f>
        <x:v>2.2</x:v>
      </x:c>
      <x:c r="K4350" t="n">
        <x:v>17.2</x:v>
      </x:c>
      <x:c r="L4350" t="n">
        <x:f>ROUND(F4350*K4350/100,2)</x:f>
        <x:v>18.92</x:v>
      </x:c>
      <x:c r="M4350" t="n">
        <x:v>0.1</x:v>
      </x:c>
      <x:c r="N4350" t="n">
        <x:f>ROUND(F4350*M4350/100,2)</x:f>
        <x:v>0.11</x:v>
      </x:c>
      <x:c r="O4350" t="str">
        <x:v>蒸熟净重</x:v>
      </x:c>
    </x:row>
    <x:row r="4351" ht="23" customHeight="1">
      <x:c r="A4351" t="n">
        <x:v>725</x:v>
      </x:c>
      <x:c r="B4351" t="n">
        <x:v>363</x:v>
      </x:c>
      <x:c r="C4351" t="str">
        <x:v>午餐</x:v>
      </x:c>
      <x:c r="D4351" t="str">
        <x:v>油脂</x:v>
      </x:c>
      <x:c r="E4351" t="str">
        <x:v>烹调油</x:v>
      </x:c>
      <x:c r="F4351" t="n">
        <x:v>4</x:v>
      </x:c>
      <x:c r="G4351" t="n">
        <x:v>900</x:v>
      </x:c>
      <x:c r="H4351" t="n">
        <x:f>ROUND(F4351*G4351/100,2)</x:f>
        <x:v>36</x:v>
      </x:c>
      <x:c r="I4351" t="n">
        <x:v>0</x:v>
      </x:c>
      <x:c r="J4351" t="n">
        <x:f>ROUND(F4351*I4351/100,2)</x:f>
        <x:v>0</x:v>
      </x:c>
      <x:c r="K4351" t="n">
        <x:v>0</x:v>
      </x:c>
      <x:c r="L4351" t="n">
        <x:f>ROUND(F4351*K4351/100,2)</x:f>
        <x:v>0</x:v>
      </x:c>
      <x:c r="M4351" t="n">
        <x:v>100</x:v>
      </x:c>
      <x:c r="N4351" t="n">
        <x:f>ROUND(F4351*M4351/100,2)</x:f>
        <x:v>4</x:v>
      </x:c>
      <x:c r="O4351" t="str">
        <x:v>实际用油重</x:v>
      </x:c>
    </x:row>
    <x:row r="4352" ht="23" customHeight="1">
      <x:c r="A4352" t="n">
        <x:v>726</x:v>
      </x:c>
      <x:c r="B4352" t="n">
        <x:v>363</x:v>
      </x:c>
      <x:c r="C4352" t="str">
        <x:v>晚餐</x:v>
      </x:c>
      <x:c r="D4352" t="str">
        <x:v>禽肉</x:v>
      </x:c>
      <x:c r="E4352" t="str">
        <x:v>鸡里脊肉</x:v>
      </x:c>
      <x:c r="F4352" t="n">
        <x:v>170</x:v>
      </x:c>
      <x:c r="G4352" t="n">
        <x:v>110</x:v>
      </x:c>
      <x:c r="H4352" t="n">
        <x:f>ROUND(F4352*G4352/100,2)</x:f>
        <x:v>187</x:v>
      </x:c>
      <x:c r="I4352" t="n">
        <x:v>23</x:v>
      </x:c>
      <x:c r="J4352" t="n">
        <x:f>ROUND(F4352*I4352/100,2)</x:f>
        <x:v>39.1</x:v>
      </x:c>
      <x:c r="K4352" t="n">
        <x:v>0</x:v>
      </x:c>
      <x:c r="L4352" t="n">
        <x:f>ROUND(F4352*K4352/100,2)</x:f>
        <x:v>0</x:v>
      </x:c>
      <x:c r="M4352" t="n">
        <x:v>1.8</x:v>
      </x:c>
      <x:c r="N4352" t="n">
        <x:f>ROUND(F4352*M4352/100,2)</x:f>
        <x:v>3.06</x:v>
      </x:c>
      <x:c r="O4352" t="str">
        <x:v>生重</x:v>
      </x:c>
    </x:row>
    <x:row r="4353" ht="23" customHeight="1">
      <x:c r="A4353" t="n">
        <x:v>726</x:v>
      </x:c>
      <x:c r="B4353" t="n">
        <x:v>363</x:v>
      </x:c>
      <x:c r="C4353" t="str">
        <x:v>晚餐</x:v>
      </x:c>
      <x:c r="D4353" t="str">
        <x:v>豆蛋</x:v>
      </x:c>
      <x:c r="E4353" t="str">
        <x:v>嫩豆腐</x:v>
      </x:c>
      <x:c r="F4353" t="n">
        <x:v>135</x:v>
      </x:c>
      <x:c r="G4353" t="n">
        <x:v>55</x:v>
      </x:c>
      <x:c r="H4353" t="n">
        <x:f>ROUND(F4353*G4353/100,2)</x:f>
        <x:v>74.25</x:v>
      </x:c>
      <x:c r="I4353" t="n">
        <x:v>5</x:v>
      </x:c>
      <x:c r="J4353" t="n">
        <x:f>ROUND(F4353*I4353/100,2)</x:f>
        <x:v>6.75</x:v>
      </x:c>
      <x:c r="K4353" t="n">
        <x:v>2</x:v>
      </x:c>
      <x:c r="L4353" t="n">
        <x:f>ROUND(F4353*K4353/100,2)</x:f>
        <x:v>2.7</x:v>
      </x:c>
      <x:c r="M4353" t="n">
        <x:v>2.8</x:v>
      </x:c>
      <x:c r="N4353" t="n">
        <x:f>ROUND(F4353*M4353/100,2)</x:f>
        <x:v>3.78</x:v>
      </x:c>
      <x:c r="O4353" t="str">
        <x:v>净重</x:v>
      </x:c>
    </x:row>
    <x:row r="4354" ht="23" customHeight="1">
      <x:c r="A4354" t="n">
        <x:v>726</x:v>
      </x:c>
      <x:c r="B4354" t="n">
        <x:v>363</x:v>
      </x:c>
      <x:c r="C4354" t="str">
        <x:v>晚餐</x:v>
      </x:c>
      <x:c r="D4354" t="str">
        <x:v>蔬菜</x:v>
      </x:c>
      <x:c r="E4354" t="str">
        <x:v>西兰花</x:v>
      </x:c>
      <x:c r="F4354" t="n">
        <x:v>160</x:v>
      </x:c>
      <x:c r="G4354" t="n">
        <x:v>34</x:v>
      </x:c>
      <x:c r="H4354" t="n">
        <x:f>ROUND(F4354*G4354/100,2)</x:f>
        <x:v>54.4</x:v>
      </x:c>
      <x:c r="I4354" t="n">
        <x:v>2.8</x:v>
      </x:c>
      <x:c r="J4354" t="n">
        <x:f>ROUND(F4354*I4354/100,2)</x:f>
        <x:v>4.48</x:v>
      </x:c>
      <x:c r="K4354" t="n">
        <x:v>7</x:v>
      </x:c>
      <x:c r="L4354" t="n">
        <x:f>ROUND(F4354*K4354/100,2)</x:f>
        <x:v>11.2</x:v>
      </x:c>
      <x:c r="M4354" t="n">
        <x:v>0.4</x:v>
      </x:c>
      <x:c r="N4354" t="n">
        <x:f>ROUND(F4354*M4354/100,2)</x:f>
        <x:v>0.64</x:v>
      </x:c>
      <x:c r="O4354" t="str">
        <x:v>生重</x:v>
      </x:c>
    </x:row>
    <x:row r="4355" ht="23" customHeight="1">
      <x:c r="A4355" t="n">
        <x:v>726</x:v>
      </x:c>
      <x:c r="B4355" t="n">
        <x:v>363</x:v>
      </x:c>
      <x:c r="C4355" t="str">
        <x:v>晚餐</x:v>
      </x:c>
      <x:c r="D4355" t="str">
        <x:v>蔬菜</x:v>
      </x:c>
      <x:c r="E4355" t="str">
        <x:v>洋葱</x:v>
      </x:c>
      <x:c r="F4355" t="n">
        <x:v>155</x:v>
      </x:c>
      <x:c r="G4355" t="n">
        <x:v>40</x:v>
      </x:c>
      <x:c r="H4355" t="n">
        <x:f>ROUND(F4355*G4355/100,2)</x:f>
        <x:v>62</x:v>
      </x:c>
      <x:c r="I4355" t="n">
        <x:v>1.1</x:v>
      </x:c>
      <x:c r="J4355" t="n">
        <x:f>ROUND(F4355*I4355/100,2)</x:f>
        <x:v>1.71</x:v>
      </x:c>
      <x:c r="K4355" t="n">
        <x:v>9.3</x:v>
      </x:c>
      <x:c r="L4355" t="n">
        <x:f>ROUND(F4355*K4355/100,2)</x:f>
        <x:v>14.42</x:v>
      </x:c>
      <x:c r="M4355" t="n">
        <x:v>0.1</x:v>
      </x:c>
      <x:c r="N4355" t="n">
        <x:f>ROUND(F4355*M4355/100,2)</x:f>
        <x:v>0.16</x:v>
      </x:c>
      <x:c r="O4355" t="str">
        <x:v>生重</x:v>
      </x:c>
    </x:row>
    <x:row r="4356" ht="23" customHeight="1">
      <x:c r="A4356" t="n">
        <x:v>726</x:v>
      </x:c>
      <x:c r="B4356" t="n">
        <x:v>363</x:v>
      </x:c>
      <x:c r="C4356" t="str">
        <x:v>晚餐</x:v>
      </x:c>
      <x:c r="D4356" t="str">
        <x:v>主食</x:v>
      </x:c>
      <x:c r="E4356" t="str">
        <x:v>荞麦饭</x:v>
      </x:c>
      <x:c r="F4356" t="n">
        <x:v>80</x:v>
      </x:c>
      <x:c r="G4356" t="n">
        <x:v>110</x:v>
      </x:c>
      <x:c r="H4356" t="n">
        <x:f>ROUND(F4356*G4356/100,2)</x:f>
        <x:v>88</x:v>
      </x:c>
      <x:c r="I4356" t="n">
        <x:v>3.4</x:v>
      </x:c>
      <x:c r="J4356" t="n">
        <x:f>ROUND(F4356*I4356/100,2)</x:f>
        <x:v>2.72</x:v>
      </x:c>
      <x:c r="K4356" t="n">
        <x:v>22</x:v>
      </x:c>
      <x:c r="L4356" t="n">
        <x:f>ROUND(F4356*K4356/100,2)</x:f>
        <x:v>17.6</x:v>
      </x:c>
      <x:c r="M4356" t="n">
        <x:v>1.1</x:v>
      </x:c>
      <x:c r="N4356" t="n">
        <x:f>ROUND(F4356*M4356/100,2)</x:f>
        <x:v>0.88</x:v>
      </x:c>
      <x:c r="O4356" t="str">
        <x:v>熟重</x:v>
      </x:c>
    </x:row>
    <x:row r="4357" ht="23" customHeight="1">
      <x:c r="A4357" t="n">
        <x:v>726</x:v>
      </x:c>
      <x:c r="B4357" t="n">
        <x:v>363</x:v>
      </x:c>
      <x:c r="C4357" t="str">
        <x:v>晚餐</x:v>
      </x:c>
      <x:c r="D4357" t="str">
        <x:v>油脂</x:v>
      </x:c>
      <x:c r="E4357" t="str">
        <x:v>烹调油</x:v>
      </x:c>
      <x:c r="F4357" t="n">
        <x:v>6</x:v>
      </x:c>
      <x:c r="G4357" t="n">
        <x:v>900</x:v>
      </x:c>
      <x:c r="H4357" t="n">
        <x:f>ROUND(F4357*G4357/100,2)</x:f>
        <x:v>54</x:v>
      </x:c>
      <x:c r="I4357" t="n">
        <x:v>0</x:v>
      </x:c>
      <x:c r="J4357" t="n">
        <x:f>ROUND(F4357*I4357/100,2)</x:f>
        <x:v>0</x:v>
      </x:c>
      <x:c r="K4357" t="n">
        <x:v>0</x:v>
      </x:c>
      <x:c r="L4357" t="n">
        <x:f>ROUND(F4357*K4357/100,2)</x:f>
        <x:v>0</x:v>
      </x:c>
      <x:c r="M4357" t="n">
        <x:v>100</x:v>
      </x:c>
      <x:c r="N4357" t="n">
        <x:f>ROUND(F4357*M4357/100,2)</x:f>
        <x:v>6</x:v>
      </x:c>
      <x:c r="O4357" t="str">
        <x:v>实际用油重</x:v>
      </x:c>
    </x:row>
    <x:row r="4358" ht="23" customHeight="1">
      <x:c r="A4358" t="n">
        <x:v>727</x:v>
      </x:c>
      <x:c r="B4358" t="n">
        <x:v>364</x:v>
      </x:c>
      <x:c r="C4358" t="str">
        <x:v>午餐</x:v>
      </x:c>
      <x:c r="D4358" t="str">
        <x:v>禽肉</x:v>
      </x:c>
      <x:c r="E4358" t="str">
        <x:v>去皮鸡腿肉</x:v>
      </x:c>
      <x:c r="F4358" t="n">
        <x:v>165</x:v>
      </x:c>
      <x:c r="G4358" t="n">
        <x:v>125</x:v>
      </x:c>
      <x:c r="H4358" t="n">
        <x:f>ROUND(F4358*G4358/100,2)</x:f>
        <x:v>206.25</x:v>
      </x:c>
      <x:c r="I4358" t="n">
        <x:v>20</x:v>
      </x:c>
      <x:c r="J4358" t="n">
        <x:f>ROUND(F4358*I4358/100,2)</x:f>
        <x:v>33</x:v>
      </x:c>
      <x:c r="K4358" t="n">
        <x:v>0</x:v>
      </x:c>
      <x:c r="L4358" t="n">
        <x:f>ROUND(F4358*K4358/100,2)</x:f>
        <x:v>0</x:v>
      </x:c>
      <x:c r="M4358" t="n">
        <x:v>5</x:v>
      </x:c>
      <x:c r="N4358" t="n">
        <x:f>ROUND(F4358*M4358/100,2)</x:f>
        <x:v>8.25</x:v>
      </x:c>
      <x:c r="O4358" t="str">
        <x:v>生重</x:v>
      </x:c>
    </x:row>
    <x:row r="4359" ht="23" customHeight="1">
      <x:c r="A4359" t="n">
        <x:v>727</x:v>
      </x:c>
      <x:c r="B4359" t="n">
        <x:v>364</x:v>
      </x:c>
      <x:c r="C4359" t="str">
        <x:v>午餐</x:v>
      </x:c>
      <x:c r="D4359" t="str">
        <x:v>豆蛋</x:v>
      </x:c>
      <x:c r="E4359" t="str">
        <x:v>嫩豆腐</x:v>
      </x:c>
      <x:c r="F4359" t="n">
        <x:v>110</x:v>
      </x:c>
      <x:c r="G4359" t="n">
        <x:v>55</x:v>
      </x:c>
      <x:c r="H4359" t="n">
        <x:f>ROUND(F4359*G4359/100,2)</x:f>
        <x:v>60.5</x:v>
      </x:c>
      <x:c r="I4359" t="n">
        <x:v>5</x:v>
      </x:c>
      <x:c r="J4359" t="n">
        <x:f>ROUND(F4359*I4359/100,2)</x:f>
        <x:v>5.5</x:v>
      </x:c>
      <x:c r="K4359" t="n">
        <x:v>2</x:v>
      </x:c>
      <x:c r="L4359" t="n">
        <x:f>ROUND(F4359*K4359/100,2)</x:f>
        <x:v>2.2</x:v>
      </x:c>
      <x:c r="M4359" t="n">
        <x:v>2.8</x:v>
      </x:c>
      <x:c r="N4359" t="n">
        <x:f>ROUND(F4359*M4359/100,2)</x:f>
        <x:v>3.08</x:v>
      </x:c>
      <x:c r="O4359" t="str">
        <x:v>净重</x:v>
      </x:c>
    </x:row>
    <x:row r="4360" ht="23" customHeight="1">
      <x:c r="A4360" t="n">
        <x:v>727</x:v>
      </x:c>
      <x:c r="B4360" t="n">
        <x:v>364</x:v>
      </x:c>
      <x:c r="C4360" t="str">
        <x:v>午餐</x:v>
      </x:c>
      <x:c r="D4360" t="str">
        <x:v>蔬菜</x:v>
      </x:c>
      <x:c r="E4360" t="str">
        <x:v>紫甘蓝</x:v>
      </x:c>
      <x:c r="F4360" t="n">
        <x:v>190</x:v>
      </x:c>
      <x:c r="G4360" t="n">
        <x:v>31</x:v>
      </x:c>
      <x:c r="H4360" t="n">
        <x:f>ROUND(F4360*G4360/100,2)</x:f>
        <x:v>58.9</x:v>
      </x:c>
      <x:c r="I4360" t="n">
        <x:v>1.4</x:v>
      </x:c>
      <x:c r="J4360" t="n">
        <x:f>ROUND(F4360*I4360/100,2)</x:f>
        <x:v>2.66</x:v>
      </x:c>
      <x:c r="K4360" t="n">
        <x:v>7.3</x:v>
      </x:c>
      <x:c r="L4360" t="n">
        <x:f>ROUND(F4360*K4360/100,2)</x:f>
        <x:v>13.87</x:v>
      </x:c>
      <x:c r="M4360" t="n">
        <x:v>0.1</x:v>
      </x:c>
      <x:c r="N4360" t="n">
        <x:f>ROUND(F4360*M4360/100,2)</x:f>
        <x:v>0.19</x:v>
      </x:c>
      <x:c r="O4360" t="str">
        <x:v>生重</x:v>
      </x:c>
    </x:row>
    <x:row r="4361" ht="23" customHeight="1">
      <x:c r="A4361" t="n">
        <x:v>727</x:v>
      </x:c>
      <x:c r="B4361" t="n">
        <x:v>364</x:v>
      </x:c>
      <x:c r="C4361" t="str">
        <x:v>午餐</x:v>
      </x:c>
      <x:c r="D4361" t="str">
        <x:v>菌菇</x:v>
      </x:c>
      <x:c r="E4361" t="str">
        <x:v>杏鲍菇</x:v>
      </x:c>
      <x:c r="F4361" t="n">
        <x:v>140</x:v>
      </x:c>
      <x:c r="G4361" t="n">
        <x:v>35</x:v>
      </x:c>
      <x:c r="H4361" t="n">
        <x:f>ROUND(F4361*G4361/100,2)</x:f>
        <x:v>49</x:v>
      </x:c>
      <x:c r="I4361" t="n">
        <x:v>2</x:v>
      </x:c>
      <x:c r="J4361" t="n">
        <x:f>ROUND(F4361*I4361/100,2)</x:f>
        <x:v>2.8</x:v>
      </x:c>
      <x:c r="K4361" t="n">
        <x:v>7.4</x:v>
      </x:c>
      <x:c r="L4361" t="n">
        <x:f>ROUND(F4361*K4361/100,2)</x:f>
        <x:v>10.36</x:v>
      </x:c>
      <x:c r="M4361" t="n">
        <x:v>0.3</x:v>
      </x:c>
      <x:c r="N4361" t="n">
        <x:f>ROUND(F4361*M4361/100,2)</x:f>
        <x:v>0.42</x:v>
      </x:c>
      <x:c r="O4361" t="str">
        <x:v>生重</x:v>
      </x:c>
    </x:row>
    <x:row r="4362" ht="23" customHeight="1">
      <x:c r="A4362" t="n">
        <x:v>727</x:v>
      </x:c>
      <x:c r="B4362" t="n">
        <x:v>364</x:v>
      </x:c>
      <x:c r="C4362" t="str">
        <x:v>午餐</x:v>
      </x:c>
      <x:c r="D4362" t="str">
        <x:v>主食</x:v>
      </x:c>
      <x:c r="E4362" t="str">
        <x:v>荞麦饭</x:v>
      </x:c>
      <x:c r="F4362" t="n">
        <x:v>125</x:v>
      </x:c>
      <x:c r="G4362" t="n">
        <x:v>110</x:v>
      </x:c>
      <x:c r="H4362" t="n">
        <x:f>ROUND(F4362*G4362/100,2)</x:f>
        <x:v>137.5</x:v>
      </x:c>
      <x:c r="I4362" t="n">
        <x:v>3.4</x:v>
      </x:c>
      <x:c r="J4362" t="n">
        <x:f>ROUND(F4362*I4362/100,2)</x:f>
        <x:v>4.25</x:v>
      </x:c>
      <x:c r="K4362" t="n">
        <x:v>22</x:v>
      </x:c>
      <x:c r="L4362" t="n">
        <x:f>ROUND(F4362*K4362/100,2)</x:f>
        <x:v>27.5</x:v>
      </x:c>
      <x:c r="M4362" t="n">
        <x:v>1.1</x:v>
      </x:c>
      <x:c r="N4362" t="n">
        <x:f>ROUND(F4362*M4362/100,2)</x:f>
        <x:v>1.38</x:v>
      </x:c>
      <x:c r="O4362" t="str">
        <x:v>熟重</x:v>
      </x:c>
    </x:row>
    <x:row r="4363" ht="23" customHeight="1">
      <x:c r="A4363" t="n">
        <x:v>727</x:v>
      </x:c>
      <x:c r="B4363" t="n">
        <x:v>364</x:v>
      </x:c>
      <x:c r="C4363" t="str">
        <x:v>午餐</x:v>
      </x:c>
      <x:c r="D4363" t="str">
        <x:v>油脂</x:v>
      </x:c>
      <x:c r="E4363" t="str">
        <x:v>烹调油</x:v>
      </x:c>
      <x:c r="F4363" t="n">
        <x:v>4</x:v>
      </x:c>
      <x:c r="G4363" t="n">
        <x:v>900</x:v>
      </x:c>
      <x:c r="H4363" t="n">
        <x:f>ROUND(F4363*G4363/100,2)</x:f>
        <x:v>36</x:v>
      </x:c>
      <x:c r="I4363" t="n">
        <x:v>0</x:v>
      </x:c>
      <x:c r="J4363" t="n">
        <x:f>ROUND(F4363*I4363/100,2)</x:f>
        <x:v>0</x:v>
      </x:c>
      <x:c r="K4363" t="n">
        <x:v>0</x:v>
      </x:c>
      <x:c r="L4363" t="n">
        <x:f>ROUND(F4363*K4363/100,2)</x:f>
        <x:v>0</x:v>
      </x:c>
      <x:c r="M4363" t="n">
        <x:v>100</x:v>
      </x:c>
      <x:c r="N4363" t="n">
        <x:f>ROUND(F4363*M4363/100,2)</x:f>
        <x:v>4</x:v>
      </x:c>
      <x:c r="O4363" t="str">
        <x:v>实际用油重</x:v>
      </x:c>
    </x:row>
    <x:row r="4364" ht="23" customHeight="1">
      <x:c r="A4364" t="n">
        <x:v>728</x:v>
      </x:c>
      <x:c r="B4364" t="n">
        <x:v>364</x:v>
      </x:c>
      <x:c r="C4364" t="str">
        <x:v>晚餐</x:v>
      </x:c>
      <x:c r="D4364" t="str">
        <x:v>牛肉</x:v>
      </x:c>
      <x:c r="E4364" t="str">
        <x:v>牛里脊</x:v>
      </x:c>
      <x:c r="F4364" t="n">
        <x:v>180</x:v>
      </x:c>
      <x:c r="G4364" t="n">
        <x:v>130</x:v>
      </x:c>
      <x:c r="H4364" t="n">
        <x:f>ROUND(F4364*G4364/100,2)</x:f>
        <x:v>234</x:v>
      </x:c>
      <x:c r="I4364" t="n">
        <x:v>21</x:v>
      </x:c>
      <x:c r="J4364" t="n">
        <x:f>ROUND(F4364*I4364/100,2)</x:f>
        <x:v>37.8</x:v>
      </x:c>
      <x:c r="K4364" t="n">
        <x:v>0</x:v>
      </x:c>
      <x:c r="L4364" t="n">
        <x:f>ROUND(F4364*K4364/100,2)</x:f>
        <x:v>0</x:v>
      </x:c>
      <x:c r="M4364" t="n">
        <x:v>4.8</x:v>
      </x:c>
      <x:c r="N4364" t="n">
        <x:f>ROUND(F4364*M4364/100,2)</x:f>
        <x:v>8.64</x:v>
      </x:c>
      <x:c r="O4364" t="str">
        <x:v>生重</x:v>
      </x:c>
    </x:row>
    <x:row r="4365" ht="23" customHeight="1">
      <x:c r="A4365" t="n">
        <x:v>728</x:v>
      </x:c>
      <x:c r="B4365" t="n">
        <x:v>364</x:v>
      </x:c>
      <x:c r="C4365" t="str">
        <x:v>晚餐</x:v>
      </x:c>
      <x:c r="D4365" t="str"/>
      <x:c r="E4365" t="str"/>
      <x:c r="F4365" t="n">
        <x:v>0</x:v>
      </x:c>
      <x:c r="G4365" t="n">
        <x:v>0</x:v>
      </x:c>
      <x:c r="H4365" t="n">
        <x:f>ROUND(F4365*G4365/100,2)</x:f>
        <x:v>0</x:v>
      </x:c>
      <x:c r="I4365" t="n">
        <x:v>0</x:v>
      </x:c>
      <x:c r="J4365" t="n">
        <x:f>ROUND(F4365*I4365/100,2)</x:f>
        <x:v>0</x:v>
      </x:c>
      <x:c r="K4365" t="n">
        <x:v>0</x:v>
      </x:c>
      <x:c r="L4365" t="n">
        <x:f>ROUND(F4365*K4365/100,2)</x:f>
        <x:v>0</x:v>
      </x:c>
      <x:c r="M4365" t="n">
        <x:v>0</x:v>
      </x:c>
      <x:c r="N4365" t="n">
        <x:f>ROUND(F4365*M4365/100,2)</x:f>
        <x:v>0</x:v>
      </x:c>
      <x:c r="O4365" t="str"/>
    </x:row>
    <x:row r="4366" ht="23" customHeight="1">
      <x:c r="A4366" t="n">
        <x:v>728</x:v>
      </x:c>
      <x:c r="B4366" t="n">
        <x:v>364</x:v>
      </x:c>
      <x:c r="C4366" t="str">
        <x:v>晚餐</x:v>
      </x:c>
      <x:c r="D4366" t="str">
        <x:v>蔬菜</x:v>
      </x:c>
      <x:c r="E4366" t="str">
        <x:v>茼蒿</x:v>
      </x:c>
      <x:c r="F4366" t="n">
        <x:v>160</x:v>
      </x:c>
      <x:c r="G4366" t="n">
        <x:v>24</x:v>
      </x:c>
      <x:c r="H4366" t="n">
        <x:f>ROUND(F4366*G4366/100,2)</x:f>
        <x:v>38.4</x:v>
      </x:c>
      <x:c r="I4366" t="n">
        <x:v>1.9</x:v>
      </x:c>
      <x:c r="J4366" t="n">
        <x:f>ROUND(F4366*I4366/100,2)</x:f>
        <x:v>3.04</x:v>
      </x:c>
      <x:c r="K4366" t="n">
        <x:v>4.3</x:v>
      </x:c>
      <x:c r="L4366" t="n">
        <x:f>ROUND(F4366*K4366/100,2)</x:f>
        <x:v>6.88</x:v>
      </x:c>
      <x:c r="M4366" t="n">
        <x:v>0.3</x:v>
      </x:c>
      <x:c r="N4366" t="n">
        <x:f>ROUND(F4366*M4366/100,2)</x:f>
        <x:v>0.48</x:v>
      </x:c>
      <x:c r="O4366" t="str">
        <x:v>生重</x:v>
      </x:c>
    </x:row>
    <x:row r="4367" ht="23" customHeight="1">
      <x:c r="A4367" t="n">
        <x:v>728</x:v>
      </x:c>
      <x:c r="B4367" t="n">
        <x:v>364</x:v>
      </x:c>
      <x:c r="C4367" t="str">
        <x:v>晚餐</x:v>
      </x:c>
      <x:c r="D4367" t="str">
        <x:v>蔬菜</x:v>
      </x:c>
      <x:c r="E4367" t="str">
        <x:v>洋葱</x:v>
      </x:c>
      <x:c r="F4367" t="n">
        <x:v>140</x:v>
      </x:c>
      <x:c r="G4367" t="n">
        <x:v>40</x:v>
      </x:c>
      <x:c r="H4367" t="n">
        <x:f>ROUND(F4367*G4367/100,2)</x:f>
        <x:v>56</x:v>
      </x:c>
      <x:c r="I4367" t="n">
        <x:v>1.1</x:v>
      </x:c>
      <x:c r="J4367" t="n">
        <x:f>ROUND(F4367*I4367/100,2)</x:f>
        <x:v>1.54</x:v>
      </x:c>
      <x:c r="K4367" t="n">
        <x:v>9.3</x:v>
      </x:c>
      <x:c r="L4367" t="n">
        <x:f>ROUND(F4367*K4367/100,2)</x:f>
        <x:v>13.02</x:v>
      </x:c>
      <x:c r="M4367" t="n">
        <x:v>0.1</x:v>
      </x:c>
      <x:c r="N4367" t="n">
        <x:f>ROUND(F4367*M4367/100,2)</x:f>
        <x:v>0.14</x:v>
      </x:c>
      <x:c r="O4367" t="str">
        <x:v>生重</x:v>
      </x:c>
    </x:row>
    <x:row r="4368" ht="23" customHeight="1">
      <x:c r="A4368" t="n">
        <x:v>728</x:v>
      </x:c>
      <x:c r="B4368" t="n">
        <x:v>364</x:v>
      </x:c>
      <x:c r="C4368" t="str">
        <x:v>晚餐</x:v>
      </x:c>
      <x:c r="D4368" t="str">
        <x:v>主食</x:v>
      </x:c>
      <x:c r="E4368" t="str">
        <x:v>荞麦面</x:v>
      </x:c>
      <x:c r="F4368" t="n">
        <x:v>125</x:v>
      </x:c>
      <x:c r="G4368" t="n">
        <x:v>105</x:v>
      </x:c>
      <x:c r="H4368" t="n">
        <x:f>ROUND(F4368*G4368/100,2)</x:f>
        <x:v>131.25</x:v>
      </x:c>
      <x:c r="I4368" t="n">
        <x:v>4</x:v>
      </x:c>
      <x:c r="J4368" t="n">
        <x:f>ROUND(F4368*I4368/100,2)</x:f>
        <x:v>5</x:v>
      </x:c>
      <x:c r="K4368" t="n">
        <x:v>21</x:v>
      </x:c>
      <x:c r="L4368" t="n">
        <x:f>ROUND(F4368*K4368/100,2)</x:f>
        <x:v>26.25</x:v>
      </x:c>
      <x:c r="M4368" t="n">
        <x:v>0.7</x:v>
      </x:c>
      <x:c r="N4368" t="n">
        <x:f>ROUND(F4368*M4368/100,2)</x:f>
        <x:v>0.88</x:v>
      </x:c>
      <x:c r="O4368" t="str">
        <x:v>煮熟沥水重</x:v>
      </x:c>
    </x:row>
    <x:row r="4369" ht="23" customHeight="1">
      <x:c r="A4369" t="n">
        <x:v>728</x:v>
      </x:c>
      <x:c r="B4369" t="n">
        <x:v>364</x:v>
      </x:c>
      <x:c r="C4369" t="str">
        <x:v>晚餐</x:v>
      </x:c>
      <x:c r="D4369" t="str">
        <x:v>油脂</x:v>
      </x:c>
      <x:c r="E4369" t="str">
        <x:v>烹调油</x:v>
      </x:c>
      <x:c r="F4369" t="n">
        <x:v>6</x:v>
      </x:c>
      <x:c r="G4369" t="n">
        <x:v>900</x:v>
      </x:c>
      <x:c r="H4369" t="n">
        <x:f>ROUND(F4369*G4369/100,2)</x:f>
        <x:v>54</x:v>
      </x:c>
      <x:c r="I4369" t="n">
        <x:v>0</x:v>
      </x:c>
      <x:c r="J4369" t="n">
        <x:f>ROUND(F4369*I4369/100,2)</x:f>
        <x:v>0</x:v>
      </x:c>
      <x:c r="K4369" t="n">
        <x:v>0</x:v>
      </x:c>
      <x:c r="L4369" t="n">
        <x:f>ROUND(F4369*K4369/100,2)</x:f>
        <x:v>0</x:v>
      </x:c>
      <x:c r="M4369" t="n">
        <x:v>100</x:v>
      </x:c>
      <x:c r="N4369" t="n">
        <x:f>ROUND(F4369*M4369/100,2)</x:f>
        <x:v>6</x:v>
      </x:c>
      <x:c r="O4369" t="str">
        <x:v>实际用油重</x:v>
      </x:c>
    </x:row>
    <x:row r="4370" ht="23" customHeight="1">
      <x:c r="A4370" t="n">
        <x:v>729</x:v>
      </x:c>
      <x:c r="B4370" t="n">
        <x:v>365</x:v>
      </x:c>
      <x:c r="C4370" t="str">
        <x:v>午餐</x:v>
      </x:c>
      <x:c r="D4370" t="str">
        <x:v>海鲜</x:v>
      </x:c>
      <x:c r="E4370" t="str">
        <x:v>虾仁</x:v>
      </x:c>
      <x:c r="F4370" t="n">
        <x:v>160</x:v>
      </x:c>
      <x:c r="G4370" t="n">
        <x:v>90</x:v>
      </x:c>
      <x:c r="H4370" t="n">
        <x:f>ROUND(F4370*G4370/100,2)</x:f>
        <x:v>144</x:v>
      </x:c>
      <x:c r="I4370" t="n">
        <x:v>19</x:v>
      </x:c>
      <x:c r="J4370" t="n">
        <x:f>ROUND(F4370*I4370/100,2)</x:f>
        <x:v>30.4</x:v>
      </x:c>
      <x:c r="K4370" t="n">
        <x:v>0.4</x:v>
      </x:c>
      <x:c r="L4370" t="n">
        <x:f>ROUND(F4370*K4370/100,2)</x:f>
        <x:v>0.64</x:v>
      </x:c>
      <x:c r="M4370" t="n">
        <x:v>1.1</x:v>
      </x:c>
      <x:c r="N4370" t="n">
        <x:f>ROUND(F4370*M4370/100,2)</x:f>
        <x:v>1.76</x:v>
      </x:c>
      <x:c r="O4370" t="str">
        <x:v>生重</x:v>
      </x:c>
    </x:row>
    <x:row r="4371" ht="23" customHeight="1">
      <x:c r="A4371" t="n">
        <x:v>729</x:v>
      </x:c>
      <x:c r="B4371" t="n">
        <x:v>365</x:v>
      </x:c>
      <x:c r="C4371" t="str">
        <x:v>午餐</x:v>
      </x:c>
      <x:c r="D4371" t="str"/>
      <x:c r="E4371" t="str"/>
      <x:c r="F4371" t="n">
        <x:v>0</x:v>
      </x:c>
      <x:c r="G4371" t="n">
        <x:v>0</x:v>
      </x:c>
      <x:c r="H4371" t="n">
        <x:f>ROUND(F4371*G4371/100,2)</x:f>
        <x:v>0</x:v>
      </x:c>
      <x:c r="I4371" t="n">
        <x:v>0</x:v>
      </x:c>
      <x:c r="J4371" t="n">
        <x:f>ROUND(F4371*I4371/100,2)</x:f>
        <x:v>0</x:v>
      </x:c>
      <x:c r="K4371" t="n">
        <x:v>0</x:v>
      </x:c>
      <x:c r="L4371" t="n">
        <x:f>ROUND(F4371*K4371/100,2)</x:f>
        <x:v>0</x:v>
      </x:c>
      <x:c r="M4371" t="n">
        <x:v>0</x:v>
      </x:c>
      <x:c r="N4371" t="n">
        <x:f>ROUND(F4371*M4371/100,2)</x:f>
        <x:v>0</x:v>
      </x:c>
      <x:c r="O4371" t="str"/>
    </x:row>
    <x:row r="4372" ht="23" customHeight="1">
      <x:c r="A4372" t="n">
        <x:v>729</x:v>
      </x:c>
      <x:c r="B4372" t="n">
        <x:v>365</x:v>
      </x:c>
      <x:c r="C4372" t="str">
        <x:v>午餐</x:v>
      </x:c>
      <x:c r="D4372" t="str">
        <x:v>蔬菜</x:v>
      </x:c>
      <x:c r="E4372" t="str">
        <x:v>冬瓜</x:v>
      </x:c>
      <x:c r="F4372" t="n">
        <x:v>175</x:v>
      </x:c>
      <x:c r="G4372" t="n">
        <x:v>13</x:v>
      </x:c>
      <x:c r="H4372" t="n">
        <x:f>ROUND(F4372*G4372/100,2)</x:f>
        <x:v>22.75</x:v>
      </x:c>
      <x:c r="I4372" t="n">
        <x:v>0.4</x:v>
      </x:c>
      <x:c r="J4372" t="n">
        <x:f>ROUND(F4372*I4372/100,2)</x:f>
        <x:v>0.7</x:v>
      </x:c>
      <x:c r="K4372" t="n">
        <x:v>3</x:v>
      </x:c>
      <x:c r="L4372" t="n">
        <x:f>ROUND(F4372*K4372/100,2)</x:f>
        <x:v>5.25</x:v>
      </x:c>
      <x:c r="M4372" t="n">
        <x:v>0.2</x:v>
      </x:c>
      <x:c r="N4372" t="n">
        <x:f>ROUND(F4372*M4372/100,2)</x:f>
        <x:v>0.35</x:v>
      </x:c>
      <x:c r="O4372" t="str">
        <x:v>生重</x:v>
      </x:c>
    </x:row>
    <x:row r="4373" ht="23" customHeight="1">
      <x:c r="A4373" t="n">
        <x:v>729</x:v>
      </x:c>
      <x:c r="B4373" t="n">
        <x:v>365</x:v>
      </x:c>
      <x:c r="C4373" t="str">
        <x:v>午餐</x:v>
      </x:c>
      <x:c r="D4373" t="str">
        <x:v>蔬菜</x:v>
      </x:c>
      <x:c r="E4373" t="str">
        <x:v>紫甘蓝</x:v>
      </x:c>
      <x:c r="F4373" t="n">
        <x:v>125</x:v>
      </x:c>
      <x:c r="G4373" t="n">
        <x:v>31</x:v>
      </x:c>
      <x:c r="H4373" t="n">
        <x:f>ROUND(F4373*G4373/100,2)</x:f>
        <x:v>38.75</x:v>
      </x:c>
      <x:c r="I4373" t="n">
        <x:v>1.4</x:v>
      </x:c>
      <x:c r="J4373" t="n">
        <x:f>ROUND(F4373*I4373/100,2)</x:f>
        <x:v>1.75</x:v>
      </x:c>
      <x:c r="K4373" t="n">
        <x:v>7.3</x:v>
      </x:c>
      <x:c r="L4373" t="n">
        <x:f>ROUND(F4373*K4373/100,2)</x:f>
        <x:v>9.13</x:v>
      </x:c>
      <x:c r="M4373" t="n">
        <x:v>0.1</x:v>
      </x:c>
      <x:c r="N4373" t="n">
        <x:f>ROUND(F4373*M4373/100,2)</x:f>
        <x:v>0.13</x:v>
      </x:c>
      <x:c r="O4373" t="str">
        <x:v>生重</x:v>
      </x:c>
    </x:row>
    <x:row r="4374" ht="23" customHeight="1">
      <x:c r="A4374" t="n">
        <x:v>729</x:v>
      </x:c>
      <x:c r="B4374" t="n">
        <x:v>365</x:v>
      </x:c>
      <x:c r="C4374" t="str">
        <x:v>午餐</x:v>
      </x:c>
      <x:c r="D4374" t="str">
        <x:v>主食</x:v>
      </x:c>
      <x:c r="E4374" t="str">
        <x:v>糙米饭</x:v>
      </x:c>
      <x:c r="F4374" t="n">
        <x:v>150</x:v>
      </x:c>
      <x:c r="G4374" t="n">
        <x:v>112</x:v>
      </x:c>
      <x:c r="H4374" t="n">
        <x:f>ROUND(F4374*G4374/100,2)</x:f>
        <x:v>168</x:v>
      </x:c>
      <x:c r="I4374" t="n">
        <x:v>2.6</x:v>
      </x:c>
      <x:c r="J4374" t="n">
        <x:f>ROUND(F4374*I4374/100,2)</x:f>
        <x:v>3.9</x:v>
      </x:c>
      <x:c r="K4374" t="n">
        <x:v>23.5</x:v>
      </x:c>
      <x:c r="L4374" t="n">
        <x:f>ROUND(F4374*K4374/100,2)</x:f>
        <x:v>35.25</x:v>
      </x:c>
      <x:c r="M4374" t="n">
        <x:v>0.9</x:v>
      </x:c>
      <x:c r="N4374" t="n">
        <x:f>ROUND(F4374*M4374/100,2)</x:f>
        <x:v>1.35</x:v>
      </x:c>
      <x:c r="O4374" t="str">
        <x:v>熟重</x:v>
      </x:c>
    </x:row>
    <x:row r="4375" ht="23" customHeight="1">
      <x:c r="A4375" t="n">
        <x:v>729</x:v>
      </x:c>
      <x:c r="B4375" t="n">
        <x:v>365</x:v>
      </x:c>
      <x:c r="C4375" t="str">
        <x:v>午餐</x:v>
      </x:c>
      <x:c r="D4375" t="str">
        <x:v>油脂</x:v>
      </x:c>
      <x:c r="E4375" t="str">
        <x:v>烹调油</x:v>
      </x:c>
      <x:c r="F4375" t="n">
        <x:v>6</x:v>
      </x:c>
      <x:c r="G4375" t="n">
        <x:v>900</x:v>
      </x:c>
      <x:c r="H4375" t="n">
        <x:f>ROUND(F4375*G4375/100,2)</x:f>
        <x:v>54</x:v>
      </x:c>
      <x:c r="I4375" t="n">
        <x:v>0</x:v>
      </x:c>
      <x:c r="J4375" t="n">
        <x:f>ROUND(F4375*I4375/100,2)</x:f>
        <x:v>0</x:v>
      </x:c>
      <x:c r="K4375" t="n">
        <x:v>0</x:v>
      </x:c>
      <x:c r="L4375" t="n">
        <x:f>ROUND(F4375*K4375/100,2)</x:f>
        <x:v>0</x:v>
      </x:c>
      <x:c r="M4375" t="n">
        <x:v>100</x:v>
      </x:c>
      <x:c r="N4375" t="n">
        <x:f>ROUND(F4375*M4375/100,2)</x:f>
        <x:v>6</x:v>
      </x:c>
      <x:c r="O4375" t="str">
        <x:v>实际用油重</x:v>
      </x:c>
    </x:row>
    <x:row r="4376" ht="23" customHeight="1">
      <x:c r="A4376" t="n">
        <x:v>730</x:v>
      </x:c>
      <x:c r="B4376" t="n">
        <x:v>365</x:v>
      </x:c>
      <x:c r="C4376" t="str">
        <x:v>晚餐</x:v>
      </x:c>
      <x:c r="D4376" t="str">
        <x:v>鱼类</x:v>
      </x:c>
      <x:c r="E4376" t="str">
        <x:v>三文鱼</x:v>
      </x:c>
      <x:c r="F4376" t="n">
        <x:v>145</x:v>
      </x:c>
      <x:c r="G4376" t="n">
        <x:v>205</x:v>
      </x:c>
      <x:c r="H4376" t="n">
        <x:f>ROUND(F4376*G4376/100,2)</x:f>
        <x:v>297.25</x:v>
      </x:c>
      <x:c r="I4376" t="n">
        <x:v>20</x:v>
      </x:c>
      <x:c r="J4376" t="n">
        <x:f>ROUND(F4376*I4376/100,2)</x:f>
        <x:v>29</x:v>
      </x:c>
      <x:c r="K4376" t="n">
        <x:v>0</x:v>
      </x:c>
      <x:c r="L4376" t="n">
        <x:f>ROUND(F4376*K4376/100,2)</x:f>
        <x:v>0</x:v>
      </x:c>
      <x:c r="M4376" t="n">
        <x:v>13</x:v>
      </x:c>
      <x:c r="N4376" t="n">
        <x:f>ROUND(F4376*M4376/100,2)</x:f>
        <x:v>18.85</x:v>
      </x:c>
      <x:c r="O4376" t="str">
        <x:v>净鱼肉生重</x:v>
      </x:c>
    </x:row>
    <x:row r="4377" ht="23" customHeight="1">
      <x:c r="A4377" t="n">
        <x:v>730</x:v>
      </x:c>
      <x:c r="B4377" t="n">
        <x:v>365</x:v>
      </x:c>
      <x:c r="C4377" t="str">
        <x:v>晚餐</x:v>
      </x:c>
      <x:c r="D4377" t="str"/>
      <x:c r="E4377" t="str"/>
      <x:c r="F4377" t="n">
        <x:v>0</x:v>
      </x:c>
      <x:c r="G4377" t="n">
        <x:v>0</x:v>
      </x:c>
      <x:c r="H4377" t="n">
        <x:f>ROUND(F4377*G4377/100,2)</x:f>
        <x:v>0</x:v>
      </x:c>
      <x:c r="I4377" t="n">
        <x:v>0</x:v>
      </x:c>
      <x:c r="J4377" t="n">
        <x:f>ROUND(F4377*I4377/100,2)</x:f>
        <x:v>0</x:v>
      </x:c>
      <x:c r="K4377" t="n">
        <x:v>0</x:v>
      </x:c>
      <x:c r="L4377" t="n">
        <x:f>ROUND(F4377*K4377/100,2)</x:f>
        <x:v>0</x:v>
      </x:c>
      <x:c r="M4377" t="n">
        <x:v>0</x:v>
      </x:c>
      <x:c r="N4377" t="n">
        <x:f>ROUND(F4377*M4377/100,2)</x:f>
        <x:v>0</x:v>
      </x:c>
      <x:c r="O4377" t="str"/>
    </x:row>
    <x:row r="4378" ht="23" customHeight="1">
      <x:c r="A4378" t="n">
        <x:v>730</x:v>
      </x:c>
      <x:c r="B4378" t="n">
        <x:v>365</x:v>
      </x:c>
      <x:c r="C4378" t="str">
        <x:v>晚餐</x:v>
      </x:c>
      <x:c r="D4378" t="str">
        <x:v>蔬菜</x:v>
      </x:c>
      <x:c r="E4378" t="str">
        <x:v>西葫芦</x:v>
      </x:c>
      <x:c r="F4378" t="n">
        <x:v>175</x:v>
      </x:c>
      <x:c r="G4378" t="n">
        <x:v>17</x:v>
      </x:c>
      <x:c r="H4378" t="n">
        <x:f>ROUND(F4378*G4378/100,2)</x:f>
        <x:v>29.75</x:v>
      </x:c>
      <x:c r="I4378" t="n">
        <x:v>1.2</x:v>
      </x:c>
      <x:c r="J4378" t="n">
        <x:f>ROUND(F4378*I4378/100,2)</x:f>
        <x:v>2.1</x:v>
      </x:c>
      <x:c r="K4378" t="n">
        <x:v>3.1</x:v>
      </x:c>
      <x:c r="L4378" t="n">
        <x:f>ROUND(F4378*K4378/100,2)</x:f>
        <x:v>5.43</x:v>
      </x:c>
      <x:c r="M4378" t="n">
        <x:v>0.3</x:v>
      </x:c>
      <x:c r="N4378" t="n">
        <x:f>ROUND(F4378*M4378/100,2)</x:f>
        <x:v>0.53</x:v>
      </x:c>
      <x:c r="O4378" t="str">
        <x:v>生重</x:v>
      </x:c>
    </x:row>
    <x:row r="4379" ht="23" customHeight="1">
      <x:c r="A4379" t="n">
        <x:v>730</x:v>
      </x:c>
      <x:c r="B4379" t="n">
        <x:v>365</x:v>
      </x:c>
      <x:c r="C4379" t="str">
        <x:v>晚餐</x:v>
      </x:c>
      <x:c r="D4379" t="str">
        <x:v>蔬菜</x:v>
      </x:c>
      <x:c r="E4379" t="str">
        <x:v>荷兰豆</x:v>
      </x:c>
      <x:c r="F4379" t="n">
        <x:v>125</x:v>
      </x:c>
      <x:c r="G4379" t="n">
        <x:v>42</x:v>
      </x:c>
      <x:c r="H4379" t="n">
        <x:f>ROUND(F4379*G4379/100,2)</x:f>
        <x:v>52.5</x:v>
      </x:c>
      <x:c r="I4379" t="n">
        <x:v>2.8</x:v>
      </x:c>
      <x:c r="J4379" t="n">
        <x:f>ROUND(F4379*I4379/100,2)</x:f>
        <x:v>3.5</x:v>
      </x:c>
      <x:c r="K4379" t="n">
        <x:v>7.5</x:v>
      </x:c>
      <x:c r="L4379" t="n">
        <x:f>ROUND(F4379*K4379/100,2)</x:f>
        <x:v>9.38</x:v>
      </x:c>
      <x:c r="M4379" t="n">
        <x:v>0.3</x:v>
      </x:c>
      <x:c r="N4379" t="n">
        <x:f>ROUND(F4379*M4379/100,2)</x:f>
        <x:v>0.38</x:v>
      </x:c>
      <x:c r="O4379" t="str">
        <x:v>生重</x:v>
      </x:c>
    </x:row>
    <x:row r="4380" ht="23" customHeight="1">
      <x:c r="A4380" t="n">
        <x:v>730</x:v>
      </x:c>
      <x:c r="B4380" t="n">
        <x:v>365</x:v>
      </x:c>
      <x:c r="C4380" t="str">
        <x:v>晚餐</x:v>
      </x:c>
      <x:c r="D4380" t="str">
        <x:v>主食</x:v>
      </x:c>
      <x:c r="E4380" t="str">
        <x:v>糙米饭</x:v>
      </x:c>
      <x:c r="F4380" t="n">
        <x:v>110</x:v>
      </x:c>
      <x:c r="G4380" t="n">
        <x:v>112</x:v>
      </x:c>
      <x:c r="H4380" t="n">
        <x:f>ROUND(F4380*G4380/100,2)</x:f>
        <x:v>123.2</x:v>
      </x:c>
      <x:c r="I4380" t="n">
        <x:v>2.6</x:v>
      </x:c>
      <x:c r="J4380" t="n">
        <x:f>ROUND(F4380*I4380/100,2)</x:f>
        <x:v>2.86</x:v>
      </x:c>
      <x:c r="K4380" t="n">
        <x:v>23.5</x:v>
      </x:c>
      <x:c r="L4380" t="n">
        <x:f>ROUND(F4380*K4380/100,2)</x:f>
        <x:v>25.85</x:v>
      </x:c>
      <x:c r="M4380" t="n">
        <x:v>0.9</x:v>
      </x:c>
      <x:c r="N4380" t="n">
        <x:f>ROUND(F4380*M4380/100,2)</x:f>
        <x:v>0.99</x:v>
      </x:c>
      <x:c r="O4380" t="str">
        <x:v>熟重</x:v>
      </x:c>
    </x:row>
    <x:row r="4381" ht="23" customHeight="1">
      <x:c r="A4381" t="n">
        <x:v>730</x:v>
      </x:c>
      <x:c r="B4381" t="n">
        <x:v>365</x:v>
      </x:c>
      <x:c r="C4381" t="str">
        <x:v>晚餐</x:v>
      </x:c>
      <x:c r="D4381" t="str">
        <x:v>油脂</x:v>
      </x:c>
      <x:c r="E4381" t="str">
        <x:v>烹调油</x:v>
      </x:c>
      <x:c r="F4381" t="n">
        <x:v>4</x:v>
      </x:c>
      <x:c r="G4381" t="n">
        <x:v>900</x:v>
      </x:c>
      <x:c r="H4381" t="n">
        <x:f>ROUND(F4381*G4381/100,2)</x:f>
        <x:v>36</x:v>
      </x:c>
      <x:c r="I4381" t="n">
        <x:v>0</x:v>
      </x:c>
      <x:c r="J4381" t="n">
        <x:f>ROUND(F4381*I4381/100,2)</x:f>
        <x:v>0</x:v>
      </x:c>
      <x:c r="K4381" t="n">
        <x:v>0</x:v>
      </x:c>
      <x:c r="L4381" t="n">
        <x:f>ROUND(F4381*K4381/100,2)</x:f>
        <x:v>0</x:v>
      </x:c>
      <x:c r="M4381" t="n">
        <x:v>100</x:v>
      </x:c>
      <x:c r="N4381" t="n">
        <x:f>ROUND(F4381*M4381/100,2)</x:f>
        <x:v>4</x:v>
      </x:c>
      <x:c r="O4381" t="str">
        <x:v>实际用油重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9" hidden="0" customWidth="1"/>
    <x:col min="2" max="2" width="14" hidden="0" customWidth="1"/>
    <x:col min="3" max="3" width="22" hidden="0" customWidth="1"/>
    <x:col min="4" max="4" width="24" hidden="0" customWidth="1"/>
    <x:col min="5" max="5" width="24" hidden="0" customWidth="1"/>
    <x:col min="6" max="6" width="59" hidden="0" customWidth="1"/>
    <x:col min="7" max="7" width="32" hidden="0" customWidth="1"/>
  </x:cols>
  <x:sheetData>
    <x:row r="1" ht="29" customHeight="1">
      <x:c r="A1" s="5" t="str">
        <x:v>周次</x:v>
      </x:c>
      <x:c r="B1" s="5" t="str">
        <x:v>食材类别</x:v>
      </x:c>
      <x:c r="C1" s="5" t="str">
        <x:v>食材</x:v>
      </x:c>
      <x:c r="D1" s="5" t="str">
        <x:v>计划菜单用量 g</x:v>
      </x:c>
      <x:c r="E1" s="5" t="str">
        <x:v>估算采购量 g</x:v>
      </x:c>
      <x:c r="F1" s="5" t="str">
        <x:v>采购形式</x:v>
      </x:c>
      <x:c r="G1" s="5" t="str">
        <x:v>说明</x:v>
      </x:c>
    </x:row>
    <x:row r="2" ht="23" customHeight="1">
      <x:c r="A2" t="n">
        <x:v>1</x:v>
      </x:c>
      <x:c r="B2" t="str">
        <x:v>主食</x:v>
      </x:c>
      <x:c r="C2" t="str">
        <x:v>乌冬面</x:v>
      </x:c>
      <x:c r="D2" t="n">
        <x:v>135</x:v>
      </x:c>
      <x:c r="E2" t="n">
        <x:v>60</x:v>
      </x:c>
      <x:c r="F2" s="10" t="str">
        <x:v>干粮约重（按熟面/干面≈2.1估算）</x:v>
      </x:c>
      <x:c r="G2" s="10" t="str">
        <x:v>煮熟沥水重</x:v>
      </x:c>
    </x:row>
    <x:row r="3" ht="23" customHeight="1">
      <x:c r="A3" t="n">
        <x:v>1</x:v>
      </x:c>
      <x:c r="B3" t="str">
        <x:v>主食</x:v>
      </x:c>
      <x:c r="C3" t="str">
        <x:v>全麦面</x:v>
      </x:c>
      <x:c r="D3" t="n">
        <x:v>110</x:v>
      </x:c>
      <x:c r="E3" t="n">
        <x:v>50</x:v>
      </x:c>
      <x:c r="F3" s="10" t="str">
        <x:v>干粮约重（按熟面/干面≈2.1估算）</x:v>
      </x:c>
      <x:c r="G3" s="10" t="str">
        <x:v>煮熟沥水重</x:v>
      </x:c>
    </x:row>
    <x:row r="4" ht="23" customHeight="1">
      <x:c r="A4" t="n">
        <x:v>1</x:v>
      </x:c>
      <x:c r="B4" t="str">
        <x:v>主食</x:v>
      </x:c>
      <x:c r="C4" t="str">
        <x:v>杂粮饭</x:v>
      </x:c>
      <x:c r="D4" t="n">
        <x:v>280</x:v>
      </x:c>
      <x:c r="E4" t="n">
        <x:v>110</x:v>
      </x:c>
      <x:c r="F4" s="10" t="str">
        <x:v>未煮干粮约重（按熟饭/生米≈2.6估算）</x:v>
      </x:c>
      <x:c r="G4" s="10" t="str">
        <x:v>熟重</x:v>
      </x:c>
    </x:row>
    <x:row r="5" ht="23" customHeight="1">
      <x:c r="A5" t="n">
        <x:v>1</x:v>
      </x:c>
      <x:c r="B5" t="str">
        <x:v>主食</x:v>
      </x:c>
      <x:c r="C5" t="str">
        <x:v>燕麦饭</x:v>
      </x:c>
      <x:c r="D5" t="n">
        <x:v>135</x:v>
      </x:c>
      <x:c r="E5" t="n">
        <x:v>50</x:v>
      </x:c>
      <x:c r="F5" s="10" t="str">
        <x:v>未煮干粮约重（按熟饭/生米≈2.6估算）</x:v>
      </x:c>
      <x:c r="G5" s="10" t="str">
        <x:v>熟重</x:v>
      </x:c>
    </x:row>
    <x:row r="6" ht="23" customHeight="1">
      <x:c r="A6" t="n">
        <x:v>1</x:v>
      </x:c>
      <x:c r="B6" t="str">
        <x:v>主食</x:v>
      </x:c>
      <x:c r="C6" t="str">
        <x:v>玉米</x:v>
      </x:c>
      <x:c r="D6" t="n">
        <x:v>250</x:v>
      </x:c>
      <x:c r="E6" t="n">
        <x:v>280</x:v>
      </x:c>
      <x:c r="F6" s="10" t="str">
        <x:v>鲜薯/玉米净重；考虑小幅损耗</x:v>
      </x:c>
      <x:c r="G6" s="10" t="str">
        <x:v>蒸熟净重</x:v>
      </x:c>
    </x:row>
    <x:row r="7" ht="23" customHeight="1">
      <x:c r="A7" t="n">
        <x:v>1</x:v>
      </x:c>
      <x:c r="B7" t="str">
        <x:v>主食</x:v>
      </x:c>
      <x:c r="C7" t="str">
        <x:v>糙米饭</x:v>
      </x:c>
      <x:c r="D7" t="n">
        <x:v>255</x:v>
      </x:c>
      <x:c r="E7" t="n">
        <x:v>100</x:v>
      </x:c>
      <x:c r="F7" s="10" t="str">
        <x:v>未煮干粮约重（按熟饭/生米≈2.6估算）</x:v>
      </x:c>
      <x:c r="G7" s="10" t="str">
        <x:v>熟重</x:v>
      </x:c>
    </x:row>
    <x:row r="8" ht="23" customHeight="1">
      <x:c r="A8" t="n">
        <x:v>1</x:v>
      </x:c>
      <x:c r="B8" t="str">
        <x:v>主食</x:v>
      </x:c>
      <x:c r="C8" t="str">
        <x:v>紫薯</x:v>
      </x:c>
      <x:c r="D8" t="n">
        <x:v>255</x:v>
      </x:c>
      <x:c r="E8" t="n">
        <x:v>280</x:v>
      </x:c>
      <x:c r="F8" s="10" t="str">
        <x:v>鲜薯/玉米净重；考虑小幅损耗</x:v>
      </x:c>
      <x:c r="G8" s="10" t="str">
        <x:v>蒸熟净重</x:v>
      </x:c>
    </x:row>
    <x:row r="9" ht="23" customHeight="1">
      <x:c r="A9" t="n">
        <x:v>1</x:v>
      </x:c>
      <x:c r="B9" t="str">
        <x:v>主食</x:v>
      </x:c>
      <x:c r="C9" t="str">
        <x:v>荞麦饭</x:v>
      </x:c>
      <x:c r="D9" t="n">
        <x:v>130</x:v>
      </x:c>
      <x:c r="E9" t="n">
        <x:v>50</x:v>
      </x:c>
      <x:c r="F9" s="10" t="str">
        <x:v>未煮干粮约重（按熟饭/生米≈2.6估算）</x:v>
      </x:c>
      <x:c r="G9" s="10" t="str">
        <x:v>熟重</x:v>
      </x:c>
    </x:row>
    <x:row r="10" ht="23" customHeight="1">
      <x:c r="A10" t="n">
        <x:v>1</x:v>
      </x:c>
      <x:c r="B10" t="str">
        <x:v>主食</x:v>
      </x:c>
      <x:c r="C10" t="str">
        <x:v>藜麦饭</x:v>
      </x:c>
      <x:c r="D10" t="n">
        <x:v>220</x:v>
      </x:c>
      <x:c r="E10" t="n">
        <x:v>80</x:v>
      </x:c>
      <x:c r="F10" s="10" t="str">
        <x:v>未煮干粮约重（按熟饭/生米≈2.6估算）</x:v>
      </x:c>
      <x:c r="G10" s="10" t="str">
        <x:v>熟重</x:v>
      </x:c>
    </x:row>
    <x:row r="11" ht="23" customHeight="1">
      <x:c r="A11" t="n">
        <x:v>1</x:v>
      </x:c>
      <x:c r="B11" t="str">
        <x:v>加工肉</x:v>
      </x:c>
      <x:c r="C11" t="str">
        <x:v>低盐火腿</x:v>
      </x:c>
      <x:c r="D11" t="n">
        <x:v>40</x:v>
      </x:c>
      <x:c r="E11" t="n">
        <x:v>40</x:v>
      </x:c>
      <x:c r="F11" s="10" t="str">
        <x:v>食材净重+约8%余量</x:v>
      </x:c>
      <x:c r="G11" s="10" t="str">
        <x:v>以品牌标签为准</x:v>
      </x:c>
    </x:row>
    <x:row r="12" ht="23" customHeight="1">
      <x:c r="A12" t="n">
        <x:v>1</x:v>
      </x:c>
      <x:c r="B12" t="str">
        <x:v>油脂</x:v>
      </x:c>
      <x:c r="C12" t="str">
        <x:v>烹调油</x:v>
      </x:c>
      <x:c r="D12" t="n">
        <x:v>56</x:v>
      </x:c>
      <x:c r="E12" t="n">
        <x:v>56</x:v>
      </x:c>
      <x:c r="F12" s="10" t="str">
        <x:v>食用油；现有库存足够即可</x:v>
      </x:c>
      <x:c r="G12" s="10" t="str">
        <x:v>实际用油重</x:v>
      </x:c>
    </x:row>
    <x:row r="13" ht="23" customHeight="1">
      <x:c r="A13" t="n">
        <x:v>1</x:v>
      </x:c>
      <x:c r="B13" t="str">
        <x:v>海鲜</x:v>
      </x:c>
      <x:c r="C13" t="str">
        <x:v>花蛤肉</x:v>
      </x:c>
      <x:c r="D13" t="n">
        <x:v>170</x:v>
      </x:c>
      <x:c r="E13" t="n">
        <x:v>180</x:v>
      </x:c>
      <x:c r="F13" s="10" t="str">
        <x:v>食材净重+约8%余量；带壳或带骨采购需另折算</x:v>
      </x:c>
      <x:c r="G13" s="10" t="str">
        <x:v>净肉生重</x:v>
      </x:c>
    </x:row>
    <x:row r="14" ht="23" customHeight="1">
      <x:c r="A14" t="n">
        <x:v>1</x:v>
      </x:c>
      <x:c r="B14" t="str">
        <x:v>海鲜</x:v>
      </x:c>
      <x:c r="C14" t="str">
        <x:v>虾仁</x:v>
      </x:c>
      <x:c r="D14" t="n">
        <x:v>250</x:v>
      </x:c>
      <x:c r="E14" t="n">
        <x:v>270</x:v>
      </x:c>
      <x:c r="F14" s="10" t="str">
        <x:v>食材净重+约8%余量</x:v>
      </x:c>
      <x:c r="G14" s="10" t="str">
        <x:v>生重</x:v>
      </x:c>
    </x:row>
    <x:row r="15" ht="23" customHeight="1">
      <x:c r="A15" t="n">
        <x:v>1</x:v>
      </x:c>
      <x:c r="B15" t="str">
        <x:v>牛肉</x:v>
      </x:c>
      <x:c r="C15" t="str">
        <x:v>牛里脊</x:v>
      </x:c>
      <x:c r="D15" t="n">
        <x:v>175</x:v>
      </x:c>
      <x:c r="E15" t="n">
        <x:v>190</x:v>
      </x:c>
      <x:c r="F15" s="10" t="str">
        <x:v>食材净重+约8%余量</x:v>
      </x:c>
      <x:c r="G15" s="10" t="str">
        <x:v>生重</x:v>
      </x:c>
    </x:row>
    <x:row r="16" ht="23" customHeight="1">
      <x:c r="A16" t="n">
        <x:v>1</x:v>
      </x:c>
      <x:c r="B16" t="str">
        <x:v>牛肉</x:v>
      </x:c>
      <x:c r="C16" t="str">
        <x:v>瘦牛肉</x:v>
      </x:c>
      <x:c r="D16" t="n">
        <x:v>310</x:v>
      </x:c>
      <x:c r="E16" t="n">
        <x:v>330</x:v>
      </x:c>
      <x:c r="F16" s="10" t="str">
        <x:v>食材净重+约8%余量</x:v>
      </x:c>
      <x:c r="G16" s="10" t="str">
        <x:v>生重</x:v>
      </x:c>
    </x:row>
    <x:row r="17" ht="23" customHeight="1">
      <x:c r="A17" t="n">
        <x:v>1</x:v>
      </x:c>
      <x:c r="B17" t="str">
        <x:v>牛肉</x:v>
      </x:c>
      <x:c r="C17" t="str">
        <x:v>肥牛卷</x:v>
      </x:c>
      <x:c r="D17" t="n">
        <x:v>95</x:v>
      </x:c>
      <x:c r="E17" t="n">
        <x:v>100</x:v>
      </x:c>
      <x:c r="F17" s="10" t="str">
        <x:v>食材净重+约8%余量</x:v>
      </x:c>
      <x:c r="G17" s="10" t="str">
        <x:v>生重；以包装为准</x:v>
      </x:c>
    </x:row>
    <x:row r="18" ht="23" customHeight="1">
      <x:c r="A18" t="n">
        <x:v>1</x:v>
      </x:c>
      <x:c r="B18" t="str">
        <x:v>禽肉</x:v>
      </x:c>
      <x:c r="C18" t="str">
        <x:v>去皮鸡腿肉</x:v>
      </x:c>
      <x:c r="D18" t="n">
        <x:v>180</x:v>
      </x:c>
      <x:c r="E18" t="n">
        <x:v>190</x:v>
      </x:c>
      <x:c r="F18" s="10" t="str">
        <x:v>食材净重+约8%余量</x:v>
      </x:c>
      <x:c r="G18" s="10" t="str">
        <x:v>生重</x:v>
      </x:c>
    </x:row>
    <x:row r="19" ht="23" customHeight="1">
      <x:c r="A19" t="n">
        <x:v>1</x:v>
      </x:c>
      <x:c r="B19" t="str">
        <x:v>禽肉</x:v>
      </x:c>
      <x:c r="C19" t="str">
        <x:v>鸡胸肉</x:v>
      </x:c>
      <x:c r="D19" t="n">
        <x:v>350</x:v>
      </x:c>
      <x:c r="E19" t="n">
        <x:v>380</x:v>
      </x:c>
      <x:c r="F19" s="10" t="str">
        <x:v>食材净重+约8%余量</x:v>
      </x:c>
      <x:c r="G19" s="10" t="str">
        <x:v>生重</x:v>
      </x:c>
    </x:row>
    <x:row r="20" ht="23" customHeight="1">
      <x:c r="A20" t="n">
        <x:v>1</x:v>
      </x:c>
      <x:c r="B20" t="str">
        <x:v>菌菇</x:v>
      </x:c>
      <x:c r="C20" t="str">
        <x:v>口蘑</x:v>
      </x:c>
      <x:c r="D20" t="n">
        <x:v>690</x:v>
      </x:c>
      <x:c r="E20" t="n">
        <x:v>750</x:v>
      </x:c>
      <x:c r="F20" s="10" t="str">
        <x:v>食材净重+约8%余量</x:v>
      </x:c>
      <x:c r="G20" s="10" t="str">
        <x:v>生重</x:v>
      </x:c>
    </x:row>
    <x:row r="21" ht="23" customHeight="1">
      <x:c r="A21" t="n">
        <x:v>1</x:v>
      </x:c>
      <x:c r="B21" t="str">
        <x:v>菌菇</x:v>
      </x:c>
      <x:c r="C21" t="str">
        <x:v>泡发木耳</x:v>
      </x:c>
      <x:c r="D21" t="n">
        <x:v>150</x:v>
      </x:c>
      <x:c r="E21" t="n">
        <x:v>160</x:v>
      </x:c>
      <x:c r="F21" s="10" t="str">
        <x:v>食材净重+约8%余量</x:v>
      </x:c>
      <x:c r="G21" s="10" t="str">
        <x:v>泡发沥水重</x:v>
      </x:c>
    </x:row>
    <x:row r="22" ht="23" customHeight="1">
      <x:c r="A22" t="n">
        <x:v>1</x:v>
      </x:c>
      <x:c r="B22" t="str">
        <x:v>菌菇</x:v>
      </x:c>
      <x:c r="C22" t="str">
        <x:v>香菇</x:v>
      </x:c>
      <x:c r="D22" t="n">
        <x:v>565</x:v>
      </x:c>
      <x:c r="E22" t="n">
        <x:v>610</x:v>
      </x:c>
      <x:c r="F22" s="10" t="str">
        <x:v>食材净重+约8%余量</x:v>
      </x:c>
      <x:c r="G22" s="10" t="str">
        <x:v>生重</x:v>
      </x:c>
    </x:row>
    <x:row r="23" ht="23" customHeight="1">
      <x:c r="A23" t="n">
        <x:v>1</x:v>
      </x:c>
      <x:c r="B23" t="str">
        <x:v>蔬菜</x:v>
      </x:c>
      <x:c r="C23" t="str">
        <x:v>丝瓜</x:v>
      </x:c>
      <x:c r="D23" t="n">
        <x:v>170</x:v>
      </x:c>
      <x:c r="E23" t="n">
        <x:v>180</x:v>
      </x:c>
      <x:c r="F23" s="10" t="str">
        <x:v>食材净重+约8%余量</x:v>
      </x:c>
      <x:c r="G23" s="10" t="str">
        <x:v>生重</x:v>
      </x:c>
    </x:row>
    <x:row r="24" ht="23" customHeight="1">
      <x:c r="A24" t="n">
        <x:v>1</x:v>
      </x:c>
      <x:c r="B24" t="str">
        <x:v>蔬菜</x:v>
      </x:c>
      <x:c r="C24" t="str">
        <x:v>冬瓜</x:v>
      </x:c>
      <x:c r="D24" t="n">
        <x:v>175</x:v>
      </x:c>
      <x:c r="E24" t="n">
        <x:v>190</x:v>
      </x:c>
      <x:c r="F24" s="10" t="str">
        <x:v>食材净重+约8%余量</x:v>
      </x:c>
      <x:c r="G24" s="10" t="str">
        <x:v>生重</x:v>
      </x:c>
    </x:row>
    <x:row r="25" ht="23" customHeight="1">
      <x:c r="A25" t="n">
        <x:v>1</x:v>
      </x:c>
      <x:c r="B25" t="str">
        <x:v>蔬菜</x:v>
      </x:c>
      <x:c r="C25" t="str">
        <x:v>娃娃菜</x:v>
      </x:c>
      <x:c r="D25" t="n">
        <x:v>165</x:v>
      </x:c>
      <x:c r="E25" t="n">
        <x:v>180</x:v>
      </x:c>
      <x:c r="F25" s="10" t="str">
        <x:v>食材净重+约8%余量</x:v>
      </x:c>
      <x:c r="G25" s="10" t="str">
        <x:v>生重</x:v>
      </x:c>
    </x:row>
    <x:row r="26" ht="23" customHeight="1">
      <x:c r="A26" t="n">
        <x:v>1</x:v>
      </x:c>
      <x:c r="B26" t="str">
        <x:v>蔬菜</x:v>
      </x:c>
      <x:c r="C26" t="str">
        <x:v>小白菜</x:v>
      </x:c>
      <x:c r="D26" t="n">
        <x:v>340</x:v>
      </x:c>
      <x:c r="E26" t="n">
        <x:v>370</x:v>
      </x:c>
      <x:c r="F26" s="10" t="str">
        <x:v>食材净重+约8%余量</x:v>
      </x:c>
      <x:c r="G26" s="10" t="str">
        <x:v>生重</x:v>
      </x:c>
    </x:row>
    <x:row r="27" ht="23" customHeight="1">
      <x:c r="A27" t="n">
        <x:v>1</x:v>
      </x:c>
      <x:c r="B27" t="str">
        <x:v>蔬菜</x:v>
      </x:c>
      <x:c r="C27" t="str">
        <x:v>彩椒</x:v>
      </x:c>
      <x:c r="D27" t="n">
        <x:v>455</x:v>
      </x:c>
      <x:c r="E27" t="n">
        <x:v>490</x:v>
      </x:c>
      <x:c r="F27" s="10" t="str">
        <x:v>食材净重+约8%余量</x:v>
      </x:c>
      <x:c r="G27" s="10" t="str">
        <x:v>生重</x:v>
      </x:c>
    </x:row>
    <x:row r="28" ht="23" customHeight="1">
      <x:c r="A28" t="n">
        <x:v>1</x:v>
      </x:c>
      <x:c r="B28" t="str">
        <x:v>蔬菜</x:v>
      </x:c>
      <x:c r="C28" t="str">
        <x:v>洋葱</x:v>
      </x:c>
      <x:c r="D28" t="n">
        <x:v>265</x:v>
      </x:c>
      <x:c r="E28" t="n">
        <x:v>290</x:v>
      </x:c>
      <x:c r="F28" s="10" t="str">
        <x:v>食材净重+约8%余量</x:v>
      </x:c>
      <x:c r="G28" s="10" t="str">
        <x:v>生重</x:v>
      </x:c>
    </x:row>
    <x:row r="29" ht="23" customHeight="1">
      <x:c r="A29" t="n">
        <x:v>1</x:v>
      </x:c>
      <x:c r="B29" t="str">
        <x:v>蔬菜</x:v>
      </x:c>
      <x:c r="C29" t="str">
        <x:v>海带</x:v>
      </x:c>
      <x:c r="D29" t="n">
        <x:v>140</x:v>
      </x:c>
      <x:c r="E29" t="n">
        <x:v>150</x:v>
      </x:c>
      <x:c r="F29" s="10" t="str">
        <x:v>食材净重+约8%余量</x:v>
      </x:c>
      <x:c r="G29" s="10" t="str">
        <x:v>泡发沥水重</x:v>
      </x:c>
    </x:row>
    <x:row r="30" ht="23" customHeight="1">
      <x:c r="A30" t="n">
        <x:v>1</x:v>
      </x:c>
      <x:c r="B30" t="str">
        <x:v>蔬菜</x:v>
      </x:c>
      <x:c r="C30" t="str">
        <x:v>番茄</x:v>
      </x:c>
      <x:c r="D30" t="n">
        <x:v>360</x:v>
      </x:c>
      <x:c r="E30" t="n">
        <x:v>390</x:v>
      </x:c>
      <x:c r="F30" s="10" t="str">
        <x:v>食材净重+约8%余量</x:v>
      </x:c>
      <x:c r="G30" s="10" t="str">
        <x:v>生重</x:v>
      </x:c>
    </x:row>
    <x:row r="31" ht="23" customHeight="1">
      <x:c r="A31" t="n">
        <x:v>1</x:v>
      </x:c>
      <x:c r="B31" t="str">
        <x:v>蔬菜</x:v>
      </x:c>
      <x:c r="C31" t="str">
        <x:v>西兰花</x:v>
      </x:c>
      <x:c r="D31" t="n">
        <x:v>705</x:v>
      </x:c>
      <x:c r="E31" t="n">
        <x:v>760</x:v>
      </x:c>
      <x:c r="F31" s="10" t="str">
        <x:v>食材净重+约8%余量</x:v>
      </x:c>
      <x:c r="G31" s="10" t="str">
        <x:v>生重</x:v>
      </x:c>
    </x:row>
    <x:row r="32" ht="23" customHeight="1">
      <x:c r="A32" t="n">
        <x:v>1</x:v>
      </x:c>
      <x:c r="B32" t="str">
        <x:v>蔬菜</x:v>
      </x:c>
      <x:c r="C32" t="str">
        <x:v>黄瓜</x:v>
      </x:c>
      <x:c r="D32" t="n">
        <x:v>160</x:v>
      </x:c>
      <x:c r="E32" t="n">
        <x:v>170</x:v>
      </x:c>
      <x:c r="F32" s="10" t="str">
        <x:v>食材净重+约8%余量</x:v>
      </x:c>
      <x:c r="G32" s="10" t="str">
        <x:v>生重</x:v>
      </x:c>
    </x:row>
    <x:row r="33" ht="23" customHeight="1">
      <x:c r="A33" t="n">
        <x:v>1</x:v>
      </x:c>
      <x:c r="B33" t="str">
        <x:v>豆蛋</x:v>
      </x:c>
      <x:c r="C33" t="str">
        <x:v>北豆腐</x:v>
      </x:c>
      <x:c r="D33" t="n">
        <x:v>115</x:v>
      </x:c>
      <x:c r="E33" t="n">
        <x:v>120</x:v>
      </x:c>
      <x:c r="F33" s="10" t="str">
        <x:v>食材净重+约8%余量</x:v>
      </x:c>
      <x:c r="G33" s="10" t="str">
        <x:v>净重</x:v>
      </x:c>
    </x:row>
    <x:row r="34" ht="23" customHeight="1">
      <x:c r="A34" t="n">
        <x:v>1</x:v>
      </x:c>
      <x:c r="B34" t="str">
        <x:v>豆蛋</x:v>
      </x:c>
      <x:c r="C34" t="str">
        <x:v>嫩豆腐</x:v>
      </x:c>
      <x:c r="D34" t="n">
        <x:v>160</x:v>
      </x:c>
      <x:c r="E34" t="n">
        <x:v>170</x:v>
      </x:c>
      <x:c r="F34" s="10" t="str">
        <x:v>食材净重+约8%余量</x:v>
      </x:c>
      <x:c r="G34" s="10" t="str">
        <x:v>净重</x:v>
      </x:c>
    </x:row>
    <x:row r="35" ht="23" customHeight="1">
      <x:c r="A35" t="n">
        <x:v>1</x:v>
      </x:c>
      <x:c r="B35" t="str">
        <x:v>豆蛋</x:v>
      </x:c>
      <x:c r="C35" t="str">
        <x:v>鸡蛋</x:v>
      </x:c>
      <x:c r="D35" t="n">
        <x:v>285</x:v>
      </x:c>
      <x:c r="E35" t="n">
        <x:v>310</x:v>
      </x:c>
      <x:c r="F35" s="10" t="str">
        <x:v>食材净重+约8%余量</x:v>
      </x:c>
      <x:c r="G35" s="10" t="str">
        <x:v>去壳可食重</x:v>
      </x:c>
    </x:row>
    <x:row r="36" ht="23" customHeight="1">
      <x:c r="A36" t="n">
        <x:v>1</x:v>
      </x:c>
      <x:c r="B36" t="str">
        <x:v>鱼类</x:v>
      </x:c>
      <x:c r="C36" t="str">
        <x:v>巴沙鱼</x:v>
      </x:c>
      <x:c r="D36" t="n">
        <x:v>175</x:v>
      </x:c>
      <x:c r="E36" t="n">
        <x:v>190</x:v>
      </x:c>
      <x:c r="F36" s="10" t="str">
        <x:v>食材净重+约8%余量</x:v>
      </x:c>
      <x:c r="G36" s="10" t="str">
        <x:v>净鱼肉生重</x:v>
      </x:c>
    </x:row>
    <x:row r="37" ht="23" customHeight="1">
      <x:c r="A37" t="n">
        <x:v>1</x:v>
      </x:c>
      <x:c r="B37" t="str">
        <x:v>鱼类</x:v>
      </x:c>
      <x:c r="C37" t="str">
        <x:v>鲈鱼</x:v>
      </x:c>
      <x:c r="D37" t="n">
        <x:v>200</x:v>
      </x:c>
      <x:c r="E37" t="n">
        <x:v>220</x:v>
      </x:c>
      <x:c r="F37" s="10" t="str">
        <x:v>食材净重+约8%余量；带壳或带骨采购需另折算</x:v>
      </x:c>
      <x:c r="G37" s="10" t="str">
        <x:v>净鱼肉生重</x:v>
      </x:c>
    </x:row>
    <x:row r="38" ht="23" customHeight="1">
      <x:c r="A38" t="n">
        <x:v>1</x:v>
      </x:c>
      <x:c r="B38" t="str">
        <x:v>鱼类</x:v>
      </x:c>
      <x:c r="C38" t="str">
        <x:v>鳕鱼</x:v>
      </x:c>
      <x:c r="D38" t="n">
        <x:v>210</x:v>
      </x:c>
      <x:c r="E38" t="n">
        <x:v>230</x:v>
      </x:c>
      <x:c r="F38" s="10" t="str">
        <x:v>食材净重+约8%余量；带壳或带骨采购需另折算</x:v>
      </x:c>
      <x:c r="G38" s="10" t="str">
        <x:v>净鱼肉生重</x:v>
      </x:c>
    </x:row>
    <x:row r="39" ht="23" customHeight="1">
      <x:c r="A39" t="n">
        <x:v>2</x:v>
      </x:c>
      <x:c r="B39" t="str">
        <x:v>主食</x:v>
      </x:c>
      <x:c r="C39" t="str">
        <x:v>全麦面</x:v>
      </x:c>
      <x:c r="D39" t="n">
        <x:v>95</x:v>
      </x:c>
      <x:c r="E39" t="n">
        <x:v>50</x:v>
      </x:c>
      <x:c r="F39" s="10" t="str">
        <x:v>干粮约重（按熟面/干面≈2.1估算）</x:v>
      </x:c>
      <x:c r="G39" s="10" t="str">
        <x:v>煮熟沥水重</x:v>
      </x:c>
    </x:row>
    <x:row r="40" ht="23" customHeight="1">
      <x:c r="A40" t="n">
        <x:v>2</x:v>
      </x:c>
      <x:c r="B40" t="str">
        <x:v>主食</x:v>
      </x:c>
      <x:c r="C40" t="str">
        <x:v>土豆</x:v>
      </x:c>
      <x:c r="D40" t="n">
        <x:v>125</x:v>
      </x:c>
      <x:c r="E40" t="n">
        <x:v>140</x:v>
      </x:c>
      <x:c r="F40" s="10" t="str">
        <x:v>鲜薯/玉米净重；考虑小幅损耗</x:v>
      </x:c>
      <x:c r="G40" s="10" t="str">
        <x:v>蒸熟净重</x:v>
      </x:c>
    </x:row>
    <x:row r="41" ht="23" customHeight="1">
      <x:c r="A41" t="n">
        <x:v>2</x:v>
      </x:c>
      <x:c r="B41" t="str">
        <x:v>主食</x:v>
      </x:c>
      <x:c r="C41" t="str">
        <x:v>山药</x:v>
      </x:c>
      <x:c r="D41" t="n">
        <x:v>125</x:v>
      </x:c>
      <x:c r="E41" t="n">
        <x:v>140</x:v>
      </x:c>
      <x:c r="F41" s="10" t="str">
        <x:v>鲜薯/玉米净重；考虑小幅损耗</x:v>
      </x:c>
      <x:c r="G41" s="10" t="str">
        <x:v>蒸熟净重</x:v>
      </x:c>
    </x:row>
    <x:row r="42" ht="23" customHeight="1">
      <x:c r="A42" t="n">
        <x:v>2</x:v>
      </x:c>
      <x:c r="B42" t="str">
        <x:v>主食</x:v>
      </x:c>
      <x:c r="C42" t="str">
        <x:v>杂粮饭</x:v>
      </x:c>
      <x:c r="D42" t="n">
        <x:v>110</x:v>
      </x:c>
      <x:c r="E42" t="n">
        <x:v>40</x:v>
      </x:c>
      <x:c r="F42" s="10" t="str">
        <x:v>未煮干粮约重（按熟饭/生米≈2.6估算）</x:v>
      </x:c>
      <x:c r="G42" s="10" t="str">
        <x:v>熟重</x:v>
      </x:c>
    </x:row>
    <x:row r="43" ht="23" customHeight="1">
      <x:c r="A43" t="n">
        <x:v>2</x:v>
      </x:c>
      <x:c r="B43" t="str">
        <x:v>主食</x:v>
      </x:c>
      <x:c r="C43" t="str">
        <x:v>燕麦饭</x:v>
      </x:c>
      <x:c r="D43" t="n">
        <x:v>260</x:v>
      </x:c>
      <x:c r="E43" t="n">
        <x:v>100</x:v>
      </x:c>
      <x:c r="F43" s="10" t="str">
        <x:v>未煮干粮约重（按熟饭/生米≈2.6估算）</x:v>
      </x:c>
      <x:c r="G43" s="10" t="str">
        <x:v>熟重</x:v>
      </x:c>
    </x:row>
    <x:row r="44" ht="23" customHeight="1">
      <x:c r="A44" t="n">
        <x:v>2</x:v>
      </x:c>
      <x:c r="B44" t="str">
        <x:v>主食</x:v>
      </x:c>
      <x:c r="C44" t="str">
        <x:v>玉米</x:v>
      </x:c>
      <x:c r="D44" t="n">
        <x:v>80</x:v>
      </x:c>
      <x:c r="E44" t="n">
        <x:v>90</x:v>
      </x:c>
      <x:c r="F44" s="10" t="str">
        <x:v>鲜薯/玉米净重；考虑小幅损耗</x:v>
      </x:c>
      <x:c r="G44" s="10" t="str">
        <x:v>蒸熟净重</x:v>
      </x:c>
    </x:row>
    <x:row r="45" ht="23" customHeight="1">
      <x:c r="A45" t="n">
        <x:v>2</x:v>
      </x:c>
      <x:c r="B45" t="str">
        <x:v>主食</x:v>
      </x:c>
      <x:c r="C45" t="str">
        <x:v>白米饭</x:v>
      </x:c>
      <x:c r="D45" t="n">
        <x:v>125</x:v>
      </x:c>
      <x:c r="E45" t="n">
        <x:v>50</x:v>
      </x:c>
      <x:c r="F45" s="10" t="str">
        <x:v>未煮干粮约重（按熟饭/生米≈2.6估算）</x:v>
      </x:c>
      <x:c r="G45" s="10" t="str">
        <x:v>熟重</x:v>
      </x:c>
    </x:row>
    <x:row r="46" ht="23" customHeight="1">
      <x:c r="A46" t="n">
        <x:v>2</x:v>
      </x:c>
      <x:c r="B46" t="str">
        <x:v>主食</x:v>
      </x:c>
      <x:c r="C46" t="str">
        <x:v>糙米饭</x:v>
      </x:c>
      <x:c r="D46" t="n">
        <x:v>395</x:v>
      </x:c>
      <x:c r="E46" t="n">
        <x:v>150</x:v>
      </x:c>
      <x:c r="F46" s="10" t="str">
        <x:v>未煮干粮约重（按熟饭/生米≈2.6估算）</x:v>
      </x:c>
      <x:c r="G46" s="10" t="str">
        <x:v>熟重</x:v>
      </x:c>
    </x:row>
    <x:row r="47" ht="23" customHeight="1">
      <x:c r="A47" t="n">
        <x:v>2</x:v>
      </x:c>
      <x:c r="B47" t="str">
        <x:v>主食</x:v>
      </x:c>
      <x:c r="C47" t="str">
        <x:v>红薯</x:v>
      </x:c>
      <x:c r="D47" t="n">
        <x:v>300</x:v>
      </x:c>
      <x:c r="E47" t="n">
        <x:v>330</x:v>
      </x:c>
      <x:c r="F47" s="10" t="str">
        <x:v>鲜薯/玉米净重；考虑小幅损耗</x:v>
      </x:c>
      <x:c r="G47" s="10" t="str">
        <x:v>蒸熟净重</x:v>
      </x:c>
    </x:row>
    <x:row r="48" ht="23" customHeight="1">
      <x:c r="A48" t="n">
        <x:v>2</x:v>
      </x:c>
      <x:c r="B48" t="str">
        <x:v>主食</x:v>
      </x:c>
      <x:c r="C48" t="str">
        <x:v>荞麦面</x:v>
      </x:c>
      <x:c r="D48" t="n">
        <x:v>110</x:v>
      </x:c>
      <x:c r="E48" t="n">
        <x:v>50</x:v>
      </x:c>
      <x:c r="F48" s="10" t="str">
        <x:v>干粮约重（按熟面/干面≈2.1估算）</x:v>
      </x:c>
      <x:c r="G48" s="10" t="str">
        <x:v>煮熟沥水重</x:v>
      </x:c>
    </x:row>
    <x:row r="49" ht="23" customHeight="1">
      <x:c r="A49" t="n">
        <x:v>2</x:v>
      </x:c>
      <x:c r="B49" t="str">
        <x:v>油脂</x:v>
      </x:c>
      <x:c r="C49" t="str">
        <x:v>烹调油</x:v>
      </x:c>
      <x:c r="D49" t="n">
        <x:v>64</x:v>
      </x:c>
      <x:c r="E49" t="n">
        <x:v>64</x:v>
      </x:c>
      <x:c r="F49" s="10" t="str">
        <x:v>食用油；现有库存足够即可</x:v>
      </x:c>
      <x:c r="G49" s="10" t="str">
        <x:v>实际用油重</x:v>
      </x:c>
    </x:row>
    <x:row r="50" ht="23" customHeight="1">
      <x:c r="A50" t="n">
        <x:v>2</x:v>
      </x:c>
      <x:c r="B50" t="str">
        <x:v>海鲜</x:v>
      </x:c>
      <x:c r="C50" t="str">
        <x:v>扇贝肉</x:v>
      </x:c>
      <x:c r="D50" t="n">
        <x:v>210</x:v>
      </x:c>
      <x:c r="E50" t="n">
        <x:v>230</x:v>
      </x:c>
      <x:c r="F50" s="10" t="str">
        <x:v>食材净重+约8%余量；带壳或带骨采购需另折算</x:v>
      </x:c>
      <x:c r="G50" s="10" t="str">
        <x:v>生重</x:v>
      </x:c>
    </x:row>
    <x:row r="51" ht="23" customHeight="1">
      <x:c r="A51" t="n">
        <x:v>2</x:v>
      </x:c>
      <x:c r="B51" t="str">
        <x:v>牛肉</x:v>
      </x:c>
      <x:c r="C51" t="str">
        <x:v>瘦牛肉</x:v>
      </x:c>
      <x:c r="D51" t="n">
        <x:v>175</x:v>
      </x:c>
      <x:c r="E51" t="n">
        <x:v>190</x:v>
      </x:c>
      <x:c r="F51" s="10" t="str">
        <x:v>食材净重+约8%余量</x:v>
      </x:c>
      <x:c r="G51" s="10" t="str">
        <x:v>生重</x:v>
      </x:c>
    </x:row>
    <x:row r="52" ht="23" customHeight="1">
      <x:c r="A52" t="n">
        <x:v>2</x:v>
      </x:c>
      <x:c r="B52" t="str">
        <x:v>牛肉</x:v>
      </x:c>
      <x:c r="C52" t="str">
        <x:v>肥牛卷</x:v>
      </x:c>
      <x:c r="D52" t="n">
        <x:v>200</x:v>
      </x:c>
      <x:c r="E52" t="n">
        <x:v>220</x:v>
      </x:c>
      <x:c r="F52" s="10" t="str">
        <x:v>食材净重+约8%余量</x:v>
      </x:c>
      <x:c r="G52" s="10" t="str">
        <x:v>生重；以包装为准</x:v>
      </x:c>
    </x:row>
    <x:row r="53" ht="23" customHeight="1">
      <x:c r="A53" t="n">
        <x:v>2</x:v>
      </x:c>
      <x:c r="B53" t="str">
        <x:v>猪肉</x:v>
      </x:c>
      <x:c r="C53" t="str">
        <x:v>猪瘦肉</x:v>
      </x:c>
      <x:c r="D53" t="n">
        <x:v>170</x:v>
      </x:c>
      <x:c r="E53" t="n">
        <x:v>180</x:v>
      </x:c>
      <x:c r="F53" s="10" t="str">
        <x:v>食材净重+约8%余量</x:v>
      </x:c>
      <x:c r="G53" s="10" t="str">
        <x:v>生重</x:v>
      </x:c>
    </x:row>
    <x:row r="54" ht="23" customHeight="1">
      <x:c r="A54" t="n">
        <x:v>2</x:v>
      </x:c>
      <x:c r="B54" t="str">
        <x:v>禽肉</x:v>
      </x:c>
      <x:c r="C54" t="str">
        <x:v>去皮鸡腿肉</x:v>
      </x:c>
      <x:c r="D54" t="n">
        <x:v>180</x:v>
      </x:c>
      <x:c r="E54" t="n">
        <x:v>190</x:v>
      </x:c>
      <x:c r="F54" s="10" t="str">
        <x:v>食材净重+约8%余量</x:v>
      </x:c>
      <x:c r="G54" s="10" t="str">
        <x:v>生重</x:v>
      </x:c>
    </x:row>
    <x:row r="55" ht="23" customHeight="1">
      <x:c r="A55" t="n">
        <x:v>2</x:v>
      </x:c>
      <x:c r="B55" t="str">
        <x:v>禽肉</x:v>
      </x:c>
      <x:c r="C55" t="str">
        <x:v>鸡胸肉</x:v>
      </x:c>
      <x:c r="D55" t="n">
        <x:v>185</x:v>
      </x:c>
      <x:c r="E55" t="n">
        <x:v>200</x:v>
      </x:c>
      <x:c r="F55" s="10" t="str">
        <x:v>食材净重+约8%余量</x:v>
      </x:c>
      <x:c r="G55" s="10" t="str">
        <x:v>生重</x:v>
      </x:c>
    </x:row>
    <x:row r="56" ht="23" customHeight="1">
      <x:c r="A56" t="n">
        <x:v>2</x:v>
      </x:c>
      <x:c r="B56" t="str">
        <x:v>禽肉</x:v>
      </x:c>
      <x:c r="C56" t="str">
        <x:v>鸡里脊肉</x:v>
      </x:c>
      <x:c r="D56" t="n">
        <x:v>160</x:v>
      </x:c>
      <x:c r="E56" t="n">
        <x:v>170</x:v>
      </x:c>
      <x:c r="F56" s="10" t="str">
        <x:v>食材净重+约8%余量</x:v>
      </x:c>
      <x:c r="G56" s="10" t="str">
        <x:v>生重</x:v>
      </x:c>
    </x:row>
    <x:row r="57" ht="23" customHeight="1">
      <x:c r="A57" t="n">
        <x:v>2</x:v>
      </x:c>
      <x:c r="B57" t="str">
        <x:v>菌菇</x:v>
      </x:c>
      <x:c r="C57" t="str">
        <x:v>杏鲍菇</x:v>
      </x:c>
      <x:c r="D57" t="n">
        <x:v>125</x:v>
      </x:c>
      <x:c r="E57" t="n">
        <x:v>140</x:v>
      </x:c>
      <x:c r="F57" s="10" t="str">
        <x:v>食材净重+约8%余量</x:v>
      </x:c>
      <x:c r="G57" s="10" t="str">
        <x:v>生重</x:v>
      </x:c>
    </x:row>
    <x:row r="58" ht="23" customHeight="1">
      <x:c r="A58" t="n">
        <x:v>2</x:v>
      </x:c>
      <x:c r="B58" t="str">
        <x:v>菌菇</x:v>
      </x:c>
      <x:c r="C58" t="str">
        <x:v>泡发木耳</x:v>
      </x:c>
      <x:c r="D58" t="n">
        <x:v>155</x:v>
      </x:c>
      <x:c r="E58" t="n">
        <x:v>170</x:v>
      </x:c>
      <x:c r="F58" s="10" t="str">
        <x:v>食材净重+约8%余量</x:v>
      </x:c>
      <x:c r="G58" s="10" t="str">
        <x:v>泡发沥水重</x:v>
      </x:c>
    </x:row>
    <x:row r="59" ht="23" customHeight="1">
      <x:c r="A59" t="n">
        <x:v>2</x:v>
      </x:c>
      <x:c r="B59" t="str">
        <x:v>菌菇</x:v>
      </x:c>
      <x:c r="C59" t="str">
        <x:v>香菇</x:v>
      </x:c>
      <x:c r="D59" t="n">
        <x:v>590</x:v>
      </x:c>
      <x:c r="E59" t="n">
        <x:v>640</x:v>
      </x:c>
      <x:c r="F59" s="10" t="str">
        <x:v>食材净重+约8%余量</x:v>
      </x:c>
      <x:c r="G59" s="10" t="str">
        <x:v>生重</x:v>
      </x:c>
    </x:row>
    <x:row r="60" ht="23" customHeight="1">
      <x:c r="A60" t="n">
        <x:v>2</x:v>
      </x:c>
      <x:c r="B60" t="str">
        <x:v>蔬菜</x:v>
      </x:c>
      <x:c r="C60" t="str">
        <x:v>丝瓜</x:v>
      </x:c>
      <x:c r="D60" t="n">
        <x:v>190</x:v>
      </x:c>
      <x:c r="E60" t="n">
        <x:v>210</x:v>
      </x:c>
      <x:c r="F60" s="10" t="str">
        <x:v>食材净重+约8%余量</x:v>
      </x:c>
      <x:c r="G60" s="10" t="str">
        <x:v>生重</x:v>
      </x:c>
    </x:row>
    <x:row r="61" ht="23" customHeight="1">
      <x:c r="A61" t="n">
        <x:v>2</x:v>
      </x:c>
      <x:c r="B61" t="str">
        <x:v>蔬菜</x:v>
      </x:c>
      <x:c r="C61" t="str">
        <x:v>冬瓜</x:v>
      </x:c>
      <x:c r="D61" t="n">
        <x:v>110</x:v>
      </x:c>
      <x:c r="E61" t="n">
        <x:v>120</x:v>
      </x:c>
      <x:c r="F61" s="10" t="str">
        <x:v>食材净重+约8%余量</x:v>
      </x:c>
      <x:c r="G61" s="10" t="str">
        <x:v>生重</x:v>
      </x:c>
    </x:row>
    <x:row r="62" ht="23" customHeight="1">
      <x:c r="A62" t="n">
        <x:v>2</x:v>
      </x:c>
      <x:c r="B62" t="str">
        <x:v>蔬菜</x:v>
      </x:c>
      <x:c r="C62" t="str">
        <x:v>娃娃菜</x:v>
      </x:c>
      <x:c r="D62" t="n">
        <x:v>160</x:v>
      </x:c>
      <x:c r="E62" t="n">
        <x:v>170</x:v>
      </x:c>
      <x:c r="F62" s="10" t="str">
        <x:v>食材净重+约8%余量</x:v>
      </x:c>
      <x:c r="G62" s="10" t="str">
        <x:v>生重</x:v>
      </x:c>
    </x:row>
    <x:row r="63" ht="23" customHeight="1">
      <x:c r="A63" t="n">
        <x:v>2</x:v>
      </x:c>
      <x:c r="B63" t="str">
        <x:v>蔬菜</x:v>
      </x:c>
      <x:c r="C63" t="str">
        <x:v>小白菜</x:v>
      </x:c>
      <x:c r="D63" t="n">
        <x:v>315</x:v>
      </x:c>
      <x:c r="E63" t="n">
        <x:v>340</x:v>
      </x:c>
      <x:c r="F63" s="10" t="str">
        <x:v>食材净重+约8%余量</x:v>
      </x:c>
      <x:c r="G63" s="10" t="str">
        <x:v>生重</x:v>
      </x:c>
    </x:row>
    <x:row r="64" ht="23" customHeight="1">
      <x:c r="A64" t="n">
        <x:v>2</x:v>
      </x:c>
      <x:c r="B64" t="str">
        <x:v>蔬菜</x:v>
      </x:c>
      <x:c r="C64" t="str">
        <x:v>彩椒</x:v>
      </x:c>
      <x:c r="D64" t="n">
        <x:v>330</x:v>
      </x:c>
      <x:c r="E64" t="n">
        <x:v>360</x:v>
      </x:c>
      <x:c r="F64" s="10" t="str">
        <x:v>食材净重+约8%余量</x:v>
      </x:c>
      <x:c r="G64" s="10" t="str">
        <x:v>生重</x:v>
      </x:c>
    </x:row>
    <x:row r="65" ht="23" customHeight="1">
      <x:c r="A65" t="n">
        <x:v>2</x:v>
      </x:c>
      <x:c r="B65" t="str">
        <x:v>蔬菜</x:v>
      </x:c>
      <x:c r="C65" t="str">
        <x:v>洋葱</x:v>
      </x:c>
      <x:c r="D65" t="n">
        <x:v>265</x:v>
      </x:c>
      <x:c r="E65" t="n">
        <x:v>290</x:v>
      </x:c>
      <x:c r="F65" s="10" t="str">
        <x:v>食材净重+约8%余量</x:v>
      </x:c>
      <x:c r="G65" s="10" t="str">
        <x:v>生重</x:v>
      </x:c>
    </x:row>
    <x:row r="66" ht="23" customHeight="1">
      <x:c r="A66" t="n">
        <x:v>2</x:v>
      </x:c>
      <x:c r="B66" t="str">
        <x:v>蔬菜</x:v>
      </x:c>
      <x:c r="C66" t="str">
        <x:v>番茄</x:v>
      </x:c>
      <x:c r="D66" t="n">
        <x:v>330</x:v>
      </x:c>
      <x:c r="E66" t="n">
        <x:v>360</x:v>
      </x:c>
      <x:c r="F66" s="10" t="str">
        <x:v>食材净重+约8%余量</x:v>
      </x:c>
      <x:c r="G66" s="10" t="str">
        <x:v>生重</x:v>
      </x:c>
    </x:row>
    <x:row r="67" ht="23" customHeight="1">
      <x:c r="A67" t="n">
        <x:v>2</x:v>
      </x:c>
      <x:c r="B67" t="str">
        <x:v>蔬菜</x:v>
      </x:c>
      <x:c r="C67" t="str">
        <x:v>白萝卜</x:v>
      </x:c>
      <x:c r="D67" t="n">
        <x:v>330</x:v>
      </x:c>
      <x:c r="E67" t="n">
        <x:v>360</x:v>
      </x:c>
      <x:c r="F67" s="10" t="str">
        <x:v>食材净重+约8%余量</x:v>
      </x:c>
      <x:c r="G67" s="10" t="str">
        <x:v>生重</x:v>
      </x:c>
    </x:row>
    <x:row r="68" ht="23" customHeight="1">
      <x:c r="A68" t="n">
        <x:v>2</x:v>
      </x:c>
      <x:c r="B68" t="str">
        <x:v>蔬菜</x:v>
      </x:c>
      <x:c r="C68" t="str">
        <x:v>紫甘蓝</x:v>
      </x:c>
      <x:c r="D68" t="n">
        <x:v>160</x:v>
      </x:c>
      <x:c r="E68" t="n">
        <x:v>170</x:v>
      </x:c>
      <x:c r="F68" s="10" t="str">
        <x:v>食材净重+约8%余量</x:v>
      </x:c>
      <x:c r="G68" s="10" t="str">
        <x:v>生重</x:v>
      </x:c>
    </x:row>
    <x:row r="69" ht="23" customHeight="1">
      <x:c r="A69" t="n">
        <x:v>2</x:v>
      </x:c>
      <x:c r="B69" t="str">
        <x:v>蔬菜</x:v>
      </x:c>
      <x:c r="C69" t="str">
        <x:v>绿豆芽</x:v>
      </x:c>
      <x:c r="D69" t="n">
        <x:v>125</x:v>
      </x:c>
      <x:c r="E69" t="n">
        <x:v>140</x:v>
      </x:c>
      <x:c r="F69" s="10" t="str">
        <x:v>食材净重+约8%余量</x:v>
      </x:c>
      <x:c r="G69" s="10" t="str">
        <x:v>生重</x:v>
      </x:c>
    </x:row>
    <x:row r="70" ht="23" customHeight="1">
      <x:c r="A70" t="n">
        <x:v>2</x:v>
      </x:c>
      <x:c r="B70" t="str">
        <x:v>蔬菜</x:v>
      </x:c>
      <x:c r="C70" t="str">
        <x:v>胡萝卜</x:v>
      </x:c>
      <x:c r="D70" t="n">
        <x:v>110</x:v>
      </x:c>
      <x:c r="E70" t="n">
        <x:v>120</x:v>
      </x:c>
      <x:c r="F70" s="10" t="str">
        <x:v>食材净重+约8%余量</x:v>
      </x:c>
      <x:c r="G70" s="10" t="str">
        <x:v>生重</x:v>
      </x:c>
    </x:row>
    <x:row r="71" ht="23" customHeight="1">
      <x:c r="A71" t="n">
        <x:v>2</x:v>
      </x:c>
      <x:c r="B71" t="str">
        <x:v>蔬菜</x:v>
      </x:c>
      <x:c r="C71" t="str">
        <x:v>芹菜</x:v>
      </x:c>
      <x:c r="D71" t="n">
        <x:v>175</x:v>
      </x:c>
      <x:c r="E71" t="n">
        <x:v>190</x:v>
      </x:c>
      <x:c r="F71" s="10" t="str">
        <x:v>食材净重+约8%余量</x:v>
      </x:c>
      <x:c r="G71" s="10" t="str">
        <x:v>生重</x:v>
      </x:c>
    </x:row>
    <x:row r="72" ht="23" customHeight="1">
      <x:c r="A72" t="n">
        <x:v>2</x:v>
      </x:c>
      <x:c r="B72" t="str">
        <x:v>蔬菜</x:v>
      </x:c>
      <x:c r="C72" t="str">
        <x:v>苦瓜</x:v>
      </x:c>
      <x:c r="D72" t="n">
        <x:v>140</x:v>
      </x:c>
      <x:c r="E72" t="n">
        <x:v>150</x:v>
      </x:c>
      <x:c r="F72" s="10" t="str">
        <x:v>食材净重+约8%余量</x:v>
      </x:c>
      <x:c r="G72" s="10" t="str">
        <x:v>生重</x:v>
      </x:c>
    </x:row>
    <x:row r="73" ht="23" customHeight="1">
      <x:c r="A73" t="n">
        <x:v>2</x:v>
      </x:c>
      <x:c r="B73" t="str">
        <x:v>蔬菜</x:v>
      </x:c>
      <x:c r="C73" t="str">
        <x:v>荷兰豆</x:v>
      </x:c>
      <x:c r="D73" t="n">
        <x:v>330</x:v>
      </x:c>
      <x:c r="E73" t="n">
        <x:v>360</x:v>
      </x:c>
      <x:c r="F73" s="10" t="str">
        <x:v>食材净重+约8%余量</x:v>
      </x:c>
      <x:c r="G73" s="10" t="str">
        <x:v>生重</x:v>
      </x:c>
    </x:row>
    <x:row r="74" ht="23" customHeight="1">
      <x:c r="A74" t="n">
        <x:v>2</x:v>
      </x:c>
      <x:c r="B74" t="str">
        <x:v>蔬菜</x:v>
      </x:c>
      <x:c r="C74" t="str">
        <x:v>莴笋</x:v>
      </x:c>
      <x:c r="D74" t="n">
        <x:v>190</x:v>
      </x:c>
      <x:c r="E74" t="n">
        <x:v>210</x:v>
      </x:c>
      <x:c r="F74" s="10" t="str">
        <x:v>食材净重+约8%余量</x:v>
      </x:c>
      <x:c r="G74" s="10" t="str">
        <x:v>生重</x:v>
      </x:c>
    </x:row>
    <x:row r="75" ht="23" customHeight="1">
      <x:c r="A75" t="n">
        <x:v>2</x:v>
      </x:c>
      <x:c r="B75" t="str">
        <x:v>蔬菜</x:v>
      </x:c>
      <x:c r="C75" t="str">
        <x:v>西兰花</x:v>
      </x:c>
      <x:c r="D75" t="n">
        <x:v>110</x:v>
      </x:c>
      <x:c r="E75" t="n">
        <x:v>120</x:v>
      </x:c>
      <x:c r="F75" s="10" t="str">
        <x:v>食材净重+约8%余量</x:v>
      </x:c>
      <x:c r="G75" s="10" t="str">
        <x:v>生重</x:v>
      </x:c>
    </x:row>
    <x:row r="76" ht="23" customHeight="1">
      <x:c r="A76" t="n">
        <x:v>2</x:v>
      </x:c>
      <x:c r="B76" t="str">
        <x:v>豆蛋</x:v>
      </x:c>
      <x:c r="C76" t="str">
        <x:v>北豆腐</x:v>
      </x:c>
      <x:c r="D76" t="n">
        <x:v>330</x:v>
      </x:c>
      <x:c r="E76" t="n">
        <x:v>360</x:v>
      </x:c>
      <x:c r="F76" s="10" t="str">
        <x:v>食材净重+约8%余量</x:v>
      </x:c>
      <x:c r="G76" s="10" t="str">
        <x:v>净重</x:v>
      </x:c>
    </x:row>
    <x:row r="77" ht="23" customHeight="1">
      <x:c r="A77" t="n">
        <x:v>2</x:v>
      </x:c>
      <x:c r="B77" t="str">
        <x:v>豆蛋</x:v>
      </x:c>
      <x:c r="C77" t="str">
        <x:v>嫩豆腐</x:v>
      </x:c>
      <x:c r="D77" t="n">
        <x:v>220</x:v>
      </x:c>
      <x:c r="E77" t="n">
        <x:v>240</x:v>
      </x:c>
      <x:c r="F77" s="10" t="str">
        <x:v>食材净重+约8%余量</x:v>
      </x:c>
      <x:c r="G77" s="10" t="str">
        <x:v>净重</x:v>
      </x:c>
    </x:row>
    <x:row r="78" ht="23" customHeight="1">
      <x:c r="A78" t="n">
        <x:v>2</x:v>
      </x:c>
      <x:c r="B78" t="str">
        <x:v>豆蛋</x:v>
      </x:c>
      <x:c r="C78" t="str">
        <x:v>鸡蛋</x:v>
      </x:c>
      <x:c r="D78" t="n">
        <x:v>350</x:v>
      </x:c>
      <x:c r="E78" t="n">
        <x:v>380</x:v>
      </x:c>
      <x:c r="F78" s="10" t="str">
        <x:v>食材净重+约8%余量</x:v>
      </x:c>
      <x:c r="G78" s="10" t="str">
        <x:v>去壳可食重</x:v>
      </x:c>
    </x:row>
    <x:row r="79" ht="23" customHeight="1">
      <x:c r="A79" t="n">
        <x:v>2</x:v>
      </x:c>
      <x:c r="B79" t="str">
        <x:v>鱼类</x:v>
      </x:c>
      <x:c r="C79" t="str">
        <x:v>三文鱼</x:v>
      </x:c>
      <x:c r="D79" t="n">
        <x:v>120</x:v>
      </x:c>
      <x:c r="E79" t="n">
        <x:v>130</x:v>
      </x:c>
      <x:c r="F79" s="10" t="str">
        <x:v>食材净重+约8%余量</x:v>
      </x:c>
      <x:c r="G79" s="10" t="str">
        <x:v>净鱼肉生重</x:v>
      </x:c>
    </x:row>
    <x:row r="80" ht="23" customHeight="1">
      <x:c r="A80" t="n">
        <x:v>2</x:v>
      </x:c>
      <x:c r="B80" t="str">
        <x:v>鱼类</x:v>
      </x:c>
      <x:c r="C80" t="str">
        <x:v>巴沙鱼</x:v>
      </x:c>
      <x:c r="D80" t="n">
        <x:v>200</x:v>
      </x:c>
      <x:c r="E80" t="n">
        <x:v>220</x:v>
      </x:c>
      <x:c r="F80" s="10" t="str">
        <x:v>食材净重+约8%余量</x:v>
      </x:c>
      <x:c r="G80" s="10" t="str">
        <x:v>净鱼肉生重</x:v>
      </x:c>
    </x:row>
    <x:row r="81" ht="23" customHeight="1">
      <x:c r="A81" t="n">
        <x:v>2</x:v>
      </x:c>
      <x:c r="B81" t="str">
        <x:v>鱼类</x:v>
      </x:c>
      <x:c r="C81" t="str">
        <x:v>鲈鱼</x:v>
      </x:c>
      <x:c r="D81" t="n">
        <x:v>175</x:v>
      </x:c>
      <x:c r="E81" t="n">
        <x:v>190</x:v>
      </x:c>
      <x:c r="F81" s="10" t="str">
        <x:v>食材净重+约8%余量；带壳或带骨采购需另折算</x:v>
      </x:c>
      <x:c r="G81" s="10" t="str">
        <x:v>净鱼肉生重</x:v>
      </x:c>
    </x:row>
    <x:row r="82" ht="23" customHeight="1">
      <x:c r="A82" t="n">
        <x:v>3</x:v>
      </x:c>
      <x:c r="B82" t="str">
        <x:v>主食</x:v>
      </x:c>
      <x:c r="C82" t="str">
        <x:v>杂粮饭</x:v>
      </x:c>
      <x:c r="D82" t="n">
        <x:v>615</x:v>
      </x:c>
      <x:c r="E82" t="n">
        <x:v>240</x:v>
      </x:c>
      <x:c r="F82" s="10" t="str">
        <x:v>未煮干粮约重（按熟饭/生米≈2.6估算）</x:v>
      </x:c>
      <x:c r="G82" s="10" t="str">
        <x:v>熟重</x:v>
      </x:c>
    </x:row>
    <x:row r="83" ht="23" customHeight="1">
      <x:c r="A83" t="n">
        <x:v>3</x:v>
      </x:c>
      <x:c r="B83" t="str">
        <x:v>主食</x:v>
      </x:c>
      <x:c r="C83" t="str">
        <x:v>燕麦饭</x:v>
      </x:c>
      <x:c r="D83" t="n">
        <x:v>260</x:v>
      </x:c>
      <x:c r="E83" t="n">
        <x:v>100</x:v>
      </x:c>
      <x:c r="F83" s="10" t="str">
        <x:v>未煮干粮约重（按熟饭/生米≈2.6估算）</x:v>
      </x:c>
      <x:c r="G83" s="10" t="str">
        <x:v>熟重</x:v>
      </x:c>
    </x:row>
    <x:row r="84" ht="23" customHeight="1">
      <x:c r="A84" t="n">
        <x:v>3</x:v>
      </x:c>
      <x:c r="B84" t="str">
        <x:v>主食</x:v>
      </x:c>
      <x:c r="C84" t="str">
        <x:v>玉米</x:v>
      </x:c>
      <x:c r="D84" t="n">
        <x:v>285</x:v>
      </x:c>
      <x:c r="E84" t="n">
        <x:v>310</x:v>
      </x:c>
      <x:c r="F84" s="10" t="str">
        <x:v>鲜薯/玉米净重；考虑小幅损耗</x:v>
      </x:c>
      <x:c r="G84" s="10" t="str">
        <x:v>蒸熟净重</x:v>
      </x:c>
    </x:row>
    <x:row r="85" ht="23" customHeight="1">
      <x:c r="A85" t="n">
        <x:v>3</x:v>
      </x:c>
      <x:c r="B85" t="str">
        <x:v>主食</x:v>
      </x:c>
      <x:c r="C85" t="str">
        <x:v>紫薯</x:v>
      </x:c>
      <x:c r="D85" t="n">
        <x:v>275</x:v>
      </x:c>
      <x:c r="E85" t="n">
        <x:v>300</x:v>
      </x:c>
      <x:c r="F85" s="10" t="str">
        <x:v>鲜薯/玉米净重；考虑小幅损耗</x:v>
      </x:c>
      <x:c r="G85" s="10" t="str">
        <x:v>蒸熟净重</x:v>
      </x:c>
    </x:row>
    <x:row r="86" ht="23" customHeight="1">
      <x:c r="A86" t="n">
        <x:v>3</x:v>
      </x:c>
      <x:c r="B86" t="str">
        <x:v>主食</x:v>
      </x:c>
      <x:c r="C86" t="str">
        <x:v>荞麦面</x:v>
      </x:c>
      <x:c r="D86" t="n">
        <x:v>285</x:v>
      </x:c>
      <x:c r="E86" t="n">
        <x:v>140</x:v>
      </x:c>
      <x:c r="F86" s="10" t="str">
        <x:v>干粮约重（按熟面/干面≈2.1估算）</x:v>
      </x:c>
      <x:c r="G86" s="10" t="str">
        <x:v>煮熟沥水重</x:v>
      </x:c>
    </x:row>
    <x:row r="87" ht="23" customHeight="1">
      <x:c r="A87" t="n">
        <x:v>3</x:v>
      </x:c>
      <x:c r="B87" t="str">
        <x:v>油脂</x:v>
      </x:c>
      <x:c r="C87" t="str">
        <x:v>烹调油</x:v>
      </x:c>
      <x:c r="D87" t="n">
        <x:v>65</x:v>
      </x:c>
      <x:c r="E87" t="n">
        <x:v>65</x:v>
      </x:c>
      <x:c r="F87" s="10" t="str">
        <x:v>食用油；现有库存足够即可</x:v>
      </x:c>
      <x:c r="G87" s="10" t="str">
        <x:v>实际用油重</x:v>
      </x:c>
    </x:row>
    <x:row r="88" ht="23" customHeight="1">
      <x:c r="A88" t="n">
        <x:v>3</x:v>
      </x:c>
      <x:c r="B88" t="str">
        <x:v>海鲜</x:v>
      </x:c>
      <x:c r="C88" t="str">
        <x:v>虾仁</x:v>
      </x:c>
      <x:c r="D88" t="n">
        <x:v>350</x:v>
      </x:c>
      <x:c r="E88" t="n">
        <x:v>380</x:v>
      </x:c>
      <x:c r="F88" s="10" t="str">
        <x:v>食材净重+约8%余量</x:v>
      </x:c>
      <x:c r="G88" s="10" t="str">
        <x:v>生重</x:v>
      </x:c>
    </x:row>
    <x:row r="89" ht="23" customHeight="1">
      <x:c r="A89" t="n">
        <x:v>3</x:v>
      </x:c>
      <x:c r="B89" t="str">
        <x:v>牛肉</x:v>
      </x:c>
      <x:c r="C89" t="str">
        <x:v>牛里脊</x:v>
      </x:c>
      <x:c r="D89" t="n">
        <x:v>145</x:v>
      </x:c>
      <x:c r="E89" t="n">
        <x:v>160</x:v>
      </x:c>
      <x:c r="F89" s="10" t="str">
        <x:v>食材净重+约8%余量</x:v>
      </x:c>
      <x:c r="G89" s="10" t="str">
        <x:v>生重</x:v>
      </x:c>
    </x:row>
    <x:row r="90" ht="23" customHeight="1">
      <x:c r="A90" t="n">
        <x:v>3</x:v>
      </x:c>
      <x:c r="B90" t="str">
        <x:v>牛肉</x:v>
      </x:c>
      <x:c r="C90" t="str">
        <x:v>瘦牛肉</x:v>
      </x:c>
      <x:c r="D90" t="n">
        <x:v>175</x:v>
      </x:c>
      <x:c r="E90" t="n">
        <x:v>190</x:v>
      </x:c>
      <x:c r="F90" s="10" t="str">
        <x:v>食材净重+约8%余量</x:v>
      </x:c>
      <x:c r="G90" s="10" t="str">
        <x:v>生重</x:v>
      </x:c>
    </x:row>
    <x:row r="91" ht="23" customHeight="1">
      <x:c r="A91" t="n">
        <x:v>3</x:v>
      </x:c>
      <x:c r="B91" t="str">
        <x:v>猪肉</x:v>
      </x:c>
      <x:c r="C91" t="str">
        <x:v>猪瘦肉</x:v>
      </x:c>
      <x:c r="D91" t="n">
        <x:v>300</x:v>
      </x:c>
      <x:c r="E91" t="n">
        <x:v>320</x:v>
      </x:c>
      <x:c r="F91" s="10" t="str">
        <x:v>食材净重+约8%余量</x:v>
      </x:c>
      <x:c r="G91" s="10" t="str">
        <x:v>生重</x:v>
      </x:c>
    </x:row>
    <x:row r="92" ht="23" customHeight="1">
      <x:c r="A92" t="n">
        <x:v>3</x:v>
      </x:c>
      <x:c r="B92" t="str">
        <x:v>猪肉</x:v>
      </x:c>
      <x:c r="C92" t="str">
        <x:v>猪里脊</x:v>
      </x:c>
      <x:c r="D92" t="n">
        <x:v>185</x:v>
      </x:c>
      <x:c r="E92" t="n">
        <x:v>200</x:v>
      </x:c>
      <x:c r="F92" s="10" t="str">
        <x:v>食材净重+约8%余量</x:v>
      </x:c>
      <x:c r="G92" s="10" t="str">
        <x:v>生重</x:v>
      </x:c>
    </x:row>
    <x:row r="93" ht="23" customHeight="1">
      <x:c r="A93" t="n">
        <x:v>3</x:v>
      </x:c>
      <x:c r="B93" t="str">
        <x:v>禽肉</x:v>
      </x:c>
      <x:c r="C93" t="str">
        <x:v>鸡胸肉</x:v>
      </x:c>
      <x:c r="D93" t="n">
        <x:v>645</x:v>
      </x:c>
      <x:c r="E93" t="n">
        <x:v>700</x:v>
      </x:c>
      <x:c r="F93" s="10" t="str">
        <x:v>食材净重+约8%余量</x:v>
      </x:c>
      <x:c r="G93" s="10" t="str">
        <x:v>生重</x:v>
      </x:c>
    </x:row>
    <x:row r="94" ht="23" customHeight="1">
      <x:c r="A94" t="n">
        <x:v>3</x:v>
      </x:c>
      <x:c r="B94" t="str">
        <x:v>菌菇</x:v>
      </x:c>
      <x:c r="C94" t="str">
        <x:v>泡发木耳</x:v>
      </x:c>
      <x:c r="D94" t="n">
        <x:v>280</x:v>
      </x:c>
      <x:c r="E94" t="n">
        <x:v>300</x:v>
      </x:c>
      <x:c r="F94" s="10" t="str">
        <x:v>食材净重+约8%余量</x:v>
      </x:c>
      <x:c r="G94" s="10" t="str">
        <x:v>泡发沥水重</x:v>
      </x:c>
    </x:row>
    <x:row r="95" ht="23" customHeight="1">
      <x:c r="A95" t="n">
        <x:v>3</x:v>
      </x:c>
      <x:c r="B95" t="str">
        <x:v>菌菇</x:v>
      </x:c>
      <x:c r="C95" t="str">
        <x:v>金针菇</x:v>
      </x:c>
      <x:c r="D95" t="n">
        <x:v>295</x:v>
      </x:c>
      <x:c r="E95" t="n">
        <x:v>320</x:v>
      </x:c>
      <x:c r="F95" s="10" t="str">
        <x:v>食材净重+约8%余量</x:v>
      </x:c>
      <x:c r="G95" s="10" t="str">
        <x:v>生重</x:v>
      </x:c>
    </x:row>
    <x:row r="96" ht="23" customHeight="1">
      <x:c r="A96" t="n">
        <x:v>3</x:v>
      </x:c>
      <x:c r="B96" t="str">
        <x:v>菌菇</x:v>
      </x:c>
      <x:c r="C96" t="str">
        <x:v>香菇</x:v>
      </x:c>
      <x:c r="D96" t="n">
        <x:v>295</x:v>
      </x:c>
      <x:c r="E96" t="n">
        <x:v>320</x:v>
      </x:c>
      <x:c r="F96" s="10" t="str">
        <x:v>食材净重+约8%余量</x:v>
      </x:c>
      <x:c r="G96" s="10" t="str">
        <x:v>生重</x:v>
      </x:c>
    </x:row>
    <x:row r="97" ht="23" customHeight="1">
      <x:c r="A97" t="n">
        <x:v>3</x:v>
      </x:c>
      <x:c r="B97" t="str">
        <x:v>蔬菜</x:v>
      </x:c>
      <x:c r="C97" t="str">
        <x:v>冬瓜</x:v>
      </x:c>
      <x:c r="D97" t="n">
        <x:v>315</x:v>
      </x:c>
      <x:c r="E97" t="n">
        <x:v>340</x:v>
      </x:c>
      <x:c r="F97" s="10" t="str">
        <x:v>食材净重+约8%余量</x:v>
      </x:c>
      <x:c r="G97" s="10" t="str">
        <x:v>生重</x:v>
      </x:c>
    </x:row>
    <x:row r="98" ht="23" customHeight="1">
      <x:c r="A98" t="n">
        <x:v>3</x:v>
      </x:c>
      <x:c r="B98" t="str">
        <x:v>蔬菜</x:v>
      </x:c>
      <x:c r="C98" t="str">
        <x:v>四季豆</x:v>
      </x:c>
      <x:c r="D98" t="n">
        <x:v>140</x:v>
      </x:c>
      <x:c r="E98" t="n">
        <x:v>150</x:v>
      </x:c>
      <x:c r="F98" s="10" t="str">
        <x:v>食材净重+约8%余量</x:v>
      </x:c>
      <x:c r="G98" s="10" t="str">
        <x:v>生重</x:v>
      </x:c>
    </x:row>
    <x:row r="99" ht="23" customHeight="1">
      <x:c r="A99" t="n">
        <x:v>3</x:v>
      </x:c>
      <x:c r="B99" t="str">
        <x:v>蔬菜</x:v>
      </x:c>
      <x:c r="C99" t="str">
        <x:v>大白菜</x:v>
      </x:c>
      <x:c r="D99" t="n">
        <x:v>140</x:v>
      </x:c>
      <x:c r="E99" t="n">
        <x:v>150</x:v>
      </x:c>
      <x:c r="F99" s="10" t="str">
        <x:v>食材净重+约8%余量</x:v>
      </x:c>
      <x:c r="G99" s="10" t="str">
        <x:v>生重</x:v>
      </x:c>
    </x:row>
    <x:row r="100" ht="23" customHeight="1">
      <x:c r="A100" t="n">
        <x:v>3</x:v>
      </x:c>
      <x:c r="B100" t="str">
        <x:v>蔬菜</x:v>
      </x:c>
      <x:c r="C100" t="str">
        <x:v>小白菜</x:v>
      </x:c>
      <x:c r="D100" t="n">
        <x:v>285</x:v>
      </x:c>
      <x:c r="E100" t="n">
        <x:v>310</x:v>
      </x:c>
      <x:c r="F100" s="10" t="str">
        <x:v>食材净重+约8%余量</x:v>
      </x:c>
      <x:c r="G100" s="10" t="str">
        <x:v>生重</x:v>
      </x:c>
    </x:row>
    <x:row r="101" ht="23" customHeight="1">
      <x:c r="A101" t="n">
        <x:v>3</x:v>
      </x:c>
      <x:c r="B101" t="str">
        <x:v>蔬菜</x:v>
      </x:c>
      <x:c r="C101" t="str">
        <x:v>彩椒</x:v>
      </x:c>
      <x:c r="D101" t="n">
        <x:v>445</x:v>
      </x:c>
      <x:c r="E101" t="n">
        <x:v>480</x:v>
      </x:c>
      <x:c r="F101" s="10" t="str">
        <x:v>食材净重+约8%余量</x:v>
      </x:c>
      <x:c r="G101" s="10" t="str">
        <x:v>生重</x:v>
      </x:c>
    </x:row>
    <x:row r="102" ht="23" customHeight="1">
      <x:c r="A102" t="n">
        <x:v>3</x:v>
      </x:c>
      <x:c r="B102" t="str">
        <x:v>蔬菜</x:v>
      </x:c>
      <x:c r="C102" t="str">
        <x:v>洋葱</x:v>
      </x:c>
      <x:c r="D102" t="n">
        <x:v>250</x:v>
      </x:c>
      <x:c r="E102" t="n">
        <x:v>270</x:v>
      </x:c>
      <x:c r="F102" s="10" t="str">
        <x:v>食材净重+约8%余量</x:v>
      </x:c>
      <x:c r="G102" s="10" t="str">
        <x:v>生重</x:v>
      </x:c>
    </x:row>
    <x:row r="103" ht="23" customHeight="1">
      <x:c r="A103" t="n">
        <x:v>3</x:v>
      </x:c>
      <x:c r="B103" t="str">
        <x:v>蔬菜</x:v>
      </x:c>
      <x:c r="C103" t="str">
        <x:v>番茄</x:v>
      </x:c>
      <x:c r="D103" t="n">
        <x:v>335</x:v>
      </x:c>
      <x:c r="E103" t="n">
        <x:v>360</x:v>
      </x:c>
      <x:c r="F103" s="10" t="str">
        <x:v>食材净重+约8%余量</x:v>
      </x:c>
      <x:c r="G103" s="10" t="str">
        <x:v>生重</x:v>
      </x:c>
    </x:row>
    <x:row r="104" ht="23" customHeight="1">
      <x:c r="A104" t="n">
        <x:v>3</x:v>
      </x:c>
      <x:c r="B104" t="str">
        <x:v>蔬菜</x:v>
      </x:c>
      <x:c r="C104" t="str">
        <x:v>白萝卜</x:v>
      </x:c>
      <x:c r="D104" t="n">
        <x:v>335</x:v>
      </x:c>
      <x:c r="E104" t="n">
        <x:v>360</x:v>
      </x:c>
      <x:c r="F104" s="10" t="str">
        <x:v>食材净重+约8%余量</x:v>
      </x:c>
      <x:c r="G104" s="10" t="str">
        <x:v>生重</x:v>
      </x:c>
    </x:row>
    <x:row r="105" ht="23" customHeight="1">
      <x:c r="A105" t="n">
        <x:v>3</x:v>
      </x:c>
      <x:c r="B105" t="str">
        <x:v>蔬菜</x:v>
      </x:c>
      <x:c r="C105" t="str">
        <x:v>秋葵</x:v>
      </x:c>
      <x:c r="D105" t="n">
        <x:v>160</x:v>
      </x:c>
      <x:c r="E105" t="n">
        <x:v>170</x:v>
      </x:c>
      <x:c r="F105" s="10" t="str">
        <x:v>食材净重+约8%余量</x:v>
      </x:c>
      <x:c r="G105" s="10" t="str">
        <x:v>生重</x:v>
      </x:c>
    </x:row>
    <x:row r="106" ht="23" customHeight="1">
      <x:c r="A106" t="n">
        <x:v>3</x:v>
      </x:c>
      <x:c r="B106" t="str">
        <x:v>蔬菜</x:v>
      </x:c>
      <x:c r="C106" t="str">
        <x:v>胡萝卜</x:v>
      </x:c>
      <x:c r="D106" t="n">
        <x:v>265</x:v>
      </x:c>
      <x:c r="E106" t="n">
        <x:v>290</x:v>
      </x:c>
      <x:c r="F106" s="10" t="str">
        <x:v>食材净重+约8%余量</x:v>
      </x:c>
      <x:c r="G106" s="10" t="str">
        <x:v>生重</x:v>
      </x:c>
    </x:row>
    <x:row r="107" ht="23" customHeight="1">
      <x:c r="A107" t="n">
        <x:v>3</x:v>
      </x:c>
      <x:c r="B107" t="str">
        <x:v>蔬菜</x:v>
      </x:c>
      <x:c r="C107" t="str">
        <x:v>花菜</x:v>
      </x:c>
      <x:c r="D107" t="n">
        <x:v>160</x:v>
      </x:c>
      <x:c r="E107" t="n">
        <x:v>170</x:v>
      </x:c>
      <x:c r="F107" s="10" t="str">
        <x:v>食材净重+约8%余量</x:v>
      </x:c>
      <x:c r="G107" s="10" t="str">
        <x:v>生重</x:v>
      </x:c>
    </x:row>
    <x:row r="108" ht="23" customHeight="1">
      <x:c r="A108" t="n">
        <x:v>3</x:v>
      </x:c>
      <x:c r="B108" t="str">
        <x:v>蔬菜</x:v>
      </x:c>
      <x:c r="C108" t="str">
        <x:v>荷兰豆</x:v>
      </x:c>
      <x:c r="D108" t="n">
        <x:v>250</x:v>
      </x:c>
      <x:c r="E108" t="n">
        <x:v>270</x:v>
      </x:c>
      <x:c r="F108" s="10" t="str">
        <x:v>食材净重+约8%余量</x:v>
      </x:c>
      <x:c r="G108" s="10" t="str">
        <x:v>生重</x:v>
      </x:c>
    </x:row>
    <x:row r="109" ht="23" customHeight="1">
      <x:c r="A109" t="n">
        <x:v>3</x:v>
      </x:c>
      <x:c r="B109" t="str">
        <x:v>蔬菜</x:v>
      </x:c>
      <x:c r="C109" t="str">
        <x:v>西兰花</x:v>
      </x:c>
      <x:c r="D109" t="n">
        <x:v>190</x:v>
      </x:c>
      <x:c r="E109" t="n">
        <x:v>210</x:v>
      </x:c>
      <x:c r="F109" s="10" t="str">
        <x:v>食材净重+约8%余量</x:v>
      </x:c>
      <x:c r="G109" s="10" t="str">
        <x:v>生重</x:v>
      </x:c>
    </x:row>
    <x:row r="110" ht="23" customHeight="1">
      <x:c r="A110" t="n">
        <x:v>3</x:v>
      </x:c>
      <x:c r="B110" t="str">
        <x:v>豆蛋</x:v>
      </x:c>
      <x:c r="C110" t="str">
        <x:v>北豆腐</x:v>
      </x:c>
      <x:c r="D110" t="n">
        <x:v>430</x:v>
      </x:c>
      <x:c r="E110" t="n">
        <x:v>460</x:v>
      </x:c>
      <x:c r="F110" s="10" t="str">
        <x:v>食材净重+约8%余量</x:v>
      </x:c>
      <x:c r="G110" s="10" t="str">
        <x:v>净重</x:v>
      </x:c>
    </x:row>
    <x:row r="111" ht="23" customHeight="1">
      <x:c r="A111" t="n">
        <x:v>3</x:v>
      </x:c>
      <x:c r="B111" t="str">
        <x:v>豆蛋</x:v>
      </x:c>
      <x:c r="C111" t="str">
        <x:v>熟毛豆仁</x:v>
      </x:c>
      <x:c r="D111" t="n">
        <x:v>70</x:v>
      </x:c>
      <x:c r="E111" t="n">
        <x:v>80</x:v>
      </x:c>
      <x:c r="F111" s="10" t="str">
        <x:v>食材净重+约8%余量</x:v>
      </x:c>
      <x:c r="G111" s="10" t="str">
        <x:v>熟重</x:v>
      </x:c>
    </x:row>
    <x:row r="112" ht="23" customHeight="1">
      <x:c r="A112" t="n">
        <x:v>3</x:v>
      </x:c>
      <x:c r="B112" t="str">
        <x:v>豆蛋</x:v>
      </x:c>
      <x:c r="C112" t="str">
        <x:v>鸡蛋</x:v>
      </x:c>
      <x:c r="D112" t="n">
        <x:v>120</x:v>
      </x:c>
      <x:c r="E112" t="n">
        <x:v>130</x:v>
      </x:c>
      <x:c r="F112" s="10" t="str">
        <x:v>食材净重+约8%余量</x:v>
      </x:c>
      <x:c r="G112" s="10" t="str">
        <x:v>去壳可食重</x:v>
      </x:c>
    </x:row>
    <x:row r="113" ht="23" customHeight="1">
      <x:c r="A113" t="n">
        <x:v>3</x:v>
      </x:c>
      <x:c r="B113" t="str">
        <x:v>鱼类</x:v>
      </x:c>
      <x:c r="C113" t="str">
        <x:v>鲈鱼</x:v>
      </x:c>
      <x:c r="D113" t="n">
        <x:v>215</x:v>
      </x:c>
      <x:c r="E113" t="n">
        <x:v>230</x:v>
      </x:c>
      <x:c r="F113" s="10" t="str">
        <x:v>食材净重+约8%余量；带壳或带骨采购需另折算</x:v>
      </x:c>
      <x:c r="G113" s="10" t="str">
        <x:v>净鱼肉生重</x:v>
      </x:c>
    </x:row>
    <x:row r="114" ht="23" customHeight="1">
      <x:c r="A114" t="n">
        <x:v>4</x:v>
      </x:c>
      <x:c r="B114" t="str">
        <x:v>主食</x:v>
      </x:c>
      <x:c r="C114" t="str">
        <x:v>土豆</x:v>
      </x:c>
      <x:c r="D114" t="n">
        <x:v>125</x:v>
      </x:c>
      <x:c r="E114" t="n">
        <x:v>140</x:v>
      </x:c>
      <x:c r="F114" s="10" t="str">
        <x:v>鲜薯/玉米净重；考虑小幅损耗</x:v>
      </x:c>
      <x:c r="G114" s="10" t="str">
        <x:v>蒸熟净重</x:v>
      </x:c>
    </x:row>
    <x:row r="115" ht="23" customHeight="1">
      <x:c r="A115" t="n">
        <x:v>4</x:v>
      </x:c>
      <x:c r="B115" t="str">
        <x:v>主食</x:v>
      </x:c>
      <x:c r="C115" t="str">
        <x:v>山药</x:v>
      </x:c>
      <x:c r="D115" t="n">
        <x:v>165</x:v>
      </x:c>
      <x:c r="E115" t="n">
        <x:v>180</x:v>
      </x:c>
      <x:c r="F115" s="10" t="str">
        <x:v>鲜薯/玉米净重；考虑小幅损耗</x:v>
      </x:c>
      <x:c r="G115" s="10" t="str">
        <x:v>蒸熟净重</x:v>
      </x:c>
    </x:row>
    <x:row r="116" ht="23" customHeight="1">
      <x:c r="A116" t="n">
        <x:v>4</x:v>
      </x:c>
      <x:c r="B116" t="str">
        <x:v>主食</x:v>
      </x:c>
      <x:c r="C116" t="str">
        <x:v>杂粮饭</x:v>
      </x:c>
      <x:c r="D116" t="n">
        <x:v>300</x:v>
      </x:c>
      <x:c r="E116" t="n">
        <x:v>120</x:v>
      </x:c>
      <x:c r="F116" s="10" t="str">
        <x:v>未煮干粮约重（按熟饭/生米≈2.6估算）</x:v>
      </x:c>
      <x:c r="G116" s="10" t="str">
        <x:v>熟重</x:v>
      </x:c>
    </x:row>
    <x:row r="117" ht="23" customHeight="1">
      <x:c r="A117" t="n">
        <x:v>4</x:v>
      </x:c>
      <x:c r="B117" t="str">
        <x:v>主食</x:v>
      </x:c>
      <x:c r="C117" t="str">
        <x:v>燕麦饭</x:v>
      </x:c>
      <x:c r="D117" t="n">
        <x:v>340</x:v>
      </x:c>
      <x:c r="E117" t="n">
        <x:v>130</x:v>
      </x:c>
      <x:c r="F117" s="10" t="str">
        <x:v>未煮干粮约重（按熟饭/生米≈2.6估算）</x:v>
      </x:c>
      <x:c r="G117" s="10" t="str">
        <x:v>熟重</x:v>
      </x:c>
    </x:row>
    <x:row r="118" ht="23" customHeight="1">
      <x:c r="A118" t="n">
        <x:v>4</x:v>
      </x:c>
      <x:c r="B118" t="str">
        <x:v>主食</x:v>
      </x:c>
      <x:c r="C118" t="str">
        <x:v>玉米</x:v>
      </x:c>
      <x:c r="D118" t="n">
        <x:v>270</x:v>
      </x:c>
      <x:c r="E118" t="n">
        <x:v>300</x:v>
      </x:c>
      <x:c r="F118" s="10" t="str">
        <x:v>鲜薯/玉米净重；考虑小幅损耗</x:v>
      </x:c>
      <x:c r="G118" s="10" t="str">
        <x:v>蒸熟净重</x:v>
      </x:c>
    </x:row>
    <x:row r="119" ht="23" customHeight="1">
      <x:c r="A119" t="n">
        <x:v>4</x:v>
      </x:c>
      <x:c r="B119" t="str">
        <x:v>主食</x:v>
      </x:c>
      <x:c r="C119" t="str">
        <x:v>白米饭</x:v>
      </x:c>
      <x:c r="D119" t="n">
        <x:v>125</x:v>
      </x:c>
      <x:c r="E119" t="n">
        <x:v>50</x:v>
      </x:c>
      <x:c r="F119" s="10" t="str">
        <x:v>未煮干粮约重（按熟饭/生米≈2.6估算）</x:v>
      </x:c>
      <x:c r="G119" s="10" t="str">
        <x:v>熟重</x:v>
      </x:c>
    </x:row>
    <x:row r="120" ht="23" customHeight="1">
      <x:c r="A120" t="n">
        <x:v>4</x:v>
      </x:c>
      <x:c r="B120" t="str">
        <x:v>主食</x:v>
      </x:c>
      <x:c r="C120" t="str">
        <x:v>紫薯</x:v>
      </x:c>
      <x:c r="D120" t="n">
        <x:v>135</x:v>
      </x:c>
      <x:c r="E120" t="n">
        <x:v>150</x:v>
      </x:c>
      <x:c r="F120" s="10" t="str">
        <x:v>鲜薯/玉米净重；考虑小幅损耗</x:v>
      </x:c>
      <x:c r="G120" s="10" t="str">
        <x:v>蒸熟净重</x:v>
      </x:c>
    </x:row>
    <x:row r="121" ht="23" customHeight="1">
      <x:c r="A121" t="n">
        <x:v>4</x:v>
      </x:c>
      <x:c r="B121" t="str">
        <x:v>主食</x:v>
      </x:c>
      <x:c r="C121" t="str">
        <x:v>红薯</x:v>
      </x:c>
      <x:c r="D121" t="n">
        <x:v>95</x:v>
      </x:c>
      <x:c r="E121" t="n">
        <x:v>100</x:v>
      </x:c>
      <x:c r="F121" s="10" t="str">
        <x:v>鲜薯/玉米净重；考虑小幅损耗</x:v>
      </x:c>
      <x:c r="G121" s="10" t="str">
        <x:v>蒸熟净重</x:v>
      </x:c>
    </x:row>
    <x:row r="122" ht="23" customHeight="1">
      <x:c r="A122" t="n">
        <x:v>4</x:v>
      </x:c>
      <x:c r="B122" t="str">
        <x:v>主食</x:v>
      </x:c>
      <x:c r="C122" t="str">
        <x:v>藜麦饭</x:v>
      </x:c>
      <x:c r="D122" t="n">
        <x:v>125</x:v>
      </x:c>
      <x:c r="E122" t="n">
        <x:v>50</x:v>
      </x:c>
      <x:c r="F122" s="10" t="str">
        <x:v>未煮干粮约重（按熟饭/生米≈2.6估算）</x:v>
      </x:c>
      <x:c r="G122" s="10" t="str">
        <x:v>熟重</x:v>
      </x:c>
    </x:row>
    <x:row r="123" ht="23" customHeight="1">
      <x:c r="A123" t="n">
        <x:v>4</x:v>
      </x:c>
      <x:c r="B123" t="str">
        <x:v>油脂</x:v>
      </x:c>
      <x:c r="C123" t="str">
        <x:v>烹调油</x:v>
      </x:c>
      <x:c r="D123" t="n">
        <x:v>60</x:v>
      </x:c>
      <x:c r="E123" t="n">
        <x:v>60</x:v>
      </x:c>
      <x:c r="F123" s="10" t="str">
        <x:v>食用油；现有库存足够即可</x:v>
      </x:c>
      <x:c r="G123" s="10" t="str">
        <x:v>实际用油重</x:v>
      </x:c>
    </x:row>
    <x:row r="124" ht="23" customHeight="1">
      <x:c r="A124" t="n">
        <x:v>4</x:v>
      </x:c>
      <x:c r="B124" t="str">
        <x:v>海鲜</x:v>
      </x:c>
      <x:c r="C124" t="str">
        <x:v>花蛤肉</x:v>
      </x:c>
      <x:c r="D124" t="n">
        <x:v>190</x:v>
      </x:c>
      <x:c r="E124" t="n">
        <x:v>210</x:v>
      </x:c>
      <x:c r="F124" s="10" t="str">
        <x:v>食材净重+约8%余量；带壳或带骨采购需另折算</x:v>
      </x:c>
      <x:c r="G124" s="10" t="str">
        <x:v>净肉生重</x:v>
      </x:c>
    </x:row>
    <x:row r="125" ht="23" customHeight="1">
      <x:c r="A125" t="n">
        <x:v>4</x:v>
      </x:c>
      <x:c r="B125" t="str">
        <x:v>海鲜</x:v>
      </x:c>
      <x:c r="C125" t="str">
        <x:v>虾仁</x:v>
      </x:c>
      <x:c r="D125" t="n">
        <x:v>160</x:v>
      </x:c>
      <x:c r="E125" t="n">
        <x:v>170</x:v>
      </x:c>
      <x:c r="F125" s="10" t="str">
        <x:v>食材净重+约8%余量</x:v>
      </x:c>
      <x:c r="G125" s="10" t="str">
        <x:v>生重</x:v>
      </x:c>
    </x:row>
    <x:row r="126" ht="23" customHeight="1">
      <x:c r="A126" t="n">
        <x:v>4</x:v>
      </x:c>
      <x:c r="B126" t="str">
        <x:v>牛肉</x:v>
      </x:c>
      <x:c r="C126" t="str">
        <x:v>瘦牛肉</x:v>
      </x:c>
      <x:c r="D126" t="n">
        <x:v>145</x:v>
      </x:c>
      <x:c r="E126" t="n">
        <x:v>160</x:v>
      </x:c>
      <x:c r="F126" s="10" t="str">
        <x:v>食材净重+约8%余量</x:v>
      </x:c>
      <x:c r="G126" s="10" t="str">
        <x:v>生重</x:v>
      </x:c>
    </x:row>
    <x:row r="127" ht="23" customHeight="1">
      <x:c r="A127" t="n">
        <x:v>4</x:v>
      </x:c>
      <x:c r="B127" t="str">
        <x:v>猪肉</x:v>
      </x:c>
      <x:c r="C127" t="str">
        <x:v>猪瘦肉</x:v>
      </x:c>
      <x:c r="D127" t="n">
        <x:v>170</x:v>
      </x:c>
      <x:c r="E127" t="n">
        <x:v>180</x:v>
      </x:c>
      <x:c r="F127" s="10" t="str">
        <x:v>食材净重+约8%余量</x:v>
      </x:c>
      <x:c r="G127" s="10" t="str">
        <x:v>生重</x:v>
      </x:c>
    </x:row>
    <x:row r="128" ht="23" customHeight="1">
      <x:c r="A128" t="n">
        <x:v>4</x:v>
      </x:c>
      <x:c r="B128" t="str">
        <x:v>猪肉</x:v>
      </x:c>
      <x:c r="C128" t="str">
        <x:v>猪里脊</x:v>
      </x:c>
      <x:c r="D128" t="n">
        <x:v>175</x:v>
      </x:c>
      <x:c r="E128" t="n">
        <x:v>190</x:v>
      </x:c>
      <x:c r="F128" s="10" t="str">
        <x:v>食材净重+约8%余量</x:v>
      </x:c>
      <x:c r="G128" s="10" t="str">
        <x:v>生重</x:v>
      </x:c>
    </x:row>
    <x:row r="129" ht="23" customHeight="1">
      <x:c r="A129" t="n">
        <x:v>4</x:v>
      </x:c>
      <x:c r="B129" t="str">
        <x:v>禽肉</x:v>
      </x:c>
      <x:c r="C129" t="str">
        <x:v>去皮鸡腿肉</x:v>
      </x:c>
      <x:c r="D129" t="n">
        <x:v>185</x:v>
      </x:c>
      <x:c r="E129" t="n">
        <x:v>200</x:v>
      </x:c>
      <x:c r="F129" s="10" t="str">
        <x:v>食材净重+约8%余量</x:v>
      </x:c>
      <x:c r="G129" s="10" t="str">
        <x:v>生重</x:v>
      </x:c>
    </x:row>
    <x:row r="130" ht="23" customHeight="1">
      <x:c r="A130" t="n">
        <x:v>4</x:v>
      </x:c>
      <x:c r="B130" t="str">
        <x:v>禽肉</x:v>
      </x:c>
      <x:c r="C130" t="str">
        <x:v>鸡胸肉</x:v>
      </x:c>
      <x:c r="D130" t="n">
        <x:v>155</x:v>
      </x:c>
      <x:c r="E130" t="n">
        <x:v>170</x:v>
      </x:c>
      <x:c r="F130" s="10" t="str">
        <x:v>食材净重+约8%余量</x:v>
      </x:c>
      <x:c r="G130" s="10" t="str">
        <x:v>生重</x:v>
      </x:c>
    </x:row>
    <x:row r="131" ht="23" customHeight="1">
      <x:c r="A131" t="n">
        <x:v>4</x:v>
      </x:c>
      <x:c r="B131" t="str">
        <x:v>禽肉</x:v>
      </x:c>
      <x:c r="C131" t="str">
        <x:v>鸡里脊肉</x:v>
      </x:c>
      <x:c r="D131" t="n">
        <x:v>155</x:v>
      </x:c>
      <x:c r="E131" t="n">
        <x:v>170</x:v>
      </x:c>
      <x:c r="F131" s="10" t="str">
        <x:v>食材净重+约8%余量</x:v>
      </x:c>
      <x:c r="G131" s="10" t="str">
        <x:v>生重</x:v>
      </x:c>
    </x:row>
    <x:row r="132" ht="23" customHeight="1">
      <x:c r="A132" t="n">
        <x:v>4</x:v>
      </x:c>
      <x:c r="B132" t="str">
        <x:v>菌菇</x:v>
      </x:c>
      <x:c r="C132" t="str">
        <x:v>杏鲍菇</x:v>
      </x:c>
      <x:c r="D132" t="n">
        <x:v>140</x:v>
      </x:c>
      <x:c r="E132" t="n">
        <x:v>150</x:v>
      </x:c>
      <x:c r="F132" s="10" t="str">
        <x:v>食材净重+约8%余量</x:v>
      </x:c>
      <x:c r="G132" s="10" t="str">
        <x:v>生重</x:v>
      </x:c>
    </x:row>
    <x:row r="133" ht="23" customHeight="1">
      <x:c r="A133" t="n">
        <x:v>4</x:v>
      </x:c>
      <x:c r="B133" t="str">
        <x:v>菌菇</x:v>
      </x:c>
      <x:c r="C133" t="str">
        <x:v>金针菇</x:v>
      </x:c>
      <x:c r="D133" t="n">
        <x:v>155</x:v>
      </x:c>
      <x:c r="E133" t="n">
        <x:v>170</x:v>
      </x:c>
      <x:c r="F133" s="10" t="str">
        <x:v>食材净重+约8%余量</x:v>
      </x:c>
      <x:c r="G133" s="10" t="str">
        <x:v>生重</x:v>
      </x:c>
    </x:row>
    <x:row r="134" ht="23" customHeight="1">
      <x:c r="A134" t="n">
        <x:v>4</x:v>
      </x:c>
      <x:c r="B134" t="str">
        <x:v>菌菇</x:v>
      </x:c>
      <x:c r="C134" t="str">
        <x:v>香菇</x:v>
      </x:c>
      <x:c r="D134" t="n">
        <x:v>250</x:v>
      </x:c>
      <x:c r="E134" t="n">
        <x:v>270</x:v>
      </x:c>
      <x:c r="F134" s="10" t="str">
        <x:v>食材净重+约8%余量</x:v>
      </x:c>
      <x:c r="G134" s="10" t="str">
        <x:v>生重</x:v>
      </x:c>
    </x:row>
    <x:row r="135" ht="23" customHeight="1">
      <x:c r="A135" t="n">
        <x:v>4</x:v>
      </x:c>
      <x:c r="B135" t="str">
        <x:v>蔬菜</x:v>
      </x:c>
      <x:c r="C135" t="str">
        <x:v>丝瓜</x:v>
      </x:c>
      <x:c r="D135" t="n">
        <x:v>160</x:v>
      </x:c>
      <x:c r="E135" t="n">
        <x:v>170</x:v>
      </x:c>
      <x:c r="F135" s="10" t="str">
        <x:v>食材净重+约8%余量</x:v>
      </x:c>
      <x:c r="G135" s="10" t="str">
        <x:v>生重</x:v>
      </x:c>
    </x:row>
    <x:row r="136" ht="23" customHeight="1">
      <x:c r="A136" t="n">
        <x:v>4</x:v>
      </x:c>
      <x:c r="B136" t="str">
        <x:v>蔬菜</x:v>
      </x:c>
      <x:c r="C136" t="str">
        <x:v>冬瓜</x:v>
      </x:c>
      <x:c r="D136" t="n">
        <x:v>160</x:v>
      </x:c>
      <x:c r="E136" t="n">
        <x:v>170</x:v>
      </x:c>
      <x:c r="F136" s="10" t="str">
        <x:v>食材净重+约8%余量</x:v>
      </x:c>
      <x:c r="G136" s="10" t="str">
        <x:v>生重</x:v>
      </x:c>
    </x:row>
    <x:row r="137" ht="23" customHeight="1">
      <x:c r="A137" t="n">
        <x:v>4</x:v>
      </x:c>
      <x:c r="B137" t="str">
        <x:v>蔬菜</x:v>
      </x:c>
      <x:c r="C137" t="str">
        <x:v>四季豆</x:v>
      </x:c>
      <x:c r="D137" t="n">
        <x:v>190</x:v>
      </x:c>
      <x:c r="E137" t="n">
        <x:v>210</x:v>
      </x:c>
      <x:c r="F137" s="10" t="str">
        <x:v>食材净重+约8%余量</x:v>
      </x:c>
      <x:c r="G137" s="10" t="str">
        <x:v>生重</x:v>
      </x:c>
    </x:row>
    <x:row r="138" ht="23" customHeight="1">
      <x:c r="A138" t="n">
        <x:v>4</x:v>
      </x:c>
      <x:c r="B138" t="str">
        <x:v>蔬菜</x:v>
      </x:c>
      <x:c r="C138" t="str">
        <x:v>大白菜</x:v>
      </x:c>
      <x:c r="D138" t="n">
        <x:v>160</x:v>
      </x:c>
      <x:c r="E138" t="n">
        <x:v>170</x:v>
      </x:c>
      <x:c r="F138" s="10" t="str">
        <x:v>食材净重+约8%余量</x:v>
      </x:c>
      <x:c r="G138" s="10" t="str">
        <x:v>生重</x:v>
      </x:c>
    </x:row>
    <x:row r="139" ht="23" customHeight="1">
      <x:c r="A139" t="n">
        <x:v>4</x:v>
      </x:c>
      <x:c r="B139" t="str">
        <x:v>蔬菜</x:v>
      </x:c>
      <x:c r="C139" t="str">
        <x:v>小白菜</x:v>
      </x:c>
      <x:c r="D139" t="n">
        <x:v>505</x:v>
      </x:c>
      <x:c r="E139" t="n">
        <x:v>550</x:v>
      </x:c>
      <x:c r="F139" s="10" t="str">
        <x:v>食材净重+约8%余量</x:v>
      </x:c>
      <x:c r="G139" s="10" t="str">
        <x:v>生重</x:v>
      </x:c>
    </x:row>
    <x:row r="140" ht="23" customHeight="1">
      <x:c r="A140" t="n">
        <x:v>4</x:v>
      </x:c>
      <x:c r="B140" t="str">
        <x:v>蔬菜</x:v>
      </x:c>
      <x:c r="C140" t="str">
        <x:v>彩椒</x:v>
      </x:c>
      <x:c r="D140" t="n">
        <x:v>110</x:v>
      </x:c>
      <x:c r="E140" t="n">
        <x:v>120</x:v>
      </x:c>
      <x:c r="F140" s="10" t="str">
        <x:v>食材净重+约8%余量</x:v>
      </x:c>
      <x:c r="G140" s="10" t="str">
        <x:v>生重</x:v>
      </x:c>
    </x:row>
    <x:row r="141" ht="23" customHeight="1">
      <x:c r="A141" t="n">
        <x:v>4</x:v>
      </x:c>
      <x:c r="B141" t="str">
        <x:v>蔬菜</x:v>
      </x:c>
      <x:c r="C141" t="str">
        <x:v>海带</x:v>
      </x:c>
      <x:c r="D141" t="n">
        <x:v>220</x:v>
      </x:c>
      <x:c r="E141" t="n">
        <x:v>240</x:v>
      </x:c>
      <x:c r="F141" s="10" t="str">
        <x:v>食材净重+约8%余量</x:v>
      </x:c>
      <x:c r="G141" s="10" t="str">
        <x:v>泡发沥水重</x:v>
      </x:c>
    </x:row>
    <x:row r="142" ht="23" customHeight="1">
      <x:c r="A142" t="n">
        <x:v>4</x:v>
      </x:c>
      <x:c r="B142" t="str">
        <x:v>蔬菜</x:v>
      </x:c>
      <x:c r="C142" t="str">
        <x:v>番茄</x:v>
      </x:c>
      <x:c r="D142" t="n">
        <x:v>285</x:v>
      </x:c>
      <x:c r="E142" t="n">
        <x:v>310</x:v>
      </x:c>
      <x:c r="F142" s="10" t="str">
        <x:v>食材净重+约8%余量</x:v>
      </x:c>
      <x:c r="G142" s="10" t="str">
        <x:v>生重</x:v>
      </x:c>
    </x:row>
    <x:row r="143" ht="23" customHeight="1">
      <x:c r="A143" t="n">
        <x:v>4</x:v>
      </x:c>
      <x:c r="B143" t="str">
        <x:v>蔬菜</x:v>
      </x:c>
      <x:c r="C143" t="str">
        <x:v>白萝卜</x:v>
      </x:c>
      <x:c r="D143" t="n">
        <x:v>110</x:v>
      </x:c>
      <x:c r="E143" t="n">
        <x:v>120</x:v>
      </x:c>
      <x:c r="F143" s="10" t="str">
        <x:v>食材净重+约8%余量</x:v>
      </x:c>
      <x:c r="G143" s="10" t="str">
        <x:v>生重</x:v>
      </x:c>
    </x:row>
    <x:row r="144" ht="23" customHeight="1">
      <x:c r="A144" t="n">
        <x:v>4</x:v>
      </x:c>
      <x:c r="B144" t="str">
        <x:v>蔬菜</x:v>
      </x:c>
      <x:c r="C144" t="str">
        <x:v>竹笋</x:v>
      </x:c>
      <x:c r="D144" t="n">
        <x:v>315</x:v>
      </x:c>
      <x:c r="E144" t="n">
        <x:v>340</x:v>
      </x:c>
      <x:c r="F144" s="10" t="str">
        <x:v>食材净重+约8%余量</x:v>
      </x:c>
      <x:c r="G144" s="10" t="str">
        <x:v>生重</x:v>
      </x:c>
    </x:row>
    <x:row r="145" ht="23" customHeight="1">
      <x:c r="A145" t="n">
        <x:v>4</x:v>
      </x:c>
      <x:c r="B145" t="str">
        <x:v>蔬菜</x:v>
      </x:c>
      <x:c r="C145" t="str">
        <x:v>紫甘蓝</x:v>
      </x:c>
      <x:c r="D145" t="n">
        <x:v>110</x:v>
      </x:c>
      <x:c r="E145" t="n">
        <x:v>120</x:v>
      </x:c>
      <x:c r="F145" s="10" t="str">
        <x:v>食材净重+约8%余量</x:v>
      </x:c>
      <x:c r="G145" s="10" t="str">
        <x:v>生重</x:v>
      </x:c>
    </x:row>
    <x:row r="146" ht="23" customHeight="1">
      <x:c r="A146" t="n">
        <x:v>4</x:v>
      </x:c>
      <x:c r="B146" t="str">
        <x:v>蔬菜</x:v>
      </x:c>
      <x:c r="C146" t="str">
        <x:v>胡萝卜</x:v>
      </x:c>
      <x:c r="D146" t="n">
        <x:v>125</x:v>
      </x:c>
      <x:c r="E146" t="n">
        <x:v>140</x:v>
      </x:c>
      <x:c r="F146" s="10" t="str">
        <x:v>食材净重+约8%余量</x:v>
      </x:c>
      <x:c r="G146" s="10" t="str">
        <x:v>生重</x:v>
      </x:c>
    </x:row>
    <x:row r="147" ht="23" customHeight="1">
      <x:c r="A147" t="n">
        <x:v>4</x:v>
      </x:c>
      <x:c r="B147" t="str">
        <x:v>蔬菜</x:v>
      </x:c>
      <x:c r="C147" t="str">
        <x:v>花菜</x:v>
      </x:c>
      <x:c r="D147" t="n">
        <x:v>315</x:v>
      </x:c>
      <x:c r="E147" t="n">
        <x:v>340</x:v>
      </x:c>
      <x:c r="F147" s="10" t="str">
        <x:v>食材净重+约8%余量</x:v>
      </x:c>
      <x:c r="G147" s="10" t="str">
        <x:v>生重</x:v>
      </x:c>
    </x:row>
    <x:row r="148" ht="23" customHeight="1">
      <x:c r="A148" t="n">
        <x:v>4</x:v>
      </x:c>
      <x:c r="B148" t="str">
        <x:v>蔬菜</x:v>
      </x:c>
      <x:c r="C148" t="str">
        <x:v>苦瓜</x:v>
      </x:c>
      <x:c r="D148" t="n">
        <x:v>175</x:v>
      </x:c>
      <x:c r="E148" t="n">
        <x:v>190</x:v>
      </x:c>
      <x:c r="F148" s="10" t="str">
        <x:v>食材净重+约8%余量</x:v>
      </x:c>
      <x:c r="G148" s="10" t="str">
        <x:v>生重</x:v>
      </x:c>
    </x:row>
    <x:row r="149" ht="23" customHeight="1">
      <x:c r="A149" t="n">
        <x:v>4</x:v>
      </x:c>
      <x:c r="B149" t="str">
        <x:v>蔬菜</x:v>
      </x:c>
      <x:c r="C149" t="str">
        <x:v>荷兰豆</x:v>
      </x:c>
      <x:c r="D149" t="n">
        <x:v>330</x:v>
      </x:c>
      <x:c r="E149" t="n">
        <x:v>360</x:v>
      </x:c>
      <x:c r="F149" s="10" t="str">
        <x:v>食材净重+约8%余量</x:v>
      </x:c>
      <x:c r="G149" s="10" t="str">
        <x:v>生重</x:v>
      </x:c>
    </x:row>
    <x:row r="150" ht="23" customHeight="1">
      <x:c r="A150" t="n">
        <x:v>4</x:v>
      </x:c>
      <x:c r="B150" t="str">
        <x:v>蔬菜</x:v>
      </x:c>
      <x:c r="C150" t="str">
        <x:v>菜心</x:v>
      </x:c>
      <x:c r="D150" t="n">
        <x:v>110</x:v>
      </x:c>
      <x:c r="E150" t="n">
        <x:v>120</x:v>
      </x:c>
      <x:c r="F150" s="10" t="str">
        <x:v>食材净重+约8%余量</x:v>
      </x:c>
      <x:c r="G150" s="10" t="str">
        <x:v>生重</x:v>
      </x:c>
    </x:row>
    <x:row r="151" ht="23" customHeight="1">
      <x:c r="A151" t="n">
        <x:v>4</x:v>
      </x:c>
      <x:c r="B151" t="str">
        <x:v>蔬菜</x:v>
      </x:c>
      <x:c r="C151" t="str">
        <x:v>菠菜</x:v>
      </x:c>
      <x:c r="D151" t="n">
        <x:v>160</x:v>
      </x:c>
      <x:c r="E151" t="n">
        <x:v>170</x:v>
      </x:c>
      <x:c r="F151" s="10" t="str">
        <x:v>食材净重+约8%余量</x:v>
      </x:c>
      <x:c r="G151" s="10" t="str">
        <x:v>生重</x:v>
      </x:c>
    </x:row>
    <x:row r="152" ht="23" customHeight="1">
      <x:c r="A152" t="n">
        <x:v>4</x:v>
      </x:c>
      <x:c r="B152" t="str">
        <x:v>豆蛋</x:v>
      </x:c>
      <x:c r="C152" t="str">
        <x:v>北豆腐</x:v>
      </x:c>
      <x:c r="D152" t="n">
        <x:v>560</x:v>
      </x:c>
      <x:c r="E152" t="n">
        <x:v>600</x:v>
      </x:c>
      <x:c r="F152" s="10" t="str">
        <x:v>食材净重+约8%余量</x:v>
      </x:c>
      <x:c r="G152" s="10" t="str">
        <x:v>净重</x:v>
      </x:c>
    </x:row>
    <x:row r="153" ht="23" customHeight="1">
      <x:c r="A153" t="n">
        <x:v>4</x:v>
      </x:c>
      <x:c r="B153" t="str">
        <x:v>豆蛋</x:v>
      </x:c>
      <x:c r="C153" t="str">
        <x:v>嫩豆腐</x:v>
      </x:c>
      <x:c r="D153" t="n">
        <x:v>110</x:v>
      </x:c>
      <x:c r="E153" t="n">
        <x:v>120</x:v>
      </x:c>
      <x:c r="F153" s="10" t="str">
        <x:v>食材净重+约8%余量</x:v>
      </x:c>
      <x:c r="G153" s="10" t="str">
        <x:v>净重</x:v>
      </x:c>
    </x:row>
    <x:row r="154" ht="23" customHeight="1">
      <x:c r="A154" t="n">
        <x:v>4</x:v>
      </x:c>
      <x:c r="B154" t="str">
        <x:v>豆蛋</x:v>
      </x:c>
      <x:c r="C154" t="str">
        <x:v>熟毛豆仁</x:v>
      </x:c>
      <x:c r="D154" t="n">
        <x:v>100</x:v>
      </x:c>
      <x:c r="E154" t="n">
        <x:v>110</x:v>
      </x:c>
      <x:c r="F154" s="10" t="str">
        <x:v>食材净重+约8%余量</x:v>
      </x:c>
      <x:c r="G154" s="10" t="str">
        <x:v>熟重</x:v>
      </x:c>
    </x:row>
    <x:row r="155" ht="23" customHeight="1">
      <x:c r="A155" t="n">
        <x:v>4</x:v>
      </x:c>
      <x:c r="B155" t="str">
        <x:v>豆蛋</x:v>
      </x:c>
      <x:c r="C155" t="str">
        <x:v>鸡蛋</x:v>
      </x:c>
      <x:c r="D155" t="n">
        <x:v>50</x:v>
      </x:c>
      <x:c r="E155" t="n">
        <x:v>50</x:v>
      </x:c>
      <x:c r="F155" s="10" t="str">
        <x:v>食材净重+约8%余量</x:v>
      </x:c>
      <x:c r="G155" s="10" t="str">
        <x:v>去壳可食重</x:v>
      </x:c>
    </x:row>
    <x:row r="156" ht="23" customHeight="1">
      <x:c r="A156" t="n">
        <x:v>4</x:v>
      </x:c>
      <x:c r="B156" t="str">
        <x:v>鱼类</x:v>
      </x:c>
      <x:c r="C156" t="str">
        <x:v>三文鱼</x:v>
      </x:c>
      <x:c r="D156" t="n">
        <x:v>135</x:v>
      </x:c>
      <x:c r="E156" t="n">
        <x:v>150</x:v>
      </x:c>
      <x:c r="F156" s="10" t="str">
        <x:v>食材净重+约8%余量</x:v>
      </x:c>
      <x:c r="G156" s="10" t="str">
        <x:v>净鱼肉生重</x:v>
      </x:c>
    </x:row>
    <x:row r="157" ht="23" customHeight="1">
      <x:c r="A157" t="n">
        <x:v>4</x:v>
      </x:c>
      <x:c r="B157" t="str">
        <x:v>鱼类</x:v>
      </x:c>
      <x:c r="C157" t="str">
        <x:v>巴沙鱼</x:v>
      </x:c>
      <x:c r="D157" t="n">
        <x:v>430</x:v>
      </x:c>
      <x:c r="E157" t="n">
        <x:v>460</x:v>
      </x:c>
      <x:c r="F157" s="10" t="str">
        <x:v>食材净重+约8%余量</x:v>
      </x:c>
      <x:c r="G157" s="10" t="str">
        <x:v>净鱼肉生重</x:v>
      </x:c>
    </x:row>
    <x:row r="158" ht="23" customHeight="1">
      <x:c r="A158" t="n">
        <x:v>4</x:v>
      </x:c>
      <x:c r="B158" t="str">
        <x:v>鱼类</x:v>
      </x:c>
      <x:c r="C158" t="str">
        <x:v>鲈鱼</x:v>
      </x:c>
      <x:c r="D158" t="n">
        <x:v>175</x:v>
      </x:c>
      <x:c r="E158" t="n">
        <x:v>190</x:v>
      </x:c>
      <x:c r="F158" s="10" t="str">
        <x:v>食材净重+约8%余量；带壳或带骨采购需另折算</x:v>
      </x:c>
      <x:c r="G158" s="10" t="str">
        <x:v>净鱼肉生重</x:v>
      </x:c>
    </x:row>
    <x:row r="159" ht="23" customHeight="1">
      <x:c r="A159" t="n">
        <x:v>5</x:v>
      </x:c>
      <x:c r="B159" t="str">
        <x:v>主食</x:v>
      </x:c>
      <x:c r="C159" t="str">
        <x:v>全麦面</x:v>
      </x:c>
      <x:c r="D159" t="n">
        <x:v>245</x:v>
      </x:c>
      <x:c r="E159" t="n">
        <x:v>120</x:v>
      </x:c>
      <x:c r="F159" s="10" t="str">
        <x:v>干粮约重（按熟面/干面≈2.1估算）</x:v>
      </x:c>
      <x:c r="G159" s="10" t="str">
        <x:v>煮熟沥水重</x:v>
      </x:c>
    </x:row>
    <x:row r="160" ht="23" customHeight="1">
      <x:c r="A160" t="n">
        <x:v>5</x:v>
      </x:c>
      <x:c r="B160" t="str">
        <x:v>主食</x:v>
      </x:c>
      <x:c r="C160" t="str">
        <x:v>土豆</x:v>
      </x:c>
      <x:c r="D160" t="n">
        <x:v>125</x:v>
      </x:c>
      <x:c r="E160" t="n">
        <x:v>140</x:v>
      </x:c>
      <x:c r="F160" s="10" t="str">
        <x:v>鲜薯/玉米净重；考虑小幅损耗</x:v>
      </x:c>
      <x:c r="G160" s="10" t="str">
        <x:v>蒸熟净重</x:v>
      </x:c>
    </x:row>
    <x:row r="161" ht="23" customHeight="1">
      <x:c r="A161" t="n">
        <x:v>5</x:v>
      </x:c>
      <x:c r="B161" t="str">
        <x:v>主食</x:v>
      </x:c>
      <x:c r="C161" t="str">
        <x:v>杂粮饭</x:v>
      </x:c>
      <x:c r="D161" t="n">
        <x:v>95</x:v>
      </x:c>
      <x:c r="E161" t="n">
        <x:v>40</x:v>
      </x:c>
      <x:c r="F161" s="10" t="str">
        <x:v>未煮干粮约重（按熟饭/生米≈2.6估算）</x:v>
      </x:c>
      <x:c r="G161" s="10" t="str">
        <x:v>熟重</x:v>
      </x:c>
    </x:row>
    <x:row r="162" ht="23" customHeight="1">
      <x:c r="A162" t="n">
        <x:v>5</x:v>
      </x:c>
      <x:c r="B162" t="str">
        <x:v>主食</x:v>
      </x:c>
      <x:c r="C162" t="str">
        <x:v>燕麦饭</x:v>
      </x:c>
      <x:c r="D162" t="n">
        <x:v>110</x:v>
      </x:c>
      <x:c r="E162" t="n">
        <x:v>40</x:v>
      </x:c>
      <x:c r="F162" s="10" t="str">
        <x:v>未煮干粮约重（按熟饭/生米≈2.6估算）</x:v>
      </x:c>
      <x:c r="G162" s="10" t="str">
        <x:v>熟重</x:v>
      </x:c>
    </x:row>
    <x:row r="163" ht="23" customHeight="1">
      <x:c r="A163" t="n">
        <x:v>5</x:v>
      </x:c>
      <x:c r="B163" t="str">
        <x:v>主食</x:v>
      </x:c>
      <x:c r="C163" t="str">
        <x:v>米粉</x:v>
      </x:c>
      <x:c r="D163" t="n">
        <x:v>150</x:v>
      </x:c>
      <x:c r="E163" t="n">
        <x:v>70</x:v>
      </x:c>
      <x:c r="F163" s="10" t="str">
        <x:v>干粮约重（按熟面/干面≈2.1估算）</x:v>
      </x:c>
      <x:c r="G163" s="10" t="str">
        <x:v>煮熟沥水重</x:v>
      </x:c>
    </x:row>
    <x:row r="164" ht="23" customHeight="1">
      <x:c r="A164" t="n">
        <x:v>5</x:v>
      </x:c>
      <x:c r="B164" t="str">
        <x:v>主食</x:v>
      </x:c>
      <x:c r="C164" t="str">
        <x:v>糙米饭</x:v>
      </x:c>
      <x:c r="D164" t="n">
        <x:v>245</x:v>
      </x:c>
      <x:c r="E164" t="n">
        <x:v>90</x:v>
      </x:c>
      <x:c r="F164" s="10" t="str">
        <x:v>未煮干粮约重（按熟饭/生米≈2.6估算）</x:v>
      </x:c>
      <x:c r="G164" s="10" t="str">
        <x:v>熟重</x:v>
      </x:c>
    </x:row>
    <x:row r="165" ht="23" customHeight="1">
      <x:c r="A165" t="n">
        <x:v>5</x:v>
      </x:c>
      <x:c r="B165" t="str">
        <x:v>主食</x:v>
      </x:c>
      <x:c r="C165" t="str">
        <x:v>紫薯</x:v>
      </x:c>
      <x:c r="D165" t="n">
        <x:v>135</x:v>
      </x:c>
      <x:c r="E165" t="n">
        <x:v>150</x:v>
      </x:c>
      <x:c r="F165" s="10" t="str">
        <x:v>鲜薯/玉米净重；考虑小幅损耗</x:v>
      </x:c>
      <x:c r="G165" s="10" t="str">
        <x:v>蒸熟净重</x:v>
      </x:c>
    </x:row>
    <x:row r="166" ht="23" customHeight="1">
      <x:c r="A166" t="n">
        <x:v>5</x:v>
      </x:c>
      <x:c r="B166" t="str">
        <x:v>主食</x:v>
      </x:c>
      <x:c r="C166" t="str">
        <x:v>红薯</x:v>
      </x:c>
      <x:c r="D166" t="n">
        <x:v>375</x:v>
      </x:c>
      <x:c r="E166" t="n">
        <x:v>410</x:v>
      </x:c>
      <x:c r="F166" s="10" t="str">
        <x:v>鲜薯/玉米净重；考虑小幅损耗</x:v>
      </x:c>
      <x:c r="G166" s="10" t="str">
        <x:v>蒸熟净重</x:v>
      </x:c>
    </x:row>
    <x:row r="167" ht="23" customHeight="1">
      <x:c r="A167" t="n">
        <x:v>5</x:v>
      </x:c>
      <x:c r="B167" t="str">
        <x:v>主食</x:v>
      </x:c>
      <x:c r="C167" t="str">
        <x:v>藜麦饭</x:v>
      </x:c>
      <x:c r="D167" t="n">
        <x:v>260</x:v>
      </x:c>
      <x:c r="E167" t="n">
        <x:v>100</x:v>
      </x:c>
      <x:c r="F167" s="10" t="str">
        <x:v>未煮干粮约重（按熟饭/生米≈2.6估算）</x:v>
      </x:c>
      <x:c r="G167" s="10" t="str">
        <x:v>熟重</x:v>
      </x:c>
    </x:row>
    <x:row r="168" ht="23" customHeight="1">
      <x:c r="A168" t="n">
        <x:v>5</x:v>
      </x:c>
      <x:c r="B168" t="str">
        <x:v>加工肉</x:v>
      </x:c>
      <x:c r="C168" t="str">
        <x:v>低盐火腿</x:v>
      </x:c>
      <x:c r="D168" t="n">
        <x:v>45</x:v>
      </x:c>
      <x:c r="E168" t="n">
        <x:v>50</x:v>
      </x:c>
      <x:c r="F168" s="10" t="str">
        <x:v>食材净重+约8%余量</x:v>
      </x:c>
      <x:c r="G168" s="10" t="str">
        <x:v>以品牌标签为准</x:v>
      </x:c>
    </x:row>
    <x:row r="169" ht="23" customHeight="1">
      <x:c r="A169" t="n">
        <x:v>5</x:v>
      </x:c>
      <x:c r="B169" t="str">
        <x:v>油脂</x:v>
      </x:c>
      <x:c r="C169" t="str">
        <x:v>烹调油</x:v>
      </x:c>
      <x:c r="D169" t="n">
        <x:v>65</x:v>
      </x:c>
      <x:c r="E169" t="n">
        <x:v>65</x:v>
      </x:c>
      <x:c r="F169" s="10" t="str">
        <x:v>食用油；现有库存足够即可</x:v>
      </x:c>
      <x:c r="G169" s="10" t="str">
        <x:v>实际用油重</x:v>
      </x:c>
    </x:row>
    <x:row r="170" ht="23" customHeight="1">
      <x:c r="A170" t="n">
        <x:v>5</x:v>
      </x:c>
      <x:c r="B170" t="str">
        <x:v>海鲜</x:v>
      </x:c>
      <x:c r="C170" t="str">
        <x:v>虾仁</x:v>
      </x:c>
      <x:c r="D170" t="n">
        <x:v>365</x:v>
      </x:c>
      <x:c r="E170" t="n">
        <x:v>390</x:v>
      </x:c>
      <x:c r="F170" s="10" t="str">
        <x:v>食材净重+约8%余量</x:v>
      </x:c>
      <x:c r="G170" s="10" t="str">
        <x:v>生重</x:v>
      </x:c>
    </x:row>
    <x:row r="171" ht="23" customHeight="1">
      <x:c r="A171" t="n">
        <x:v>5</x:v>
      </x:c>
      <x:c r="B171" t="str">
        <x:v>牛肉</x:v>
      </x:c>
      <x:c r="C171" t="str">
        <x:v>牛里脊</x:v>
      </x:c>
      <x:c r="D171" t="n">
        <x:v>155</x:v>
      </x:c>
      <x:c r="E171" t="n">
        <x:v>170</x:v>
      </x:c>
      <x:c r="F171" s="10" t="str">
        <x:v>食材净重+约8%余量</x:v>
      </x:c>
      <x:c r="G171" s="10" t="str">
        <x:v>生重</x:v>
      </x:c>
    </x:row>
    <x:row r="172" ht="23" customHeight="1">
      <x:c r="A172" t="n">
        <x:v>5</x:v>
      </x:c>
      <x:c r="B172" t="str">
        <x:v>牛肉</x:v>
      </x:c>
      <x:c r="C172" t="str">
        <x:v>瘦牛肉</x:v>
      </x:c>
      <x:c r="D172" t="n">
        <x:v>350</x:v>
      </x:c>
      <x:c r="E172" t="n">
        <x:v>380</x:v>
      </x:c>
      <x:c r="F172" s="10" t="str">
        <x:v>食材净重+约8%余量</x:v>
      </x:c>
      <x:c r="G172" s="10" t="str">
        <x:v>生重</x:v>
      </x:c>
    </x:row>
    <x:row r="173" ht="23" customHeight="1">
      <x:c r="A173" t="n">
        <x:v>5</x:v>
      </x:c>
      <x:c r="B173" t="str">
        <x:v>猪肉</x:v>
      </x:c>
      <x:c r="C173" t="str">
        <x:v>猪里脊</x:v>
      </x:c>
      <x:c r="D173" t="n">
        <x:v>155</x:v>
      </x:c>
      <x:c r="E173" t="n">
        <x:v>170</x:v>
      </x:c>
      <x:c r="F173" s="10" t="str">
        <x:v>食材净重+约8%余量</x:v>
      </x:c>
      <x:c r="G173" s="10" t="str">
        <x:v>生重</x:v>
      </x:c>
    </x:row>
    <x:row r="174" ht="23" customHeight="1">
      <x:c r="A174" t="n">
        <x:v>5</x:v>
      </x:c>
      <x:c r="B174" t="str">
        <x:v>禽肉</x:v>
      </x:c>
      <x:c r="C174" t="str">
        <x:v>去皮鸡腿肉</x:v>
      </x:c>
      <x:c r="D174" t="n">
        <x:v>180</x:v>
      </x:c>
      <x:c r="E174" t="n">
        <x:v>190</x:v>
      </x:c>
      <x:c r="F174" s="10" t="str">
        <x:v>食材净重+约8%余量</x:v>
      </x:c>
      <x:c r="G174" s="10" t="str">
        <x:v>生重</x:v>
      </x:c>
    </x:row>
    <x:row r="175" ht="23" customHeight="1">
      <x:c r="A175" t="n">
        <x:v>5</x:v>
      </x:c>
      <x:c r="B175" t="str">
        <x:v>禽肉</x:v>
      </x:c>
      <x:c r="C175" t="str">
        <x:v>鸡胸肉</x:v>
      </x:c>
      <x:c r="D175" t="n">
        <x:v>145</x:v>
      </x:c>
      <x:c r="E175" t="n">
        <x:v>160</x:v>
      </x:c>
      <x:c r="F175" s="10" t="str">
        <x:v>食材净重+约8%余量</x:v>
      </x:c>
      <x:c r="G175" s="10" t="str">
        <x:v>生重</x:v>
      </x:c>
    </x:row>
    <x:row r="176" ht="23" customHeight="1">
      <x:c r="A176" t="n">
        <x:v>5</x:v>
      </x:c>
      <x:c r="B176" t="str">
        <x:v>禽肉</x:v>
      </x:c>
      <x:c r="C176" t="str">
        <x:v>鸡里脊肉</x:v>
      </x:c>
      <x:c r="D176" t="n">
        <x:v>145</x:v>
      </x:c>
      <x:c r="E176" t="n">
        <x:v>160</x:v>
      </x:c>
      <x:c r="F176" s="10" t="str">
        <x:v>食材净重+约8%余量</x:v>
      </x:c>
      <x:c r="G176" s="10" t="str">
        <x:v>生重</x:v>
      </x:c>
    </x:row>
    <x:row r="177" ht="23" customHeight="1">
      <x:c r="A177" t="n">
        <x:v>5</x:v>
      </x:c>
      <x:c r="B177" t="str">
        <x:v>菌菇</x:v>
      </x:c>
      <x:c r="C177" t="str">
        <x:v>口蘑</x:v>
      </x:c>
      <x:c r="D177" t="n">
        <x:v>220</x:v>
      </x:c>
      <x:c r="E177" t="n">
        <x:v>240</x:v>
      </x:c>
      <x:c r="F177" s="10" t="str">
        <x:v>食材净重+约8%余量</x:v>
      </x:c>
      <x:c r="G177" s="10" t="str">
        <x:v>生重</x:v>
      </x:c>
    </x:row>
    <x:row r="178" ht="23" customHeight="1">
      <x:c r="A178" t="n">
        <x:v>5</x:v>
      </x:c>
      <x:c r="B178" t="str">
        <x:v>菌菇</x:v>
      </x:c>
      <x:c r="C178" t="str">
        <x:v>金针菇</x:v>
      </x:c>
      <x:c r="D178" t="n">
        <x:v>155</x:v>
      </x:c>
      <x:c r="E178" t="n">
        <x:v>170</x:v>
      </x:c>
      <x:c r="F178" s="10" t="str">
        <x:v>食材净重+约8%余量</x:v>
      </x:c>
      <x:c r="G178" s="10" t="str">
        <x:v>生重</x:v>
      </x:c>
    </x:row>
    <x:row r="179" ht="23" customHeight="1">
      <x:c r="A179" t="n">
        <x:v>5</x:v>
      </x:c>
      <x:c r="B179" t="str">
        <x:v>菌菇</x:v>
      </x:c>
      <x:c r="C179" t="str">
        <x:v>香菇</x:v>
      </x:c>
      <x:c r="D179" t="n">
        <x:v>220</x:v>
      </x:c>
      <x:c r="E179" t="n">
        <x:v>240</x:v>
      </x:c>
      <x:c r="F179" s="10" t="str">
        <x:v>食材净重+约8%余量</x:v>
      </x:c>
      <x:c r="G179" s="10" t="str">
        <x:v>生重</x:v>
      </x:c>
    </x:row>
    <x:row r="180" ht="23" customHeight="1">
      <x:c r="A180" t="n">
        <x:v>5</x:v>
      </x:c>
      <x:c r="B180" t="str">
        <x:v>蔬菜</x:v>
      </x:c>
      <x:c r="C180" t="str">
        <x:v>丝瓜</x:v>
      </x:c>
      <x:c r="D180" t="n">
        <x:v>175</x:v>
      </x:c>
      <x:c r="E180" t="n">
        <x:v>190</x:v>
      </x:c>
      <x:c r="F180" s="10" t="str">
        <x:v>食材净重+约8%余量</x:v>
      </x:c>
      <x:c r="G180" s="10" t="str">
        <x:v>生重</x:v>
      </x:c>
    </x:row>
    <x:row r="181" ht="23" customHeight="1">
      <x:c r="A181" t="n">
        <x:v>5</x:v>
      </x:c>
      <x:c r="B181" t="str">
        <x:v>蔬菜</x:v>
      </x:c>
      <x:c r="C181" t="str">
        <x:v>四季豆</x:v>
      </x:c>
      <x:c r="D181" t="n">
        <x:v>175</x:v>
      </x:c>
      <x:c r="E181" t="n">
        <x:v>190</x:v>
      </x:c>
      <x:c r="F181" s="10" t="str">
        <x:v>食材净重+约8%余量</x:v>
      </x:c>
      <x:c r="G181" s="10" t="str">
        <x:v>生重</x:v>
      </x:c>
    </x:row>
    <x:row r="182" ht="23" customHeight="1">
      <x:c r="A182" t="n">
        <x:v>5</x:v>
      </x:c>
      <x:c r="B182" t="str">
        <x:v>蔬菜</x:v>
      </x:c>
      <x:c r="C182" t="str">
        <x:v>大白菜</x:v>
      </x:c>
      <x:c r="D182" t="n">
        <x:v>190</x:v>
      </x:c>
      <x:c r="E182" t="n">
        <x:v>210</x:v>
      </x:c>
      <x:c r="F182" s="10" t="str">
        <x:v>食材净重+约8%余量</x:v>
      </x:c>
      <x:c r="G182" s="10" t="str">
        <x:v>生重</x:v>
      </x:c>
    </x:row>
    <x:row r="183" ht="23" customHeight="1">
      <x:c r="A183" t="n">
        <x:v>5</x:v>
      </x:c>
      <x:c r="B183" t="str">
        <x:v>蔬菜</x:v>
      </x:c>
      <x:c r="C183" t="str">
        <x:v>小白菜</x:v>
      </x:c>
      <x:c r="D183" t="n">
        <x:v>125</x:v>
      </x:c>
      <x:c r="E183" t="n">
        <x:v>140</x:v>
      </x:c>
      <x:c r="F183" s="10" t="str">
        <x:v>食材净重+约8%余量</x:v>
      </x:c>
      <x:c r="G183" s="10" t="str">
        <x:v>生重</x:v>
      </x:c>
    </x:row>
    <x:row r="184" ht="23" customHeight="1">
      <x:c r="A184" t="n">
        <x:v>5</x:v>
      </x:c>
      <x:c r="B184" t="str">
        <x:v>蔬菜</x:v>
      </x:c>
      <x:c r="C184" t="str">
        <x:v>彩椒</x:v>
      </x:c>
      <x:c r="D184" t="n">
        <x:v>440</x:v>
      </x:c>
      <x:c r="E184" t="n">
        <x:v>480</x:v>
      </x:c>
      <x:c r="F184" s="10" t="str">
        <x:v>食材净重+约8%余量</x:v>
      </x:c>
      <x:c r="G184" s="10" t="str">
        <x:v>生重</x:v>
      </x:c>
    </x:row>
    <x:row r="185" ht="23" customHeight="1">
      <x:c r="A185" t="n">
        <x:v>5</x:v>
      </x:c>
      <x:c r="B185" t="str">
        <x:v>蔬菜</x:v>
      </x:c>
      <x:c r="C185" t="str">
        <x:v>洋葱</x:v>
      </x:c>
      <x:c r="D185" t="n">
        <x:v>265</x:v>
      </x:c>
      <x:c r="E185" t="n">
        <x:v>290</x:v>
      </x:c>
      <x:c r="F185" s="10" t="str">
        <x:v>食材净重+约8%余量</x:v>
      </x:c>
      <x:c r="G185" s="10" t="str">
        <x:v>生重</x:v>
      </x:c>
    </x:row>
    <x:row r="186" ht="23" customHeight="1">
      <x:c r="A186" t="n">
        <x:v>5</x:v>
      </x:c>
      <x:c r="B186" t="str">
        <x:v>蔬菜</x:v>
      </x:c>
      <x:c r="C186" t="str">
        <x:v>海带</x:v>
      </x:c>
      <x:c r="D186" t="n">
        <x:v>125</x:v>
      </x:c>
      <x:c r="E186" t="n">
        <x:v>140</x:v>
      </x:c>
      <x:c r="F186" s="10" t="str">
        <x:v>食材净重+约8%余量</x:v>
      </x:c>
      <x:c r="G186" s="10" t="str">
        <x:v>泡发沥水重</x:v>
      </x:c>
    </x:row>
    <x:row r="187" ht="23" customHeight="1">
      <x:c r="A187" t="n">
        <x:v>5</x:v>
      </x:c>
      <x:c r="B187" t="str">
        <x:v>蔬菜</x:v>
      </x:c>
      <x:c r="C187" t="str">
        <x:v>番茄</x:v>
      </x:c>
      <x:c r="D187" t="n">
        <x:v>190</x:v>
      </x:c>
      <x:c r="E187" t="n">
        <x:v>210</x:v>
      </x:c>
      <x:c r="F187" s="10" t="str">
        <x:v>食材净重+约8%余量</x:v>
      </x:c>
      <x:c r="G187" s="10" t="str">
        <x:v>生重</x:v>
      </x:c>
    </x:row>
    <x:row r="188" ht="23" customHeight="1">
      <x:c r="A188" t="n">
        <x:v>5</x:v>
      </x:c>
      <x:c r="B188" t="str">
        <x:v>蔬菜</x:v>
      </x:c>
      <x:c r="C188" t="str">
        <x:v>白萝卜</x:v>
      </x:c>
      <x:c r="D188" t="n">
        <x:v>455</x:v>
      </x:c>
      <x:c r="E188" t="n">
        <x:v>490</x:v>
      </x:c>
      <x:c r="F188" s="10" t="str">
        <x:v>食材净重+约8%余量</x:v>
      </x:c>
      <x:c r="G188" s="10" t="str">
        <x:v>生重</x:v>
      </x:c>
    </x:row>
    <x:row r="189" ht="23" customHeight="1">
      <x:c r="A189" t="n">
        <x:v>5</x:v>
      </x:c>
      <x:c r="B189" t="str">
        <x:v>蔬菜</x:v>
      </x:c>
      <x:c r="C189" t="str">
        <x:v>竹笋</x:v>
      </x:c>
      <x:c r="D189" t="n">
        <x:v>190</x:v>
      </x:c>
      <x:c r="E189" t="n">
        <x:v>210</x:v>
      </x:c>
      <x:c r="F189" s="10" t="str">
        <x:v>食材净重+约8%余量</x:v>
      </x:c>
      <x:c r="G189" s="10" t="str">
        <x:v>生重</x:v>
      </x:c>
    </x:row>
    <x:row r="190" ht="23" customHeight="1">
      <x:c r="A190" t="n">
        <x:v>5</x:v>
      </x:c>
      <x:c r="B190" t="str">
        <x:v>蔬菜</x:v>
      </x:c>
      <x:c r="C190" t="str">
        <x:v>紫甘蓝</x:v>
      </x:c>
      <x:c r="D190" t="n">
        <x:v>125</x:v>
      </x:c>
      <x:c r="E190" t="n">
        <x:v>140</x:v>
      </x:c>
      <x:c r="F190" s="10" t="str">
        <x:v>食材净重+约8%余量</x:v>
      </x:c>
      <x:c r="G190" s="10" t="str">
        <x:v>生重</x:v>
      </x:c>
    </x:row>
    <x:row r="191" ht="23" customHeight="1">
      <x:c r="A191" t="n">
        <x:v>5</x:v>
      </x:c>
      <x:c r="B191" t="str">
        <x:v>蔬菜</x:v>
      </x:c>
      <x:c r="C191" t="str">
        <x:v>芦笋</x:v>
      </x:c>
      <x:c r="D191" t="n">
        <x:v>190</x:v>
      </x:c>
      <x:c r="E191" t="n">
        <x:v>210</x:v>
      </x:c>
      <x:c r="F191" s="10" t="str">
        <x:v>食材净重+约8%余量</x:v>
      </x:c>
      <x:c r="G191" s="10" t="str">
        <x:v>生重</x:v>
      </x:c>
    </x:row>
    <x:row r="192" ht="23" customHeight="1">
      <x:c r="A192" t="n">
        <x:v>5</x:v>
      </x:c>
      <x:c r="B192" t="str">
        <x:v>蔬菜</x:v>
      </x:c>
      <x:c r="C192" t="str">
        <x:v>茼蒿</x:v>
      </x:c>
      <x:c r="D192" t="n">
        <x:v>320</x:v>
      </x:c>
      <x:c r="E192" t="n">
        <x:v>350</x:v>
      </x:c>
      <x:c r="F192" s="10" t="str">
        <x:v>食材净重+约8%余量</x:v>
      </x:c>
      <x:c r="G192" s="10" t="str">
        <x:v>生重</x:v>
      </x:c>
    </x:row>
    <x:row r="193" ht="23" customHeight="1">
      <x:c r="A193" t="n">
        <x:v>5</x:v>
      </x:c>
      <x:c r="B193" t="str">
        <x:v>蔬菜</x:v>
      </x:c>
      <x:c r="C193" t="str">
        <x:v>菜心</x:v>
      </x:c>
      <x:c r="D193" t="n">
        <x:v>315</x:v>
      </x:c>
      <x:c r="E193" t="n">
        <x:v>340</x:v>
      </x:c>
      <x:c r="F193" s="10" t="str">
        <x:v>食材净重+约8%余量</x:v>
      </x:c>
      <x:c r="G193" s="10" t="str">
        <x:v>生重</x:v>
      </x:c>
    </x:row>
    <x:row r="194" ht="23" customHeight="1">
      <x:c r="A194" t="n">
        <x:v>5</x:v>
      </x:c>
      <x:c r="B194" t="str">
        <x:v>蔬菜</x:v>
      </x:c>
      <x:c r="C194" t="str">
        <x:v>西兰花</x:v>
      </x:c>
      <x:c r="D194" t="n">
        <x:v>365</x:v>
      </x:c>
      <x:c r="E194" t="n">
        <x:v>390</x:v>
      </x:c>
      <x:c r="F194" s="10" t="str">
        <x:v>食材净重+约8%余量</x:v>
      </x:c>
      <x:c r="G194" s="10" t="str">
        <x:v>生重</x:v>
      </x:c>
    </x:row>
    <x:row r="195" ht="23" customHeight="1">
      <x:c r="A195" t="n">
        <x:v>5</x:v>
      </x:c>
      <x:c r="B195" t="str">
        <x:v>豆蛋</x:v>
      </x:c>
      <x:c r="C195" t="str">
        <x:v>嫩豆腐</x:v>
      </x:c>
      <x:c r="D195" t="n">
        <x:v>420</x:v>
      </x:c>
      <x:c r="E195" t="n">
        <x:v>450</x:v>
      </x:c>
      <x:c r="F195" s="10" t="str">
        <x:v>食材净重+约8%余量</x:v>
      </x:c>
      <x:c r="G195" s="10" t="str">
        <x:v>净重</x:v>
      </x:c>
    </x:row>
    <x:row r="196" ht="23" customHeight="1">
      <x:c r="A196" t="n">
        <x:v>5</x:v>
      </x:c>
      <x:c r="B196" t="str">
        <x:v>豆蛋</x:v>
      </x:c>
      <x:c r="C196" t="str">
        <x:v>熟毛豆仁</x:v>
      </x:c>
      <x:c r="D196" t="n">
        <x:v>100</x:v>
      </x:c>
      <x:c r="E196" t="n">
        <x:v>110</x:v>
      </x:c>
      <x:c r="F196" s="10" t="str">
        <x:v>食材净重+约8%余量</x:v>
      </x:c>
      <x:c r="G196" s="10" t="str">
        <x:v>熟重</x:v>
      </x:c>
    </x:row>
    <x:row r="197" ht="23" customHeight="1">
      <x:c r="A197" t="n">
        <x:v>5</x:v>
      </x:c>
      <x:c r="B197" t="str">
        <x:v>豆蛋</x:v>
      </x:c>
      <x:c r="C197" t="str">
        <x:v>鸡蛋</x:v>
      </x:c>
      <x:c r="D197" t="n">
        <x:v>85</x:v>
      </x:c>
      <x:c r="E197" t="n">
        <x:v>90</x:v>
      </x:c>
      <x:c r="F197" s="10" t="str">
        <x:v>食材净重+约8%余量</x:v>
      </x:c>
      <x:c r="G197" s="10" t="str">
        <x:v>去壳可食重</x:v>
      </x:c>
    </x:row>
    <x:row r="198" ht="23" customHeight="1">
      <x:c r="A198" t="n">
        <x:v>5</x:v>
      </x:c>
      <x:c r="B198" t="str">
        <x:v>鱼类</x:v>
      </x:c>
      <x:c r="C198" t="str">
        <x:v>三文鱼</x:v>
      </x:c>
      <x:c r="D198" t="n">
        <x:v>145</x:v>
      </x:c>
      <x:c r="E198" t="n">
        <x:v>160</x:v>
      </x:c>
      <x:c r="F198" s="10" t="str">
        <x:v>食材净重+约8%余量</x:v>
      </x:c>
      <x:c r="G198" s="10" t="str">
        <x:v>净鱼肉生重</x:v>
      </x:c>
    </x:row>
    <x:row r="199" ht="23" customHeight="1">
      <x:c r="A199" t="n">
        <x:v>5</x:v>
      </x:c>
      <x:c r="B199" t="str">
        <x:v>鱼类</x:v>
      </x:c>
      <x:c r="C199" t="str">
        <x:v>巴沙鱼</x:v>
      </x:c>
      <x:c r="D199" t="n">
        <x:v>175</x:v>
      </x:c>
      <x:c r="E199" t="n">
        <x:v>190</x:v>
      </x:c>
      <x:c r="F199" s="10" t="str">
        <x:v>食材净重+约8%余量</x:v>
      </x:c>
      <x:c r="G199" s="10" t="str">
        <x:v>净鱼肉生重</x:v>
      </x:c>
    </x:row>
    <x:row r="200" ht="23" customHeight="1">
      <x:c r="A200" t="n">
        <x:v>5</x:v>
      </x:c>
      <x:c r="B200" t="str">
        <x:v>鱼类</x:v>
      </x:c>
      <x:c r="C200" t="str">
        <x:v>鲈鱼</x:v>
      </x:c>
      <x:c r="D200" t="n">
        <x:v>215</x:v>
      </x:c>
      <x:c r="E200" t="n">
        <x:v>230</x:v>
      </x:c>
      <x:c r="F200" s="10" t="str">
        <x:v>食材净重+约8%余量；带壳或带骨采购需另折算</x:v>
      </x:c>
      <x:c r="G200" s="10" t="str">
        <x:v>净鱼肉生重</x:v>
      </x:c>
    </x:row>
    <x:row r="201" ht="23" customHeight="1">
      <x:c r="A201" t="n">
        <x:v>6</x:v>
      </x:c>
      <x:c r="B201" t="str">
        <x:v>主食</x:v>
      </x:c>
      <x:c r="C201" t="str">
        <x:v>乌冬面</x:v>
      </x:c>
      <x:c r="D201" t="n">
        <x:v>135</x:v>
      </x:c>
      <x:c r="E201" t="n">
        <x:v>60</x:v>
      </x:c>
      <x:c r="F201" s="10" t="str">
        <x:v>干粮约重（按熟面/干面≈2.1估算）</x:v>
      </x:c>
      <x:c r="G201" s="10" t="str">
        <x:v>煮熟沥水重</x:v>
      </x:c>
    </x:row>
    <x:row r="202" ht="23" customHeight="1">
      <x:c r="A202" t="n">
        <x:v>6</x:v>
      </x:c>
      <x:c r="B202" t="str">
        <x:v>主食</x:v>
      </x:c>
      <x:c r="C202" t="str">
        <x:v>全麦面</x:v>
      </x:c>
      <x:c r="D202" t="n">
        <x:v>110</x:v>
      </x:c>
      <x:c r="E202" t="n">
        <x:v>50</x:v>
      </x:c>
      <x:c r="F202" s="10" t="str">
        <x:v>干粮约重（按熟面/干面≈2.1估算）</x:v>
      </x:c>
      <x:c r="G202" s="10" t="str">
        <x:v>煮熟沥水重</x:v>
      </x:c>
    </x:row>
    <x:row r="203" ht="23" customHeight="1">
      <x:c r="A203" t="n">
        <x:v>6</x:v>
      </x:c>
      <x:c r="B203" t="str">
        <x:v>主食</x:v>
      </x:c>
      <x:c r="C203" t="str">
        <x:v>土豆</x:v>
      </x:c>
      <x:c r="D203" t="n">
        <x:v>150</x:v>
      </x:c>
      <x:c r="E203" t="n">
        <x:v>160</x:v>
      </x:c>
      <x:c r="F203" s="10" t="str">
        <x:v>鲜薯/玉米净重；考虑小幅损耗</x:v>
      </x:c>
      <x:c r="G203" s="10" t="str">
        <x:v>蒸熟净重</x:v>
      </x:c>
    </x:row>
    <x:row r="204" ht="23" customHeight="1">
      <x:c r="A204" t="n">
        <x:v>6</x:v>
      </x:c>
      <x:c r="B204" t="str">
        <x:v>主食</x:v>
      </x:c>
      <x:c r="C204" t="str">
        <x:v>山药</x:v>
      </x:c>
      <x:c r="D204" t="n">
        <x:v>275</x:v>
      </x:c>
      <x:c r="E204" t="n">
        <x:v>300</x:v>
      </x:c>
      <x:c r="F204" s="10" t="str">
        <x:v>鲜薯/玉米净重；考虑小幅损耗</x:v>
      </x:c>
      <x:c r="G204" s="10" t="str">
        <x:v>蒸熟净重</x:v>
      </x:c>
    </x:row>
    <x:row r="205" ht="23" customHeight="1">
      <x:c r="A205" t="n">
        <x:v>6</x:v>
      </x:c>
      <x:c r="B205" t="str">
        <x:v>主食</x:v>
      </x:c>
      <x:c r="C205" t="str">
        <x:v>杂粮饭</x:v>
      </x:c>
      <x:c r="D205" t="n">
        <x:v>135</x:v>
      </x:c>
      <x:c r="E205" t="n">
        <x:v>50</x:v>
      </x:c>
      <x:c r="F205" s="10" t="str">
        <x:v>未煮干粮约重（按熟饭/生米≈2.6估算）</x:v>
      </x:c>
      <x:c r="G205" s="10" t="str">
        <x:v>熟重</x:v>
      </x:c>
    </x:row>
    <x:row r="206" ht="23" customHeight="1">
      <x:c r="A206" t="n">
        <x:v>6</x:v>
      </x:c>
      <x:c r="B206" t="str">
        <x:v>主食</x:v>
      </x:c>
      <x:c r="C206" t="str">
        <x:v>白米饭</x:v>
      </x:c>
      <x:c r="D206" t="n">
        <x:v>135</x:v>
      </x:c>
      <x:c r="E206" t="n">
        <x:v>50</x:v>
      </x:c>
      <x:c r="F206" s="10" t="str">
        <x:v>未煮干粮约重（按熟饭/生米≈2.6估算）</x:v>
      </x:c>
      <x:c r="G206" s="10" t="str">
        <x:v>熟重</x:v>
      </x:c>
    </x:row>
    <x:row r="207" ht="23" customHeight="1">
      <x:c r="A207" t="n">
        <x:v>6</x:v>
      </x:c>
      <x:c r="B207" t="str">
        <x:v>主食</x:v>
      </x:c>
      <x:c r="C207" t="str">
        <x:v>糙米饭</x:v>
      </x:c>
      <x:c r="D207" t="n">
        <x:v>220</x:v>
      </x:c>
      <x:c r="E207" t="n">
        <x:v>80</x:v>
      </x:c>
      <x:c r="F207" s="10" t="str">
        <x:v>未煮干粮约重（按熟饭/生米≈2.6估算）</x:v>
      </x:c>
      <x:c r="G207" s="10" t="str">
        <x:v>熟重</x:v>
      </x:c>
    </x:row>
    <x:row r="208" ht="23" customHeight="1">
      <x:c r="A208" t="n">
        <x:v>6</x:v>
      </x:c>
      <x:c r="B208" t="str">
        <x:v>主食</x:v>
      </x:c>
      <x:c r="C208" t="str">
        <x:v>紫薯</x:v>
      </x:c>
      <x:c r="D208" t="n">
        <x:v>150</x:v>
      </x:c>
      <x:c r="E208" t="n">
        <x:v>160</x:v>
      </x:c>
      <x:c r="F208" s="10" t="str">
        <x:v>鲜薯/玉米净重；考虑小幅损耗</x:v>
      </x:c>
      <x:c r="G208" s="10" t="str">
        <x:v>蒸熟净重</x:v>
      </x:c>
    </x:row>
    <x:row r="209" ht="23" customHeight="1">
      <x:c r="A209" t="n">
        <x:v>6</x:v>
      </x:c>
      <x:c r="B209" t="str">
        <x:v>主食</x:v>
      </x:c>
      <x:c r="C209" t="str">
        <x:v>红薯</x:v>
      </x:c>
      <x:c r="D209" t="n">
        <x:v>135</x:v>
      </x:c>
      <x:c r="E209" t="n">
        <x:v>150</x:v>
      </x:c>
      <x:c r="F209" s="10" t="str">
        <x:v>鲜薯/玉米净重；考虑小幅损耗</x:v>
      </x:c>
      <x:c r="G209" s="10" t="str">
        <x:v>蒸熟净重</x:v>
      </x:c>
    </x:row>
    <x:row r="210" ht="23" customHeight="1">
      <x:c r="A210" t="n">
        <x:v>6</x:v>
      </x:c>
      <x:c r="B210" t="str">
        <x:v>主食</x:v>
      </x:c>
      <x:c r="C210" t="str">
        <x:v>荞麦饭</x:v>
      </x:c>
      <x:c r="D210" t="n">
        <x:v>80</x:v>
      </x:c>
      <x:c r="E210" t="n">
        <x:v>30</x:v>
      </x:c>
      <x:c r="F210" s="10" t="str">
        <x:v>未煮干粮约重（按熟饭/生米≈2.6估算）</x:v>
      </x:c>
      <x:c r="G210" s="10" t="str">
        <x:v>熟重</x:v>
      </x:c>
    </x:row>
    <x:row r="211" ht="23" customHeight="1">
      <x:c r="A211" t="n">
        <x:v>6</x:v>
      </x:c>
      <x:c r="B211" t="str">
        <x:v>主食</x:v>
      </x:c>
      <x:c r="C211" t="str">
        <x:v>藜麦饭</x:v>
      </x:c>
      <x:c r="D211" t="n">
        <x:v>135</x:v>
      </x:c>
      <x:c r="E211" t="n">
        <x:v>50</x:v>
      </x:c>
      <x:c r="F211" s="10" t="str">
        <x:v>未煮干粮约重（按熟饭/生米≈2.6估算）</x:v>
      </x:c>
      <x:c r="G211" s="10" t="str">
        <x:v>熟重</x:v>
      </x:c>
    </x:row>
    <x:row r="212" ht="23" customHeight="1">
      <x:c r="A212" t="n">
        <x:v>6</x:v>
      </x:c>
      <x:c r="B212" t="str">
        <x:v>低主食</x:v>
      </x:c>
      <x:c r="C212" t="str">
        <x:v>魔芋丝</x:v>
      </x:c>
      <x:c r="D212" t="n">
        <x:v>130</x:v>
      </x:c>
      <x:c r="E212" t="n">
        <x:v>140</x:v>
      </x:c>
      <x:c r="F212" s="10" t="str">
        <x:v>袋装沥水净重</x:v>
      </x:c>
      <x:c r="G212" s="10" t="str">
        <x:v>沥水重</x:v>
      </x:c>
    </x:row>
    <x:row r="213" ht="23" customHeight="1">
      <x:c r="A213" t="n">
        <x:v>6</x:v>
      </x:c>
      <x:c r="B213" t="str">
        <x:v>油脂</x:v>
      </x:c>
      <x:c r="C213" t="str">
        <x:v>烹调油</x:v>
      </x:c>
      <x:c r="D213" t="n">
        <x:v>56</x:v>
      </x:c>
      <x:c r="E213" t="n">
        <x:v>56</x:v>
      </x:c>
      <x:c r="F213" s="10" t="str">
        <x:v>食用油；现有库存足够即可</x:v>
      </x:c>
      <x:c r="G213" s="10" t="str">
        <x:v>实际用油重</x:v>
      </x:c>
    </x:row>
    <x:row r="214" ht="23" customHeight="1">
      <x:c r="A214" t="n">
        <x:v>6</x:v>
      </x:c>
      <x:c r="B214" t="str">
        <x:v>海鲜</x:v>
      </x:c>
      <x:c r="C214" t="str">
        <x:v>虾仁</x:v>
      </x:c>
      <x:c r="D214" t="n">
        <x:v>320</x:v>
      </x:c>
      <x:c r="E214" t="n">
        <x:v>350</x:v>
      </x:c>
      <x:c r="F214" s="10" t="str">
        <x:v>食材净重+约8%余量</x:v>
      </x:c>
      <x:c r="G214" s="10" t="str">
        <x:v>生重</x:v>
      </x:c>
    </x:row>
    <x:row r="215" ht="23" customHeight="1">
      <x:c r="A215" t="n">
        <x:v>6</x:v>
      </x:c>
      <x:c r="B215" t="str">
        <x:v>海鲜</x:v>
      </x:c>
      <x:c r="C215" t="str">
        <x:v>鱿鱼</x:v>
      </x:c>
      <x:c r="D215" t="n">
        <x:v>190</x:v>
      </x:c>
      <x:c r="E215" t="n">
        <x:v>210</x:v>
      </x:c>
      <x:c r="F215" s="10" t="str">
        <x:v>食材净重+约8%余量</x:v>
      </x:c>
      <x:c r="G215" s="10" t="str">
        <x:v>生重</x:v>
      </x:c>
    </x:row>
    <x:row r="216" ht="23" customHeight="1">
      <x:c r="A216" t="n">
        <x:v>6</x:v>
      </x:c>
      <x:c r="B216" t="str">
        <x:v>牛肉</x:v>
      </x:c>
      <x:c r="C216" t="str">
        <x:v>牛腱子</x:v>
      </x:c>
      <x:c r="D216" t="n">
        <x:v>175</x:v>
      </x:c>
      <x:c r="E216" t="n">
        <x:v>190</x:v>
      </x:c>
      <x:c r="F216" s="10" t="str">
        <x:v>食材净重+约8%余量</x:v>
      </x:c>
      <x:c r="G216" s="10" t="str">
        <x:v>生重</x:v>
      </x:c>
    </x:row>
    <x:row r="217" ht="23" customHeight="1">
      <x:c r="A217" t="n">
        <x:v>6</x:v>
      </x:c>
      <x:c r="B217" t="str">
        <x:v>牛肉</x:v>
      </x:c>
      <x:c r="C217" t="str">
        <x:v>牛里脊</x:v>
      </x:c>
      <x:c r="D217" t="n">
        <x:v>170</x:v>
      </x:c>
      <x:c r="E217" t="n">
        <x:v>180</x:v>
      </x:c>
      <x:c r="F217" s="10" t="str">
        <x:v>食材净重+约8%余量</x:v>
      </x:c>
      <x:c r="G217" s="10" t="str">
        <x:v>生重</x:v>
      </x:c>
    </x:row>
    <x:row r="218" ht="23" customHeight="1">
      <x:c r="A218" t="n">
        <x:v>6</x:v>
      </x:c>
      <x:c r="B218" t="str">
        <x:v>禽肉</x:v>
      </x:c>
      <x:c r="C218" t="str">
        <x:v>去皮鸡腿肉</x:v>
      </x:c>
      <x:c r="D218" t="n">
        <x:v>160</x:v>
      </x:c>
      <x:c r="E218" t="n">
        <x:v>170</x:v>
      </x:c>
      <x:c r="F218" s="10" t="str">
        <x:v>食材净重+约8%余量</x:v>
      </x:c>
      <x:c r="G218" s="10" t="str">
        <x:v>生重</x:v>
      </x:c>
    </x:row>
    <x:row r="219" ht="23" customHeight="1">
      <x:c r="A219" t="n">
        <x:v>6</x:v>
      </x:c>
      <x:c r="B219" t="str">
        <x:v>禽肉</x:v>
      </x:c>
      <x:c r="C219" t="str">
        <x:v>去皮鸭胸肉</x:v>
      </x:c>
      <x:c r="D219" t="n">
        <x:v>530</x:v>
      </x:c>
      <x:c r="E219" t="n">
        <x:v>570</x:v>
      </x:c>
      <x:c r="F219" s="10" t="str">
        <x:v>食材净重+约8%余量</x:v>
      </x:c>
      <x:c r="G219" s="10" t="str">
        <x:v>生重</x:v>
      </x:c>
    </x:row>
    <x:row r="220" ht="23" customHeight="1">
      <x:c r="A220" t="n">
        <x:v>6</x:v>
      </x:c>
      <x:c r="B220" t="str">
        <x:v>禽肉</x:v>
      </x:c>
      <x:c r="C220" t="str">
        <x:v>鸡胸肉</x:v>
      </x:c>
      <x:c r="D220" t="n">
        <x:v>170</x:v>
      </x:c>
      <x:c r="E220" t="n">
        <x:v>180</x:v>
      </x:c>
      <x:c r="F220" s="10" t="str">
        <x:v>食材净重+约8%余量</x:v>
      </x:c>
      <x:c r="G220" s="10" t="str">
        <x:v>生重</x:v>
      </x:c>
    </x:row>
    <x:row r="221" ht="23" customHeight="1">
      <x:c r="A221" t="n">
        <x:v>6</x:v>
      </x:c>
      <x:c r="B221" t="str">
        <x:v>禽肉</x:v>
      </x:c>
      <x:c r="C221" t="str">
        <x:v>鸡里脊肉</x:v>
      </x:c>
      <x:c r="D221" t="n">
        <x:v>155</x:v>
      </x:c>
      <x:c r="E221" t="n">
        <x:v>170</x:v>
      </x:c>
      <x:c r="F221" s="10" t="str">
        <x:v>食材净重+约8%余量</x:v>
      </x:c>
      <x:c r="G221" s="10" t="str">
        <x:v>生重</x:v>
      </x:c>
    </x:row>
    <x:row r="222" ht="23" customHeight="1">
      <x:c r="A222" t="n">
        <x:v>6</x:v>
      </x:c>
      <x:c r="B222" t="str">
        <x:v>菌菇</x:v>
      </x:c>
      <x:c r="C222" t="str">
        <x:v>口蘑</x:v>
      </x:c>
      <x:c r="D222" t="n">
        <x:v>140</x:v>
      </x:c>
      <x:c r="E222" t="n">
        <x:v>150</x:v>
      </x:c>
      <x:c r="F222" s="10" t="str">
        <x:v>食材净重+约8%余量</x:v>
      </x:c>
      <x:c r="G222" s="10" t="str">
        <x:v>生重</x:v>
      </x:c>
    </x:row>
    <x:row r="223" ht="23" customHeight="1">
      <x:c r="A223" t="n">
        <x:v>6</x:v>
      </x:c>
      <x:c r="B223" t="str">
        <x:v>菌菇</x:v>
      </x:c>
      <x:c r="C223" t="str">
        <x:v>泡发木耳</x:v>
      </x:c>
      <x:c r="D223" t="n">
        <x:v>265</x:v>
      </x:c>
      <x:c r="E223" t="n">
        <x:v>290</x:v>
      </x:c>
      <x:c r="F223" s="10" t="str">
        <x:v>食材净重+约8%余量</x:v>
      </x:c>
      <x:c r="G223" s="10" t="str">
        <x:v>泡发沥水重</x:v>
      </x:c>
    </x:row>
    <x:row r="224" ht="23" customHeight="1">
      <x:c r="A224" t="n">
        <x:v>6</x:v>
      </x:c>
      <x:c r="B224" t="str">
        <x:v>菌菇</x:v>
      </x:c>
      <x:c r="C224" t="str">
        <x:v>金针菇</x:v>
      </x:c>
      <x:c r="D224" t="n">
        <x:v>140</x:v>
      </x:c>
      <x:c r="E224" t="n">
        <x:v>150</x:v>
      </x:c>
      <x:c r="F224" s="10" t="str">
        <x:v>食材净重+约8%余量</x:v>
      </x:c>
      <x:c r="G224" s="10" t="str">
        <x:v>生重</x:v>
      </x:c>
    </x:row>
    <x:row r="225" ht="23" customHeight="1">
      <x:c r="A225" t="n">
        <x:v>6</x:v>
      </x:c>
      <x:c r="B225" t="str">
        <x:v>蔬菜</x:v>
      </x:c>
      <x:c r="C225" t="str">
        <x:v>丝瓜</x:v>
      </x:c>
      <x:c r="D225" t="n">
        <x:v>175</x:v>
      </x:c>
      <x:c r="E225" t="n">
        <x:v>190</x:v>
      </x:c>
      <x:c r="F225" s="10" t="str">
        <x:v>食材净重+约8%余量</x:v>
      </x:c>
      <x:c r="G225" s="10" t="str">
        <x:v>生重</x:v>
      </x:c>
    </x:row>
    <x:row r="226" ht="23" customHeight="1">
      <x:c r="A226" t="n">
        <x:v>6</x:v>
      </x:c>
      <x:c r="B226" t="str">
        <x:v>蔬菜</x:v>
      </x:c>
      <x:c r="C226" t="str">
        <x:v>冬瓜</x:v>
      </x:c>
      <x:c r="D226" t="n">
        <x:v>705</x:v>
      </x:c>
      <x:c r="E226" t="n">
        <x:v>760</x:v>
      </x:c>
      <x:c r="F226" s="10" t="str">
        <x:v>食材净重+约8%余量</x:v>
      </x:c>
      <x:c r="G226" s="10" t="str">
        <x:v>生重</x:v>
      </x:c>
    </x:row>
    <x:row r="227" ht="23" customHeight="1">
      <x:c r="A227" t="n">
        <x:v>6</x:v>
      </x:c>
      <x:c r="B227" t="str">
        <x:v>蔬菜</x:v>
      </x:c>
      <x:c r="C227" t="str">
        <x:v>娃娃菜</x:v>
      </x:c>
      <x:c r="D227" t="n">
        <x:v>175</x:v>
      </x:c>
      <x:c r="E227" t="n">
        <x:v>190</x:v>
      </x:c>
      <x:c r="F227" s="10" t="str">
        <x:v>食材净重+约8%余量</x:v>
      </x:c>
      <x:c r="G227" s="10" t="str">
        <x:v>生重</x:v>
      </x:c>
    </x:row>
    <x:row r="228" ht="23" customHeight="1">
      <x:c r="A228" t="n">
        <x:v>6</x:v>
      </x:c>
      <x:c r="B228" t="str">
        <x:v>蔬菜</x:v>
      </x:c>
      <x:c r="C228" t="str">
        <x:v>彩椒</x:v>
      </x:c>
      <x:c r="D228" t="n">
        <x:v>350</x:v>
      </x:c>
      <x:c r="E228" t="n">
        <x:v>380</x:v>
      </x:c>
      <x:c r="F228" s="10" t="str">
        <x:v>食材净重+约8%余量</x:v>
      </x:c>
      <x:c r="G228" s="10" t="str">
        <x:v>生重</x:v>
      </x:c>
    </x:row>
    <x:row r="229" ht="23" customHeight="1">
      <x:c r="A229" t="n">
        <x:v>6</x:v>
      </x:c>
      <x:c r="B229" t="str">
        <x:v>蔬菜</x:v>
      </x:c>
      <x:c r="C229" t="str">
        <x:v>洋葱</x:v>
      </x:c>
      <x:c r="D229" t="n">
        <x:v>125</x:v>
      </x:c>
      <x:c r="E229" t="n">
        <x:v>140</x:v>
      </x:c>
      <x:c r="F229" s="10" t="str">
        <x:v>食材净重+约8%余量</x:v>
      </x:c>
      <x:c r="G229" s="10" t="str">
        <x:v>生重</x:v>
      </x:c>
    </x:row>
    <x:row r="230" ht="23" customHeight="1">
      <x:c r="A230" t="n">
        <x:v>6</x:v>
      </x:c>
      <x:c r="B230" t="str">
        <x:v>蔬菜</x:v>
      </x:c>
      <x:c r="C230" t="str">
        <x:v>番茄</x:v>
      </x:c>
      <x:c r="D230" t="n">
        <x:v>630</x:v>
      </x:c>
      <x:c r="E230" t="n">
        <x:v>680</x:v>
      </x:c>
      <x:c r="F230" s="10" t="str">
        <x:v>食材净重+约8%余量</x:v>
      </x:c>
      <x:c r="G230" s="10" t="str">
        <x:v>生重</x:v>
      </x:c>
    </x:row>
    <x:row r="231" ht="23" customHeight="1">
      <x:c r="A231" t="n">
        <x:v>6</x:v>
      </x:c>
      <x:c r="B231" t="str">
        <x:v>蔬菜</x:v>
      </x:c>
      <x:c r="C231" t="str">
        <x:v>芦笋</x:v>
      </x:c>
      <x:c r="D231" t="n">
        <x:v>155</x:v>
      </x:c>
      <x:c r="E231" t="n">
        <x:v>170</x:v>
      </x:c>
      <x:c r="F231" s="10" t="str">
        <x:v>食材净重+约8%余量</x:v>
      </x:c>
      <x:c r="G231" s="10" t="str">
        <x:v>生重</x:v>
      </x:c>
    </x:row>
    <x:row r="232" ht="23" customHeight="1">
      <x:c r="A232" t="n">
        <x:v>6</x:v>
      </x:c>
      <x:c r="B232" t="str">
        <x:v>蔬菜</x:v>
      </x:c>
      <x:c r="C232" t="str">
        <x:v>芹菜</x:v>
      </x:c>
      <x:c r="D232" t="n">
        <x:v>140</x:v>
      </x:c>
      <x:c r="E232" t="n">
        <x:v>150</x:v>
      </x:c>
      <x:c r="F232" s="10" t="str">
        <x:v>食材净重+约8%余量</x:v>
      </x:c>
      <x:c r="G232" s="10" t="str">
        <x:v>生重</x:v>
      </x:c>
    </x:row>
    <x:row r="233" ht="23" customHeight="1">
      <x:c r="A233" t="n">
        <x:v>6</x:v>
      </x:c>
      <x:c r="B233" t="str">
        <x:v>蔬菜</x:v>
      </x:c>
      <x:c r="C233" t="str">
        <x:v>苦瓜</x:v>
      </x:c>
      <x:c r="D233" t="n">
        <x:v>140</x:v>
      </x:c>
      <x:c r="E233" t="n">
        <x:v>150</x:v>
      </x:c>
      <x:c r="F233" s="10" t="str">
        <x:v>食材净重+约8%余量</x:v>
      </x:c>
      <x:c r="G233" s="10" t="str">
        <x:v>生重</x:v>
      </x:c>
    </x:row>
    <x:row r="234" ht="23" customHeight="1">
      <x:c r="A234" t="n">
        <x:v>6</x:v>
      </x:c>
      <x:c r="B234" t="str">
        <x:v>蔬菜</x:v>
      </x:c>
      <x:c r="C234" t="str">
        <x:v>荷兰豆</x:v>
      </x:c>
      <x:c r="D234" t="n">
        <x:v>320</x:v>
      </x:c>
      <x:c r="E234" t="n">
        <x:v>350</x:v>
      </x:c>
      <x:c r="F234" s="10" t="str">
        <x:v>食材净重+约8%余量</x:v>
      </x:c>
      <x:c r="G234" s="10" t="str">
        <x:v>生重</x:v>
      </x:c>
    </x:row>
    <x:row r="235" ht="23" customHeight="1">
      <x:c r="A235" t="n">
        <x:v>6</x:v>
      </x:c>
      <x:c r="B235" t="str">
        <x:v>蔬菜</x:v>
      </x:c>
      <x:c r="C235" t="str">
        <x:v>莴笋</x:v>
      </x:c>
      <x:c r="D235" t="n">
        <x:v>125</x:v>
      </x:c>
      <x:c r="E235" t="n">
        <x:v>140</x:v>
      </x:c>
      <x:c r="F235" s="10" t="str">
        <x:v>食材净重+约8%余量</x:v>
      </x:c>
      <x:c r="G235" s="10" t="str">
        <x:v>生重</x:v>
      </x:c>
    </x:row>
    <x:row r="236" ht="23" customHeight="1">
      <x:c r="A236" t="n">
        <x:v>6</x:v>
      </x:c>
      <x:c r="B236" t="str">
        <x:v>蔬菜</x:v>
      </x:c>
      <x:c r="C236" t="str">
        <x:v>菜心</x:v>
      </x:c>
      <x:c r="D236" t="n">
        <x:v>110</x:v>
      </x:c>
      <x:c r="E236" t="n">
        <x:v>120</x:v>
      </x:c>
      <x:c r="F236" s="10" t="str">
        <x:v>食材净重+约8%余量</x:v>
      </x:c>
      <x:c r="G236" s="10" t="str">
        <x:v>生重</x:v>
      </x:c>
    </x:row>
    <x:row r="237" ht="23" customHeight="1">
      <x:c r="A237" t="n">
        <x:v>6</x:v>
      </x:c>
      <x:c r="B237" t="str">
        <x:v>蔬菜</x:v>
      </x:c>
      <x:c r="C237" t="str">
        <x:v>西葫芦</x:v>
      </x:c>
      <x:c r="D237" t="n">
        <x:v>140</x:v>
      </x:c>
      <x:c r="E237" t="n">
        <x:v>150</x:v>
      </x:c>
      <x:c r="F237" s="10" t="str">
        <x:v>食材净重+约8%余量</x:v>
      </x:c>
      <x:c r="G237" s="10" t="str">
        <x:v>生重</x:v>
      </x:c>
    </x:row>
    <x:row r="238" ht="23" customHeight="1">
      <x:c r="A238" t="n">
        <x:v>6</x:v>
      </x:c>
      <x:c r="B238" t="str">
        <x:v>蔬菜</x:v>
      </x:c>
      <x:c r="C238" t="str">
        <x:v>黄瓜</x:v>
      </x:c>
      <x:c r="D238" t="n">
        <x:v>235</x:v>
      </x:c>
      <x:c r="E238" t="n">
        <x:v>250</x:v>
      </x:c>
      <x:c r="F238" s="10" t="str">
        <x:v>食材净重+约8%余量</x:v>
      </x:c>
      <x:c r="G238" s="10" t="str">
        <x:v>生重</x:v>
      </x:c>
    </x:row>
    <x:row r="239" ht="23" customHeight="1">
      <x:c r="A239" t="n">
        <x:v>6</x:v>
      </x:c>
      <x:c r="B239" t="str">
        <x:v>豆蛋</x:v>
      </x:c>
      <x:c r="C239" t="str">
        <x:v>北豆腐</x:v>
      </x:c>
      <x:c r="D239" t="n">
        <x:v>260</x:v>
      </x:c>
      <x:c r="E239" t="n">
        <x:v>280</x:v>
      </x:c>
      <x:c r="F239" s="10" t="str">
        <x:v>食材净重+约8%余量</x:v>
      </x:c>
      <x:c r="G239" s="10" t="str">
        <x:v>净重</x:v>
      </x:c>
    </x:row>
    <x:row r="240" ht="23" customHeight="1">
      <x:c r="A240" t="n">
        <x:v>6</x:v>
      </x:c>
      <x:c r="B240" t="str">
        <x:v>豆蛋</x:v>
      </x:c>
      <x:c r="C240" t="str">
        <x:v>熟毛豆仁</x:v>
      </x:c>
      <x:c r="D240" t="n">
        <x:v>70</x:v>
      </x:c>
      <x:c r="E240" t="n">
        <x:v>80</x:v>
      </x:c>
      <x:c r="F240" s="10" t="str">
        <x:v>食材净重+约8%余量</x:v>
      </x:c>
      <x:c r="G240" s="10" t="str">
        <x:v>熟重</x:v>
      </x:c>
    </x:row>
    <x:row r="241" ht="23" customHeight="1">
      <x:c r="A241" t="n">
        <x:v>6</x:v>
      </x:c>
      <x:c r="B241" t="str">
        <x:v>鱼类</x:v>
      </x:c>
      <x:c r="C241" t="str">
        <x:v>三文鱼</x:v>
      </x:c>
      <x:c r="D241" t="n">
        <x:v>120</x:v>
      </x:c>
      <x:c r="E241" t="n">
        <x:v>130</x:v>
      </x:c>
      <x:c r="F241" s="10" t="str">
        <x:v>食材净重+约8%余量</x:v>
      </x:c>
      <x:c r="G241" s="10" t="str">
        <x:v>净鱼肉生重</x:v>
      </x:c>
    </x:row>
    <x:row r="242" ht="23" customHeight="1">
      <x:c r="A242" t="n">
        <x:v>6</x:v>
      </x:c>
      <x:c r="B242" t="str">
        <x:v>鱼类</x:v>
      </x:c>
      <x:c r="C242" t="str">
        <x:v>鳕鱼</x:v>
      </x:c>
      <x:c r="D242" t="n">
        <x:v>215</x:v>
      </x:c>
      <x:c r="E242" t="n">
        <x:v>230</x:v>
      </x:c>
      <x:c r="F242" s="10" t="str">
        <x:v>食材净重+约8%余量；带壳或带骨采购需另折算</x:v>
      </x:c>
      <x:c r="G242" s="10" t="str">
        <x:v>净鱼肉生重</x:v>
      </x:c>
    </x:row>
    <x:row r="243" ht="23" customHeight="1">
      <x:c r="A243" t="n">
        <x:v>7</x:v>
      </x:c>
      <x:c r="B243" t="str">
        <x:v>主食</x:v>
      </x:c>
      <x:c r="C243" t="str">
        <x:v>乌冬面</x:v>
      </x:c>
      <x:c r="D243" t="n">
        <x:v>215</x:v>
      </x:c>
      <x:c r="E243" t="n">
        <x:v>100</x:v>
      </x:c>
      <x:c r="F243" s="10" t="str">
        <x:v>干粮约重（按熟面/干面≈2.1估算）</x:v>
      </x:c>
      <x:c r="G243" s="10" t="str">
        <x:v>煮熟沥水重</x:v>
      </x:c>
    </x:row>
    <x:row r="244" ht="23" customHeight="1">
      <x:c r="A244" t="n">
        <x:v>7</x:v>
      </x:c>
      <x:c r="B244" t="str">
        <x:v>主食</x:v>
      </x:c>
      <x:c r="C244" t="str">
        <x:v>山药</x:v>
      </x:c>
      <x:c r="D244" t="n">
        <x:v>320</x:v>
      </x:c>
      <x:c r="E244" t="n">
        <x:v>350</x:v>
      </x:c>
      <x:c r="F244" s="10" t="str">
        <x:v>鲜薯/玉米净重；考虑小幅损耗</x:v>
      </x:c>
      <x:c r="G244" s="10" t="str">
        <x:v>蒸熟净重</x:v>
      </x:c>
    </x:row>
    <x:row r="245" ht="23" customHeight="1">
      <x:c r="A245" t="n">
        <x:v>7</x:v>
      </x:c>
      <x:c r="B245" t="str">
        <x:v>主食</x:v>
      </x:c>
      <x:c r="C245" t="str">
        <x:v>杂粮饭</x:v>
      </x:c>
      <x:c r="D245" t="n">
        <x:v>125</x:v>
      </x:c>
      <x:c r="E245" t="n">
        <x:v>50</x:v>
      </x:c>
      <x:c r="F245" s="10" t="str">
        <x:v>未煮干粮约重（按熟饭/生米≈2.6估算）</x:v>
      </x:c>
      <x:c r="G245" s="10" t="str">
        <x:v>熟重</x:v>
      </x:c>
    </x:row>
    <x:row r="246" ht="23" customHeight="1">
      <x:c r="A246" t="n">
        <x:v>7</x:v>
      </x:c>
      <x:c r="B246" t="str">
        <x:v>主食</x:v>
      </x:c>
      <x:c r="C246" t="str">
        <x:v>糙米饭</x:v>
      </x:c>
      <x:c r="D246" t="n">
        <x:v>190</x:v>
      </x:c>
      <x:c r="E246" t="n">
        <x:v>70</x:v>
      </x:c>
      <x:c r="F246" s="10" t="str">
        <x:v>未煮干粮约重（按熟饭/生米≈2.6估算）</x:v>
      </x:c>
      <x:c r="G246" s="10" t="str">
        <x:v>熟重</x:v>
      </x:c>
    </x:row>
    <x:row r="247" ht="23" customHeight="1">
      <x:c r="A247" t="n">
        <x:v>7</x:v>
      </x:c>
      <x:c r="B247" t="str">
        <x:v>主食</x:v>
      </x:c>
      <x:c r="C247" t="str">
        <x:v>紫薯</x:v>
      </x:c>
      <x:c r="D247" t="n">
        <x:v>135</x:v>
      </x:c>
      <x:c r="E247" t="n">
        <x:v>150</x:v>
      </x:c>
      <x:c r="F247" s="10" t="str">
        <x:v>鲜薯/玉米净重；考虑小幅损耗</x:v>
      </x:c>
      <x:c r="G247" s="10" t="str">
        <x:v>蒸熟净重</x:v>
      </x:c>
    </x:row>
    <x:row r="248" ht="23" customHeight="1">
      <x:c r="A248" t="n">
        <x:v>7</x:v>
      </x:c>
      <x:c r="B248" t="str">
        <x:v>主食</x:v>
      </x:c>
      <x:c r="C248" t="str">
        <x:v>红薯</x:v>
      </x:c>
      <x:c r="D248" t="n">
        <x:v>150</x:v>
      </x:c>
      <x:c r="E248" t="n">
        <x:v>160</x:v>
      </x:c>
      <x:c r="F248" s="10" t="str">
        <x:v>鲜薯/玉米净重；考虑小幅损耗</x:v>
      </x:c>
      <x:c r="G248" s="10" t="str">
        <x:v>蒸熟净重</x:v>
      </x:c>
    </x:row>
    <x:row r="249" ht="23" customHeight="1">
      <x:c r="A249" t="n">
        <x:v>7</x:v>
      </x:c>
      <x:c r="B249" t="str">
        <x:v>主食</x:v>
      </x:c>
      <x:c r="C249" t="str">
        <x:v>荞麦面</x:v>
      </x:c>
      <x:c r="D249" t="n">
        <x:v>80</x:v>
      </x:c>
      <x:c r="E249" t="n">
        <x:v>40</x:v>
      </x:c>
      <x:c r="F249" s="10" t="str">
        <x:v>干粮约重（按熟面/干面≈2.1估算）</x:v>
      </x:c>
      <x:c r="G249" s="10" t="str">
        <x:v>煮熟沥水重</x:v>
      </x:c>
    </x:row>
    <x:row r="250" ht="23" customHeight="1">
      <x:c r="A250" t="n">
        <x:v>7</x:v>
      </x:c>
      <x:c r="B250" t="str">
        <x:v>主食</x:v>
      </x:c>
      <x:c r="C250" t="str">
        <x:v>荞麦饭</x:v>
      </x:c>
      <x:c r="D250" t="n">
        <x:v>285</x:v>
      </x:c>
      <x:c r="E250" t="n">
        <x:v>110</x:v>
      </x:c>
      <x:c r="F250" s="10" t="str">
        <x:v>未煮干粮约重（按熟饭/生米≈2.6估算）</x:v>
      </x:c>
      <x:c r="G250" s="10" t="str">
        <x:v>熟重</x:v>
      </x:c>
    </x:row>
    <x:row r="251" ht="23" customHeight="1">
      <x:c r="A251" t="n">
        <x:v>7</x:v>
      </x:c>
      <x:c r="B251" t="str">
        <x:v>主食</x:v>
      </x:c>
      <x:c r="C251" t="str">
        <x:v>藜麦饭</x:v>
      </x:c>
      <x:c r="D251" t="n">
        <x:v>260</x:v>
      </x:c>
      <x:c r="E251" t="n">
        <x:v>100</x:v>
      </x:c>
      <x:c r="F251" s="10" t="str">
        <x:v>未煮干粮约重（按熟饭/生米≈2.6估算）</x:v>
      </x:c>
      <x:c r="G251" s="10" t="str">
        <x:v>熟重</x:v>
      </x:c>
    </x:row>
    <x:row r="252" ht="23" customHeight="1">
      <x:c r="A252" t="n">
        <x:v>7</x:v>
      </x:c>
      <x:c r="B252" t="str">
        <x:v>油脂</x:v>
      </x:c>
      <x:c r="C252" t="str">
        <x:v>烹调油</x:v>
      </x:c>
      <x:c r="D252" t="n">
        <x:v>66</x:v>
      </x:c>
      <x:c r="E252" t="n">
        <x:v>66</x:v>
      </x:c>
      <x:c r="F252" s="10" t="str">
        <x:v>食用油；现有库存足够即可</x:v>
      </x:c>
      <x:c r="G252" s="10" t="str">
        <x:v>实际用油重</x:v>
      </x:c>
    </x:row>
    <x:row r="253" ht="23" customHeight="1">
      <x:c r="A253" t="n">
        <x:v>7</x:v>
      </x:c>
      <x:c r="B253" t="str">
        <x:v>海鲜</x:v>
      </x:c>
      <x:c r="C253" t="str">
        <x:v>虾仁</x:v>
      </x:c>
      <x:c r="D253" t="n">
        <x:v>245</x:v>
      </x:c>
      <x:c r="E253" t="n">
        <x:v>260</x:v>
      </x:c>
      <x:c r="F253" s="10" t="str">
        <x:v>食材净重+约8%余量</x:v>
      </x:c>
      <x:c r="G253" s="10" t="str">
        <x:v>生重</x:v>
      </x:c>
    </x:row>
    <x:row r="254" ht="23" customHeight="1">
      <x:c r="A254" t="n">
        <x:v>7</x:v>
      </x:c>
      <x:c r="B254" t="str">
        <x:v>牛肉</x:v>
      </x:c>
      <x:c r="C254" t="str">
        <x:v>牛腱子</x:v>
      </x:c>
      <x:c r="D254" t="n">
        <x:v>170</x:v>
      </x:c>
      <x:c r="E254" t="n">
        <x:v>180</x:v>
      </x:c>
      <x:c r="F254" s="10" t="str">
        <x:v>食材净重+约8%余量</x:v>
      </x:c>
      <x:c r="G254" s="10" t="str">
        <x:v>生重</x:v>
      </x:c>
    </x:row>
    <x:row r="255" ht="23" customHeight="1">
      <x:c r="A255" t="n">
        <x:v>7</x:v>
      </x:c>
      <x:c r="B255" t="str">
        <x:v>牛肉</x:v>
      </x:c>
      <x:c r="C255" t="str">
        <x:v>牛里脊</x:v>
      </x:c>
      <x:c r="D255" t="n">
        <x:v>155</x:v>
      </x:c>
      <x:c r="E255" t="n">
        <x:v>170</x:v>
      </x:c>
      <x:c r="F255" s="10" t="str">
        <x:v>食材净重+约8%余量</x:v>
      </x:c>
      <x:c r="G255" s="10" t="str">
        <x:v>生重</x:v>
      </x:c>
    </x:row>
    <x:row r="256" ht="23" customHeight="1">
      <x:c r="A256" t="n">
        <x:v>7</x:v>
      </x:c>
      <x:c r="B256" t="str">
        <x:v>牛肉</x:v>
      </x:c>
      <x:c r="C256" t="str">
        <x:v>瘦牛肉</x:v>
      </x:c>
      <x:c r="D256" t="n">
        <x:v>300</x:v>
      </x:c>
      <x:c r="E256" t="n">
        <x:v>320</x:v>
      </x:c>
      <x:c r="F256" s="10" t="str">
        <x:v>食材净重+约8%余量</x:v>
      </x:c>
      <x:c r="G256" s="10" t="str">
        <x:v>生重</x:v>
      </x:c>
    </x:row>
    <x:row r="257" ht="23" customHeight="1">
      <x:c r="A257" t="n">
        <x:v>7</x:v>
      </x:c>
      <x:c r="B257" t="str">
        <x:v>禽肉</x:v>
      </x:c>
      <x:c r="C257" t="str">
        <x:v>去皮鸡腿肉</x:v>
      </x:c>
      <x:c r="D257" t="n">
        <x:v>350</x:v>
      </x:c>
      <x:c r="E257" t="n">
        <x:v>380</x:v>
      </x:c>
      <x:c r="F257" s="10" t="str">
        <x:v>食材净重+约8%余量</x:v>
      </x:c>
      <x:c r="G257" s="10" t="str">
        <x:v>生重</x:v>
      </x:c>
    </x:row>
    <x:row r="258" ht="23" customHeight="1">
      <x:c r="A258" t="n">
        <x:v>7</x:v>
      </x:c>
      <x:c r="B258" t="str">
        <x:v>禽肉</x:v>
      </x:c>
      <x:c r="C258" t="str">
        <x:v>鸡胸肉</x:v>
      </x:c>
      <x:c r="D258" t="n">
        <x:v>160</x:v>
      </x:c>
      <x:c r="E258" t="n">
        <x:v>170</x:v>
      </x:c>
      <x:c r="F258" s="10" t="str">
        <x:v>食材净重+约8%余量</x:v>
      </x:c>
      <x:c r="G258" s="10" t="str">
        <x:v>生重</x:v>
      </x:c>
    </x:row>
    <x:row r="259" ht="23" customHeight="1">
      <x:c r="A259" t="n">
        <x:v>7</x:v>
      </x:c>
      <x:c r="B259" t="str">
        <x:v>菌菇</x:v>
      </x:c>
      <x:c r="C259" t="str">
        <x:v>杏鲍菇</x:v>
      </x:c>
      <x:c r="D259" t="n">
        <x:v>110</x:v>
      </x:c>
      <x:c r="E259" t="n">
        <x:v>120</x:v>
      </x:c>
      <x:c r="F259" s="10" t="str">
        <x:v>食材净重+约8%余量</x:v>
      </x:c>
      <x:c r="G259" s="10" t="str">
        <x:v>生重</x:v>
      </x:c>
    </x:row>
    <x:row r="260" ht="23" customHeight="1">
      <x:c r="A260" t="n">
        <x:v>7</x:v>
      </x:c>
      <x:c r="B260" t="str">
        <x:v>菌菇</x:v>
      </x:c>
      <x:c r="C260" t="str">
        <x:v>泡发木耳</x:v>
      </x:c>
      <x:c r="D260" t="n">
        <x:v>110</x:v>
      </x:c>
      <x:c r="E260" t="n">
        <x:v>120</x:v>
      </x:c>
      <x:c r="F260" s="10" t="str">
        <x:v>食材净重+约8%余量</x:v>
      </x:c>
      <x:c r="G260" s="10" t="str">
        <x:v>泡发沥水重</x:v>
      </x:c>
    </x:row>
    <x:row r="261" ht="23" customHeight="1">
      <x:c r="A261" t="n">
        <x:v>7</x:v>
      </x:c>
      <x:c r="B261" t="str">
        <x:v>菌菇</x:v>
      </x:c>
      <x:c r="C261" t="str">
        <x:v>香菇</x:v>
      </x:c>
      <x:c r="D261" t="n">
        <x:v>125</x:v>
      </x:c>
      <x:c r="E261" t="n">
        <x:v>140</x:v>
      </x:c>
      <x:c r="F261" s="10" t="str">
        <x:v>食材净重+约8%余量</x:v>
      </x:c>
      <x:c r="G261" s="10" t="str">
        <x:v>生重</x:v>
      </x:c>
    </x:row>
    <x:row r="262" ht="23" customHeight="1">
      <x:c r="A262" t="n">
        <x:v>7</x:v>
      </x:c>
      <x:c r="B262" t="str">
        <x:v>蔬菜</x:v>
      </x:c>
      <x:c r="C262" t="str">
        <x:v>丝瓜</x:v>
      </x:c>
      <x:c r="D262" t="n">
        <x:v>440</x:v>
      </x:c>
      <x:c r="E262" t="n">
        <x:v>480</x:v>
      </x:c>
      <x:c r="F262" s="10" t="str">
        <x:v>食材净重+约8%余量</x:v>
      </x:c>
      <x:c r="G262" s="10" t="str">
        <x:v>生重</x:v>
      </x:c>
    </x:row>
    <x:row r="263" ht="23" customHeight="1">
      <x:c r="A263" t="n">
        <x:v>7</x:v>
      </x:c>
      <x:c r="B263" t="str">
        <x:v>蔬菜</x:v>
      </x:c>
      <x:c r="C263" t="str">
        <x:v>四季豆</x:v>
      </x:c>
      <x:c r="D263" t="n">
        <x:v>175</x:v>
      </x:c>
      <x:c r="E263" t="n">
        <x:v>190</x:v>
      </x:c>
      <x:c r="F263" s="10" t="str">
        <x:v>食材净重+约8%余量</x:v>
      </x:c>
      <x:c r="G263" s="10" t="str">
        <x:v>生重</x:v>
      </x:c>
    </x:row>
    <x:row r="264" ht="23" customHeight="1">
      <x:c r="A264" t="n">
        <x:v>7</x:v>
      </x:c>
      <x:c r="B264" t="str">
        <x:v>蔬菜</x:v>
      </x:c>
      <x:c r="C264" t="str">
        <x:v>大白菜</x:v>
      </x:c>
      <x:c r="D264" t="n">
        <x:v>190</x:v>
      </x:c>
      <x:c r="E264" t="n">
        <x:v>210</x:v>
      </x:c>
      <x:c r="F264" s="10" t="str">
        <x:v>食材净重+约8%余量</x:v>
      </x:c>
      <x:c r="G264" s="10" t="str">
        <x:v>生重</x:v>
      </x:c>
    </x:row>
    <x:row r="265" ht="23" customHeight="1">
      <x:c r="A265" t="n">
        <x:v>7</x:v>
      </x:c>
      <x:c r="B265" t="str">
        <x:v>蔬菜</x:v>
      </x:c>
      <x:c r="C265" t="str">
        <x:v>娃娃菜</x:v>
      </x:c>
      <x:c r="D265" t="n">
        <x:v>540</x:v>
      </x:c>
      <x:c r="E265" t="n">
        <x:v>580</x:v>
      </x:c>
      <x:c r="F265" s="10" t="str">
        <x:v>食材净重+约8%余量</x:v>
      </x:c>
      <x:c r="G265" s="10" t="str">
        <x:v>生重</x:v>
      </x:c>
    </x:row>
    <x:row r="266" ht="23" customHeight="1">
      <x:c r="A266" t="n">
        <x:v>7</x:v>
      </x:c>
      <x:c r="B266" t="str">
        <x:v>蔬菜</x:v>
      </x:c>
      <x:c r="C266" t="str">
        <x:v>小白菜</x:v>
      </x:c>
      <x:c r="D266" t="n">
        <x:v>110</x:v>
      </x:c>
      <x:c r="E266" t="n">
        <x:v>120</x:v>
      </x:c>
      <x:c r="F266" s="10" t="str">
        <x:v>食材净重+约8%余量</x:v>
      </x:c>
      <x:c r="G266" s="10" t="str">
        <x:v>生重</x:v>
      </x:c>
    </x:row>
    <x:row r="267" ht="23" customHeight="1">
      <x:c r="A267" t="n">
        <x:v>7</x:v>
      </x:c>
      <x:c r="B267" t="str">
        <x:v>蔬菜</x:v>
      </x:c>
      <x:c r="C267" t="str">
        <x:v>彩椒</x:v>
      </x:c>
      <x:c r="D267" t="n">
        <x:v>410</x:v>
      </x:c>
      <x:c r="E267" t="n">
        <x:v>440</x:v>
      </x:c>
      <x:c r="F267" s="10" t="str">
        <x:v>食材净重+约8%余量</x:v>
      </x:c>
      <x:c r="G267" s="10" t="str">
        <x:v>生重</x:v>
      </x:c>
    </x:row>
    <x:row r="268" ht="23" customHeight="1">
      <x:c r="A268" t="n">
        <x:v>7</x:v>
      </x:c>
      <x:c r="B268" t="str">
        <x:v>蔬菜</x:v>
      </x:c>
      <x:c r="C268" t="str">
        <x:v>油麦菜</x:v>
      </x:c>
      <x:c r="D268" t="n">
        <x:v>175</x:v>
      </x:c>
      <x:c r="E268" t="n">
        <x:v>190</x:v>
      </x:c>
      <x:c r="F268" s="10" t="str">
        <x:v>食材净重+约8%余量</x:v>
      </x:c>
      <x:c r="G268" s="10" t="str">
        <x:v>生重</x:v>
      </x:c>
    </x:row>
    <x:row r="269" ht="23" customHeight="1">
      <x:c r="A269" t="n">
        <x:v>7</x:v>
      </x:c>
      <x:c r="B269" t="str">
        <x:v>蔬菜</x:v>
      </x:c>
      <x:c r="C269" t="str">
        <x:v>洋葱</x:v>
      </x:c>
      <x:c r="D269" t="n">
        <x:v>125</x:v>
      </x:c>
      <x:c r="E269" t="n">
        <x:v>140</x:v>
      </x:c>
      <x:c r="F269" s="10" t="str">
        <x:v>食材净重+约8%余量</x:v>
      </x:c>
      <x:c r="G269" s="10" t="str">
        <x:v>生重</x:v>
      </x:c>
    </x:row>
    <x:row r="270" ht="23" customHeight="1">
      <x:c r="A270" t="n">
        <x:v>7</x:v>
      </x:c>
      <x:c r="B270" t="str">
        <x:v>蔬菜</x:v>
      </x:c>
      <x:c r="C270" t="str">
        <x:v>番茄</x:v>
      </x:c>
      <x:c r="D270" t="n">
        <x:v>155</x:v>
      </x:c>
      <x:c r="E270" t="n">
        <x:v>170</x:v>
      </x:c>
      <x:c r="F270" s="10" t="str">
        <x:v>食材净重+约8%余量</x:v>
      </x:c>
      <x:c r="G270" s="10" t="str">
        <x:v>生重</x:v>
      </x:c>
    </x:row>
    <x:row r="271" ht="23" customHeight="1">
      <x:c r="A271" t="n">
        <x:v>7</x:v>
      </x:c>
      <x:c r="B271" t="str">
        <x:v>蔬菜</x:v>
      </x:c>
      <x:c r="C271" t="str">
        <x:v>白萝卜</x:v>
      </x:c>
      <x:c r="D271" t="n">
        <x:v>295</x:v>
      </x:c>
      <x:c r="E271" t="n">
        <x:v>320</x:v>
      </x:c>
      <x:c r="F271" s="10" t="str">
        <x:v>食材净重+约8%余量</x:v>
      </x:c>
      <x:c r="G271" s="10" t="str">
        <x:v>生重</x:v>
      </x:c>
    </x:row>
    <x:row r="272" ht="23" customHeight="1">
      <x:c r="A272" t="n">
        <x:v>7</x:v>
      </x:c>
      <x:c r="B272" t="str">
        <x:v>蔬菜</x:v>
      </x:c>
      <x:c r="C272" t="str">
        <x:v>紫甘蓝</x:v>
      </x:c>
      <x:c r="D272" t="n">
        <x:v>315</x:v>
      </x:c>
      <x:c r="E272" t="n">
        <x:v>340</x:v>
      </x:c>
      <x:c r="F272" s="10" t="str">
        <x:v>食材净重+约8%余量</x:v>
      </x:c>
      <x:c r="G272" s="10" t="str">
        <x:v>生重</x:v>
      </x:c>
    </x:row>
    <x:row r="273" ht="23" customHeight="1">
      <x:c r="A273" t="n">
        <x:v>7</x:v>
      </x:c>
      <x:c r="B273" t="str">
        <x:v>蔬菜</x:v>
      </x:c>
      <x:c r="C273" t="str">
        <x:v>绿豆芽</x:v>
      </x:c>
      <x:c r="D273" t="n">
        <x:v>140</x:v>
      </x:c>
      <x:c r="E273" t="n">
        <x:v>150</x:v>
      </x:c>
      <x:c r="F273" s="10" t="str">
        <x:v>食材净重+约8%余量</x:v>
      </x:c>
      <x:c r="G273" s="10" t="str">
        <x:v>生重</x:v>
      </x:c>
    </x:row>
    <x:row r="274" ht="23" customHeight="1">
      <x:c r="A274" t="n">
        <x:v>7</x:v>
      </x:c>
      <x:c r="B274" t="str">
        <x:v>蔬菜</x:v>
      </x:c>
      <x:c r="C274" t="str">
        <x:v>胡萝卜</x:v>
      </x:c>
      <x:c r="D274" t="n">
        <x:v>155</x:v>
      </x:c>
      <x:c r="E274" t="n">
        <x:v>170</x:v>
      </x:c>
      <x:c r="F274" s="10" t="str">
        <x:v>食材净重+约8%余量</x:v>
      </x:c>
      <x:c r="G274" s="10" t="str">
        <x:v>生重</x:v>
      </x:c>
    </x:row>
    <x:row r="275" ht="23" customHeight="1">
      <x:c r="A275" t="n">
        <x:v>7</x:v>
      </x:c>
      <x:c r="B275" t="str">
        <x:v>蔬菜</x:v>
      </x:c>
      <x:c r="C275" t="str">
        <x:v>花菜</x:v>
      </x:c>
      <x:c r="D275" t="n">
        <x:v>160</x:v>
      </x:c>
      <x:c r="E275" t="n">
        <x:v>170</x:v>
      </x:c>
      <x:c r="F275" s="10" t="str">
        <x:v>食材净重+约8%余量</x:v>
      </x:c>
      <x:c r="G275" s="10" t="str">
        <x:v>生重</x:v>
      </x:c>
    </x:row>
    <x:row r="276" ht="23" customHeight="1">
      <x:c r="A276" t="n">
        <x:v>7</x:v>
      </x:c>
      <x:c r="B276" t="str">
        <x:v>蔬菜</x:v>
      </x:c>
      <x:c r="C276" t="str">
        <x:v>苦瓜</x:v>
      </x:c>
      <x:c r="D276" t="n">
        <x:v>160</x:v>
      </x:c>
      <x:c r="E276" t="n">
        <x:v>170</x:v>
      </x:c>
      <x:c r="F276" s="10" t="str">
        <x:v>食材净重+约8%余量</x:v>
      </x:c>
      <x:c r="G276" s="10" t="str">
        <x:v>生重</x:v>
      </x:c>
    </x:row>
    <x:row r="277" ht="23" customHeight="1">
      <x:c r="A277" t="n">
        <x:v>7</x:v>
      </x:c>
      <x:c r="B277" t="str">
        <x:v>蔬菜</x:v>
      </x:c>
      <x:c r="C277" t="str">
        <x:v>荷兰豆</x:v>
      </x:c>
      <x:c r="D277" t="n">
        <x:v>140</x:v>
      </x:c>
      <x:c r="E277" t="n">
        <x:v>150</x:v>
      </x:c>
      <x:c r="F277" s="10" t="str">
        <x:v>食材净重+约8%余量</x:v>
      </x:c>
      <x:c r="G277" s="10" t="str">
        <x:v>生重</x:v>
      </x:c>
    </x:row>
    <x:row r="278" ht="23" customHeight="1">
      <x:c r="A278" t="n">
        <x:v>7</x:v>
      </x:c>
      <x:c r="B278" t="str">
        <x:v>蔬菜</x:v>
      </x:c>
      <x:c r="C278" t="str">
        <x:v>西兰花</x:v>
      </x:c>
      <x:c r="D278" t="n">
        <x:v>155</x:v>
      </x:c>
      <x:c r="E278" t="n">
        <x:v>170</x:v>
      </x:c>
      <x:c r="F278" s="10" t="str">
        <x:v>食材净重+约8%余量</x:v>
      </x:c>
      <x:c r="G278" s="10" t="str">
        <x:v>生重</x:v>
      </x:c>
    </x:row>
    <x:row r="279" ht="23" customHeight="1">
      <x:c r="A279" t="n">
        <x:v>7</x:v>
      </x:c>
      <x:c r="B279" t="str">
        <x:v>豆蛋</x:v>
      </x:c>
      <x:c r="C279" t="str">
        <x:v>嫩豆腐</x:v>
      </x:c>
      <x:c r="D279" t="n">
        <x:v>370</x:v>
      </x:c>
      <x:c r="E279" t="n">
        <x:v>400</x:v>
      </x:c>
      <x:c r="F279" s="10" t="str">
        <x:v>食材净重+约8%余量</x:v>
      </x:c>
      <x:c r="G279" s="10" t="str">
        <x:v>净重</x:v>
      </x:c>
    </x:row>
    <x:row r="280" ht="23" customHeight="1">
      <x:c r="A280" t="n">
        <x:v>7</x:v>
      </x:c>
      <x:c r="B280" t="str">
        <x:v>豆蛋</x:v>
      </x:c>
      <x:c r="C280" t="str">
        <x:v>鸡蛋</x:v>
      </x:c>
      <x:c r="D280" t="n">
        <x:v>205</x:v>
      </x:c>
      <x:c r="E280" t="n">
        <x:v>220</x:v>
      </x:c>
      <x:c r="F280" s="10" t="str">
        <x:v>食材净重+约8%余量</x:v>
      </x:c>
      <x:c r="G280" s="10" t="str">
        <x:v>去壳可食重</x:v>
      </x:c>
    </x:row>
    <x:row r="281" ht="23" customHeight="1">
      <x:c r="A281" t="n">
        <x:v>7</x:v>
      </x:c>
      <x:c r="B281" t="str">
        <x:v>鱼类</x:v>
      </x:c>
      <x:c r="C281" t="str">
        <x:v>鲈鱼</x:v>
      </x:c>
      <x:c r="D281" t="n">
        <x:v>215</x:v>
      </x:c>
      <x:c r="E281" t="n">
        <x:v>230</x:v>
      </x:c>
      <x:c r="F281" s="10" t="str">
        <x:v>食材净重+约8%余量；带壳或带骨采购需另折算</x:v>
      </x:c>
      <x:c r="G281" s="10" t="str">
        <x:v>净鱼肉生重</x:v>
      </x:c>
    </x:row>
    <x:row r="282" ht="23" customHeight="1">
      <x:c r="A282" t="n">
        <x:v>7</x:v>
      </x:c>
      <x:c r="B282" t="str">
        <x:v>鱼类</x:v>
      </x:c>
      <x:c r="C282" t="str">
        <x:v>鳕鱼</x:v>
      </x:c>
      <x:c r="D282" t="n">
        <x:v>615</x:v>
      </x:c>
      <x:c r="E282" t="n">
        <x:v>660</x:v>
      </x:c>
      <x:c r="F282" s="10" t="str">
        <x:v>食材净重+约8%余量；带壳或带骨采购需另折算</x:v>
      </x:c>
      <x:c r="G282" s="10" t="str">
        <x:v>净鱼肉生重</x:v>
      </x:c>
    </x:row>
    <x:row r="283" ht="23" customHeight="1">
      <x:c r="A283" t="n">
        <x:v>8</x:v>
      </x:c>
      <x:c r="B283" t="str">
        <x:v>主食</x:v>
      </x:c>
      <x:c r="C283" t="str">
        <x:v>全麦面</x:v>
      </x:c>
      <x:c r="D283" t="n">
        <x:v>125</x:v>
      </x:c>
      <x:c r="E283" t="n">
        <x:v>60</x:v>
      </x:c>
      <x:c r="F283" s="10" t="str">
        <x:v>干粮约重（按熟面/干面≈2.1估算）</x:v>
      </x:c>
      <x:c r="G283" s="10" t="str">
        <x:v>煮熟沥水重</x:v>
      </x:c>
    </x:row>
    <x:row r="284" ht="23" customHeight="1">
      <x:c r="A284" t="n">
        <x:v>8</x:v>
      </x:c>
      <x:c r="B284" t="str">
        <x:v>主食</x:v>
      </x:c>
      <x:c r="C284" t="str">
        <x:v>土豆</x:v>
      </x:c>
      <x:c r="D284" t="n">
        <x:v>155</x:v>
      </x:c>
      <x:c r="E284" t="n">
        <x:v>170</x:v>
      </x:c>
      <x:c r="F284" s="10" t="str">
        <x:v>鲜薯/玉米净重；考虑小幅损耗</x:v>
      </x:c>
      <x:c r="G284" s="10" t="str">
        <x:v>蒸熟净重</x:v>
      </x:c>
    </x:row>
    <x:row r="285" ht="23" customHeight="1">
      <x:c r="A285" t="n">
        <x:v>8</x:v>
      </x:c>
      <x:c r="B285" t="str">
        <x:v>主食</x:v>
      </x:c>
      <x:c r="C285" t="str">
        <x:v>山药</x:v>
      </x:c>
      <x:c r="D285" t="n">
        <x:v>110</x:v>
      </x:c>
      <x:c r="E285" t="n">
        <x:v>120</x:v>
      </x:c>
      <x:c r="F285" s="10" t="str">
        <x:v>鲜薯/玉米净重；考虑小幅损耗</x:v>
      </x:c>
      <x:c r="G285" s="10" t="str">
        <x:v>蒸熟净重</x:v>
      </x:c>
    </x:row>
    <x:row r="286" ht="23" customHeight="1">
      <x:c r="A286" t="n">
        <x:v>8</x:v>
      </x:c>
      <x:c r="B286" t="str">
        <x:v>主食</x:v>
      </x:c>
      <x:c r="C286" t="str">
        <x:v>杂粮饭</x:v>
      </x:c>
      <x:c r="D286" t="n">
        <x:v>120</x:v>
      </x:c>
      <x:c r="E286" t="n">
        <x:v>50</x:v>
      </x:c>
      <x:c r="F286" s="10" t="str">
        <x:v>未煮干粮约重（按熟饭/生米≈2.6估算）</x:v>
      </x:c>
      <x:c r="G286" s="10" t="str">
        <x:v>熟重</x:v>
      </x:c>
    </x:row>
    <x:row r="287" ht="23" customHeight="1">
      <x:c r="A287" t="n">
        <x:v>8</x:v>
      </x:c>
      <x:c r="B287" t="str">
        <x:v>主食</x:v>
      </x:c>
      <x:c r="C287" t="str">
        <x:v>燕麦饭</x:v>
      </x:c>
      <x:c r="D287" t="n">
        <x:v>135</x:v>
      </x:c>
      <x:c r="E287" t="n">
        <x:v>50</x:v>
      </x:c>
      <x:c r="F287" s="10" t="str">
        <x:v>未煮干粮约重（按熟饭/生米≈2.6估算）</x:v>
      </x:c>
      <x:c r="G287" s="10" t="str">
        <x:v>熟重</x:v>
      </x:c>
    </x:row>
    <x:row r="288" ht="23" customHeight="1">
      <x:c r="A288" t="n">
        <x:v>8</x:v>
      </x:c>
      <x:c r="B288" t="str">
        <x:v>主食</x:v>
      </x:c>
      <x:c r="C288" t="str">
        <x:v>玉米</x:v>
      </x:c>
      <x:c r="D288" t="n">
        <x:v>285</x:v>
      </x:c>
      <x:c r="E288" t="n">
        <x:v>310</x:v>
      </x:c>
      <x:c r="F288" s="10" t="str">
        <x:v>鲜薯/玉米净重；考虑小幅损耗</x:v>
      </x:c>
      <x:c r="G288" s="10" t="str">
        <x:v>蒸熟净重</x:v>
      </x:c>
    </x:row>
    <x:row r="289" ht="23" customHeight="1">
      <x:c r="A289" t="n">
        <x:v>8</x:v>
      </x:c>
      <x:c r="B289" t="str">
        <x:v>主食</x:v>
      </x:c>
      <x:c r="C289" t="str">
        <x:v>白米饭</x:v>
      </x:c>
      <x:c r="D289" t="n">
        <x:v>205</x:v>
      </x:c>
      <x:c r="E289" t="n">
        <x:v>80</x:v>
      </x:c>
      <x:c r="F289" s="10" t="str">
        <x:v>未煮干粮约重（按熟饭/生米≈2.6估算）</x:v>
      </x:c>
      <x:c r="G289" s="10" t="str">
        <x:v>熟重</x:v>
      </x:c>
    </x:row>
    <x:row r="290" ht="23" customHeight="1">
      <x:c r="A290" t="n">
        <x:v>8</x:v>
      </x:c>
      <x:c r="B290" t="str">
        <x:v>主食</x:v>
      </x:c>
      <x:c r="C290" t="str">
        <x:v>糙米饭</x:v>
      </x:c>
      <x:c r="D290" t="n">
        <x:v>110</x:v>
      </x:c>
      <x:c r="E290" t="n">
        <x:v>40</x:v>
      </x:c>
      <x:c r="F290" s="10" t="str">
        <x:v>未煮干粮约重（按熟饭/生米≈2.6估算）</x:v>
      </x:c>
      <x:c r="G290" s="10" t="str">
        <x:v>熟重</x:v>
      </x:c>
    </x:row>
    <x:row r="291" ht="23" customHeight="1">
      <x:c r="A291" t="n">
        <x:v>8</x:v>
      </x:c>
      <x:c r="B291" t="str">
        <x:v>主食</x:v>
      </x:c>
      <x:c r="C291" t="str">
        <x:v>紫薯</x:v>
      </x:c>
      <x:c r="D291" t="n">
        <x:v>95</x:v>
      </x:c>
      <x:c r="E291" t="n">
        <x:v>100</x:v>
      </x:c>
      <x:c r="F291" s="10" t="str">
        <x:v>鲜薯/玉米净重；考虑小幅损耗</x:v>
      </x:c>
      <x:c r="G291" s="10" t="str">
        <x:v>蒸熟净重</x:v>
      </x:c>
    </x:row>
    <x:row r="292" ht="23" customHeight="1">
      <x:c r="A292" t="n">
        <x:v>8</x:v>
      </x:c>
      <x:c r="B292" t="str">
        <x:v>主食</x:v>
      </x:c>
      <x:c r="C292" t="str">
        <x:v>红薯</x:v>
      </x:c>
      <x:c r="D292" t="n">
        <x:v>125</x:v>
      </x:c>
      <x:c r="E292" t="n">
        <x:v>140</x:v>
      </x:c>
      <x:c r="F292" s="10" t="str">
        <x:v>鲜薯/玉米净重；考虑小幅损耗</x:v>
      </x:c>
      <x:c r="G292" s="10" t="str">
        <x:v>蒸熟净重</x:v>
      </x:c>
    </x:row>
    <x:row r="293" ht="23" customHeight="1">
      <x:c r="A293" t="n">
        <x:v>8</x:v>
      </x:c>
      <x:c r="B293" t="str">
        <x:v>主食</x:v>
      </x:c>
      <x:c r="C293" t="str">
        <x:v>荞麦饭</x:v>
      </x:c>
      <x:c r="D293" t="n">
        <x:v>135</x:v>
      </x:c>
      <x:c r="E293" t="n">
        <x:v>50</x:v>
      </x:c>
      <x:c r="F293" s="10" t="str">
        <x:v>未煮干粮约重（按熟饭/生米≈2.6估算）</x:v>
      </x:c>
      <x:c r="G293" s="10" t="str">
        <x:v>熟重</x:v>
      </x:c>
    </x:row>
    <x:row r="294" ht="23" customHeight="1">
      <x:c r="A294" t="n">
        <x:v>8</x:v>
      </x:c>
      <x:c r="B294" t="str">
        <x:v>主食</x:v>
      </x:c>
      <x:c r="C294" t="str">
        <x:v>藜麦饭</x:v>
      </x:c>
      <x:c r="D294" t="n">
        <x:v>125</x:v>
      </x:c>
      <x:c r="E294" t="n">
        <x:v>50</x:v>
      </x:c>
      <x:c r="F294" s="10" t="str">
        <x:v>未煮干粮约重（按熟饭/生米≈2.6估算）</x:v>
      </x:c>
      <x:c r="G294" s="10" t="str">
        <x:v>熟重</x:v>
      </x:c>
    </x:row>
    <x:row r="295" ht="23" customHeight="1">
      <x:c r="A295" t="n">
        <x:v>8</x:v>
      </x:c>
      <x:c r="B295" t="str">
        <x:v>油脂</x:v>
      </x:c>
      <x:c r="C295" t="str">
        <x:v>烹调油</x:v>
      </x:c>
      <x:c r="D295" t="n">
        <x:v>64</x:v>
      </x:c>
      <x:c r="E295" t="n">
        <x:v>64</x:v>
      </x:c>
      <x:c r="F295" s="10" t="str">
        <x:v>食用油；现有库存足够即可</x:v>
      </x:c>
      <x:c r="G295" s="10" t="str">
        <x:v>实际用油重</x:v>
      </x:c>
    </x:row>
    <x:row r="296" ht="23" customHeight="1">
      <x:c r="A296" t="n">
        <x:v>8</x:v>
      </x:c>
      <x:c r="B296" t="str">
        <x:v>海鲜</x:v>
      </x:c>
      <x:c r="C296" t="str">
        <x:v>花蛤肉</x:v>
      </x:c>
      <x:c r="D296" t="n">
        <x:v>190</x:v>
      </x:c>
      <x:c r="E296" t="n">
        <x:v>210</x:v>
      </x:c>
      <x:c r="F296" s="10" t="str">
        <x:v>食材净重+约8%余量；带壳或带骨采购需另折算</x:v>
      </x:c>
      <x:c r="G296" s="10" t="str">
        <x:v>净肉生重</x:v>
      </x:c>
    </x:row>
    <x:row r="297" ht="23" customHeight="1">
      <x:c r="A297" t="n">
        <x:v>8</x:v>
      </x:c>
      <x:c r="B297" t="str">
        <x:v>海鲜</x:v>
      </x:c>
      <x:c r="C297" t="str">
        <x:v>虾仁</x:v>
      </x:c>
      <x:c r="D297" t="n">
        <x:v>320</x:v>
      </x:c>
      <x:c r="E297" t="n">
        <x:v>350</x:v>
      </x:c>
      <x:c r="F297" s="10" t="str">
        <x:v>食材净重+约8%余量</x:v>
      </x:c>
      <x:c r="G297" s="10" t="str">
        <x:v>生重</x:v>
      </x:c>
    </x:row>
    <x:row r="298" ht="23" customHeight="1">
      <x:c r="A298" t="n">
        <x:v>8</x:v>
      </x:c>
      <x:c r="B298" t="str">
        <x:v>牛肉</x:v>
      </x:c>
      <x:c r="C298" t="str">
        <x:v>牛腱子</x:v>
      </x:c>
      <x:c r="D298" t="n">
        <x:v>160</x:v>
      </x:c>
      <x:c r="E298" t="n">
        <x:v>170</x:v>
      </x:c>
      <x:c r="F298" s="10" t="str">
        <x:v>食材净重+约8%余量</x:v>
      </x:c>
      <x:c r="G298" s="10" t="str">
        <x:v>生重</x:v>
      </x:c>
    </x:row>
    <x:row r="299" ht="23" customHeight="1">
      <x:c r="A299" t="n">
        <x:v>8</x:v>
      </x:c>
      <x:c r="B299" t="str">
        <x:v>牛肉</x:v>
      </x:c>
      <x:c r="C299" t="str">
        <x:v>牛里脊</x:v>
      </x:c>
      <x:c r="D299" t="n">
        <x:v>160</x:v>
      </x:c>
      <x:c r="E299" t="n">
        <x:v>170</x:v>
      </x:c>
      <x:c r="F299" s="10" t="str">
        <x:v>食材净重+约8%余量</x:v>
      </x:c>
      <x:c r="G299" s="10" t="str">
        <x:v>生重</x:v>
      </x:c>
    </x:row>
    <x:row r="300" ht="23" customHeight="1">
      <x:c r="A300" t="n">
        <x:v>8</x:v>
      </x:c>
      <x:c r="B300" t="str">
        <x:v>牛肉</x:v>
      </x:c>
      <x:c r="C300" t="str">
        <x:v>瘦牛肉</x:v>
      </x:c>
      <x:c r="D300" t="n">
        <x:v>185</x:v>
      </x:c>
      <x:c r="E300" t="n">
        <x:v>200</x:v>
      </x:c>
      <x:c r="F300" s="10" t="str">
        <x:v>食材净重+约8%余量</x:v>
      </x:c>
      <x:c r="G300" s="10" t="str">
        <x:v>生重</x:v>
      </x:c>
    </x:row>
    <x:row r="301" ht="23" customHeight="1">
      <x:c r="A301" t="n">
        <x:v>8</x:v>
      </x:c>
      <x:c r="B301" t="str">
        <x:v>猪肉</x:v>
      </x:c>
      <x:c r="C301" t="str">
        <x:v>猪里脊</x:v>
      </x:c>
      <x:c r="D301" t="n">
        <x:v>335</x:v>
      </x:c>
      <x:c r="E301" t="n">
        <x:v>360</x:v>
      </x:c>
      <x:c r="F301" s="10" t="str">
        <x:v>食材净重+约8%余量</x:v>
      </x:c>
      <x:c r="G301" s="10" t="str">
        <x:v>生重</x:v>
      </x:c>
    </x:row>
    <x:row r="302" ht="23" customHeight="1">
      <x:c r="A302" t="n">
        <x:v>8</x:v>
      </x:c>
      <x:c r="B302" t="str">
        <x:v>禽肉</x:v>
      </x:c>
      <x:c r="C302" t="str">
        <x:v>鸡胸肉</x:v>
      </x:c>
      <x:c r="D302" t="n">
        <x:v>330</x:v>
      </x:c>
      <x:c r="E302" t="n">
        <x:v>360</x:v>
      </x:c>
      <x:c r="F302" s="10" t="str">
        <x:v>食材净重+约8%余量</x:v>
      </x:c>
      <x:c r="G302" s="10" t="str">
        <x:v>生重</x:v>
      </x:c>
    </x:row>
    <x:row r="303" ht="23" customHeight="1">
      <x:c r="A303" t="n">
        <x:v>8</x:v>
      </x:c>
      <x:c r="B303" t="str">
        <x:v>菌菇</x:v>
      </x:c>
      <x:c r="C303" t="str">
        <x:v>口蘑</x:v>
      </x:c>
      <x:c r="D303" t="n">
        <x:v>545</x:v>
      </x:c>
      <x:c r="E303" t="n">
        <x:v>590</x:v>
      </x:c>
      <x:c r="F303" s="10" t="str">
        <x:v>食材净重+约8%余量</x:v>
      </x:c>
      <x:c r="G303" s="10" t="str">
        <x:v>生重</x:v>
      </x:c>
    </x:row>
    <x:row r="304" ht="23" customHeight="1">
      <x:c r="A304" t="n">
        <x:v>8</x:v>
      </x:c>
      <x:c r="B304" t="str">
        <x:v>菌菇</x:v>
      </x:c>
      <x:c r="C304" t="str">
        <x:v>泡发木耳</x:v>
      </x:c>
      <x:c r="D304" t="n">
        <x:v>155</x:v>
      </x:c>
      <x:c r="E304" t="n">
        <x:v>170</x:v>
      </x:c>
      <x:c r="F304" s="10" t="str">
        <x:v>食材净重+约8%余量</x:v>
      </x:c>
      <x:c r="G304" s="10" t="str">
        <x:v>泡发沥水重</x:v>
      </x:c>
    </x:row>
    <x:row r="305" ht="23" customHeight="1">
      <x:c r="A305" t="n">
        <x:v>8</x:v>
      </x:c>
      <x:c r="B305" t="str">
        <x:v>菌菇</x:v>
      </x:c>
      <x:c r="C305" t="str">
        <x:v>金针菇</x:v>
      </x:c>
      <x:c r="D305" t="n">
        <x:v>125</x:v>
      </x:c>
      <x:c r="E305" t="n">
        <x:v>140</x:v>
      </x:c>
      <x:c r="F305" s="10" t="str">
        <x:v>食材净重+约8%余量</x:v>
      </x:c>
      <x:c r="G305" s="10" t="str">
        <x:v>生重</x:v>
      </x:c>
    </x:row>
    <x:row r="306" ht="23" customHeight="1">
      <x:c r="A306" t="n">
        <x:v>8</x:v>
      </x:c>
      <x:c r="B306" t="str">
        <x:v>蔬菜</x:v>
      </x:c>
      <x:c r="C306" t="str">
        <x:v>冬瓜</x:v>
      </x:c>
      <x:c r="D306" t="n">
        <x:v>330</x:v>
      </x:c>
      <x:c r="E306" t="n">
        <x:v>360</x:v>
      </x:c>
      <x:c r="F306" s="10" t="str">
        <x:v>食材净重+约8%余量</x:v>
      </x:c>
      <x:c r="G306" s="10" t="str">
        <x:v>生重</x:v>
      </x:c>
    </x:row>
    <x:row r="307" ht="23" customHeight="1">
      <x:c r="A307" t="n">
        <x:v>8</x:v>
      </x:c>
      <x:c r="B307" t="str">
        <x:v>蔬菜</x:v>
      </x:c>
      <x:c r="C307" t="str">
        <x:v>大白菜</x:v>
      </x:c>
      <x:c r="D307" t="n">
        <x:v>190</x:v>
      </x:c>
      <x:c r="E307" t="n">
        <x:v>210</x:v>
      </x:c>
      <x:c r="F307" s="10" t="str">
        <x:v>食材净重+约8%余量</x:v>
      </x:c>
      <x:c r="G307" s="10" t="str">
        <x:v>生重</x:v>
      </x:c>
    </x:row>
    <x:row r="308" ht="23" customHeight="1">
      <x:c r="A308" t="n">
        <x:v>8</x:v>
      </x:c>
      <x:c r="B308" t="str">
        <x:v>蔬菜</x:v>
      </x:c>
      <x:c r="C308" t="str">
        <x:v>小白菜</x:v>
      </x:c>
      <x:c r="D308" t="n">
        <x:v>335</x:v>
      </x:c>
      <x:c r="E308" t="n">
        <x:v>360</x:v>
      </x:c>
      <x:c r="F308" s="10" t="str">
        <x:v>食材净重+约8%余量</x:v>
      </x:c>
      <x:c r="G308" s="10" t="str">
        <x:v>生重</x:v>
      </x:c>
    </x:row>
    <x:row r="309" ht="23" customHeight="1">
      <x:c r="A309" t="n">
        <x:v>8</x:v>
      </x:c>
      <x:c r="B309" t="str">
        <x:v>蔬菜</x:v>
      </x:c>
      <x:c r="C309" t="str">
        <x:v>彩椒</x:v>
      </x:c>
      <x:c r="D309" t="n">
        <x:v>110</x:v>
      </x:c>
      <x:c r="E309" t="n">
        <x:v>120</x:v>
      </x:c>
      <x:c r="F309" s="10" t="str">
        <x:v>食材净重+约8%余量</x:v>
      </x:c>
      <x:c r="G309" s="10" t="str">
        <x:v>生重</x:v>
      </x:c>
    </x:row>
    <x:row r="310" ht="23" customHeight="1">
      <x:c r="A310" t="n">
        <x:v>8</x:v>
      </x:c>
      <x:c r="B310" t="str">
        <x:v>蔬菜</x:v>
      </x:c>
      <x:c r="C310" t="str">
        <x:v>洋葱</x:v>
      </x:c>
      <x:c r="D310" t="n">
        <x:v>235</x:v>
      </x:c>
      <x:c r="E310" t="n">
        <x:v>250</x:v>
      </x:c>
      <x:c r="F310" s="10" t="str">
        <x:v>食材净重+约8%余量</x:v>
      </x:c>
      <x:c r="G310" s="10" t="str">
        <x:v>生重</x:v>
      </x:c>
    </x:row>
    <x:row r="311" ht="23" customHeight="1">
      <x:c r="A311" t="n">
        <x:v>8</x:v>
      </x:c>
      <x:c r="B311" t="str">
        <x:v>蔬菜</x:v>
      </x:c>
      <x:c r="C311" t="str">
        <x:v>海带</x:v>
      </x:c>
      <x:c r="D311" t="n">
        <x:v>125</x:v>
      </x:c>
      <x:c r="E311" t="n">
        <x:v>140</x:v>
      </x:c>
      <x:c r="F311" s="10" t="str">
        <x:v>食材净重+约8%余量</x:v>
      </x:c>
      <x:c r="G311" s="10" t="str">
        <x:v>泡发沥水重</x:v>
      </x:c>
    </x:row>
    <x:row r="312" ht="23" customHeight="1">
      <x:c r="A312" t="n">
        <x:v>8</x:v>
      </x:c>
      <x:c r="B312" t="str">
        <x:v>蔬菜</x:v>
      </x:c>
      <x:c r="C312" t="str">
        <x:v>番茄</x:v>
      </x:c>
      <x:c r="D312" t="n">
        <x:v>280</x:v>
      </x:c>
      <x:c r="E312" t="n">
        <x:v>300</x:v>
      </x:c>
      <x:c r="F312" s="10" t="str">
        <x:v>食材净重+约8%余量</x:v>
      </x:c>
      <x:c r="G312" s="10" t="str">
        <x:v>生重</x:v>
      </x:c>
    </x:row>
    <x:row r="313" ht="23" customHeight="1">
      <x:c r="A313" t="n">
        <x:v>8</x:v>
      </x:c>
      <x:c r="B313" t="str">
        <x:v>蔬菜</x:v>
      </x:c>
      <x:c r="C313" t="str">
        <x:v>白萝卜</x:v>
      </x:c>
      <x:c r="D313" t="n">
        <x:v>300</x:v>
      </x:c>
      <x:c r="E313" t="n">
        <x:v>320</x:v>
      </x:c>
      <x:c r="F313" s="10" t="str">
        <x:v>食材净重+约8%余量</x:v>
      </x:c>
      <x:c r="G313" s="10" t="str">
        <x:v>生重</x:v>
      </x:c>
    </x:row>
    <x:row r="314" ht="23" customHeight="1">
      <x:c r="A314" t="n">
        <x:v>8</x:v>
      </x:c>
      <x:c r="B314" t="str">
        <x:v>蔬菜</x:v>
      </x:c>
      <x:c r="C314" t="str">
        <x:v>紫甘蓝</x:v>
      </x:c>
      <x:c r="D314" t="n">
        <x:v>175</x:v>
      </x:c>
      <x:c r="E314" t="n">
        <x:v>190</x:v>
      </x:c>
      <x:c r="F314" s="10" t="str">
        <x:v>食材净重+约8%余量</x:v>
      </x:c>
      <x:c r="G314" s="10" t="str">
        <x:v>生重</x:v>
      </x:c>
    </x:row>
    <x:row r="315" ht="23" customHeight="1">
      <x:c r="A315" t="n">
        <x:v>8</x:v>
      </x:c>
      <x:c r="B315" t="str">
        <x:v>蔬菜</x:v>
      </x:c>
      <x:c r="C315" t="str">
        <x:v>芦笋</x:v>
      </x:c>
      <x:c r="D315" t="n">
        <x:v>425</x:v>
      </x:c>
      <x:c r="E315" t="n">
        <x:v>460</x:v>
      </x:c>
      <x:c r="F315" s="10" t="str">
        <x:v>食材净重+约8%余量</x:v>
      </x:c>
      <x:c r="G315" s="10" t="str">
        <x:v>生重</x:v>
      </x:c>
    </x:row>
    <x:row r="316" ht="23" customHeight="1">
      <x:c r="A316" t="n">
        <x:v>8</x:v>
      </x:c>
      <x:c r="B316" t="str">
        <x:v>蔬菜</x:v>
      </x:c>
      <x:c r="C316" t="str">
        <x:v>花菜</x:v>
      </x:c>
      <x:c r="D316" t="n">
        <x:v>190</x:v>
      </x:c>
      <x:c r="E316" t="n">
        <x:v>210</x:v>
      </x:c>
      <x:c r="F316" s="10" t="str">
        <x:v>食材净重+约8%余量</x:v>
      </x:c>
      <x:c r="G316" s="10" t="str">
        <x:v>生重</x:v>
      </x:c>
    </x:row>
    <x:row r="317" ht="23" customHeight="1">
      <x:c r="A317" t="n">
        <x:v>8</x:v>
      </x:c>
      <x:c r="B317" t="str">
        <x:v>蔬菜</x:v>
      </x:c>
      <x:c r="C317" t="str">
        <x:v>芹菜</x:v>
      </x:c>
      <x:c r="D317" t="n">
        <x:v>140</x:v>
      </x:c>
      <x:c r="E317" t="n">
        <x:v>150</x:v>
      </x:c>
      <x:c r="F317" s="10" t="str">
        <x:v>食材净重+约8%余量</x:v>
      </x:c>
      <x:c r="G317" s="10" t="str">
        <x:v>生重</x:v>
      </x:c>
    </x:row>
    <x:row r="318" ht="23" customHeight="1">
      <x:c r="A318" t="n">
        <x:v>8</x:v>
      </x:c>
      <x:c r="B318" t="str">
        <x:v>蔬菜</x:v>
      </x:c>
      <x:c r="C318" t="str">
        <x:v>苦瓜</x:v>
      </x:c>
      <x:c r="D318" t="n">
        <x:v>140</x:v>
      </x:c>
      <x:c r="E318" t="n">
        <x:v>150</x:v>
      </x:c>
      <x:c r="F318" s="10" t="str">
        <x:v>食材净重+约8%余量</x:v>
      </x:c>
      <x:c r="G318" s="10" t="str">
        <x:v>生重</x:v>
      </x:c>
    </x:row>
    <x:row r="319" ht="23" customHeight="1">
      <x:c r="A319" t="n">
        <x:v>8</x:v>
      </x:c>
      <x:c r="B319" t="str">
        <x:v>蔬菜</x:v>
      </x:c>
      <x:c r="C319" t="str">
        <x:v>菜心</x:v>
      </x:c>
      <x:c r="D319" t="n">
        <x:v>175</x:v>
      </x:c>
      <x:c r="E319" t="n">
        <x:v>190</x:v>
      </x:c>
      <x:c r="F319" s="10" t="str">
        <x:v>食材净重+约8%余量</x:v>
      </x:c>
      <x:c r="G319" s="10" t="str">
        <x:v>生重</x:v>
      </x:c>
    </x:row>
    <x:row r="320" ht="23" customHeight="1">
      <x:c r="A320" t="n">
        <x:v>8</x:v>
      </x:c>
      <x:c r="B320" t="str">
        <x:v>蔬菜</x:v>
      </x:c>
      <x:c r="C320" t="str">
        <x:v>菠菜</x:v>
      </x:c>
      <x:c r="D320" t="n">
        <x:v>175</x:v>
      </x:c>
      <x:c r="E320" t="n">
        <x:v>190</x:v>
      </x:c>
      <x:c r="F320" s="10" t="str">
        <x:v>食材净重+约8%余量</x:v>
      </x:c>
      <x:c r="G320" s="10" t="str">
        <x:v>生重</x:v>
      </x:c>
    </x:row>
    <x:row r="321" ht="23" customHeight="1">
      <x:c r="A321" t="n">
        <x:v>8</x:v>
      </x:c>
      <x:c r="B321" t="str">
        <x:v>豆蛋</x:v>
      </x:c>
      <x:c r="C321" t="str">
        <x:v>北豆腐</x:v>
      </x:c>
      <x:c r="D321" t="n">
        <x:v>830</x:v>
      </x:c>
      <x:c r="E321" t="n">
        <x:v>900</x:v>
      </x:c>
      <x:c r="F321" s="10" t="str">
        <x:v>食材净重+约8%余量</x:v>
      </x:c>
      <x:c r="G321" s="10" t="str">
        <x:v>净重</x:v>
      </x:c>
    </x:row>
    <x:row r="322" ht="23" customHeight="1">
      <x:c r="A322" t="n">
        <x:v>8</x:v>
      </x:c>
      <x:c r="B322" t="str">
        <x:v>豆蛋</x:v>
      </x:c>
      <x:c r="C322" t="str">
        <x:v>嫩豆腐</x:v>
      </x:c>
      <x:c r="D322" t="n">
        <x:v>410</x:v>
      </x:c>
      <x:c r="E322" t="n">
        <x:v>440</x:v>
      </x:c>
      <x:c r="F322" s="10" t="str">
        <x:v>食材净重+约8%余量</x:v>
      </x:c>
      <x:c r="G322" s="10" t="str">
        <x:v>净重</x:v>
      </x:c>
    </x:row>
    <x:row r="323" ht="23" customHeight="1">
      <x:c r="A323" t="n">
        <x:v>8</x:v>
      </x:c>
      <x:c r="B323" t="str">
        <x:v>豆蛋</x:v>
      </x:c>
      <x:c r="C323" t="str">
        <x:v>鸡蛋</x:v>
      </x:c>
      <x:c r="D323" t="n">
        <x:v>280</x:v>
      </x:c>
      <x:c r="E323" t="n">
        <x:v>300</x:v>
      </x:c>
      <x:c r="F323" s="10" t="str">
        <x:v>食材净重+约8%余量</x:v>
      </x:c>
      <x:c r="G323" s="10" t="str">
        <x:v>去壳可食重</x:v>
      </x:c>
    </x:row>
    <x:row r="324" ht="23" customHeight="1">
      <x:c r="A324" t="n">
        <x:v>9</x:v>
      </x:c>
      <x:c r="B324" t="str">
        <x:v>主食</x:v>
      </x:c>
      <x:c r="C324" t="str">
        <x:v>乌冬面</x:v>
      </x:c>
      <x:c r="D324" t="n">
        <x:v>245</x:v>
      </x:c>
      <x:c r="E324" t="n">
        <x:v>120</x:v>
      </x:c>
      <x:c r="F324" s="10" t="str">
        <x:v>干粮约重（按熟面/干面≈2.1估算）</x:v>
      </x:c>
      <x:c r="G324" s="10" t="str">
        <x:v>煮熟沥水重</x:v>
      </x:c>
    </x:row>
    <x:row r="325" ht="23" customHeight="1">
      <x:c r="A325" t="n">
        <x:v>9</x:v>
      </x:c>
      <x:c r="B325" t="str">
        <x:v>主食</x:v>
      </x:c>
      <x:c r="C325" t="str">
        <x:v>杂粮饭</x:v>
      </x:c>
      <x:c r="D325" t="n">
        <x:v>490</x:v>
      </x:c>
      <x:c r="E325" t="n">
        <x:v>190</x:v>
      </x:c>
      <x:c r="F325" s="10" t="str">
        <x:v>未煮干粮约重（按熟饭/生米≈2.6估算）</x:v>
      </x:c>
      <x:c r="G325" s="10" t="str">
        <x:v>熟重</x:v>
      </x:c>
    </x:row>
    <x:row r="326" ht="23" customHeight="1">
      <x:c r="A326" t="n">
        <x:v>9</x:v>
      </x:c>
      <x:c r="B326" t="str">
        <x:v>主食</x:v>
      </x:c>
      <x:c r="C326" t="str">
        <x:v>米粉</x:v>
      </x:c>
      <x:c r="D326" t="n">
        <x:v>110</x:v>
      </x:c>
      <x:c r="E326" t="n">
        <x:v>50</x:v>
      </x:c>
      <x:c r="F326" s="10" t="str">
        <x:v>干粮约重（按熟面/干面≈2.1估算）</x:v>
      </x:c>
      <x:c r="G326" s="10" t="str">
        <x:v>煮熟沥水重</x:v>
      </x:c>
    </x:row>
    <x:row r="327" ht="23" customHeight="1">
      <x:c r="A327" t="n">
        <x:v>9</x:v>
      </x:c>
      <x:c r="B327" t="str">
        <x:v>主食</x:v>
      </x:c>
      <x:c r="C327" t="str">
        <x:v>糙米饭</x:v>
      </x:c>
      <x:c r="D327" t="n">
        <x:v>410</x:v>
      </x:c>
      <x:c r="E327" t="n">
        <x:v>160</x:v>
      </x:c>
      <x:c r="F327" s="10" t="str">
        <x:v>未煮干粮约重（按熟饭/生米≈2.6估算）</x:v>
      </x:c>
      <x:c r="G327" s="10" t="str">
        <x:v>熟重</x:v>
      </x:c>
    </x:row>
    <x:row r="328" ht="23" customHeight="1">
      <x:c r="A328" t="n">
        <x:v>9</x:v>
      </x:c>
      <x:c r="B328" t="str">
        <x:v>主食</x:v>
      </x:c>
      <x:c r="C328" t="str">
        <x:v>红薯</x:v>
      </x:c>
      <x:c r="D328" t="n">
        <x:v>135</x:v>
      </x:c>
      <x:c r="E328" t="n">
        <x:v>150</x:v>
      </x:c>
      <x:c r="F328" s="10" t="str">
        <x:v>鲜薯/玉米净重；考虑小幅损耗</x:v>
      </x:c>
      <x:c r="G328" s="10" t="str">
        <x:v>蒸熟净重</x:v>
      </x:c>
    </x:row>
    <x:row r="329" ht="23" customHeight="1">
      <x:c r="A329" t="n">
        <x:v>9</x:v>
      </x:c>
      <x:c r="B329" t="str">
        <x:v>主食</x:v>
      </x:c>
      <x:c r="C329" t="str">
        <x:v>荞麦饭</x:v>
      </x:c>
      <x:c r="D329" t="n">
        <x:v>135</x:v>
      </x:c>
      <x:c r="E329" t="n">
        <x:v>50</x:v>
      </x:c>
      <x:c r="F329" s="10" t="str">
        <x:v>未煮干粮约重（按熟饭/生米≈2.6估算）</x:v>
      </x:c>
      <x:c r="G329" s="10" t="str">
        <x:v>熟重</x:v>
      </x:c>
    </x:row>
    <x:row r="330" ht="23" customHeight="1">
      <x:c r="A330" t="n">
        <x:v>9</x:v>
      </x:c>
      <x:c r="B330" t="str">
        <x:v>低主食</x:v>
      </x:c>
      <x:c r="C330" t="str">
        <x:v>魔芋丝</x:v>
      </x:c>
      <x:c r="D330" t="n">
        <x:v>200</x:v>
      </x:c>
      <x:c r="E330" t="n">
        <x:v>210</x:v>
      </x:c>
      <x:c r="F330" s="10" t="str">
        <x:v>袋装沥水净重</x:v>
      </x:c>
      <x:c r="G330" s="10" t="str">
        <x:v>沥水重</x:v>
      </x:c>
    </x:row>
    <x:row r="331" ht="23" customHeight="1">
      <x:c r="A331" t="n">
        <x:v>9</x:v>
      </x:c>
      <x:c r="B331" t="str">
        <x:v>油脂</x:v>
      </x:c>
      <x:c r="C331" t="str">
        <x:v>烹调油</x:v>
      </x:c>
      <x:c r="D331" t="n">
        <x:v>62</x:v>
      </x:c>
      <x:c r="E331" t="n">
        <x:v>62</x:v>
      </x:c>
      <x:c r="F331" s="10" t="str">
        <x:v>食用油；现有库存足够即可</x:v>
      </x:c>
      <x:c r="G331" s="10" t="str">
        <x:v>实际用油重</x:v>
      </x:c>
    </x:row>
    <x:row r="332" ht="23" customHeight="1">
      <x:c r="A332" t="n">
        <x:v>9</x:v>
      </x:c>
      <x:c r="B332" t="str">
        <x:v>海鲜</x:v>
      </x:c>
      <x:c r="C332" t="str">
        <x:v>花蛤肉</x:v>
      </x:c>
      <x:c r="D332" t="n">
        <x:v>420</x:v>
      </x:c>
      <x:c r="E332" t="n">
        <x:v>450</x:v>
      </x:c>
      <x:c r="F332" s="10" t="str">
        <x:v>食材净重+约8%余量；带壳或带骨采购需另折算</x:v>
      </x:c>
      <x:c r="G332" s="10" t="str">
        <x:v>净肉生重</x:v>
      </x:c>
    </x:row>
    <x:row r="333" ht="23" customHeight="1">
      <x:c r="A333" t="n">
        <x:v>9</x:v>
      </x:c>
      <x:c r="B333" t="str">
        <x:v>海鲜</x:v>
      </x:c>
      <x:c r="C333" t="str">
        <x:v>虾仁</x:v>
      </x:c>
      <x:c r="D333" t="n">
        <x:v>335</x:v>
      </x:c>
      <x:c r="E333" t="n">
        <x:v>360</x:v>
      </x:c>
      <x:c r="F333" s="10" t="str">
        <x:v>食材净重+约8%余量</x:v>
      </x:c>
      <x:c r="G333" s="10" t="str">
        <x:v>生重</x:v>
      </x:c>
    </x:row>
    <x:row r="334" ht="23" customHeight="1">
      <x:c r="A334" t="n">
        <x:v>9</x:v>
      </x:c>
      <x:c r="B334" t="str">
        <x:v>海鲜</x:v>
      </x:c>
      <x:c r="C334" t="str">
        <x:v>鱿鱼</x:v>
      </x:c>
      <x:c r="D334" t="n">
        <x:v>350</x:v>
      </x:c>
      <x:c r="E334" t="n">
        <x:v>380</x:v>
      </x:c>
      <x:c r="F334" s="10" t="str">
        <x:v>食材净重+约8%余量</x:v>
      </x:c>
      <x:c r="G334" s="10" t="str">
        <x:v>生重</x:v>
      </x:c>
    </x:row>
    <x:row r="335" ht="23" customHeight="1">
      <x:c r="A335" t="n">
        <x:v>9</x:v>
      </x:c>
      <x:c r="B335" t="str">
        <x:v>牛肉</x:v>
      </x:c>
      <x:c r="C335" t="str">
        <x:v>瘦牛肉</x:v>
      </x:c>
      <x:c r="D335" t="n">
        <x:v>360</x:v>
      </x:c>
      <x:c r="E335" t="n">
        <x:v>390</x:v>
      </x:c>
      <x:c r="F335" s="10" t="str">
        <x:v>食材净重+约8%余量</x:v>
      </x:c>
      <x:c r="G335" s="10" t="str">
        <x:v>生重</x:v>
      </x:c>
    </x:row>
    <x:row r="336" ht="23" customHeight="1">
      <x:c r="A336" t="n">
        <x:v>9</x:v>
      </x:c>
      <x:c r="B336" t="str">
        <x:v>禽肉</x:v>
      </x:c>
      <x:c r="C336" t="str">
        <x:v>去皮鸡腿肉</x:v>
      </x:c>
      <x:c r="D336" t="n">
        <x:v>185</x:v>
      </x:c>
      <x:c r="E336" t="n">
        <x:v>200</x:v>
      </x:c>
      <x:c r="F336" s="10" t="str">
        <x:v>食材净重+约8%余量</x:v>
      </x:c>
      <x:c r="G336" s="10" t="str">
        <x:v>生重</x:v>
      </x:c>
    </x:row>
    <x:row r="337" ht="23" customHeight="1">
      <x:c r="A337" t="n">
        <x:v>9</x:v>
      </x:c>
      <x:c r="B337" t="str">
        <x:v>禽肉</x:v>
      </x:c>
      <x:c r="C337" t="str">
        <x:v>鸡胸肉</x:v>
      </x:c>
      <x:c r="D337" t="n">
        <x:v>335</x:v>
      </x:c>
      <x:c r="E337" t="n">
        <x:v>360</x:v>
      </x:c>
      <x:c r="F337" s="10" t="str">
        <x:v>食材净重+约8%余量</x:v>
      </x:c>
      <x:c r="G337" s="10" t="str">
        <x:v>生重</x:v>
      </x:c>
    </x:row>
    <x:row r="338" ht="23" customHeight="1">
      <x:c r="A338" t="n">
        <x:v>9</x:v>
      </x:c>
      <x:c r="B338" t="str">
        <x:v>菌菇</x:v>
      </x:c>
      <x:c r="C338" t="str">
        <x:v>口蘑</x:v>
      </x:c>
      <x:c r="D338" t="n">
        <x:v>265</x:v>
      </x:c>
      <x:c r="E338" t="n">
        <x:v>290</x:v>
      </x:c>
      <x:c r="F338" s="10" t="str">
        <x:v>食材净重+约8%余量</x:v>
      </x:c>
      <x:c r="G338" s="10" t="str">
        <x:v>生重</x:v>
      </x:c>
    </x:row>
    <x:row r="339" ht="23" customHeight="1">
      <x:c r="A339" t="n">
        <x:v>9</x:v>
      </x:c>
      <x:c r="B339" t="str">
        <x:v>菌菇</x:v>
      </x:c>
      <x:c r="C339" t="str">
        <x:v>杏鲍菇</x:v>
      </x:c>
      <x:c r="D339" t="n">
        <x:v>140</x:v>
      </x:c>
      <x:c r="E339" t="n">
        <x:v>150</x:v>
      </x:c>
      <x:c r="F339" s="10" t="str">
        <x:v>食材净重+约8%余量</x:v>
      </x:c>
      <x:c r="G339" s="10" t="str">
        <x:v>生重</x:v>
      </x:c>
    </x:row>
    <x:row r="340" ht="23" customHeight="1">
      <x:c r="A340" t="n">
        <x:v>9</x:v>
      </x:c>
      <x:c r="B340" t="str">
        <x:v>菌菇</x:v>
      </x:c>
      <x:c r="C340" t="str">
        <x:v>金针菇</x:v>
      </x:c>
      <x:c r="D340" t="n">
        <x:v>140</x:v>
      </x:c>
      <x:c r="E340" t="n">
        <x:v>150</x:v>
      </x:c>
      <x:c r="F340" s="10" t="str">
        <x:v>食材净重+约8%余量</x:v>
      </x:c>
      <x:c r="G340" s="10" t="str">
        <x:v>生重</x:v>
      </x:c>
    </x:row>
    <x:row r="341" ht="23" customHeight="1">
      <x:c r="A341" t="n">
        <x:v>9</x:v>
      </x:c>
      <x:c r="B341" t="str">
        <x:v>菌菇</x:v>
      </x:c>
      <x:c r="C341" t="str">
        <x:v>香菇</x:v>
      </x:c>
      <x:c r="D341" t="n">
        <x:v>220</x:v>
      </x:c>
      <x:c r="E341" t="n">
        <x:v>240</x:v>
      </x:c>
      <x:c r="F341" s="10" t="str">
        <x:v>食材净重+约8%余量</x:v>
      </x:c>
      <x:c r="G341" s="10" t="str">
        <x:v>生重</x:v>
      </x:c>
    </x:row>
    <x:row r="342" ht="23" customHeight="1">
      <x:c r="A342" t="n">
        <x:v>9</x:v>
      </x:c>
      <x:c r="B342" t="str">
        <x:v>蔬菜</x:v>
      </x:c>
      <x:c r="C342" t="str">
        <x:v>丝瓜</x:v>
      </x:c>
      <x:c r="D342" t="n">
        <x:v>125</x:v>
      </x:c>
      <x:c r="E342" t="n">
        <x:v>140</x:v>
      </x:c>
      <x:c r="F342" s="10" t="str">
        <x:v>食材净重+约8%余量</x:v>
      </x:c>
      <x:c r="G342" s="10" t="str">
        <x:v>生重</x:v>
      </x:c>
    </x:row>
    <x:row r="343" ht="23" customHeight="1">
      <x:c r="A343" t="n">
        <x:v>9</x:v>
      </x:c>
      <x:c r="B343" t="str">
        <x:v>蔬菜</x:v>
      </x:c>
      <x:c r="C343" t="str">
        <x:v>冬瓜</x:v>
      </x:c>
      <x:c r="D343" t="n">
        <x:v>160</x:v>
      </x:c>
      <x:c r="E343" t="n">
        <x:v>170</x:v>
      </x:c>
      <x:c r="F343" s="10" t="str">
        <x:v>食材净重+约8%余量</x:v>
      </x:c>
      <x:c r="G343" s="10" t="str">
        <x:v>生重</x:v>
      </x:c>
    </x:row>
    <x:row r="344" ht="23" customHeight="1">
      <x:c r="A344" t="n">
        <x:v>9</x:v>
      </x:c>
      <x:c r="B344" t="str">
        <x:v>蔬菜</x:v>
      </x:c>
      <x:c r="C344" t="str">
        <x:v>四季豆</x:v>
      </x:c>
      <x:c r="D344" t="n">
        <x:v>140</x:v>
      </x:c>
      <x:c r="E344" t="n">
        <x:v>150</x:v>
      </x:c>
      <x:c r="F344" s="10" t="str">
        <x:v>食材净重+约8%余量</x:v>
      </x:c>
      <x:c r="G344" s="10" t="str">
        <x:v>生重</x:v>
      </x:c>
    </x:row>
    <x:row r="345" ht="23" customHeight="1">
      <x:c r="A345" t="n">
        <x:v>9</x:v>
      </x:c>
      <x:c r="B345" t="str">
        <x:v>蔬菜</x:v>
      </x:c>
      <x:c r="C345" t="str">
        <x:v>小白菜</x:v>
      </x:c>
      <x:c r="D345" t="n">
        <x:v>155</x:v>
      </x:c>
      <x:c r="E345" t="n">
        <x:v>170</x:v>
      </x:c>
      <x:c r="F345" s="10" t="str">
        <x:v>食材净重+约8%余量</x:v>
      </x:c>
      <x:c r="G345" s="10" t="str">
        <x:v>生重</x:v>
      </x:c>
    </x:row>
    <x:row r="346" ht="23" customHeight="1">
      <x:c r="A346" t="n">
        <x:v>9</x:v>
      </x:c>
      <x:c r="B346" t="str">
        <x:v>蔬菜</x:v>
      </x:c>
      <x:c r="C346" t="str">
        <x:v>彩椒</x:v>
      </x:c>
      <x:c r="D346" t="n">
        <x:v>110</x:v>
      </x:c>
      <x:c r="E346" t="n">
        <x:v>120</x:v>
      </x:c>
      <x:c r="F346" s="10" t="str">
        <x:v>食材净重+约8%余量</x:v>
      </x:c>
      <x:c r="G346" s="10" t="str">
        <x:v>生重</x:v>
      </x:c>
    </x:row>
    <x:row r="347" ht="23" customHeight="1">
      <x:c r="A347" t="n">
        <x:v>9</x:v>
      </x:c>
      <x:c r="B347" t="str">
        <x:v>蔬菜</x:v>
      </x:c>
      <x:c r="C347" t="str">
        <x:v>生菜</x:v>
      </x:c>
      <x:c r="D347" t="n">
        <x:v>175</x:v>
      </x:c>
      <x:c r="E347" t="n">
        <x:v>190</x:v>
      </x:c>
      <x:c r="F347" s="10" t="str">
        <x:v>食材净重+约8%余量</x:v>
      </x:c>
      <x:c r="G347" s="10" t="str">
        <x:v>生重</x:v>
      </x:c>
    </x:row>
    <x:row r="348" ht="23" customHeight="1">
      <x:c r="A348" t="n">
        <x:v>9</x:v>
      </x:c>
      <x:c r="B348" t="str">
        <x:v>蔬菜</x:v>
      </x:c>
      <x:c r="C348" t="str">
        <x:v>番茄</x:v>
      </x:c>
      <x:c r="D348" t="n">
        <x:v>835</x:v>
      </x:c>
      <x:c r="E348" t="n">
        <x:v>900</x:v>
      </x:c>
      <x:c r="F348" s="10" t="str">
        <x:v>食材净重+约8%余量</x:v>
      </x:c>
      <x:c r="G348" s="10" t="str">
        <x:v>生重</x:v>
      </x:c>
    </x:row>
    <x:row r="349" ht="23" customHeight="1">
      <x:c r="A349" t="n">
        <x:v>9</x:v>
      </x:c>
      <x:c r="B349" t="str">
        <x:v>蔬菜</x:v>
      </x:c>
      <x:c r="C349" t="str">
        <x:v>紫甘蓝</x:v>
      </x:c>
      <x:c r="D349" t="n">
        <x:v>140</x:v>
      </x:c>
      <x:c r="E349" t="n">
        <x:v>150</x:v>
      </x:c>
      <x:c r="F349" s="10" t="str">
        <x:v>食材净重+约8%余量</x:v>
      </x:c>
      <x:c r="G349" s="10" t="str">
        <x:v>生重</x:v>
      </x:c>
    </x:row>
    <x:row r="350" ht="23" customHeight="1">
      <x:c r="A350" t="n">
        <x:v>9</x:v>
      </x:c>
      <x:c r="B350" t="str">
        <x:v>蔬菜</x:v>
      </x:c>
      <x:c r="C350" t="str">
        <x:v>绿豆芽</x:v>
      </x:c>
      <x:c r="D350" t="n">
        <x:v>125</x:v>
      </x:c>
      <x:c r="E350" t="n">
        <x:v>140</x:v>
      </x:c>
      <x:c r="F350" s="10" t="str">
        <x:v>食材净重+约8%余量</x:v>
      </x:c>
      <x:c r="G350" s="10" t="str">
        <x:v>生重</x:v>
      </x:c>
    </x:row>
    <x:row r="351" ht="23" customHeight="1">
      <x:c r="A351" t="n">
        <x:v>9</x:v>
      </x:c>
      <x:c r="B351" t="str">
        <x:v>蔬菜</x:v>
      </x:c>
      <x:c r="C351" t="str">
        <x:v>芦笋</x:v>
      </x:c>
      <x:c r="D351" t="n">
        <x:v>160</x:v>
      </x:c>
      <x:c r="E351" t="n">
        <x:v>170</x:v>
      </x:c>
      <x:c r="F351" s="10" t="str">
        <x:v>食材净重+约8%余量</x:v>
      </x:c>
      <x:c r="G351" s="10" t="str">
        <x:v>生重</x:v>
      </x:c>
    </x:row>
    <x:row r="352" ht="23" customHeight="1">
      <x:c r="A352" t="n">
        <x:v>9</x:v>
      </x:c>
      <x:c r="B352" t="str">
        <x:v>蔬菜</x:v>
      </x:c>
      <x:c r="C352" t="str">
        <x:v>花菜</x:v>
      </x:c>
      <x:c r="D352" t="n">
        <x:v>140</x:v>
      </x:c>
      <x:c r="E352" t="n">
        <x:v>150</x:v>
      </x:c>
      <x:c r="F352" s="10" t="str">
        <x:v>食材净重+约8%余量</x:v>
      </x:c>
      <x:c r="G352" s="10" t="str">
        <x:v>生重</x:v>
      </x:c>
    </x:row>
    <x:row r="353" ht="23" customHeight="1">
      <x:c r="A353" t="n">
        <x:v>9</x:v>
      </x:c>
      <x:c r="B353" t="str">
        <x:v>蔬菜</x:v>
      </x:c>
      <x:c r="C353" t="str">
        <x:v>苦瓜</x:v>
      </x:c>
      <x:c r="D353" t="n">
        <x:v>175</x:v>
      </x:c>
      <x:c r="E353" t="n">
        <x:v>190</x:v>
      </x:c>
      <x:c r="F353" s="10" t="str">
        <x:v>食材净重+约8%余量</x:v>
      </x:c>
      <x:c r="G353" s="10" t="str">
        <x:v>生重</x:v>
      </x:c>
    </x:row>
    <x:row r="354" ht="23" customHeight="1">
      <x:c r="A354" t="n">
        <x:v>9</x:v>
      </x:c>
      <x:c r="B354" t="str">
        <x:v>蔬菜</x:v>
      </x:c>
      <x:c r="C354" t="str">
        <x:v>荷兰豆</x:v>
      </x:c>
      <x:c r="D354" t="n">
        <x:v>455</x:v>
      </x:c>
      <x:c r="E354" t="n">
        <x:v>490</x:v>
      </x:c>
      <x:c r="F354" s="10" t="str">
        <x:v>食材净重+约8%余量</x:v>
      </x:c>
      <x:c r="G354" s="10" t="str">
        <x:v>生重</x:v>
      </x:c>
    </x:row>
    <x:row r="355" ht="23" customHeight="1">
      <x:c r="A355" t="n">
        <x:v>9</x:v>
      </x:c>
      <x:c r="B355" t="str">
        <x:v>蔬菜</x:v>
      </x:c>
      <x:c r="C355" t="str">
        <x:v>菠菜</x:v>
      </x:c>
      <x:c r="D355" t="n">
        <x:v>140</x:v>
      </x:c>
      <x:c r="E355" t="n">
        <x:v>150</x:v>
      </x:c>
      <x:c r="F355" s="10" t="str">
        <x:v>食材净重+约8%余量</x:v>
      </x:c>
      <x:c r="G355" s="10" t="str">
        <x:v>生重</x:v>
      </x:c>
    </x:row>
    <x:row r="356" ht="23" customHeight="1">
      <x:c r="A356" t="n">
        <x:v>9</x:v>
      </x:c>
      <x:c r="B356" t="str">
        <x:v>蔬菜</x:v>
      </x:c>
      <x:c r="C356" t="str">
        <x:v>黄瓜</x:v>
      </x:c>
      <x:c r="D356" t="n">
        <x:v>330</x:v>
      </x:c>
      <x:c r="E356" t="n">
        <x:v>360</x:v>
      </x:c>
      <x:c r="F356" s="10" t="str">
        <x:v>食材净重+约8%余量</x:v>
      </x:c>
      <x:c r="G356" s="10" t="str">
        <x:v>生重</x:v>
      </x:c>
    </x:row>
    <x:row r="357" ht="23" customHeight="1">
      <x:c r="A357" t="n">
        <x:v>9</x:v>
      </x:c>
      <x:c r="B357" t="str">
        <x:v>豆蛋</x:v>
      </x:c>
      <x:c r="C357" t="str">
        <x:v>北豆腐</x:v>
      </x:c>
      <x:c r="D357" t="n">
        <x:v>280</x:v>
      </x:c>
      <x:c r="E357" t="n">
        <x:v>300</x:v>
      </x:c>
      <x:c r="F357" s="10" t="str">
        <x:v>食材净重+约8%余量</x:v>
      </x:c>
      <x:c r="G357" s="10" t="str">
        <x:v>净重</x:v>
      </x:c>
    </x:row>
    <x:row r="358" ht="23" customHeight="1">
      <x:c r="A358" t="n">
        <x:v>9</x:v>
      </x:c>
      <x:c r="B358" t="str">
        <x:v>豆蛋</x:v>
      </x:c>
      <x:c r="C358" t="str">
        <x:v>嫩豆腐</x:v>
      </x:c>
      <x:c r="D358" t="n">
        <x:v>380</x:v>
      </x:c>
      <x:c r="E358" t="n">
        <x:v>410</x:v>
      </x:c>
      <x:c r="F358" s="10" t="str">
        <x:v>食材净重+约8%余量</x:v>
      </x:c>
      <x:c r="G358" s="10" t="str">
        <x:v>净重</x:v>
      </x:c>
    </x:row>
    <x:row r="359" ht="23" customHeight="1">
      <x:c r="A359" t="n">
        <x:v>9</x:v>
      </x:c>
      <x:c r="B359" t="str">
        <x:v>豆蛋</x:v>
      </x:c>
      <x:c r="C359" t="str">
        <x:v>熟毛豆仁</x:v>
      </x:c>
      <x:c r="D359" t="n">
        <x:v>120</x:v>
      </x:c>
      <x:c r="E359" t="n">
        <x:v>130</x:v>
      </x:c>
      <x:c r="F359" s="10" t="str">
        <x:v>食材净重+约8%余量</x:v>
      </x:c>
      <x:c r="G359" s="10" t="str">
        <x:v>熟重</x:v>
      </x:c>
    </x:row>
    <x:row r="360" ht="23" customHeight="1">
      <x:c r="A360" t="n">
        <x:v>9</x:v>
      </x:c>
      <x:c r="B360" t="str">
        <x:v>豆蛋</x:v>
      </x:c>
      <x:c r="C360" t="str">
        <x:v>鸡蛋</x:v>
      </x:c>
      <x:c r="D360" t="n">
        <x:v>60</x:v>
      </x:c>
      <x:c r="E360" t="n">
        <x:v>60</x:v>
      </x:c>
      <x:c r="F360" s="10" t="str">
        <x:v>食材净重+约8%余量</x:v>
      </x:c>
      <x:c r="G360" s="10" t="str">
        <x:v>去壳可食重</x:v>
      </x:c>
    </x:row>
    <x:row r="361" ht="23" customHeight="1">
      <x:c r="A361" t="n">
        <x:v>9</x:v>
      </x:c>
      <x:c r="B361" t="str">
        <x:v>鱼类</x:v>
      </x:c>
      <x:c r="C361" t="str">
        <x:v>巴沙鱼</x:v>
      </x:c>
      <x:c r="D361" t="n">
        <x:v>175</x:v>
      </x:c>
      <x:c r="E361" t="n">
        <x:v>190</x:v>
      </x:c>
      <x:c r="F361" s="10" t="str">
        <x:v>食材净重+约8%余量</x:v>
      </x:c>
      <x:c r="G361" s="10" t="str">
        <x:v>净鱼肉生重</x:v>
      </x:c>
    </x:row>
    <x:row r="362" ht="23" customHeight="1">
      <x:c r="A362" t="n">
        <x:v>9</x:v>
      </x:c>
      <x:c r="B362" t="str">
        <x:v>鱼类</x:v>
      </x:c>
      <x:c r="C362" t="str">
        <x:v>鳕鱼</x:v>
      </x:c>
      <x:c r="D362" t="n">
        <x:v>185</x:v>
      </x:c>
      <x:c r="E362" t="n">
        <x:v>200</x:v>
      </x:c>
      <x:c r="F362" s="10" t="str">
        <x:v>食材净重+约8%余量；带壳或带骨采购需另折算</x:v>
      </x:c>
      <x:c r="G362" s="10" t="str">
        <x:v>净鱼肉生重</x:v>
      </x:c>
    </x:row>
    <x:row r="363" ht="23" customHeight="1">
      <x:c r="A363" t="n">
        <x:v>10</x:v>
      </x:c>
      <x:c r="B363" t="str">
        <x:v>主食</x:v>
      </x:c>
      <x:c r="C363" t="str">
        <x:v>全麦面</x:v>
      </x:c>
      <x:c r="D363" t="n">
        <x:v>135</x:v>
      </x:c>
      <x:c r="E363" t="n">
        <x:v>60</x:v>
      </x:c>
      <x:c r="F363" s="10" t="str">
        <x:v>干粮约重（按熟面/干面≈2.1估算）</x:v>
      </x:c>
      <x:c r="G363" s="10" t="str">
        <x:v>煮熟沥水重</x:v>
      </x:c>
    </x:row>
    <x:row r="364" ht="23" customHeight="1">
      <x:c r="A364" t="n">
        <x:v>10</x:v>
      </x:c>
      <x:c r="B364" t="str">
        <x:v>主食</x:v>
      </x:c>
      <x:c r="C364" t="str">
        <x:v>土豆</x:v>
      </x:c>
      <x:c r="D364" t="n">
        <x:v>125</x:v>
      </x:c>
      <x:c r="E364" t="n">
        <x:v>140</x:v>
      </x:c>
      <x:c r="F364" s="10" t="str">
        <x:v>鲜薯/玉米净重；考虑小幅损耗</x:v>
      </x:c>
      <x:c r="G364" s="10" t="str">
        <x:v>蒸熟净重</x:v>
      </x:c>
    </x:row>
    <x:row r="365" ht="23" customHeight="1">
      <x:c r="A365" t="n">
        <x:v>10</x:v>
      </x:c>
      <x:c r="B365" t="str">
        <x:v>主食</x:v>
      </x:c>
      <x:c r="C365" t="str">
        <x:v>杂粮饭</x:v>
      </x:c>
      <x:c r="D365" t="n">
        <x:v>265</x:v>
      </x:c>
      <x:c r="E365" t="n">
        <x:v>100</x:v>
      </x:c>
      <x:c r="F365" s="10" t="str">
        <x:v>未煮干粮约重（按熟饭/生米≈2.6估算）</x:v>
      </x:c>
      <x:c r="G365" s="10" t="str">
        <x:v>熟重</x:v>
      </x:c>
    </x:row>
    <x:row r="366" ht="23" customHeight="1">
      <x:c r="A366" t="n">
        <x:v>10</x:v>
      </x:c>
      <x:c r="B366" t="str">
        <x:v>主食</x:v>
      </x:c>
      <x:c r="C366" t="str">
        <x:v>玉米</x:v>
      </x:c>
      <x:c r="D366" t="n">
        <x:v>370</x:v>
      </x:c>
      <x:c r="E366" t="n">
        <x:v>410</x:v>
      </x:c>
      <x:c r="F366" s="10" t="str">
        <x:v>鲜薯/玉米净重；考虑小幅损耗</x:v>
      </x:c>
      <x:c r="G366" s="10" t="str">
        <x:v>蒸熟净重</x:v>
      </x:c>
    </x:row>
    <x:row r="367" ht="23" customHeight="1">
      <x:c r="A367" t="n">
        <x:v>10</x:v>
      </x:c>
      <x:c r="B367" t="str">
        <x:v>主食</x:v>
      </x:c>
      <x:c r="C367" t="str">
        <x:v>白米饭</x:v>
      </x:c>
      <x:c r="D367" t="n">
        <x:v>125</x:v>
      </x:c>
      <x:c r="E367" t="n">
        <x:v>50</x:v>
      </x:c>
      <x:c r="F367" s="10" t="str">
        <x:v>未煮干粮约重（按熟饭/生米≈2.6估算）</x:v>
      </x:c>
      <x:c r="G367" s="10" t="str">
        <x:v>熟重</x:v>
      </x:c>
    </x:row>
    <x:row r="368" ht="23" customHeight="1">
      <x:c r="A368" t="n">
        <x:v>10</x:v>
      </x:c>
      <x:c r="B368" t="str">
        <x:v>主食</x:v>
      </x:c>
      <x:c r="C368" t="str">
        <x:v>糙米饭</x:v>
      </x:c>
      <x:c r="D368" t="n">
        <x:v>125</x:v>
      </x:c>
      <x:c r="E368" t="n">
        <x:v>50</x:v>
      </x:c>
      <x:c r="F368" s="10" t="str">
        <x:v>未煮干粮约重（按熟饭/生米≈2.6估算）</x:v>
      </x:c>
      <x:c r="G368" s="10" t="str">
        <x:v>熟重</x:v>
      </x:c>
    </x:row>
    <x:row r="369" ht="23" customHeight="1">
      <x:c r="A369" t="n">
        <x:v>10</x:v>
      </x:c>
      <x:c r="B369" t="str">
        <x:v>主食</x:v>
      </x:c>
      <x:c r="C369" t="str">
        <x:v>紫薯</x:v>
      </x:c>
      <x:c r="D369" t="n">
        <x:v>135</x:v>
      </x:c>
      <x:c r="E369" t="n">
        <x:v>150</x:v>
      </x:c>
      <x:c r="F369" s="10" t="str">
        <x:v>鲜薯/玉米净重；考虑小幅损耗</x:v>
      </x:c>
      <x:c r="G369" s="10" t="str">
        <x:v>蒸熟净重</x:v>
      </x:c>
    </x:row>
    <x:row r="370" ht="23" customHeight="1">
      <x:c r="A370" t="n">
        <x:v>10</x:v>
      </x:c>
      <x:c r="B370" t="str">
        <x:v>主食</x:v>
      </x:c>
      <x:c r="C370" t="str">
        <x:v>红薯</x:v>
      </x:c>
      <x:c r="D370" t="n">
        <x:v>440</x:v>
      </x:c>
      <x:c r="E370" t="n">
        <x:v>480</x:v>
      </x:c>
      <x:c r="F370" s="10" t="str">
        <x:v>鲜薯/玉米净重；考虑小幅损耗</x:v>
      </x:c>
      <x:c r="G370" s="10" t="str">
        <x:v>蒸熟净重</x:v>
      </x:c>
    </x:row>
    <x:row r="371" ht="23" customHeight="1">
      <x:c r="A371" t="n">
        <x:v>10</x:v>
      </x:c>
      <x:c r="B371" t="str">
        <x:v>主食</x:v>
      </x:c>
      <x:c r="C371" t="str">
        <x:v>藜麦饭</x:v>
      </x:c>
      <x:c r="D371" t="n">
        <x:v>150</x:v>
      </x:c>
      <x:c r="E371" t="n">
        <x:v>60</x:v>
      </x:c>
      <x:c r="F371" s="10" t="str">
        <x:v>未煮干粮约重（按熟饭/生米≈2.6估算）</x:v>
      </x:c>
      <x:c r="G371" s="10" t="str">
        <x:v>熟重</x:v>
      </x:c>
    </x:row>
    <x:row r="372" ht="23" customHeight="1">
      <x:c r="A372" t="n">
        <x:v>10</x:v>
      </x:c>
      <x:c r="B372" t="str">
        <x:v>油脂</x:v>
      </x:c>
      <x:c r="C372" t="str">
        <x:v>烹调油</x:v>
      </x:c>
      <x:c r="D372" t="n">
        <x:v>64</x:v>
      </x:c>
      <x:c r="E372" t="n">
        <x:v>64</x:v>
      </x:c>
      <x:c r="F372" s="10" t="str">
        <x:v>食用油；现有库存足够即可</x:v>
      </x:c>
      <x:c r="G372" s="10" t="str">
        <x:v>实际用油重</x:v>
      </x:c>
    </x:row>
    <x:row r="373" ht="23" customHeight="1">
      <x:c r="A373" t="n">
        <x:v>10</x:v>
      </x:c>
      <x:c r="B373" t="str">
        <x:v>海鲜</x:v>
      </x:c>
      <x:c r="C373" t="str">
        <x:v>花蛤肉</x:v>
      </x:c>
      <x:c r="D373" t="n">
        <x:v>190</x:v>
      </x:c>
      <x:c r="E373" t="n">
        <x:v>210</x:v>
      </x:c>
      <x:c r="F373" s="10" t="str">
        <x:v>食材净重+约8%余量；带壳或带骨采购需另折算</x:v>
      </x:c>
      <x:c r="G373" s="10" t="str">
        <x:v>净肉生重</x:v>
      </x:c>
    </x:row>
    <x:row r="374" ht="23" customHeight="1">
      <x:c r="A374" t="n">
        <x:v>10</x:v>
      </x:c>
      <x:c r="B374" t="str">
        <x:v>海鲜</x:v>
      </x:c>
      <x:c r="C374" t="str">
        <x:v>虾仁</x:v>
      </x:c>
      <x:c r="D374" t="n">
        <x:v>175</x:v>
      </x:c>
      <x:c r="E374" t="n">
        <x:v>190</x:v>
      </x:c>
      <x:c r="F374" s="10" t="str">
        <x:v>食材净重+约8%余量</x:v>
      </x:c>
      <x:c r="G374" s="10" t="str">
        <x:v>生重</x:v>
      </x:c>
    </x:row>
    <x:row r="375" ht="23" customHeight="1">
      <x:c r="A375" t="n">
        <x:v>10</x:v>
      </x:c>
      <x:c r="B375" t="str">
        <x:v>海鲜</x:v>
      </x:c>
      <x:c r="C375" t="str">
        <x:v>鱿鱼</x:v>
      </x:c>
      <x:c r="D375" t="n">
        <x:v>160</x:v>
      </x:c>
      <x:c r="E375" t="n">
        <x:v>170</x:v>
      </x:c>
      <x:c r="F375" s="10" t="str">
        <x:v>食材净重+约8%余量</x:v>
      </x:c>
      <x:c r="G375" s="10" t="str">
        <x:v>生重</x:v>
      </x:c>
    </x:row>
    <x:row r="376" ht="23" customHeight="1">
      <x:c r="A376" t="n">
        <x:v>10</x:v>
      </x:c>
      <x:c r="B376" t="str">
        <x:v>猪肉</x:v>
      </x:c>
      <x:c r="C376" t="str">
        <x:v>猪里脊</x:v>
      </x:c>
      <x:c r="D376" t="n">
        <x:v>175</x:v>
      </x:c>
      <x:c r="E376" t="n">
        <x:v>190</x:v>
      </x:c>
      <x:c r="F376" s="10" t="str">
        <x:v>食材净重+约8%余量</x:v>
      </x:c>
      <x:c r="G376" s="10" t="str">
        <x:v>生重</x:v>
      </x:c>
    </x:row>
    <x:row r="377" ht="23" customHeight="1">
      <x:c r="A377" t="n">
        <x:v>10</x:v>
      </x:c>
      <x:c r="B377" t="str">
        <x:v>禽肉</x:v>
      </x:c>
      <x:c r="C377" t="str">
        <x:v>去皮鸡腿肉</x:v>
      </x:c>
      <x:c r="D377" t="n">
        <x:v>160</x:v>
      </x:c>
      <x:c r="E377" t="n">
        <x:v>170</x:v>
      </x:c>
      <x:c r="F377" s="10" t="str">
        <x:v>食材净重+约8%余量</x:v>
      </x:c>
      <x:c r="G377" s="10" t="str">
        <x:v>生重</x:v>
      </x:c>
    </x:row>
    <x:row r="378" ht="23" customHeight="1">
      <x:c r="A378" t="n">
        <x:v>10</x:v>
      </x:c>
      <x:c r="B378" t="str">
        <x:v>禽肉</x:v>
      </x:c>
      <x:c r="C378" t="str">
        <x:v>鸡胸肉</x:v>
      </x:c>
      <x:c r="D378" t="n">
        <x:v>525</x:v>
      </x:c>
      <x:c r="E378" t="n">
        <x:v>570</x:v>
      </x:c>
      <x:c r="F378" s="10" t="str">
        <x:v>食材净重+约8%余量</x:v>
      </x:c>
      <x:c r="G378" s="10" t="str">
        <x:v>生重</x:v>
      </x:c>
    </x:row>
    <x:row r="379" ht="23" customHeight="1">
      <x:c r="A379" t="n">
        <x:v>10</x:v>
      </x:c>
      <x:c r="B379" t="str">
        <x:v>菌菇</x:v>
      </x:c>
      <x:c r="C379" t="str">
        <x:v>口蘑</x:v>
      </x:c>
      <x:c r="D379" t="n">
        <x:v>265</x:v>
      </x:c>
      <x:c r="E379" t="n">
        <x:v>290</x:v>
      </x:c>
      <x:c r="F379" s="10" t="str">
        <x:v>食材净重+约8%余量</x:v>
      </x:c>
      <x:c r="G379" s="10" t="str">
        <x:v>生重</x:v>
      </x:c>
    </x:row>
    <x:row r="380" ht="23" customHeight="1">
      <x:c r="A380" t="n">
        <x:v>10</x:v>
      </x:c>
      <x:c r="B380" t="str">
        <x:v>菌菇</x:v>
      </x:c>
      <x:c r="C380" t="str">
        <x:v>杏鲍菇</x:v>
      </x:c>
      <x:c r="D380" t="n">
        <x:v>155</x:v>
      </x:c>
      <x:c r="E380" t="n">
        <x:v>170</x:v>
      </x:c>
      <x:c r="F380" s="10" t="str">
        <x:v>食材净重+约8%余量</x:v>
      </x:c>
      <x:c r="G380" s="10" t="str">
        <x:v>生重</x:v>
      </x:c>
    </x:row>
    <x:row r="381" ht="23" customHeight="1">
      <x:c r="A381" t="n">
        <x:v>10</x:v>
      </x:c>
      <x:c r="B381" t="str">
        <x:v>菌菇</x:v>
      </x:c>
      <x:c r="C381" t="str">
        <x:v>泡发木耳</x:v>
      </x:c>
      <x:c r="D381" t="n">
        <x:v>125</x:v>
      </x:c>
      <x:c r="E381" t="n">
        <x:v>140</x:v>
      </x:c>
      <x:c r="F381" s="10" t="str">
        <x:v>食材净重+约8%余量</x:v>
      </x:c>
      <x:c r="G381" s="10" t="str">
        <x:v>泡发沥水重</x:v>
      </x:c>
    </x:row>
    <x:row r="382" ht="23" customHeight="1">
      <x:c r="A382" t="n">
        <x:v>10</x:v>
      </x:c>
      <x:c r="B382" t="str">
        <x:v>菌菇</x:v>
      </x:c>
      <x:c r="C382" t="str">
        <x:v>金针菇</x:v>
      </x:c>
      <x:c r="D382" t="n">
        <x:v>140</x:v>
      </x:c>
      <x:c r="E382" t="n">
        <x:v>150</x:v>
      </x:c>
      <x:c r="F382" s="10" t="str">
        <x:v>食材净重+约8%余量</x:v>
      </x:c>
      <x:c r="G382" s="10" t="str">
        <x:v>生重</x:v>
      </x:c>
    </x:row>
    <x:row r="383" ht="23" customHeight="1">
      <x:c r="A383" t="n">
        <x:v>10</x:v>
      </x:c>
      <x:c r="B383" t="str">
        <x:v>菌菇</x:v>
      </x:c>
      <x:c r="C383" t="str">
        <x:v>香菇</x:v>
      </x:c>
      <x:c r="D383" t="n">
        <x:v>295</x:v>
      </x:c>
      <x:c r="E383" t="n">
        <x:v>320</x:v>
      </x:c>
      <x:c r="F383" s="10" t="str">
        <x:v>食材净重+约8%余量</x:v>
      </x:c>
      <x:c r="G383" s="10" t="str">
        <x:v>生重</x:v>
      </x:c>
    </x:row>
    <x:row r="384" ht="23" customHeight="1">
      <x:c r="A384" t="n">
        <x:v>10</x:v>
      </x:c>
      <x:c r="B384" t="str">
        <x:v>蔬菜</x:v>
      </x:c>
      <x:c r="C384" t="str">
        <x:v>丝瓜</x:v>
      </x:c>
      <x:c r="D384" t="n">
        <x:v>160</x:v>
      </x:c>
      <x:c r="E384" t="n">
        <x:v>170</x:v>
      </x:c>
      <x:c r="F384" s="10" t="str">
        <x:v>食材净重+约8%余量</x:v>
      </x:c>
      <x:c r="G384" s="10" t="str">
        <x:v>生重</x:v>
      </x:c>
    </x:row>
    <x:row r="385" ht="23" customHeight="1">
      <x:c r="A385" t="n">
        <x:v>10</x:v>
      </x:c>
      <x:c r="B385" t="str">
        <x:v>蔬菜</x:v>
      </x:c>
      <x:c r="C385" t="str">
        <x:v>大白菜</x:v>
      </x:c>
      <x:c r="D385" t="n">
        <x:v>190</x:v>
      </x:c>
      <x:c r="E385" t="n">
        <x:v>210</x:v>
      </x:c>
      <x:c r="F385" s="10" t="str">
        <x:v>食材净重+约8%余量</x:v>
      </x:c>
      <x:c r="G385" s="10" t="str">
        <x:v>生重</x:v>
      </x:c>
    </x:row>
    <x:row r="386" ht="23" customHeight="1">
      <x:c r="A386" t="n">
        <x:v>10</x:v>
      </x:c>
      <x:c r="B386" t="str">
        <x:v>蔬菜</x:v>
      </x:c>
      <x:c r="C386" t="str">
        <x:v>娃娃菜</x:v>
      </x:c>
      <x:c r="D386" t="n">
        <x:v>460</x:v>
      </x:c>
      <x:c r="E386" t="n">
        <x:v>500</x:v>
      </x:c>
      <x:c r="F386" s="10" t="str">
        <x:v>食材净重+约8%余量</x:v>
      </x:c>
      <x:c r="G386" s="10" t="str">
        <x:v>生重</x:v>
      </x:c>
    </x:row>
    <x:row r="387" ht="23" customHeight="1">
      <x:c r="A387" t="n">
        <x:v>10</x:v>
      </x:c>
      <x:c r="B387" t="str">
        <x:v>蔬菜</x:v>
      </x:c>
      <x:c r="C387" t="str">
        <x:v>小白菜</x:v>
      </x:c>
      <x:c r="D387" t="n">
        <x:v>345</x:v>
      </x:c>
      <x:c r="E387" t="n">
        <x:v>370</x:v>
      </x:c>
      <x:c r="F387" s="10" t="str">
        <x:v>食材净重+约8%余量</x:v>
      </x:c>
      <x:c r="G387" s="10" t="str">
        <x:v>生重</x:v>
      </x:c>
    </x:row>
    <x:row r="388" ht="23" customHeight="1">
      <x:c r="A388" t="n">
        <x:v>10</x:v>
      </x:c>
      <x:c r="B388" t="str">
        <x:v>蔬菜</x:v>
      </x:c>
      <x:c r="C388" t="str">
        <x:v>彩椒</x:v>
      </x:c>
      <x:c r="D388" t="n">
        <x:v>125</x:v>
      </x:c>
      <x:c r="E388" t="n">
        <x:v>140</x:v>
      </x:c>
      <x:c r="F388" s="10" t="str">
        <x:v>食材净重+约8%余量</x:v>
      </x:c>
      <x:c r="G388" s="10" t="str">
        <x:v>生重</x:v>
      </x:c>
    </x:row>
    <x:row r="389" ht="23" customHeight="1">
      <x:c r="A389" t="n">
        <x:v>10</x:v>
      </x:c>
      <x:c r="B389" t="str">
        <x:v>蔬菜</x:v>
      </x:c>
      <x:c r="C389" t="str">
        <x:v>油麦菜</x:v>
      </x:c>
      <x:c r="D389" t="n">
        <x:v>190</x:v>
      </x:c>
      <x:c r="E389" t="n">
        <x:v>210</x:v>
      </x:c>
      <x:c r="F389" s="10" t="str">
        <x:v>食材净重+约8%余量</x:v>
      </x:c>
      <x:c r="G389" s="10" t="str">
        <x:v>生重</x:v>
      </x:c>
    </x:row>
    <x:row r="390" ht="23" customHeight="1">
      <x:c r="A390" t="n">
        <x:v>10</x:v>
      </x:c>
      <x:c r="B390" t="str">
        <x:v>蔬菜</x:v>
      </x:c>
      <x:c r="C390" t="str">
        <x:v>玉米笋</x:v>
      </x:c>
      <x:c r="D390" t="n">
        <x:v>155</x:v>
      </x:c>
      <x:c r="E390" t="n">
        <x:v>170</x:v>
      </x:c>
      <x:c r="F390" s="10" t="str">
        <x:v>食材净重+约8%余量</x:v>
      </x:c>
      <x:c r="G390" s="10" t="str">
        <x:v>生重</x:v>
      </x:c>
    </x:row>
    <x:row r="391" ht="23" customHeight="1">
      <x:c r="A391" t="n">
        <x:v>10</x:v>
      </x:c>
      <x:c r="B391" t="str">
        <x:v>蔬菜</x:v>
      </x:c>
      <x:c r="C391" t="str">
        <x:v>番茄</x:v>
      </x:c>
      <x:c r="D391" t="n">
        <x:v>190</x:v>
      </x:c>
      <x:c r="E391" t="n">
        <x:v>210</x:v>
      </x:c>
      <x:c r="F391" s="10" t="str">
        <x:v>食材净重+约8%余量</x:v>
      </x:c>
      <x:c r="G391" s="10" t="str">
        <x:v>生重</x:v>
      </x:c>
    </x:row>
    <x:row r="392" ht="23" customHeight="1">
      <x:c r="A392" t="n">
        <x:v>10</x:v>
      </x:c>
      <x:c r="B392" t="str">
        <x:v>蔬菜</x:v>
      </x:c>
      <x:c r="C392" t="str">
        <x:v>芦笋</x:v>
      </x:c>
      <x:c r="D392" t="n">
        <x:v>315</x:v>
      </x:c>
      <x:c r="E392" t="n">
        <x:v>340</x:v>
      </x:c>
      <x:c r="F392" s="10" t="str">
        <x:v>食材净重+约8%余量</x:v>
      </x:c>
      <x:c r="G392" s="10" t="str">
        <x:v>生重</x:v>
      </x:c>
    </x:row>
    <x:row r="393" ht="23" customHeight="1">
      <x:c r="A393" t="n">
        <x:v>10</x:v>
      </x:c>
      <x:c r="B393" t="str">
        <x:v>蔬菜</x:v>
      </x:c>
      <x:c r="C393" t="str">
        <x:v>芹菜</x:v>
      </x:c>
      <x:c r="D393" t="n">
        <x:v>175</x:v>
      </x:c>
      <x:c r="E393" t="n">
        <x:v>190</x:v>
      </x:c>
      <x:c r="F393" s="10" t="str">
        <x:v>食材净重+约8%余量</x:v>
      </x:c>
      <x:c r="G393" s="10" t="str">
        <x:v>生重</x:v>
      </x:c>
    </x:row>
    <x:row r="394" ht="23" customHeight="1">
      <x:c r="A394" t="n">
        <x:v>10</x:v>
      </x:c>
      <x:c r="B394" t="str">
        <x:v>蔬菜</x:v>
      </x:c>
      <x:c r="C394" t="str">
        <x:v>荷兰豆</x:v>
      </x:c>
      <x:c r="D394" t="n">
        <x:v>285</x:v>
      </x:c>
      <x:c r="E394" t="n">
        <x:v>310</x:v>
      </x:c>
      <x:c r="F394" s="10" t="str">
        <x:v>食材净重+约8%余量</x:v>
      </x:c>
      <x:c r="G394" s="10" t="str">
        <x:v>生重</x:v>
      </x:c>
    </x:row>
    <x:row r="395" ht="23" customHeight="1">
      <x:c r="A395" t="n">
        <x:v>10</x:v>
      </x:c>
      <x:c r="B395" t="str">
        <x:v>蔬菜</x:v>
      </x:c>
      <x:c r="C395" t="str">
        <x:v>莴笋</x:v>
      </x:c>
      <x:c r="D395" t="n">
        <x:v>110</x:v>
      </x:c>
      <x:c r="E395" t="n">
        <x:v>120</x:v>
      </x:c>
      <x:c r="F395" s="10" t="str">
        <x:v>食材净重+约8%余量</x:v>
      </x:c>
      <x:c r="G395" s="10" t="str">
        <x:v>生重</x:v>
      </x:c>
    </x:row>
    <x:row r="396" ht="23" customHeight="1">
      <x:c r="A396" t="n">
        <x:v>10</x:v>
      </x:c>
      <x:c r="B396" t="str">
        <x:v>蔬菜</x:v>
      </x:c>
      <x:c r="C396" t="str">
        <x:v>菠菜</x:v>
      </x:c>
      <x:c r="D396" t="n">
        <x:v>190</x:v>
      </x:c>
      <x:c r="E396" t="n">
        <x:v>210</x:v>
      </x:c>
      <x:c r="F396" s="10" t="str">
        <x:v>食材净重+约8%余量</x:v>
      </x:c>
      <x:c r="G396" s="10" t="str">
        <x:v>生重</x:v>
      </x:c>
    </x:row>
    <x:row r="397" ht="23" customHeight="1">
      <x:c r="A397" t="n">
        <x:v>10</x:v>
      </x:c>
      <x:c r="B397" t="str">
        <x:v>蔬菜</x:v>
      </x:c>
      <x:c r="C397" t="str">
        <x:v>西葫芦</x:v>
      </x:c>
      <x:c r="D397" t="n">
        <x:v>140</x:v>
      </x:c>
      <x:c r="E397" t="n">
        <x:v>150</x:v>
      </x:c>
      <x:c r="F397" s="10" t="str">
        <x:v>食材净重+约8%余量</x:v>
      </x:c>
      <x:c r="G397" s="10" t="str">
        <x:v>生重</x:v>
      </x:c>
    </x:row>
    <x:row r="398" ht="23" customHeight="1">
      <x:c r="A398" t="n">
        <x:v>10</x:v>
      </x:c>
      <x:c r="B398" t="str">
        <x:v>蔬菜</x:v>
      </x:c>
      <x:c r="C398" t="str">
        <x:v>黄瓜</x:v>
      </x:c>
      <x:c r="D398" t="n">
        <x:v>285</x:v>
      </x:c>
      <x:c r="E398" t="n">
        <x:v>310</x:v>
      </x:c>
      <x:c r="F398" s="10" t="str">
        <x:v>食材净重+约8%余量</x:v>
      </x:c>
      <x:c r="G398" s="10" t="str">
        <x:v>生重</x:v>
      </x:c>
    </x:row>
    <x:row r="399" ht="23" customHeight="1">
      <x:c r="A399" t="n">
        <x:v>10</x:v>
      </x:c>
      <x:c r="B399" t="str">
        <x:v>豆蛋</x:v>
      </x:c>
      <x:c r="C399" t="str">
        <x:v>嫩豆腐</x:v>
      </x:c>
      <x:c r="D399" t="n">
        <x:v>615</x:v>
      </x:c>
      <x:c r="E399" t="n">
        <x:v>660</x:v>
      </x:c>
      <x:c r="F399" s="10" t="str">
        <x:v>食材净重+约8%余量</x:v>
      </x:c>
      <x:c r="G399" s="10" t="str">
        <x:v>净重</x:v>
      </x:c>
    </x:row>
    <x:row r="400" ht="23" customHeight="1">
      <x:c r="A400" t="n">
        <x:v>10</x:v>
      </x:c>
      <x:c r="B400" t="str">
        <x:v>豆蛋</x:v>
      </x:c>
      <x:c r="C400" t="str">
        <x:v>熟毛豆仁</x:v>
      </x:c>
      <x:c r="D400" t="n">
        <x:v>70</x:v>
      </x:c>
      <x:c r="E400" t="n">
        <x:v>80</x:v>
      </x:c>
      <x:c r="F400" s="10" t="str">
        <x:v>食材净重+约8%余量</x:v>
      </x:c>
      <x:c r="G400" s="10" t="str">
        <x:v>熟重</x:v>
      </x:c>
    </x:row>
    <x:row r="401" ht="23" customHeight="1">
      <x:c r="A401" t="n">
        <x:v>10</x:v>
      </x:c>
      <x:c r="B401" t="str">
        <x:v>豆蛋</x:v>
      </x:c>
      <x:c r="C401" t="str">
        <x:v>鸡蛋</x:v>
      </x:c>
      <x:c r="D401" t="n">
        <x:v>330</x:v>
      </x:c>
      <x:c r="E401" t="n">
        <x:v>360</x:v>
      </x:c>
      <x:c r="F401" s="10" t="str">
        <x:v>食材净重+约8%余量</x:v>
      </x:c>
      <x:c r="G401" s="10" t="str">
        <x:v>去壳可食重</x:v>
      </x:c>
    </x:row>
    <x:row r="402" ht="23" customHeight="1">
      <x:c r="A402" t="n">
        <x:v>10</x:v>
      </x:c>
      <x:c r="B402" t="str">
        <x:v>鱼类</x:v>
      </x:c>
      <x:c r="C402" t="str">
        <x:v>鲈鱼</x:v>
      </x:c>
      <x:c r="D402" t="n">
        <x:v>185</x:v>
      </x:c>
      <x:c r="E402" t="n">
        <x:v>200</x:v>
      </x:c>
      <x:c r="F402" s="10" t="str">
        <x:v>食材净重+约8%余量；带壳或带骨采购需另折算</x:v>
      </x:c>
      <x:c r="G402" s="10" t="str">
        <x:v>净鱼肉生重</x:v>
      </x:c>
    </x:row>
    <x:row r="403" ht="23" customHeight="1">
      <x:c r="A403" t="n">
        <x:v>10</x:v>
      </x:c>
      <x:c r="B403" t="str">
        <x:v>鱼类</x:v>
      </x:c>
      <x:c r="C403" t="str">
        <x:v>鳕鱼</x:v>
      </x:c>
      <x:c r="D403" t="n">
        <x:v>430</x:v>
      </x:c>
      <x:c r="E403" t="n">
        <x:v>460</x:v>
      </x:c>
      <x:c r="F403" s="10" t="str">
        <x:v>食材净重+约8%余量；带壳或带骨采购需另折算</x:v>
      </x:c>
      <x:c r="G403" s="10" t="str">
        <x:v>净鱼肉生重</x:v>
      </x:c>
    </x:row>
    <x:row r="404" ht="23" customHeight="1">
      <x:c r="A404" t="n">
        <x:v>11</x:v>
      </x:c>
      <x:c r="B404" t="str">
        <x:v>主食</x:v>
      </x:c>
      <x:c r="C404" t="str">
        <x:v>全麦面</x:v>
      </x:c>
      <x:c r="D404" t="n">
        <x:v>235</x:v>
      </x:c>
      <x:c r="E404" t="n">
        <x:v>110</x:v>
      </x:c>
      <x:c r="F404" s="10" t="str">
        <x:v>干粮约重（按熟面/干面≈2.1估算）</x:v>
      </x:c>
      <x:c r="G404" s="10" t="str">
        <x:v>煮熟沥水重</x:v>
      </x:c>
    </x:row>
    <x:row r="405" ht="23" customHeight="1">
      <x:c r="A405" t="n">
        <x:v>11</x:v>
      </x:c>
      <x:c r="B405" t="str">
        <x:v>主食</x:v>
      </x:c>
      <x:c r="C405" t="str">
        <x:v>山药</x:v>
      </x:c>
      <x:c r="D405" t="n">
        <x:v>130</x:v>
      </x:c>
      <x:c r="E405" t="n">
        <x:v>140</x:v>
      </x:c>
      <x:c r="F405" s="10" t="str">
        <x:v>鲜薯/玉米净重；考虑小幅损耗</x:v>
      </x:c>
      <x:c r="G405" s="10" t="str">
        <x:v>蒸熟净重</x:v>
      </x:c>
    </x:row>
    <x:row r="406" ht="23" customHeight="1">
      <x:c r="A406" t="n">
        <x:v>11</x:v>
      </x:c>
      <x:c r="B406" t="str">
        <x:v>主食</x:v>
      </x:c>
      <x:c r="C406" t="str">
        <x:v>杂粮饭</x:v>
      </x:c>
      <x:c r="D406" t="n">
        <x:v>150</x:v>
      </x:c>
      <x:c r="E406" t="n">
        <x:v>60</x:v>
      </x:c>
      <x:c r="F406" s="10" t="str">
        <x:v>未煮干粮约重（按熟饭/生米≈2.6估算）</x:v>
      </x:c>
      <x:c r="G406" s="10" t="str">
        <x:v>熟重</x:v>
      </x:c>
    </x:row>
    <x:row r="407" ht="23" customHeight="1">
      <x:c r="A407" t="n">
        <x:v>11</x:v>
      </x:c>
      <x:c r="B407" t="str">
        <x:v>主食</x:v>
      </x:c>
      <x:c r="C407" t="str">
        <x:v>燕麦饭</x:v>
      </x:c>
      <x:c r="D407" t="n">
        <x:v>135</x:v>
      </x:c>
      <x:c r="E407" t="n">
        <x:v>50</x:v>
      </x:c>
      <x:c r="F407" s="10" t="str">
        <x:v>未煮干粮约重（按熟饭/生米≈2.6估算）</x:v>
      </x:c>
      <x:c r="G407" s="10" t="str">
        <x:v>熟重</x:v>
      </x:c>
    </x:row>
    <x:row r="408" ht="23" customHeight="1">
      <x:c r="A408" t="n">
        <x:v>11</x:v>
      </x:c>
      <x:c r="B408" t="str">
        <x:v>主食</x:v>
      </x:c>
      <x:c r="C408" t="str">
        <x:v>白米饭</x:v>
      </x:c>
      <x:c r="D408" t="n">
        <x:v>80</x:v>
      </x:c>
      <x:c r="E408" t="n">
        <x:v>30</x:v>
      </x:c>
      <x:c r="F408" s="10" t="str">
        <x:v>未煮干粮约重（按熟饭/生米≈2.6估算）</x:v>
      </x:c>
      <x:c r="G408" s="10" t="str">
        <x:v>熟重</x:v>
      </x:c>
    </x:row>
    <x:row r="409" ht="23" customHeight="1">
      <x:c r="A409" t="n">
        <x:v>11</x:v>
      </x:c>
      <x:c r="B409" t="str">
        <x:v>主食</x:v>
      </x:c>
      <x:c r="C409" t="str">
        <x:v>糙米饭</x:v>
      </x:c>
      <x:c r="D409" t="n">
        <x:v>255</x:v>
      </x:c>
      <x:c r="E409" t="n">
        <x:v>100</x:v>
      </x:c>
      <x:c r="F409" s="10" t="str">
        <x:v>未煮干粮约重（按熟饭/生米≈2.6估算）</x:v>
      </x:c>
      <x:c r="G409" s="10" t="str">
        <x:v>熟重</x:v>
      </x:c>
    </x:row>
    <x:row r="410" ht="23" customHeight="1">
      <x:c r="A410" t="n">
        <x:v>11</x:v>
      </x:c>
      <x:c r="B410" t="str">
        <x:v>主食</x:v>
      </x:c>
      <x:c r="C410" t="str">
        <x:v>紫薯</x:v>
      </x:c>
      <x:c r="D410" t="n">
        <x:v>390</x:v>
      </x:c>
      <x:c r="E410" t="n">
        <x:v>430</x:v>
      </x:c>
      <x:c r="F410" s="10" t="str">
        <x:v>鲜薯/玉米净重；考虑小幅损耗</x:v>
      </x:c>
      <x:c r="G410" s="10" t="str">
        <x:v>蒸熟净重</x:v>
      </x:c>
    </x:row>
    <x:row r="411" ht="23" customHeight="1">
      <x:c r="A411" t="n">
        <x:v>11</x:v>
      </x:c>
      <x:c r="B411" t="str">
        <x:v>主食</x:v>
      </x:c>
      <x:c r="C411" t="str">
        <x:v>红薯</x:v>
      </x:c>
      <x:c r="D411" t="n">
        <x:v>125</x:v>
      </x:c>
      <x:c r="E411" t="n">
        <x:v>140</x:v>
      </x:c>
      <x:c r="F411" s="10" t="str">
        <x:v>鲜薯/玉米净重；考虑小幅损耗</x:v>
      </x:c>
      <x:c r="G411" s="10" t="str">
        <x:v>蒸熟净重</x:v>
      </x:c>
    </x:row>
    <x:row r="412" ht="23" customHeight="1">
      <x:c r="A412" t="n">
        <x:v>11</x:v>
      </x:c>
      <x:c r="B412" t="str">
        <x:v>主食</x:v>
      </x:c>
      <x:c r="C412" t="str">
        <x:v>荞麦面</x:v>
      </x:c>
      <x:c r="D412" t="n">
        <x:v>135</x:v>
      </x:c>
      <x:c r="E412" t="n">
        <x:v>60</x:v>
      </x:c>
      <x:c r="F412" s="10" t="str">
        <x:v>干粮约重（按熟面/干面≈2.1估算）</x:v>
      </x:c>
      <x:c r="G412" s="10" t="str">
        <x:v>煮熟沥水重</x:v>
      </x:c>
    </x:row>
    <x:row r="413" ht="23" customHeight="1">
      <x:c r="A413" t="n">
        <x:v>11</x:v>
      </x:c>
      <x:c r="B413" t="str">
        <x:v>主食</x:v>
      </x:c>
      <x:c r="C413" t="str">
        <x:v>荞麦饭</x:v>
      </x:c>
      <x:c r="D413" t="n">
        <x:v>135</x:v>
      </x:c>
      <x:c r="E413" t="n">
        <x:v>50</x:v>
      </x:c>
      <x:c r="F413" s="10" t="str">
        <x:v>未煮干粮约重（按熟饭/生米≈2.6估算）</x:v>
      </x:c>
      <x:c r="G413" s="10" t="str">
        <x:v>熟重</x:v>
      </x:c>
    </x:row>
    <x:row r="414" ht="23" customHeight="1">
      <x:c r="A414" t="n">
        <x:v>11</x:v>
      </x:c>
      <x:c r="B414" t="str">
        <x:v>油脂</x:v>
      </x:c>
      <x:c r="C414" t="str">
        <x:v>烹调油</x:v>
      </x:c>
      <x:c r="D414" t="n">
        <x:v>63</x:v>
      </x:c>
      <x:c r="E414" t="n">
        <x:v>63</x:v>
      </x:c>
      <x:c r="F414" s="10" t="str">
        <x:v>食用油；现有库存足够即可</x:v>
      </x:c>
      <x:c r="G414" s="10" t="str">
        <x:v>实际用油重</x:v>
      </x:c>
    </x:row>
    <x:row r="415" ht="23" customHeight="1">
      <x:c r="A415" t="n">
        <x:v>11</x:v>
      </x:c>
      <x:c r="B415" t="str">
        <x:v>海鲜</x:v>
      </x:c>
      <x:c r="C415" t="str">
        <x:v>扇贝肉</x:v>
      </x:c>
      <x:c r="D415" t="n">
        <x:v>170</x:v>
      </x:c>
      <x:c r="E415" t="n">
        <x:v>180</x:v>
      </x:c>
      <x:c r="F415" s="10" t="str">
        <x:v>食材净重+约8%余量；带壳或带骨采购需另折算</x:v>
      </x:c>
      <x:c r="G415" s="10" t="str">
        <x:v>生重</x:v>
      </x:c>
    </x:row>
    <x:row r="416" ht="23" customHeight="1">
      <x:c r="A416" t="n">
        <x:v>11</x:v>
      </x:c>
      <x:c r="B416" t="str">
        <x:v>海鲜</x:v>
      </x:c>
      <x:c r="C416" t="str">
        <x:v>花蛤肉</x:v>
      </x:c>
      <x:c r="D416" t="n">
        <x:v>170</x:v>
      </x:c>
      <x:c r="E416" t="n">
        <x:v>180</x:v>
      </x:c>
      <x:c r="F416" s="10" t="str">
        <x:v>食材净重+约8%余量；带壳或带骨采购需另折算</x:v>
      </x:c>
      <x:c r="G416" s="10" t="str">
        <x:v>净肉生重</x:v>
      </x:c>
    </x:row>
    <x:row r="417" ht="23" customHeight="1">
      <x:c r="A417" t="n">
        <x:v>11</x:v>
      </x:c>
      <x:c r="B417" t="str">
        <x:v>海鲜</x:v>
      </x:c>
      <x:c r="C417" t="str">
        <x:v>虾仁</x:v>
      </x:c>
      <x:c r="D417" t="n">
        <x:v>335</x:v>
      </x:c>
      <x:c r="E417" t="n">
        <x:v>360</x:v>
      </x:c>
      <x:c r="F417" s="10" t="str">
        <x:v>食材净重+约8%余量</x:v>
      </x:c>
      <x:c r="G417" s="10" t="str">
        <x:v>生重</x:v>
      </x:c>
    </x:row>
    <x:row r="418" ht="23" customHeight="1">
      <x:c r="A418" t="n">
        <x:v>11</x:v>
      </x:c>
      <x:c r="B418" t="str">
        <x:v>海鲜</x:v>
      </x:c>
      <x:c r="C418" t="str">
        <x:v>鱿鱼</x:v>
      </x:c>
      <x:c r="D418" t="n">
        <x:v>190</x:v>
      </x:c>
      <x:c r="E418" t="n">
        <x:v>210</x:v>
      </x:c>
      <x:c r="F418" s="10" t="str">
        <x:v>食材净重+约8%余量</x:v>
      </x:c>
      <x:c r="G418" s="10" t="str">
        <x:v>生重</x:v>
      </x:c>
    </x:row>
    <x:row r="419" ht="23" customHeight="1">
      <x:c r="A419" t="n">
        <x:v>11</x:v>
      </x:c>
      <x:c r="B419" t="str">
        <x:v>牛肉</x:v>
      </x:c>
      <x:c r="C419" t="str">
        <x:v>牛里脊</x:v>
      </x:c>
      <x:c r="D419" t="n">
        <x:v>180</x:v>
      </x:c>
      <x:c r="E419" t="n">
        <x:v>190</x:v>
      </x:c>
      <x:c r="F419" s="10" t="str">
        <x:v>食材净重+约8%余量</x:v>
      </x:c>
      <x:c r="G419" s="10" t="str">
        <x:v>生重</x:v>
      </x:c>
    </x:row>
    <x:row r="420" ht="23" customHeight="1">
      <x:c r="A420" t="n">
        <x:v>11</x:v>
      </x:c>
      <x:c r="B420" t="str">
        <x:v>牛肉</x:v>
      </x:c>
      <x:c r="C420" t="str">
        <x:v>瘦牛肉</x:v>
      </x:c>
      <x:c r="D420" t="n">
        <x:v>160</x:v>
      </x:c>
      <x:c r="E420" t="n">
        <x:v>170</x:v>
      </x:c>
      <x:c r="F420" s="10" t="str">
        <x:v>食材净重+约8%余量</x:v>
      </x:c>
      <x:c r="G420" s="10" t="str">
        <x:v>生重</x:v>
      </x:c>
    </x:row>
    <x:row r="421" ht="23" customHeight="1">
      <x:c r="A421" t="n">
        <x:v>11</x:v>
      </x:c>
      <x:c r="B421" t="str">
        <x:v>牛肉</x:v>
      </x:c>
      <x:c r="C421" t="str">
        <x:v>肥牛卷</x:v>
      </x:c>
      <x:c r="D421" t="n">
        <x:v>95</x:v>
      </x:c>
      <x:c r="E421" t="n">
        <x:v>100</x:v>
      </x:c>
      <x:c r="F421" s="10" t="str">
        <x:v>食材净重+约8%余量</x:v>
      </x:c>
      <x:c r="G421" s="10" t="str">
        <x:v>生重；以包装为准</x:v>
      </x:c>
    </x:row>
    <x:row r="422" ht="23" customHeight="1">
      <x:c r="A422" t="n">
        <x:v>11</x:v>
      </x:c>
      <x:c r="B422" t="str">
        <x:v>猪肉</x:v>
      </x:c>
      <x:c r="C422" t="str">
        <x:v>猪里脊</x:v>
      </x:c>
      <x:c r="D422" t="n">
        <x:v>175</x:v>
      </x:c>
      <x:c r="E422" t="n">
        <x:v>190</x:v>
      </x:c>
      <x:c r="F422" s="10" t="str">
        <x:v>食材净重+约8%余量</x:v>
      </x:c>
      <x:c r="G422" s="10" t="str">
        <x:v>生重</x:v>
      </x:c>
    </x:row>
    <x:row r="423" ht="23" customHeight="1">
      <x:c r="A423" t="n">
        <x:v>11</x:v>
      </x:c>
      <x:c r="B423" t="str">
        <x:v>禽肉</x:v>
      </x:c>
      <x:c r="C423" t="str">
        <x:v>去皮鸡腿肉</x:v>
      </x:c>
      <x:c r="D423" t="n">
        <x:v>320</x:v>
      </x:c>
      <x:c r="E423" t="n">
        <x:v>350</x:v>
      </x:c>
      <x:c r="F423" s="10" t="str">
        <x:v>食材净重+约8%余量</x:v>
      </x:c>
      <x:c r="G423" s="10" t="str">
        <x:v>生重</x:v>
      </x:c>
    </x:row>
    <x:row r="424" ht="23" customHeight="1">
      <x:c r="A424" t="n">
        <x:v>11</x:v>
      </x:c>
      <x:c r="B424" t="str">
        <x:v>菌菇</x:v>
      </x:c>
      <x:c r="C424" t="str">
        <x:v>口蘑</x:v>
      </x:c>
      <x:c r="D424" t="n">
        <x:v>265</x:v>
      </x:c>
      <x:c r="E424" t="n">
        <x:v>290</x:v>
      </x:c>
      <x:c r="F424" s="10" t="str">
        <x:v>食材净重+约8%余量</x:v>
      </x:c>
      <x:c r="G424" s="10" t="str">
        <x:v>生重</x:v>
      </x:c>
    </x:row>
    <x:row r="425" ht="23" customHeight="1">
      <x:c r="A425" t="n">
        <x:v>11</x:v>
      </x:c>
      <x:c r="B425" t="str">
        <x:v>菌菇</x:v>
      </x:c>
      <x:c r="C425" t="str">
        <x:v>金针菇</x:v>
      </x:c>
      <x:c r="D425" t="n">
        <x:v>110</x:v>
      </x:c>
      <x:c r="E425" t="n">
        <x:v>120</x:v>
      </x:c>
      <x:c r="F425" s="10" t="str">
        <x:v>食材净重+约8%余量</x:v>
      </x:c>
      <x:c r="G425" s="10" t="str">
        <x:v>生重</x:v>
      </x:c>
    </x:row>
    <x:row r="426" ht="23" customHeight="1">
      <x:c r="A426" t="n">
        <x:v>11</x:v>
      </x:c>
      <x:c r="B426" t="str">
        <x:v>蔬菜</x:v>
      </x:c>
      <x:c r="C426" t="str">
        <x:v>丝瓜</x:v>
      </x:c>
      <x:c r="D426" t="n">
        <x:v>265</x:v>
      </x:c>
      <x:c r="E426" t="n">
        <x:v>290</x:v>
      </x:c>
      <x:c r="F426" s="10" t="str">
        <x:v>食材净重+约8%余量</x:v>
      </x:c>
      <x:c r="G426" s="10" t="str">
        <x:v>生重</x:v>
      </x:c>
    </x:row>
    <x:row r="427" ht="23" customHeight="1">
      <x:c r="A427" t="n">
        <x:v>11</x:v>
      </x:c>
      <x:c r="B427" t="str">
        <x:v>蔬菜</x:v>
      </x:c>
      <x:c r="C427" t="str">
        <x:v>冬瓜</x:v>
      </x:c>
      <x:c r="D427" t="n">
        <x:v>125</x:v>
      </x:c>
      <x:c r="E427" t="n">
        <x:v>140</x:v>
      </x:c>
      <x:c r="F427" s="10" t="str">
        <x:v>食材净重+约8%余量</x:v>
      </x:c>
      <x:c r="G427" s="10" t="str">
        <x:v>生重</x:v>
      </x:c>
    </x:row>
    <x:row r="428" ht="23" customHeight="1">
      <x:c r="A428" t="n">
        <x:v>11</x:v>
      </x:c>
      <x:c r="B428" t="str">
        <x:v>蔬菜</x:v>
      </x:c>
      <x:c r="C428" t="str">
        <x:v>娃娃菜</x:v>
      </x:c>
      <x:c r="D428" t="n">
        <x:v>160</x:v>
      </x:c>
      <x:c r="E428" t="n">
        <x:v>170</x:v>
      </x:c>
      <x:c r="F428" s="10" t="str">
        <x:v>食材净重+约8%余量</x:v>
      </x:c>
      <x:c r="G428" s="10" t="str">
        <x:v>生重</x:v>
      </x:c>
    </x:row>
    <x:row r="429" ht="23" customHeight="1">
      <x:c r="A429" t="n">
        <x:v>11</x:v>
      </x:c>
      <x:c r="B429" t="str">
        <x:v>蔬菜</x:v>
      </x:c>
      <x:c r="C429" t="str">
        <x:v>小白菜</x:v>
      </x:c>
      <x:c r="D429" t="n">
        <x:v>475</x:v>
      </x:c>
      <x:c r="E429" t="n">
        <x:v>510</x:v>
      </x:c>
      <x:c r="F429" s="10" t="str">
        <x:v>食材净重+约8%余量</x:v>
      </x:c>
      <x:c r="G429" s="10" t="str">
        <x:v>生重</x:v>
      </x:c>
    </x:row>
    <x:row r="430" ht="23" customHeight="1">
      <x:c r="A430" t="n">
        <x:v>11</x:v>
      </x:c>
      <x:c r="B430" t="str">
        <x:v>蔬菜</x:v>
      </x:c>
      <x:c r="C430" t="str">
        <x:v>洋葱</x:v>
      </x:c>
      <x:c r="D430" t="n">
        <x:v>155</x:v>
      </x:c>
      <x:c r="E430" t="n">
        <x:v>170</x:v>
      </x:c>
      <x:c r="F430" s="10" t="str">
        <x:v>食材净重+约8%余量</x:v>
      </x:c>
      <x:c r="G430" s="10" t="str">
        <x:v>生重</x:v>
      </x:c>
    </x:row>
    <x:row r="431" ht="23" customHeight="1">
      <x:c r="A431" t="n">
        <x:v>11</x:v>
      </x:c>
      <x:c r="B431" t="str">
        <x:v>蔬菜</x:v>
      </x:c>
      <x:c r="C431" t="str">
        <x:v>玉米笋</x:v>
      </x:c>
      <x:c r="D431" t="n">
        <x:v>280</x:v>
      </x:c>
      <x:c r="E431" t="n">
        <x:v>300</x:v>
      </x:c>
      <x:c r="F431" s="10" t="str">
        <x:v>食材净重+约8%余量</x:v>
      </x:c>
      <x:c r="G431" s="10" t="str">
        <x:v>生重</x:v>
      </x:c>
    </x:row>
    <x:row r="432" ht="23" customHeight="1">
      <x:c r="A432" t="n">
        <x:v>11</x:v>
      </x:c>
      <x:c r="B432" t="str">
        <x:v>蔬菜</x:v>
      </x:c>
      <x:c r="C432" t="str">
        <x:v>生菜</x:v>
      </x:c>
      <x:c r="D432" t="n">
        <x:v>160</x:v>
      </x:c>
      <x:c r="E432" t="n">
        <x:v>170</x:v>
      </x:c>
      <x:c r="F432" s="10" t="str">
        <x:v>食材净重+约8%余量</x:v>
      </x:c>
      <x:c r="G432" s="10" t="str">
        <x:v>生重</x:v>
      </x:c>
    </x:row>
    <x:row r="433" ht="23" customHeight="1">
      <x:c r="A433" t="n">
        <x:v>11</x:v>
      </x:c>
      <x:c r="B433" t="str">
        <x:v>蔬菜</x:v>
      </x:c>
      <x:c r="C433" t="str">
        <x:v>番茄</x:v>
      </x:c>
      <x:c r="D433" t="n">
        <x:v>635</x:v>
      </x:c>
      <x:c r="E433" t="n">
        <x:v>690</x:v>
      </x:c>
      <x:c r="F433" s="10" t="str">
        <x:v>食材净重+约8%余量</x:v>
      </x:c>
      <x:c r="G433" s="10" t="str">
        <x:v>生重</x:v>
      </x:c>
    </x:row>
    <x:row r="434" ht="23" customHeight="1">
      <x:c r="A434" t="n">
        <x:v>11</x:v>
      </x:c>
      <x:c r="B434" t="str">
        <x:v>蔬菜</x:v>
      </x:c>
      <x:c r="C434" t="str">
        <x:v>白萝卜</x:v>
      </x:c>
      <x:c r="D434" t="n">
        <x:v>330</x:v>
      </x:c>
      <x:c r="E434" t="n">
        <x:v>360</x:v>
      </x:c>
      <x:c r="F434" s="10" t="str">
        <x:v>食材净重+约8%余量</x:v>
      </x:c>
      <x:c r="G434" s="10" t="str">
        <x:v>生重</x:v>
      </x:c>
    </x:row>
    <x:row r="435" ht="23" customHeight="1">
      <x:c r="A435" t="n">
        <x:v>11</x:v>
      </x:c>
      <x:c r="B435" t="str">
        <x:v>蔬菜</x:v>
      </x:c>
      <x:c r="C435" t="str">
        <x:v>芦笋</x:v>
      </x:c>
      <x:c r="D435" t="n">
        <x:v>110</x:v>
      </x:c>
      <x:c r="E435" t="n">
        <x:v>120</x:v>
      </x:c>
      <x:c r="F435" s="10" t="str">
        <x:v>食材净重+约8%余量</x:v>
      </x:c>
      <x:c r="G435" s="10" t="str">
        <x:v>生重</x:v>
      </x:c>
    </x:row>
    <x:row r="436" ht="23" customHeight="1">
      <x:c r="A436" t="n">
        <x:v>11</x:v>
      </x:c>
      <x:c r="B436" t="str">
        <x:v>蔬菜</x:v>
      </x:c>
      <x:c r="C436" t="str">
        <x:v>苦瓜</x:v>
      </x:c>
      <x:c r="D436" t="n">
        <x:v>350</x:v>
      </x:c>
      <x:c r="E436" t="n">
        <x:v>380</x:v>
      </x:c>
      <x:c r="F436" s="10" t="str">
        <x:v>食材净重+约8%余量</x:v>
      </x:c>
      <x:c r="G436" s="10" t="str">
        <x:v>生重</x:v>
      </x:c>
    </x:row>
    <x:row r="437" ht="23" customHeight="1">
      <x:c r="A437" t="n">
        <x:v>11</x:v>
      </x:c>
      <x:c r="B437" t="str">
        <x:v>蔬菜</x:v>
      </x:c>
      <x:c r="C437" t="str">
        <x:v>茼蒿</x:v>
      </x:c>
      <x:c r="D437" t="n">
        <x:v>330</x:v>
      </x:c>
      <x:c r="E437" t="n">
        <x:v>360</x:v>
      </x:c>
      <x:c r="F437" s="10" t="str">
        <x:v>食材净重+约8%余量</x:v>
      </x:c>
      <x:c r="G437" s="10" t="str">
        <x:v>生重</x:v>
      </x:c>
    </x:row>
    <x:row r="438" ht="23" customHeight="1">
      <x:c r="A438" t="n">
        <x:v>11</x:v>
      </x:c>
      <x:c r="B438" t="str">
        <x:v>蔬菜</x:v>
      </x:c>
      <x:c r="C438" t="str">
        <x:v>莴笋</x:v>
      </x:c>
      <x:c r="D438" t="n">
        <x:v>110</x:v>
      </x:c>
      <x:c r="E438" t="n">
        <x:v>120</x:v>
      </x:c>
      <x:c r="F438" s="10" t="str">
        <x:v>食材净重+约8%余量</x:v>
      </x:c>
      <x:c r="G438" s="10" t="str">
        <x:v>生重</x:v>
      </x:c>
    </x:row>
    <x:row r="439" ht="23" customHeight="1">
      <x:c r="A439" t="n">
        <x:v>11</x:v>
      </x:c>
      <x:c r="B439" t="str">
        <x:v>蔬菜</x:v>
      </x:c>
      <x:c r="C439" t="str">
        <x:v>西兰花</x:v>
      </x:c>
      <x:c r="D439" t="n">
        <x:v>190</x:v>
      </x:c>
      <x:c r="E439" t="n">
        <x:v>210</x:v>
      </x:c>
      <x:c r="F439" s="10" t="str">
        <x:v>食材净重+约8%余量</x:v>
      </x:c>
      <x:c r="G439" s="10" t="str">
        <x:v>生重</x:v>
      </x:c>
    </x:row>
    <x:row r="440" ht="23" customHeight="1">
      <x:c r="A440" t="n">
        <x:v>11</x:v>
      </x:c>
      <x:c r="B440" t="str">
        <x:v>蔬菜</x:v>
      </x:c>
      <x:c r="C440" t="str">
        <x:v>西葫芦</x:v>
      </x:c>
      <x:c r="D440" t="n">
        <x:v>175</x:v>
      </x:c>
      <x:c r="E440" t="n">
        <x:v>190</x:v>
      </x:c>
      <x:c r="F440" s="10" t="str">
        <x:v>食材净重+约8%余量</x:v>
      </x:c>
      <x:c r="G440" s="10" t="str">
        <x:v>生重</x:v>
      </x:c>
    </x:row>
    <x:row r="441" ht="23" customHeight="1">
      <x:c r="A441" t="n">
        <x:v>11</x:v>
      </x:c>
      <x:c r="B441" t="str">
        <x:v>豆蛋</x:v>
      </x:c>
      <x:c r="C441" t="str">
        <x:v>北豆腐</x:v>
      </x:c>
      <x:c r="D441" t="n">
        <x:v>480</x:v>
      </x:c>
      <x:c r="E441" t="n">
        <x:v>520</x:v>
      </x:c>
      <x:c r="F441" s="10" t="str">
        <x:v>食材净重+约8%余量</x:v>
      </x:c>
      <x:c r="G441" s="10" t="str">
        <x:v>净重</x:v>
      </x:c>
    </x:row>
    <x:row r="442" ht="23" customHeight="1">
      <x:c r="A442" t="n">
        <x:v>11</x:v>
      </x:c>
      <x:c r="B442" t="str">
        <x:v>豆蛋</x:v>
      </x:c>
      <x:c r="C442" t="str">
        <x:v>熟毛豆仁</x:v>
      </x:c>
      <x:c r="D442" t="n">
        <x:v>190</x:v>
      </x:c>
      <x:c r="E442" t="n">
        <x:v>210</x:v>
      </x:c>
      <x:c r="F442" s="10" t="str">
        <x:v>食材净重+约8%余量</x:v>
      </x:c>
      <x:c r="G442" s="10" t="str">
        <x:v>熟重</x:v>
      </x:c>
    </x:row>
    <x:row r="443" ht="23" customHeight="1">
      <x:c r="A443" t="n">
        <x:v>11</x:v>
      </x:c>
      <x:c r="B443" t="str">
        <x:v>鱼类</x:v>
      </x:c>
      <x:c r="C443" t="str">
        <x:v>鲈鱼</x:v>
      </x:c>
      <x:c r="D443" t="n">
        <x:v>175</x:v>
      </x:c>
      <x:c r="E443" t="n">
        <x:v>190</x:v>
      </x:c>
      <x:c r="F443" s="10" t="str">
        <x:v>食材净重+约8%余量；带壳或带骨采购需另折算</x:v>
      </x:c>
      <x:c r="G443" s="10" t="str">
        <x:v>净鱼肉生重</x:v>
      </x:c>
    </x:row>
    <x:row r="444" ht="23" customHeight="1">
      <x:c r="A444" t="n">
        <x:v>11</x:v>
      </x:c>
      <x:c r="B444" t="str">
        <x:v>鱼类</x:v>
      </x:c>
      <x:c r="C444" t="str">
        <x:v>鳕鱼</x:v>
      </x:c>
      <x:c r="D444" t="n">
        <x:v>200</x:v>
      </x:c>
      <x:c r="E444" t="n">
        <x:v>220</x:v>
      </x:c>
      <x:c r="F444" s="10" t="str">
        <x:v>食材净重+约8%余量；带壳或带骨采购需另折算</x:v>
      </x:c>
      <x:c r="G444" s="10" t="str">
        <x:v>净鱼肉生重</x:v>
      </x:c>
    </x:row>
    <x:row r="445" ht="23" customHeight="1">
      <x:c r="A445" t="n">
        <x:v>12</x:v>
      </x:c>
      <x:c r="B445" t="str">
        <x:v>主食</x:v>
      </x:c>
      <x:c r="C445" t="str">
        <x:v>山药</x:v>
      </x:c>
      <x:c r="D445" t="n">
        <x:v>110</x:v>
      </x:c>
      <x:c r="E445" t="n">
        <x:v>120</x:v>
      </x:c>
      <x:c r="F445" s="10" t="str">
        <x:v>鲜薯/玉米净重；考虑小幅损耗</x:v>
      </x:c>
      <x:c r="G445" s="10" t="str">
        <x:v>蒸熟净重</x:v>
      </x:c>
    </x:row>
    <x:row r="446" ht="23" customHeight="1">
      <x:c r="A446" t="n">
        <x:v>12</x:v>
      </x:c>
      <x:c r="B446" t="str">
        <x:v>主食</x:v>
      </x:c>
      <x:c r="C446" t="str">
        <x:v>杂粮饭</x:v>
      </x:c>
      <x:c r="D446" t="n">
        <x:v>270</x:v>
      </x:c>
      <x:c r="E446" t="n">
        <x:v>100</x:v>
      </x:c>
      <x:c r="F446" s="10" t="str">
        <x:v>未煮干粮约重（按熟饭/生米≈2.6估算）</x:v>
      </x:c>
      <x:c r="G446" s="10" t="str">
        <x:v>熟重</x:v>
      </x:c>
    </x:row>
    <x:row r="447" ht="23" customHeight="1">
      <x:c r="A447" t="n">
        <x:v>12</x:v>
      </x:c>
      <x:c r="B447" t="str">
        <x:v>主食</x:v>
      </x:c>
      <x:c r="C447" t="str">
        <x:v>燕麦饭</x:v>
      </x:c>
      <x:c r="D447" t="n">
        <x:v>165</x:v>
      </x:c>
      <x:c r="E447" t="n">
        <x:v>60</x:v>
      </x:c>
      <x:c r="F447" s="10" t="str">
        <x:v>未煮干粮约重（按熟饭/生米≈2.6估算）</x:v>
      </x:c>
      <x:c r="G447" s="10" t="str">
        <x:v>熟重</x:v>
      </x:c>
    </x:row>
    <x:row r="448" ht="23" customHeight="1">
      <x:c r="A448" t="n">
        <x:v>12</x:v>
      </x:c>
      <x:c r="B448" t="str">
        <x:v>主食</x:v>
      </x:c>
      <x:c r="C448" t="str">
        <x:v>玉米</x:v>
      </x:c>
      <x:c r="D448" t="n">
        <x:v>95</x:v>
      </x:c>
      <x:c r="E448" t="n">
        <x:v>100</x:v>
      </x:c>
      <x:c r="F448" s="10" t="str">
        <x:v>鲜薯/玉米净重；考虑小幅损耗</x:v>
      </x:c>
      <x:c r="G448" s="10" t="str">
        <x:v>蒸熟净重</x:v>
      </x:c>
    </x:row>
    <x:row r="449" ht="23" customHeight="1">
      <x:c r="A449" t="n">
        <x:v>12</x:v>
      </x:c>
      <x:c r="B449" t="str">
        <x:v>主食</x:v>
      </x:c>
      <x:c r="C449" t="str">
        <x:v>糙米饭</x:v>
      </x:c>
      <x:c r="D449" t="n">
        <x:v>220</x:v>
      </x:c>
      <x:c r="E449" t="n">
        <x:v>80</x:v>
      </x:c>
      <x:c r="F449" s="10" t="str">
        <x:v>未煮干粮约重（按熟饭/生米≈2.6估算）</x:v>
      </x:c>
      <x:c r="G449" s="10" t="str">
        <x:v>熟重</x:v>
      </x:c>
    </x:row>
    <x:row r="450" ht="23" customHeight="1">
      <x:c r="A450" t="n">
        <x:v>12</x:v>
      </x:c>
      <x:c r="B450" t="str">
        <x:v>主食</x:v>
      </x:c>
      <x:c r="C450" t="str">
        <x:v>红薯</x:v>
      </x:c>
      <x:c r="D450" t="n">
        <x:v>190</x:v>
      </x:c>
      <x:c r="E450" t="n">
        <x:v>210</x:v>
      </x:c>
      <x:c r="F450" s="10" t="str">
        <x:v>鲜薯/玉米净重；考虑小幅损耗</x:v>
      </x:c>
      <x:c r="G450" s="10" t="str">
        <x:v>蒸熟净重</x:v>
      </x:c>
    </x:row>
    <x:row r="451" ht="23" customHeight="1">
      <x:c r="A451" t="n">
        <x:v>12</x:v>
      </x:c>
      <x:c r="B451" t="str">
        <x:v>主食</x:v>
      </x:c>
      <x:c r="C451" t="str">
        <x:v>荞麦面</x:v>
      </x:c>
      <x:c r="D451" t="n">
        <x:v>330</x:v>
      </x:c>
      <x:c r="E451" t="n">
        <x:v>160</x:v>
      </x:c>
      <x:c r="F451" s="10" t="str">
        <x:v>干粮约重（按熟面/干面≈2.1估算）</x:v>
      </x:c>
      <x:c r="G451" s="10" t="str">
        <x:v>煮熟沥水重</x:v>
      </x:c>
    </x:row>
    <x:row r="452" ht="23" customHeight="1">
      <x:c r="A452" t="n">
        <x:v>12</x:v>
      </x:c>
      <x:c r="B452" t="str">
        <x:v>主食</x:v>
      </x:c>
      <x:c r="C452" t="str">
        <x:v>藜麦饭</x:v>
      </x:c>
      <x:c r="D452" t="n">
        <x:v>275</x:v>
      </x:c>
      <x:c r="E452" t="n">
        <x:v>110</x:v>
      </x:c>
      <x:c r="F452" s="10" t="str">
        <x:v>未煮干粮约重（按熟饭/生米≈2.6估算）</x:v>
      </x:c>
      <x:c r="G452" s="10" t="str">
        <x:v>熟重</x:v>
      </x:c>
    </x:row>
    <x:row r="453" ht="23" customHeight="1">
      <x:c r="A453" t="n">
        <x:v>12</x:v>
      </x:c>
      <x:c r="B453" t="str">
        <x:v>油脂</x:v>
      </x:c>
      <x:c r="C453" t="str">
        <x:v>烹调油</x:v>
      </x:c>
      <x:c r="D453" t="n">
        <x:v>67</x:v>
      </x:c>
      <x:c r="E453" t="n">
        <x:v>67</x:v>
      </x:c>
      <x:c r="F453" s="10" t="str">
        <x:v>食用油；现有库存足够即可</x:v>
      </x:c>
      <x:c r="G453" s="10" t="str">
        <x:v>实际用油重</x:v>
      </x:c>
    </x:row>
    <x:row r="454" ht="23" customHeight="1">
      <x:c r="A454" t="n">
        <x:v>12</x:v>
      </x:c>
      <x:c r="B454" t="str">
        <x:v>海鲜</x:v>
      </x:c>
      <x:c r="C454" t="str">
        <x:v>虾仁</x:v>
      </x:c>
      <x:c r="D454" t="n">
        <x:v>160</x:v>
      </x:c>
      <x:c r="E454" t="n">
        <x:v>170</x:v>
      </x:c>
      <x:c r="F454" s="10" t="str">
        <x:v>食材净重+约8%余量</x:v>
      </x:c>
      <x:c r="G454" s="10" t="str">
        <x:v>生重</x:v>
      </x:c>
    </x:row>
    <x:row r="455" ht="23" customHeight="1">
      <x:c r="A455" t="n">
        <x:v>12</x:v>
      </x:c>
      <x:c r="B455" t="str">
        <x:v>海鲜</x:v>
      </x:c>
      <x:c r="C455" t="str">
        <x:v>鱿鱼</x:v>
      </x:c>
      <x:c r="D455" t="n">
        <x:v>350</x:v>
      </x:c>
      <x:c r="E455" t="n">
        <x:v>380</x:v>
      </x:c>
      <x:c r="F455" s="10" t="str">
        <x:v>食材净重+约8%余量</x:v>
      </x:c>
      <x:c r="G455" s="10" t="str">
        <x:v>生重</x:v>
      </x:c>
    </x:row>
    <x:row r="456" ht="23" customHeight="1">
      <x:c r="A456" t="n">
        <x:v>12</x:v>
      </x:c>
      <x:c r="B456" t="str">
        <x:v>牛肉</x:v>
      </x:c>
      <x:c r="C456" t="str">
        <x:v>牛腱子</x:v>
      </x:c>
      <x:c r="D456" t="n">
        <x:v>695</x:v>
      </x:c>
      <x:c r="E456" t="n">
        <x:v>750</x:v>
      </x:c>
      <x:c r="F456" s="10" t="str">
        <x:v>食材净重+约8%余量</x:v>
      </x:c>
      <x:c r="G456" s="10" t="str">
        <x:v>生重</x:v>
      </x:c>
    </x:row>
    <x:row r="457" ht="23" customHeight="1">
      <x:c r="A457" t="n">
        <x:v>12</x:v>
      </x:c>
      <x:c r="B457" t="str">
        <x:v>猪肉</x:v>
      </x:c>
      <x:c r="C457" t="str">
        <x:v>猪瘦肉</x:v>
      </x:c>
      <x:c r="D457" t="n">
        <x:v>330</x:v>
      </x:c>
      <x:c r="E457" t="n">
        <x:v>360</x:v>
      </x:c>
      <x:c r="F457" s="10" t="str">
        <x:v>食材净重+约8%余量</x:v>
      </x:c>
      <x:c r="G457" s="10" t="str">
        <x:v>生重</x:v>
      </x:c>
    </x:row>
    <x:row r="458" ht="23" customHeight="1">
      <x:c r="A458" t="n">
        <x:v>12</x:v>
      </x:c>
      <x:c r="B458" t="str">
        <x:v>猪肉</x:v>
      </x:c>
      <x:c r="C458" t="str">
        <x:v>猪里脊</x:v>
      </x:c>
      <x:c r="D458" t="n">
        <x:v>180</x:v>
      </x:c>
      <x:c r="E458" t="n">
        <x:v>190</x:v>
      </x:c>
      <x:c r="F458" s="10" t="str">
        <x:v>食材净重+约8%余量</x:v>
      </x:c>
      <x:c r="G458" s="10" t="str">
        <x:v>生重</x:v>
      </x:c>
    </x:row>
    <x:row r="459" ht="23" customHeight="1">
      <x:c r="A459" t="n">
        <x:v>12</x:v>
      </x:c>
      <x:c r="B459" t="str">
        <x:v>菌菇</x:v>
      </x:c>
      <x:c r="C459" t="str">
        <x:v>杏鲍菇</x:v>
      </x:c>
      <x:c r="D459" t="n">
        <x:v>265</x:v>
      </x:c>
      <x:c r="E459" t="n">
        <x:v>290</x:v>
      </x:c>
      <x:c r="F459" s="10" t="str">
        <x:v>食材净重+约8%余量</x:v>
      </x:c>
      <x:c r="G459" s="10" t="str">
        <x:v>生重</x:v>
      </x:c>
    </x:row>
    <x:row r="460" ht="23" customHeight="1">
      <x:c r="A460" t="n">
        <x:v>12</x:v>
      </x:c>
      <x:c r="B460" t="str">
        <x:v>菌菇</x:v>
      </x:c>
      <x:c r="C460" t="str">
        <x:v>泡发木耳</x:v>
      </x:c>
      <x:c r="D460" t="n">
        <x:v>155</x:v>
      </x:c>
      <x:c r="E460" t="n">
        <x:v>170</x:v>
      </x:c>
      <x:c r="F460" s="10" t="str">
        <x:v>食材净重+约8%余量</x:v>
      </x:c>
      <x:c r="G460" s="10" t="str">
        <x:v>泡发沥水重</x:v>
      </x:c>
    </x:row>
    <x:row r="461" ht="23" customHeight="1">
      <x:c r="A461" t="n">
        <x:v>12</x:v>
      </x:c>
      <x:c r="B461" t="str">
        <x:v>菌菇</x:v>
      </x:c>
      <x:c r="C461" t="str">
        <x:v>香菇</x:v>
      </x:c>
      <x:c r="D461" t="n">
        <x:v>345</x:v>
      </x:c>
      <x:c r="E461" t="n">
        <x:v>370</x:v>
      </x:c>
      <x:c r="F461" s="10" t="str">
        <x:v>食材净重+约8%余量</x:v>
      </x:c>
      <x:c r="G461" s="10" t="str">
        <x:v>生重</x:v>
      </x:c>
    </x:row>
    <x:row r="462" ht="23" customHeight="1">
      <x:c r="A462" t="n">
        <x:v>12</x:v>
      </x:c>
      <x:c r="B462" t="str">
        <x:v>蔬菜</x:v>
      </x:c>
      <x:c r="C462" t="str">
        <x:v>丝瓜</x:v>
      </x:c>
      <x:c r="D462" t="n">
        <x:v>320</x:v>
      </x:c>
      <x:c r="E462" t="n">
        <x:v>350</x:v>
      </x:c>
      <x:c r="F462" s="10" t="str">
        <x:v>食材净重+约8%余量</x:v>
      </x:c>
      <x:c r="G462" s="10" t="str">
        <x:v>生重</x:v>
      </x:c>
    </x:row>
    <x:row r="463" ht="23" customHeight="1">
      <x:c r="A463" t="n">
        <x:v>12</x:v>
      </x:c>
      <x:c r="B463" t="str">
        <x:v>蔬菜</x:v>
      </x:c>
      <x:c r="C463" t="str">
        <x:v>彩椒</x:v>
      </x:c>
      <x:c r="D463" t="n">
        <x:v>125</x:v>
      </x:c>
      <x:c r="E463" t="n">
        <x:v>140</x:v>
      </x:c>
      <x:c r="F463" s="10" t="str">
        <x:v>食材净重+约8%余量</x:v>
      </x:c>
      <x:c r="G463" s="10" t="str">
        <x:v>生重</x:v>
      </x:c>
    </x:row>
    <x:row r="464" ht="23" customHeight="1">
      <x:c r="A464" t="n">
        <x:v>12</x:v>
      </x:c>
      <x:c r="B464" t="str">
        <x:v>蔬菜</x:v>
      </x:c>
      <x:c r="C464" t="str">
        <x:v>洋葱</x:v>
      </x:c>
      <x:c r="D464" t="n">
        <x:v>265</x:v>
      </x:c>
      <x:c r="E464" t="n">
        <x:v>290</x:v>
      </x:c>
      <x:c r="F464" s="10" t="str">
        <x:v>食材净重+约8%余量</x:v>
      </x:c>
      <x:c r="G464" s="10" t="str">
        <x:v>生重</x:v>
      </x:c>
    </x:row>
    <x:row r="465" ht="23" customHeight="1">
      <x:c r="A465" t="n">
        <x:v>12</x:v>
      </x:c>
      <x:c r="B465" t="str">
        <x:v>蔬菜</x:v>
      </x:c>
      <x:c r="C465" t="str">
        <x:v>生菜</x:v>
      </x:c>
      <x:c r="D465" t="n">
        <x:v>380</x:v>
      </x:c>
      <x:c r="E465" t="n">
        <x:v>410</x:v>
      </x:c>
      <x:c r="F465" s="10" t="str">
        <x:v>食材净重+约8%余量</x:v>
      </x:c>
      <x:c r="G465" s="10" t="str">
        <x:v>生重</x:v>
      </x:c>
    </x:row>
    <x:row r="466" ht="23" customHeight="1">
      <x:c r="A466" t="n">
        <x:v>12</x:v>
      </x:c>
      <x:c r="B466" t="str">
        <x:v>蔬菜</x:v>
      </x:c>
      <x:c r="C466" t="str">
        <x:v>番茄</x:v>
      </x:c>
      <x:c r="D466" t="n">
        <x:v>540</x:v>
      </x:c>
      <x:c r="E466" t="n">
        <x:v>580</x:v>
      </x:c>
      <x:c r="F466" s="10" t="str">
        <x:v>食材净重+约8%余量</x:v>
      </x:c>
      <x:c r="G466" s="10" t="str">
        <x:v>生重</x:v>
      </x:c>
    </x:row>
    <x:row r="467" ht="23" customHeight="1">
      <x:c r="A467" t="n">
        <x:v>12</x:v>
      </x:c>
      <x:c r="B467" t="str">
        <x:v>蔬菜</x:v>
      </x:c>
      <x:c r="C467" t="str">
        <x:v>紫甘蓝</x:v>
      </x:c>
      <x:c r="D467" t="n">
        <x:v>265</x:v>
      </x:c>
      <x:c r="E467" t="n">
        <x:v>290</x:v>
      </x:c>
      <x:c r="F467" s="10" t="str">
        <x:v>食材净重+约8%余量</x:v>
      </x:c>
      <x:c r="G467" s="10" t="str">
        <x:v>生重</x:v>
      </x:c>
    </x:row>
    <x:row r="468" ht="23" customHeight="1">
      <x:c r="A468" t="n">
        <x:v>12</x:v>
      </x:c>
      <x:c r="B468" t="str">
        <x:v>蔬菜</x:v>
      </x:c>
      <x:c r="C468" t="str">
        <x:v>绿豆芽</x:v>
      </x:c>
      <x:c r="D468" t="n">
        <x:v>140</x:v>
      </x:c>
      <x:c r="E468" t="n">
        <x:v>150</x:v>
      </x:c>
      <x:c r="F468" s="10" t="str">
        <x:v>食材净重+约8%余量</x:v>
      </x:c>
      <x:c r="G468" s="10" t="str">
        <x:v>生重</x:v>
      </x:c>
    </x:row>
    <x:row r="469" ht="23" customHeight="1">
      <x:c r="A469" t="n">
        <x:v>12</x:v>
      </x:c>
      <x:c r="B469" t="str">
        <x:v>蔬菜</x:v>
      </x:c>
      <x:c r="C469" t="str">
        <x:v>芦笋</x:v>
      </x:c>
      <x:c r="D469" t="n">
        <x:v>350</x:v>
      </x:c>
      <x:c r="E469" t="n">
        <x:v>380</x:v>
      </x:c>
      <x:c r="F469" s="10" t="str">
        <x:v>食材净重+约8%余量</x:v>
      </x:c>
      <x:c r="G469" s="10" t="str">
        <x:v>生重</x:v>
      </x:c>
    </x:row>
    <x:row r="470" ht="23" customHeight="1">
      <x:c r="A470" t="n">
        <x:v>12</x:v>
      </x:c>
      <x:c r="B470" t="str">
        <x:v>蔬菜</x:v>
      </x:c>
      <x:c r="C470" t="str">
        <x:v>苦瓜</x:v>
      </x:c>
      <x:c r="D470" t="n">
        <x:v>160</x:v>
      </x:c>
      <x:c r="E470" t="n">
        <x:v>170</x:v>
      </x:c>
      <x:c r="F470" s="10" t="str">
        <x:v>食材净重+约8%余量</x:v>
      </x:c>
      <x:c r="G470" s="10" t="str">
        <x:v>生重</x:v>
      </x:c>
    </x:row>
    <x:row r="471" ht="23" customHeight="1">
      <x:c r="A471" t="n">
        <x:v>12</x:v>
      </x:c>
      <x:c r="B471" t="str">
        <x:v>蔬菜</x:v>
      </x:c>
      <x:c r="C471" t="str">
        <x:v>茼蒿</x:v>
      </x:c>
      <x:c r="D471" t="n">
        <x:v>365</x:v>
      </x:c>
      <x:c r="E471" t="n">
        <x:v>390</x:v>
      </x:c>
      <x:c r="F471" s="10" t="str">
        <x:v>食材净重+约8%余量</x:v>
      </x:c>
      <x:c r="G471" s="10" t="str">
        <x:v>生重</x:v>
      </x:c>
    </x:row>
    <x:row r="472" ht="23" customHeight="1">
      <x:c r="A472" t="n">
        <x:v>12</x:v>
      </x:c>
      <x:c r="B472" t="str">
        <x:v>蔬菜</x:v>
      </x:c>
      <x:c r="C472" t="str">
        <x:v>西兰花</x:v>
      </x:c>
      <x:c r="D472" t="n">
        <x:v>140</x:v>
      </x:c>
      <x:c r="E472" t="n">
        <x:v>150</x:v>
      </x:c>
      <x:c r="F472" s="10" t="str">
        <x:v>食材净重+约8%余量</x:v>
      </x:c>
      <x:c r="G472" s="10" t="str">
        <x:v>生重</x:v>
      </x:c>
    </x:row>
    <x:row r="473" ht="23" customHeight="1">
      <x:c r="A473" t="n">
        <x:v>12</x:v>
      </x:c>
      <x:c r="B473" t="str">
        <x:v>蔬菜</x:v>
      </x:c>
      <x:c r="C473" t="str">
        <x:v>西葫芦</x:v>
      </x:c>
      <x:c r="D473" t="n">
        <x:v>140</x:v>
      </x:c>
      <x:c r="E473" t="n">
        <x:v>150</x:v>
      </x:c>
      <x:c r="F473" s="10" t="str">
        <x:v>食材净重+约8%余量</x:v>
      </x:c>
      <x:c r="G473" s="10" t="str">
        <x:v>生重</x:v>
      </x:c>
    </x:row>
    <x:row r="474" ht="23" customHeight="1">
      <x:c r="A474" t="n">
        <x:v>12</x:v>
      </x:c>
      <x:c r="B474" t="str">
        <x:v>蔬菜</x:v>
      </x:c>
      <x:c r="C474" t="str">
        <x:v>黄瓜</x:v>
      </x:c>
      <x:c r="D474" t="n">
        <x:v>295</x:v>
      </x:c>
      <x:c r="E474" t="n">
        <x:v>320</x:v>
      </x:c>
      <x:c r="F474" s="10" t="str">
        <x:v>食材净重+约8%余量</x:v>
      </x:c>
      <x:c r="G474" s="10" t="str">
        <x:v>生重</x:v>
      </x:c>
    </x:row>
    <x:row r="475" ht="23" customHeight="1">
      <x:c r="A475" t="n">
        <x:v>12</x:v>
      </x:c>
      <x:c r="B475" t="str">
        <x:v>豆蛋</x:v>
      </x:c>
      <x:c r="C475" t="str">
        <x:v>北豆腐</x:v>
      </x:c>
      <x:c r="D475" t="n">
        <x:v>130</x:v>
      </x:c>
      <x:c r="E475" t="n">
        <x:v>140</x:v>
      </x:c>
      <x:c r="F475" s="10" t="str">
        <x:v>食材净重+约8%余量</x:v>
      </x:c>
      <x:c r="G475" s="10" t="str">
        <x:v>净重</x:v>
      </x:c>
    </x:row>
    <x:row r="476" ht="23" customHeight="1">
      <x:c r="A476" t="n">
        <x:v>12</x:v>
      </x:c>
      <x:c r="B476" t="str">
        <x:v>豆蛋</x:v>
      </x:c>
      <x:c r="C476" t="str">
        <x:v>嫩豆腐</x:v>
      </x:c>
      <x:c r="D476" t="n">
        <x:v>280</x:v>
      </x:c>
      <x:c r="E476" t="n">
        <x:v>300</x:v>
      </x:c>
      <x:c r="F476" s="10" t="str">
        <x:v>食材净重+约8%余量</x:v>
      </x:c>
      <x:c r="G476" s="10" t="str">
        <x:v>净重</x:v>
      </x:c>
    </x:row>
    <x:row r="477" ht="23" customHeight="1">
      <x:c r="A477" t="n">
        <x:v>12</x:v>
      </x:c>
      <x:c r="B477" t="str">
        <x:v>豆蛋</x:v>
      </x:c>
      <x:c r="C477" t="str">
        <x:v>熟毛豆仁</x:v>
      </x:c>
      <x:c r="D477" t="n">
        <x:v>50</x:v>
      </x:c>
      <x:c r="E477" t="n">
        <x:v>50</x:v>
      </x:c>
      <x:c r="F477" s="10" t="str">
        <x:v>食材净重+约8%余量</x:v>
      </x:c>
      <x:c r="G477" s="10" t="str">
        <x:v>熟重</x:v>
      </x:c>
    </x:row>
    <x:row r="478" ht="23" customHeight="1">
      <x:c r="A478" t="n">
        <x:v>12</x:v>
      </x:c>
      <x:c r="B478" t="str">
        <x:v>豆蛋</x:v>
      </x:c>
      <x:c r="C478" t="str">
        <x:v>鸡蛋</x:v>
      </x:c>
      <x:c r="D478" t="n">
        <x:v>110</x:v>
      </x:c>
      <x:c r="E478" t="n">
        <x:v>120</x:v>
      </x:c>
      <x:c r="F478" s="10" t="str">
        <x:v>食材净重+约8%余量</x:v>
      </x:c>
      <x:c r="G478" s="10" t="str">
        <x:v>去壳可食重</x:v>
      </x:c>
    </x:row>
    <x:row r="479" ht="23" customHeight="1">
      <x:c r="A479" t="n">
        <x:v>12</x:v>
      </x:c>
      <x:c r="B479" t="str">
        <x:v>鱼类</x:v>
      </x:c>
      <x:c r="C479" t="str">
        <x:v>鲈鱼</x:v>
      </x:c>
      <x:c r="D479" t="n">
        <x:v>175</x:v>
      </x:c>
      <x:c r="E479" t="n">
        <x:v>190</x:v>
      </x:c>
      <x:c r="F479" s="10" t="str">
        <x:v>食材净重+约8%余量；带壳或带骨采购需另折算</x:v>
      </x:c>
      <x:c r="G479" s="10" t="str">
        <x:v>净鱼肉生重</x:v>
      </x:c>
    </x:row>
    <x:row r="480" ht="23" customHeight="1">
      <x:c r="A480" t="n">
        <x:v>12</x:v>
      </x:c>
      <x:c r="B480" t="str">
        <x:v>鱼类</x:v>
      </x:c>
      <x:c r="C480" t="str">
        <x:v>鳕鱼</x:v>
      </x:c>
      <x:c r="D480" t="n">
        <x:v>215</x:v>
      </x:c>
      <x:c r="E480" t="n">
        <x:v>230</x:v>
      </x:c>
      <x:c r="F480" s="10" t="str">
        <x:v>食材净重+约8%余量；带壳或带骨采购需另折算</x:v>
      </x:c>
      <x:c r="G480" s="10" t="str">
        <x:v>净鱼肉生重</x:v>
      </x:c>
    </x:row>
    <x:row r="481" ht="23" customHeight="1">
      <x:c r="A481" t="n">
        <x:v>13</x:v>
      </x:c>
      <x:c r="B481" t="str">
        <x:v>主食</x:v>
      </x:c>
      <x:c r="C481" t="str">
        <x:v>全麦面</x:v>
      </x:c>
      <x:c r="D481" t="n">
        <x:v>230</x:v>
      </x:c>
      <x:c r="E481" t="n">
        <x:v>110</x:v>
      </x:c>
      <x:c r="F481" s="10" t="str">
        <x:v>干粮约重（按熟面/干面≈2.1估算）</x:v>
      </x:c>
      <x:c r="G481" s="10" t="str">
        <x:v>煮熟沥水重</x:v>
      </x:c>
    </x:row>
    <x:row r="482" ht="23" customHeight="1">
      <x:c r="A482" t="n">
        <x:v>13</x:v>
      </x:c>
      <x:c r="B482" t="str">
        <x:v>主食</x:v>
      </x:c>
      <x:c r="C482" t="str">
        <x:v>山药</x:v>
      </x:c>
      <x:c r="D482" t="n">
        <x:v>150</x:v>
      </x:c>
      <x:c r="E482" t="n">
        <x:v>160</x:v>
      </x:c>
      <x:c r="F482" s="10" t="str">
        <x:v>鲜薯/玉米净重；考虑小幅损耗</x:v>
      </x:c>
      <x:c r="G482" s="10" t="str">
        <x:v>蒸熟净重</x:v>
      </x:c>
    </x:row>
    <x:row r="483" ht="23" customHeight="1">
      <x:c r="A483" t="n">
        <x:v>13</x:v>
      </x:c>
      <x:c r="B483" t="str">
        <x:v>主食</x:v>
      </x:c>
      <x:c r="C483" t="str">
        <x:v>燕麦饭</x:v>
      </x:c>
      <x:c r="D483" t="n">
        <x:v>245</x:v>
      </x:c>
      <x:c r="E483" t="n">
        <x:v>90</x:v>
      </x:c>
      <x:c r="F483" s="10" t="str">
        <x:v>未煮干粮约重（按熟饭/生米≈2.6估算）</x:v>
      </x:c>
      <x:c r="G483" s="10" t="str">
        <x:v>熟重</x:v>
      </x:c>
    </x:row>
    <x:row r="484" ht="23" customHeight="1">
      <x:c r="A484" t="n">
        <x:v>13</x:v>
      </x:c>
      <x:c r="B484" t="str">
        <x:v>主食</x:v>
      </x:c>
      <x:c r="C484" t="str">
        <x:v>白米饭</x:v>
      </x:c>
      <x:c r="D484" t="n">
        <x:v>110</x:v>
      </x:c>
      <x:c r="E484" t="n">
        <x:v>40</x:v>
      </x:c>
      <x:c r="F484" s="10" t="str">
        <x:v>未煮干粮约重（按熟饭/生米≈2.6估算）</x:v>
      </x:c>
      <x:c r="G484" s="10" t="str">
        <x:v>熟重</x:v>
      </x:c>
    </x:row>
    <x:row r="485" ht="23" customHeight="1">
      <x:c r="A485" t="n">
        <x:v>13</x:v>
      </x:c>
      <x:c r="B485" t="str">
        <x:v>主食</x:v>
      </x:c>
      <x:c r="C485" t="str">
        <x:v>米粉</x:v>
      </x:c>
      <x:c r="D485" t="n">
        <x:v>125</x:v>
      </x:c>
      <x:c r="E485" t="n">
        <x:v>60</x:v>
      </x:c>
      <x:c r="F485" s="10" t="str">
        <x:v>干粮约重（按熟面/干面≈2.1估算）</x:v>
      </x:c>
      <x:c r="G485" s="10" t="str">
        <x:v>煮熟沥水重</x:v>
      </x:c>
    </x:row>
    <x:row r="486" ht="23" customHeight="1">
      <x:c r="A486" t="n">
        <x:v>13</x:v>
      </x:c>
      <x:c r="B486" t="str">
        <x:v>主食</x:v>
      </x:c>
      <x:c r="C486" t="str">
        <x:v>紫薯</x:v>
      </x:c>
      <x:c r="D486" t="n">
        <x:v>125</x:v>
      </x:c>
      <x:c r="E486" t="n">
        <x:v>140</x:v>
      </x:c>
      <x:c r="F486" s="10" t="str">
        <x:v>鲜薯/玉米净重；考虑小幅损耗</x:v>
      </x:c>
      <x:c r="G486" s="10" t="str">
        <x:v>蒸熟净重</x:v>
      </x:c>
    </x:row>
    <x:row r="487" ht="23" customHeight="1">
      <x:c r="A487" t="n">
        <x:v>13</x:v>
      </x:c>
      <x:c r="B487" t="str">
        <x:v>主食</x:v>
      </x:c>
      <x:c r="C487" t="str">
        <x:v>红薯</x:v>
      </x:c>
      <x:c r="D487" t="n">
        <x:v>215</x:v>
      </x:c>
      <x:c r="E487" t="n">
        <x:v>240</x:v>
      </x:c>
      <x:c r="F487" s="10" t="str">
        <x:v>鲜薯/玉米净重；考虑小幅损耗</x:v>
      </x:c>
      <x:c r="G487" s="10" t="str">
        <x:v>蒸熟净重</x:v>
      </x:c>
    </x:row>
    <x:row r="488" ht="23" customHeight="1">
      <x:c r="A488" t="n">
        <x:v>13</x:v>
      </x:c>
      <x:c r="B488" t="str">
        <x:v>主食</x:v>
      </x:c>
      <x:c r="C488" t="str">
        <x:v>荞麦饭</x:v>
      </x:c>
      <x:c r="D488" t="n">
        <x:v>260</x:v>
      </x:c>
      <x:c r="E488" t="n">
        <x:v>100</x:v>
      </x:c>
      <x:c r="F488" s="10" t="str">
        <x:v>未煮干粮约重（按熟饭/生米≈2.6估算）</x:v>
      </x:c>
      <x:c r="G488" s="10" t="str">
        <x:v>熟重</x:v>
      </x:c>
    </x:row>
    <x:row r="489" ht="23" customHeight="1">
      <x:c r="A489" t="n">
        <x:v>13</x:v>
      </x:c>
      <x:c r="B489" t="str">
        <x:v>主食</x:v>
      </x:c>
      <x:c r="C489" t="str">
        <x:v>藜麦饭</x:v>
      </x:c>
      <x:c r="D489" t="n">
        <x:v>80</x:v>
      </x:c>
      <x:c r="E489" t="n">
        <x:v>30</x:v>
      </x:c>
      <x:c r="F489" s="10" t="str">
        <x:v>未煮干粮约重（按熟饭/生米≈2.6估算）</x:v>
      </x:c>
      <x:c r="G489" s="10" t="str">
        <x:v>熟重</x:v>
      </x:c>
    </x:row>
    <x:row r="490" ht="23" customHeight="1">
      <x:c r="A490" t="n">
        <x:v>13</x:v>
      </x:c>
      <x:c r="B490" t="str">
        <x:v>低主食</x:v>
      </x:c>
      <x:c r="C490" t="str">
        <x:v>魔芋丝</x:v>
      </x:c>
      <x:c r="D490" t="n">
        <x:v>130</x:v>
      </x:c>
      <x:c r="E490" t="n">
        <x:v>140</x:v>
      </x:c>
      <x:c r="F490" s="10" t="str">
        <x:v>袋装沥水净重</x:v>
      </x:c>
      <x:c r="G490" s="10" t="str">
        <x:v>沥水重</x:v>
      </x:c>
    </x:row>
    <x:row r="491" ht="23" customHeight="1">
      <x:c r="A491" t="n">
        <x:v>13</x:v>
      </x:c>
      <x:c r="B491" t="str">
        <x:v>油脂</x:v>
      </x:c>
      <x:c r="C491" t="str">
        <x:v>烹调油</x:v>
      </x:c>
      <x:c r="D491" t="n">
        <x:v>60</x:v>
      </x:c>
      <x:c r="E491" t="n">
        <x:v>60</x:v>
      </x:c>
      <x:c r="F491" s="10" t="str">
        <x:v>食用油；现有库存足够即可</x:v>
      </x:c>
      <x:c r="G491" s="10" t="str">
        <x:v>实际用油重</x:v>
      </x:c>
    </x:row>
    <x:row r="492" ht="23" customHeight="1">
      <x:c r="A492" t="n">
        <x:v>13</x:v>
      </x:c>
      <x:c r="B492" t="str">
        <x:v>海鲜</x:v>
      </x:c>
      <x:c r="C492" t="str">
        <x:v>虾仁</x:v>
      </x:c>
      <x:c r="D492" t="n">
        <x:v>480</x:v>
      </x:c>
      <x:c r="E492" t="n">
        <x:v>520</x:v>
      </x:c>
      <x:c r="F492" s="10" t="str">
        <x:v>食材净重+约8%余量</x:v>
      </x:c>
      <x:c r="G492" s="10" t="str">
        <x:v>生重</x:v>
      </x:c>
    </x:row>
    <x:row r="493" ht="23" customHeight="1">
      <x:c r="A493" t="n">
        <x:v>13</x:v>
      </x:c>
      <x:c r="B493" t="str">
        <x:v>牛肉</x:v>
      </x:c>
      <x:c r="C493" t="str">
        <x:v>瘦牛肉</x:v>
      </x:c>
      <x:c r="D493" t="n">
        <x:v>350</x:v>
      </x:c>
      <x:c r="E493" t="n">
        <x:v>380</x:v>
      </x:c>
      <x:c r="F493" s="10" t="str">
        <x:v>食材净重+约8%余量</x:v>
      </x:c>
      <x:c r="G493" s="10" t="str">
        <x:v>生重</x:v>
      </x:c>
    </x:row>
    <x:row r="494" ht="23" customHeight="1">
      <x:c r="A494" t="n">
        <x:v>13</x:v>
      </x:c>
      <x:c r="B494" t="str">
        <x:v>禽肉</x:v>
      </x:c>
      <x:c r="C494" t="str">
        <x:v>去皮鸡腿肉</x:v>
      </x:c>
      <x:c r="D494" t="n">
        <x:v>145</x:v>
      </x:c>
      <x:c r="E494" t="n">
        <x:v>160</x:v>
      </x:c>
      <x:c r="F494" s="10" t="str">
        <x:v>食材净重+约8%余量</x:v>
      </x:c>
      <x:c r="G494" s="10" t="str">
        <x:v>生重</x:v>
      </x:c>
    </x:row>
    <x:row r="495" ht="23" customHeight="1">
      <x:c r="A495" t="n">
        <x:v>13</x:v>
      </x:c>
      <x:c r="B495" t="str">
        <x:v>禽肉</x:v>
      </x:c>
      <x:c r="C495" t="str">
        <x:v>去皮鸭胸肉</x:v>
      </x:c>
      <x:c r="D495" t="n">
        <x:v>180</x:v>
      </x:c>
      <x:c r="E495" t="n">
        <x:v>190</x:v>
      </x:c>
      <x:c r="F495" s="10" t="str">
        <x:v>食材净重+约8%余量</x:v>
      </x:c>
      <x:c r="G495" s="10" t="str">
        <x:v>生重</x:v>
      </x:c>
    </x:row>
    <x:row r="496" ht="23" customHeight="1">
      <x:c r="A496" t="n">
        <x:v>13</x:v>
      </x:c>
      <x:c r="B496" t="str">
        <x:v>禽肉</x:v>
      </x:c>
      <x:c r="C496" t="str">
        <x:v>鸡胸肉</x:v>
      </x:c>
      <x:c r="D496" t="n">
        <x:v>325</x:v>
      </x:c>
      <x:c r="E496" t="n">
        <x:v>350</x:v>
      </x:c>
      <x:c r="F496" s="10" t="str">
        <x:v>食材净重+约8%余量</x:v>
      </x:c>
      <x:c r="G496" s="10" t="str">
        <x:v>生重</x:v>
      </x:c>
    </x:row>
    <x:row r="497" ht="23" customHeight="1">
      <x:c r="A497" t="n">
        <x:v>13</x:v>
      </x:c>
      <x:c r="B497" t="str">
        <x:v>菌菇</x:v>
      </x:c>
      <x:c r="C497" t="str">
        <x:v>口蘑</x:v>
      </x:c>
      <x:c r="D497" t="n">
        <x:v>140</x:v>
      </x:c>
      <x:c r="E497" t="n">
        <x:v>150</x:v>
      </x:c>
      <x:c r="F497" s="10" t="str">
        <x:v>食材净重+约8%余量</x:v>
      </x:c>
      <x:c r="G497" s="10" t="str">
        <x:v>生重</x:v>
      </x:c>
    </x:row>
    <x:row r="498" ht="23" customHeight="1">
      <x:c r="A498" t="n">
        <x:v>13</x:v>
      </x:c>
      <x:c r="B498" t="str">
        <x:v>菌菇</x:v>
      </x:c>
      <x:c r="C498" t="str">
        <x:v>泡发木耳</x:v>
      </x:c>
      <x:c r="D498" t="n">
        <x:v>155</x:v>
      </x:c>
      <x:c r="E498" t="n">
        <x:v>170</x:v>
      </x:c>
      <x:c r="F498" s="10" t="str">
        <x:v>食材净重+约8%余量</x:v>
      </x:c>
      <x:c r="G498" s="10" t="str">
        <x:v>泡发沥水重</x:v>
      </x:c>
    </x:row>
    <x:row r="499" ht="23" customHeight="1">
      <x:c r="A499" t="n">
        <x:v>13</x:v>
      </x:c>
      <x:c r="B499" t="str">
        <x:v>蔬菜</x:v>
      </x:c>
      <x:c r="C499" t="str">
        <x:v>娃娃菜</x:v>
      </x:c>
      <x:c r="D499" t="n">
        <x:v>140</x:v>
      </x:c>
      <x:c r="E499" t="n">
        <x:v>150</x:v>
      </x:c>
      <x:c r="F499" s="10" t="str">
        <x:v>食材净重+约8%余量</x:v>
      </x:c>
      <x:c r="G499" s="10" t="str">
        <x:v>生重</x:v>
      </x:c>
    </x:row>
    <x:row r="500" ht="23" customHeight="1">
      <x:c r="A500" t="n">
        <x:v>13</x:v>
      </x:c>
      <x:c r="B500" t="str">
        <x:v>蔬菜</x:v>
      </x:c>
      <x:c r="C500" t="str">
        <x:v>彩椒</x:v>
      </x:c>
      <x:c r="D500" t="n">
        <x:v>375</x:v>
      </x:c>
      <x:c r="E500" t="n">
        <x:v>400</x:v>
      </x:c>
      <x:c r="F500" s="10" t="str">
        <x:v>食材净重+约8%余量</x:v>
      </x:c>
      <x:c r="G500" s="10" t="str">
        <x:v>生重</x:v>
      </x:c>
    </x:row>
    <x:row r="501" ht="23" customHeight="1">
      <x:c r="A501" t="n">
        <x:v>13</x:v>
      </x:c>
      <x:c r="B501" t="str">
        <x:v>蔬菜</x:v>
      </x:c>
      <x:c r="C501" t="str">
        <x:v>油麦菜</x:v>
      </x:c>
      <x:c r="D501" t="n">
        <x:v>140</x:v>
      </x:c>
      <x:c r="E501" t="n">
        <x:v>150</x:v>
      </x:c>
      <x:c r="F501" s="10" t="str">
        <x:v>食材净重+约8%余量</x:v>
      </x:c>
      <x:c r="G501" s="10" t="str">
        <x:v>生重</x:v>
      </x:c>
    </x:row>
    <x:row r="502" ht="23" customHeight="1">
      <x:c r="A502" t="n">
        <x:v>13</x:v>
      </x:c>
      <x:c r="B502" t="str">
        <x:v>蔬菜</x:v>
      </x:c>
      <x:c r="C502" t="str">
        <x:v>洋葱</x:v>
      </x:c>
      <x:c r="D502" t="n">
        <x:v>110</x:v>
      </x:c>
      <x:c r="E502" t="n">
        <x:v>120</x:v>
      </x:c>
      <x:c r="F502" s="10" t="str">
        <x:v>食材净重+约8%余量</x:v>
      </x:c>
      <x:c r="G502" s="10" t="str">
        <x:v>生重</x:v>
      </x:c>
    </x:row>
    <x:row r="503" ht="23" customHeight="1">
      <x:c r="A503" t="n">
        <x:v>13</x:v>
      </x:c>
      <x:c r="B503" t="str">
        <x:v>蔬菜</x:v>
      </x:c>
      <x:c r="C503" t="str">
        <x:v>海带</x:v>
      </x:c>
      <x:c r="D503" t="n">
        <x:v>295</x:v>
      </x:c>
      <x:c r="E503" t="n">
        <x:v>320</x:v>
      </x:c>
      <x:c r="F503" s="10" t="str">
        <x:v>食材净重+约8%余量</x:v>
      </x:c>
      <x:c r="G503" s="10" t="str">
        <x:v>泡发沥水重</x:v>
      </x:c>
    </x:row>
    <x:row r="504" ht="23" customHeight="1">
      <x:c r="A504" t="n">
        <x:v>13</x:v>
      </x:c>
      <x:c r="B504" t="str">
        <x:v>蔬菜</x:v>
      </x:c>
      <x:c r="C504" t="str">
        <x:v>玉米笋</x:v>
      </x:c>
      <x:c r="D504" t="n">
        <x:v>235</x:v>
      </x:c>
      <x:c r="E504" t="n">
        <x:v>250</x:v>
      </x:c>
      <x:c r="F504" s="10" t="str">
        <x:v>食材净重+约8%余量</x:v>
      </x:c>
      <x:c r="G504" s="10" t="str">
        <x:v>生重</x:v>
      </x:c>
    </x:row>
    <x:row r="505" ht="23" customHeight="1">
      <x:c r="A505" t="n">
        <x:v>13</x:v>
      </x:c>
      <x:c r="B505" t="str">
        <x:v>蔬菜</x:v>
      </x:c>
      <x:c r="C505" t="str">
        <x:v>白萝卜</x:v>
      </x:c>
      <x:c r="D505" t="n">
        <x:v>140</x:v>
      </x:c>
      <x:c r="E505" t="n">
        <x:v>150</x:v>
      </x:c>
      <x:c r="F505" s="10" t="str">
        <x:v>食材净重+约8%余量</x:v>
      </x:c>
      <x:c r="G505" s="10" t="str">
        <x:v>生重</x:v>
      </x:c>
    </x:row>
    <x:row r="506" ht="23" customHeight="1">
      <x:c r="A506" t="n">
        <x:v>13</x:v>
      </x:c>
      <x:c r="B506" t="str">
        <x:v>蔬菜</x:v>
      </x:c>
      <x:c r="C506" t="str">
        <x:v>秋葵</x:v>
      </x:c>
      <x:c r="D506" t="n">
        <x:v>160</x:v>
      </x:c>
      <x:c r="E506" t="n">
        <x:v>170</x:v>
      </x:c>
      <x:c r="F506" s="10" t="str">
        <x:v>食材净重+约8%余量</x:v>
      </x:c>
      <x:c r="G506" s="10" t="str">
        <x:v>生重</x:v>
      </x:c>
    </x:row>
    <x:row r="507" ht="23" customHeight="1">
      <x:c r="A507" t="n">
        <x:v>13</x:v>
      </x:c>
      <x:c r="B507" t="str">
        <x:v>蔬菜</x:v>
      </x:c>
      <x:c r="C507" t="str">
        <x:v>紫甘蓝</x:v>
      </x:c>
      <x:c r="D507" t="n">
        <x:v>160</x:v>
      </x:c>
      <x:c r="E507" t="n">
        <x:v>170</x:v>
      </x:c>
      <x:c r="F507" s="10" t="str">
        <x:v>食材净重+约8%余量</x:v>
      </x:c>
      <x:c r="G507" s="10" t="str">
        <x:v>生重</x:v>
      </x:c>
    </x:row>
    <x:row r="508" ht="23" customHeight="1">
      <x:c r="A508" t="n">
        <x:v>13</x:v>
      </x:c>
      <x:c r="B508" t="str">
        <x:v>蔬菜</x:v>
      </x:c>
      <x:c r="C508" t="str">
        <x:v>胡萝卜</x:v>
      </x:c>
      <x:c r="D508" t="n">
        <x:v>110</x:v>
      </x:c>
      <x:c r="E508" t="n">
        <x:v>120</x:v>
      </x:c>
      <x:c r="F508" s="10" t="str">
        <x:v>食材净重+约8%余量</x:v>
      </x:c>
      <x:c r="G508" s="10" t="str">
        <x:v>生重</x:v>
      </x:c>
    </x:row>
    <x:row r="509" ht="23" customHeight="1">
      <x:c r="A509" t="n">
        <x:v>13</x:v>
      </x:c>
      <x:c r="B509" t="str">
        <x:v>蔬菜</x:v>
      </x:c>
      <x:c r="C509" t="str">
        <x:v>芦笋</x:v>
      </x:c>
      <x:c r="D509" t="n">
        <x:v>175</x:v>
      </x:c>
      <x:c r="E509" t="n">
        <x:v>190</x:v>
      </x:c>
      <x:c r="F509" s="10" t="str">
        <x:v>食材净重+约8%余量</x:v>
      </x:c>
      <x:c r="G509" s="10" t="str">
        <x:v>生重</x:v>
      </x:c>
    </x:row>
    <x:row r="510" ht="23" customHeight="1">
      <x:c r="A510" t="n">
        <x:v>13</x:v>
      </x:c>
      <x:c r="B510" t="str">
        <x:v>蔬菜</x:v>
      </x:c>
      <x:c r="C510" t="str">
        <x:v>花菜</x:v>
      </x:c>
      <x:c r="D510" t="n">
        <x:v>160</x:v>
      </x:c>
      <x:c r="E510" t="n">
        <x:v>170</x:v>
      </x:c>
      <x:c r="F510" s="10" t="str">
        <x:v>食材净重+约8%余量</x:v>
      </x:c>
      <x:c r="G510" s="10" t="str">
        <x:v>生重</x:v>
      </x:c>
    </x:row>
    <x:row r="511" ht="23" customHeight="1">
      <x:c r="A511" t="n">
        <x:v>13</x:v>
      </x:c>
      <x:c r="B511" t="str">
        <x:v>蔬菜</x:v>
      </x:c>
      <x:c r="C511" t="str">
        <x:v>芹菜</x:v>
      </x:c>
      <x:c r="D511" t="n">
        <x:v>140</x:v>
      </x:c>
      <x:c r="E511" t="n">
        <x:v>150</x:v>
      </x:c>
      <x:c r="F511" s="10" t="str">
        <x:v>食材净重+约8%余量</x:v>
      </x:c>
      <x:c r="G511" s="10" t="str">
        <x:v>生重</x:v>
      </x:c>
    </x:row>
    <x:row r="512" ht="23" customHeight="1">
      <x:c r="A512" t="n">
        <x:v>13</x:v>
      </x:c>
      <x:c r="B512" t="str">
        <x:v>蔬菜</x:v>
      </x:c>
      <x:c r="C512" t="str">
        <x:v>茼蒿</x:v>
      </x:c>
      <x:c r="D512" t="n">
        <x:v>140</x:v>
      </x:c>
      <x:c r="E512" t="n">
        <x:v>150</x:v>
      </x:c>
      <x:c r="F512" s="10" t="str">
        <x:v>食材净重+约8%余量</x:v>
      </x:c>
      <x:c r="G512" s="10" t="str">
        <x:v>生重</x:v>
      </x:c>
    </x:row>
    <x:row r="513" ht="23" customHeight="1">
      <x:c r="A513" t="n">
        <x:v>13</x:v>
      </x:c>
      <x:c r="B513" t="str">
        <x:v>蔬菜</x:v>
      </x:c>
      <x:c r="C513" t="str">
        <x:v>荷兰豆</x:v>
      </x:c>
      <x:c r="D513" t="n">
        <x:v>140</x:v>
      </x:c>
      <x:c r="E513" t="n">
        <x:v>150</x:v>
      </x:c>
      <x:c r="F513" s="10" t="str">
        <x:v>食材净重+约8%余量</x:v>
      </x:c>
      <x:c r="G513" s="10" t="str">
        <x:v>生重</x:v>
      </x:c>
    </x:row>
    <x:row r="514" ht="23" customHeight="1">
      <x:c r="A514" t="n">
        <x:v>13</x:v>
      </x:c>
      <x:c r="B514" t="str">
        <x:v>蔬菜</x:v>
      </x:c>
      <x:c r="C514" t="str">
        <x:v>莴笋</x:v>
      </x:c>
      <x:c r="D514" t="n">
        <x:v>140</x:v>
      </x:c>
      <x:c r="E514" t="n">
        <x:v>150</x:v>
      </x:c>
      <x:c r="F514" s="10" t="str">
        <x:v>食材净重+约8%余量</x:v>
      </x:c>
      <x:c r="G514" s="10" t="str">
        <x:v>生重</x:v>
      </x:c>
    </x:row>
    <x:row r="515" ht="23" customHeight="1">
      <x:c r="A515" t="n">
        <x:v>13</x:v>
      </x:c>
      <x:c r="B515" t="str">
        <x:v>蔬菜</x:v>
      </x:c>
      <x:c r="C515" t="str">
        <x:v>菜心</x:v>
      </x:c>
      <x:c r="D515" t="n">
        <x:v>110</x:v>
      </x:c>
      <x:c r="E515" t="n">
        <x:v>120</x:v>
      </x:c>
      <x:c r="F515" s="10" t="str">
        <x:v>食材净重+约8%余量</x:v>
      </x:c>
      <x:c r="G515" s="10" t="str">
        <x:v>生重</x:v>
      </x:c>
    </x:row>
    <x:row r="516" ht="23" customHeight="1">
      <x:c r="A516" t="n">
        <x:v>13</x:v>
      </x:c>
      <x:c r="B516" t="str">
        <x:v>蔬菜</x:v>
      </x:c>
      <x:c r="C516" t="str">
        <x:v>菠菜</x:v>
      </x:c>
      <x:c r="D516" t="n">
        <x:v>350</x:v>
      </x:c>
      <x:c r="E516" t="n">
        <x:v>380</x:v>
      </x:c>
      <x:c r="F516" s="10" t="str">
        <x:v>食材净重+约8%余量</x:v>
      </x:c>
      <x:c r="G516" s="10" t="str">
        <x:v>生重</x:v>
      </x:c>
    </x:row>
    <x:row r="517" ht="23" customHeight="1">
      <x:c r="A517" t="n">
        <x:v>13</x:v>
      </x:c>
      <x:c r="B517" t="str">
        <x:v>蔬菜</x:v>
      </x:c>
      <x:c r="C517" t="str">
        <x:v>西兰花</x:v>
      </x:c>
      <x:c r="D517" t="n">
        <x:v>160</x:v>
      </x:c>
      <x:c r="E517" t="n">
        <x:v>170</x:v>
      </x:c>
      <x:c r="F517" s="10" t="str">
        <x:v>食材净重+约8%余量</x:v>
      </x:c>
      <x:c r="G517" s="10" t="str">
        <x:v>生重</x:v>
      </x:c>
    </x:row>
    <x:row r="518" ht="23" customHeight="1">
      <x:c r="A518" t="n">
        <x:v>13</x:v>
      </x:c>
      <x:c r="B518" t="str">
        <x:v>蔬菜</x:v>
      </x:c>
      <x:c r="C518" t="str">
        <x:v>黄瓜</x:v>
      </x:c>
      <x:c r="D518" t="n">
        <x:v>320</x:v>
      </x:c>
      <x:c r="E518" t="n">
        <x:v>350</x:v>
      </x:c>
      <x:c r="F518" s="10" t="str">
        <x:v>食材净重+约8%余量</x:v>
      </x:c>
      <x:c r="G518" s="10" t="str">
        <x:v>生重</x:v>
      </x:c>
    </x:row>
    <x:row r="519" ht="23" customHeight="1">
      <x:c r="A519" t="n">
        <x:v>13</x:v>
      </x:c>
      <x:c r="B519" t="str">
        <x:v>豆蛋</x:v>
      </x:c>
      <x:c r="C519" t="str">
        <x:v>北豆腐</x:v>
      </x:c>
      <x:c r="D519" t="n">
        <x:v>540</x:v>
      </x:c>
      <x:c r="E519" t="n">
        <x:v>580</x:v>
      </x:c>
      <x:c r="F519" s="10" t="str">
        <x:v>食材净重+约8%余量</x:v>
      </x:c>
      <x:c r="G519" s="10" t="str">
        <x:v>净重</x:v>
      </x:c>
    </x:row>
    <x:row r="520" ht="23" customHeight="1">
      <x:c r="A520" t="n">
        <x:v>13</x:v>
      </x:c>
      <x:c r="B520" t="str">
        <x:v>豆蛋</x:v>
      </x:c>
      <x:c r="C520" t="str">
        <x:v>嫩豆腐</x:v>
      </x:c>
      <x:c r="D520" t="n">
        <x:v>440</x:v>
      </x:c>
      <x:c r="E520" t="n">
        <x:v>480</x:v>
      </x:c>
      <x:c r="F520" s="10" t="str">
        <x:v>食材净重+约8%余量</x:v>
      </x:c>
      <x:c r="G520" s="10" t="str">
        <x:v>净重</x:v>
      </x:c>
    </x:row>
    <x:row r="521" ht="23" customHeight="1">
      <x:c r="A521" t="n">
        <x:v>13</x:v>
      </x:c>
      <x:c r="B521" t="str">
        <x:v>豆蛋</x:v>
      </x:c>
      <x:c r="C521" t="str">
        <x:v>熟毛豆仁</x:v>
      </x:c>
      <x:c r="D521" t="n">
        <x:v>50</x:v>
      </x:c>
      <x:c r="E521" t="n">
        <x:v>50</x:v>
      </x:c>
      <x:c r="F521" s="10" t="str">
        <x:v>食材净重+约8%余量</x:v>
      </x:c>
      <x:c r="G521" s="10" t="str">
        <x:v>熟重</x:v>
      </x:c>
    </x:row>
    <x:row r="522" ht="23" customHeight="1">
      <x:c r="A522" t="n">
        <x:v>13</x:v>
      </x:c>
      <x:c r="B522" t="str">
        <x:v>豆蛋</x:v>
      </x:c>
      <x:c r="C522" t="str">
        <x:v>鸡蛋</x:v>
      </x:c>
      <x:c r="D522" t="n">
        <x:v>265</x:v>
      </x:c>
      <x:c r="E522" t="n">
        <x:v>290</x:v>
      </x:c>
      <x:c r="F522" s="10" t="str">
        <x:v>食材净重+约8%余量</x:v>
      </x:c>
      <x:c r="G522" s="10" t="str">
        <x:v>去壳可食重</x:v>
      </x:c>
    </x:row>
    <x:row r="523" ht="23" customHeight="1">
      <x:c r="A523" t="n">
        <x:v>13</x:v>
      </x:c>
      <x:c r="B523" t="str">
        <x:v>鱼类</x:v>
      </x:c>
      <x:c r="C523" t="str">
        <x:v>巴沙鱼</x:v>
      </x:c>
      <x:c r="D523" t="n">
        <x:v>185</x:v>
      </x:c>
      <x:c r="E523" t="n">
        <x:v>200</x:v>
      </x:c>
      <x:c r="F523" s="10" t="str">
        <x:v>食材净重+约8%余量</x:v>
      </x:c>
      <x:c r="G523" s="10" t="str">
        <x:v>净鱼肉生重</x:v>
      </x:c>
    </x:row>
    <x:row r="524" ht="23" customHeight="1">
      <x:c r="A524" t="n">
        <x:v>13</x:v>
      </x:c>
      <x:c r="B524" t="str">
        <x:v>鱼类</x:v>
      </x:c>
      <x:c r="C524" t="str">
        <x:v>鳕鱼</x:v>
      </x:c>
      <x:c r="D524" t="n">
        <x:v>200</x:v>
      </x:c>
      <x:c r="E524" t="n">
        <x:v>220</x:v>
      </x:c>
      <x:c r="F524" s="10" t="str">
        <x:v>食材净重+约8%余量；带壳或带骨采购需另折算</x:v>
      </x:c>
      <x:c r="G524" s="10" t="str">
        <x:v>净鱼肉生重</x:v>
      </x:c>
    </x:row>
    <x:row r="525" ht="23" customHeight="1">
      <x:c r="A525" t="n">
        <x:v>14</x:v>
      </x:c>
      <x:c r="B525" t="str">
        <x:v>主食</x:v>
      </x:c>
      <x:c r="C525" t="str">
        <x:v>乌冬面</x:v>
      </x:c>
      <x:c r="D525" t="n">
        <x:v>165</x:v>
      </x:c>
      <x:c r="E525" t="n">
        <x:v>80</x:v>
      </x:c>
      <x:c r="F525" s="10" t="str">
        <x:v>干粮约重（按熟面/干面≈2.1估算）</x:v>
      </x:c>
      <x:c r="G525" s="10" t="str">
        <x:v>煮熟沥水重</x:v>
      </x:c>
    </x:row>
    <x:row r="526" ht="23" customHeight="1">
      <x:c r="A526" t="n">
        <x:v>14</x:v>
      </x:c>
      <x:c r="B526" t="str">
        <x:v>主食</x:v>
      </x:c>
      <x:c r="C526" t="str">
        <x:v>全麦面</x:v>
      </x:c>
      <x:c r="D526" t="n">
        <x:v>135</x:v>
      </x:c>
      <x:c r="E526" t="n">
        <x:v>60</x:v>
      </x:c>
      <x:c r="F526" s="10" t="str">
        <x:v>干粮约重（按熟面/干面≈2.1估算）</x:v>
      </x:c>
      <x:c r="G526" s="10" t="str">
        <x:v>煮熟沥水重</x:v>
      </x:c>
    </x:row>
    <x:row r="527" ht="23" customHeight="1">
      <x:c r="A527" t="n">
        <x:v>14</x:v>
      </x:c>
      <x:c r="B527" t="str">
        <x:v>主食</x:v>
      </x:c>
      <x:c r="C527" t="str">
        <x:v>山药</x:v>
      </x:c>
      <x:c r="D527" t="n">
        <x:v>300</x:v>
      </x:c>
      <x:c r="E527" t="n">
        <x:v>330</x:v>
      </x:c>
      <x:c r="F527" s="10" t="str">
        <x:v>鲜薯/玉米净重；考虑小幅损耗</x:v>
      </x:c>
      <x:c r="G527" s="10" t="str">
        <x:v>蒸熟净重</x:v>
      </x:c>
    </x:row>
    <x:row r="528" ht="23" customHeight="1">
      <x:c r="A528" t="n">
        <x:v>14</x:v>
      </x:c>
      <x:c r="B528" t="str">
        <x:v>主食</x:v>
      </x:c>
      <x:c r="C528" t="str">
        <x:v>燕麦饭</x:v>
      </x:c>
      <x:c r="D528" t="n">
        <x:v>95</x:v>
      </x:c>
      <x:c r="E528" t="n">
        <x:v>40</x:v>
      </x:c>
      <x:c r="F528" s="10" t="str">
        <x:v>未煮干粮约重（按熟饭/生米≈2.6估算）</x:v>
      </x:c>
      <x:c r="G528" s="10" t="str">
        <x:v>熟重</x:v>
      </x:c>
    </x:row>
    <x:row r="529" ht="23" customHeight="1">
      <x:c r="A529" t="n">
        <x:v>14</x:v>
      </x:c>
      <x:c r="B529" t="str">
        <x:v>主食</x:v>
      </x:c>
      <x:c r="C529" t="str">
        <x:v>白米饭</x:v>
      </x:c>
      <x:c r="D529" t="n">
        <x:v>190</x:v>
      </x:c>
      <x:c r="E529" t="n">
        <x:v>70</x:v>
      </x:c>
      <x:c r="F529" s="10" t="str">
        <x:v>未煮干粮约重（按熟饭/生米≈2.6估算）</x:v>
      </x:c>
      <x:c r="G529" s="10" t="str">
        <x:v>熟重</x:v>
      </x:c>
    </x:row>
    <x:row r="530" ht="23" customHeight="1">
      <x:c r="A530" t="n">
        <x:v>14</x:v>
      </x:c>
      <x:c r="B530" t="str">
        <x:v>主食</x:v>
      </x:c>
      <x:c r="C530" t="str">
        <x:v>米粉</x:v>
      </x:c>
      <x:c r="D530" t="n">
        <x:v>135</x:v>
      </x:c>
      <x:c r="E530" t="n">
        <x:v>60</x:v>
      </x:c>
      <x:c r="F530" s="10" t="str">
        <x:v>干粮约重（按熟面/干面≈2.1估算）</x:v>
      </x:c>
      <x:c r="G530" s="10" t="str">
        <x:v>煮熟沥水重</x:v>
      </x:c>
    </x:row>
    <x:row r="531" ht="23" customHeight="1">
      <x:c r="A531" t="n">
        <x:v>14</x:v>
      </x:c>
      <x:c r="B531" t="str">
        <x:v>主食</x:v>
      </x:c>
      <x:c r="C531" t="str">
        <x:v>糙米饭</x:v>
      </x:c>
      <x:c r="D531" t="n">
        <x:v>250</x:v>
      </x:c>
      <x:c r="E531" t="n">
        <x:v>100</x:v>
      </x:c>
      <x:c r="F531" s="10" t="str">
        <x:v>未煮干粮约重（按熟饭/生米≈2.6估算）</x:v>
      </x:c>
      <x:c r="G531" s="10" t="str">
        <x:v>熟重</x:v>
      </x:c>
    </x:row>
    <x:row r="532" ht="23" customHeight="1">
      <x:c r="A532" t="n">
        <x:v>14</x:v>
      </x:c>
      <x:c r="B532" t="str">
        <x:v>主食</x:v>
      </x:c>
      <x:c r="C532" t="str">
        <x:v>紫薯</x:v>
      </x:c>
      <x:c r="D532" t="n">
        <x:v>135</x:v>
      </x:c>
      <x:c r="E532" t="n">
        <x:v>150</x:v>
      </x:c>
      <x:c r="F532" s="10" t="str">
        <x:v>鲜薯/玉米净重；考虑小幅损耗</x:v>
      </x:c>
      <x:c r="G532" s="10" t="str">
        <x:v>蒸熟净重</x:v>
      </x:c>
    </x:row>
    <x:row r="533" ht="23" customHeight="1">
      <x:c r="A533" t="n">
        <x:v>14</x:v>
      </x:c>
      <x:c r="B533" t="str">
        <x:v>主食</x:v>
      </x:c>
      <x:c r="C533" t="str">
        <x:v>荞麦面</x:v>
      </x:c>
      <x:c r="D533" t="n">
        <x:v>340</x:v>
      </x:c>
      <x:c r="E533" t="n">
        <x:v>160</x:v>
      </x:c>
      <x:c r="F533" s="10" t="str">
        <x:v>干粮约重（按熟面/干面≈2.1估算）</x:v>
      </x:c>
      <x:c r="G533" s="10" t="str">
        <x:v>煮熟沥水重</x:v>
      </x:c>
    </x:row>
    <x:row r="534" ht="23" customHeight="1">
      <x:c r="A534" t="n">
        <x:v>14</x:v>
      </x:c>
      <x:c r="B534" t="str">
        <x:v>油脂</x:v>
      </x:c>
      <x:c r="C534" t="str">
        <x:v>烹调油</x:v>
      </x:c>
      <x:c r="D534" t="n">
        <x:v>62</x:v>
      </x:c>
      <x:c r="E534" t="n">
        <x:v>62</x:v>
      </x:c>
      <x:c r="F534" s="10" t="str">
        <x:v>食用油；现有库存足够即可</x:v>
      </x:c>
      <x:c r="G534" s="10" t="str">
        <x:v>实际用油重</x:v>
      </x:c>
    </x:row>
    <x:row r="535" ht="23" customHeight="1">
      <x:c r="A535" t="n">
        <x:v>14</x:v>
      </x:c>
      <x:c r="B535" t="str">
        <x:v>海鲜</x:v>
      </x:c>
      <x:c r="C535" t="str">
        <x:v>虾仁</x:v>
      </x:c>
      <x:c r="D535" t="n">
        <x:v>160</x:v>
      </x:c>
      <x:c r="E535" t="n">
        <x:v>170</x:v>
      </x:c>
      <x:c r="F535" s="10" t="str">
        <x:v>食材净重+约8%余量</x:v>
      </x:c>
      <x:c r="G535" s="10" t="str">
        <x:v>生重</x:v>
      </x:c>
    </x:row>
    <x:row r="536" ht="23" customHeight="1">
      <x:c r="A536" t="n">
        <x:v>14</x:v>
      </x:c>
      <x:c r="B536" t="str">
        <x:v>海鲜</x:v>
      </x:c>
      <x:c r="C536" t="str">
        <x:v>鱿鱼</x:v>
      </x:c>
      <x:c r="D536" t="n">
        <x:v>175</x:v>
      </x:c>
      <x:c r="E536" t="n">
        <x:v>190</x:v>
      </x:c>
      <x:c r="F536" s="10" t="str">
        <x:v>食材净重+约8%余量</x:v>
      </x:c>
      <x:c r="G536" s="10" t="str">
        <x:v>生重</x:v>
      </x:c>
    </x:row>
    <x:row r="537" ht="23" customHeight="1">
      <x:c r="A537" t="n">
        <x:v>14</x:v>
      </x:c>
      <x:c r="B537" t="str">
        <x:v>牛肉</x:v>
      </x:c>
      <x:c r="C537" t="str">
        <x:v>牛里脊</x:v>
      </x:c>
      <x:c r="D537" t="n">
        <x:v>330</x:v>
      </x:c>
      <x:c r="E537" t="n">
        <x:v>360</x:v>
      </x:c>
      <x:c r="F537" s="10" t="str">
        <x:v>食材净重+约8%余量</x:v>
      </x:c>
      <x:c r="G537" s="10" t="str">
        <x:v>生重</x:v>
      </x:c>
    </x:row>
    <x:row r="538" ht="23" customHeight="1">
      <x:c r="A538" t="n">
        <x:v>14</x:v>
      </x:c>
      <x:c r="B538" t="str">
        <x:v>牛肉</x:v>
      </x:c>
      <x:c r="C538" t="str">
        <x:v>瘦牛肉</x:v>
      </x:c>
      <x:c r="D538" t="n">
        <x:v>165</x:v>
      </x:c>
      <x:c r="E538" t="n">
        <x:v>180</x:v>
      </x:c>
      <x:c r="F538" s="10" t="str">
        <x:v>食材净重+约8%余量</x:v>
      </x:c>
      <x:c r="G538" s="10" t="str">
        <x:v>生重</x:v>
      </x:c>
    </x:row>
    <x:row r="539" ht="23" customHeight="1">
      <x:c r="A539" t="n">
        <x:v>14</x:v>
      </x:c>
      <x:c r="B539" t="str">
        <x:v>猪肉</x:v>
      </x:c>
      <x:c r="C539" t="str">
        <x:v>猪瘦肉</x:v>
      </x:c>
      <x:c r="D539" t="n">
        <x:v>170</x:v>
      </x:c>
      <x:c r="E539" t="n">
        <x:v>180</x:v>
      </x:c>
      <x:c r="F539" s="10" t="str">
        <x:v>食材净重+约8%余量</x:v>
      </x:c>
      <x:c r="G539" s="10" t="str">
        <x:v>生重</x:v>
      </x:c>
    </x:row>
    <x:row r="540" ht="23" customHeight="1">
      <x:c r="A540" t="n">
        <x:v>14</x:v>
      </x:c>
      <x:c r="B540" t="str">
        <x:v>猪肉</x:v>
      </x:c>
      <x:c r="C540" t="str">
        <x:v>猪里脊</x:v>
      </x:c>
      <x:c r="D540" t="n">
        <x:v>165</x:v>
      </x:c>
      <x:c r="E540" t="n">
        <x:v>180</x:v>
      </x:c>
      <x:c r="F540" s="10" t="str">
        <x:v>食材净重+约8%余量</x:v>
      </x:c>
      <x:c r="G540" s="10" t="str">
        <x:v>生重</x:v>
      </x:c>
    </x:row>
    <x:row r="541" ht="23" customHeight="1">
      <x:c r="A541" t="n">
        <x:v>14</x:v>
      </x:c>
      <x:c r="B541" t="str">
        <x:v>禽肉</x:v>
      </x:c>
      <x:c r="C541" t="str">
        <x:v>去皮鸡腿肉</x:v>
      </x:c>
      <x:c r="D541" t="n">
        <x:v>155</x:v>
      </x:c>
      <x:c r="E541" t="n">
        <x:v>170</x:v>
      </x:c>
      <x:c r="F541" s="10" t="str">
        <x:v>食材净重+约8%余量</x:v>
      </x:c>
      <x:c r="G541" s="10" t="str">
        <x:v>生重</x:v>
      </x:c>
    </x:row>
    <x:row r="542" ht="23" customHeight="1">
      <x:c r="A542" t="n">
        <x:v>14</x:v>
      </x:c>
      <x:c r="B542" t="str">
        <x:v>禽肉</x:v>
      </x:c>
      <x:c r="C542" t="str">
        <x:v>鸡胸肉</x:v>
      </x:c>
      <x:c r="D542" t="n">
        <x:v>145</x:v>
      </x:c>
      <x:c r="E542" t="n">
        <x:v>160</x:v>
      </x:c>
      <x:c r="F542" s="10" t="str">
        <x:v>食材净重+约8%余量</x:v>
      </x:c>
      <x:c r="G542" s="10" t="str">
        <x:v>生重</x:v>
      </x:c>
    </x:row>
    <x:row r="543" ht="23" customHeight="1">
      <x:c r="A543" t="n">
        <x:v>14</x:v>
      </x:c>
      <x:c r="B543" t="str">
        <x:v>禽肉</x:v>
      </x:c>
      <x:c r="C543" t="str">
        <x:v>鸡里脊肉</x:v>
      </x:c>
      <x:c r="D543" t="n">
        <x:v>180</x:v>
      </x:c>
      <x:c r="E543" t="n">
        <x:v>190</x:v>
      </x:c>
      <x:c r="F543" s="10" t="str">
        <x:v>食材净重+约8%余量</x:v>
      </x:c>
      <x:c r="G543" s="10" t="str">
        <x:v>生重</x:v>
      </x:c>
    </x:row>
    <x:row r="544" ht="23" customHeight="1">
      <x:c r="A544" t="n">
        <x:v>14</x:v>
      </x:c>
      <x:c r="B544" t="str">
        <x:v>菌菇</x:v>
      </x:c>
      <x:c r="C544" t="str">
        <x:v>口蘑</x:v>
      </x:c>
      <x:c r="D544" t="n">
        <x:v>140</x:v>
      </x:c>
      <x:c r="E544" t="n">
        <x:v>150</x:v>
      </x:c>
      <x:c r="F544" s="10" t="str">
        <x:v>食材净重+约8%余量</x:v>
      </x:c>
      <x:c r="G544" s="10" t="str">
        <x:v>生重</x:v>
      </x:c>
    </x:row>
    <x:row r="545" ht="23" customHeight="1">
      <x:c r="A545" t="n">
        <x:v>14</x:v>
      </x:c>
      <x:c r="B545" t="str">
        <x:v>菌菇</x:v>
      </x:c>
      <x:c r="C545" t="str">
        <x:v>泡发木耳</x:v>
      </x:c>
      <x:c r="D545" t="n">
        <x:v>110</x:v>
      </x:c>
      <x:c r="E545" t="n">
        <x:v>120</x:v>
      </x:c>
      <x:c r="F545" s="10" t="str">
        <x:v>食材净重+约8%余量</x:v>
      </x:c>
      <x:c r="G545" s="10" t="str">
        <x:v>泡发沥水重</x:v>
      </x:c>
    </x:row>
    <x:row r="546" ht="23" customHeight="1">
      <x:c r="A546" t="n">
        <x:v>14</x:v>
      </x:c>
      <x:c r="B546" t="str">
        <x:v>菌菇</x:v>
      </x:c>
      <x:c r="C546" t="str">
        <x:v>金针菇</x:v>
      </x:c>
      <x:c r="D546" t="n">
        <x:v>140</x:v>
      </x:c>
      <x:c r="E546" t="n">
        <x:v>150</x:v>
      </x:c>
      <x:c r="F546" s="10" t="str">
        <x:v>食材净重+约8%余量</x:v>
      </x:c>
      <x:c r="G546" s="10" t="str">
        <x:v>生重</x:v>
      </x:c>
    </x:row>
    <x:row r="547" ht="23" customHeight="1">
      <x:c r="A547" t="n">
        <x:v>14</x:v>
      </x:c>
      <x:c r="B547" t="str">
        <x:v>菌菇</x:v>
      </x:c>
      <x:c r="C547" t="str">
        <x:v>香菇</x:v>
      </x:c>
      <x:c r="D547" t="n">
        <x:v>250</x:v>
      </x:c>
      <x:c r="E547" t="n">
        <x:v>270</x:v>
      </x:c>
      <x:c r="F547" s="10" t="str">
        <x:v>食材净重+约8%余量</x:v>
      </x:c>
      <x:c r="G547" s="10" t="str">
        <x:v>生重</x:v>
      </x:c>
    </x:row>
    <x:row r="548" ht="23" customHeight="1">
      <x:c r="A548" t="n">
        <x:v>14</x:v>
      </x:c>
      <x:c r="B548" t="str">
        <x:v>蔬菜</x:v>
      </x:c>
      <x:c r="C548" t="str">
        <x:v>丝瓜</x:v>
      </x:c>
      <x:c r="D548" t="n">
        <x:v>140</x:v>
      </x:c>
      <x:c r="E548" t="n">
        <x:v>150</x:v>
      </x:c>
      <x:c r="F548" s="10" t="str">
        <x:v>食材净重+约8%余量</x:v>
      </x:c>
      <x:c r="G548" s="10" t="str">
        <x:v>生重</x:v>
      </x:c>
    </x:row>
    <x:row r="549" ht="23" customHeight="1">
      <x:c r="A549" t="n">
        <x:v>14</x:v>
      </x:c>
      <x:c r="B549" t="str">
        <x:v>蔬菜</x:v>
      </x:c>
      <x:c r="C549" t="str">
        <x:v>冬瓜</x:v>
      </x:c>
      <x:c r="D549" t="n">
        <x:v>315</x:v>
      </x:c>
      <x:c r="E549" t="n">
        <x:v>340</x:v>
      </x:c>
      <x:c r="F549" s="10" t="str">
        <x:v>食材净重+约8%余量</x:v>
      </x:c>
      <x:c r="G549" s="10" t="str">
        <x:v>生重</x:v>
      </x:c>
    </x:row>
    <x:row r="550" ht="23" customHeight="1">
      <x:c r="A550" t="n">
        <x:v>14</x:v>
      </x:c>
      <x:c r="B550" t="str">
        <x:v>蔬菜</x:v>
      </x:c>
      <x:c r="C550" t="str">
        <x:v>娃娃菜</x:v>
      </x:c>
      <x:c r="D550" t="n">
        <x:v>335</x:v>
      </x:c>
      <x:c r="E550" t="n">
        <x:v>360</x:v>
      </x:c>
      <x:c r="F550" s="10" t="str">
        <x:v>食材净重+约8%余量</x:v>
      </x:c>
      <x:c r="G550" s="10" t="str">
        <x:v>生重</x:v>
      </x:c>
    </x:row>
    <x:row r="551" ht="23" customHeight="1">
      <x:c r="A551" t="n">
        <x:v>14</x:v>
      </x:c>
      <x:c r="B551" t="str">
        <x:v>蔬菜</x:v>
      </x:c>
      <x:c r="C551" t="str">
        <x:v>小白菜</x:v>
      </x:c>
      <x:c r="D551" t="n">
        <x:v>175</x:v>
      </x:c>
      <x:c r="E551" t="n">
        <x:v>190</x:v>
      </x:c>
      <x:c r="F551" s="10" t="str">
        <x:v>食材净重+约8%余量</x:v>
      </x:c>
      <x:c r="G551" s="10" t="str">
        <x:v>生重</x:v>
      </x:c>
    </x:row>
    <x:row r="552" ht="23" customHeight="1">
      <x:c r="A552" t="n">
        <x:v>14</x:v>
      </x:c>
      <x:c r="B552" t="str">
        <x:v>蔬菜</x:v>
      </x:c>
      <x:c r="C552" t="str">
        <x:v>彩椒</x:v>
      </x:c>
      <x:c r="D552" t="n">
        <x:v>155</x:v>
      </x:c>
      <x:c r="E552" t="n">
        <x:v>170</x:v>
      </x:c>
      <x:c r="F552" s="10" t="str">
        <x:v>食材净重+约8%余量</x:v>
      </x:c>
      <x:c r="G552" s="10" t="str">
        <x:v>生重</x:v>
      </x:c>
    </x:row>
    <x:row r="553" ht="23" customHeight="1">
      <x:c r="A553" t="n">
        <x:v>14</x:v>
      </x:c>
      <x:c r="B553" t="str">
        <x:v>蔬菜</x:v>
      </x:c>
      <x:c r="C553" t="str">
        <x:v>油麦菜</x:v>
      </x:c>
      <x:c r="D553" t="n">
        <x:v>460</x:v>
      </x:c>
      <x:c r="E553" t="n">
        <x:v>500</x:v>
      </x:c>
      <x:c r="F553" s="10" t="str">
        <x:v>食材净重+约8%余量</x:v>
      </x:c>
      <x:c r="G553" s="10" t="str">
        <x:v>生重</x:v>
      </x:c>
    </x:row>
    <x:row r="554" ht="23" customHeight="1">
      <x:c r="A554" t="n">
        <x:v>14</x:v>
      </x:c>
      <x:c r="B554" t="str">
        <x:v>蔬菜</x:v>
      </x:c>
      <x:c r="C554" t="str">
        <x:v>洋葱</x:v>
      </x:c>
      <x:c r="D554" t="n">
        <x:v>125</x:v>
      </x:c>
      <x:c r="E554" t="n">
        <x:v>140</x:v>
      </x:c>
      <x:c r="F554" s="10" t="str">
        <x:v>食材净重+约8%余量</x:v>
      </x:c>
      <x:c r="G554" s="10" t="str">
        <x:v>生重</x:v>
      </x:c>
    </x:row>
    <x:row r="555" ht="23" customHeight="1">
      <x:c r="A555" t="n">
        <x:v>14</x:v>
      </x:c>
      <x:c r="B555" t="str">
        <x:v>蔬菜</x:v>
      </x:c>
      <x:c r="C555" t="str">
        <x:v>海带</x:v>
      </x:c>
      <x:c r="D555" t="n">
        <x:v>110</x:v>
      </x:c>
      <x:c r="E555" t="n">
        <x:v>120</x:v>
      </x:c>
      <x:c r="F555" s="10" t="str">
        <x:v>食材净重+约8%余量</x:v>
      </x:c>
      <x:c r="G555" s="10" t="str">
        <x:v>泡发沥水重</x:v>
      </x:c>
    </x:row>
    <x:row r="556" ht="23" customHeight="1">
      <x:c r="A556" t="n">
        <x:v>14</x:v>
      </x:c>
      <x:c r="B556" t="str">
        <x:v>蔬菜</x:v>
      </x:c>
      <x:c r="C556" t="str">
        <x:v>玉米笋</x:v>
      </x:c>
      <x:c r="D556" t="n">
        <x:v>125</x:v>
      </x:c>
      <x:c r="E556" t="n">
        <x:v>140</x:v>
      </x:c>
      <x:c r="F556" s="10" t="str">
        <x:v>食材净重+约8%余量</x:v>
      </x:c>
      <x:c r="G556" s="10" t="str">
        <x:v>生重</x:v>
      </x:c>
    </x:row>
    <x:row r="557" ht="23" customHeight="1">
      <x:c r="A557" t="n">
        <x:v>14</x:v>
      </x:c>
      <x:c r="B557" t="str">
        <x:v>蔬菜</x:v>
      </x:c>
      <x:c r="C557" t="str">
        <x:v>番茄</x:v>
      </x:c>
      <x:c r="D557" t="n">
        <x:v>440</x:v>
      </x:c>
      <x:c r="E557" t="n">
        <x:v>480</x:v>
      </x:c>
      <x:c r="F557" s="10" t="str">
        <x:v>食材净重+约8%余量</x:v>
      </x:c>
      <x:c r="G557" s="10" t="str">
        <x:v>生重</x:v>
      </x:c>
    </x:row>
    <x:row r="558" ht="23" customHeight="1">
      <x:c r="A558" t="n">
        <x:v>14</x:v>
      </x:c>
      <x:c r="B558" t="str">
        <x:v>蔬菜</x:v>
      </x:c>
      <x:c r="C558" t="str">
        <x:v>白萝卜</x:v>
      </x:c>
      <x:c r="D558" t="n">
        <x:v>140</x:v>
      </x:c>
      <x:c r="E558" t="n">
        <x:v>150</x:v>
      </x:c>
      <x:c r="F558" s="10" t="str">
        <x:v>食材净重+约8%余量</x:v>
      </x:c>
      <x:c r="G558" s="10" t="str">
        <x:v>生重</x:v>
      </x:c>
    </x:row>
    <x:row r="559" ht="23" customHeight="1">
      <x:c r="A559" t="n">
        <x:v>14</x:v>
      </x:c>
      <x:c r="B559" t="str">
        <x:v>蔬菜</x:v>
      </x:c>
      <x:c r="C559" t="str">
        <x:v>芦笋</x:v>
      </x:c>
      <x:c r="D559" t="n">
        <x:v>190</x:v>
      </x:c>
      <x:c r="E559" t="n">
        <x:v>210</x:v>
      </x:c>
      <x:c r="F559" s="10" t="str">
        <x:v>食材净重+约8%余量</x:v>
      </x:c>
      <x:c r="G559" s="10" t="str">
        <x:v>生重</x:v>
      </x:c>
    </x:row>
    <x:row r="560" ht="23" customHeight="1">
      <x:c r="A560" t="n">
        <x:v>14</x:v>
      </x:c>
      <x:c r="B560" t="str">
        <x:v>蔬菜</x:v>
      </x:c>
      <x:c r="C560" t="str">
        <x:v>花菜</x:v>
      </x:c>
      <x:c r="D560" t="n">
        <x:v>125</x:v>
      </x:c>
      <x:c r="E560" t="n">
        <x:v>140</x:v>
      </x:c>
      <x:c r="F560" s="10" t="str">
        <x:v>食材净重+约8%余量</x:v>
      </x:c>
      <x:c r="G560" s="10" t="str">
        <x:v>生重</x:v>
      </x:c>
    </x:row>
    <x:row r="561" ht="23" customHeight="1">
      <x:c r="A561" t="n">
        <x:v>14</x:v>
      </x:c>
      <x:c r="B561" t="str">
        <x:v>蔬菜</x:v>
      </x:c>
      <x:c r="C561" t="str">
        <x:v>荷兰豆</x:v>
      </x:c>
      <x:c r="D561" t="n">
        <x:v>175</x:v>
      </x:c>
      <x:c r="E561" t="n">
        <x:v>190</x:v>
      </x:c>
      <x:c r="F561" s="10" t="str">
        <x:v>食材净重+约8%余量</x:v>
      </x:c>
      <x:c r="G561" s="10" t="str">
        <x:v>生重</x:v>
      </x:c>
    </x:row>
    <x:row r="562" ht="23" customHeight="1">
      <x:c r="A562" t="n">
        <x:v>14</x:v>
      </x:c>
      <x:c r="B562" t="str">
        <x:v>蔬菜</x:v>
      </x:c>
      <x:c r="C562" t="str">
        <x:v>莴笋</x:v>
      </x:c>
      <x:c r="D562" t="n">
        <x:v>140</x:v>
      </x:c>
      <x:c r="E562" t="n">
        <x:v>150</x:v>
      </x:c>
      <x:c r="F562" s="10" t="str">
        <x:v>食材净重+约8%余量</x:v>
      </x:c>
      <x:c r="G562" s="10" t="str">
        <x:v>生重</x:v>
      </x:c>
    </x:row>
    <x:row r="563" ht="23" customHeight="1">
      <x:c r="A563" t="n">
        <x:v>14</x:v>
      </x:c>
      <x:c r="B563" t="str">
        <x:v>蔬菜</x:v>
      </x:c>
      <x:c r="C563" t="str">
        <x:v>菜心</x:v>
      </x:c>
      <x:c r="D563" t="n">
        <x:v>175</x:v>
      </x:c>
      <x:c r="E563" t="n">
        <x:v>190</x:v>
      </x:c>
      <x:c r="F563" s="10" t="str">
        <x:v>食材净重+约8%余量</x:v>
      </x:c>
      <x:c r="G563" s="10" t="str">
        <x:v>生重</x:v>
      </x:c>
    </x:row>
    <x:row r="564" ht="23" customHeight="1">
      <x:c r="A564" t="n">
        <x:v>14</x:v>
      </x:c>
      <x:c r="B564" t="str">
        <x:v>蔬菜</x:v>
      </x:c>
      <x:c r="C564" t="str">
        <x:v>黄瓜</x:v>
      </x:c>
      <x:c r="D564" t="n">
        <x:v>110</x:v>
      </x:c>
      <x:c r="E564" t="n">
        <x:v>120</x:v>
      </x:c>
      <x:c r="F564" s="10" t="str">
        <x:v>食材净重+约8%余量</x:v>
      </x:c>
      <x:c r="G564" s="10" t="str">
        <x:v>生重</x:v>
      </x:c>
    </x:row>
    <x:row r="565" ht="23" customHeight="1">
      <x:c r="A565" t="n">
        <x:v>14</x:v>
      </x:c>
      <x:c r="B565" t="str">
        <x:v>豆蛋</x:v>
      </x:c>
      <x:c r="C565" t="str">
        <x:v>北豆腐</x:v>
      </x:c>
      <x:c r="D565" t="n">
        <x:v>200</x:v>
      </x:c>
      <x:c r="E565" t="n">
        <x:v>220</x:v>
      </x:c>
      <x:c r="F565" s="10" t="str">
        <x:v>食材净重+约8%余量</x:v>
      </x:c>
      <x:c r="G565" s="10" t="str">
        <x:v>净重</x:v>
      </x:c>
    </x:row>
    <x:row r="566" ht="23" customHeight="1">
      <x:c r="A566" t="n">
        <x:v>14</x:v>
      </x:c>
      <x:c r="B566" t="str">
        <x:v>豆蛋</x:v>
      </x:c>
      <x:c r="C566" t="str">
        <x:v>熟毛豆仁</x:v>
      </x:c>
      <x:c r="D566" t="n">
        <x:v>50</x:v>
      </x:c>
      <x:c r="E566" t="n">
        <x:v>50</x:v>
      </x:c>
      <x:c r="F566" s="10" t="str">
        <x:v>食材净重+约8%余量</x:v>
      </x:c>
      <x:c r="G566" s="10" t="str">
        <x:v>熟重</x:v>
      </x:c>
    </x:row>
    <x:row r="567" ht="23" customHeight="1">
      <x:c r="A567" t="n">
        <x:v>14</x:v>
      </x:c>
      <x:c r="B567" t="str">
        <x:v>豆蛋</x:v>
      </x:c>
      <x:c r="C567" t="str">
        <x:v>鸡蛋</x:v>
      </x:c>
      <x:c r="D567" t="n">
        <x:v>210</x:v>
      </x:c>
      <x:c r="E567" t="n">
        <x:v>230</x:v>
      </x:c>
      <x:c r="F567" s="10" t="str">
        <x:v>食材净重+约8%余量</x:v>
      </x:c>
      <x:c r="G567" s="10" t="str">
        <x:v>去壳可食重</x:v>
      </x:c>
    </x:row>
    <x:row r="568" ht="23" customHeight="1">
      <x:c r="A568" t="n">
        <x:v>14</x:v>
      </x:c>
      <x:c r="B568" t="str">
        <x:v>鱼类</x:v>
      </x:c>
      <x:c r="C568" t="str">
        <x:v>三文鱼</x:v>
      </x:c>
      <x:c r="D568" t="n">
        <x:v>145</x:v>
      </x:c>
      <x:c r="E568" t="n">
        <x:v>160</x:v>
      </x:c>
      <x:c r="F568" s="10" t="str">
        <x:v>食材净重+约8%余量</x:v>
      </x:c>
      <x:c r="G568" s="10" t="str">
        <x:v>净鱼肉生重</x:v>
      </x:c>
    </x:row>
    <x:row r="569" ht="23" customHeight="1">
      <x:c r="A569" t="n">
        <x:v>14</x:v>
      </x:c>
      <x:c r="B569" t="str">
        <x:v>鱼类</x:v>
      </x:c>
      <x:c r="C569" t="str">
        <x:v>鲈鱼</x:v>
      </x:c>
      <x:c r="D569" t="n">
        <x:v>200</x:v>
      </x:c>
      <x:c r="E569" t="n">
        <x:v>220</x:v>
      </x:c>
      <x:c r="F569" s="10" t="str">
        <x:v>食材净重+约8%余量；带壳或带骨采购需另折算</x:v>
      </x:c>
      <x:c r="G569" s="10" t="str">
        <x:v>净鱼肉生重</x:v>
      </x:c>
    </x:row>
    <x:row r="570" ht="23" customHeight="1">
      <x:c r="A570" t="n">
        <x:v>15</x:v>
      </x:c>
      <x:c r="B570" t="str">
        <x:v>主食</x:v>
      </x:c>
      <x:c r="C570" t="str">
        <x:v>乌冬面</x:v>
      </x:c>
      <x:c r="D570" t="n">
        <x:v>125</x:v>
      </x:c>
      <x:c r="E570" t="n">
        <x:v>60</x:v>
      </x:c>
      <x:c r="F570" s="10" t="str">
        <x:v>干粮约重（按熟面/干面≈2.1估算）</x:v>
      </x:c>
      <x:c r="G570" s="10" t="str">
        <x:v>煮熟沥水重</x:v>
      </x:c>
    </x:row>
    <x:row r="571" ht="23" customHeight="1">
      <x:c r="A571" t="n">
        <x:v>15</x:v>
      </x:c>
      <x:c r="B571" t="str">
        <x:v>主食</x:v>
      </x:c>
      <x:c r="C571" t="str">
        <x:v>土豆</x:v>
      </x:c>
      <x:c r="D571" t="n">
        <x:v>165</x:v>
      </x:c>
      <x:c r="E571" t="n">
        <x:v>180</x:v>
      </x:c>
      <x:c r="F571" s="10" t="str">
        <x:v>鲜薯/玉米净重；考虑小幅损耗</x:v>
      </x:c>
      <x:c r="G571" s="10" t="str">
        <x:v>蒸熟净重</x:v>
      </x:c>
    </x:row>
    <x:row r="572" ht="23" customHeight="1">
      <x:c r="A572" t="n">
        <x:v>15</x:v>
      </x:c>
      <x:c r="B572" t="str">
        <x:v>主食</x:v>
      </x:c>
      <x:c r="C572" t="str">
        <x:v>山药</x:v>
      </x:c>
      <x:c r="D572" t="n">
        <x:v>125</x:v>
      </x:c>
      <x:c r="E572" t="n">
        <x:v>140</x:v>
      </x:c>
      <x:c r="F572" s="10" t="str">
        <x:v>鲜薯/玉米净重；考虑小幅损耗</x:v>
      </x:c>
      <x:c r="G572" s="10" t="str">
        <x:v>蒸熟净重</x:v>
      </x:c>
    </x:row>
    <x:row r="573" ht="23" customHeight="1">
      <x:c r="A573" t="n">
        <x:v>15</x:v>
      </x:c>
      <x:c r="B573" t="str">
        <x:v>主食</x:v>
      </x:c>
      <x:c r="C573" t="str">
        <x:v>杂粮饭</x:v>
      </x:c>
      <x:c r="D573" t="n">
        <x:v>465</x:v>
      </x:c>
      <x:c r="E573" t="n">
        <x:v>180</x:v>
      </x:c>
      <x:c r="F573" s="10" t="str">
        <x:v>未煮干粮约重（按熟饭/生米≈2.6估算）</x:v>
      </x:c>
      <x:c r="G573" s="10" t="str">
        <x:v>熟重</x:v>
      </x:c>
    </x:row>
    <x:row r="574" ht="23" customHeight="1">
      <x:c r="A574" t="n">
        <x:v>15</x:v>
      </x:c>
      <x:c r="B574" t="str">
        <x:v>主食</x:v>
      </x:c>
      <x:c r="C574" t="str">
        <x:v>白米饭</x:v>
      </x:c>
      <x:c r="D574" t="n">
        <x:v>80</x:v>
      </x:c>
      <x:c r="E574" t="n">
        <x:v>30</x:v>
      </x:c>
      <x:c r="F574" s="10" t="str">
        <x:v>未煮干粮约重（按熟饭/生米≈2.6估算）</x:v>
      </x:c>
      <x:c r="G574" s="10" t="str">
        <x:v>熟重</x:v>
      </x:c>
    </x:row>
    <x:row r="575" ht="23" customHeight="1">
      <x:c r="A575" t="n">
        <x:v>15</x:v>
      </x:c>
      <x:c r="B575" t="str">
        <x:v>主食</x:v>
      </x:c>
      <x:c r="C575" t="str">
        <x:v>糙米饭</x:v>
      </x:c>
      <x:c r="D575" t="n">
        <x:v>110</x:v>
      </x:c>
      <x:c r="E575" t="n">
        <x:v>40</x:v>
      </x:c>
      <x:c r="F575" s="10" t="str">
        <x:v>未煮干粮约重（按熟饭/生米≈2.6估算）</x:v>
      </x:c>
      <x:c r="G575" s="10" t="str">
        <x:v>熟重</x:v>
      </x:c>
    </x:row>
    <x:row r="576" ht="23" customHeight="1">
      <x:c r="A576" t="n">
        <x:v>15</x:v>
      </x:c>
      <x:c r="B576" t="str">
        <x:v>主食</x:v>
      </x:c>
      <x:c r="C576" t="str">
        <x:v>红薯</x:v>
      </x:c>
      <x:c r="D576" t="n">
        <x:v>330</x:v>
      </x:c>
      <x:c r="E576" t="n">
        <x:v>360</x:v>
      </x:c>
      <x:c r="F576" s="10" t="str">
        <x:v>鲜薯/玉米净重；考虑小幅损耗</x:v>
      </x:c>
      <x:c r="G576" s="10" t="str">
        <x:v>蒸熟净重</x:v>
      </x:c>
    </x:row>
    <x:row r="577" ht="23" customHeight="1">
      <x:c r="A577" t="n">
        <x:v>15</x:v>
      </x:c>
      <x:c r="B577" t="str">
        <x:v>主食</x:v>
      </x:c>
      <x:c r="C577" t="str">
        <x:v>荞麦面</x:v>
      </x:c>
      <x:c r="D577" t="n">
        <x:v>165</x:v>
      </x:c>
      <x:c r="E577" t="n">
        <x:v>80</x:v>
      </x:c>
      <x:c r="F577" s="10" t="str">
        <x:v>干粮约重（按熟面/干面≈2.1估算）</x:v>
      </x:c>
      <x:c r="G577" s="10" t="str">
        <x:v>煮熟沥水重</x:v>
      </x:c>
    </x:row>
    <x:row r="578" ht="23" customHeight="1">
      <x:c r="A578" t="n">
        <x:v>15</x:v>
      </x:c>
      <x:c r="B578" t="str">
        <x:v>主食</x:v>
      </x:c>
      <x:c r="C578" t="str">
        <x:v>荞麦饭</x:v>
      </x:c>
      <x:c r="D578" t="n">
        <x:v>110</x:v>
      </x:c>
      <x:c r="E578" t="n">
        <x:v>40</x:v>
      </x:c>
      <x:c r="F578" s="10" t="str">
        <x:v>未煮干粮约重（按熟饭/生米≈2.6估算）</x:v>
      </x:c>
      <x:c r="G578" s="10" t="str">
        <x:v>熟重</x:v>
      </x:c>
    </x:row>
    <x:row r="579" ht="23" customHeight="1">
      <x:c r="A579" t="n">
        <x:v>15</x:v>
      </x:c>
      <x:c r="B579" t="str">
        <x:v>主食</x:v>
      </x:c>
      <x:c r="C579" t="str">
        <x:v>藜麦饭</x:v>
      </x:c>
      <x:c r="D579" t="n">
        <x:v>165</x:v>
      </x:c>
      <x:c r="E579" t="n">
        <x:v>60</x:v>
      </x:c>
      <x:c r="F579" s="10" t="str">
        <x:v>未煮干粮约重（按熟饭/生米≈2.6估算）</x:v>
      </x:c>
      <x:c r="G579" s="10" t="str">
        <x:v>熟重</x:v>
      </x:c>
    </x:row>
    <x:row r="580" ht="23" customHeight="1">
      <x:c r="A580" t="n">
        <x:v>15</x:v>
      </x:c>
      <x:c r="B580" t="str">
        <x:v>油脂</x:v>
      </x:c>
      <x:c r="C580" t="str">
        <x:v>烹调油</x:v>
      </x:c>
      <x:c r="D580" t="n">
        <x:v>68</x:v>
      </x:c>
      <x:c r="E580" t="n">
        <x:v>68</x:v>
      </x:c>
      <x:c r="F580" s="10" t="str">
        <x:v>食用油；现有库存足够即可</x:v>
      </x:c>
      <x:c r="G580" s="10" t="str">
        <x:v>实际用油重</x:v>
      </x:c>
    </x:row>
    <x:row r="581" ht="23" customHeight="1">
      <x:c r="A581" t="n">
        <x:v>15</x:v>
      </x:c>
      <x:c r="B581" t="str">
        <x:v>海鲜</x:v>
      </x:c>
      <x:c r="C581" t="str">
        <x:v>虾仁</x:v>
      </x:c>
      <x:c r="D581" t="n">
        <x:v>190</x:v>
      </x:c>
      <x:c r="E581" t="n">
        <x:v>210</x:v>
      </x:c>
      <x:c r="F581" s="10" t="str">
        <x:v>食材净重+约8%余量</x:v>
      </x:c>
      <x:c r="G581" s="10" t="str">
        <x:v>生重</x:v>
      </x:c>
    </x:row>
    <x:row r="582" ht="23" customHeight="1">
      <x:c r="A582" t="n">
        <x:v>15</x:v>
      </x:c>
      <x:c r="B582" t="str">
        <x:v>牛肉</x:v>
      </x:c>
      <x:c r="C582" t="str">
        <x:v>牛里脊</x:v>
      </x:c>
      <x:c r="D582" t="n">
        <x:v>340</x:v>
      </x:c>
      <x:c r="E582" t="n">
        <x:v>370</x:v>
      </x:c>
      <x:c r="F582" s="10" t="str">
        <x:v>食材净重+约8%余量</x:v>
      </x:c>
      <x:c r="G582" s="10" t="str">
        <x:v>生重</x:v>
      </x:c>
    </x:row>
    <x:row r="583" ht="23" customHeight="1">
      <x:c r="A583" t="n">
        <x:v>15</x:v>
      </x:c>
      <x:c r="B583" t="str">
        <x:v>猪肉</x:v>
      </x:c>
      <x:c r="C583" t="str">
        <x:v>猪里脊</x:v>
      </x:c>
      <x:c r="D583" t="n">
        <x:v>300</x:v>
      </x:c>
      <x:c r="E583" t="n">
        <x:v>320</x:v>
      </x:c>
      <x:c r="F583" s="10" t="str">
        <x:v>食材净重+约8%余量</x:v>
      </x:c>
      <x:c r="G583" s="10" t="str">
        <x:v>生重</x:v>
      </x:c>
    </x:row>
    <x:row r="584" ht="23" customHeight="1">
      <x:c r="A584" t="n">
        <x:v>15</x:v>
      </x:c>
      <x:c r="B584" t="str">
        <x:v>禽肉</x:v>
      </x:c>
      <x:c r="C584" t="str">
        <x:v>去皮鸡腿肉</x:v>
      </x:c>
      <x:c r="D584" t="n">
        <x:v>345</x:v>
      </x:c>
      <x:c r="E584" t="n">
        <x:v>370</x:v>
      </x:c>
      <x:c r="F584" s="10" t="str">
        <x:v>食材净重+约8%余量</x:v>
      </x:c>
      <x:c r="G584" s="10" t="str">
        <x:v>生重</x:v>
      </x:c>
    </x:row>
    <x:row r="585" ht="23" customHeight="1">
      <x:c r="A585" t="n">
        <x:v>15</x:v>
      </x:c>
      <x:c r="B585" t="str">
        <x:v>禽肉</x:v>
      </x:c>
      <x:c r="C585" t="str">
        <x:v>鸡胸肉</x:v>
      </x:c>
      <x:c r="D585" t="n">
        <x:v>175</x:v>
      </x:c>
      <x:c r="E585" t="n">
        <x:v>190</x:v>
      </x:c>
      <x:c r="F585" s="10" t="str">
        <x:v>食材净重+约8%余量</x:v>
      </x:c>
      <x:c r="G585" s="10" t="str">
        <x:v>生重</x:v>
      </x:c>
    </x:row>
    <x:row r="586" ht="23" customHeight="1">
      <x:c r="A586" t="n">
        <x:v>15</x:v>
      </x:c>
      <x:c r="B586" t="str">
        <x:v>菌菇</x:v>
      </x:c>
      <x:c r="C586" t="str">
        <x:v>口蘑</x:v>
      </x:c>
      <x:c r="D586" t="n">
        <x:v>110</x:v>
      </x:c>
      <x:c r="E586" t="n">
        <x:v>120</x:v>
      </x:c>
      <x:c r="F586" s="10" t="str">
        <x:v>食材净重+约8%余量</x:v>
      </x:c>
      <x:c r="G586" s="10" t="str">
        <x:v>生重</x:v>
      </x:c>
    </x:row>
    <x:row r="587" ht="23" customHeight="1">
      <x:c r="A587" t="n">
        <x:v>15</x:v>
      </x:c>
      <x:c r="B587" t="str">
        <x:v>菌菇</x:v>
      </x:c>
      <x:c r="C587" t="str">
        <x:v>杏鲍菇</x:v>
      </x:c>
      <x:c r="D587" t="n">
        <x:v>280</x:v>
      </x:c>
      <x:c r="E587" t="n">
        <x:v>300</x:v>
      </x:c>
      <x:c r="F587" s="10" t="str">
        <x:v>食材净重+约8%余量</x:v>
      </x:c>
      <x:c r="G587" s="10" t="str">
        <x:v>生重</x:v>
      </x:c>
    </x:row>
    <x:row r="588" ht="23" customHeight="1">
      <x:c r="A588" t="n">
        <x:v>15</x:v>
      </x:c>
      <x:c r="B588" t="str">
        <x:v>菌菇</x:v>
      </x:c>
      <x:c r="C588" t="str">
        <x:v>泡发木耳</x:v>
      </x:c>
      <x:c r="D588" t="n">
        <x:v>265</x:v>
      </x:c>
      <x:c r="E588" t="n">
        <x:v>290</x:v>
      </x:c>
      <x:c r="F588" s="10" t="str">
        <x:v>食材净重+约8%余量</x:v>
      </x:c>
      <x:c r="G588" s="10" t="str">
        <x:v>泡发沥水重</x:v>
      </x:c>
    </x:row>
    <x:row r="589" ht="23" customHeight="1">
      <x:c r="A589" t="n">
        <x:v>15</x:v>
      </x:c>
      <x:c r="B589" t="str">
        <x:v>菌菇</x:v>
      </x:c>
      <x:c r="C589" t="str">
        <x:v>香菇</x:v>
      </x:c>
      <x:c r="D589" t="n">
        <x:v>405</x:v>
      </x:c>
      <x:c r="E589" t="n">
        <x:v>440</x:v>
      </x:c>
      <x:c r="F589" s="10" t="str">
        <x:v>食材净重+约8%余量</x:v>
      </x:c>
      <x:c r="G589" s="10" t="str">
        <x:v>生重</x:v>
      </x:c>
    </x:row>
    <x:row r="590" ht="23" customHeight="1">
      <x:c r="A590" t="n">
        <x:v>15</x:v>
      </x:c>
      <x:c r="B590" t="str">
        <x:v>蔬菜</x:v>
      </x:c>
      <x:c r="C590" t="str">
        <x:v>丝瓜</x:v>
      </x:c>
      <x:c r="D590" t="n">
        <x:v>175</x:v>
      </x:c>
      <x:c r="E590" t="n">
        <x:v>190</x:v>
      </x:c>
      <x:c r="F590" s="10" t="str">
        <x:v>食材净重+约8%余量</x:v>
      </x:c>
      <x:c r="G590" s="10" t="str">
        <x:v>生重</x:v>
      </x:c>
    </x:row>
    <x:row r="591" ht="23" customHeight="1">
      <x:c r="A591" t="n">
        <x:v>15</x:v>
      </x:c>
      <x:c r="B591" t="str">
        <x:v>蔬菜</x:v>
      </x:c>
      <x:c r="C591" t="str">
        <x:v>冬瓜</x:v>
      </x:c>
      <x:c r="D591" t="n">
        <x:v>140</x:v>
      </x:c>
      <x:c r="E591" t="n">
        <x:v>150</x:v>
      </x:c>
      <x:c r="F591" s="10" t="str">
        <x:v>食材净重+约8%余量</x:v>
      </x:c>
      <x:c r="G591" s="10" t="str">
        <x:v>生重</x:v>
      </x:c>
    </x:row>
    <x:row r="592" ht="23" customHeight="1">
      <x:c r="A592" t="n">
        <x:v>15</x:v>
      </x:c>
      <x:c r="B592" t="str">
        <x:v>蔬菜</x:v>
      </x:c>
      <x:c r="C592" t="str">
        <x:v>小白菜</x:v>
      </x:c>
      <x:c r="D592" t="n">
        <x:v>175</x:v>
      </x:c>
      <x:c r="E592" t="n">
        <x:v>190</x:v>
      </x:c>
      <x:c r="F592" s="10" t="str">
        <x:v>食材净重+约8%余量</x:v>
      </x:c>
      <x:c r="G592" s="10" t="str">
        <x:v>生重</x:v>
      </x:c>
    </x:row>
    <x:row r="593" ht="23" customHeight="1">
      <x:c r="A593" t="n">
        <x:v>15</x:v>
      </x:c>
      <x:c r="B593" t="str">
        <x:v>蔬菜</x:v>
      </x:c>
      <x:c r="C593" t="str">
        <x:v>彩椒</x:v>
      </x:c>
      <x:c r="D593" t="n">
        <x:v>365</x:v>
      </x:c>
      <x:c r="E593" t="n">
        <x:v>390</x:v>
      </x:c>
      <x:c r="F593" s="10" t="str">
        <x:v>食材净重+约8%余量</x:v>
      </x:c>
      <x:c r="G593" s="10" t="str">
        <x:v>生重</x:v>
      </x:c>
    </x:row>
    <x:row r="594" ht="23" customHeight="1">
      <x:c r="A594" t="n">
        <x:v>15</x:v>
      </x:c>
      <x:c r="B594" t="str">
        <x:v>蔬菜</x:v>
      </x:c>
      <x:c r="C594" t="str">
        <x:v>玉米笋</x:v>
      </x:c>
      <x:c r="D594" t="n">
        <x:v>265</x:v>
      </x:c>
      <x:c r="E594" t="n">
        <x:v>290</x:v>
      </x:c>
      <x:c r="F594" s="10" t="str">
        <x:v>食材净重+约8%余量</x:v>
      </x:c>
      <x:c r="G594" s="10" t="str">
        <x:v>生重</x:v>
      </x:c>
    </x:row>
    <x:row r="595" ht="23" customHeight="1">
      <x:c r="A595" t="n">
        <x:v>15</x:v>
      </x:c>
      <x:c r="B595" t="str">
        <x:v>蔬菜</x:v>
      </x:c>
      <x:c r="C595" t="str">
        <x:v>番茄</x:v>
      </x:c>
      <x:c r="D595" t="n">
        <x:v>300</x:v>
      </x:c>
      <x:c r="E595" t="n">
        <x:v>320</x:v>
      </x:c>
      <x:c r="F595" s="10" t="str">
        <x:v>食材净重+约8%余量</x:v>
      </x:c>
      <x:c r="G595" s="10" t="str">
        <x:v>生重</x:v>
      </x:c>
    </x:row>
    <x:row r="596" ht="23" customHeight="1">
      <x:c r="A596" t="n">
        <x:v>15</x:v>
      </x:c>
      <x:c r="B596" t="str">
        <x:v>蔬菜</x:v>
      </x:c>
      <x:c r="C596" t="str">
        <x:v>白萝卜</x:v>
      </x:c>
      <x:c r="D596" t="n">
        <x:v>490</x:v>
      </x:c>
      <x:c r="E596" t="n">
        <x:v>530</x:v>
      </x:c>
      <x:c r="F596" s="10" t="str">
        <x:v>食材净重+约8%余量</x:v>
      </x:c>
      <x:c r="G596" s="10" t="str">
        <x:v>生重</x:v>
      </x:c>
    </x:row>
    <x:row r="597" ht="23" customHeight="1">
      <x:c r="A597" t="n">
        <x:v>15</x:v>
      </x:c>
      <x:c r="B597" t="str">
        <x:v>蔬菜</x:v>
      </x:c>
      <x:c r="C597" t="str">
        <x:v>秋葵</x:v>
      </x:c>
      <x:c r="D597" t="n">
        <x:v>160</x:v>
      </x:c>
      <x:c r="E597" t="n">
        <x:v>170</x:v>
      </x:c>
      <x:c r="F597" s="10" t="str">
        <x:v>食材净重+约8%余量</x:v>
      </x:c>
      <x:c r="G597" s="10" t="str">
        <x:v>生重</x:v>
      </x:c>
    </x:row>
    <x:row r="598" ht="23" customHeight="1">
      <x:c r="A598" t="n">
        <x:v>15</x:v>
      </x:c>
      <x:c r="B598" t="str">
        <x:v>蔬菜</x:v>
      </x:c>
      <x:c r="C598" t="str">
        <x:v>芹菜</x:v>
      </x:c>
      <x:c r="D598" t="n">
        <x:v>175</x:v>
      </x:c>
      <x:c r="E598" t="n">
        <x:v>190</x:v>
      </x:c>
      <x:c r="F598" s="10" t="str">
        <x:v>食材净重+约8%余量</x:v>
      </x:c>
      <x:c r="G598" s="10" t="str">
        <x:v>生重</x:v>
      </x:c>
    </x:row>
    <x:row r="599" ht="23" customHeight="1">
      <x:c r="A599" t="n">
        <x:v>15</x:v>
      </x:c>
      <x:c r="B599" t="str">
        <x:v>蔬菜</x:v>
      </x:c>
      <x:c r="C599" t="str">
        <x:v>茼蒿</x:v>
      </x:c>
      <x:c r="D599" t="n">
        <x:v>190</x:v>
      </x:c>
      <x:c r="E599" t="n">
        <x:v>210</x:v>
      </x:c>
      <x:c r="F599" s="10" t="str">
        <x:v>食材净重+约8%余量</x:v>
      </x:c>
      <x:c r="G599" s="10" t="str">
        <x:v>生重</x:v>
      </x:c>
    </x:row>
    <x:row r="600" ht="23" customHeight="1">
      <x:c r="A600" t="n">
        <x:v>15</x:v>
      </x:c>
      <x:c r="B600" t="str">
        <x:v>蔬菜</x:v>
      </x:c>
      <x:c r="C600" t="str">
        <x:v>菜心</x:v>
      </x:c>
      <x:c r="D600" t="n">
        <x:v>140</x:v>
      </x:c>
      <x:c r="E600" t="n">
        <x:v>150</x:v>
      </x:c>
      <x:c r="F600" s="10" t="str">
        <x:v>食材净重+约8%余量</x:v>
      </x:c>
      <x:c r="G600" s="10" t="str">
        <x:v>生重</x:v>
      </x:c>
    </x:row>
    <x:row r="601" ht="23" customHeight="1">
      <x:c r="A601" t="n">
        <x:v>15</x:v>
      </x:c>
      <x:c r="B601" t="str">
        <x:v>蔬菜</x:v>
      </x:c>
      <x:c r="C601" t="str">
        <x:v>菠菜</x:v>
      </x:c>
      <x:c r="D601" t="n">
        <x:v>160</x:v>
      </x:c>
      <x:c r="E601" t="n">
        <x:v>170</x:v>
      </x:c>
      <x:c r="F601" s="10" t="str">
        <x:v>食材净重+约8%余量</x:v>
      </x:c>
      <x:c r="G601" s="10" t="str">
        <x:v>生重</x:v>
      </x:c>
    </x:row>
    <x:row r="602" ht="23" customHeight="1">
      <x:c r="A602" t="n">
        <x:v>15</x:v>
      </x:c>
      <x:c r="B602" t="str">
        <x:v>蔬菜</x:v>
      </x:c>
      <x:c r="C602" t="str">
        <x:v>西兰花</x:v>
      </x:c>
      <x:c r="D602" t="n">
        <x:v>160</x:v>
      </x:c>
      <x:c r="E602" t="n">
        <x:v>170</x:v>
      </x:c>
      <x:c r="F602" s="10" t="str">
        <x:v>食材净重+约8%余量</x:v>
      </x:c>
      <x:c r="G602" s="10" t="str">
        <x:v>生重</x:v>
      </x:c>
    </x:row>
    <x:row r="603" ht="23" customHeight="1">
      <x:c r="A603" t="n">
        <x:v>15</x:v>
      </x:c>
      <x:c r="B603" t="str">
        <x:v>蔬菜</x:v>
      </x:c>
      <x:c r="C603" t="str">
        <x:v>西葫芦</x:v>
      </x:c>
      <x:c r="D603" t="n">
        <x:v>140</x:v>
      </x:c>
      <x:c r="E603" t="n">
        <x:v>150</x:v>
      </x:c>
      <x:c r="F603" s="10" t="str">
        <x:v>食材净重+约8%余量</x:v>
      </x:c>
      <x:c r="G603" s="10" t="str">
        <x:v>生重</x:v>
      </x:c>
    </x:row>
    <x:row r="604" ht="23" customHeight="1">
      <x:c r="A604" t="n">
        <x:v>15</x:v>
      </x:c>
      <x:c r="B604" t="str">
        <x:v>蔬菜</x:v>
      </x:c>
      <x:c r="C604" t="str">
        <x:v>黄瓜</x:v>
      </x:c>
      <x:c r="D604" t="n">
        <x:v>110</x:v>
      </x:c>
      <x:c r="E604" t="n">
        <x:v>120</x:v>
      </x:c>
      <x:c r="F604" s="10" t="str">
        <x:v>食材净重+约8%余量</x:v>
      </x:c>
      <x:c r="G604" s="10" t="str">
        <x:v>生重</x:v>
      </x:c>
    </x:row>
    <x:row r="605" ht="23" customHeight="1">
      <x:c r="A605" t="n">
        <x:v>15</x:v>
      </x:c>
      <x:c r="B605" t="str">
        <x:v>豆蛋</x:v>
      </x:c>
      <x:c r="C605" t="str">
        <x:v>北豆腐</x:v>
      </x:c>
      <x:c r="D605" t="n">
        <x:v>630</x:v>
      </x:c>
      <x:c r="E605" t="n">
        <x:v>680</x:v>
      </x:c>
      <x:c r="F605" s="10" t="str">
        <x:v>食材净重+约8%余量</x:v>
      </x:c>
      <x:c r="G605" s="10" t="str">
        <x:v>净重</x:v>
      </x:c>
    </x:row>
    <x:row r="606" ht="23" customHeight="1">
      <x:c r="A606" t="n">
        <x:v>15</x:v>
      </x:c>
      <x:c r="B606" t="str">
        <x:v>豆蛋</x:v>
      </x:c>
      <x:c r="C606" t="str">
        <x:v>熟毛豆仁</x:v>
      </x:c>
      <x:c r="D606" t="n">
        <x:v>70</x:v>
      </x:c>
      <x:c r="E606" t="n">
        <x:v>80</x:v>
      </x:c>
      <x:c r="F606" s="10" t="str">
        <x:v>食材净重+约8%余量</x:v>
      </x:c>
      <x:c r="G606" s="10" t="str">
        <x:v>熟重</x:v>
      </x:c>
    </x:row>
    <x:row r="607" ht="23" customHeight="1">
      <x:c r="A607" t="n">
        <x:v>15</x:v>
      </x:c>
      <x:c r="B607" t="str">
        <x:v>豆蛋</x:v>
      </x:c>
      <x:c r="C607" t="str">
        <x:v>鸡蛋</x:v>
      </x:c>
      <x:c r="D607" t="n">
        <x:v>50</x:v>
      </x:c>
      <x:c r="E607" t="n">
        <x:v>50</x:v>
      </x:c>
      <x:c r="F607" s="10" t="str">
        <x:v>食材净重+约8%余量</x:v>
      </x:c>
      <x:c r="G607" s="10" t="str">
        <x:v>去壳可食重</x:v>
      </x:c>
    </x:row>
    <x:row r="608" ht="23" customHeight="1">
      <x:c r="A608" t="n">
        <x:v>15</x:v>
      </x:c>
      <x:c r="B608" t="str">
        <x:v>鱼类</x:v>
      </x:c>
      <x:c r="C608" t="str">
        <x:v>巴沙鱼</x:v>
      </x:c>
      <x:c r="D608" t="n">
        <x:v>390</x:v>
      </x:c>
      <x:c r="E608" t="n">
        <x:v>420</x:v>
      </x:c>
      <x:c r="F608" s="10" t="str">
        <x:v>食材净重+约8%余量</x:v>
      </x:c>
      <x:c r="G608" s="10" t="str">
        <x:v>净鱼肉生重</x:v>
      </x:c>
    </x:row>
    <x:row r="609" ht="23" customHeight="1">
      <x:c r="A609" t="n">
        <x:v>15</x:v>
      </x:c>
      <x:c r="B609" t="str">
        <x:v>鱼类</x:v>
      </x:c>
      <x:c r="C609" t="str">
        <x:v>鲈鱼</x:v>
      </x:c>
      <x:c r="D609" t="n">
        <x:v>200</x:v>
      </x:c>
      <x:c r="E609" t="n">
        <x:v>220</x:v>
      </x:c>
      <x:c r="F609" s="10" t="str">
        <x:v>食材净重+约8%余量；带壳或带骨采购需另折算</x:v>
      </x:c>
      <x:c r="G609" s="10" t="str">
        <x:v>净鱼肉生重</x:v>
      </x:c>
    </x:row>
    <x:row r="610" ht="23" customHeight="1">
      <x:c r="A610" t="n">
        <x:v>15</x:v>
      </x:c>
      <x:c r="B610" t="str">
        <x:v>鱼类</x:v>
      </x:c>
      <x:c r="C610" t="str">
        <x:v>鳕鱼</x:v>
      </x:c>
      <x:c r="D610" t="n">
        <x:v>200</x:v>
      </x:c>
      <x:c r="E610" t="n">
        <x:v>220</x:v>
      </x:c>
      <x:c r="F610" s="10" t="str">
        <x:v>食材净重+约8%余量；带壳或带骨采购需另折算</x:v>
      </x:c>
      <x:c r="G610" s="10" t="str">
        <x:v>净鱼肉生重</x:v>
      </x:c>
    </x:row>
    <x:row r="611" ht="23" customHeight="1">
      <x:c r="A611" t="n">
        <x:v>16</x:v>
      </x:c>
      <x:c r="B611" t="str">
        <x:v>主食</x:v>
      </x:c>
      <x:c r="C611" t="str">
        <x:v>乌冬面</x:v>
      </x:c>
      <x:c r="D611" t="n">
        <x:v>125</x:v>
      </x:c>
      <x:c r="E611" t="n">
        <x:v>60</x:v>
      </x:c>
      <x:c r="F611" s="10" t="str">
        <x:v>干粮约重（按熟面/干面≈2.1估算）</x:v>
      </x:c>
      <x:c r="G611" s="10" t="str">
        <x:v>煮熟沥水重</x:v>
      </x:c>
    </x:row>
    <x:row r="612" ht="23" customHeight="1">
      <x:c r="A612" t="n">
        <x:v>16</x:v>
      </x:c>
      <x:c r="B612" t="str">
        <x:v>主食</x:v>
      </x:c>
      <x:c r="C612" t="str">
        <x:v>全麦面</x:v>
      </x:c>
      <x:c r="D612" t="n">
        <x:v>125</x:v>
      </x:c>
      <x:c r="E612" t="n">
        <x:v>60</x:v>
      </x:c>
      <x:c r="F612" s="10" t="str">
        <x:v>干粮约重（按熟面/干面≈2.1估算）</x:v>
      </x:c>
      <x:c r="G612" s="10" t="str">
        <x:v>煮熟沥水重</x:v>
      </x:c>
    </x:row>
    <x:row r="613" ht="23" customHeight="1">
      <x:c r="A613" t="n">
        <x:v>16</x:v>
      </x:c>
      <x:c r="B613" t="str">
        <x:v>主食</x:v>
      </x:c>
      <x:c r="C613" t="str">
        <x:v>山药</x:v>
      </x:c>
      <x:c r="D613" t="n">
        <x:v>270</x:v>
      </x:c>
      <x:c r="E613" t="n">
        <x:v>300</x:v>
      </x:c>
      <x:c r="F613" s="10" t="str">
        <x:v>鲜薯/玉米净重；考虑小幅损耗</x:v>
      </x:c>
      <x:c r="G613" s="10" t="str">
        <x:v>蒸熟净重</x:v>
      </x:c>
    </x:row>
    <x:row r="614" ht="23" customHeight="1">
      <x:c r="A614" t="n">
        <x:v>16</x:v>
      </x:c>
      <x:c r="B614" t="str">
        <x:v>主食</x:v>
      </x:c>
      <x:c r="C614" t="str">
        <x:v>杂粮饭</x:v>
      </x:c>
      <x:c r="D614" t="n">
        <x:v>135</x:v>
      </x:c>
      <x:c r="E614" t="n">
        <x:v>50</x:v>
      </x:c>
      <x:c r="F614" s="10" t="str">
        <x:v>未煮干粮约重（按熟饭/生米≈2.6估算）</x:v>
      </x:c>
      <x:c r="G614" s="10" t="str">
        <x:v>熟重</x:v>
      </x:c>
    </x:row>
    <x:row r="615" ht="23" customHeight="1">
      <x:c r="A615" t="n">
        <x:v>16</x:v>
      </x:c>
      <x:c r="B615" t="str">
        <x:v>主食</x:v>
      </x:c>
      <x:c r="C615" t="str">
        <x:v>燕麦饭</x:v>
      </x:c>
      <x:c r="D615" t="n">
        <x:v>125</x:v>
      </x:c>
      <x:c r="E615" t="n">
        <x:v>50</x:v>
      </x:c>
      <x:c r="F615" s="10" t="str">
        <x:v>未煮干粮约重（按熟饭/生米≈2.6估算）</x:v>
      </x:c>
      <x:c r="G615" s="10" t="str">
        <x:v>熟重</x:v>
      </x:c>
    </x:row>
    <x:row r="616" ht="23" customHeight="1">
      <x:c r="A616" t="n">
        <x:v>16</x:v>
      </x:c>
      <x:c r="B616" t="str">
        <x:v>主食</x:v>
      </x:c>
      <x:c r="C616" t="str">
        <x:v>米粉</x:v>
      </x:c>
      <x:c r="D616" t="n">
        <x:v>135</x:v>
      </x:c>
      <x:c r="E616" t="n">
        <x:v>60</x:v>
      </x:c>
      <x:c r="F616" s="10" t="str">
        <x:v>干粮约重（按熟面/干面≈2.1估算）</x:v>
      </x:c>
      <x:c r="G616" s="10" t="str">
        <x:v>煮熟沥水重</x:v>
      </x:c>
    </x:row>
    <x:row r="617" ht="23" customHeight="1">
      <x:c r="A617" t="n">
        <x:v>16</x:v>
      </x:c>
      <x:c r="B617" t="str">
        <x:v>主食</x:v>
      </x:c>
      <x:c r="C617" t="str">
        <x:v>糙米饭</x:v>
      </x:c>
      <x:c r="D617" t="n">
        <x:v>465</x:v>
      </x:c>
      <x:c r="E617" t="n">
        <x:v>180</x:v>
      </x:c>
      <x:c r="F617" s="10" t="str">
        <x:v>未煮干粮约重（按熟饭/生米≈2.6估算）</x:v>
      </x:c>
      <x:c r="G617" s="10" t="str">
        <x:v>熟重</x:v>
      </x:c>
    </x:row>
    <x:row r="618" ht="23" customHeight="1">
      <x:c r="A618" t="n">
        <x:v>16</x:v>
      </x:c>
      <x:c r="B618" t="str">
        <x:v>主食</x:v>
      </x:c>
      <x:c r="C618" t="str">
        <x:v>红薯</x:v>
      </x:c>
      <x:c r="D618" t="n">
        <x:v>110</x:v>
      </x:c>
      <x:c r="E618" t="n">
        <x:v>120</x:v>
      </x:c>
      <x:c r="F618" s="10" t="str">
        <x:v>鲜薯/玉米净重；考虑小幅损耗</x:v>
      </x:c>
      <x:c r="G618" s="10" t="str">
        <x:v>蒸熟净重</x:v>
      </x:c>
    </x:row>
    <x:row r="619" ht="23" customHeight="1">
      <x:c r="A619" t="n">
        <x:v>16</x:v>
      </x:c>
      <x:c r="B619" t="str">
        <x:v>主食</x:v>
      </x:c>
      <x:c r="C619" t="str">
        <x:v>荞麦饭</x:v>
      </x:c>
      <x:c r="D619" t="n">
        <x:v>80</x:v>
      </x:c>
      <x:c r="E619" t="n">
        <x:v>30</x:v>
      </x:c>
      <x:c r="F619" s="10" t="str">
        <x:v>未煮干粮约重（按熟饭/生米≈2.6估算）</x:v>
      </x:c>
      <x:c r="G619" s="10" t="str">
        <x:v>熟重</x:v>
      </x:c>
    </x:row>
    <x:row r="620" ht="23" customHeight="1">
      <x:c r="A620" t="n">
        <x:v>16</x:v>
      </x:c>
      <x:c r="B620" t="str">
        <x:v>主食</x:v>
      </x:c>
      <x:c r="C620" t="str">
        <x:v>藜麦饭</x:v>
      </x:c>
      <x:c r="D620" t="n">
        <x:v>135</x:v>
      </x:c>
      <x:c r="E620" t="n">
        <x:v>50</x:v>
      </x:c>
      <x:c r="F620" s="10" t="str">
        <x:v>未煮干粮约重（按熟饭/生米≈2.6估算）</x:v>
      </x:c>
      <x:c r="G620" s="10" t="str">
        <x:v>熟重</x:v>
      </x:c>
    </x:row>
    <x:row r="621" ht="23" customHeight="1">
      <x:c r="A621" t="n">
        <x:v>16</x:v>
      </x:c>
      <x:c r="B621" t="str">
        <x:v>低主食</x:v>
      </x:c>
      <x:c r="C621" t="str">
        <x:v>魔芋丝</x:v>
      </x:c>
      <x:c r="D621" t="n">
        <x:v>130</x:v>
      </x:c>
      <x:c r="E621" t="n">
        <x:v>140</x:v>
      </x:c>
      <x:c r="F621" s="10" t="str">
        <x:v>袋装沥水净重</x:v>
      </x:c>
      <x:c r="G621" s="10" t="str">
        <x:v>沥水重</x:v>
      </x:c>
    </x:row>
    <x:row r="622" ht="23" customHeight="1">
      <x:c r="A622" t="n">
        <x:v>16</x:v>
      </x:c>
      <x:c r="B622" t="str">
        <x:v>油脂</x:v>
      </x:c>
      <x:c r="C622" t="str">
        <x:v>烹调油</x:v>
      </x:c>
      <x:c r="D622" t="n">
        <x:v>65</x:v>
      </x:c>
      <x:c r="E622" t="n">
        <x:v>65</x:v>
      </x:c>
      <x:c r="F622" s="10" t="str">
        <x:v>食用油；现有库存足够即可</x:v>
      </x:c>
      <x:c r="G622" s="10" t="str">
        <x:v>实际用油重</x:v>
      </x:c>
    </x:row>
    <x:row r="623" ht="23" customHeight="1">
      <x:c r="A623" t="n">
        <x:v>16</x:v>
      </x:c>
      <x:c r="B623" t="str">
        <x:v>海鲜</x:v>
      </x:c>
      <x:c r="C623" t="str">
        <x:v>花蛤肉</x:v>
      </x:c>
      <x:c r="D623" t="n">
        <x:v>170</x:v>
      </x:c>
      <x:c r="E623" t="n">
        <x:v>180</x:v>
      </x:c>
      <x:c r="F623" s="10" t="str">
        <x:v>食材净重+约8%余量；带壳或带骨采购需另折算</x:v>
      </x:c>
      <x:c r="G623" s="10" t="str">
        <x:v>净肉生重</x:v>
      </x:c>
    </x:row>
    <x:row r="624" ht="23" customHeight="1">
      <x:c r="A624" t="n">
        <x:v>16</x:v>
      </x:c>
      <x:c r="B624" t="str">
        <x:v>海鲜</x:v>
      </x:c>
      <x:c r="C624" t="str">
        <x:v>虾仁</x:v>
      </x:c>
      <x:c r="D624" t="n">
        <x:v>65</x:v>
      </x:c>
      <x:c r="E624" t="n">
        <x:v>70</x:v>
      </x:c>
      <x:c r="F624" s="10" t="str">
        <x:v>食材净重+约8%余量</x:v>
      </x:c>
      <x:c r="G624" s="10" t="str">
        <x:v>生重</x:v>
      </x:c>
    </x:row>
    <x:row r="625" ht="23" customHeight="1">
      <x:c r="A625" t="n">
        <x:v>16</x:v>
      </x:c>
      <x:c r="B625" t="str">
        <x:v>海鲜</x:v>
      </x:c>
      <x:c r="C625" t="str">
        <x:v>鱿鱼</x:v>
      </x:c>
      <x:c r="D625" t="n">
        <x:v>160</x:v>
      </x:c>
      <x:c r="E625" t="n">
        <x:v>170</x:v>
      </x:c>
      <x:c r="F625" s="10" t="str">
        <x:v>食材净重+约8%余量</x:v>
      </x:c>
      <x:c r="G625" s="10" t="str">
        <x:v>生重</x:v>
      </x:c>
    </x:row>
    <x:row r="626" ht="23" customHeight="1">
      <x:c r="A626" t="n">
        <x:v>16</x:v>
      </x:c>
      <x:c r="B626" t="str">
        <x:v>牛肉</x:v>
      </x:c>
      <x:c r="C626" t="str">
        <x:v>牛里脊</x:v>
      </x:c>
      <x:c r="D626" t="n">
        <x:v>345</x:v>
      </x:c>
      <x:c r="E626" t="n">
        <x:v>370</x:v>
      </x:c>
      <x:c r="F626" s="10" t="str">
        <x:v>食材净重+约8%余量</x:v>
      </x:c>
      <x:c r="G626" s="10" t="str">
        <x:v>生重</x:v>
      </x:c>
    </x:row>
    <x:row r="627" ht="23" customHeight="1">
      <x:c r="A627" t="n">
        <x:v>16</x:v>
      </x:c>
      <x:c r="B627" t="str">
        <x:v>猪肉</x:v>
      </x:c>
      <x:c r="C627" t="str">
        <x:v>猪瘦肉</x:v>
      </x:c>
      <x:c r="D627" t="n">
        <x:v>155</x:v>
      </x:c>
      <x:c r="E627" t="n">
        <x:v>170</x:v>
      </x:c>
      <x:c r="F627" s="10" t="str">
        <x:v>食材净重+约8%余量</x:v>
      </x:c>
      <x:c r="G627" s="10" t="str">
        <x:v>生重</x:v>
      </x:c>
    </x:row>
    <x:row r="628" ht="23" customHeight="1">
      <x:c r="A628" t="n">
        <x:v>16</x:v>
      </x:c>
      <x:c r="B628" t="str">
        <x:v>禽肉</x:v>
      </x:c>
      <x:c r="C628" t="str">
        <x:v>去皮鸡腿肉</x:v>
      </x:c>
      <x:c r="D628" t="n">
        <x:v>490</x:v>
      </x:c>
      <x:c r="E628" t="n">
        <x:v>530</x:v>
      </x:c>
      <x:c r="F628" s="10" t="str">
        <x:v>食材净重+约8%余量</x:v>
      </x:c>
      <x:c r="G628" s="10" t="str">
        <x:v>生重</x:v>
      </x:c>
    </x:row>
    <x:row r="629" ht="23" customHeight="1">
      <x:c r="A629" t="n">
        <x:v>16</x:v>
      </x:c>
      <x:c r="B629" t="str">
        <x:v>禽肉</x:v>
      </x:c>
      <x:c r="C629" t="str">
        <x:v>鸡胸肉</x:v>
      </x:c>
      <x:c r="D629" t="n">
        <x:v>170</x:v>
      </x:c>
      <x:c r="E629" t="n">
        <x:v>180</x:v>
      </x:c>
      <x:c r="F629" s="10" t="str">
        <x:v>食材净重+约8%余量</x:v>
      </x:c>
      <x:c r="G629" s="10" t="str">
        <x:v>生重</x:v>
      </x:c>
    </x:row>
    <x:row r="630" ht="23" customHeight="1">
      <x:c r="A630" t="n">
        <x:v>16</x:v>
      </x:c>
      <x:c r="B630" t="str">
        <x:v>菌菇</x:v>
      </x:c>
      <x:c r="C630" t="str">
        <x:v>杏鲍菇</x:v>
      </x:c>
      <x:c r="D630" t="n">
        <x:v>140</x:v>
      </x:c>
      <x:c r="E630" t="n">
        <x:v>150</x:v>
      </x:c>
      <x:c r="F630" s="10" t="str">
        <x:v>食材净重+约8%余量</x:v>
      </x:c>
      <x:c r="G630" s="10" t="str">
        <x:v>生重</x:v>
      </x:c>
    </x:row>
    <x:row r="631" ht="23" customHeight="1">
      <x:c r="A631" t="n">
        <x:v>16</x:v>
      </x:c>
      <x:c r="B631" t="str">
        <x:v>菌菇</x:v>
      </x:c>
      <x:c r="C631" t="str">
        <x:v>金针菇</x:v>
      </x:c>
      <x:c r="D631" t="n">
        <x:v>250</x:v>
      </x:c>
      <x:c r="E631" t="n">
        <x:v>270</x:v>
      </x:c>
      <x:c r="F631" s="10" t="str">
        <x:v>食材净重+约8%余量</x:v>
      </x:c>
      <x:c r="G631" s="10" t="str">
        <x:v>生重</x:v>
      </x:c>
    </x:row>
    <x:row r="632" ht="23" customHeight="1">
      <x:c r="A632" t="n">
        <x:v>16</x:v>
      </x:c>
      <x:c r="B632" t="str">
        <x:v>菌菇</x:v>
      </x:c>
      <x:c r="C632" t="str">
        <x:v>香菇</x:v>
      </x:c>
      <x:c r="D632" t="n">
        <x:v>155</x:v>
      </x:c>
      <x:c r="E632" t="n">
        <x:v>170</x:v>
      </x:c>
      <x:c r="F632" s="10" t="str">
        <x:v>食材净重+约8%余量</x:v>
      </x:c>
      <x:c r="G632" s="10" t="str">
        <x:v>生重</x:v>
      </x:c>
    </x:row>
    <x:row r="633" ht="23" customHeight="1">
      <x:c r="A633" t="n">
        <x:v>16</x:v>
      </x:c>
      <x:c r="B633" t="str">
        <x:v>蔬菜</x:v>
      </x:c>
      <x:c r="C633" t="str">
        <x:v>丝瓜</x:v>
      </x:c>
      <x:c r="D633" t="n">
        <x:v>330</x:v>
      </x:c>
      <x:c r="E633" t="n">
        <x:v>360</x:v>
      </x:c>
      <x:c r="F633" s="10" t="str">
        <x:v>食材净重+约8%余量</x:v>
      </x:c>
      <x:c r="G633" s="10" t="str">
        <x:v>生重</x:v>
      </x:c>
    </x:row>
    <x:row r="634" ht="23" customHeight="1">
      <x:c r="A634" t="n">
        <x:v>16</x:v>
      </x:c>
      <x:c r="B634" t="str">
        <x:v>蔬菜</x:v>
      </x:c>
      <x:c r="C634" t="str">
        <x:v>娃娃菜</x:v>
      </x:c>
      <x:c r="D634" t="n">
        <x:v>190</x:v>
      </x:c>
      <x:c r="E634" t="n">
        <x:v>210</x:v>
      </x:c>
      <x:c r="F634" s="10" t="str">
        <x:v>食材净重+约8%余量</x:v>
      </x:c>
      <x:c r="G634" s="10" t="str">
        <x:v>生重</x:v>
      </x:c>
    </x:row>
    <x:row r="635" ht="23" customHeight="1">
      <x:c r="A635" t="n">
        <x:v>16</x:v>
      </x:c>
      <x:c r="B635" t="str">
        <x:v>蔬菜</x:v>
      </x:c>
      <x:c r="C635" t="str">
        <x:v>小白菜</x:v>
      </x:c>
      <x:c r="D635" t="n">
        <x:v>335</x:v>
      </x:c>
      <x:c r="E635" t="n">
        <x:v>360</x:v>
      </x:c>
      <x:c r="F635" s="10" t="str">
        <x:v>食材净重+约8%余量</x:v>
      </x:c>
      <x:c r="G635" s="10" t="str">
        <x:v>生重</x:v>
      </x:c>
    </x:row>
    <x:row r="636" ht="23" customHeight="1">
      <x:c r="A636" t="n">
        <x:v>16</x:v>
      </x:c>
      <x:c r="B636" t="str">
        <x:v>蔬菜</x:v>
      </x:c>
      <x:c r="C636" t="str">
        <x:v>彩椒</x:v>
      </x:c>
      <x:c r="D636" t="n">
        <x:v>520</x:v>
      </x:c>
      <x:c r="E636" t="n">
        <x:v>560</x:v>
      </x:c>
      <x:c r="F636" s="10" t="str">
        <x:v>食材净重+约8%余量</x:v>
      </x:c>
      <x:c r="G636" s="10" t="str">
        <x:v>生重</x:v>
      </x:c>
    </x:row>
    <x:row r="637" ht="23" customHeight="1">
      <x:c r="A637" t="n">
        <x:v>16</x:v>
      </x:c>
      <x:c r="B637" t="str">
        <x:v>蔬菜</x:v>
      </x:c>
      <x:c r="C637" t="str">
        <x:v>洋葱</x:v>
      </x:c>
      <x:c r="D637" t="n">
        <x:v>265</x:v>
      </x:c>
      <x:c r="E637" t="n">
        <x:v>290</x:v>
      </x:c>
      <x:c r="F637" s="10" t="str">
        <x:v>食材净重+约8%余量</x:v>
      </x:c>
      <x:c r="G637" s="10" t="str">
        <x:v>生重</x:v>
      </x:c>
    </x:row>
    <x:row r="638" ht="23" customHeight="1">
      <x:c r="A638" t="n">
        <x:v>16</x:v>
      </x:c>
      <x:c r="B638" t="str">
        <x:v>蔬菜</x:v>
      </x:c>
      <x:c r="C638" t="str">
        <x:v>海带</x:v>
      </x:c>
      <x:c r="D638" t="n">
        <x:v>155</x:v>
      </x:c>
      <x:c r="E638" t="n">
        <x:v>170</x:v>
      </x:c>
      <x:c r="F638" s="10" t="str">
        <x:v>食材净重+约8%余量</x:v>
      </x:c>
      <x:c r="G638" s="10" t="str">
        <x:v>泡发沥水重</x:v>
      </x:c>
    </x:row>
    <x:row r="639" ht="23" customHeight="1">
      <x:c r="A639" t="n">
        <x:v>16</x:v>
      </x:c>
      <x:c r="B639" t="str">
        <x:v>蔬菜</x:v>
      </x:c>
      <x:c r="C639" t="str">
        <x:v>番茄</x:v>
      </x:c>
      <x:c r="D639" t="n">
        <x:v>175</x:v>
      </x:c>
      <x:c r="E639" t="n">
        <x:v>190</x:v>
      </x:c>
      <x:c r="F639" s="10" t="str">
        <x:v>食材净重+约8%余量</x:v>
      </x:c>
      <x:c r="G639" s="10" t="str">
        <x:v>生重</x:v>
      </x:c>
    </x:row>
    <x:row r="640" ht="23" customHeight="1">
      <x:c r="A640" t="n">
        <x:v>16</x:v>
      </x:c>
      <x:c r="B640" t="str">
        <x:v>蔬菜</x:v>
      </x:c>
      <x:c r="C640" t="str">
        <x:v>白萝卜</x:v>
      </x:c>
      <x:c r="D640" t="n">
        <x:v>485</x:v>
      </x:c>
      <x:c r="E640" t="n">
        <x:v>520</x:v>
      </x:c>
      <x:c r="F640" s="10" t="str">
        <x:v>食材净重+约8%余量</x:v>
      </x:c>
      <x:c r="G640" s="10" t="str">
        <x:v>生重</x:v>
      </x:c>
    </x:row>
    <x:row r="641" ht="23" customHeight="1">
      <x:c r="A641" t="n">
        <x:v>16</x:v>
      </x:c>
      <x:c r="B641" t="str">
        <x:v>蔬菜</x:v>
      </x:c>
      <x:c r="C641" t="str">
        <x:v>竹笋</x:v>
      </x:c>
      <x:c r="D641" t="n">
        <x:v>190</x:v>
      </x:c>
      <x:c r="E641" t="n">
        <x:v>210</x:v>
      </x:c>
      <x:c r="F641" s="10" t="str">
        <x:v>食材净重+约8%余量</x:v>
      </x:c>
      <x:c r="G641" s="10" t="str">
        <x:v>生重</x:v>
      </x:c>
    </x:row>
    <x:row r="642" ht="23" customHeight="1">
      <x:c r="A642" t="n">
        <x:v>16</x:v>
      </x:c>
      <x:c r="B642" t="str">
        <x:v>蔬菜</x:v>
      </x:c>
      <x:c r="C642" t="str">
        <x:v>胡萝卜</x:v>
      </x:c>
      <x:c r="D642" t="n">
        <x:v>125</x:v>
      </x:c>
      <x:c r="E642" t="n">
        <x:v>140</x:v>
      </x:c>
      <x:c r="F642" s="10" t="str">
        <x:v>食材净重+约8%余量</x:v>
      </x:c>
      <x:c r="G642" s="10" t="str">
        <x:v>生重</x:v>
      </x:c>
    </x:row>
    <x:row r="643" ht="23" customHeight="1">
      <x:c r="A643" t="n">
        <x:v>16</x:v>
      </x:c>
      <x:c r="B643" t="str">
        <x:v>蔬菜</x:v>
      </x:c>
      <x:c r="C643" t="str">
        <x:v>苦瓜</x:v>
      </x:c>
      <x:c r="D643" t="n">
        <x:v>160</x:v>
      </x:c>
      <x:c r="E643" t="n">
        <x:v>170</x:v>
      </x:c>
      <x:c r="F643" s="10" t="str">
        <x:v>食材净重+约8%余量</x:v>
      </x:c>
      <x:c r="G643" s="10" t="str">
        <x:v>生重</x:v>
      </x:c>
    </x:row>
    <x:row r="644" ht="23" customHeight="1">
      <x:c r="A644" t="n">
        <x:v>16</x:v>
      </x:c>
      <x:c r="B644" t="str">
        <x:v>蔬菜</x:v>
      </x:c>
      <x:c r="C644" t="str">
        <x:v>茼蒿</x:v>
      </x:c>
      <x:c r="D644" t="n">
        <x:v>365</x:v>
      </x:c>
      <x:c r="E644" t="n">
        <x:v>390</x:v>
      </x:c>
      <x:c r="F644" s="10" t="str">
        <x:v>食材净重+约8%余量</x:v>
      </x:c>
      <x:c r="G644" s="10" t="str">
        <x:v>生重</x:v>
      </x:c>
    </x:row>
    <x:row r="645" ht="23" customHeight="1">
      <x:c r="A645" t="n">
        <x:v>16</x:v>
      </x:c>
      <x:c r="B645" t="str">
        <x:v>蔬菜</x:v>
      </x:c>
      <x:c r="C645" t="str">
        <x:v>菜心</x:v>
      </x:c>
      <x:c r="D645" t="n">
        <x:v>250</x:v>
      </x:c>
      <x:c r="E645" t="n">
        <x:v>270</x:v>
      </x:c>
      <x:c r="F645" s="10" t="str">
        <x:v>食材净重+约8%余量</x:v>
      </x:c>
      <x:c r="G645" s="10" t="str">
        <x:v>生重</x:v>
      </x:c>
    </x:row>
    <x:row r="646" ht="23" customHeight="1">
      <x:c r="A646" t="n">
        <x:v>16</x:v>
      </x:c>
      <x:c r="B646" t="str">
        <x:v>蔬菜</x:v>
      </x:c>
      <x:c r="C646" t="str">
        <x:v>菠菜</x:v>
      </x:c>
      <x:c r="D646" t="n">
        <x:v>190</x:v>
      </x:c>
      <x:c r="E646" t="n">
        <x:v>210</x:v>
      </x:c>
      <x:c r="F646" s="10" t="str">
        <x:v>食材净重+约8%余量</x:v>
      </x:c>
      <x:c r="G646" s="10" t="str">
        <x:v>生重</x:v>
      </x:c>
    </x:row>
    <x:row r="647" ht="23" customHeight="1">
      <x:c r="A647" t="n">
        <x:v>16</x:v>
      </x:c>
      <x:c r="B647" t="str">
        <x:v>蔬菜</x:v>
      </x:c>
      <x:c r="C647" t="str">
        <x:v>西葫芦</x:v>
      </x:c>
      <x:c r="D647" t="n">
        <x:v>140</x:v>
      </x:c>
      <x:c r="E647" t="n">
        <x:v>150</x:v>
      </x:c>
      <x:c r="F647" s="10" t="str">
        <x:v>食材净重+约8%余量</x:v>
      </x:c>
      <x:c r="G647" s="10" t="str">
        <x:v>生重</x:v>
      </x:c>
    </x:row>
    <x:row r="648" ht="23" customHeight="1">
      <x:c r="A648" t="n">
        <x:v>16</x:v>
      </x:c>
      <x:c r="B648" t="str">
        <x:v>豆蛋</x:v>
      </x:c>
      <x:c r="C648" t="str">
        <x:v>北豆腐</x:v>
      </x:c>
      <x:c r="D648" t="n">
        <x:v>300</x:v>
      </x:c>
      <x:c r="E648" t="n">
        <x:v>320</x:v>
      </x:c>
      <x:c r="F648" s="10" t="str">
        <x:v>食材净重+约8%余量</x:v>
      </x:c>
      <x:c r="G648" s="10" t="str">
        <x:v>净重</x:v>
      </x:c>
    </x:row>
    <x:row r="649" ht="23" customHeight="1">
      <x:c r="A649" t="n">
        <x:v>16</x:v>
      </x:c>
      <x:c r="B649" t="str">
        <x:v>豆蛋</x:v>
      </x:c>
      <x:c r="C649" t="str">
        <x:v>嫩豆腐</x:v>
      </x:c>
      <x:c r="D649" t="n">
        <x:v>600</x:v>
      </x:c>
      <x:c r="E649" t="n">
        <x:v>650</x:v>
      </x:c>
      <x:c r="F649" s="10" t="str">
        <x:v>食材净重+约8%余量</x:v>
      </x:c>
      <x:c r="G649" s="10" t="str">
        <x:v>净重</x:v>
      </x:c>
    </x:row>
    <x:row r="650" ht="23" customHeight="1">
      <x:c r="A650" t="n">
        <x:v>16</x:v>
      </x:c>
      <x:c r="B650" t="str">
        <x:v>豆蛋</x:v>
      </x:c>
      <x:c r="C650" t="str">
        <x:v>鸡蛋</x:v>
      </x:c>
      <x:c r="D650" t="n">
        <x:v>85</x:v>
      </x:c>
      <x:c r="E650" t="n">
        <x:v>90</x:v>
      </x:c>
      <x:c r="F650" s="10" t="str">
        <x:v>食材净重+约8%余量</x:v>
      </x:c>
      <x:c r="G650" s="10" t="str">
        <x:v>去壳可食重</x:v>
      </x:c>
    </x:row>
    <x:row r="651" ht="23" customHeight="1">
      <x:c r="A651" t="n">
        <x:v>16</x:v>
      </x:c>
      <x:c r="B651" t="str">
        <x:v>鱼类</x:v>
      </x:c>
      <x:c r="C651" t="str">
        <x:v>鳕鱼</x:v>
      </x:c>
      <x:c r="D651" t="n">
        <x:v>575</x:v>
      </x:c>
      <x:c r="E651" t="n">
        <x:v>620</x:v>
      </x:c>
      <x:c r="F651" s="10" t="str">
        <x:v>食材净重+约8%余量；带壳或带骨采购需另折算</x:v>
      </x:c>
      <x:c r="G651" s="10" t="str">
        <x:v>净鱼肉生重</x:v>
      </x:c>
    </x:row>
    <x:row r="652" ht="23" customHeight="1">
      <x:c r="A652" t="n">
        <x:v>17</x:v>
      </x:c>
      <x:c r="B652" t="str">
        <x:v>主食</x:v>
      </x:c>
      <x:c r="C652" t="str">
        <x:v>土豆</x:v>
      </x:c>
      <x:c r="D652" t="n">
        <x:v>150</x:v>
      </x:c>
      <x:c r="E652" t="n">
        <x:v>160</x:v>
      </x:c>
      <x:c r="F652" s="10" t="str">
        <x:v>鲜薯/玉米净重；考虑小幅损耗</x:v>
      </x:c>
      <x:c r="G652" s="10" t="str">
        <x:v>蒸熟净重</x:v>
      </x:c>
    </x:row>
    <x:row r="653" ht="23" customHeight="1">
      <x:c r="A653" t="n">
        <x:v>17</x:v>
      </x:c>
      <x:c r="B653" t="str">
        <x:v>主食</x:v>
      </x:c>
      <x:c r="C653" t="str">
        <x:v>山药</x:v>
      </x:c>
      <x:c r="D653" t="n">
        <x:v>205</x:v>
      </x:c>
      <x:c r="E653" t="n">
        <x:v>230</x:v>
      </x:c>
      <x:c r="F653" s="10" t="str">
        <x:v>鲜薯/玉米净重；考虑小幅损耗</x:v>
      </x:c>
      <x:c r="G653" s="10" t="str">
        <x:v>蒸熟净重</x:v>
      </x:c>
    </x:row>
    <x:row r="654" ht="23" customHeight="1">
      <x:c r="A654" t="n">
        <x:v>17</x:v>
      </x:c>
      <x:c r="B654" t="str">
        <x:v>主食</x:v>
      </x:c>
      <x:c r="C654" t="str">
        <x:v>杂粮饭</x:v>
      </x:c>
      <x:c r="D654" t="n">
        <x:v>380</x:v>
      </x:c>
      <x:c r="E654" t="n">
        <x:v>150</x:v>
      </x:c>
      <x:c r="F654" s="10" t="str">
        <x:v>未煮干粮约重（按熟饭/生米≈2.6估算）</x:v>
      </x:c>
      <x:c r="G654" s="10" t="str">
        <x:v>熟重</x:v>
      </x:c>
    </x:row>
    <x:row r="655" ht="23" customHeight="1">
      <x:c r="A655" t="n">
        <x:v>17</x:v>
      </x:c>
      <x:c r="B655" t="str">
        <x:v>主食</x:v>
      </x:c>
      <x:c r="C655" t="str">
        <x:v>白米饭</x:v>
      </x:c>
      <x:c r="D655" t="n">
        <x:v>220</x:v>
      </x:c>
      <x:c r="E655" t="n">
        <x:v>80</x:v>
      </x:c>
      <x:c r="F655" s="10" t="str">
        <x:v>未煮干粮约重（按熟饭/生米≈2.6估算）</x:v>
      </x:c>
      <x:c r="G655" s="10" t="str">
        <x:v>熟重</x:v>
      </x:c>
    </x:row>
    <x:row r="656" ht="23" customHeight="1">
      <x:c r="A656" t="n">
        <x:v>17</x:v>
      </x:c>
      <x:c r="B656" t="str">
        <x:v>主食</x:v>
      </x:c>
      <x:c r="C656" t="str">
        <x:v>糙米饭</x:v>
      </x:c>
      <x:c r="D656" t="n">
        <x:v>260</x:v>
      </x:c>
      <x:c r="E656" t="n">
        <x:v>100</x:v>
      </x:c>
      <x:c r="F656" s="10" t="str">
        <x:v>未煮干粮约重（按熟饭/生米≈2.6估算）</x:v>
      </x:c>
      <x:c r="G656" s="10" t="str">
        <x:v>熟重</x:v>
      </x:c>
    </x:row>
    <x:row r="657" ht="23" customHeight="1">
      <x:c r="A657" t="n">
        <x:v>17</x:v>
      </x:c>
      <x:c r="B657" t="str">
        <x:v>主食</x:v>
      </x:c>
      <x:c r="C657" t="str">
        <x:v>红薯</x:v>
      </x:c>
      <x:c r="D657" t="n">
        <x:v>150</x:v>
      </x:c>
      <x:c r="E657" t="n">
        <x:v>160</x:v>
      </x:c>
      <x:c r="F657" s="10" t="str">
        <x:v>鲜薯/玉米净重；考虑小幅损耗</x:v>
      </x:c>
      <x:c r="G657" s="10" t="str">
        <x:v>蒸熟净重</x:v>
      </x:c>
    </x:row>
    <x:row r="658" ht="23" customHeight="1">
      <x:c r="A658" t="n">
        <x:v>17</x:v>
      </x:c>
      <x:c r="B658" t="str">
        <x:v>主食</x:v>
      </x:c>
      <x:c r="C658" t="str">
        <x:v>荞麦饭</x:v>
      </x:c>
      <x:c r="D658" t="n">
        <x:v>260</x:v>
      </x:c>
      <x:c r="E658" t="n">
        <x:v>100</x:v>
      </x:c>
      <x:c r="F658" s="10" t="str">
        <x:v>未煮干粮约重（按熟饭/生米≈2.6估算）</x:v>
      </x:c>
      <x:c r="G658" s="10" t="str">
        <x:v>熟重</x:v>
      </x:c>
    </x:row>
    <x:row r="659" ht="23" customHeight="1">
      <x:c r="A659" t="n">
        <x:v>17</x:v>
      </x:c>
      <x:c r="B659" t="str">
        <x:v>主食</x:v>
      </x:c>
      <x:c r="C659" t="str">
        <x:v>藜麦饭</x:v>
      </x:c>
      <x:c r="D659" t="n">
        <x:v>125</x:v>
      </x:c>
      <x:c r="E659" t="n">
        <x:v>50</x:v>
      </x:c>
      <x:c r="F659" s="10" t="str">
        <x:v>未煮干粮约重（按熟饭/生米≈2.6估算）</x:v>
      </x:c>
      <x:c r="G659" s="10" t="str">
        <x:v>熟重</x:v>
      </x:c>
    </x:row>
    <x:row r="660" ht="23" customHeight="1">
      <x:c r="A660" t="n">
        <x:v>17</x:v>
      </x:c>
      <x:c r="B660" t="str">
        <x:v>油脂</x:v>
      </x:c>
      <x:c r="C660" t="str">
        <x:v>烹调油</x:v>
      </x:c>
      <x:c r="D660" t="n">
        <x:v>62</x:v>
      </x:c>
      <x:c r="E660" t="n">
        <x:v>62</x:v>
      </x:c>
      <x:c r="F660" s="10" t="str">
        <x:v>食用油；现有库存足够即可</x:v>
      </x:c>
      <x:c r="G660" s="10" t="str">
        <x:v>实际用油重</x:v>
      </x:c>
    </x:row>
    <x:row r="661" ht="23" customHeight="1">
      <x:c r="A661" t="n">
        <x:v>17</x:v>
      </x:c>
      <x:c r="B661" t="str">
        <x:v>海鲜</x:v>
      </x:c>
      <x:c r="C661" t="str">
        <x:v>虾仁</x:v>
      </x:c>
      <x:c r="D661" t="n">
        <x:v>495</x:v>
      </x:c>
      <x:c r="E661" t="n">
        <x:v>530</x:v>
      </x:c>
      <x:c r="F661" s="10" t="str">
        <x:v>食材净重+约8%余量</x:v>
      </x:c>
      <x:c r="G661" s="10" t="str">
        <x:v>生重</x:v>
      </x:c>
    </x:row>
    <x:row r="662" ht="23" customHeight="1">
      <x:c r="A662" t="n">
        <x:v>17</x:v>
      </x:c>
      <x:c r="B662" t="str">
        <x:v>牛肉</x:v>
      </x:c>
      <x:c r="C662" t="str">
        <x:v>牛腱子</x:v>
      </x:c>
      <x:c r="D662" t="n">
        <x:v>355</x:v>
      </x:c>
      <x:c r="E662" t="n">
        <x:v>380</x:v>
      </x:c>
      <x:c r="F662" s="10" t="str">
        <x:v>食材净重+约8%余量</x:v>
      </x:c>
      <x:c r="G662" s="10" t="str">
        <x:v>生重</x:v>
      </x:c>
    </x:row>
    <x:row r="663" ht="23" customHeight="1">
      <x:c r="A663" t="n">
        <x:v>17</x:v>
      </x:c>
      <x:c r="B663" t="str">
        <x:v>猪肉</x:v>
      </x:c>
      <x:c r="C663" t="str">
        <x:v>猪里脊</x:v>
      </x:c>
      <x:c r="D663" t="n">
        <x:v>160</x:v>
      </x:c>
      <x:c r="E663" t="n">
        <x:v>170</x:v>
      </x:c>
      <x:c r="F663" s="10" t="str">
        <x:v>食材净重+约8%余量</x:v>
      </x:c>
      <x:c r="G663" s="10" t="str">
        <x:v>生重</x:v>
      </x:c>
    </x:row>
    <x:row r="664" ht="23" customHeight="1">
      <x:c r="A664" t="n">
        <x:v>17</x:v>
      </x:c>
      <x:c r="B664" t="str">
        <x:v>禽肉</x:v>
      </x:c>
      <x:c r="C664" t="str">
        <x:v>去皮鸡腿肉</x:v>
      </x:c>
      <x:c r="D664" t="n">
        <x:v>475</x:v>
      </x:c>
      <x:c r="E664" t="n">
        <x:v>510</x:v>
      </x:c>
      <x:c r="F664" s="10" t="str">
        <x:v>食材净重+约8%余量</x:v>
      </x:c>
      <x:c r="G664" s="10" t="str">
        <x:v>生重</x:v>
      </x:c>
    </x:row>
    <x:row r="665" ht="23" customHeight="1">
      <x:c r="A665" t="n">
        <x:v>17</x:v>
      </x:c>
      <x:c r="B665" t="str">
        <x:v>禽肉</x:v>
      </x:c>
      <x:c r="C665" t="str">
        <x:v>鸡里脊肉</x:v>
      </x:c>
      <x:c r="D665" t="n">
        <x:v>175</x:v>
      </x:c>
      <x:c r="E665" t="n">
        <x:v>190</x:v>
      </x:c>
      <x:c r="F665" s="10" t="str">
        <x:v>食材净重+约8%余量</x:v>
      </x:c>
      <x:c r="G665" s="10" t="str">
        <x:v>生重</x:v>
      </x:c>
    </x:row>
    <x:row r="666" ht="23" customHeight="1">
      <x:c r="A666" t="n">
        <x:v>17</x:v>
      </x:c>
      <x:c r="B666" t="str">
        <x:v>菌菇</x:v>
      </x:c>
      <x:c r="C666" t="str">
        <x:v>杏鲍菇</x:v>
      </x:c>
      <x:c r="D666" t="n">
        <x:v>295</x:v>
      </x:c>
      <x:c r="E666" t="n">
        <x:v>320</x:v>
      </x:c>
      <x:c r="F666" s="10" t="str">
        <x:v>食材净重+约8%余量</x:v>
      </x:c>
      <x:c r="G666" s="10" t="str">
        <x:v>生重</x:v>
      </x:c>
    </x:row>
    <x:row r="667" ht="23" customHeight="1">
      <x:c r="A667" t="n">
        <x:v>17</x:v>
      </x:c>
      <x:c r="B667" t="str">
        <x:v>菌菇</x:v>
      </x:c>
      <x:c r="C667" t="str">
        <x:v>香菇</x:v>
      </x:c>
      <x:c r="D667" t="n">
        <x:v>110</x:v>
      </x:c>
      <x:c r="E667" t="n">
        <x:v>120</x:v>
      </x:c>
      <x:c r="F667" s="10" t="str">
        <x:v>食材净重+约8%余量</x:v>
      </x:c>
      <x:c r="G667" s="10" t="str">
        <x:v>生重</x:v>
      </x:c>
    </x:row>
    <x:row r="668" ht="23" customHeight="1">
      <x:c r="A668" t="n">
        <x:v>17</x:v>
      </x:c>
      <x:c r="B668" t="str">
        <x:v>蔬菜</x:v>
      </x:c>
      <x:c r="C668" t="str">
        <x:v>冬瓜</x:v>
      </x:c>
      <x:c r="D668" t="n">
        <x:v>300</x:v>
      </x:c>
      <x:c r="E668" t="n">
        <x:v>320</x:v>
      </x:c>
      <x:c r="F668" s="10" t="str">
        <x:v>食材净重+约8%余量</x:v>
      </x:c>
      <x:c r="G668" s="10" t="str">
        <x:v>生重</x:v>
      </x:c>
    </x:row>
    <x:row r="669" ht="23" customHeight="1">
      <x:c r="A669" t="n">
        <x:v>17</x:v>
      </x:c>
      <x:c r="B669" t="str">
        <x:v>蔬菜</x:v>
      </x:c>
      <x:c r="C669" t="str">
        <x:v>大白菜</x:v>
      </x:c>
      <x:c r="D669" t="n">
        <x:v>175</x:v>
      </x:c>
      <x:c r="E669" t="n">
        <x:v>190</x:v>
      </x:c>
      <x:c r="F669" s="10" t="str">
        <x:v>食材净重+约8%余量</x:v>
      </x:c>
      <x:c r="G669" s="10" t="str">
        <x:v>生重</x:v>
      </x:c>
    </x:row>
    <x:row r="670" ht="23" customHeight="1">
      <x:c r="A670" t="n">
        <x:v>17</x:v>
      </x:c>
      <x:c r="B670" t="str">
        <x:v>蔬菜</x:v>
      </x:c>
      <x:c r="C670" t="str">
        <x:v>小白菜</x:v>
      </x:c>
      <x:c r="D670" t="n">
        <x:v>295</x:v>
      </x:c>
      <x:c r="E670" t="n">
        <x:v>320</x:v>
      </x:c>
      <x:c r="F670" s="10" t="str">
        <x:v>食材净重+约8%余量</x:v>
      </x:c>
      <x:c r="G670" s="10" t="str">
        <x:v>生重</x:v>
      </x:c>
    </x:row>
    <x:row r="671" ht="23" customHeight="1">
      <x:c r="A671" t="n">
        <x:v>17</x:v>
      </x:c>
      <x:c r="B671" t="str">
        <x:v>蔬菜</x:v>
      </x:c>
      <x:c r="C671" t="str">
        <x:v>彩椒</x:v>
      </x:c>
      <x:c r="D671" t="n">
        <x:v>265</x:v>
      </x:c>
      <x:c r="E671" t="n">
        <x:v>290</x:v>
      </x:c>
      <x:c r="F671" s="10" t="str">
        <x:v>食材净重+约8%余量</x:v>
      </x:c>
      <x:c r="G671" s="10" t="str">
        <x:v>生重</x:v>
      </x:c>
    </x:row>
    <x:row r="672" ht="23" customHeight="1">
      <x:c r="A672" t="n">
        <x:v>17</x:v>
      </x:c>
      <x:c r="B672" t="str">
        <x:v>蔬菜</x:v>
      </x:c>
      <x:c r="C672" t="str">
        <x:v>海带</x:v>
      </x:c>
      <x:c r="D672" t="n">
        <x:v>330</x:v>
      </x:c>
      <x:c r="E672" t="n">
        <x:v>360</x:v>
      </x:c>
      <x:c r="F672" s="10" t="str">
        <x:v>食材净重+约8%余量</x:v>
      </x:c>
      <x:c r="G672" s="10" t="str">
        <x:v>泡发沥水重</x:v>
      </x:c>
    </x:row>
    <x:row r="673" ht="23" customHeight="1">
      <x:c r="A673" t="n">
        <x:v>17</x:v>
      </x:c>
      <x:c r="B673" t="str">
        <x:v>蔬菜</x:v>
      </x:c>
      <x:c r="C673" t="str">
        <x:v>玉米笋</x:v>
      </x:c>
      <x:c r="D673" t="n">
        <x:v>140</x:v>
      </x:c>
      <x:c r="E673" t="n">
        <x:v>150</x:v>
      </x:c>
      <x:c r="F673" s="10" t="str">
        <x:v>食材净重+约8%余量</x:v>
      </x:c>
      <x:c r="G673" s="10" t="str">
        <x:v>生重</x:v>
      </x:c>
    </x:row>
    <x:row r="674" ht="23" customHeight="1">
      <x:c r="A674" t="n">
        <x:v>17</x:v>
      </x:c>
      <x:c r="B674" t="str">
        <x:v>蔬菜</x:v>
      </x:c>
      <x:c r="C674" t="str">
        <x:v>生菜</x:v>
      </x:c>
      <x:c r="D674" t="n">
        <x:v>350</x:v>
      </x:c>
      <x:c r="E674" t="n">
        <x:v>380</x:v>
      </x:c>
      <x:c r="F674" s="10" t="str">
        <x:v>食材净重+约8%余量</x:v>
      </x:c>
      <x:c r="G674" s="10" t="str">
        <x:v>生重</x:v>
      </x:c>
    </x:row>
    <x:row r="675" ht="23" customHeight="1">
      <x:c r="A675" t="n">
        <x:v>17</x:v>
      </x:c>
      <x:c r="B675" t="str">
        <x:v>蔬菜</x:v>
      </x:c>
      <x:c r="C675" t="str">
        <x:v>秋葵</x:v>
      </x:c>
      <x:c r="D675" t="n">
        <x:v>140</x:v>
      </x:c>
      <x:c r="E675" t="n">
        <x:v>150</x:v>
      </x:c>
      <x:c r="F675" s="10" t="str">
        <x:v>食材净重+约8%余量</x:v>
      </x:c>
      <x:c r="G675" s="10" t="str">
        <x:v>生重</x:v>
      </x:c>
    </x:row>
    <x:row r="676" ht="23" customHeight="1">
      <x:c r="A676" t="n">
        <x:v>17</x:v>
      </x:c>
      <x:c r="B676" t="str">
        <x:v>蔬菜</x:v>
      </x:c>
      <x:c r="C676" t="str">
        <x:v>竹笋</x:v>
      </x:c>
      <x:c r="D676" t="n">
        <x:v>160</x:v>
      </x:c>
      <x:c r="E676" t="n">
        <x:v>170</x:v>
      </x:c>
      <x:c r="F676" s="10" t="str">
        <x:v>食材净重+约8%余量</x:v>
      </x:c>
      <x:c r="G676" s="10" t="str">
        <x:v>生重</x:v>
      </x:c>
    </x:row>
    <x:row r="677" ht="23" customHeight="1">
      <x:c r="A677" t="n">
        <x:v>17</x:v>
      </x:c>
      <x:c r="B677" t="str">
        <x:v>蔬菜</x:v>
      </x:c>
      <x:c r="C677" t="str">
        <x:v>紫甘蓝</x:v>
      </x:c>
      <x:c r="D677" t="n">
        <x:v>160</x:v>
      </x:c>
      <x:c r="E677" t="n">
        <x:v>170</x:v>
      </x:c>
      <x:c r="F677" s="10" t="str">
        <x:v>食材净重+约8%余量</x:v>
      </x:c>
      <x:c r="G677" s="10" t="str">
        <x:v>生重</x:v>
      </x:c>
    </x:row>
    <x:row r="678" ht="23" customHeight="1">
      <x:c r="A678" t="n">
        <x:v>17</x:v>
      </x:c>
      <x:c r="B678" t="str">
        <x:v>蔬菜</x:v>
      </x:c>
      <x:c r="C678" t="str">
        <x:v>花菜</x:v>
      </x:c>
      <x:c r="D678" t="n">
        <x:v>110</x:v>
      </x:c>
      <x:c r="E678" t="n">
        <x:v>120</x:v>
      </x:c>
      <x:c r="F678" s="10" t="str">
        <x:v>食材净重+约8%余量</x:v>
      </x:c>
      <x:c r="G678" s="10" t="str">
        <x:v>生重</x:v>
      </x:c>
    </x:row>
    <x:row r="679" ht="23" customHeight="1">
      <x:c r="A679" t="n">
        <x:v>17</x:v>
      </x:c>
      <x:c r="B679" t="str">
        <x:v>蔬菜</x:v>
      </x:c>
      <x:c r="C679" t="str">
        <x:v>芹菜</x:v>
      </x:c>
      <x:c r="D679" t="n">
        <x:v>350</x:v>
      </x:c>
      <x:c r="E679" t="n">
        <x:v>380</x:v>
      </x:c>
      <x:c r="F679" s="10" t="str">
        <x:v>食材净重+约8%余量</x:v>
      </x:c>
      <x:c r="G679" s="10" t="str">
        <x:v>生重</x:v>
      </x:c>
    </x:row>
    <x:row r="680" ht="23" customHeight="1">
      <x:c r="A680" t="n">
        <x:v>17</x:v>
      </x:c>
      <x:c r="B680" t="str">
        <x:v>蔬菜</x:v>
      </x:c>
      <x:c r="C680" t="str">
        <x:v>茼蒿</x:v>
      </x:c>
      <x:c r="D680" t="n">
        <x:v>190</x:v>
      </x:c>
      <x:c r="E680" t="n">
        <x:v>210</x:v>
      </x:c>
      <x:c r="F680" s="10" t="str">
        <x:v>食材净重+约8%余量</x:v>
      </x:c>
      <x:c r="G680" s="10" t="str">
        <x:v>生重</x:v>
      </x:c>
    </x:row>
    <x:row r="681" ht="23" customHeight="1">
      <x:c r="A681" t="n">
        <x:v>17</x:v>
      </x:c>
      <x:c r="B681" t="str">
        <x:v>蔬菜</x:v>
      </x:c>
      <x:c r="C681" t="str">
        <x:v>荷兰豆</x:v>
      </x:c>
      <x:c r="D681" t="n">
        <x:v>125</x:v>
      </x:c>
      <x:c r="E681" t="n">
        <x:v>140</x:v>
      </x:c>
      <x:c r="F681" s="10" t="str">
        <x:v>食材净重+约8%余量</x:v>
      </x:c>
      <x:c r="G681" s="10" t="str">
        <x:v>生重</x:v>
      </x:c>
    </x:row>
    <x:row r="682" ht="23" customHeight="1">
      <x:c r="A682" t="n">
        <x:v>17</x:v>
      </x:c>
      <x:c r="B682" t="str">
        <x:v>蔬菜</x:v>
      </x:c>
      <x:c r="C682" t="str">
        <x:v>莴笋</x:v>
      </x:c>
      <x:c r="D682" t="n">
        <x:v>160</x:v>
      </x:c>
      <x:c r="E682" t="n">
        <x:v>170</x:v>
      </x:c>
      <x:c r="F682" s="10" t="str">
        <x:v>食材净重+约8%余量</x:v>
      </x:c>
      <x:c r="G682" s="10" t="str">
        <x:v>生重</x:v>
      </x:c>
    </x:row>
    <x:row r="683" ht="23" customHeight="1">
      <x:c r="A683" t="n">
        <x:v>17</x:v>
      </x:c>
      <x:c r="B683" t="str">
        <x:v>蔬菜</x:v>
      </x:c>
      <x:c r="C683" t="str">
        <x:v>菠菜</x:v>
      </x:c>
      <x:c r="D683" t="n">
        <x:v>190</x:v>
      </x:c>
      <x:c r="E683" t="n">
        <x:v>210</x:v>
      </x:c>
      <x:c r="F683" s="10" t="str">
        <x:v>食材净重+约8%余量</x:v>
      </x:c>
      <x:c r="G683" s="10" t="str">
        <x:v>生重</x:v>
      </x:c>
    </x:row>
    <x:row r="684" ht="23" customHeight="1">
      <x:c r="A684" t="n">
        <x:v>17</x:v>
      </x:c>
      <x:c r="B684" t="str">
        <x:v>蔬菜</x:v>
      </x:c>
      <x:c r="C684" t="str">
        <x:v>西兰花</x:v>
      </x:c>
      <x:c r="D684" t="n">
        <x:v>160</x:v>
      </x:c>
      <x:c r="E684" t="n">
        <x:v>170</x:v>
      </x:c>
      <x:c r="F684" s="10" t="str">
        <x:v>食材净重+约8%余量</x:v>
      </x:c>
      <x:c r="G684" s="10" t="str">
        <x:v>生重</x:v>
      </x:c>
    </x:row>
    <x:row r="685" ht="23" customHeight="1">
      <x:c r="A685" t="n">
        <x:v>17</x:v>
      </x:c>
      <x:c r="B685" t="str">
        <x:v>蔬菜</x:v>
      </x:c>
      <x:c r="C685" t="str">
        <x:v>黄瓜</x:v>
      </x:c>
      <x:c r="D685" t="n">
        <x:v>140</x:v>
      </x:c>
      <x:c r="E685" t="n">
        <x:v>150</x:v>
      </x:c>
      <x:c r="F685" s="10" t="str">
        <x:v>食材净重+约8%余量</x:v>
      </x:c>
      <x:c r="G685" s="10" t="str">
        <x:v>生重</x:v>
      </x:c>
    </x:row>
    <x:row r="686" ht="23" customHeight="1">
      <x:c r="A686" t="n">
        <x:v>17</x:v>
      </x:c>
      <x:c r="B686" t="str">
        <x:v>豆蛋</x:v>
      </x:c>
      <x:c r="C686" t="str">
        <x:v>嫩豆腐</x:v>
      </x:c>
      <x:c r="D686" t="n">
        <x:v>435</x:v>
      </x:c>
      <x:c r="E686" t="n">
        <x:v>470</x:v>
      </x:c>
      <x:c r="F686" s="10" t="str">
        <x:v>食材净重+约8%余量</x:v>
      </x:c>
      <x:c r="G686" s="10" t="str">
        <x:v>净重</x:v>
      </x:c>
    </x:row>
    <x:row r="687" ht="23" customHeight="1">
      <x:c r="A687" t="n">
        <x:v>17</x:v>
      </x:c>
      <x:c r="B687" t="str">
        <x:v>豆蛋</x:v>
      </x:c>
      <x:c r="C687" t="str">
        <x:v>熟毛豆仁</x:v>
      </x:c>
      <x:c r="D687" t="n">
        <x:v>100</x:v>
      </x:c>
      <x:c r="E687" t="n">
        <x:v>110</x:v>
      </x:c>
      <x:c r="F687" s="10" t="str">
        <x:v>食材净重+约8%余量</x:v>
      </x:c>
      <x:c r="G687" s="10" t="str">
        <x:v>熟重</x:v>
      </x:c>
    </x:row>
    <x:row r="688" ht="23" customHeight="1">
      <x:c r="A688" t="n">
        <x:v>17</x:v>
      </x:c>
      <x:c r="B688" t="str">
        <x:v>鱼类</x:v>
      </x:c>
      <x:c r="C688" t="str">
        <x:v>巴沙鱼</x:v>
      </x:c>
      <x:c r="D688" t="n">
        <x:v>175</x:v>
      </x:c>
      <x:c r="E688" t="n">
        <x:v>190</x:v>
      </x:c>
      <x:c r="F688" s="10" t="str">
        <x:v>食材净重+约8%余量</x:v>
      </x:c>
      <x:c r="G688" s="10" t="str">
        <x:v>净鱼肉生重</x:v>
      </x:c>
    </x:row>
    <x:row r="689" ht="23" customHeight="1">
      <x:c r="A689" t="n">
        <x:v>17</x:v>
      </x:c>
      <x:c r="B689" t="str">
        <x:v>鱼类</x:v>
      </x:c>
      <x:c r="C689" t="str">
        <x:v>鲈鱼</x:v>
      </x:c>
      <x:c r="D689" t="n">
        <x:v>390</x:v>
      </x:c>
      <x:c r="E689" t="n">
        <x:v>420</x:v>
      </x:c>
      <x:c r="F689" s="10" t="str">
        <x:v>食材净重+约8%余量；带壳或带骨采购需另折算</x:v>
      </x:c>
      <x:c r="G689" s="10" t="str">
        <x:v>净鱼肉生重</x:v>
      </x:c>
    </x:row>
    <x:row r="690" ht="23" customHeight="1">
      <x:c r="A690" t="n">
        <x:v>18</x:v>
      </x:c>
      <x:c r="B690" t="str">
        <x:v>主食</x:v>
      </x:c>
      <x:c r="C690" t="str">
        <x:v>杂粮饭</x:v>
      </x:c>
      <x:c r="D690" t="n">
        <x:v>370</x:v>
      </x:c>
      <x:c r="E690" t="n">
        <x:v>140</x:v>
      </x:c>
      <x:c r="F690" s="10" t="str">
        <x:v>未煮干粮约重（按熟饭/生米≈2.6估算）</x:v>
      </x:c>
      <x:c r="G690" s="10" t="str">
        <x:v>熟重</x:v>
      </x:c>
    </x:row>
    <x:row r="691" ht="23" customHeight="1">
      <x:c r="A691" t="n">
        <x:v>18</x:v>
      </x:c>
      <x:c r="B691" t="str">
        <x:v>主食</x:v>
      </x:c>
      <x:c r="C691" t="str">
        <x:v>燕麦饭</x:v>
      </x:c>
      <x:c r="D691" t="n">
        <x:v>135</x:v>
      </x:c>
      <x:c r="E691" t="n">
        <x:v>50</x:v>
      </x:c>
      <x:c r="F691" s="10" t="str">
        <x:v>未煮干粮约重（按熟饭/生米≈2.6估算）</x:v>
      </x:c>
      <x:c r="G691" s="10" t="str">
        <x:v>熟重</x:v>
      </x:c>
    </x:row>
    <x:row r="692" ht="23" customHeight="1">
      <x:c r="A692" t="n">
        <x:v>18</x:v>
      </x:c>
      <x:c r="B692" t="str">
        <x:v>主食</x:v>
      </x:c>
      <x:c r="C692" t="str">
        <x:v>玉米</x:v>
      </x:c>
      <x:c r="D692" t="n">
        <x:v>95</x:v>
      </x:c>
      <x:c r="E692" t="n">
        <x:v>100</x:v>
      </x:c>
      <x:c r="F692" s="10" t="str">
        <x:v>鲜薯/玉米净重；考虑小幅损耗</x:v>
      </x:c>
      <x:c r="G692" s="10" t="str">
        <x:v>蒸熟净重</x:v>
      </x:c>
    </x:row>
    <x:row r="693" ht="23" customHeight="1">
      <x:c r="A693" t="n">
        <x:v>18</x:v>
      </x:c>
      <x:c r="B693" t="str">
        <x:v>主食</x:v>
      </x:c>
      <x:c r="C693" t="str">
        <x:v>白米饭</x:v>
      </x:c>
      <x:c r="D693" t="n">
        <x:v>80</x:v>
      </x:c>
      <x:c r="E693" t="n">
        <x:v>30</x:v>
      </x:c>
      <x:c r="F693" s="10" t="str">
        <x:v>未煮干粮约重（按熟饭/生米≈2.6估算）</x:v>
      </x:c>
      <x:c r="G693" s="10" t="str">
        <x:v>熟重</x:v>
      </x:c>
    </x:row>
    <x:row r="694" ht="23" customHeight="1">
      <x:c r="A694" t="n">
        <x:v>18</x:v>
      </x:c>
      <x:c r="B694" t="str">
        <x:v>主食</x:v>
      </x:c>
      <x:c r="C694" t="str">
        <x:v>糙米饭</x:v>
      </x:c>
      <x:c r="D694" t="n">
        <x:v>275</x:v>
      </x:c>
      <x:c r="E694" t="n">
        <x:v>110</x:v>
      </x:c>
      <x:c r="F694" s="10" t="str">
        <x:v>未煮干粮约重（按熟饭/生米≈2.6估算）</x:v>
      </x:c>
      <x:c r="G694" s="10" t="str">
        <x:v>熟重</x:v>
      </x:c>
    </x:row>
    <x:row r="695" ht="23" customHeight="1">
      <x:c r="A695" t="n">
        <x:v>18</x:v>
      </x:c>
      <x:c r="B695" t="str">
        <x:v>主食</x:v>
      </x:c>
      <x:c r="C695" t="str">
        <x:v>红薯</x:v>
      </x:c>
      <x:c r="D695" t="n">
        <x:v>135</x:v>
      </x:c>
      <x:c r="E695" t="n">
        <x:v>150</x:v>
      </x:c>
      <x:c r="F695" s="10" t="str">
        <x:v>鲜薯/玉米净重；考虑小幅损耗</x:v>
      </x:c>
      <x:c r="G695" s="10" t="str">
        <x:v>蒸熟净重</x:v>
      </x:c>
    </x:row>
    <x:row r="696" ht="23" customHeight="1">
      <x:c r="A696" t="n">
        <x:v>18</x:v>
      </x:c>
      <x:c r="B696" t="str">
        <x:v>主食</x:v>
      </x:c>
      <x:c r="C696" t="str">
        <x:v>荞麦面</x:v>
      </x:c>
      <x:c r="D696" t="n">
        <x:v>300</x:v>
      </x:c>
      <x:c r="E696" t="n">
        <x:v>140</x:v>
      </x:c>
      <x:c r="F696" s="10" t="str">
        <x:v>干粮约重（按熟面/干面≈2.1估算）</x:v>
      </x:c>
      <x:c r="G696" s="10" t="str">
        <x:v>煮熟沥水重</x:v>
      </x:c>
    </x:row>
    <x:row r="697" ht="23" customHeight="1">
      <x:c r="A697" t="n">
        <x:v>18</x:v>
      </x:c>
      <x:c r="B697" t="str">
        <x:v>主食</x:v>
      </x:c>
      <x:c r="C697" t="str">
        <x:v>荞麦饭</x:v>
      </x:c>
      <x:c r="D697" t="n">
        <x:v>285</x:v>
      </x:c>
      <x:c r="E697" t="n">
        <x:v>110</x:v>
      </x:c>
      <x:c r="F697" s="10" t="str">
        <x:v>未煮干粮约重（按熟饭/生米≈2.6估算）</x:v>
      </x:c>
      <x:c r="G697" s="10" t="str">
        <x:v>熟重</x:v>
      </x:c>
    </x:row>
    <x:row r="698" ht="23" customHeight="1">
      <x:c r="A698" t="n">
        <x:v>18</x:v>
      </x:c>
      <x:c r="B698" t="str">
        <x:v>主食</x:v>
      </x:c>
      <x:c r="C698" t="str">
        <x:v>藜麦饭</x:v>
      </x:c>
      <x:c r="D698" t="n">
        <x:v>110</x:v>
      </x:c>
      <x:c r="E698" t="n">
        <x:v>40</x:v>
      </x:c>
      <x:c r="F698" s="10" t="str">
        <x:v>未煮干粮约重（按熟饭/生米≈2.6估算）</x:v>
      </x:c>
      <x:c r="G698" s="10" t="str">
        <x:v>熟重</x:v>
      </x:c>
    </x:row>
    <x:row r="699" ht="23" customHeight="1">
      <x:c r="A699" t="n">
        <x:v>18</x:v>
      </x:c>
      <x:c r="B699" t="str">
        <x:v>油脂</x:v>
      </x:c>
      <x:c r="C699" t="str">
        <x:v>烹调油</x:v>
      </x:c>
      <x:c r="D699" t="n">
        <x:v>70</x:v>
      </x:c>
      <x:c r="E699" t="n">
        <x:v>70</x:v>
      </x:c>
      <x:c r="F699" s="10" t="str">
        <x:v>食用油；现有库存足够即可</x:v>
      </x:c>
      <x:c r="G699" s="10" t="str">
        <x:v>实际用油重</x:v>
      </x:c>
    </x:row>
    <x:row r="700" ht="23" customHeight="1">
      <x:c r="A700" t="n">
        <x:v>18</x:v>
      </x:c>
      <x:c r="B700" t="str">
        <x:v>海鲜</x:v>
      </x:c>
      <x:c r="C700" t="str">
        <x:v>虾仁</x:v>
      </x:c>
      <x:c r="D700" t="n">
        <x:v>240</x:v>
      </x:c>
      <x:c r="E700" t="n">
        <x:v>260</x:v>
      </x:c>
      <x:c r="F700" s="10" t="str">
        <x:v>食材净重+约8%余量</x:v>
      </x:c>
      <x:c r="G700" s="10" t="str">
        <x:v>生重</x:v>
      </x:c>
    </x:row>
    <x:row r="701" ht="23" customHeight="1">
      <x:c r="A701" t="n">
        <x:v>18</x:v>
      </x:c>
      <x:c r="B701" t="str">
        <x:v>牛肉</x:v>
      </x:c>
      <x:c r="C701" t="str">
        <x:v>牛腱子</x:v>
      </x:c>
      <x:c r="D701" t="n">
        <x:v>180</x:v>
      </x:c>
      <x:c r="E701" t="n">
        <x:v>190</x:v>
      </x:c>
      <x:c r="F701" s="10" t="str">
        <x:v>食材净重+约8%余量</x:v>
      </x:c>
      <x:c r="G701" s="10" t="str">
        <x:v>生重</x:v>
      </x:c>
    </x:row>
    <x:row r="702" ht="23" customHeight="1">
      <x:c r="A702" t="n">
        <x:v>18</x:v>
      </x:c>
      <x:c r="B702" t="str">
        <x:v>牛肉</x:v>
      </x:c>
      <x:c r="C702" t="str">
        <x:v>牛里脊</x:v>
      </x:c>
      <x:c r="D702" t="n">
        <x:v>145</x:v>
      </x:c>
      <x:c r="E702" t="n">
        <x:v>160</x:v>
      </x:c>
      <x:c r="F702" s="10" t="str">
        <x:v>食材净重+约8%余量</x:v>
      </x:c>
      <x:c r="G702" s="10" t="str">
        <x:v>生重</x:v>
      </x:c>
    </x:row>
    <x:row r="703" ht="23" customHeight="1">
      <x:c r="A703" t="n">
        <x:v>18</x:v>
      </x:c>
      <x:c r="B703" t="str">
        <x:v>牛肉</x:v>
      </x:c>
      <x:c r="C703" t="str">
        <x:v>瘦牛肉</x:v>
      </x:c>
      <x:c r="D703" t="n">
        <x:v>180</x:v>
      </x:c>
      <x:c r="E703" t="n">
        <x:v>190</x:v>
      </x:c>
      <x:c r="F703" s="10" t="str">
        <x:v>食材净重+约8%余量</x:v>
      </x:c>
      <x:c r="G703" s="10" t="str">
        <x:v>生重</x:v>
      </x:c>
    </x:row>
    <x:row r="704" ht="23" customHeight="1">
      <x:c r="A704" t="n">
        <x:v>18</x:v>
      </x:c>
      <x:c r="B704" t="str">
        <x:v>猪肉</x:v>
      </x:c>
      <x:c r="C704" t="str">
        <x:v>猪里脊</x:v>
      </x:c>
      <x:c r="D704" t="n">
        <x:v>155</x:v>
      </x:c>
      <x:c r="E704" t="n">
        <x:v>170</x:v>
      </x:c>
      <x:c r="F704" s="10" t="str">
        <x:v>食材净重+约8%余量</x:v>
      </x:c>
      <x:c r="G704" s="10" t="str">
        <x:v>生重</x:v>
      </x:c>
    </x:row>
    <x:row r="705" ht="23" customHeight="1">
      <x:c r="A705" t="n">
        <x:v>18</x:v>
      </x:c>
      <x:c r="B705" t="str">
        <x:v>菌菇</x:v>
      </x:c>
      <x:c r="C705" t="str">
        <x:v>口蘑</x:v>
      </x:c>
      <x:c r="D705" t="n">
        <x:v>110</x:v>
      </x:c>
      <x:c r="E705" t="n">
        <x:v>120</x:v>
      </x:c>
      <x:c r="F705" s="10" t="str">
        <x:v>食材净重+约8%余量</x:v>
      </x:c>
      <x:c r="G705" s="10" t="str">
        <x:v>生重</x:v>
      </x:c>
    </x:row>
    <x:row r="706" ht="23" customHeight="1">
      <x:c r="A706" t="n">
        <x:v>18</x:v>
      </x:c>
      <x:c r="B706" t="str">
        <x:v>菌菇</x:v>
      </x:c>
      <x:c r="C706" t="str">
        <x:v>泡发木耳</x:v>
      </x:c>
      <x:c r="D706" t="n">
        <x:v>155</x:v>
      </x:c>
      <x:c r="E706" t="n">
        <x:v>170</x:v>
      </x:c>
      <x:c r="F706" s="10" t="str">
        <x:v>食材净重+约8%余量</x:v>
      </x:c>
      <x:c r="G706" s="10" t="str">
        <x:v>泡发沥水重</x:v>
      </x:c>
    </x:row>
    <x:row r="707" ht="23" customHeight="1">
      <x:c r="A707" t="n">
        <x:v>18</x:v>
      </x:c>
      <x:c r="B707" t="str">
        <x:v>菌菇</x:v>
      </x:c>
      <x:c r="C707" t="str">
        <x:v>金针菇</x:v>
      </x:c>
      <x:c r="D707" t="n">
        <x:v>250</x:v>
      </x:c>
      <x:c r="E707" t="n">
        <x:v>270</x:v>
      </x:c>
      <x:c r="F707" s="10" t="str">
        <x:v>食材净重+约8%余量</x:v>
      </x:c>
      <x:c r="G707" s="10" t="str">
        <x:v>生重</x:v>
      </x:c>
    </x:row>
    <x:row r="708" ht="23" customHeight="1">
      <x:c r="A708" t="n">
        <x:v>18</x:v>
      </x:c>
      <x:c r="B708" t="str">
        <x:v>菌菇</x:v>
      </x:c>
      <x:c r="C708" t="str">
        <x:v>香菇</x:v>
      </x:c>
      <x:c r="D708" t="n">
        <x:v>155</x:v>
      </x:c>
      <x:c r="E708" t="n">
        <x:v>170</x:v>
      </x:c>
      <x:c r="F708" s="10" t="str">
        <x:v>食材净重+约8%余量</x:v>
      </x:c>
      <x:c r="G708" s="10" t="str">
        <x:v>生重</x:v>
      </x:c>
    </x:row>
    <x:row r="709" ht="23" customHeight="1">
      <x:c r="A709" t="n">
        <x:v>18</x:v>
      </x:c>
      <x:c r="B709" t="str">
        <x:v>蔬菜</x:v>
      </x:c>
      <x:c r="C709" t="str">
        <x:v>四季豆</x:v>
      </x:c>
      <x:c r="D709" t="n">
        <x:v>190</x:v>
      </x:c>
      <x:c r="E709" t="n">
        <x:v>210</x:v>
      </x:c>
      <x:c r="F709" s="10" t="str">
        <x:v>食材净重+约8%余量</x:v>
      </x:c>
      <x:c r="G709" s="10" t="str">
        <x:v>生重</x:v>
      </x:c>
    </x:row>
    <x:row r="710" ht="23" customHeight="1">
      <x:c r="A710" t="n">
        <x:v>18</x:v>
      </x:c>
      <x:c r="B710" t="str">
        <x:v>蔬菜</x:v>
      </x:c>
      <x:c r="C710" t="str">
        <x:v>大白菜</x:v>
      </x:c>
      <x:c r="D710" t="n">
        <x:v>160</x:v>
      </x:c>
      <x:c r="E710" t="n">
        <x:v>170</x:v>
      </x:c>
      <x:c r="F710" s="10" t="str">
        <x:v>食材净重+约8%余量</x:v>
      </x:c>
      <x:c r="G710" s="10" t="str">
        <x:v>生重</x:v>
      </x:c>
    </x:row>
    <x:row r="711" ht="23" customHeight="1">
      <x:c r="A711" t="n">
        <x:v>18</x:v>
      </x:c>
      <x:c r="B711" t="str">
        <x:v>蔬菜</x:v>
      </x:c>
      <x:c r="C711" t="str">
        <x:v>娃娃菜</x:v>
      </x:c>
      <x:c r="D711" t="n">
        <x:v>160</x:v>
      </x:c>
      <x:c r="E711" t="n">
        <x:v>170</x:v>
      </x:c>
      <x:c r="F711" s="10" t="str">
        <x:v>食材净重+约8%余量</x:v>
      </x:c>
      <x:c r="G711" s="10" t="str">
        <x:v>生重</x:v>
      </x:c>
    </x:row>
    <x:row r="712" ht="23" customHeight="1">
      <x:c r="A712" t="n">
        <x:v>18</x:v>
      </x:c>
      <x:c r="B712" t="str">
        <x:v>蔬菜</x:v>
      </x:c>
      <x:c r="C712" t="str">
        <x:v>小白菜</x:v>
      </x:c>
      <x:c r="D712" t="n">
        <x:v>125</x:v>
      </x:c>
      <x:c r="E712" t="n">
        <x:v>140</x:v>
      </x:c>
      <x:c r="F712" s="10" t="str">
        <x:v>食材净重+约8%余量</x:v>
      </x:c>
      <x:c r="G712" s="10" t="str">
        <x:v>生重</x:v>
      </x:c>
    </x:row>
    <x:row r="713" ht="23" customHeight="1">
      <x:c r="A713" t="n">
        <x:v>18</x:v>
      </x:c>
      <x:c r="B713" t="str">
        <x:v>蔬菜</x:v>
      </x:c>
      <x:c r="C713" t="str">
        <x:v>玉米笋</x:v>
      </x:c>
      <x:c r="D713" t="n">
        <x:v>140</x:v>
      </x:c>
      <x:c r="E713" t="n">
        <x:v>150</x:v>
      </x:c>
      <x:c r="F713" s="10" t="str">
        <x:v>食材净重+约8%余量</x:v>
      </x:c>
      <x:c r="G713" s="10" t="str">
        <x:v>生重</x:v>
      </x:c>
    </x:row>
    <x:row r="714" ht="23" customHeight="1">
      <x:c r="A714" t="n">
        <x:v>18</x:v>
      </x:c>
      <x:c r="B714" t="str">
        <x:v>蔬菜</x:v>
      </x:c>
      <x:c r="C714" t="str">
        <x:v>生菜</x:v>
      </x:c>
      <x:c r="D714" t="n">
        <x:v>335</x:v>
      </x:c>
      <x:c r="E714" t="n">
        <x:v>360</x:v>
      </x:c>
      <x:c r="F714" s="10" t="str">
        <x:v>食材净重+约8%余量</x:v>
      </x:c>
      <x:c r="G714" s="10" t="str">
        <x:v>生重</x:v>
      </x:c>
    </x:row>
    <x:row r="715" ht="23" customHeight="1">
      <x:c r="A715" t="n">
        <x:v>18</x:v>
      </x:c>
      <x:c r="B715" t="str">
        <x:v>蔬菜</x:v>
      </x:c>
      <x:c r="C715" t="str">
        <x:v>番茄</x:v>
      </x:c>
      <x:c r="D715" t="n">
        <x:v>365</x:v>
      </x:c>
      <x:c r="E715" t="n">
        <x:v>390</x:v>
      </x:c>
      <x:c r="F715" s="10" t="str">
        <x:v>食材净重+约8%余量</x:v>
      </x:c>
      <x:c r="G715" s="10" t="str">
        <x:v>生重</x:v>
      </x:c>
    </x:row>
    <x:row r="716" ht="23" customHeight="1">
      <x:c r="A716" t="n">
        <x:v>18</x:v>
      </x:c>
      <x:c r="B716" t="str">
        <x:v>蔬菜</x:v>
      </x:c>
      <x:c r="C716" t="str">
        <x:v>白萝卜</x:v>
      </x:c>
      <x:c r="D716" t="n">
        <x:v>330</x:v>
      </x:c>
      <x:c r="E716" t="n">
        <x:v>360</x:v>
      </x:c>
      <x:c r="F716" s="10" t="str">
        <x:v>食材净重+约8%余量</x:v>
      </x:c>
      <x:c r="G716" s="10" t="str">
        <x:v>生重</x:v>
      </x:c>
    </x:row>
    <x:row r="717" ht="23" customHeight="1">
      <x:c r="A717" t="n">
        <x:v>18</x:v>
      </x:c>
      <x:c r="B717" t="str">
        <x:v>蔬菜</x:v>
      </x:c>
      <x:c r="C717" t="str">
        <x:v>秋葵</x:v>
      </x:c>
      <x:c r="D717" t="n">
        <x:v>140</x:v>
      </x:c>
      <x:c r="E717" t="n">
        <x:v>150</x:v>
      </x:c>
      <x:c r="F717" s="10" t="str">
        <x:v>食材净重+约8%余量</x:v>
      </x:c>
      <x:c r="G717" s="10" t="str">
        <x:v>生重</x:v>
      </x:c>
    </x:row>
    <x:row r="718" ht="23" customHeight="1">
      <x:c r="A718" t="n">
        <x:v>18</x:v>
      </x:c>
      <x:c r="B718" t="str">
        <x:v>蔬菜</x:v>
      </x:c>
      <x:c r="C718" t="str">
        <x:v>紫甘蓝</x:v>
      </x:c>
      <x:c r="D718" t="n">
        <x:v>315</x:v>
      </x:c>
      <x:c r="E718" t="n">
        <x:v>340</x:v>
      </x:c>
      <x:c r="F718" s="10" t="str">
        <x:v>食材净重+约8%余量</x:v>
      </x:c>
      <x:c r="G718" s="10" t="str">
        <x:v>生重</x:v>
      </x:c>
    </x:row>
    <x:row r="719" ht="23" customHeight="1">
      <x:c r="A719" t="n">
        <x:v>18</x:v>
      </x:c>
      <x:c r="B719" t="str">
        <x:v>蔬菜</x:v>
      </x:c>
      <x:c r="C719" t="str">
        <x:v>芦笋</x:v>
      </x:c>
      <x:c r="D719" t="n">
        <x:v>330</x:v>
      </x:c>
      <x:c r="E719" t="n">
        <x:v>360</x:v>
      </x:c>
      <x:c r="F719" s="10" t="str">
        <x:v>食材净重+约8%余量</x:v>
      </x:c>
      <x:c r="G719" s="10" t="str">
        <x:v>生重</x:v>
      </x:c>
    </x:row>
    <x:row r="720" ht="23" customHeight="1">
      <x:c r="A720" t="n">
        <x:v>18</x:v>
      </x:c>
      <x:c r="B720" t="str">
        <x:v>蔬菜</x:v>
      </x:c>
      <x:c r="C720" t="str">
        <x:v>花菜</x:v>
      </x:c>
      <x:c r="D720" t="n">
        <x:v>295</x:v>
      </x:c>
      <x:c r="E720" t="n">
        <x:v>320</x:v>
      </x:c>
      <x:c r="F720" s="10" t="str">
        <x:v>食材净重+约8%余量</x:v>
      </x:c>
      <x:c r="G720" s="10" t="str">
        <x:v>生重</x:v>
      </x:c>
    </x:row>
    <x:row r="721" ht="23" customHeight="1">
      <x:c r="A721" t="n">
        <x:v>18</x:v>
      </x:c>
      <x:c r="B721" t="str">
        <x:v>蔬菜</x:v>
      </x:c>
      <x:c r="C721" t="str">
        <x:v>莴笋</x:v>
      </x:c>
      <x:c r="D721" t="n">
        <x:v>280</x:v>
      </x:c>
      <x:c r="E721" t="n">
        <x:v>300</x:v>
      </x:c>
      <x:c r="F721" s="10" t="str">
        <x:v>食材净重+约8%余量</x:v>
      </x:c>
      <x:c r="G721" s="10" t="str">
        <x:v>生重</x:v>
      </x:c>
    </x:row>
    <x:row r="722" ht="23" customHeight="1">
      <x:c r="A722" t="n">
        <x:v>18</x:v>
      </x:c>
      <x:c r="B722" t="str">
        <x:v>蔬菜</x:v>
      </x:c>
      <x:c r="C722" t="str">
        <x:v>菜心</x:v>
      </x:c>
      <x:c r="D722" t="n">
        <x:v>125</x:v>
      </x:c>
      <x:c r="E722" t="n">
        <x:v>140</x:v>
      </x:c>
      <x:c r="F722" s="10" t="str">
        <x:v>食材净重+约8%余量</x:v>
      </x:c>
      <x:c r="G722" s="10" t="str">
        <x:v>生重</x:v>
      </x:c>
    </x:row>
    <x:row r="723" ht="23" customHeight="1">
      <x:c r="A723" t="n">
        <x:v>18</x:v>
      </x:c>
      <x:c r="B723" t="str">
        <x:v>蔬菜</x:v>
      </x:c>
      <x:c r="C723" t="str">
        <x:v>西兰花</x:v>
      </x:c>
      <x:c r="D723" t="n">
        <x:v>140</x:v>
      </x:c>
      <x:c r="E723" t="n">
        <x:v>150</x:v>
      </x:c>
      <x:c r="F723" s="10" t="str">
        <x:v>食材净重+约8%余量</x:v>
      </x:c>
      <x:c r="G723" s="10" t="str">
        <x:v>生重</x:v>
      </x:c>
    </x:row>
    <x:row r="724" ht="23" customHeight="1">
      <x:c r="A724" t="n">
        <x:v>18</x:v>
      </x:c>
      <x:c r="B724" t="str">
        <x:v>蔬菜</x:v>
      </x:c>
      <x:c r="C724" t="str">
        <x:v>黄瓜</x:v>
      </x:c>
      <x:c r="D724" t="n">
        <x:v>155</x:v>
      </x:c>
      <x:c r="E724" t="n">
        <x:v>170</x:v>
      </x:c>
      <x:c r="F724" s="10" t="str">
        <x:v>食材净重+约8%余量</x:v>
      </x:c>
      <x:c r="G724" s="10" t="str">
        <x:v>生重</x:v>
      </x:c>
    </x:row>
    <x:row r="725" ht="23" customHeight="1">
      <x:c r="A725" t="n">
        <x:v>18</x:v>
      </x:c>
      <x:c r="B725" t="str">
        <x:v>豆蛋</x:v>
      </x:c>
      <x:c r="C725" t="str">
        <x:v>北豆腐</x:v>
      </x:c>
      <x:c r="D725" t="n">
        <x:v>890</x:v>
      </x:c>
      <x:c r="E725" t="n">
        <x:v>960</x:v>
      </x:c>
      <x:c r="F725" s="10" t="str">
        <x:v>食材净重+约8%余量</x:v>
      </x:c>
      <x:c r="G725" s="10" t="str">
        <x:v>净重</x:v>
      </x:c>
    </x:row>
    <x:row r="726" ht="23" customHeight="1">
      <x:c r="A726" t="n">
        <x:v>18</x:v>
      </x:c>
      <x:c r="B726" t="str">
        <x:v>豆蛋</x:v>
      </x:c>
      <x:c r="C726" t="str">
        <x:v>嫩豆腐</x:v>
      </x:c>
      <x:c r="D726" t="n">
        <x:v>160</x:v>
      </x:c>
      <x:c r="E726" t="n">
        <x:v>170</x:v>
      </x:c>
      <x:c r="F726" s="10" t="str">
        <x:v>食材净重+约8%余量</x:v>
      </x:c>
      <x:c r="G726" s="10" t="str">
        <x:v>净重</x:v>
      </x:c>
    </x:row>
    <x:row r="727" ht="23" customHeight="1">
      <x:c r="A727" t="n">
        <x:v>18</x:v>
      </x:c>
      <x:c r="B727" t="str">
        <x:v>豆蛋</x:v>
      </x:c>
      <x:c r="C727" t="str">
        <x:v>熟毛豆仁</x:v>
      </x:c>
      <x:c r="D727" t="n">
        <x:v>50</x:v>
      </x:c>
      <x:c r="E727" t="n">
        <x:v>50</x:v>
      </x:c>
      <x:c r="F727" s="10" t="str">
        <x:v>食材净重+约8%余量</x:v>
      </x:c>
      <x:c r="G727" s="10" t="str">
        <x:v>熟重</x:v>
      </x:c>
    </x:row>
    <x:row r="728" ht="23" customHeight="1">
      <x:c r="A728" t="n">
        <x:v>18</x:v>
      </x:c>
      <x:c r="B728" t="str">
        <x:v>豆蛋</x:v>
      </x:c>
      <x:c r="C728" t="str">
        <x:v>鸡蛋</x:v>
      </x:c>
      <x:c r="D728" t="n">
        <x:v>205</x:v>
      </x:c>
      <x:c r="E728" t="n">
        <x:v>220</x:v>
      </x:c>
      <x:c r="F728" s="10" t="str">
        <x:v>食材净重+约8%余量</x:v>
      </x:c>
      <x:c r="G728" s="10" t="str">
        <x:v>去壳可食重</x:v>
      </x:c>
    </x:row>
    <x:row r="729" ht="23" customHeight="1">
      <x:c r="A729" t="n">
        <x:v>18</x:v>
      </x:c>
      <x:c r="B729" t="str">
        <x:v>鱼类</x:v>
      </x:c>
      <x:c r="C729" t="str">
        <x:v>巴沙鱼</x:v>
      </x:c>
      <x:c r="D729" t="n">
        <x:v>175</x:v>
      </x:c>
      <x:c r="E729" t="n">
        <x:v>190</x:v>
      </x:c>
      <x:c r="F729" s="10" t="str">
        <x:v>食材净重+约8%余量</x:v>
      </x:c>
      <x:c r="G729" s="10" t="str">
        <x:v>净鱼肉生重</x:v>
      </x:c>
    </x:row>
    <x:row r="730" ht="23" customHeight="1">
      <x:c r="A730" t="n">
        <x:v>18</x:v>
      </x:c>
      <x:c r="B730" t="str">
        <x:v>鱼类</x:v>
      </x:c>
      <x:c r="C730" t="str">
        <x:v>鲈鱼</x:v>
      </x:c>
      <x:c r="D730" t="n">
        <x:v>200</x:v>
      </x:c>
      <x:c r="E730" t="n">
        <x:v>220</x:v>
      </x:c>
      <x:c r="F730" s="10" t="str">
        <x:v>食材净重+约8%余量；带壳或带骨采购需另折算</x:v>
      </x:c>
      <x:c r="G730" s="10" t="str">
        <x:v>净鱼肉生重</x:v>
      </x:c>
    </x:row>
    <x:row r="731" ht="23" customHeight="1">
      <x:c r="A731" t="n">
        <x:v>18</x:v>
      </x:c>
      <x:c r="B731" t="str">
        <x:v>鱼类</x:v>
      </x:c>
      <x:c r="C731" t="str">
        <x:v>鳕鱼</x:v>
      </x:c>
      <x:c r="D731" t="n">
        <x:v>590</x:v>
      </x:c>
      <x:c r="E731" t="n">
        <x:v>640</x:v>
      </x:c>
      <x:c r="F731" s="10" t="str">
        <x:v>食材净重+约8%余量；带壳或带骨采购需另折算</x:v>
      </x:c>
      <x:c r="G731" s="10" t="str">
        <x:v>净鱼肉生重</x:v>
      </x:c>
    </x:row>
    <x:row r="732" ht="23" customHeight="1">
      <x:c r="A732" t="n">
        <x:v>19</x:v>
      </x:c>
      <x:c r="B732" t="str">
        <x:v>主食</x:v>
      </x:c>
      <x:c r="C732" t="str">
        <x:v>乌冬面</x:v>
      </x:c>
      <x:c r="D732" t="n">
        <x:v>135</x:v>
      </x:c>
      <x:c r="E732" t="n">
        <x:v>60</x:v>
      </x:c>
      <x:c r="F732" s="10" t="str">
        <x:v>干粮约重（按熟面/干面≈2.1估算）</x:v>
      </x:c>
      <x:c r="G732" s="10" t="str">
        <x:v>煮熟沥水重</x:v>
      </x:c>
    </x:row>
    <x:row r="733" ht="23" customHeight="1">
      <x:c r="A733" t="n">
        <x:v>19</x:v>
      </x:c>
      <x:c r="B733" t="str">
        <x:v>主食</x:v>
      </x:c>
      <x:c r="C733" t="str">
        <x:v>山药</x:v>
      </x:c>
      <x:c r="D733" t="n">
        <x:v>190</x:v>
      </x:c>
      <x:c r="E733" t="n">
        <x:v>210</x:v>
      </x:c>
      <x:c r="F733" s="10" t="str">
        <x:v>鲜薯/玉米净重；考虑小幅损耗</x:v>
      </x:c>
      <x:c r="G733" s="10" t="str">
        <x:v>蒸熟净重</x:v>
      </x:c>
    </x:row>
    <x:row r="734" ht="23" customHeight="1">
      <x:c r="A734" t="n">
        <x:v>19</x:v>
      </x:c>
      <x:c r="B734" t="str">
        <x:v>主食</x:v>
      </x:c>
      <x:c r="C734" t="str">
        <x:v>杂粮饭</x:v>
      </x:c>
      <x:c r="D734" t="n">
        <x:v>385</x:v>
      </x:c>
      <x:c r="E734" t="n">
        <x:v>150</x:v>
      </x:c>
      <x:c r="F734" s="10" t="str">
        <x:v>未煮干粮约重（按熟饭/生米≈2.6估算）</x:v>
      </x:c>
      <x:c r="G734" s="10" t="str">
        <x:v>熟重</x:v>
      </x:c>
    </x:row>
    <x:row r="735" ht="23" customHeight="1">
      <x:c r="A735" t="n">
        <x:v>19</x:v>
      </x:c>
      <x:c r="B735" t="str">
        <x:v>主食</x:v>
      </x:c>
      <x:c r="C735" t="str">
        <x:v>燕麦饭</x:v>
      </x:c>
      <x:c r="D735" t="n">
        <x:v>150</x:v>
      </x:c>
      <x:c r="E735" t="n">
        <x:v>60</x:v>
      </x:c>
      <x:c r="F735" s="10" t="str">
        <x:v>未煮干粮约重（按熟饭/生米≈2.6估算）</x:v>
      </x:c>
      <x:c r="G735" s="10" t="str">
        <x:v>熟重</x:v>
      </x:c>
    </x:row>
    <x:row r="736" ht="23" customHeight="1">
      <x:c r="A736" t="n">
        <x:v>19</x:v>
      </x:c>
      <x:c r="B736" t="str">
        <x:v>主食</x:v>
      </x:c>
      <x:c r="C736" t="str">
        <x:v>玉米</x:v>
      </x:c>
      <x:c r="D736" t="n">
        <x:v>135</x:v>
      </x:c>
      <x:c r="E736" t="n">
        <x:v>150</x:v>
      </x:c>
      <x:c r="F736" s="10" t="str">
        <x:v>鲜薯/玉米净重；考虑小幅损耗</x:v>
      </x:c>
      <x:c r="G736" s="10" t="str">
        <x:v>蒸熟净重</x:v>
      </x:c>
    </x:row>
    <x:row r="737" ht="23" customHeight="1">
      <x:c r="A737" t="n">
        <x:v>19</x:v>
      </x:c>
      <x:c r="B737" t="str">
        <x:v>主食</x:v>
      </x:c>
      <x:c r="C737" t="str">
        <x:v>米粉</x:v>
      </x:c>
      <x:c r="D737" t="n">
        <x:v>380</x:v>
      </x:c>
      <x:c r="E737" t="n">
        <x:v>180</x:v>
      </x:c>
      <x:c r="F737" s="10" t="str">
        <x:v>干粮约重（按熟面/干面≈2.1估算）</x:v>
      </x:c>
      <x:c r="G737" s="10" t="str">
        <x:v>煮熟沥水重</x:v>
      </x:c>
    </x:row>
    <x:row r="738" ht="23" customHeight="1">
      <x:c r="A738" t="n">
        <x:v>19</x:v>
      </x:c>
      <x:c r="B738" t="str">
        <x:v>主食</x:v>
      </x:c>
      <x:c r="C738" t="str">
        <x:v>糙米饭</x:v>
      </x:c>
      <x:c r="D738" t="n">
        <x:v>135</x:v>
      </x:c>
      <x:c r="E738" t="n">
        <x:v>50</x:v>
      </x:c>
      <x:c r="F738" s="10" t="str">
        <x:v>未煮干粮约重（按熟饭/生米≈2.6估算）</x:v>
      </x:c>
      <x:c r="G738" s="10" t="str">
        <x:v>熟重</x:v>
      </x:c>
    </x:row>
    <x:row r="739" ht="23" customHeight="1">
      <x:c r="A739" t="n">
        <x:v>19</x:v>
      </x:c>
      <x:c r="B739" t="str">
        <x:v>主食</x:v>
      </x:c>
      <x:c r="C739" t="str">
        <x:v>荞麦面</x:v>
      </x:c>
      <x:c r="D739" t="n">
        <x:v>95</x:v>
      </x:c>
      <x:c r="E739" t="n">
        <x:v>50</x:v>
      </x:c>
      <x:c r="F739" s="10" t="str">
        <x:v>干粮约重（按熟面/干面≈2.1估算）</x:v>
      </x:c>
      <x:c r="G739" s="10" t="str">
        <x:v>煮熟沥水重</x:v>
      </x:c>
    </x:row>
    <x:row r="740" ht="23" customHeight="1">
      <x:c r="A740" t="n">
        <x:v>19</x:v>
      </x:c>
      <x:c r="B740" t="str">
        <x:v>主食</x:v>
      </x:c>
      <x:c r="C740" t="str">
        <x:v>藜麦饭</x:v>
      </x:c>
      <x:c r="D740" t="n">
        <x:v>95</x:v>
      </x:c>
      <x:c r="E740" t="n">
        <x:v>40</x:v>
      </x:c>
      <x:c r="F740" s="10" t="str">
        <x:v>未煮干粮约重（按熟饭/生米≈2.6估算）</x:v>
      </x:c>
      <x:c r="G740" s="10" t="str">
        <x:v>熟重</x:v>
      </x:c>
    </x:row>
    <x:row r="741" ht="23" customHeight="1">
      <x:c r="A741" t="n">
        <x:v>19</x:v>
      </x:c>
      <x:c r="B741" t="str">
        <x:v>油脂</x:v>
      </x:c>
      <x:c r="C741" t="str">
        <x:v>烹调油</x:v>
      </x:c>
      <x:c r="D741" t="n">
        <x:v>60</x:v>
      </x:c>
      <x:c r="E741" t="n">
        <x:v>60</x:v>
      </x:c>
      <x:c r="F741" s="10" t="str">
        <x:v>食用油；现有库存足够即可</x:v>
      </x:c>
      <x:c r="G741" s="10" t="str">
        <x:v>实际用油重</x:v>
      </x:c>
    </x:row>
    <x:row r="742" ht="23" customHeight="1">
      <x:c r="A742" t="n">
        <x:v>19</x:v>
      </x:c>
      <x:c r="B742" t="str">
        <x:v>海鲜</x:v>
      </x:c>
      <x:c r="C742" t="str">
        <x:v>扇贝肉</x:v>
      </x:c>
      <x:c r="D742" t="n">
        <x:v>210</x:v>
      </x:c>
      <x:c r="E742" t="n">
        <x:v>230</x:v>
      </x:c>
      <x:c r="F742" s="10" t="str">
        <x:v>食材净重+约8%余量；带壳或带骨采购需另折算</x:v>
      </x:c>
      <x:c r="G742" s="10" t="str">
        <x:v>生重</x:v>
      </x:c>
    </x:row>
    <x:row r="743" ht="23" customHeight="1">
      <x:c r="A743" t="n">
        <x:v>19</x:v>
      </x:c>
      <x:c r="B743" t="str">
        <x:v>海鲜</x:v>
      </x:c>
      <x:c r="C743" t="str">
        <x:v>虾仁</x:v>
      </x:c>
      <x:c r="D743" t="n">
        <x:v>175</x:v>
      </x:c>
      <x:c r="E743" t="n">
        <x:v>190</x:v>
      </x:c>
      <x:c r="F743" s="10" t="str">
        <x:v>食材净重+约8%余量</x:v>
      </x:c>
      <x:c r="G743" s="10" t="str">
        <x:v>生重</x:v>
      </x:c>
    </x:row>
    <x:row r="744" ht="23" customHeight="1">
      <x:c r="A744" t="n">
        <x:v>19</x:v>
      </x:c>
      <x:c r="B744" t="str">
        <x:v>牛肉</x:v>
      </x:c>
      <x:c r="C744" t="str">
        <x:v>牛里脊</x:v>
      </x:c>
      <x:c r="D744" t="n">
        <x:v>330</x:v>
      </x:c>
      <x:c r="E744" t="n">
        <x:v>360</x:v>
      </x:c>
      <x:c r="F744" s="10" t="str">
        <x:v>食材净重+约8%余量</x:v>
      </x:c>
      <x:c r="G744" s="10" t="str">
        <x:v>生重</x:v>
      </x:c>
    </x:row>
    <x:row r="745" ht="23" customHeight="1">
      <x:c r="A745" t="n">
        <x:v>19</x:v>
      </x:c>
      <x:c r="B745" t="str">
        <x:v>牛肉</x:v>
      </x:c>
      <x:c r="C745" t="str">
        <x:v>瘦牛肉</x:v>
      </x:c>
      <x:c r="D745" t="n">
        <x:v>175</x:v>
      </x:c>
      <x:c r="E745" t="n">
        <x:v>190</x:v>
      </x:c>
      <x:c r="F745" s="10" t="str">
        <x:v>食材净重+约8%余量</x:v>
      </x:c>
      <x:c r="G745" s="10" t="str">
        <x:v>生重</x:v>
      </x:c>
    </x:row>
    <x:row r="746" ht="23" customHeight="1">
      <x:c r="A746" t="n">
        <x:v>19</x:v>
      </x:c>
      <x:c r="B746" t="str">
        <x:v>猪肉</x:v>
      </x:c>
      <x:c r="C746" t="str">
        <x:v>猪瘦肉</x:v>
      </x:c>
      <x:c r="D746" t="n">
        <x:v>145</x:v>
      </x:c>
      <x:c r="E746" t="n">
        <x:v>160</x:v>
      </x:c>
      <x:c r="F746" s="10" t="str">
        <x:v>食材净重+约8%余量</x:v>
      </x:c>
      <x:c r="G746" s="10" t="str">
        <x:v>生重</x:v>
      </x:c>
    </x:row>
    <x:row r="747" ht="23" customHeight="1">
      <x:c r="A747" t="n">
        <x:v>19</x:v>
      </x:c>
      <x:c r="B747" t="str">
        <x:v>禽肉</x:v>
      </x:c>
      <x:c r="C747" t="str">
        <x:v>去皮鸡腿肉</x:v>
      </x:c>
      <x:c r="D747" t="n">
        <x:v>170</x:v>
      </x:c>
      <x:c r="E747" t="n">
        <x:v>180</x:v>
      </x:c>
      <x:c r="F747" s="10" t="str">
        <x:v>食材净重+约8%余量</x:v>
      </x:c>
      <x:c r="G747" s="10" t="str">
        <x:v>生重</x:v>
      </x:c>
    </x:row>
    <x:row r="748" ht="23" customHeight="1">
      <x:c r="A748" t="n">
        <x:v>19</x:v>
      </x:c>
      <x:c r="B748" t="str">
        <x:v>禽肉</x:v>
      </x:c>
      <x:c r="C748" t="str">
        <x:v>鸡胸肉</x:v>
      </x:c>
      <x:c r="D748" t="n">
        <x:v>165</x:v>
      </x:c>
      <x:c r="E748" t="n">
        <x:v>180</x:v>
      </x:c>
      <x:c r="F748" s="10" t="str">
        <x:v>食材净重+约8%余量</x:v>
      </x:c>
      <x:c r="G748" s="10" t="str">
        <x:v>生重</x:v>
      </x:c>
    </x:row>
    <x:row r="749" ht="23" customHeight="1">
      <x:c r="A749" t="n">
        <x:v>19</x:v>
      </x:c>
      <x:c r="B749" t="str">
        <x:v>禽肉</x:v>
      </x:c>
      <x:c r="C749" t="str">
        <x:v>鸡里脊肉</x:v>
      </x:c>
      <x:c r="D749" t="n">
        <x:v>155</x:v>
      </x:c>
      <x:c r="E749" t="n">
        <x:v>170</x:v>
      </x:c>
      <x:c r="F749" s="10" t="str">
        <x:v>食材净重+约8%余量</x:v>
      </x:c>
      <x:c r="G749" s="10" t="str">
        <x:v>生重</x:v>
      </x:c>
    </x:row>
    <x:row r="750" ht="23" customHeight="1">
      <x:c r="A750" t="n">
        <x:v>19</x:v>
      </x:c>
      <x:c r="B750" t="str">
        <x:v>菌菇</x:v>
      </x:c>
      <x:c r="C750" t="str">
        <x:v>口蘑</x:v>
      </x:c>
      <x:c r="D750" t="n">
        <x:v>110</x:v>
      </x:c>
      <x:c r="E750" t="n">
        <x:v>120</x:v>
      </x:c>
      <x:c r="F750" s="10" t="str">
        <x:v>食材净重+约8%余量</x:v>
      </x:c>
      <x:c r="G750" s="10" t="str">
        <x:v>生重</x:v>
      </x:c>
    </x:row>
    <x:row r="751" ht="23" customHeight="1">
      <x:c r="A751" t="n">
        <x:v>19</x:v>
      </x:c>
      <x:c r="B751" t="str">
        <x:v>菌菇</x:v>
      </x:c>
      <x:c r="C751" t="str">
        <x:v>杏鲍菇</x:v>
      </x:c>
      <x:c r="D751" t="n">
        <x:v>140</x:v>
      </x:c>
      <x:c r="E751" t="n">
        <x:v>150</x:v>
      </x:c>
      <x:c r="F751" s="10" t="str">
        <x:v>食材净重+约8%余量</x:v>
      </x:c>
      <x:c r="G751" s="10" t="str">
        <x:v>生重</x:v>
      </x:c>
    </x:row>
    <x:row r="752" ht="23" customHeight="1">
      <x:c r="A752" t="n">
        <x:v>19</x:v>
      </x:c>
      <x:c r="B752" t="str">
        <x:v>菌菇</x:v>
      </x:c>
      <x:c r="C752" t="str">
        <x:v>金针菇</x:v>
      </x:c>
      <x:c r="D752" t="n">
        <x:v>295</x:v>
      </x:c>
      <x:c r="E752" t="n">
        <x:v>320</x:v>
      </x:c>
      <x:c r="F752" s="10" t="str">
        <x:v>食材净重+约8%余量</x:v>
      </x:c>
      <x:c r="G752" s="10" t="str">
        <x:v>生重</x:v>
      </x:c>
    </x:row>
    <x:row r="753" ht="23" customHeight="1">
      <x:c r="A753" t="n">
        <x:v>19</x:v>
      </x:c>
      <x:c r="B753" t="str">
        <x:v>菌菇</x:v>
      </x:c>
      <x:c r="C753" t="str">
        <x:v>香菇</x:v>
      </x:c>
      <x:c r="D753" t="n">
        <x:v>235</x:v>
      </x:c>
      <x:c r="E753" t="n">
        <x:v>250</x:v>
      </x:c>
      <x:c r="F753" s="10" t="str">
        <x:v>食材净重+约8%余量</x:v>
      </x:c>
      <x:c r="G753" s="10" t="str">
        <x:v>生重</x:v>
      </x:c>
    </x:row>
    <x:row r="754" ht="23" customHeight="1">
      <x:c r="A754" t="n">
        <x:v>19</x:v>
      </x:c>
      <x:c r="B754" t="str">
        <x:v>蔬菜</x:v>
      </x:c>
      <x:c r="C754" t="str">
        <x:v>冬瓜</x:v>
      </x:c>
      <x:c r="D754" t="n">
        <x:v>140</x:v>
      </x:c>
      <x:c r="E754" t="n">
        <x:v>150</x:v>
      </x:c>
      <x:c r="F754" s="10" t="str">
        <x:v>食材净重+约8%余量</x:v>
      </x:c>
      <x:c r="G754" s="10" t="str">
        <x:v>生重</x:v>
      </x:c>
    </x:row>
    <x:row r="755" ht="23" customHeight="1">
      <x:c r="A755" t="n">
        <x:v>19</x:v>
      </x:c>
      <x:c r="B755" t="str">
        <x:v>蔬菜</x:v>
      </x:c>
      <x:c r="C755" t="str">
        <x:v>四季豆</x:v>
      </x:c>
      <x:c r="D755" t="n">
        <x:v>175</x:v>
      </x:c>
      <x:c r="E755" t="n">
        <x:v>190</x:v>
      </x:c>
      <x:c r="F755" s="10" t="str">
        <x:v>食材净重+约8%余量</x:v>
      </x:c>
      <x:c r="G755" s="10" t="str">
        <x:v>生重</x:v>
      </x:c>
    </x:row>
    <x:row r="756" ht="23" customHeight="1">
      <x:c r="A756" t="n">
        <x:v>19</x:v>
      </x:c>
      <x:c r="B756" t="str">
        <x:v>蔬菜</x:v>
      </x:c>
      <x:c r="C756" t="str">
        <x:v>小白菜</x:v>
      </x:c>
      <x:c r="D756" t="n">
        <x:v>140</x:v>
      </x:c>
      <x:c r="E756" t="n">
        <x:v>150</x:v>
      </x:c>
      <x:c r="F756" s="10" t="str">
        <x:v>食材净重+约8%余量</x:v>
      </x:c>
      <x:c r="G756" s="10" t="str">
        <x:v>生重</x:v>
      </x:c>
    </x:row>
    <x:row r="757" ht="23" customHeight="1">
      <x:c r="A757" t="n">
        <x:v>19</x:v>
      </x:c>
      <x:c r="B757" t="str">
        <x:v>蔬菜</x:v>
      </x:c>
      <x:c r="C757" t="str">
        <x:v>彩椒</x:v>
      </x:c>
      <x:c r="D757" t="n">
        <x:v>125</x:v>
      </x:c>
      <x:c r="E757" t="n">
        <x:v>140</x:v>
      </x:c>
      <x:c r="F757" s="10" t="str">
        <x:v>食材净重+约8%余量</x:v>
      </x:c>
      <x:c r="G757" s="10" t="str">
        <x:v>生重</x:v>
      </x:c>
    </x:row>
    <x:row r="758" ht="23" customHeight="1">
      <x:c r="A758" t="n">
        <x:v>19</x:v>
      </x:c>
      <x:c r="B758" t="str">
        <x:v>蔬菜</x:v>
      </x:c>
      <x:c r="C758" t="str">
        <x:v>油麦菜</x:v>
      </x:c>
      <x:c r="D758" t="n">
        <x:v>160</x:v>
      </x:c>
      <x:c r="E758" t="n">
        <x:v>170</x:v>
      </x:c>
      <x:c r="F758" s="10" t="str">
        <x:v>食材净重+约8%余量</x:v>
      </x:c>
      <x:c r="G758" s="10" t="str">
        <x:v>生重</x:v>
      </x:c>
    </x:row>
    <x:row r="759" ht="23" customHeight="1">
      <x:c r="A759" t="n">
        <x:v>19</x:v>
      </x:c>
      <x:c r="B759" t="str">
        <x:v>蔬菜</x:v>
      </x:c>
      <x:c r="C759" t="str">
        <x:v>生菜</x:v>
      </x:c>
      <x:c r="D759" t="n">
        <x:v>190</x:v>
      </x:c>
      <x:c r="E759" t="n">
        <x:v>210</x:v>
      </x:c>
      <x:c r="F759" s="10" t="str">
        <x:v>食材净重+约8%余量</x:v>
      </x:c>
      <x:c r="G759" s="10" t="str">
        <x:v>生重</x:v>
      </x:c>
    </x:row>
    <x:row r="760" ht="23" customHeight="1">
      <x:c r="A760" t="n">
        <x:v>19</x:v>
      </x:c>
      <x:c r="B760" t="str">
        <x:v>蔬菜</x:v>
      </x:c>
      <x:c r="C760" t="str">
        <x:v>番茄</x:v>
      </x:c>
      <x:c r="D760" t="n">
        <x:v>175</x:v>
      </x:c>
      <x:c r="E760" t="n">
        <x:v>190</x:v>
      </x:c>
      <x:c r="F760" s="10" t="str">
        <x:v>食材净重+约8%余量</x:v>
      </x:c>
      <x:c r="G760" s="10" t="str">
        <x:v>生重</x:v>
      </x:c>
    </x:row>
    <x:row r="761" ht="23" customHeight="1">
      <x:c r="A761" t="n">
        <x:v>19</x:v>
      </x:c>
      <x:c r="B761" t="str">
        <x:v>蔬菜</x:v>
      </x:c>
      <x:c r="C761" t="str">
        <x:v>白萝卜</x:v>
      </x:c>
      <x:c r="D761" t="n">
        <x:v>155</x:v>
      </x:c>
      <x:c r="E761" t="n">
        <x:v>170</x:v>
      </x:c>
      <x:c r="F761" s="10" t="str">
        <x:v>食材净重+约8%余量</x:v>
      </x:c>
      <x:c r="G761" s="10" t="str">
        <x:v>生重</x:v>
      </x:c>
    </x:row>
    <x:row r="762" ht="23" customHeight="1">
      <x:c r="A762" t="n">
        <x:v>19</x:v>
      </x:c>
      <x:c r="B762" t="str">
        <x:v>蔬菜</x:v>
      </x:c>
      <x:c r="C762" t="str">
        <x:v>秋葵</x:v>
      </x:c>
      <x:c r="D762" t="n">
        <x:v>190</x:v>
      </x:c>
      <x:c r="E762" t="n">
        <x:v>210</x:v>
      </x:c>
      <x:c r="F762" s="10" t="str">
        <x:v>食材净重+约8%余量</x:v>
      </x:c>
      <x:c r="G762" s="10" t="str">
        <x:v>生重</x:v>
      </x:c>
    </x:row>
    <x:row r="763" ht="23" customHeight="1">
      <x:c r="A763" t="n">
        <x:v>19</x:v>
      </x:c>
      <x:c r="B763" t="str">
        <x:v>蔬菜</x:v>
      </x:c>
      <x:c r="C763" t="str">
        <x:v>胡萝卜</x:v>
      </x:c>
      <x:c r="D763" t="n">
        <x:v>140</x:v>
      </x:c>
      <x:c r="E763" t="n">
        <x:v>150</x:v>
      </x:c>
      <x:c r="F763" s="10" t="str">
        <x:v>食材净重+约8%余量</x:v>
      </x:c>
      <x:c r="G763" s="10" t="str">
        <x:v>生重</x:v>
      </x:c>
    </x:row>
    <x:row r="764" ht="23" customHeight="1">
      <x:c r="A764" t="n">
        <x:v>19</x:v>
      </x:c>
      <x:c r="B764" t="str">
        <x:v>蔬菜</x:v>
      </x:c>
      <x:c r="C764" t="str">
        <x:v>芦笋</x:v>
      </x:c>
      <x:c r="D764" t="n">
        <x:v>315</x:v>
      </x:c>
      <x:c r="E764" t="n">
        <x:v>340</x:v>
      </x:c>
      <x:c r="F764" s="10" t="str">
        <x:v>食材净重+约8%余量</x:v>
      </x:c>
      <x:c r="G764" s="10" t="str">
        <x:v>生重</x:v>
      </x:c>
    </x:row>
    <x:row r="765" ht="23" customHeight="1">
      <x:c r="A765" t="n">
        <x:v>19</x:v>
      </x:c>
      <x:c r="B765" t="str">
        <x:v>蔬菜</x:v>
      </x:c>
      <x:c r="C765" t="str">
        <x:v>花菜</x:v>
      </x:c>
      <x:c r="D765" t="n">
        <x:v>140</x:v>
      </x:c>
      <x:c r="E765" t="n">
        <x:v>150</x:v>
      </x:c>
      <x:c r="F765" s="10" t="str">
        <x:v>食材净重+约8%余量</x:v>
      </x:c>
      <x:c r="G765" s="10" t="str">
        <x:v>生重</x:v>
      </x:c>
    </x:row>
    <x:row r="766" ht="23" customHeight="1">
      <x:c r="A766" t="n">
        <x:v>19</x:v>
      </x:c>
      <x:c r="B766" t="str">
        <x:v>蔬菜</x:v>
      </x:c>
      <x:c r="C766" t="str">
        <x:v>芹菜</x:v>
      </x:c>
      <x:c r="D766" t="n">
        <x:v>175</x:v>
      </x:c>
      <x:c r="E766" t="n">
        <x:v>190</x:v>
      </x:c>
      <x:c r="F766" s="10" t="str">
        <x:v>食材净重+约8%余量</x:v>
      </x:c>
      <x:c r="G766" s="10" t="str">
        <x:v>生重</x:v>
      </x:c>
    </x:row>
    <x:row r="767" ht="23" customHeight="1">
      <x:c r="A767" t="n">
        <x:v>19</x:v>
      </x:c>
      <x:c r="B767" t="str">
        <x:v>蔬菜</x:v>
      </x:c>
      <x:c r="C767" t="str">
        <x:v>茼蒿</x:v>
      </x:c>
      <x:c r="D767" t="n">
        <x:v>190</x:v>
      </x:c>
      <x:c r="E767" t="n">
        <x:v>210</x:v>
      </x:c>
      <x:c r="F767" s="10" t="str">
        <x:v>食材净重+约8%余量</x:v>
      </x:c>
      <x:c r="G767" s="10" t="str">
        <x:v>生重</x:v>
      </x:c>
    </x:row>
    <x:row r="768" ht="23" customHeight="1">
      <x:c r="A768" t="n">
        <x:v>19</x:v>
      </x:c>
      <x:c r="B768" t="str">
        <x:v>蔬菜</x:v>
      </x:c>
      <x:c r="C768" t="str">
        <x:v>荷兰豆</x:v>
      </x:c>
      <x:c r="D768" t="n">
        <x:v>175</x:v>
      </x:c>
      <x:c r="E768" t="n">
        <x:v>190</x:v>
      </x:c>
      <x:c r="F768" s="10" t="str">
        <x:v>食材净重+约8%余量</x:v>
      </x:c>
      <x:c r="G768" s="10" t="str">
        <x:v>生重</x:v>
      </x:c>
    </x:row>
    <x:row r="769" ht="23" customHeight="1">
      <x:c r="A769" t="n">
        <x:v>19</x:v>
      </x:c>
      <x:c r="B769" t="str">
        <x:v>蔬菜</x:v>
      </x:c>
      <x:c r="C769" t="str">
        <x:v>莴笋</x:v>
      </x:c>
      <x:c r="D769" t="n">
        <x:v>140</x:v>
      </x:c>
      <x:c r="E769" t="n">
        <x:v>150</x:v>
      </x:c>
      <x:c r="F769" s="10" t="str">
        <x:v>食材净重+约8%余量</x:v>
      </x:c>
      <x:c r="G769" s="10" t="str">
        <x:v>生重</x:v>
      </x:c>
    </x:row>
    <x:row r="770" ht="23" customHeight="1">
      <x:c r="A770" t="n">
        <x:v>19</x:v>
      </x:c>
      <x:c r="B770" t="str">
        <x:v>蔬菜</x:v>
      </x:c>
      <x:c r="C770" t="str">
        <x:v>菜心</x:v>
      </x:c>
      <x:c r="D770" t="n">
        <x:v>350</x:v>
      </x:c>
      <x:c r="E770" t="n">
        <x:v>380</x:v>
      </x:c>
      <x:c r="F770" s="10" t="str">
        <x:v>食材净重+约8%余量</x:v>
      </x:c>
      <x:c r="G770" s="10" t="str">
        <x:v>生重</x:v>
      </x:c>
    </x:row>
    <x:row r="771" ht="23" customHeight="1">
      <x:c r="A771" t="n">
        <x:v>19</x:v>
      </x:c>
      <x:c r="B771" t="str">
        <x:v>蔬菜</x:v>
      </x:c>
      <x:c r="C771" t="str">
        <x:v>西兰花</x:v>
      </x:c>
      <x:c r="D771" t="n">
        <x:v>175</x:v>
      </x:c>
      <x:c r="E771" t="n">
        <x:v>190</x:v>
      </x:c>
      <x:c r="F771" s="10" t="str">
        <x:v>食材净重+约8%余量</x:v>
      </x:c>
      <x:c r="G771" s="10" t="str">
        <x:v>生重</x:v>
      </x:c>
    </x:row>
    <x:row r="772" ht="23" customHeight="1">
      <x:c r="A772" t="n">
        <x:v>19</x:v>
      </x:c>
      <x:c r="B772" t="str">
        <x:v>蔬菜</x:v>
      </x:c>
      <x:c r="C772" t="str">
        <x:v>西葫芦</x:v>
      </x:c>
      <x:c r="D772" t="n">
        <x:v>140</x:v>
      </x:c>
      <x:c r="E772" t="n">
        <x:v>150</x:v>
      </x:c>
      <x:c r="F772" s="10" t="str">
        <x:v>食材净重+约8%余量</x:v>
      </x:c>
      <x:c r="G772" s="10" t="str">
        <x:v>生重</x:v>
      </x:c>
    </x:row>
    <x:row r="773" ht="23" customHeight="1">
      <x:c r="A773" t="n">
        <x:v>19</x:v>
      </x:c>
      <x:c r="B773" t="str">
        <x:v>蔬菜</x:v>
      </x:c>
      <x:c r="C773" t="str">
        <x:v>黄瓜</x:v>
      </x:c>
      <x:c r="D773" t="n">
        <x:v>140</x:v>
      </x:c>
      <x:c r="E773" t="n">
        <x:v>150</x:v>
      </x:c>
      <x:c r="F773" s="10" t="str">
        <x:v>食材净重+约8%余量</x:v>
      </x:c>
      <x:c r="G773" s="10" t="str">
        <x:v>生重</x:v>
      </x:c>
    </x:row>
    <x:row r="774" ht="23" customHeight="1">
      <x:c r="A774" t="n">
        <x:v>19</x:v>
      </x:c>
      <x:c r="B774" t="str">
        <x:v>豆蛋</x:v>
      </x:c>
      <x:c r="C774" t="str">
        <x:v>北豆腐</x:v>
      </x:c>
      <x:c r="D774" t="n">
        <x:v>610</x:v>
      </x:c>
      <x:c r="E774" t="n">
        <x:v>660</x:v>
      </x:c>
      <x:c r="F774" s="10" t="str">
        <x:v>食材净重+约8%余量</x:v>
      </x:c>
      <x:c r="G774" s="10" t="str">
        <x:v>净重</x:v>
      </x:c>
    </x:row>
    <x:row r="775" ht="23" customHeight="1">
      <x:c r="A775" t="n">
        <x:v>19</x:v>
      </x:c>
      <x:c r="B775" t="str">
        <x:v>豆蛋</x:v>
      </x:c>
      <x:c r="C775" t="str">
        <x:v>熟毛豆仁</x:v>
      </x:c>
      <x:c r="D775" t="n">
        <x:v>50</x:v>
      </x:c>
      <x:c r="E775" t="n">
        <x:v>50</x:v>
      </x:c>
      <x:c r="F775" s="10" t="str">
        <x:v>食材净重+约8%余量</x:v>
      </x:c>
      <x:c r="G775" s="10" t="str">
        <x:v>熟重</x:v>
      </x:c>
    </x:row>
    <x:row r="776" ht="23" customHeight="1">
      <x:c r="A776" t="n">
        <x:v>19</x:v>
      </x:c>
      <x:c r="B776" t="str">
        <x:v>豆蛋</x:v>
      </x:c>
      <x:c r="C776" t="str">
        <x:v>鸡蛋</x:v>
      </x:c>
      <x:c r="D776" t="n">
        <x:v>160</x:v>
      </x:c>
      <x:c r="E776" t="n">
        <x:v>170</x:v>
      </x:c>
      <x:c r="F776" s="10" t="str">
        <x:v>食材净重+约8%余量</x:v>
      </x:c>
      <x:c r="G776" s="10" t="str">
        <x:v>去壳可食重</x:v>
      </x:c>
    </x:row>
    <x:row r="777" ht="23" customHeight="1">
      <x:c r="A777" t="n">
        <x:v>19</x:v>
      </x:c>
      <x:c r="B777" t="str">
        <x:v>鱼类</x:v>
      </x:c>
      <x:c r="C777" t="str">
        <x:v>三文鱼</x:v>
      </x:c>
      <x:c r="D777" t="n">
        <x:v>120</x:v>
      </x:c>
      <x:c r="E777" t="n">
        <x:v>130</x:v>
      </x:c>
      <x:c r="F777" s="10" t="str">
        <x:v>食材净重+约8%余量</x:v>
      </x:c>
      <x:c r="G777" s="10" t="str">
        <x:v>净鱼肉生重</x:v>
      </x:c>
    </x:row>
    <x:row r="778" ht="23" customHeight="1">
      <x:c r="A778" t="n">
        <x:v>19</x:v>
      </x:c>
      <x:c r="B778" t="str">
        <x:v>鱼类</x:v>
      </x:c>
      <x:c r="C778" t="str">
        <x:v>鲈鱼</x:v>
      </x:c>
      <x:c r="D778" t="n">
        <x:v>200</x:v>
      </x:c>
      <x:c r="E778" t="n">
        <x:v>220</x:v>
      </x:c>
      <x:c r="F778" s="10" t="str">
        <x:v>食材净重+约8%余量；带壳或带骨采购需另折算</x:v>
      </x:c>
      <x:c r="G778" s="10" t="str">
        <x:v>净鱼肉生重</x:v>
      </x:c>
    </x:row>
    <x:row r="779" ht="23" customHeight="1">
      <x:c r="A779" t="n">
        <x:v>19</x:v>
      </x:c>
      <x:c r="B779" t="str">
        <x:v>鱼类</x:v>
      </x:c>
      <x:c r="C779" t="str">
        <x:v>鳕鱼</x:v>
      </x:c>
      <x:c r="D779" t="n">
        <x:v>215</x:v>
      </x:c>
      <x:c r="E779" t="n">
        <x:v>230</x:v>
      </x:c>
      <x:c r="F779" s="10" t="str">
        <x:v>食材净重+约8%余量；带壳或带骨采购需另折算</x:v>
      </x:c>
      <x:c r="G779" s="10" t="str">
        <x:v>净鱼肉生重</x:v>
      </x:c>
    </x:row>
    <x:row r="780" ht="23" customHeight="1">
      <x:c r="A780" t="n">
        <x:v>20</x:v>
      </x:c>
      <x:c r="B780" t="str">
        <x:v>主食</x:v>
      </x:c>
      <x:c r="C780" t="str">
        <x:v>乌冬面</x:v>
      </x:c>
      <x:c r="D780" t="n">
        <x:v>315</x:v>
      </x:c>
      <x:c r="E780" t="n">
        <x:v>150</x:v>
      </x:c>
      <x:c r="F780" s="10" t="str">
        <x:v>干粮约重（按熟面/干面≈2.1估算）</x:v>
      </x:c>
      <x:c r="G780" s="10" t="str">
        <x:v>煮熟沥水重</x:v>
      </x:c>
    </x:row>
    <x:row r="781" ht="23" customHeight="1">
      <x:c r="A781" t="n">
        <x:v>20</x:v>
      </x:c>
      <x:c r="B781" t="str">
        <x:v>主食</x:v>
      </x:c>
      <x:c r="C781" t="str">
        <x:v>全麦面</x:v>
      </x:c>
      <x:c r="D781" t="n">
        <x:v>165</x:v>
      </x:c>
      <x:c r="E781" t="n">
        <x:v>80</x:v>
      </x:c>
      <x:c r="F781" s="10" t="str">
        <x:v>干粮约重（按熟面/干面≈2.1估算）</x:v>
      </x:c>
      <x:c r="G781" s="10" t="str">
        <x:v>煮熟沥水重</x:v>
      </x:c>
    </x:row>
    <x:row r="782" ht="23" customHeight="1">
      <x:c r="A782" t="n">
        <x:v>20</x:v>
      </x:c>
      <x:c r="B782" t="str">
        <x:v>主食</x:v>
      </x:c>
      <x:c r="C782" t="str">
        <x:v>土豆</x:v>
      </x:c>
      <x:c r="D782" t="n">
        <x:v>95</x:v>
      </x:c>
      <x:c r="E782" t="n">
        <x:v>100</x:v>
      </x:c>
      <x:c r="F782" s="10" t="str">
        <x:v>鲜薯/玉米净重；考虑小幅损耗</x:v>
      </x:c>
      <x:c r="G782" s="10" t="str">
        <x:v>蒸熟净重</x:v>
      </x:c>
    </x:row>
    <x:row r="783" ht="23" customHeight="1">
      <x:c r="A783" t="n">
        <x:v>20</x:v>
      </x:c>
      <x:c r="B783" t="str">
        <x:v>主食</x:v>
      </x:c>
      <x:c r="C783" t="str">
        <x:v>杂粮饭</x:v>
      </x:c>
      <x:c r="D783" t="n">
        <x:v>205</x:v>
      </x:c>
      <x:c r="E783" t="n">
        <x:v>80</x:v>
      </x:c>
      <x:c r="F783" s="10" t="str">
        <x:v>未煮干粮约重（按熟饭/生米≈2.6估算）</x:v>
      </x:c>
      <x:c r="G783" s="10" t="str">
        <x:v>熟重</x:v>
      </x:c>
    </x:row>
    <x:row r="784" ht="23" customHeight="1">
      <x:c r="A784" t="n">
        <x:v>20</x:v>
      </x:c>
      <x:c r="B784" t="str">
        <x:v>主食</x:v>
      </x:c>
      <x:c r="C784" t="str">
        <x:v>玉米</x:v>
      </x:c>
      <x:c r="D784" t="n">
        <x:v>110</x:v>
      </x:c>
      <x:c r="E784" t="n">
        <x:v>120</x:v>
      </x:c>
      <x:c r="F784" s="10" t="str">
        <x:v>鲜薯/玉米净重；考虑小幅损耗</x:v>
      </x:c>
      <x:c r="G784" s="10" t="str">
        <x:v>蒸熟净重</x:v>
      </x:c>
    </x:row>
    <x:row r="785" ht="23" customHeight="1">
      <x:c r="A785" t="n">
        <x:v>20</x:v>
      </x:c>
      <x:c r="B785" t="str">
        <x:v>主食</x:v>
      </x:c>
      <x:c r="C785" t="str">
        <x:v>白米饭</x:v>
      </x:c>
      <x:c r="D785" t="n">
        <x:v>150</x:v>
      </x:c>
      <x:c r="E785" t="n">
        <x:v>60</x:v>
      </x:c>
      <x:c r="F785" s="10" t="str">
        <x:v>未煮干粮约重（按熟饭/生米≈2.6估算）</x:v>
      </x:c>
      <x:c r="G785" s="10" t="str">
        <x:v>熟重</x:v>
      </x:c>
    </x:row>
    <x:row r="786" ht="23" customHeight="1">
      <x:c r="A786" t="n">
        <x:v>20</x:v>
      </x:c>
      <x:c r="B786" t="str">
        <x:v>主食</x:v>
      </x:c>
      <x:c r="C786" t="str">
        <x:v>米粉</x:v>
      </x:c>
      <x:c r="D786" t="n">
        <x:v>285</x:v>
      </x:c>
      <x:c r="E786" t="n">
        <x:v>140</x:v>
      </x:c>
      <x:c r="F786" s="10" t="str">
        <x:v>干粮约重（按熟面/干面≈2.1估算）</x:v>
      </x:c>
      <x:c r="G786" s="10" t="str">
        <x:v>煮熟沥水重</x:v>
      </x:c>
    </x:row>
    <x:row r="787" ht="23" customHeight="1">
      <x:c r="A787" t="n">
        <x:v>20</x:v>
      </x:c>
      <x:c r="B787" t="str">
        <x:v>主食</x:v>
      </x:c>
      <x:c r="C787" t="str">
        <x:v>糙米饭</x:v>
      </x:c>
      <x:c r="D787" t="n">
        <x:v>205</x:v>
      </x:c>
      <x:c r="E787" t="n">
        <x:v>80</x:v>
      </x:c>
      <x:c r="F787" s="10" t="str">
        <x:v>未煮干粮约重（按熟饭/生米≈2.6估算）</x:v>
      </x:c>
      <x:c r="G787" s="10" t="str">
        <x:v>熟重</x:v>
      </x:c>
    </x:row>
    <x:row r="788" ht="23" customHeight="1">
      <x:c r="A788" t="n">
        <x:v>20</x:v>
      </x:c>
      <x:c r="B788" t="str">
        <x:v>主食</x:v>
      </x:c>
      <x:c r="C788" t="str">
        <x:v>荞麦饭</x:v>
      </x:c>
      <x:c r="D788" t="n">
        <x:v>125</x:v>
      </x:c>
      <x:c r="E788" t="n">
        <x:v>50</x:v>
      </x:c>
      <x:c r="F788" s="10" t="str">
        <x:v>未煮干粮约重（按熟饭/生米≈2.6估算）</x:v>
      </x:c>
      <x:c r="G788" s="10" t="str">
        <x:v>熟重</x:v>
      </x:c>
    </x:row>
    <x:row r="789" ht="23" customHeight="1">
      <x:c r="A789" t="n">
        <x:v>20</x:v>
      </x:c>
      <x:c r="B789" t="str">
        <x:v>主食</x:v>
      </x:c>
      <x:c r="C789" t="str">
        <x:v>藜麦饭</x:v>
      </x:c>
      <x:c r="D789" t="n">
        <x:v>125</x:v>
      </x:c>
      <x:c r="E789" t="n">
        <x:v>50</x:v>
      </x:c>
      <x:c r="F789" s="10" t="str">
        <x:v>未煮干粮约重（按熟饭/生米≈2.6估算）</x:v>
      </x:c>
      <x:c r="G789" s="10" t="str">
        <x:v>熟重</x:v>
      </x:c>
    </x:row>
    <x:row r="790" ht="23" customHeight="1">
      <x:c r="A790" t="n">
        <x:v>20</x:v>
      </x:c>
      <x:c r="B790" t="str">
        <x:v>油脂</x:v>
      </x:c>
      <x:c r="C790" t="str">
        <x:v>烹调油</x:v>
      </x:c>
      <x:c r="D790" t="n">
        <x:v>65</x:v>
      </x:c>
      <x:c r="E790" t="n">
        <x:v>65</x:v>
      </x:c>
      <x:c r="F790" s="10" t="str">
        <x:v>食用油；现有库存足够即可</x:v>
      </x:c>
      <x:c r="G790" s="10" t="str">
        <x:v>实际用油重</x:v>
      </x:c>
    </x:row>
    <x:row r="791" ht="23" customHeight="1">
      <x:c r="A791" t="n">
        <x:v>20</x:v>
      </x:c>
      <x:c r="B791" t="str">
        <x:v>海鲜</x:v>
      </x:c>
      <x:c r="C791" t="str">
        <x:v>虾仁</x:v>
      </x:c>
      <x:c r="D791" t="n">
        <x:v>65</x:v>
      </x:c>
      <x:c r="E791" t="n">
        <x:v>70</x:v>
      </x:c>
      <x:c r="F791" s="10" t="str">
        <x:v>食材净重+约8%余量</x:v>
      </x:c>
      <x:c r="G791" s="10" t="str">
        <x:v>生重</x:v>
      </x:c>
    </x:row>
    <x:row r="792" ht="23" customHeight="1">
      <x:c r="A792" t="n">
        <x:v>20</x:v>
      </x:c>
      <x:c r="B792" t="str">
        <x:v>海鲜</x:v>
      </x:c>
      <x:c r="C792" t="str">
        <x:v>鱿鱼</x:v>
      </x:c>
      <x:c r="D792" t="n">
        <x:v>175</x:v>
      </x:c>
      <x:c r="E792" t="n">
        <x:v>190</x:v>
      </x:c>
      <x:c r="F792" s="10" t="str">
        <x:v>食材净重+约8%余量</x:v>
      </x:c>
      <x:c r="G792" s="10" t="str">
        <x:v>生重</x:v>
      </x:c>
    </x:row>
    <x:row r="793" ht="23" customHeight="1">
      <x:c r="A793" t="n">
        <x:v>20</x:v>
      </x:c>
      <x:c r="B793" t="str">
        <x:v>牛肉</x:v>
      </x:c>
      <x:c r="C793" t="str">
        <x:v>牛腱子</x:v>
      </x:c>
      <x:c r="D793" t="n">
        <x:v>180</x:v>
      </x:c>
      <x:c r="E793" t="n">
        <x:v>190</x:v>
      </x:c>
      <x:c r="F793" s="10" t="str">
        <x:v>食材净重+约8%余量</x:v>
      </x:c>
      <x:c r="G793" s="10" t="str">
        <x:v>生重</x:v>
      </x:c>
    </x:row>
    <x:row r="794" ht="23" customHeight="1">
      <x:c r="A794" t="n">
        <x:v>20</x:v>
      </x:c>
      <x:c r="B794" t="str">
        <x:v>牛肉</x:v>
      </x:c>
      <x:c r="C794" t="str">
        <x:v>牛里脊</x:v>
      </x:c>
      <x:c r="D794" t="n">
        <x:v>185</x:v>
      </x:c>
      <x:c r="E794" t="n">
        <x:v>200</x:v>
      </x:c>
      <x:c r="F794" s="10" t="str">
        <x:v>食材净重+约8%余量</x:v>
      </x:c>
      <x:c r="G794" s="10" t="str">
        <x:v>生重</x:v>
      </x:c>
    </x:row>
    <x:row r="795" ht="23" customHeight="1">
      <x:c r="A795" t="n">
        <x:v>20</x:v>
      </x:c>
      <x:c r="B795" t="str">
        <x:v>牛肉</x:v>
      </x:c>
      <x:c r="C795" t="str">
        <x:v>瘦牛肉</x:v>
      </x:c>
      <x:c r="D795" t="n">
        <x:v>355</x:v>
      </x:c>
      <x:c r="E795" t="n">
        <x:v>380</x:v>
      </x:c>
      <x:c r="F795" s="10" t="str">
        <x:v>食材净重+约8%余量</x:v>
      </x:c>
      <x:c r="G795" s="10" t="str">
        <x:v>生重</x:v>
      </x:c>
    </x:row>
    <x:row r="796" ht="23" customHeight="1">
      <x:c r="A796" t="n">
        <x:v>20</x:v>
      </x:c>
      <x:c r="B796" t="str">
        <x:v>猪肉</x:v>
      </x:c>
      <x:c r="C796" t="str">
        <x:v>猪里脊</x:v>
      </x:c>
      <x:c r="D796" t="n">
        <x:v>335</x:v>
      </x:c>
      <x:c r="E796" t="n">
        <x:v>360</x:v>
      </x:c>
      <x:c r="F796" s="10" t="str">
        <x:v>食材净重+约8%余量</x:v>
      </x:c>
      <x:c r="G796" s="10" t="str">
        <x:v>生重</x:v>
      </x:c>
    </x:row>
    <x:row r="797" ht="23" customHeight="1">
      <x:c r="A797" t="n">
        <x:v>20</x:v>
      </x:c>
      <x:c r="B797" t="str">
        <x:v>禽肉</x:v>
      </x:c>
      <x:c r="C797" t="str">
        <x:v>去皮鸡腿肉</x:v>
      </x:c>
      <x:c r="D797" t="n">
        <x:v>185</x:v>
      </x:c>
      <x:c r="E797" t="n">
        <x:v>200</x:v>
      </x:c>
      <x:c r="F797" s="10" t="str">
        <x:v>食材净重+约8%余量</x:v>
      </x:c>
      <x:c r="G797" s="10" t="str">
        <x:v>生重</x:v>
      </x:c>
    </x:row>
    <x:row r="798" ht="23" customHeight="1">
      <x:c r="A798" t="n">
        <x:v>20</x:v>
      </x:c>
      <x:c r="B798" t="str">
        <x:v>禽肉</x:v>
      </x:c>
      <x:c r="C798" t="str">
        <x:v>鸡胸肉</x:v>
      </x:c>
      <x:c r="D798" t="n">
        <x:v>520</x:v>
      </x:c>
      <x:c r="E798" t="n">
        <x:v>560</x:v>
      </x:c>
      <x:c r="F798" s="10" t="str">
        <x:v>食材净重+约8%余量</x:v>
      </x:c>
      <x:c r="G798" s="10" t="str">
        <x:v>生重</x:v>
      </x:c>
    </x:row>
    <x:row r="799" ht="23" customHeight="1">
      <x:c r="A799" t="n">
        <x:v>20</x:v>
      </x:c>
      <x:c r="B799" t="str">
        <x:v>禽肉</x:v>
      </x:c>
      <x:c r="C799" t="str">
        <x:v>鸡里脊肉</x:v>
      </x:c>
      <x:c r="D799" t="n">
        <x:v>160</x:v>
      </x:c>
      <x:c r="E799" t="n">
        <x:v>170</x:v>
      </x:c>
      <x:c r="F799" s="10" t="str">
        <x:v>食材净重+约8%余量</x:v>
      </x:c>
      <x:c r="G799" s="10" t="str">
        <x:v>生重</x:v>
      </x:c>
    </x:row>
    <x:row r="800" ht="23" customHeight="1">
      <x:c r="A800" t="n">
        <x:v>20</x:v>
      </x:c>
      <x:c r="B800" t="str">
        <x:v>菌菇</x:v>
      </x:c>
      <x:c r="C800" t="str">
        <x:v>口蘑</x:v>
      </x:c>
      <x:c r="D800" t="n">
        <x:v>140</x:v>
      </x:c>
      <x:c r="E800" t="n">
        <x:v>150</x:v>
      </x:c>
      <x:c r="F800" s="10" t="str">
        <x:v>食材净重+约8%余量</x:v>
      </x:c>
      <x:c r="G800" s="10" t="str">
        <x:v>生重</x:v>
      </x:c>
    </x:row>
    <x:row r="801" ht="23" customHeight="1">
      <x:c r="A801" t="n">
        <x:v>20</x:v>
      </x:c>
      <x:c r="B801" t="str">
        <x:v>菌菇</x:v>
      </x:c>
      <x:c r="C801" t="str">
        <x:v>金针菇</x:v>
      </x:c>
      <x:c r="D801" t="n">
        <x:v>155</x:v>
      </x:c>
      <x:c r="E801" t="n">
        <x:v>170</x:v>
      </x:c>
      <x:c r="F801" s="10" t="str">
        <x:v>食材净重+约8%余量</x:v>
      </x:c>
      <x:c r="G801" s="10" t="str">
        <x:v>生重</x:v>
      </x:c>
    </x:row>
    <x:row r="802" ht="23" customHeight="1">
      <x:c r="A802" t="n">
        <x:v>20</x:v>
      </x:c>
      <x:c r="B802" t="str">
        <x:v>蔬菜</x:v>
      </x:c>
      <x:c r="C802" t="str">
        <x:v>冬瓜</x:v>
      </x:c>
      <x:c r="D802" t="n">
        <x:v>435</x:v>
      </x:c>
      <x:c r="E802" t="n">
        <x:v>470</x:v>
      </x:c>
      <x:c r="F802" s="10" t="str">
        <x:v>食材净重+约8%余量</x:v>
      </x:c>
      <x:c r="G802" s="10" t="str">
        <x:v>生重</x:v>
      </x:c>
    </x:row>
    <x:row r="803" ht="23" customHeight="1">
      <x:c r="A803" t="n">
        <x:v>20</x:v>
      </x:c>
      <x:c r="B803" t="str">
        <x:v>蔬菜</x:v>
      </x:c>
      <x:c r="C803" t="str">
        <x:v>娃娃菜</x:v>
      </x:c>
      <x:c r="D803" t="n">
        <x:v>160</x:v>
      </x:c>
      <x:c r="E803" t="n">
        <x:v>170</x:v>
      </x:c>
      <x:c r="F803" s="10" t="str">
        <x:v>食材净重+约8%余量</x:v>
      </x:c>
      <x:c r="G803" s="10" t="str">
        <x:v>生重</x:v>
      </x:c>
    </x:row>
    <x:row r="804" ht="23" customHeight="1">
      <x:c r="A804" t="n">
        <x:v>20</x:v>
      </x:c>
      <x:c r="B804" t="str">
        <x:v>蔬菜</x:v>
      </x:c>
      <x:c r="C804" t="str">
        <x:v>小白菜</x:v>
      </x:c>
      <x:c r="D804" t="n">
        <x:v>300</x:v>
      </x:c>
      <x:c r="E804" t="n">
        <x:v>320</x:v>
      </x:c>
      <x:c r="F804" s="10" t="str">
        <x:v>食材净重+约8%余量</x:v>
      </x:c>
      <x:c r="G804" s="10" t="str">
        <x:v>生重</x:v>
      </x:c>
    </x:row>
    <x:row r="805" ht="23" customHeight="1">
      <x:c r="A805" t="n">
        <x:v>20</x:v>
      </x:c>
      <x:c r="B805" t="str">
        <x:v>蔬菜</x:v>
      </x:c>
      <x:c r="C805" t="str">
        <x:v>彩椒</x:v>
      </x:c>
      <x:c r="D805" t="n">
        <x:v>300</x:v>
      </x:c>
      <x:c r="E805" t="n">
        <x:v>320</x:v>
      </x:c>
      <x:c r="F805" s="10" t="str">
        <x:v>食材净重+约8%余量</x:v>
      </x:c>
      <x:c r="G805" s="10" t="str">
        <x:v>生重</x:v>
      </x:c>
    </x:row>
    <x:row r="806" ht="23" customHeight="1">
      <x:c r="A806" t="n">
        <x:v>20</x:v>
      </x:c>
      <x:c r="B806" t="str">
        <x:v>蔬菜</x:v>
      </x:c>
      <x:c r="C806" t="str">
        <x:v>海带</x:v>
      </x:c>
      <x:c r="D806" t="n">
        <x:v>155</x:v>
      </x:c>
      <x:c r="E806" t="n">
        <x:v>170</x:v>
      </x:c>
      <x:c r="F806" s="10" t="str">
        <x:v>食材净重+约8%余量</x:v>
      </x:c>
      <x:c r="G806" s="10" t="str">
        <x:v>泡发沥水重</x:v>
      </x:c>
    </x:row>
    <x:row r="807" ht="23" customHeight="1">
      <x:c r="A807" t="n">
        <x:v>20</x:v>
      </x:c>
      <x:c r="B807" t="str">
        <x:v>蔬菜</x:v>
      </x:c>
      <x:c r="C807" t="str">
        <x:v>番茄</x:v>
      </x:c>
      <x:c r="D807" t="n">
        <x:v>540</x:v>
      </x:c>
      <x:c r="E807" t="n">
        <x:v>580</x:v>
      </x:c>
      <x:c r="F807" s="10" t="str">
        <x:v>食材净重+约8%余量</x:v>
      </x:c>
      <x:c r="G807" s="10" t="str">
        <x:v>生重</x:v>
      </x:c>
    </x:row>
    <x:row r="808" ht="23" customHeight="1">
      <x:c r="A808" t="n">
        <x:v>20</x:v>
      </x:c>
      <x:c r="B808" t="str">
        <x:v>蔬菜</x:v>
      </x:c>
      <x:c r="C808" t="str">
        <x:v>白萝卜</x:v>
      </x:c>
      <x:c r="D808" t="n">
        <x:v>110</x:v>
      </x:c>
      <x:c r="E808" t="n">
        <x:v>120</x:v>
      </x:c>
      <x:c r="F808" s="10" t="str">
        <x:v>食材净重+约8%余量</x:v>
      </x:c>
      <x:c r="G808" s="10" t="str">
        <x:v>生重</x:v>
      </x:c>
    </x:row>
    <x:row r="809" ht="23" customHeight="1">
      <x:c r="A809" t="n">
        <x:v>20</x:v>
      </x:c>
      <x:c r="B809" t="str">
        <x:v>蔬菜</x:v>
      </x:c>
      <x:c r="C809" t="str">
        <x:v>秋葵</x:v>
      </x:c>
      <x:c r="D809" t="n">
        <x:v>140</x:v>
      </x:c>
      <x:c r="E809" t="n">
        <x:v>150</x:v>
      </x:c>
      <x:c r="F809" s="10" t="str">
        <x:v>食材净重+约8%余量</x:v>
      </x:c>
      <x:c r="G809" s="10" t="str">
        <x:v>生重</x:v>
      </x:c>
    </x:row>
    <x:row r="810" ht="23" customHeight="1">
      <x:c r="A810" t="n">
        <x:v>20</x:v>
      </x:c>
      <x:c r="B810" t="str">
        <x:v>蔬菜</x:v>
      </x:c>
      <x:c r="C810" t="str">
        <x:v>紫甘蓝</x:v>
      </x:c>
      <x:c r="D810" t="n">
        <x:v>160</x:v>
      </x:c>
      <x:c r="E810" t="n">
        <x:v>170</x:v>
      </x:c>
      <x:c r="F810" s="10" t="str">
        <x:v>食材净重+约8%余量</x:v>
      </x:c>
      <x:c r="G810" s="10" t="str">
        <x:v>生重</x:v>
      </x:c>
    </x:row>
    <x:row r="811" ht="23" customHeight="1">
      <x:c r="A811" t="n">
        <x:v>20</x:v>
      </x:c>
      <x:c r="B811" t="str">
        <x:v>蔬菜</x:v>
      </x:c>
      <x:c r="C811" t="str">
        <x:v>绿豆芽</x:v>
      </x:c>
      <x:c r="D811" t="n">
        <x:v>140</x:v>
      </x:c>
      <x:c r="E811" t="n">
        <x:v>150</x:v>
      </x:c>
      <x:c r="F811" s="10" t="str">
        <x:v>食材净重+约8%余量</x:v>
      </x:c>
      <x:c r="G811" s="10" t="str">
        <x:v>生重</x:v>
      </x:c>
    </x:row>
    <x:row r="812" ht="23" customHeight="1">
      <x:c r="A812" t="n">
        <x:v>20</x:v>
      </x:c>
      <x:c r="B812" t="str">
        <x:v>蔬菜</x:v>
      </x:c>
      <x:c r="C812" t="str">
        <x:v>胡萝卜</x:v>
      </x:c>
      <x:c r="D812" t="n">
        <x:v>110</x:v>
      </x:c>
      <x:c r="E812" t="n">
        <x:v>120</x:v>
      </x:c>
      <x:c r="F812" s="10" t="str">
        <x:v>食材净重+约8%余量</x:v>
      </x:c>
      <x:c r="G812" s="10" t="str">
        <x:v>生重</x:v>
      </x:c>
    </x:row>
    <x:row r="813" ht="23" customHeight="1">
      <x:c r="A813" t="n">
        <x:v>20</x:v>
      </x:c>
      <x:c r="B813" t="str">
        <x:v>蔬菜</x:v>
      </x:c>
      <x:c r="C813" t="str">
        <x:v>芦笋</x:v>
      </x:c>
      <x:c r="D813" t="n">
        <x:v>125</x:v>
      </x:c>
      <x:c r="E813" t="n">
        <x:v>140</x:v>
      </x:c>
      <x:c r="F813" s="10" t="str">
        <x:v>食材净重+约8%余量</x:v>
      </x:c>
      <x:c r="G813" s="10" t="str">
        <x:v>生重</x:v>
      </x:c>
    </x:row>
    <x:row r="814" ht="23" customHeight="1">
      <x:c r="A814" t="n">
        <x:v>20</x:v>
      </x:c>
      <x:c r="B814" t="str">
        <x:v>蔬菜</x:v>
      </x:c>
      <x:c r="C814" t="str">
        <x:v>花菜</x:v>
      </x:c>
      <x:c r="D814" t="n">
        <x:v>160</x:v>
      </x:c>
      <x:c r="E814" t="n">
        <x:v>170</x:v>
      </x:c>
      <x:c r="F814" s="10" t="str">
        <x:v>食材净重+约8%余量</x:v>
      </x:c>
      <x:c r="G814" s="10" t="str">
        <x:v>生重</x:v>
      </x:c>
    </x:row>
    <x:row r="815" ht="23" customHeight="1">
      <x:c r="A815" t="n">
        <x:v>20</x:v>
      </x:c>
      <x:c r="B815" t="str">
        <x:v>蔬菜</x:v>
      </x:c>
      <x:c r="C815" t="str">
        <x:v>芹菜</x:v>
      </x:c>
      <x:c r="D815" t="n">
        <x:v>160</x:v>
      </x:c>
      <x:c r="E815" t="n">
        <x:v>170</x:v>
      </x:c>
      <x:c r="F815" s="10" t="str">
        <x:v>食材净重+约8%余量</x:v>
      </x:c>
      <x:c r="G815" s="10" t="str">
        <x:v>生重</x:v>
      </x:c>
    </x:row>
    <x:row r="816" ht="23" customHeight="1">
      <x:c r="A816" t="n">
        <x:v>20</x:v>
      </x:c>
      <x:c r="B816" t="str">
        <x:v>蔬菜</x:v>
      </x:c>
      <x:c r="C816" t="str">
        <x:v>荷兰豆</x:v>
      </x:c>
      <x:c r="D816" t="n">
        <x:v>140</x:v>
      </x:c>
      <x:c r="E816" t="n">
        <x:v>150</x:v>
      </x:c>
      <x:c r="F816" s="10" t="str">
        <x:v>食材净重+约8%余量</x:v>
      </x:c>
      <x:c r="G816" s="10" t="str">
        <x:v>生重</x:v>
      </x:c>
    </x:row>
    <x:row r="817" ht="23" customHeight="1">
      <x:c r="A817" t="n">
        <x:v>20</x:v>
      </x:c>
      <x:c r="B817" t="str">
        <x:v>蔬菜</x:v>
      </x:c>
      <x:c r="C817" t="str">
        <x:v>莴笋</x:v>
      </x:c>
      <x:c r="D817" t="n">
        <x:v>160</x:v>
      </x:c>
      <x:c r="E817" t="n">
        <x:v>170</x:v>
      </x:c>
      <x:c r="F817" s="10" t="str">
        <x:v>食材净重+约8%余量</x:v>
      </x:c>
      <x:c r="G817" s="10" t="str">
        <x:v>生重</x:v>
      </x:c>
    </x:row>
    <x:row r="818" ht="23" customHeight="1">
      <x:c r="A818" t="n">
        <x:v>20</x:v>
      </x:c>
      <x:c r="B818" t="str">
        <x:v>蔬菜</x:v>
      </x:c>
      <x:c r="C818" t="str">
        <x:v>菜心</x:v>
      </x:c>
      <x:c r="D818" t="n">
        <x:v>155</x:v>
      </x:c>
      <x:c r="E818" t="n">
        <x:v>170</x:v>
      </x:c>
      <x:c r="F818" s="10" t="str">
        <x:v>食材净重+约8%余量</x:v>
      </x:c>
      <x:c r="G818" s="10" t="str">
        <x:v>生重</x:v>
      </x:c>
    </x:row>
    <x:row r="819" ht="23" customHeight="1">
      <x:c r="A819" t="n">
        <x:v>20</x:v>
      </x:c>
      <x:c r="B819" t="str">
        <x:v>蔬菜</x:v>
      </x:c>
      <x:c r="C819" t="str">
        <x:v>西兰花</x:v>
      </x:c>
      <x:c r="D819" t="n">
        <x:v>160</x:v>
      </x:c>
      <x:c r="E819" t="n">
        <x:v>170</x:v>
      </x:c>
      <x:c r="F819" s="10" t="str">
        <x:v>食材净重+约8%余量</x:v>
      </x:c>
      <x:c r="G819" s="10" t="str">
        <x:v>生重</x:v>
      </x:c>
    </x:row>
    <x:row r="820" ht="23" customHeight="1">
      <x:c r="A820" t="n">
        <x:v>20</x:v>
      </x:c>
      <x:c r="B820" t="str">
        <x:v>蔬菜</x:v>
      </x:c>
      <x:c r="C820" t="str">
        <x:v>黄瓜</x:v>
      </x:c>
      <x:c r="D820" t="n">
        <x:v>280</x:v>
      </x:c>
      <x:c r="E820" t="n">
        <x:v>300</x:v>
      </x:c>
      <x:c r="F820" s="10" t="str">
        <x:v>食材净重+约8%余量</x:v>
      </x:c>
      <x:c r="G820" s="10" t="str">
        <x:v>生重</x:v>
      </x:c>
    </x:row>
    <x:row r="821" ht="23" customHeight="1">
      <x:c r="A821" t="n">
        <x:v>20</x:v>
      </x:c>
      <x:c r="B821" t="str">
        <x:v>豆蛋</x:v>
      </x:c>
      <x:c r="C821" t="str">
        <x:v>北豆腐</x:v>
      </x:c>
      <x:c r="D821" t="n">
        <x:v>280</x:v>
      </x:c>
      <x:c r="E821" t="n">
        <x:v>300</x:v>
      </x:c>
      <x:c r="F821" s="10" t="str">
        <x:v>食材净重+约8%余量</x:v>
      </x:c>
      <x:c r="G821" s="10" t="str">
        <x:v>净重</x:v>
      </x:c>
    </x:row>
    <x:row r="822" ht="23" customHeight="1">
      <x:c r="A822" t="n">
        <x:v>20</x:v>
      </x:c>
      <x:c r="B822" t="str">
        <x:v>豆蛋</x:v>
      </x:c>
      <x:c r="C822" t="str">
        <x:v>嫩豆腐</x:v>
      </x:c>
      <x:c r="D822" t="n">
        <x:v>260</x:v>
      </x:c>
      <x:c r="E822" t="n">
        <x:v>280</x:v>
      </x:c>
      <x:c r="F822" s="10" t="str">
        <x:v>食材净重+约8%余量</x:v>
      </x:c>
      <x:c r="G822" s="10" t="str">
        <x:v>净重</x:v>
      </x:c>
    </x:row>
    <x:row r="823" ht="23" customHeight="1">
      <x:c r="A823" t="n">
        <x:v>20</x:v>
      </x:c>
      <x:c r="B823" t="str">
        <x:v>豆蛋</x:v>
      </x:c>
      <x:c r="C823" t="str">
        <x:v>熟毛豆仁</x:v>
      </x:c>
      <x:c r="D823" t="n">
        <x:v>70</x:v>
      </x:c>
      <x:c r="E823" t="n">
        <x:v>80</x:v>
      </x:c>
      <x:c r="F823" s="10" t="str">
        <x:v>食材净重+约8%余量</x:v>
      </x:c>
      <x:c r="G823" s="10" t="str">
        <x:v>熟重</x:v>
      </x:c>
    </x:row>
    <x:row r="824" ht="23" customHeight="1">
      <x:c r="A824" t="n">
        <x:v>21</x:v>
      </x:c>
      <x:c r="B824" t="str">
        <x:v>主食</x:v>
      </x:c>
      <x:c r="C824" t="str">
        <x:v>土豆</x:v>
      </x:c>
      <x:c r="D824" t="n">
        <x:v>150</x:v>
      </x:c>
      <x:c r="E824" t="n">
        <x:v>160</x:v>
      </x:c>
      <x:c r="F824" s="10" t="str">
        <x:v>鲜薯/玉米净重；考虑小幅损耗</x:v>
      </x:c>
      <x:c r="G824" s="10" t="str">
        <x:v>蒸熟净重</x:v>
      </x:c>
    </x:row>
    <x:row r="825" ht="23" customHeight="1">
      <x:c r="A825" t="n">
        <x:v>21</x:v>
      </x:c>
      <x:c r="B825" t="str">
        <x:v>主食</x:v>
      </x:c>
      <x:c r="C825" t="str">
        <x:v>山药</x:v>
      </x:c>
      <x:c r="D825" t="n">
        <x:v>215</x:v>
      </x:c>
      <x:c r="E825" t="n">
        <x:v>240</x:v>
      </x:c>
      <x:c r="F825" s="10" t="str">
        <x:v>鲜薯/玉米净重；考虑小幅损耗</x:v>
      </x:c>
      <x:c r="G825" s="10" t="str">
        <x:v>蒸熟净重</x:v>
      </x:c>
    </x:row>
    <x:row r="826" ht="23" customHeight="1">
      <x:c r="A826" t="n">
        <x:v>21</x:v>
      </x:c>
      <x:c r="B826" t="str">
        <x:v>主食</x:v>
      </x:c>
      <x:c r="C826" t="str">
        <x:v>杂粮饭</x:v>
      </x:c>
      <x:c r="D826" t="n">
        <x:v>260</x:v>
      </x:c>
      <x:c r="E826" t="n">
        <x:v>100</x:v>
      </x:c>
      <x:c r="F826" s="10" t="str">
        <x:v>未煮干粮约重（按熟饭/生米≈2.6估算）</x:v>
      </x:c>
      <x:c r="G826" s="10" t="str">
        <x:v>熟重</x:v>
      </x:c>
    </x:row>
    <x:row r="827" ht="23" customHeight="1">
      <x:c r="A827" t="n">
        <x:v>21</x:v>
      </x:c>
      <x:c r="B827" t="str">
        <x:v>主食</x:v>
      </x:c>
      <x:c r="C827" t="str">
        <x:v>玉米</x:v>
      </x:c>
      <x:c r="D827" t="n">
        <x:v>260</x:v>
      </x:c>
      <x:c r="E827" t="n">
        <x:v>290</x:v>
      </x:c>
      <x:c r="F827" s="10" t="str">
        <x:v>鲜薯/玉米净重；考虑小幅损耗</x:v>
      </x:c>
      <x:c r="G827" s="10" t="str">
        <x:v>蒸熟净重</x:v>
      </x:c>
    </x:row>
    <x:row r="828" ht="23" customHeight="1">
      <x:c r="A828" t="n">
        <x:v>21</x:v>
      </x:c>
      <x:c r="B828" t="str">
        <x:v>主食</x:v>
      </x:c>
      <x:c r="C828" t="str">
        <x:v>糙米饭</x:v>
      </x:c>
      <x:c r="D828" t="n">
        <x:v>355</x:v>
      </x:c>
      <x:c r="E828" t="n">
        <x:v>140</x:v>
      </x:c>
      <x:c r="F828" s="10" t="str">
        <x:v>未煮干粮约重（按熟饭/生米≈2.6估算）</x:v>
      </x:c>
      <x:c r="G828" s="10" t="str">
        <x:v>熟重</x:v>
      </x:c>
    </x:row>
    <x:row r="829" ht="23" customHeight="1">
      <x:c r="A829" t="n">
        <x:v>21</x:v>
      </x:c>
      <x:c r="B829" t="str">
        <x:v>主食</x:v>
      </x:c>
      <x:c r="C829" t="str">
        <x:v>紫薯</x:v>
      </x:c>
      <x:c r="D829" t="n">
        <x:v>135</x:v>
      </x:c>
      <x:c r="E829" t="n">
        <x:v>150</x:v>
      </x:c>
      <x:c r="F829" s="10" t="str">
        <x:v>鲜薯/玉米净重；考虑小幅损耗</x:v>
      </x:c>
      <x:c r="G829" s="10" t="str">
        <x:v>蒸熟净重</x:v>
      </x:c>
    </x:row>
    <x:row r="830" ht="23" customHeight="1">
      <x:c r="A830" t="n">
        <x:v>21</x:v>
      </x:c>
      <x:c r="B830" t="str">
        <x:v>主食</x:v>
      </x:c>
      <x:c r="C830" t="str">
        <x:v>红薯</x:v>
      </x:c>
      <x:c r="D830" t="n">
        <x:v>150</x:v>
      </x:c>
      <x:c r="E830" t="n">
        <x:v>160</x:v>
      </x:c>
      <x:c r="F830" s="10" t="str">
        <x:v>鲜薯/玉米净重；考虑小幅损耗</x:v>
      </x:c>
      <x:c r="G830" s="10" t="str">
        <x:v>蒸熟净重</x:v>
      </x:c>
    </x:row>
    <x:row r="831" ht="23" customHeight="1">
      <x:c r="A831" t="n">
        <x:v>21</x:v>
      </x:c>
      <x:c r="B831" t="str">
        <x:v>主食</x:v>
      </x:c>
      <x:c r="C831" t="str">
        <x:v>荞麦面</x:v>
      </x:c>
      <x:c r="D831" t="n">
        <x:v>110</x:v>
      </x:c>
      <x:c r="E831" t="n">
        <x:v>50</x:v>
      </x:c>
      <x:c r="F831" s="10" t="str">
        <x:v>干粮约重（按熟面/干面≈2.1估算）</x:v>
      </x:c>
      <x:c r="G831" s="10" t="str">
        <x:v>煮熟沥水重</x:v>
      </x:c>
    </x:row>
    <x:row r="832" ht="23" customHeight="1">
      <x:c r="A832" t="n">
        <x:v>21</x:v>
      </x:c>
      <x:c r="B832" t="str">
        <x:v>主食</x:v>
      </x:c>
      <x:c r="C832" t="str">
        <x:v>荞麦饭</x:v>
      </x:c>
      <x:c r="D832" t="n">
        <x:v>95</x:v>
      </x:c>
      <x:c r="E832" t="n">
        <x:v>40</x:v>
      </x:c>
      <x:c r="F832" s="10" t="str">
        <x:v>未煮干粮约重（按熟饭/生米≈2.6估算）</x:v>
      </x:c>
      <x:c r="G832" s="10" t="str">
        <x:v>熟重</x:v>
      </x:c>
    </x:row>
    <x:row r="833" ht="23" customHeight="1">
      <x:c r="A833" t="n">
        <x:v>21</x:v>
      </x:c>
      <x:c r="B833" t="str">
        <x:v>油脂</x:v>
      </x:c>
      <x:c r="C833" t="str">
        <x:v>烹调油</x:v>
      </x:c>
      <x:c r="D833" t="n">
        <x:v>59</x:v>
      </x:c>
      <x:c r="E833" t="n">
        <x:v>59</x:v>
      </x:c>
      <x:c r="F833" s="10" t="str">
        <x:v>食用油；现有库存足够即可</x:v>
      </x:c>
      <x:c r="G833" s="10" t="str">
        <x:v>实际用油重</x:v>
      </x:c>
    </x:row>
    <x:row r="834" ht="23" customHeight="1">
      <x:c r="A834" t="n">
        <x:v>21</x:v>
      </x:c>
      <x:c r="B834" t="str">
        <x:v>海鲜</x:v>
      </x:c>
      <x:c r="C834" t="str">
        <x:v>虾仁</x:v>
      </x:c>
      <x:c r="D834" t="n">
        <x:v>175</x:v>
      </x:c>
      <x:c r="E834" t="n">
        <x:v>190</x:v>
      </x:c>
      <x:c r="F834" s="10" t="str">
        <x:v>食材净重+约8%余量</x:v>
      </x:c>
      <x:c r="G834" s="10" t="str">
        <x:v>生重</x:v>
      </x:c>
    </x:row>
    <x:row r="835" ht="23" customHeight="1">
      <x:c r="A835" t="n">
        <x:v>21</x:v>
      </x:c>
      <x:c r="B835" t="str">
        <x:v>牛肉</x:v>
      </x:c>
      <x:c r="C835" t="str">
        <x:v>牛腱子</x:v>
      </x:c>
      <x:c r="D835" t="n">
        <x:v>145</x:v>
      </x:c>
      <x:c r="E835" t="n">
        <x:v>160</x:v>
      </x:c>
      <x:c r="F835" s="10" t="str">
        <x:v>食材净重+约8%余量</x:v>
      </x:c>
      <x:c r="G835" s="10" t="str">
        <x:v>生重</x:v>
      </x:c>
    </x:row>
    <x:row r="836" ht="23" customHeight="1">
      <x:c r="A836" t="n">
        <x:v>21</x:v>
      </x:c>
      <x:c r="B836" t="str">
        <x:v>牛肉</x:v>
      </x:c>
      <x:c r="C836" t="str">
        <x:v>瘦牛肉</x:v>
      </x:c>
      <x:c r="D836" t="n">
        <x:v>310</x:v>
      </x:c>
      <x:c r="E836" t="n">
        <x:v>330</x:v>
      </x:c>
      <x:c r="F836" s="10" t="str">
        <x:v>食材净重+约8%余量</x:v>
      </x:c>
      <x:c r="G836" s="10" t="str">
        <x:v>生重</x:v>
      </x:c>
    </x:row>
    <x:row r="837" ht="23" customHeight="1">
      <x:c r="A837" t="n">
        <x:v>21</x:v>
      </x:c>
      <x:c r="B837" t="str">
        <x:v>猪肉</x:v>
      </x:c>
      <x:c r="C837" t="str">
        <x:v>猪瘦肉</x:v>
      </x:c>
      <x:c r="D837" t="n">
        <x:v>185</x:v>
      </x:c>
      <x:c r="E837" t="n">
        <x:v>200</x:v>
      </x:c>
      <x:c r="F837" s="10" t="str">
        <x:v>食材净重+约8%余量</x:v>
      </x:c>
      <x:c r="G837" s="10" t="str">
        <x:v>生重</x:v>
      </x:c>
    </x:row>
    <x:row r="838" ht="23" customHeight="1">
      <x:c r="A838" t="n">
        <x:v>21</x:v>
      </x:c>
      <x:c r="B838" t="str">
        <x:v>禽肉</x:v>
      </x:c>
      <x:c r="C838" t="str">
        <x:v>去皮鸡腿肉</x:v>
      </x:c>
      <x:c r="D838" t="n">
        <x:v>350</x:v>
      </x:c>
      <x:c r="E838" t="n">
        <x:v>380</x:v>
      </x:c>
      <x:c r="F838" s="10" t="str">
        <x:v>食材净重+约8%余量</x:v>
      </x:c>
      <x:c r="G838" s="10" t="str">
        <x:v>生重</x:v>
      </x:c>
    </x:row>
    <x:row r="839" ht="23" customHeight="1">
      <x:c r="A839" t="n">
        <x:v>21</x:v>
      </x:c>
      <x:c r="B839" t="str">
        <x:v>禽肉</x:v>
      </x:c>
      <x:c r="C839" t="str">
        <x:v>鸡胸肉</x:v>
      </x:c>
      <x:c r="D839" t="n">
        <x:v>680</x:v>
      </x:c>
      <x:c r="E839" t="n">
        <x:v>730</x:v>
      </x:c>
      <x:c r="F839" s="10" t="str">
        <x:v>食材净重+约8%余量</x:v>
      </x:c>
      <x:c r="G839" s="10" t="str">
        <x:v>生重</x:v>
      </x:c>
    </x:row>
    <x:row r="840" ht="23" customHeight="1">
      <x:c r="A840" t="n">
        <x:v>21</x:v>
      </x:c>
      <x:c r="B840" t="str">
        <x:v>菌菇</x:v>
      </x:c>
      <x:c r="C840" t="str">
        <x:v>口蘑</x:v>
      </x:c>
      <x:c r="D840" t="n">
        <x:v>280</x:v>
      </x:c>
      <x:c r="E840" t="n">
        <x:v>300</x:v>
      </x:c>
      <x:c r="F840" s="10" t="str">
        <x:v>食材净重+约8%余量</x:v>
      </x:c>
      <x:c r="G840" s="10" t="str">
        <x:v>生重</x:v>
      </x:c>
    </x:row>
    <x:row r="841" ht="23" customHeight="1">
      <x:c r="A841" t="n">
        <x:v>21</x:v>
      </x:c>
      <x:c r="B841" t="str">
        <x:v>菌菇</x:v>
      </x:c>
      <x:c r="C841" t="str">
        <x:v>泡发木耳</x:v>
      </x:c>
      <x:c r="D841" t="n">
        <x:v>140</x:v>
      </x:c>
      <x:c r="E841" t="n">
        <x:v>150</x:v>
      </x:c>
      <x:c r="F841" s="10" t="str">
        <x:v>食材净重+约8%余量</x:v>
      </x:c>
      <x:c r="G841" s="10" t="str">
        <x:v>泡发沥水重</x:v>
      </x:c>
    </x:row>
    <x:row r="842" ht="23" customHeight="1">
      <x:c r="A842" t="n">
        <x:v>21</x:v>
      </x:c>
      <x:c r="B842" t="str">
        <x:v>菌菇</x:v>
      </x:c>
      <x:c r="C842" t="str">
        <x:v>香菇</x:v>
      </x:c>
      <x:c r="D842" t="n">
        <x:v>420</x:v>
      </x:c>
      <x:c r="E842" t="n">
        <x:v>450</x:v>
      </x:c>
      <x:c r="F842" s="10" t="str">
        <x:v>食材净重+约8%余量</x:v>
      </x:c>
      <x:c r="G842" s="10" t="str">
        <x:v>生重</x:v>
      </x:c>
    </x:row>
    <x:row r="843" ht="23" customHeight="1">
      <x:c r="A843" t="n">
        <x:v>21</x:v>
      </x:c>
      <x:c r="B843" t="str">
        <x:v>蔬菜</x:v>
      </x:c>
      <x:c r="C843" t="str">
        <x:v>丝瓜</x:v>
      </x:c>
      <x:c r="D843" t="n">
        <x:v>175</x:v>
      </x:c>
      <x:c r="E843" t="n">
        <x:v>190</x:v>
      </x:c>
      <x:c r="F843" s="10" t="str">
        <x:v>食材净重+约8%余量</x:v>
      </x:c>
      <x:c r="G843" s="10" t="str">
        <x:v>生重</x:v>
      </x:c>
    </x:row>
    <x:row r="844" ht="23" customHeight="1">
      <x:c r="A844" t="n">
        <x:v>21</x:v>
      </x:c>
      <x:c r="B844" t="str">
        <x:v>蔬菜</x:v>
      </x:c>
      <x:c r="C844" t="str">
        <x:v>冬瓜</x:v>
      </x:c>
      <x:c r="D844" t="n">
        <x:v>190</x:v>
      </x:c>
      <x:c r="E844" t="n">
        <x:v>210</x:v>
      </x:c>
      <x:c r="F844" s="10" t="str">
        <x:v>食材净重+约8%余量</x:v>
      </x:c>
      <x:c r="G844" s="10" t="str">
        <x:v>生重</x:v>
      </x:c>
    </x:row>
    <x:row r="845" ht="23" customHeight="1">
      <x:c r="A845" t="n">
        <x:v>21</x:v>
      </x:c>
      <x:c r="B845" t="str">
        <x:v>蔬菜</x:v>
      </x:c>
      <x:c r="C845" t="str">
        <x:v>小白菜</x:v>
      </x:c>
      <x:c r="D845" t="n">
        <x:v>220</x:v>
      </x:c>
      <x:c r="E845" t="n">
        <x:v>240</x:v>
      </x:c>
      <x:c r="F845" s="10" t="str">
        <x:v>食材净重+约8%余量</x:v>
      </x:c>
      <x:c r="G845" s="10" t="str">
        <x:v>生重</x:v>
      </x:c>
    </x:row>
    <x:row r="846" ht="23" customHeight="1">
      <x:c r="A846" t="n">
        <x:v>21</x:v>
      </x:c>
      <x:c r="B846" t="str">
        <x:v>蔬菜</x:v>
      </x:c>
      <x:c r="C846" t="str">
        <x:v>彩椒</x:v>
      </x:c>
      <x:c r="D846" t="n">
        <x:v>190</x:v>
      </x:c>
      <x:c r="E846" t="n">
        <x:v>210</x:v>
      </x:c>
      <x:c r="F846" s="10" t="str">
        <x:v>食材净重+约8%余量</x:v>
      </x:c>
      <x:c r="G846" s="10" t="str">
        <x:v>生重</x:v>
      </x:c>
    </x:row>
    <x:row r="847" ht="23" customHeight="1">
      <x:c r="A847" t="n">
        <x:v>21</x:v>
      </x:c>
      <x:c r="B847" t="str">
        <x:v>蔬菜</x:v>
      </x:c>
      <x:c r="C847" t="str">
        <x:v>洋葱</x:v>
      </x:c>
      <x:c r="D847" t="n">
        <x:v>155</x:v>
      </x:c>
      <x:c r="E847" t="n">
        <x:v>170</x:v>
      </x:c>
      <x:c r="F847" s="10" t="str">
        <x:v>食材净重+约8%余量</x:v>
      </x:c>
      <x:c r="G847" s="10" t="str">
        <x:v>生重</x:v>
      </x:c>
    </x:row>
    <x:row r="848" ht="23" customHeight="1">
      <x:c r="A848" t="n">
        <x:v>21</x:v>
      </x:c>
      <x:c r="B848" t="str">
        <x:v>蔬菜</x:v>
      </x:c>
      <x:c r="C848" t="str">
        <x:v>番茄</x:v>
      </x:c>
      <x:c r="D848" t="n">
        <x:v>520</x:v>
      </x:c>
      <x:c r="E848" t="n">
        <x:v>560</x:v>
      </x:c>
      <x:c r="F848" s="10" t="str">
        <x:v>食材净重+约8%余量</x:v>
      </x:c>
      <x:c r="G848" s="10" t="str">
        <x:v>生重</x:v>
      </x:c>
    </x:row>
    <x:row r="849" ht="23" customHeight="1">
      <x:c r="A849" t="n">
        <x:v>21</x:v>
      </x:c>
      <x:c r="B849" t="str">
        <x:v>蔬菜</x:v>
      </x:c>
      <x:c r="C849" t="str">
        <x:v>芦笋</x:v>
      </x:c>
      <x:c r="D849" t="n">
        <x:v>660</x:v>
      </x:c>
      <x:c r="E849" t="n">
        <x:v>710</x:v>
      </x:c>
      <x:c r="F849" s="10" t="str">
        <x:v>食材净重+约8%余量</x:v>
      </x:c>
      <x:c r="G849" s="10" t="str">
        <x:v>生重</x:v>
      </x:c>
    </x:row>
    <x:row r="850" ht="23" customHeight="1">
      <x:c r="A850" t="n">
        <x:v>21</x:v>
      </x:c>
      <x:c r="B850" t="str">
        <x:v>蔬菜</x:v>
      </x:c>
      <x:c r="C850" t="str">
        <x:v>花菜</x:v>
      </x:c>
      <x:c r="D850" t="n">
        <x:v>345</x:v>
      </x:c>
      <x:c r="E850" t="n">
        <x:v>370</x:v>
      </x:c>
      <x:c r="F850" s="10" t="str">
        <x:v>食材净重+约8%余量</x:v>
      </x:c>
      <x:c r="G850" s="10" t="str">
        <x:v>生重</x:v>
      </x:c>
    </x:row>
    <x:row r="851" ht="23" customHeight="1">
      <x:c r="A851" t="n">
        <x:v>21</x:v>
      </x:c>
      <x:c r="B851" t="str">
        <x:v>蔬菜</x:v>
      </x:c>
      <x:c r="C851" t="str">
        <x:v>苦瓜</x:v>
      </x:c>
      <x:c r="D851" t="n">
        <x:v>190</x:v>
      </x:c>
      <x:c r="E851" t="n">
        <x:v>210</x:v>
      </x:c>
      <x:c r="F851" s="10" t="str">
        <x:v>食材净重+约8%余量</x:v>
      </x:c>
      <x:c r="G851" s="10" t="str">
        <x:v>生重</x:v>
      </x:c>
    </x:row>
    <x:row r="852" ht="23" customHeight="1">
      <x:c r="A852" t="n">
        <x:v>21</x:v>
      </x:c>
      <x:c r="B852" t="str">
        <x:v>蔬菜</x:v>
      </x:c>
      <x:c r="C852" t="str">
        <x:v>荷兰豆</x:v>
      </x:c>
      <x:c r="D852" t="n">
        <x:v>125</x:v>
      </x:c>
      <x:c r="E852" t="n">
        <x:v>140</x:v>
      </x:c>
      <x:c r="F852" s="10" t="str">
        <x:v>食材净重+约8%余量</x:v>
      </x:c>
      <x:c r="G852" s="10" t="str">
        <x:v>生重</x:v>
      </x:c>
    </x:row>
    <x:row r="853" ht="23" customHeight="1">
      <x:c r="A853" t="n">
        <x:v>21</x:v>
      </x:c>
      <x:c r="B853" t="str">
        <x:v>蔬菜</x:v>
      </x:c>
      <x:c r="C853" t="str">
        <x:v>莴笋</x:v>
      </x:c>
      <x:c r="D853" t="n">
        <x:v>300</x:v>
      </x:c>
      <x:c r="E853" t="n">
        <x:v>320</x:v>
      </x:c>
      <x:c r="F853" s="10" t="str">
        <x:v>食材净重+约8%余量</x:v>
      </x:c>
      <x:c r="G853" s="10" t="str">
        <x:v>生重</x:v>
      </x:c>
    </x:row>
    <x:row r="854" ht="23" customHeight="1">
      <x:c r="A854" t="n">
        <x:v>21</x:v>
      </x:c>
      <x:c r="B854" t="str">
        <x:v>蔬菜</x:v>
      </x:c>
      <x:c r="C854" t="str">
        <x:v>菠菜</x:v>
      </x:c>
      <x:c r="D854" t="n">
        <x:v>140</x:v>
      </x:c>
      <x:c r="E854" t="n">
        <x:v>150</x:v>
      </x:c>
      <x:c r="F854" s="10" t="str">
        <x:v>食材净重+约8%余量</x:v>
      </x:c>
      <x:c r="G854" s="10" t="str">
        <x:v>生重</x:v>
      </x:c>
    </x:row>
    <x:row r="855" ht="23" customHeight="1">
      <x:c r="A855" t="n">
        <x:v>21</x:v>
      </x:c>
      <x:c r="B855" t="str">
        <x:v>蔬菜</x:v>
      </x:c>
      <x:c r="C855" t="str">
        <x:v>西兰花</x:v>
      </x:c>
      <x:c r="D855" t="n">
        <x:v>265</x:v>
      </x:c>
      <x:c r="E855" t="n">
        <x:v>290</x:v>
      </x:c>
      <x:c r="F855" s="10" t="str">
        <x:v>食材净重+约8%余量</x:v>
      </x:c>
      <x:c r="G855" s="10" t="str">
        <x:v>生重</x:v>
      </x:c>
    </x:row>
    <x:row r="856" ht="23" customHeight="1">
      <x:c r="A856" t="n">
        <x:v>21</x:v>
      </x:c>
      <x:c r="B856" t="str">
        <x:v>豆蛋</x:v>
      </x:c>
      <x:c r="C856" t="str">
        <x:v>北豆腐</x:v>
      </x:c>
      <x:c r="D856" t="n">
        <x:v>110</x:v>
      </x:c>
      <x:c r="E856" t="n">
        <x:v>120</x:v>
      </x:c>
      <x:c r="F856" s="10" t="str">
        <x:v>食材净重+约8%余量</x:v>
      </x:c>
      <x:c r="G856" s="10" t="str">
        <x:v>净重</x:v>
      </x:c>
    </x:row>
    <x:row r="857" ht="23" customHeight="1">
      <x:c r="A857" t="n">
        <x:v>21</x:v>
      </x:c>
      <x:c r="B857" t="str">
        <x:v>豆蛋</x:v>
      </x:c>
      <x:c r="C857" t="str">
        <x:v>嫩豆腐</x:v>
      </x:c>
      <x:c r="D857" t="n">
        <x:v>240</x:v>
      </x:c>
      <x:c r="E857" t="n">
        <x:v>260</x:v>
      </x:c>
      <x:c r="F857" s="10" t="str">
        <x:v>食材净重+约8%余量</x:v>
      </x:c>
      <x:c r="G857" s="10" t="str">
        <x:v>净重</x:v>
      </x:c>
    </x:row>
    <x:row r="858" ht="23" customHeight="1">
      <x:c r="A858" t="n">
        <x:v>21</x:v>
      </x:c>
      <x:c r="B858" t="str">
        <x:v>豆蛋</x:v>
      </x:c>
      <x:c r="C858" t="str">
        <x:v>鸡蛋</x:v>
      </x:c>
      <x:c r="D858" t="n">
        <x:v>60</x:v>
      </x:c>
      <x:c r="E858" t="n">
        <x:v>60</x:v>
      </x:c>
      <x:c r="F858" s="10" t="str">
        <x:v>食材净重+约8%余量</x:v>
      </x:c>
      <x:c r="G858" s="10" t="str">
        <x:v>去壳可食重</x:v>
      </x:c>
    </x:row>
    <x:row r="859" ht="23" customHeight="1">
      <x:c r="A859" t="n">
        <x:v>21</x:v>
      </x:c>
      <x:c r="B859" t="str">
        <x:v>鱼类</x:v>
      </x:c>
      <x:c r="C859" t="str">
        <x:v>三文鱼</x:v>
      </x:c>
      <x:c r="D859" t="n">
        <x:v>120</x:v>
      </x:c>
      <x:c r="E859" t="n">
        <x:v>130</x:v>
      </x:c>
      <x:c r="F859" s="10" t="str">
        <x:v>食材净重+约8%余量</x:v>
      </x:c>
      <x:c r="G859" s="10" t="str">
        <x:v>净鱼肉生重</x:v>
      </x:c>
    </x:row>
    <x:row r="860" ht="23" customHeight="1">
      <x:c r="A860" t="n">
        <x:v>21</x:v>
      </x:c>
      <x:c r="B860" t="str">
        <x:v>鱼类</x:v>
      </x:c>
      <x:c r="C860" t="str">
        <x:v>巴沙鱼</x:v>
      </x:c>
      <x:c r="D860" t="n">
        <x:v>200</x:v>
      </x:c>
      <x:c r="E860" t="n">
        <x:v>220</x:v>
      </x:c>
      <x:c r="F860" s="10" t="str">
        <x:v>食材净重+约8%余量</x:v>
      </x:c>
      <x:c r="G860" s="10" t="str">
        <x:v>净鱼肉生重</x:v>
      </x:c>
    </x:row>
    <x:row r="861" ht="23" customHeight="1">
      <x:c r="A861" t="n">
        <x:v>22</x:v>
      </x:c>
      <x:c r="B861" t="str">
        <x:v>主食</x:v>
      </x:c>
      <x:c r="C861" t="str">
        <x:v>全麦面</x:v>
      </x:c>
      <x:c r="D861" t="n">
        <x:v>95</x:v>
      </x:c>
      <x:c r="E861" t="n">
        <x:v>50</x:v>
      </x:c>
      <x:c r="F861" s="10" t="str">
        <x:v>干粮约重（按熟面/干面≈2.1估算）</x:v>
      </x:c>
      <x:c r="G861" s="10" t="str">
        <x:v>煮熟沥水重</x:v>
      </x:c>
    </x:row>
    <x:row r="862" ht="23" customHeight="1">
      <x:c r="A862" t="n">
        <x:v>22</x:v>
      </x:c>
      <x:c r="B862" t="str">
        <x:v>主食</x:v>
      </x:c>
      <x:c r="C862" t="str">
        <x:v>土豆</x:v>
      </x:c>
      <x:c r="D862" t="n">
        <x:v>110</x:v>
      </x:c>
      <x:c r="E862" t="n">
        <x:v>120</x:v>
      </x:c>
      <x:c r="F862" s="10" t="str">
        <x:v>鲜薯/玉米净重；考虑小幅损耗</x:v>
      </x:c>
      <x:c r="G862" s="10" t="str">
        <x:v>蒸熟净重</x:v>
      </x:c>
    </x:row>
    <x:row r="863" ht="23" customHeight="1">
      <x:c r="A863" t="n">
        <x:v>22</x:v>
      </x:c>
      <x:c r="B863" t="str">
        <x:v>主食</x:v>
      </x:c>
      <x:c r="C863" t="str">
        <x:v>杂粮饭</x:v>
      </x:c>
      <x:c r="D863" t="n">
        <x:v>235</x:v>
      </x:c>
      <x:c r="E863" t="n">
        <x:v>90</x:v>
      </x:c>
      <x:c r="F863" s="10" t="str">
        <x:v>未煮干粮约重（按熟饭/生米≈2.6估算）</x:v>
      </x:c>
      <x:c r="G863" s="10" t="str">
        <x:v>熟重</x:v>
      </x:c>
    </x:row>
    <x:row r="864" ht="23" customHeight="1">
      <x:c r="A864" t="n">
        <x:v>22</x:v>
      </x:c>
      <x:c r="B864" t="str">
        <x:v>主食</x:v>
      </x:c>
      <x:c r="C864" t="str">
        <x:v>燕麦饭</x:v>
      </x:c>
      <x:c r="D864" t="n">
        <x:v>110</x:v>
      </x:c>
      <x:c r="E864" t="n">
        <x:v>40</x:v>
      </x:c>
      <x:c r="F864" s="10" t="str">
        <x:v>未煮干粮约重（按熟饭/生米≈2.6估算）</x:v>
      </x:c>
      <x:c r="G864" s="10" t="str">
        <x:v>熟重</x:v>
      </x:c>
    </x:row>
    <x:row r="865" ht="23" customHeight="1">
      <x:c r="A865" t="n">
        <x:v>22</x:v>
      </x:c>
      <x:c r="B865" t="str">
        <x:v>主食</x:v>
      </x:c>
      <x:c r="C865" t="str">
        <x:v>玉米</x:v>
      </x:c>
      <x:c r="D865" t="n">
        <x:v>135</x:v>
      </x:c>
      <x:c r="E865" t="n">
        <x:v>150</x:v>
      </x:c>
      <x:c r="F865" s="10" t="str">
        <x:v>鲜薯/玉米净重；考虑小幅损耗</x:v>
      </x:c>
      <x:c r="G865" s="10" t="str">
        <x:v>蒸熟净重</x:v>
      </x:c>
    </x:row>
    <x:row r="866" ht="23" customHeight="1">
      <x:c r="A866" t="n">
        <x:v>22</x:v>
      </x:c>
      <x:c r="B866" t="str">
        <x:v>主食</x:v>
      </x:c>
      <x:c r="C866" t="str">
        <x:v>白米饭</x:v>
      </x:c>
      <x:c r="D866" t="n">
        <x:v>165</x:v>
      </x:c>
      <x:c r="E866" t="n">
        <x:v>60</x:v>
      </x:c>
      <x:c r="F866" s="10" t="str">
        <x:v>未煮干粮约重（按熟饭/生米≈2.6估算）</x:v>
      </x:c>
      <x:c r="G866" s="10" t="str">
        <x:v>熟重</x:v>
      </x:c>
    </x:row>
    <x:row r="867" ht="23" customHeight="1">
      <x:c r="A867" t="n">
        <x:v>22</x:v>
      </x:c>
      <x:c r="B867" t="str">
        <x:v>主食</x:v>
      </x:c>
      <x:c r="C867" t="str">
        <x:v>糙米饭</x:v>
      </x:c>
      <x:c r="D867" t="n">
        <x:v>135</x:v>
      </x:c>
      <x:c r="E867" t="n">
        <x:v>50</x:v>
      </x:c>
      <x:c r="F867" s="10" t="str">
        <x:v>未煮干粮约重（按熟饭/生米≈2.6估算）</x:v>
      </x:c>
      <x:c r="G867" s="10" t="str">
        <x:v>熟重</x:v>
      </x:c>
    </x:row>
    <x:row r="868" ht="23" customHeight="1">
      <x:c r="A868" t="n">
        <x:v>22</x:v>
      </x:c>
      <x:c r="B868" t="str">
        <x:v>主食</x:v>
      </x:c>
      <x:c r="C868" t="str">
        <x:v>紫薯</x:v>
      </x:c>
      <x:c r="D868" t="n">
        <x:v>300</x:v>
      </x:c>
      <x:c r="E868" t="n">
        <x:v>330</x:v>
      </x:c>
      <x:c r="F868" s="10" t="str">
        <x:v>鲜薯/玉米净重；考虑小幅损耗</x:v>
      </x:c>
      <x:c r="G868" s="10" t="str">
        <x:v>蒸熟净重</x:v>
      </x:c>
    </x:row>
    <x:row r="869" ht="23" customHeight="1">
      <x:c r="A869" t="n">
        <x:v>22</x:v>
      </x:c>
      <x:c r="B869" t="str">
        <x:v>主食</x:v>
      </x:c>
      <x:c r="C869" t="str">
        <x:v>红薯</x:v>
      </x:c>
      <x:c r="D869" t="n">
        <x:v>125</x:v>
      </x:c>
      <x:c r="E869" t="n">
        <x:v>140</x:v>
      </x:c>
      <x:c r="F869" s="10" t="str">
        <x:v>鲜薯/玉米净重；考虑小幅损耗</x:v>
      </x:c>
      <x:c r="G869" s="10" t="str">
        <x:v>蒸熟净重</x:v>
      </x:c>
    </x:row>
    <x:row r="870" ht="23" customHeight="1">
      <x:c r="A870" t="n">
        <x:v>22</x:v>
      </x:c>
      <x:c r="B870" t="str">
        <x:v>主食</x:v>
      </x:c>
      <x:c r="C870" t="str">
        <x:v>荞麦饭</x:v>
      </x:c>
      <x:c r="D870" t="n">
        <x:v>110</x:v>
      </x:c>
      <x:c r="E870" t="n">
        <x:v>40</x:v>
      </x:c>
      <x:c r="F870" s="10" t="str">
        <x:v>未煮干粮约重（按熟饭/生米≈2.6估算）</x:v>
      </x:c>
      <x:c r="G870" s="10" t="str">
        <x:v>熟重</x:v>
      </x:c>
    </x:row>
    <x:row r="871" ht="23" customHeight="1">
      <x:c r="A871" t="n">
        <x:v>22</x:v>
      </x:c>
      <x:c r="B871" t="str">
        <x:v>主食</x:v>
      </x:c>
      <x:c r="C871" t="str">
        <x:v>藜麦饭</x:v>
      </x:c>
      <x:c r="D871" t="n">
        <x:v>165</x:v>
      </x:c>
      <x:c r="E871" t="n">
        <x:v>60</x:v>
      </x:c>
      <x:c r="F871" s="10" t="str">
        <x:v>未煮干粮约重（按熟饭/生米≈2.6估算）</x:v>
      </x:c>
      <x:c r="G871" s="10" t="str">
        <x:v>熟重</x:v>
      </x:c>
    </x:row>
    <x:row r="872" ht="23" customHeight="1">
      <x:c r="A872" t="n">
        <x:v>22</x:v>
      </x:c>
      <x:c r="B872" t="str">
        <x:v>低主食</x:v>
      </x:c>
      <x:c r="C872" t="str">
        <x:v>魔芋丝</x:v>
      </x:c>
      <x:c r="D872" t="n">
        <x:v>180</x:v>
      </x:c>
      <x:c r="E872" t="n">
        <x:v>190</x:v>
      </x:c>
      <x:c r="F872" s="10" t="str">
        <x:v>袋装沥水净重</x:v>
      </x:c>
      <x:c r="G872" s="10" t="str">
        <x:v>沥水重</x:v>
      </x:c>
    </x:row>
    <x:row r="873" ht="23" customHeight="1">
      <x:c r="A873" t="n">
        <x:v>22</x:v>
      </x:c>
      <x:c r="B873" t="str">
        <x:v>油脂</x:v>
      </x:c>
      <x:c r="C873" t="str">
        <x:v>烹调油</x:v>
      </x:c>
      <x:c r="D873" t="n">
        <x:v>67</x:v>
      </x:c>
      <x:c r="E873" t="n">
        <x:v>67</x:v>
      </x:c>
      <x:c r="F873" s="10" t="str">
        <x:v>食用油；现有库存足够即可</x:v>
      </x:c>
      <x:c r="G873" s="10" t="str">
        <x:v>实际用油重</x:v>
      </x:c>
    </x:row>
    <x:row r="874" ht="23" customHeight="1">
      <x:c r="A874" t="n">
        <x:v>22</x:v>
      </x:c>
      <x:c r="B874" t="str">
        <x:v>海鲜</x:v>
      </x:c>
      <x:c r="C874" t="str">
        <x:v>花蛤肉</x:v>
      </x:c>
      <x:c r="D874" t="n">
        <x:v>360</x:v>
      </x:c>
      <x:c r="E874" t="n">
        <x:v>390</x:v>
      </x:c>
      <x:c r="F874" s="10" t="str">
        <x:v>食材净重+约8%余量；带壳或带骨采购需另折算</x:v>
      </x:c>
      <x:c r="G874" s="10" t="str">
        <x:v>净肉生重</x:v>
      </x:c>
    </x:row>
    <x:row r="875" ht="23" customHeight="1">
      <x:c r="A875" t="n">
        <x:v>22</x:v>
      </x:c>
      <x:c r="B875" t="str">
        <x:v>海鲜</x:v>
      </x:c>
      <x:c r="C875" t="str">
        <x:v>虾仁</x:v>
      </x:c>
      <x:c r="D875" t="n">
        <x:v>85</x:v>
      </x:c>
      <x:c r="E875" t="n">
        <x:v>90</x:v>
      </x:c>
      <x:c r="F875" s="10" t="str">
        <x:v>食材净重+约8%余量</x:v>
      </x:c>
      <x:c r="G875" s="10" t="str">
        <x:v>生重</x:v>
      </x:c>
    </x:row>
    <x:row r="876" ht="23" customHeight="1">
      <x:c r="A876" t="n">
        <x:v>22</x:v>
      </x:c>
      <x:c r="B876" t="str">
        <x:v>牛肉</x:v>
      </x:c>
      <x:c r="C876" t="str">
        <x:v>瘦牛肉</x:v>
      </x:c>
      <x:c r="D876" t="n">
        <x:v>160</x:v>
      </x:c>
      <x:c r="E876" t="n">
        <x:v>170</x:v>
      </x:c>
      <x:c r="F876" s="10" t="str">
        <x:v>食材净重+约8%余量</x:v>
      </x:c>
      <x:c r="G876" s="10" t="str">
        <x:v>生重</x:v>
      </x:c>
    </x:row>
    <x:row r="877" ht="23" customHeight="1">
      <x:c r="A877" t="n">
        <x:v>22</x:v>
      </x:c>
      <x:c r="B877" t="str">
        <x:v>猪肉</x:v>
      </x:c>
      <x:c r="C877" t="str">
        <x:v>猪里脊</x:v>
      </x:c>
      <x:c r="D877" t="n">
        <x:v>185</x:v>
      </x:c>
      <x:c r="E877" t="n">
        <x:v>200</x:v>
      </x:c>
      <x:c r="F877" s="10" t="str">
        <x:v>食材净重+约8%余量</x:v>
      </x:c>
      <x:c r="G877" s="10" t="str">
        <x:v>生重</x:v>
      </x:c>
    </x:row>
    <x:row r="878" ht="23" customHeight="1">
      <x:c r="A878" t="n">
        <x:v>22</x:v>
      </x:c>
      <x:c r="B878" t="str">
        <x:v>禽肉</x:v>
      </x:c>
      <x:c r="C878" t="str">
        <x:v>去皮鸭胸肉</x:v>
      </x:c>
      <x:c r="D878" t="n">
        <x:v>180</x:v>
      </x:c>
      <x:c r="E878" t="n">
        <x:v>190</x:v>
      </x:c>
      <x:c r="F878" s="10" t="str">
        <x:v>食材净重+约8%余量</x:v>
      </x:c>
      <x:c r="G878" s="10" t="str">
        <x:v>生重</x:v>
      </x:c>
    </x:row>
    <x:row r="879" ht="23" customHeight="1">
      <x:c r="A879" t="n">
        <x:v>22</x:v>
      </x:c>
      <x:c r="B879" t="str">
        <x:v>禽肉</x:v>
      </x:c>
      <x:c r="C879" t="str">
        <x:v>鸡里脊肉</x:v>
      </x:c>
      <x:c r="D879" t="n">
        <x:v>145</x:v>
      </x:c>
      <x:c r="E879" t="n">
        <x:v>160</x:v>
      </x:c>
      <x:c r="F879" s="10" t="str">
        <x:v>食材净重+约8%余量</x:v>
      </x:c>
      <x:c r="G879" s="10" t="str">
        <x:v>生重</x:v>
      </x:c>
    </x:row>
    <x:row r="880" ht="23" customHeight="1">
      <x:c r="A880" t="n">
        <x:v>22</x:v>
      </x:c>
      <x:c r="B880" t="str">
        <x:v>蔬菜</x:v>
      </x:c>
      <x:c r="C880" t="str">
        <x:v>丝瓜</x:v>
      </x:c>
      <x:c r="D880" t="n">
        <x:v>190</x:v>
      </x:c>
      <x:c r="E880" t="n">
        <x:v>210</x:v>
      </x:c>
      <x:c r="F880" s="10" t="str">
        <x:v>食材净重+约8%余量</x:v>
      </x:c>
      <x:c r="G880" s="10" t="str">
        <x:v>生重</x:v>
      </x:c>
    </x:row>
    <x:row r="881" ht="23" customHeight="1">
      <x:c r="A881" t="n">
        <x:v>22</x:v>
      </x:c>
      <x:c r="B881" t="str">
        <x:v>蔬菜</x:v>
      </x:c>
      <x:c r="C881" t="str">
        <x:v>冬瓜</x:v>
      </x:c>
      <x:c r="D881" t="n">
        <x:v>510</x:v>
      </x:c>
      <x:c r="E881" t="n">
        <x:v>550</x:v>
      </x:c>
      <x:c r="F881" s="10" t="str">
        <x:v>食材净重+约8%余量</x:v>
      </x:c>
      <x:c r="G881" s="10" t="str">
        <x:v>生重</x:v>
      </x:c>
    </x:row>
    <x:row r="882" ht="23" customHeight="1">
      <x:c r="A882" t="n">
        <x:v>22</x:v>
      </x:c>
      <x:c r="B882" t="str">
        <x:v>蔬菜</x:v>
      </x:c>
      <x:c r="C882" t="str">
        <x:v>娃娃菜</x:v>
      </x:c>
      <x:c r="D882" t="n">
        <x:v>190</x:v>
      </x:c>
      <x:c r="E882" t="n">
        <x:v>210</x:v>
      </x:c>
      <x:c r="F882" s="10" t="str">
        <x:v>食材净重+约8%余量</x:v>
      </x:c>
      <x:c r="G882" s="10" t="str">
        <x:v>生重</x:v>
      </x:c>
    </x:row>
    <x:row r="883" ht="23" customHeight="1">
      <x:c r="A883" t="n">
        <x:v>22</x:v>
      </x:c>
      <x:c r="B883" t="str">
        <x:v>蔬菜</x:v>
      </x:c>
      <x:c r="C883" t="str">
        <x:v>小白菜</x:v>
      </x:c>
      <x:c r="D883" t="n">
        <x:v>125</x:v>
      </x:c>
      <x:c r="E883" t="n">
        <x:v>140</x:v>
      </x:c>
      <x:c r="F883" s="10" t="str">
        <x:v>食材净重+约8%余量</x:v>
      </x:c>
      <x:c r="G883" s="10" t="str">
        <x:v>生重</x:v>
      </x:c>
    </x:row>
    <x:row r="884" ht="23" customHeight="1">
      <x:c r="A884" t="n">
        <x:v>22</x:v>
      </x:c>
      <x:c r="B884" t="str">
        <x:v>蔬菜</x:v>
      </x:c>
      <x:c r="C884" t="str">
        <x:v>彩椒</x:v>
      </x:c>
      <x:c r="D884" t="n">
        <x:v>125</x:v>
      </x:c>
      <x:c r="E884" t="n">
        <x:v>140</x:v>
      </x:c>
      <x:c r="F884" s="10" t="str">
        <x:v>食材净重+约8%余量</x:v>
      </x:c>
      <x:c r="G884" s="10" t="str">
        <x:v>生重</x:v>
      </x:c>
    </x:row>
    <x:row r="885" ht="23" customHeight="1">
      <x:c r="A885" t="n">
        <x:v>22</x:v>
      </x:c>
      <x:c r="B885" t="str">
        <x:v>蔬菜</x:v>
      </x:c>
      <x:c r="C885" t="str">
        <x:v>海带</x:v>
      </x:c>
      <x:c r="D885" t="n">
        <x:v>250</x:v>
      </x:c>
      <x:c r="E885" t="n">
        <x:v>270</x:v>
      </x:c>
      <x:c r="F885" s="10" t="str">
        <x:v>食材净重+约8%余量</x:v>
      </x:c>
      <x:c r="G885" s="10" t="str">
        <x:v>泡发沥水重</x:v>
      </x:c>
    </x:row>
    <x:row r="886" ht="23" customHeight="1">
      <x:c r="A886" t="n">
        <x:v>22</x:v>
      </x:c>
      <x:c r="B886" t="str">
        <x:v>蔬菜</x:v>
      </x:c>
      <x:c r="C886" t="str">
        <x:v>玉米笋</x:v>
      </x:c>
      <x:c r="D886" t="n">
        <x:v>140</x:v>
      </x:c>
      <x:c r="E886" t="n">
        <x:v>150</x:v>
      </x:c>
      <x:c r="F886" s="10" t="str">
        <x:v>食材净重+约8%余量</x:v>
      </x:c>
      <x:c r="G886" s="10" t="str">
        <x:v>生重</x:v>
      </x:c>
    </x:row>
    <x:row r="887" ht="23" customHeight="1">
      <x:c r="A887" t="n">
        <x:v>22</x:v>
      </x:c>
      <x:c r="B887" t="str">
        <x:v>蔬菜</x:v>
      </x:c>
      <x:c r="C887" t="str">
        <x:v>生菜</x:v>
      </x:c>
      <x:c r="D887" t="n">
        <x:v>190</x:v>
      </x:c>
      <x:c r="E887" t="n">
        <x:v>210</x:v>
      </x:c>
      <x:c r="F887" s="10" t="str">
        <x:v>食材净重+约8%余量</x:v>
      </x:c>
      <x:c r="G887" s="10" t="str">
        <x:v>生重</x:v>
      </x:c>
    </x:row>
    <x:row r="888" ht="23" customHeight="1">
      <x:c r="A888" t="n">
        <x:v>22</x:v>
      </x:c>
      <x:c r="B888" t="str">
        <x:v>蔬菜</x:v>
      </x:c>
      <x:c r="C888" t="str">
        <x:v>白萝卜</x:v>
      </x:c>
      <x:c r="D888" t="n">
        <x:v>140</x:v>
      </x:c>
      <x:c r="E888" t="n">
        <x:v>150</x:v>
      </x:c>
      <x:c r="F888" s="10" t="str">
        <x:v>食材净重+约8%余量</x:v>
      </x:c>
      <x:c r="G888" s="10" t="str">
        <x:v>生重</x:v>
      </x:c>
    </x:row>
    <x:row r="889" ht="23" customHeight="1">
      <x:c r="A889" t="n">
        <x:v>22</x:v>
      </x:c>
      <x:c r="B889" t="str">
        <x:v>蔬菜</x:v>
      </x:c>
      <x:c r="C889" t="str">
        <x:v>秋葵</x:v>
      </x:c>
      <x:c r="D889" t="n">
        <x:v>175</x:v>
      </x:c>
      <x:c r="E889" t="n">
        <x:v>190</x:v>
      </x:c>
      <x:c r="F889" s="10" t="str">
        <x:v>食材净重+约8%余量</x:v>
      </x:c>
      <x:c r="G889" s="10" t="str">
        <x:v>生重</x:v>
      </x:c>
    </x:row>
    <x:row r="890" ht="23" customHeight="1">
      <x:c r="A890" t="n">
        <x:v>22</x:v>
      </x:c>
      <x:c r="B890" t="str">
        <x:v>蔬菜</x:v>
      </x:c>
      <x:c r="C890" t="str">
        <x:v>紫甘蓝</x:v>
      </x:c>
      <x:c r="D890" t="n">
        <x:v>190</x:v>
      </x:c>
      <x:c r="E890" t="n">
        <x:v>210</x:v>
      </x:c>
      <x:c r="F890" s="10" t="str">
        <x:v>食材净重+约8%余量</x:v>
      </x:c>
      <x:c r="G890" s="10" t="str">
        <x:v>生重</x:v>
      </x:c>
    </x:row>
    <x:row r="891" ht="23" customHeight="1">
      <x:c r="A891" t="n">
        <x:v>22</x:v>
      </x:c>
      <x:c r="B891" t="str">
        <x:v>蔬菜</x:v>
      </x:c>
      <x:c r="C891" t="str">
        <x:v>绿豆芽</x:v>
      </x:c>
      <x:c r="D891" t="n">
        <x:v>265</x:v>
      </x:c>
      <x:c r="E891" t="n">
        <x:v>290</x:v>
      </x:c>
      <x:c r="F891" s="10" t="str">
        <x:v>食材净重+约8%余量</x:v>
      </x:c>
      <x:c r="G891" s="10" t="str">
        <x:v>生重</x:v>
      </x:c>
    </x:row>
    <x:row r="892" ht="23" customHeight="1">
      <x:c r="A892" t="n">
        <x:v>22</x:v>
      </x:c>
      <x:c r="B892" t="str">
        <x:v>蔬菜</x:v>
      </x:c>
      <x:c r="C892" t="str">
        <x:v>胡萝卜</x:v>
      </x:c>
      <x:c r="D892" t="n">
        <x:v>140</x:v>
      </x:c>
      <x:c r="E892" t="n">
        <x:v>150</x:v>
      </x:c>
      <x:c r="F892" s="10" t="str">
        <x:v>食材净重+约8%余量</x:v>
      </x:c>
      <x:c r="G892" s="10" t="str">
        <x:v>生重</x:v>
      </x:c>
    </x:row>
    <x:row r="893" ht="23" customHeight="1">
      <x:c r="A893" t="n">
        <x:v>22</x:v>
      </x:c>
      <x:c r="B893" t="str">
        <x:v>蔬菜</x:v>
      </x:c>
      <x:c r="C893" t="str">
        <x:v>芦笋</x:v>
      </x:c>
      <x:c r="D893" t="n">
        <x:v>300</x:v>
      </x:c>
      <x:c r="E893" t="n">
        <x:v>320</x:v>
      </x:c>
      <x:c r="F893" s="10" t="str">
        <x:v>食材净重+约8%余量</x:v>
      </x:c>
      <x:c r="G893" s="10" t="str">
        <x:v>生重</x:v>
      </x:c>
    </x:row>
    <x:row r="894" ht="23" customHeight="1">
      <x:c r="A894" t="n">
        <x:v>22</x:v>
      </x:c>
      <x:c r="B894" t="str">
        <x:v>蔬菜</x:v>
      </x:c>
      <x:c r="C894" t="str">
        <x:v>苦瓜</x:v>
      </x:c>
      <x:c r="D894" t="n">
        <x:v>160</x:v>
      </x:c>
      <x:c r="E894" t="n">
        <x:v>170</x:v>
      </x:c>
      <x:c r="F894" s="10" t="str">
        <x:v>食材净重+约8%余量</x:v>
      </x:c>
      <x:c r="G894" s="10" t="str">
        <x:v>生重</x:v>
      </x:c>
    </x:row>
    <x:row r="895" ht="23" customHeight="1">
      <x:c r="A895" t="n">
        <x:v>22</x:v>
      </x:c>
      <x:c r="B895" t="str">
        <x:v>蔬菜</x:v>
      </x:c>
      <x:c r="C895" t="str">
        <x:v>茼蒿</x:v>
      </x:c>
      <x:c r="D895" t="n">
        <x:v>175</x:v>
      </x:c>
      <x:c r="E895" t="n">
        <x:v>190</x:v>
      </x:c>
      <x:c r="F895" s="10" t="str">
        <x:v>食材净重+约8%余量</x:v>
      </x:c>
      <x:c r="G895" s="10" t="str">
        <x:v>生重</x:v>
      </x:c>
    </x:row>
    <x:row r="896" ht="23" customHeight="1">
      <x:c r="A896" t="n">
        <x:v>22</x:v>
      </x:c>
      <x:c r="B896" t="str">
        <x:v>蔬菜</x:v>
      </x:c>
      <x:c r="C896" t="str">
        <x:v>荷兰豆</x:v>
      </x:c>
      <x:c r="D896" t="n">
        <x:v>310</x:v>
      </x:c>
      <x:c r="E896" t="n">
        <x:v>330</x:v>
      </x:c>
      <x:c r="F896" s="10" t="str">
        <x:v>食材净重+约8%余量</x:v>
      </x:c>
      <x:c r="G896" s="10" t="str">
        <x:v>生重</x:v>
      </x:c>
    </x:row>
    <x:row r="897" ht="23" customHeight="1">
      <x:c r="A897" t="n">
        <x:v>22</x:v>
      </x:c>
      <x:c r="B897" t="str">
        <x:v>蔬菜</x:v>
      </x:c>
      <x:c r="C897" t="str">
        <x:v>莴笋</x:v>
      </x:c>
      <x:c r="D897" t="n">
        <x:v>125</x:v>
      </x:c>
      <x:c r="E897" t="n">
        <x:v>140</x:v>
      </x:c>
      <x:c r="F897" s="10" t="str">
        <x:v>食材净重+约8%余量</x:v>
      </x:c>
      <x:c r="G897" s="10" t="str">
        <x:v>生重</x:v>
      </x:c>
    </x:row>
    <x:row r="898" ht="23" customHeight="1">
      <x:c r="A898" t="n">
        <x:v>22</x:v>
      </x:c>
      <x:c r="B898" t="str">
        <x:v>蔬菜</x:v>
      </x:c>
      <x:c r="C898" t="str">
        <x:v>菜心</x:v>
      </x:c>
      <x:c r="D898" t="n">
        <x:v>125</x:v>
      </x:c>
      <x:c r="E898" t="n">
        <x:v>140</x:v>
      </x:c>
      <x:c r="F898" s="10" t="str">
        <x:v>食材净重+约8%余量</x:v>
      </x:c>
      <x:c r="G898" s="10" t="str">
        <x:v>生重</x:v>
      </x:c>
    </x:row>
    <x:row r="899" ht="23" customHeight="1">
      <x:c r="A899" t="n">
        <x:v>22</x:v>
      </x:c>
      <x:c r="B899" t="str">
        <x:v>蔬菜</x:v>
      </x:c>
      <x:c r="C899" t="str">
        <x:v>菠菜</x:v>
      </x:c>
      <x:c r="D899" t="n">
        <x:v>300</x:v>
      </x:c>
      <x:c r="E899" t="n">
        <x:v>320</x:v>
      </x:c>
      <x:c r="F899" s="10" t="str">
        <x:v>食材净重+约8%余量</x:v>
      </x:c>
      <x:c r="G899" s="10" t="str">
        <x:v>生重</x:v>
      </x:c>
    </x:row>
    <x:row r="900" ht="23" customHeight="1">
      <x:c r="A900" t="n">
        <x:v>22</x:v>
      </x:c>
      <x:c r="B900" t="str">
        <x:v>蔬菜</x:v>
      </x:c>
      <x:c r="C900" t="str">
        <x:v>西葫芦</x:v>
      </x:c>
      <x:c r="D900" t="n">
        <x:v>175</x:v>
      </x:c>
      <x:c r="E900" t="n">
        <x:v>190</x:v>
      </x:c>
      <x:c r="F900" s="10" t="str">
        <x:v>食材净重+约8%余量</x:v>
      </x:c>
      <x:c r="G900" s="10" t="str">
        <x:v>生重</x:v>
      </x:c>
    </x:row>
    <x:row r="901" ht="23" customHeight="1">
      <x:c r="A901" t="n">
        <x:v>22</x:v>
      </x:c>
      <x:c r="B901" t="str">
        <x:v>豆蛋</x:v>
      </x:c>
      <x:c r="C901" t="str">
        <x:v>北豆腐</x:v>
      </x:c>
      <x:c r="D901" t="n">
        <x:v>800</x:v>
      </x:c>
      <x:c r="E901" t="n">
        <x:v>860</x:v>
      </x:c>
      <x:c r="F901" s="10" t="str">
        <x:v>食材净重+约8%余量</x:v>
      </x:c>
      <x:c r="G901" s="10" t="str">
        <x:v>净重</x:v>
      </x:c>
    </x:row>
    <x:row r="902" ht="23" customHeight="1">
      <x:c r="A902" t="n">
        <x:v>22</x:v>
      </x:c>
      <x:c r="B902" t="str">
        <x:v>豆蛋</x:v>
      </x:c>
      <x:c r="C902" t="str">
        <x:v>嫩豆腐</x:v>
      </x:c>
      <x:c r="D902" t="n">
        <x:v>875</x:v>
      </x:c>
      <x:c r="E902" t="n">
        <x:v>950</x:v>
      </x:c>
      <x:c r="F902" s="10" t="str">
        <x:v>食材净重+约8%余量</x:v>
      </x:c>
      <x:c r="G902" s="10" t="str">
        <x:v>净重</x:v>
      </x:c>
    </x:row>
    <x:row r="903" ht="23" customHeight="1">
      <x:c r="A903" t="n">
        <x:v>22</x:v>
      </x:c>
      <x:c r="B903" t="str">
        <x:v>豆蛋</x:v>
      </x:c>
      <x:c r="C903" t="str">
        <x:v>鸡蛋</x:v>
      </x:c>
      <x:c r="D903" t="n">
        <x:v>195</x:v>
      </x:c>
      <x:c r="E903" t="n">
        <x:v>210</x:v>
      </x:c>
      <x:c r="F903" s="10" t="str">
        <x:v>食材净重+约8%余量</x:v>
      </x:c>
      <x:c r="G903" s="10" t="str">
        <x:v>去壳可食重</x:v>
      </x:c>
    </x:row>
    <x:row r="904" ht="23" customHeight="1">
      <x:c r="A904" t="n">
        <x:v>22</x:v>
      </x:c>
      <x:c r="B904" t="str">
        <x:v>鱼类</x:v>
      </x:c>
      <x:c r="C904" t="str">
        <x:v>巴沙鱼</x:v>
      </x:c>
      <x:c r="D904" t="n">
        <x:v>175</x:v>
      </x:c>
      <x:c r="E904" t="n">
        <x:v>190</x:v>
      </x:c>
      <x:c r="F904" s="10" t="str">
        <x:v>食材净重+约8%余量</x:v>
      </x:c>
      <x:c r="G904" s="10" t="str">
        <x:v>净鱼肉生重</x:v>
      </x:c>
    </x:row>
    <x:row r="905" ht="23" customHeight="1">
      <x:c r="A905" t="n">
        <x:v>22</x:v>
      </x:c>
      <x:c r="B905" t="str">
        <x:v>鱼类</x:v>
      </x:c>
      <x:c r="C905" t="str">
        <x:v>鲈鱼</x:v>
      </x:c>
      <x:c r="D905" t="n">
        <x:v>175</x:v>
      </x:c>
      <x:c r="E905" t="n">
        <x:v>190</x:v>
      </x:c>
      <x:c r="F905" s="10" t="str">
        <x:v>食材净重+约8%余量；带壳或带骨采购需另折算</x:v>
      </x:c>
      <x:c r="G905" s="10" t="str">
        <x:v>净鱼肉生重</x:v>
      </x:c>
    </x:row>
    <x:row r="906" ht="23" customHeight="1">
      <x:c r="A906" t="n">
        <x:v>22</x:v>
      </x:c>
      <x:c r="B906" t="str">
        <x:v>鱼类</x:v>
      </x:c>
      <x:c r="C906" t="str">
        <x:v>鳕鱼</x:v>
      </x:c>
      <x:c r="D906" t="n">
        <x:v>185</x:v>
      </x:c>
      <x:c r="E906" t="n">
        <x:v>200</x:v>
      </x:c>
      <x:c r="F906" s="10" t="str">
        <x:v>食材净重+约8%余量；带壳或带骨采购需另折算</x:v>
      </x:c>
      <x:c r="G906" s="10" t="str">
        <x:v>净鱼肉生重</x:v>
      </x:c>
    </x:row>
    <x:row r="907" ht="23" customHeight="1">
      <x:c r="A907" t="n">
        <x:v>23</x:v>
      </x:c>
      <x:c r="B907" t="str">
        <x:v>主食</x:v>
      </x:c>
      <x:c r="C907" t="str">
        <x:v>乌冬面</x:v>
      </x:c>
      <x:c r="D907" t="n">
        <x:v>125</x:v>
      </x:c>
      <x:c r="E907" t="n">
        <x:v>60</x:v>
      </x:c>
      <x:c r="F907" s="10" t="str">
        <x:v>干粮约重（按熟面/干面≈2.1估算）</x:v>
      </x:c>
      <x:c r="G907" s="10" t="str">
        <x:v>煮熟沥水重</x:v>
      </x:c>
    </x:row>
    <x:row r="908" ht="23" customHeight="1">
      <x:c r="A908" t="n">
        <x:v>23</x:v>
      </x:c>
      <x:c r="B908" t="str">
        <x:v>主食</x:v>
      </x:c>
      <x:c r="C908" t="str">
        <x:v>土豆</x:v>
      </x:c>
      <x:c r="D908" t="n">
        <x:v>285</x:v>
      </x:c>
      <x:c r="E908" t="n">
        <x:v>310</x:v>
      </x:c>
      <x:c r="F908" s="10" t="str">
        <x:v>鲜薯/玉米净重；考虑小幅损耗</x:v>
      </x:c>
      <x:c r="G908" s="10" t="str">
        <x:v>蒸熟净重</x:v>
      </x:c>
    </x:row>
    <x:row r="909" ht="23" customHeight="1">
      <x:c r="A909" t="n">
        <x:v>23</x:v>
      </x:c>
      <x:c r="B909" t="str">
        <x:v>主食</x:v>
      </x:c>
      <x:c r="C909" t="str">
        <x:v>杂粮饭</x:v>
      </x:c>
      <x:c r="D909" t="n">
        <x:v>395</x:v>
      </x:c>
      <x:c r="E909" t="n">
        <x:v>150</x:v>
      </x:c>
      <x:c r="F909" s="10" t="str">
        <x:v>未煮干粮约重（按熟饭/生米≈2.6估算）</x:v>
      </x:c>
      <x:c r="G909" s="10" t="str">
        <x:v>熟重</x:v>
      </x:c>
    </x:row>
    <x:row r="910" ht="23" customHeight="1">
      <x:c r="A910" t="n">
        <x:v>23</x:v>
      </x:c>
      <x:c r="B910" t="str">
        <x:v>主食</x:v>
      </x:c>
      <x:c r="C910" t="str">
        <x:v>玉米</x:v>
      </x:c>
      <x:c r="D910" t="n">
        <x:v>150</x:v>
      </x:c>
      <x:c r="E910" t="n">
        <x:v>160</x:v>
      </x:c>
      <x:c r="F910" s="10" t="str">
        <x:v>鲜薯/玉米净重；考虑小幅损耗</x:v>
      </x:c>
      <x:c r="G910" s="10" t="str">
        <x:v>蒸熟净重</x:v>
      </x:c>
    </x:row>
    <x:row r="911" ht="23" customHeight="1">
      <x:c r="A911" t="n">
        <x:v>23</x:v>
      </x:c>
      <x:c r="B911" t="str">
        <x:v>主食</x:v>
      </x:c>
      <x:c r="C911" t="str">
        <x:v>白米饭</x:v>
      </x:c>
      <x:c r="D911" t="n">
        <x:v>150</x:v>
      </x:c>
      <x:c r="E911" t="n">
        <x:v>60</x:v>
      </x:c>
      <x:c r="F911" s="10" t="str">
        <x:v>未煮干粮约重（按熟饭/生米≈2.6估算）</x:v>
      </x:c>
      <x:c r="G911" s="10" t="str">
        <x:v>熟重</x:v>
      </x:c>
    </x:row>
    <x:row r="912" ht="23" customHeight="1">
      <x:c r="A912" t="n">
        <x:v>23</x:v>
      </x:c>
      <x:c r="B912" t="str">
        <x:v>主食</x:v>
      </x:c>
      <x:c r="C912" t="str">
        <x:v>糙米饭</x:v>
      </x:c>
      <x:c r="D912" t="n">
        <x:v>275</x:v>
      </x:c>
      <x:c r="E912" t="n">
        <x:v>110</x:v>
      </x:c>
      <x:c r="F912" s="10" t="str">
        <x:v>未煮干粮约重（按熟饭/生米≈2.6估算）</x:v>
      </x:c>
      <x:c r="G912" s="10" t="str">
        <x:v>熟重</x:v>
      </x:c>
    </x:row>
    <x:row r="913" ht="23" customHeight="1">
      <x:c r="A913" t="n">
        <x:v>23</x:v>
      </x:c>
      <x:c r="B913" t="str">
        <x:v>主食</x:v>
      </x:c>
      <x:c r="C913" t="str">
        <x:v>荞麦面</x:v>
      </x:c>
      <x:c r="D913" t="n">
        <x:v>100</x:v>
      </x:c>
      <x:c r="E913" t="n">
        <x:v>50</x:v>
      </x:c>
      <x:c r="F913" s="10" t="str">
        <x:v>干粮约重（按熟面/干面≈2.1估算）</x:v>
      </x:c>
      <x:c r="G913" s="10" t="str">
        <x:v>煮熟沥水重</x:v>
      </x:c>
    </x:row>
    <x:row r="914" ht="23" customHeight="1">
      <x:c r="A914" t="n">
        <x:v>23</x:v>
      </x:c>
      <x:c r="B914" t="str">
        <x:v>主食</x:v>
      </x:c>
      <x:c r="C914" t="str">
        <x:v>荞麦饭</x:v>
      </x:c>
      <x:c r="D914" t="n">
        <x:v>125</x:v>
      </x:c>
      <x:c r="E914" t="n">
        <x:v>50</x:v>
      </x:c>
      <x:c r="F914" s="10" t="str">
        <x:v>未煮干粮约重（按熟饭/生米≈2.6估算）</x:v>
      </x:c>
      <x:c r="G914" s="10" t="str">
        <x:v>熟重</x:v>
      </x:c>
    </x:row>
    <x:row r="915" ht="23" customHeight="1">
      <x:c r="A915" t="n">
        <x:v>23</x:v>
      </x:c>
      <x:c r="B915" t="str">
        <x:v>主食</x:v>
      </x:c>
      <x:c r="C915" t="str">
        <x:v>藜麦饭</x:v>
      </x:c>
      <x:c r="D915" t="n">
        <x:v>135</x:v>
      </x:c>
      <x:c r="E915" t="n">
        <x:v>50</x:v>
      </x:c>
      <x:c r="F915" s="10" t="str">
        <x:v>未煮干粮约重（按熟饭/生米≈2.6估算）</x:v>
      </x:c>
      <x:c r="G915" s="10" t="str">
        <x:v>熟重</x:v>
      </x:c>
    </x:row>
    <x:row r="916" ht="23" customHeight="1">
      <x:c r="A916" t="n">
        <x:v>23</x:v>
      </x:c>
      <x:c r="B916" t="str">
        <x:v>油脂</x:v>
      </x:c>
      <x:c r="C916" t="str">
        <x:v>烹调油</x:v>
      </x:c>
      <x:c r="D916" t="n">
        <x:v>61</x:v>
      </x:c>
      <x:c r="E916" t="n">
        <x:v>61</x:v>
      </x:c>
      <x:c r="F916" s="10" t="str">
        <x:v>食用油；现有库存足够即可</x:v>
      </x:c>
      <x:c r="G916" s="10" t="str">
        <x:v>实际用油重</x:v>
      </x:c>
    </x:row>
    <x:row r="917" ht="23" customHeight="1">
      <x:c r="A917" t="n">
        <x:v>23</x:v>
      </x:c>
      <x:c r="B917" t="str">
        <x:v>海鲜</x:v>
      </x:c>
      <x:c r="C917" t="str">
        <x:v>花蛤肉</x:v>
      </x:c>
      <x:c r="D917" t="n">
        <x:v>210</x:v>
      </x:c>
      <x:c r="E917" t="n">
        <x:v>230</x:v>
      </x:c>
      <x:c r="F917" s="10" t="str">
        <x:v>食材净重+约8%余量；带壳或带骨采购需另折算</x:v>
      </x:c>
      <x:c r="G917" s="10" t="str">
        <x:v>净肉生重</x:v>
      </x:c>
    </x:row>
    <x:row r="918" ht="23" customHeight="1">
      <x:c r="A918" t="n">
        <x:v>23</x:v>
      </x:c>
      <x:c r="B918" t="str">
        <x:v>海鲜</x:v>
      </x:c>
      <x:c r="C918" t="str">
        <x:v>虾仁</x:v>
      </x:c>
      <x:c r="D918" t="n">
        <x:v>350</x:v>
      </x:c>
      <x:c r="E918" t="n">
        <x:v>380</x:v>
      </x:c>
      <x:c r="F918" s="10" t="str">
        <x:v>食材净重+约8%余量</x:v>
      </x:c>
      <x:c r="G918" s="10" t="str">
        <x:v>生重</x:v>
      </x:c>
    </x:row>
    <x:row r="919" ht="23" customHeight="1">
      <x:c r="A919" t="n">
        <x:v>23</x:v>
      </x:c>
      <x:c r="B919" t="str">
        <x:v>牛肉</x:v>
      </x:c>
      <x:c r="C919" t="str">
        <x:v>牛里脊</x:v>
      </x:c>
      <x:c r="D919" t="n">
        <x:v>170</x:v>
      </x:c>
      <x:c r="E919" t="n">
        <x:v>180</x:v>
      </x:c>
      <x:c r="F919" s="10" t="str">
        <x:v>食材净重+约8%余量</x:v>
      </x:c>
      <x:c r="G919" s="10" t="str">
        <x:v>生重</x:v>
      </x:c>
    </x:row>
    <x:row r="920" ht="23" customHeight="1">
      <x:c r="A920" t="n">
        <x:v>23</x:v>
      </x:c>
      <x:c r="B920" t="str">
        <x:v>禽肉</x:v>
      </x:c>
      <x:c r="C920" t="str">
        <x:v>去皮鸡腿肉</x:v>
      </x:c>
      <x:c r="D920" t="n">
        <x:v>365</x:v>
      </x:c>
      <x:c r="E920" t="n">
        <x:v>390</x:v>
      </x:c>
      <x:c r="F920" s="10" t="str">
        <x:v>食材净重+约8%余量</x:v>
      </x:c>
      <x:c r="G920" s="10" t="str">
        <x:v>生重</x:v>
      </x:c>
    </x:row>
    <x:row r="921" ht="23" customHeight="1">
      <x:c r="A921" t="n">
        <x:v>23</x:v>
      </x:c>
      <x:c r="B921" t="str">
        <x:v>禽肉</x:v>
      </x:c>
      <x:c r="C921" t="str">
        <x:v>鸡胸肉</x:v>
      </x:c>
      <x:c r="D921" t="n">
        <x:v>350</x:v>
      </x:c>
      <x:c r="E921" t="n">
        <x:v>380</x:v>
      </x:c>
      <x:c r="F921" s="10" t="str">
        <x:v>食材净重+约8%余量</x:v>
      </x:c>
      <x:c r="G921" s="10" t="str">
        <x:v>生重</x:v>
      </x:c>
    </x:row>
    <x:row r="922" ht="23" customHeight="1">
      <x:c r="A922" t="n">
        <x:v>23</x:v>
      </x:c>
      <x:c r="B922" t="str">
        <x:v>禽肉</x:v>
      </x:c>
      <x:c r="C922" t="str">
        <x:v>鸡里脊肉</x:v>
      </x:c>
      <x:c r="D922" t="n">
        <x:v>145</x:v>
      </x:c>
      <x:c r="E922" t="n">
        <x:v>160</x:v>
      </x:c>
      <x:c r="F922" s="10" t="str">
        <x:v>食材净重+约8%余量</x:v>
      </x:c>
      <x:c r="G922" s="10" t="str">
        <x:v>生重</x:v>
      </x:c>
    </x:row>
    <x:row r="923" ht="23" customHeight="1">
      <x:c r="A923" t="n">
        <x:v>23</x:v>
      </x:c>
      <x:c r="B923" t="str">
        <x:v>菌菇</x:v>
      </x:c>
      <x:c r="C923" t="str">
        <x:v>口蘑</x:v>
      </x:c>
      <x:c r="D923" t="n">
        <x:v>125</x:v>
      </x:c>
      <x:c r="E923" t="n">
        <x:v>140</x:v>
      </x:c>
      <x:c r="F923" s="10" t="str">
        <x:v>食材净重+约8%余量</x:v>
      </x:c>
      <x:c r="G923" s="10" t="str">
        <x:v>生重</x:v>
      </x:c>
    </x:row>
    <x:row r="924" ht="23" customHeight="1">
      <x:c r="A924" t="n">
        <x:v>23</x:v>
      </x:c>
      <x:c r="B924" t="str">
        <x:v>菌菇</x:v>
      </x:c>
      <x:c r="C924" t="str">
        <x:v>金针菇</x:v>
      </x:c>
      <x:c r="D924" t="n">
        <x:v>125</x:v>
      </x:c>
      <x:c r="E924" t="n">
        <x:v>140</x:v>
      </x:c>
      <x:c r="F924" s="10" t="str">
        <x:v>食材净重+约8%余量</x:v>
      </x:c>
      <x:c r="G924" s="10" t="str">
        <x:v>生重</x:v>
      </x:c>
    </x:row>
    <x:row r="925" ht="23" customHeight="1">
      <x:c r="A925" t="n">
        <x:v>23</x:v>
      </x:c>
      <x:c r="B925" t="str">
        <x:v>蔬菜</x:v>
      </x:c>
      <x:c r="C925" t="str">
        <x:v>冬瓜</x:v>
      </x:c>
      <x:c r="D925" t="n">
        <x:v>110</x:v>
      </x:c>
      <x:c r="E925" t="n">
        <x:v>120</x:v>
      </x:c>
      <x:c r="F925" s="10" t="str">
        <x:v>食材净重+约8%余量</x:v>
      </x:c>
      <x:c r="G925" s="10" t="str">
        <x:v>生重</x:v>
      </x:c>
    </x:row>
    <x:row r="926" ht="23" customHeight="1">
      <x:c r="A926" t="n">
        <x:v>23</x:v>
      </x:c>
      <x:c r="B926" t="str">
        <x:v>蔬菜</x:v>
      </x:c>
      <x:c r="C926" t="str">
        <x:v>四季豆</x:v>
      </x:c>
      <x:c r="D926" t="n">
        <x:v>175</x:v>
      </x:c>
      <x:c r="E926" t="n">
        <x:v>190</x:v>
      </x:c>
      <x:c r="F926" s="10" t="str">
        <x:v>食材净重+约8%余量</x:v>
      </x:c>
      <x:c r="G926" s="10" t="str">
        <x:v>生重</x:v>
      </x:c>
    </x:row>
    <x:row r="927" ht="23" customHeight="1">
      <x:c r="A927" t="n">
        <x:v>23</x:v>
      </x:c>
      <x:c r="B927" t="str">
        <x:v>蔬菜</x:v>
      </x:c>
      <x:c r="C927" t="str">
        <x:v>大白菜</x:v>
      </x:c>
      <x:c r="D927" t="n">
        <x:v>315</x:v>
      </x:c>
      <x:c r="E927" t="n">
        <x:v>340</x:v>
      </x:c>
      <x:c r="F927" s="10" t="str">
        <x:v>食材净重+约8%余量</x:v>
      </x:c>
      <x:c r="G927" s="10" t="str">
        <x:v>生重</x:v>
      </x:c>
    </x:row>
    <x:row r="928" ht="23" customHeight="1">
      <x:c r="A928" t="n">
        <x:v>23</x:v>
      </x:c>
      <x:c r="B928" t="str">
        <x:v>蔬菜</x:v>
      </x:c>
      <x:c r="C928" t="str">
        <x:v>小白菜</x:v>
      </x:c>
      <x:c r="D928" t="n">
        <x:v>485</x:v>
      </x:c>
      <x:c r="E928" t="n">
        <x:v>520</x:v>
      </x:c>
      <x:c r="F928" s="10" t="str">
        <x:v>食材净重+约8%余量</x:v>
      </x:c>
      <x:c r="G928" s="10" t="str">
        <x:v>生重</x:v>
      </x:c>
    </x:row>
    <x:row r="929" ht="23" customHeight="1">
      <x:c r="A929" t="n">
        <x:v>23</x:v>
      </x:c>
      <x:c r="B929" t="str">
        <x:v>蔬菜</x:v>
      </x:c>
      <x:c r="C929" t="str">
        <x:v>彩椒</x:v>
      </x:c>
      <x:c r="D929" t="n">
        <x:v>110</x:v>
      </x:c>
      <x:c r="E929" t="n">
        <x:v>120</x:v>
      </x:c>
      <x:c r="F929" s="10" t="str">
        <x:v>食材净重+约8%余量</x:v>
      </x:c>
      <x:c r="G929" s="10" t="str">
        <x:v>生重</x:v>
      </x:c>
    </x:row>
    <x:row r="930" ht="23" customHeight="1">
      <x:c r="A930" t="n">
        <x:v>23</x:v>
      </x:c>
      <x:c r="B930" t="str">
        <x:v>蔬菜</x:v>
      </x:c>
      <x:c r="C930" t="str">
        <x:v>海带</x:v>
      </x:c>
      <x:c r="D930" t="n">
        <x:v>250</x:v>
      </x:c>
      <x:c r="E930" t="n">
        <x:v>270</x:v>
      </x:c>
      <x:c r="F930" s="10" t="str">
        <x:v>食材净重+约8%余量</x:v>
      </x:c>
      <x:c r="G930" s="10" t="str">
        <x:v>泡发沥水重</x:v>
      </x:c>
    </x:row>
    <x:row r="931" ht="23" customHeight="1">
      <x:c r="A931" t="n">
        <x:v>23</x:v>
      </x:c>
      <x:c r="B931" t="str">
        <x:v>蔬菜</x:v>
      </x:c>
      <x:c r="C931" t="str">
        <x:v>玉米笋</x:v>
      </x:c>
      <x:c r="D931" t="n">
        <x:v>110</x:v>
      </x:c>
      <x:c r="E931" t="n">
        <x:v>120</x:v>
      </x:c>
      <x:c r="F931" s="10" t="str">
        <x:v>食材净重+约8%余量</x:v>
      </x:c>
      <x:c r="G931" s="10" t="str">
        <x:v>生重</x:v>
      </x:c>
    </x:row>
    <x:row r="932" ht="23" customHeight="1">
      <x:c r="A932" t="n">
        <x:v>23</x:v>
      </x:c>
      <x:c r="B932" t="str">
        <x:v>蔬菜</x:v>
      </x:c>
      <x:c r="C932" t="str">
        <x:v>番茄</x:v>
      </x:c>
      <x:c r="D932" t="n">
        <x:v>540</x:v>
      </x:c>
      <x:c r="E932" t="n">
        <x:v>580</x:v>
      </x:c>
      <x:c r="F932" s="10" t="str">
        <x:v>食材净重+约8%余量</x:v>
      </x:c>
      <x:c r="G932" s="10" t="str">
        <x:v>生重</x:v>
      </x:c>
    </x:row>
    <x:row r="933" ht="23" customHeight="1">
      <x:c r="A933" t="n">
        <x:v>23</x:v>
      </x:c>
      <x:c r="B933" t="str">
        <x:v>蔬菜</x:v>
      </x:c>
      <x:c r="C933" t="str">
        <x:v>白萝卜</x:v>
      </x:c>
      <x:c r="D933" t="n">
        <x:v>110</x:v>
      </x:c>
      <x:c r="E933" t="n">
        <x:v>120</x:v>
      </x:c>
      <x:c r="F933" s="10" t="str">
        <x:v>食材净重+约8%余量</x:v>
      </x:c>
      <x:c r="G933" s="10" t="str">
        <x:v>生重</x:v>
      </x:c>
    </x:row>
    <x:row r="934" ht="23" customHeight="1">
      <x:c r="A934" t="n">
        <x:v>23</x:v>
      </x:c>
      <x:c r="B934" t="str">
        <x:v>蔬菜</x:v>
      </x:c>
      <x:c r="C934" t="str">
        <x:v>紫甘蓝</x:v>
      </x:c>
      <x:c r="D934" t="n">
        <x:v>390</x:v>
      </x:c>
      <x:c r="E934" t="n">
        <x:v>420</x:v>
      </x:c>
      <x:c r="F934" s="10" t="str">
        <x:v>食材净重+约8%余量</x:v>
      </x:c>
      <x:c r="G934" s="10" t="str">
        <x:v>生重</x:v>
      </x:c>
    </x:row>
    <x:row r="935" ht="23" customHeight="1">
      <x:c r="A935" t="n">
        <x:v>23</x:v>
      </x:c>
      <x:c r="B935" t="str">
        <x:v>蔬菜</x:v>
      </x:c>
      <x:c r="C935" t="str">
        <x:v>胡萝卜</x:v>
      </x:c>
      <x:c r="D935" t="n">
        <x:v>140</x:v>
      </x:c>
      <x:c r="E935" t="n">
        <x:v>150</x:v>
      </x:c>
      <x:c r="F935" s="10" t="str">
        <x:v>食材净重+约8%余量</x:v>
      </x:c>
      <x:c r="G935" s="10" t="str">
        <x:v>生重</x:v>
      </x:c>
    </x:row>
    <x:row r="936" ht="23" customHeight="1">
      <x:c r="A936" t="n">
        <x:v>23</x:v>
      </x:c>
      <x:c r="B936" t="str">
        <x:v>蔬菜</x:v>
      </x:c>
      <x:c r="C936" t="str">
        <x:v>芦笋</x:v>
      </x:c>
      <x:c r="D936" t="n">
        <x:v>140</x:v>
      </x:c>
      <x:c r="E936" t="n">
        <x:v>150</x:v>
      </x:c>
      <x:c r="F936" s="10" t="str">
        <x:v>食材净重+约8%余量</x:v>
      </x:c>
      <x:c r="G936" s="10" t="str">
        <x:v>生重</x:v>
      </x:c>
    </x:row>
    <x:row r="937" ht="23" customHeight="1">
      <x:c r="A937" t="n">
        <x:v>23</x:v>
      </x:c>
      <x:c r="B937" t="str">
        <x:v>蔬菜</x:v>
      </x:c>
      <x:c r="C937" t="str">
        <x:v>荷兰豆</x:v>
      </x:c>
      <x:c r="D937" t="n">
        <x:v>160</x:v>
      </x:c>
      <x:c r="E937" t="n">
        <x:v>170</x:v>
      </x:c>
      <x:c r="F937" s="10" t="str">
        <x:v>食材净重+约8%余量</x:v>
      </x:c>
      <x:c r="G937" s="10" t="str">
        <x:v>生重</x:v>
      </x:c>
    </x:row>
    <x:row r="938" ht="23" customHeight="1">
      <x:c r="A938" t="n">
        <x:v>23</x:v>
      </x:c>
      <x:c r="B938" t="str">
        <x:v>蔬菜</x:v>
      </x:c>
      <x:c r="C938" t="str">
        <x:v>菜心</x:v>
      </x:c>
      <x:c r="D938" t="n">
        <x:v>220</x:v>
      </x:c>
      <x:c r="E938" t="n">
        <x:v>240</x:v>
      </x:c>
      <x:c r="F938" s="10" t="str">
        <x:v>食材净重+约8%余量</x:v>
      </x:c>
      <x:c r="G938" s="10" t="str">
        <x:v>生重</x:v>
      </x:c>
    </x:row>
    <x:row r="939" ht="23" customHeight="1">
      <x:c r="A939" t="n">
        <x:v>23</x:v>
      </x:c>
      <x:c r="B939" t="str">
        <x:v>蔬菜</x:v>
      </x:c>
      <x:c r="C939" t="str">
        <x:v>菠菜</x:v>
      </x:c>
      <x:c r="D939" t="n">
        <x:v>335</x:v>
      </x:c>
      <x:c r="E939" t="n">
        <x:v>360</x:v>
      </x:c>
      <x:c r="F939" s="10" t="str">
        <x:v>食材净重+约8%余量</x:v>
      </x:c>
      <x:c r="G939" s="10" t="str">
        <x:v>生重</x:v>
      </x:c>
    </x:row>
    <x:row r="940" ht="23" customHeight="1">
      <x:c r="A940" t="n">
        <x:v>23</x:v>
      </x:c>
      <x:c r="B940" t="str">
        <x:v>蔬菜</x:v>
      </x:c>
      <x:c r="C940" t="str">
        <x:v>西兰花</x:v>
      </x:c>
      <x:c r="D940" t="n">
        <x:v>190</x:v>
      </x:c>
      <x:c r="E940" t="n">
        <x:v>210</x:v>
      </x:c>
      <x:c r="F940" s="10" t="str">
        <x:v>食材净重+约8%余量</x:v>
      </x:c>
      <x:c r="G940" s="10" t="str">
        <x:v>生重</x:v>
      </x:c>
    </x:row>
    <x:row r="941" ht="23" customHeight="1">
      <x:c r="A941" t="n">
        <x:v>23</x:v>
      </x:c>
      <x:c r="B941" t="str">
        <x:v>豆蛋</x:v>
      </x:c>
      <x:c r="C941" t="str">
        <x:v>嫩豆腐</x:v>
      </x:c>
      <x:c r="D941" t="n">
        <x:v>460</x:v>
      </x:c>
      <x:c r="E941" t="n">
        <x:v>500</x:v>
      </x:c>
      <x:c r="F941" s="10" t="str">
        <x:v>食材净重+约8%余量</x:v>
      </x:c>
      <x:c r="G941" s="10" t="str">
        <x:v>净重</x:v>
      </x:c>
    </x:row>
    <x:row r="942" ht="23" customHeight="1">
      <x:c r="A942" t="n">
        <x:v>23</x:v>
      </x:c>
      <x:c r="B942" t="str">
        <x:v>豆蛋</x:v>
      </x:c>
      <x:c r="C942" t="str">
        <x:v>熟毛豆仁</x:v>
      </x:c>
      <x:c r="D942" t="n">
        <x:v>140</x:v>
      </x:c>
      <x:c r="E942" t="n">
        <x:v>150</x:v>
      </x:c>
      <x:c r="F942" s="10" t="str">
        <x:v>食材净重+约8%余量</x:v>
      </x:c>
      <x:c r="G942" s="10" t="str">
        <x:v>熟重</x:v>
      </x:c>
    </x:row>
    <x:row r="943" ht="23" customHeight="1">
      <x:c r="A943" t="n">
        <x:v>23</x:v>
      </x:c>
      <x:c r="B943" t="str">
        <x:v>豆蛋</x:v>
      </x:c>
      <x:c r="C943" t="str">
        <x:v>鸡蛋</x:v>
      </x:c>
      <x:c r="D943" t="n">
        <x:v>110</x:v>
      </x:c>
      <x:c r="E943" t="n">
        <x:v>120</x:v>
      </x:c>
      <x:c r="F943" s="10" t="str">
        <x:v>食材净重+约8%余量</x:v>
      </x:c>
      <x:c r="G943" s="10" t="str">
        <x:v>去壳可食重</x:v>
      </x:c>
    </x:row>
    <x:row r="944" ht="23" customHeight="1">
      <x:c r="A944" t="n">
        <x:v>23</x:v>
      </x:c>
      <x:c r="B944" t="str">
        <x:v>鱼类</x:v>
      </x:c>
      <x:c r="C944" t="str">
        <x:v>巴沙鱼</x:v>
      </x:c>
      <x:c r="D944" t="n">
        <x:v>185</x:v>
      </x:c>
      <x:c r="E944" t="n">
        <x:v>200</x:v>
      </x:c>
      <x:c r="F944" s="10" t="str">
        <x:v>食材净重+约8%余量</x:v>
      </x:c>
      <x:c r="G944" s="10" t="str">
        <x:v>净鱼肉生重</x:v>
      </x:c>
    </x:row>
    <x:row r="945" ht="23" customHeight="1">
      <x:c r="A945" t="n">
        <x:v>23</x:v>
      </x:c>
      <x:c r="B945" t="str">
        <x:v>鱼类</x:v>
      </x:c>
      <x:c r="C945" t="str">
        <x:v>鲈鱼</x:v>
      </x:c>
      <x:c r="D945" t="n">
        <x:v>200</x:v>
      </x:c>
      <x:c r="E945" t="n">
        <x:v>220</x:v>
      </x:c>
      <x:c r="F945" s="10" t="str">
        <x:v>食材净重+约8%余量；带壳或带骨采购需另折算</x:v>
      </x:c>
      <x:c r="G945" s="10" t="str">
        <x:v>净鱼肉生重</x:v>
      </x:c>
    </x:row>
    <x:row r="946" ht="23" customHeight="1">
      <x:c r="A946" t="n">
        <x:v>23</x:v>
      </x:c>
      <x:c r="B946" t="str">
        <x:v>鱼类</x:v>
      </x:c>
      <x:c r="C946" t="str">
        <x:v>鳕鱼</x:v>
      </x:c>
      <x:c r="D946" t="n">
        <x:v>200</x:v>
      </x:c>
      <x:c r="E946" t="n">
        <x:v>220</x:v>
      </x:c>
      <x:c r="F946" s="10" t="str">
        <x:v>食材净重+约8%余量；带壳或带骨采购需另折算</x:v>
      </x:c>
      <x:c r="G946" s="10" t="str">
        <x:v>净鱼肉生重</x:v>
      </x:c>
    </x:row>
    <x:row r="947" ht="23" customHeight="1">
      <x:c r="A947" t="n">
        <x:v>24</x:v>
      </x:c>
      <x:c r="B947" t="str">
        <x:v>主食</x:v>
      </x:c>
      <x:c r="C947" t="str">
        <x:v>乌冬面</x:v>
      </x:c>
      <x:c r="D947" t="n">
        <x:v>150</x:v>
      </x:c>
      <x:c r="E947" t="n">
        <x:v>70</x:v>
      </x:c>
      <x:c r="F947" s="10" t="str">
        <x:v>干粮约重（按熟面/干面≈2.1估算）</x:v>
      </x:c>
      <x:c r="G947" s="10" t="str">
        <x:v>煮熟沥水重</x:v>
      </x:c>
    </x:row>
    <x:row r="948" ht="23" customHeight="1">
      <x:c r="A948" t="n">
        <x:v>24</x:v>
      </x:c>
      <x:c r="B948" t="str">
        <x:v>主食</x:v>
      </x:c>
      <x:c r="C948" t="str">
        <x:v>杂粮饭</x:v>
      </x:c>
      <x:c r="D948" t="n">
        <x:v>290</x:v>
      </x:c>
      <x:c r="E948" t="n">
        <x:v>110</x:v>
      </x:c>
      <x:c r="F948" s="10" t="str">
        <x:v>未煮干粮约重（按熟饭/生米≈2.6估算）</x:v>
      </x:c>
      <x:c r="G948" s="10" t="str">
        <x:v>熟重</x:v>
      </x:c>
    </x:row>
    <x:row r="949" ht="23" customHeight="1">
      <x:c r="A949" t="n">
        <x:v>24</x:v>
      </x:c>
      <x:c r="B949" t="str">
        <x:v>主食</x:v>
      </x:c>
      <x:c r="C949" t="str">
        <x:v>燕麦饭</x:v>
      </x:c>
      <x:c r="D949" t="n">
        <x:v>255</x:v>
      </x:c>
      <x:c r="E949" t="n">
        <x:v>100</x:v>
      </x:c>
      <x:c r="F949" s="10" t="str">
        <x:v>未煮干粮约重（按熟饭/生米≈2.6估算）</x:v>
      </x:c>
      <x:c r="G949" s="10" t="str">
        <x:v>熟重</x:v>
      </x:c>
    </x:row>
    <x:row r="950" ht="23" customHeight="1">
      <x:c r="A950" t="n">
        <x:v>24</x:v>
      </x:c>
      <x:c r="B950" t="str">
        <x:v>主食</x:v>
      </x:c>
      <x:c r="C950" t="str">
        <x:v>糙米饭</x:v>
      </x:c>
      <x:c r="D950" t="n">
        <x:v>575</x:v>
      </x:c>
      <x:c r="E950" t="n">
        <x:v>220</x:v>
      </x:c>
      <x:c r="F950" s="10" t="str">
        <x:v>未煮干粮约重（按熟饭/生米≈2.6估算）</x:v>
      </x:c>
      <x:c r="G950" s="10" t="str">
        <x:v>熟重</x:v>
      </x:c>
    </x:row>
    <x:row r="951" ht="23" customHeight="1">
      <x:c r="A951" t="n">
        <x:v>24</x:v>
      </x:c>
      <x:c r="B951" t="str">
        <x:v>主食</x:v>
      </x:c>
      <x:c r="C951" t="str">
        <x:v>紫薯</x:v>
      </x:c>
      <x:c r="D951" t="n">
        <x:v>125</x:v>
      </x:c>
      <x:c r="E951" t="n">
        <x:v>140</x:v>
      </x:c>
      <x:c r="F951" s="10" t="str">
        <x:v>鲜薯/玉米净重；考虑小幅损耗</x:v>
      </x:c>
      <x:c r="G951" s="10" t="str">
        <x:v>蒸熟净重</x:v>
      </x:c>
    </x:row>
    <x:row r="952" ht="23" customHeight="1">
      <x:c r="A952" t="n">
        <x:v>24</x:v>
      </x:c>
      <x:c r="B952" t="str">
        <x:v>主食</x:v>
      </x:c>
      <x:c r="C952" t="str">
        <x:v>荞麦面</x:v>
      </x:c>
      <x:c r="D952" t="n">
        <x:v>220</x:v>
      </x:c>
      <x:c r="E952" t="n">
        <x:v>100</x:v>
      </x:c>
      <x:c r="F952" s="10" t="str">
        <x:v>干粮约重（按熟面/干面≈2.1估算）</x:v>
      </x:c>
      <x:c r="G952" s="10" t="str">
        <x:v>煮熟沥水重</x:v>
      </x:c>
    </x:row>
    <x:row r="953" ht="23" customHeight="1">
      <x:c r="A953" t="n">
        <x:v>24</x:v>
      </x:c>
      <x:c r="B953" t="str">
        <x:v>主食</x:v>
      </x:c>
      <x:c r="C953" t="str">
        <x:v>荞麦饭</x:v>
      </x:c>
      <x:c r="D953" t="n">
        <x:v>260</x:v>
      </x:c>
      <x:c r="E953" t="n">
        <x:v>100</x:v>
      </x:c>
      <x:c r="F953" s="10" t="str">
        <x:v>未煮干粮约重（按熟饭/生米≈2.6估算）</x:v>
      </x:c>
      <x:c r="G953" s="10" t="str">
        <x:v>熟重</x:v>
      </x:c>
    </x:row>
    <x:row r="954" ht="23" customHeight="1">
      <x:c r="A954" t="n">
        <x:v>24</x:v>
      </x:c>
      <x:c r="B954" t="str">
        <x:v>油脂</x:v>
      </x:c>
      <x:c r="C954" t="str">
        <x:v>烹调油</x:v>
      </x:c>
      <x:c r="D954" t="n">
        <x:v>60</x:v>
      </x:c>
      <x:c r="E954" t="n">
        <x:v>60</x:v>
      </x:c>
      <x:c r="F954" s="10" t="str">
        <x:v>食用油；现有库存足够即可</x:v>
      </x:c>
      <x:c r="G954" s="10" t="str">
        <x:v>实际用油重</x:v>
      </x:c>
    </x:row>
    <x:row r="955" ht="23" customHeight="1">
      <x:c r="A955" t="n">
        <x:v>24</x:v>
      </x:c>
      <x:c r="B955" t="str">
        <x:v>海鲜</x:v>
      </x:c>
      <x:c r="C955" t="str">
        <x:v>扇贝肉</x:v>
      </x:c>
      <x:c r="D955" t="n">
        <x:v>190</x:v>
      </x:c>
      <x:c r="E955" t="n">
        <x:v>210</x:v>
      </x:c>
      <x:c r="F955" s="10" t="str">
        <x:v>食材净重+约8%余量；带壳或带骨采购需另折算</x:v>
      </x:c>
      <x:c r="G955" s="10" t="str">
        <x:v>生重</x:v>
      </x:c>
    </x:row>
    <x:row r="956" ht="23" customHeight="1">
      <x:c r="A956" t="n">
        <x:v>24</x:v>
      </x:c>
      <x:c r="B956" t="str">
        <x:v>海鲜</x:v>
      </x:c>
      <x:c r="C956" t="str">
        <x:v>花蛤肉</x:v>
      </x:c>
      <x:c r="D956" t="n">
        <x:v>210</x:v>
      </x:c>
      <x:c r="E956" t="n">
        <x:v>230</x:v>
      </x:c>
      <x:c r="F956" s="10" t="str">
        <x:v>食材净重+约8%余量；带壳或带骨采购需另折算</x:v>
      </x:c>
      <x:c r="G956" s="10" t="str">
        <x:v>净肉生重</x:v>
      </x:c>
    </x:row>
    <x:row r="957" ht="23" customHeight="1">
      <x:c r="A957" t="n">
        <x:v>24</x:v>
      </x:c>
      <x:c r="B957" t="str">
        <x:v>海鲜</x:v>
      </x:c>
      <x:c r="C957" t="str">
        <x:v>虾仁</x:v>
      </x:c>
      <x:c r="D957" t="n">
        <x:v>160</x:v>
      </x:c>
      <x:c r="E957" t="n">
        <x:v>170</x:v>
      </x:c>
      <x:c r="F957" s="10" t="str">
        <x:v>食材净重+约8%余量</x:v>
      </x:c>
      <x:c r="G957" s="10" t="str">
        <x:v>生重</x:v>
      </x:c>
    </x:row>
    <x:row r="958" ht="23" customHeight="1">
      <x:c r="A958" t="n">
        <x:v>24</x:v>
      </x:c>
      <x:c r="B958" t="str">
        <x:v>牛肉</x:v>
      </x:c>
      <x:c r="C958" t="str">
        <x:v>牛腱子</x:v>
      </x:c>
      <x:c r="D958" t="n">
        <x:v>165</x:v>
      </x:c>
      <x:c r="E958" t="n">
        <x:v>180</x:v>
      </x:c>
      <x:c r="F958" s="10" t="str">
        <x:v>食材净重+约8%余量</x:v>
      </x:c>
      <x:c r="G958" s="10" t="str">
        <x:v>生重</x:v>
      </x:c>
    </x:row>
    <x:row r="959" ht="23" customHeight="1">
      <x:c r="A959" t="n">
        <x:v>24</x:v>
      </x:c>
      <x:c r="B959" t="str">
        <x:v>牛肉</x:v>
      </x:c>
      <x:c r="C959" t="str">
        <x:v>瘦牛肉</x:v>
      </x:c>
      <x:c r="D959" t="n">
        <x:v>350</x:v>
      </x:c>
      <x:c r="E959" t="n">
        <x:v>380</x:v>
      </x:c>
      <x:c r="F959" s="10" t="str">
        <x:v>食材净重+约8%余量</x:v>
      </x:c>
      <x:c r="G959" s="10" t="str">
        <x:v>生重</x:v>
      </x:c>
    </x:row>
    <x:row r="960" ht="23" customHeight="1">
      <x:c r="A960" t="n">
        <x:v>24</x:v>
      </x:c>
      <x:c r="B960" t="str">
        <x:v>猪肉</x:v>
      </x:c>
      <x:c r="C960" t="str">
        <x:v>猪瘦肉</x:v>
      </x:c>
      <x:c r="D960" t="n">
        <x:v>165</x:v>
      </x:c>
      <x:c r="E960" t="n">
        <x:v>180</x:v>
      </x:c>
      <x:c r="F960" s="10" t="str">
        <x:v>食材净重+约8%余量</x:v>
      </x:c>
      <x:c r="G960" s="10" t="str">
        <x:v>生重</x:v>
      </x:c>
    </x:row>
    <x:row r="961" ht="23" customHeight="1">
      <x:c r="A961" t="n">
        <x:v>24</x:v>
      </x:c>
      <x:c r="B961" t="str">
        <x:v>猪肉</x:v>
      </x:c>
      <x:c r="C961" t="str">
        <x:v>猪里脊</x:v>
      </x:c>
      <x:c r="D961" t="n">
        <x:v>185</x:v>
      </x:c>
      <x:c r="E961" t="n">
        <x:v>200</x:v>
      </x:c>
      <x:c r="F961" s="10" t="str">
        <x:v>食材净重+约8%余量</x:v>
      </x:c>
      <x:c r="G961" s="10" t="str">
        <x:v>生重</x:v>
      </x:c>
    </x:row>
    <x:row r="962" ht="23" customHeight="1">
      <x:c r="A962" t="n">
        <x:v>24</x:v>
      </x:c>
      <x:c r="B962" t="str">
        <x:v>禽肉</x:v>
      </x:c>
      <x:c r="C962" t="str">
        <x:v>去皮鸡腿肉</x:v>
      </x:c>
      <x:c r="D962" t="n">
        <x:v>145</x:v>
      </x:c>
      <x:c r="E962" t="n">
        <x:v>160</x:v>
      </x:c>
      <x:c r="F962" s="10" t="str">
        <x:v>食材净重+约8%余量</x:v>
      </x:c>
      <x:c r="G962" s="10" t="str">
        <x:v>生重</x:v>
      </x:c>
    </x:row>
    <x:row r="963" ht="23" customHeight="1">
      <x:c r="A963" t="n">
        <x:v>24</x:v>
      </x:c>
      <x:c r="B963" t="str">
        <x:v>禽肉</x:v>
      </x:c>
      <x:c r="C963" t="str">
        <x:v>去皮鸭胸肉</x:v>
      </x:c>
      <x:c r="D963" t="n">
        <x:v>170</x:v>
      </x:c>
      <x:c r="E963" t="n">
        <x:v>180</x:v>
      </x:c>
      <x:c r="F963" s="10" t="str">
        <x:v>食材净重+约8%余量</x:v>
      </x:c>
      <x:c r="G963" s="10" t="str">
        <x:v>生重</x:v>
      </x:c>
    </x:row>
    <x:row r="964" ht="23" customHeight="1">
      <x:c r="A964" t="n">
        <x:v>24</x:v>
      </x:c>
      <x:c r="B964" t="str">
        <x:v>禽肉</x:v>
      </x:c>
      <x:c r="C964" t="str">
        <x:v>鸡胸肉</x:v>
      </x:c>
      <x:c r="D964" t="n">
        <x:v>175</x:v>
      </x:c>
      <x:c r="E964" t="n">
        <x:v>190</x:v>
      </x:c>
      <x:c r="F964" s="10" t="str">
        <x:v>食材净重+约8%余量</x:v>
      </x:c>
      <x:c r="G964" s="10" t="str">
        <x:v>生重</x:v>
      </x:c>
    </x:row>
    <x:row r="965" ht="23" customHeight="1">
      <x:c r="A965" t="n">
        <x:v>24</x:v>
      </x:c>
      <x:c r="B965" t="str">
        <x:v>菌菇</x:v>
      </x:c>
      <x:c r="C965" t="str">
        <x:v>口蘑</x:v>
      </x:c>
      <x:c r="D965" t="n">
        <x:v>125</x:v>
      </x:c>
      <x:c r="E965" t="n">
        <x:v>140</x:v>
      </x:c>
      <x:c r="F965" s="10" t="str">
        <x:v>食材净重+约8%余量</x:v>
      </x:c>
      <x:c r="G965" s="10" t="str">
        <x:v>生重</x:v>
      </x:c>
    </x:row>
    <x:row r="966" ht="23" customHeight="1">
      <x:c r="A966" t="n">
        <x:v>24</x:v>
      </x:c>
      <x:c r="B966" t="str">
        <x:v>菌菇</x:v>
      </x:c>
      <x:c r="C966" t="str">
        <x:v>杏鲍菇</x:v>
      </x:c>
      <x:c r="D966" t="n">
        <x:v>235</x:v>
      </x:c>
      <x:c r="E966" t="n">
        <x:v>250</x:v>
      </x:c>
      <x:c r="F966" s="10" t="str">
        <x:v>食材净重+约8%余量</x:v>
      </x:c>
      <x:c r="G966" s="10" t="str">
        <x:v>生重</x:v>
      </x:c>
    </x:row>
    <x:row r="967" ht="23" customHeight="1">
      <x:c r="A967" t="n">
        <x:v>24</x:v>
      </x:c>
      <x:c r="B967" t="str">
        <x:v>菌菇</x:v>
      </x:c>
      <x:c r="C967" t="str">
        <x:v>香菇</x:v>
      </x:c>
      <x:c r="D967" t="n">
        <x:v>250</x:v>
      </x:c>
      <x:c r="E967" t="n">
        <x:v>270</x:v>
      </x:c>
      <x:c r="F967" s="10" t="str">
        <x:v>食材净重+约8%余量</x:v>
      </x:c>
      <x:c r="G967" s="10" t="str">
        <x:v>生重</x:v>
      </x:c>
    </x:row>
    <x:row r="968" ht="23" customHeight="1">
      <x:c r="A968" t="n">
        <x:v>24</x:v>
      </x:c>
      <x:c r="B968" t="str">
        <x:v>蔬菜</x:v>
      </x:c>
      <x:c r="C968" t="str">
        <x:v>冬瓜</x:v>
      </x:c>
      <x:c r="D968" t="n">
        <x:v>140</x:v>
      </x:c>
      <x:c r="E968" t="n">
        <x:v>150</x:v>
      </x:c>
      <x:c r="F968" s="10" t="str">
        <x:v>食材净重+约8%余量</x:v>
      </x:c>
      <x:c r="G968" s="10" t="str">
        <x:v>生重</x:v>
      </x:c>
    </x:row>
    <x:row r="969" ht="23" customHeight="1">
      <x:c r="A969" t="n">
        <x:v>24</x:v>
      </x:c>
      <x:c r="B969" t="str">
        <x:v>蔬菜</x:v>
      </x:c>
      <x:c r="C969" t="str">
        <x:v>四季豆</x:v>
      </x:c>
      <x:c r="D969" t="n">
        <x:v>335</x:v>
      </x:c>
      <x:c r="E969" t="n">
        <x:v>360</x:v>
      </x:c>
      <x:c r="F969" s="10" t="str">
        <x:v>食材净重+约8%余量</x:v>
      </x:c>
      <x:c r="G969" s="10" t="str">
        <x:v>生重</x:v>
      </x:c>
    </x:row>
    <x:row r="970" ht="23" customHeight="1">
      <x:c r="A970" t="n">
        <x:v>24</x:v>
      </x:c>
      <x:c r="B970" t="str">
        <x:v>蔬菜</x:v>
      </x:c>
      <x:c r="C970" t="str">
        <x:v>娃娃菜</x:v>
      </x:c>
      <x:c r="D970" t="n">
        <x:v>350</x:v>
      </x:c>
      <x:c r="E970" t="n">
        <x:v>380</x:v>
      </x:c>
      <x:c r="F970" s="10" t="str">
        <x:v>食材净重+约8%余量</x:v>
      </x:c>
      <x:c r="G970" s="10" t="str">
        <x:v>生重</x:v>
      </x:c>
    </x:row>
    <x:row r="971" ht="23" customHeight="1">
      <x:c r="A971" t="n">
        <x:v>24</x:v>
      </x:c>
      <x:c r="B971" t="str">
        <x:v>蔬菜</x:v>
      </x:c>
      <x:c r="C971" t="str">
        <x:v>彩椒</x:v>
      </x:c>
      <x:c r="D971" t="n">
        <x:v>250</x:v>
      </x:c>
      <x:c r="E971" t="n">
        <x:v>270</x:v>
      </x:c>
      <x:c r="F971" s="10" t="str">
        <x:v>食材净重+约8%余量</x:v>
      </x:c>
      <x:c r="G971" s="10" t="str">
        <x:v>生重</x:v>
      </x:c>
    </x:row>
    <x:row r="972" ht="23" customHeight="1">
      <x:c r="A972" t="n">
        <x:v>24</x:v>
      </x:c>
      <x:c r="B972" t="str">
        <x:v>蔬菜</x:v>
      </x:c>
      <x:c r="C972" t="str">
        <x:v>油麦菜</x:v>
      </x:c>
      <x:c r="D972" t="n">
        <x:v>335</x:v>
      </x:c>
      <x:c r="E972" t="n">
        <x:v>360</x:v>
      </x:c>
      <x:c r="F972" s="10" t="str">
        <x:v>食材净重+约8%余量</x:v>
      </x:c>
      <x:c r="G972" s="10" t="str">
        <x:v>生重</x:v>
      </x:c>
    </x:row>
    <x:row r="973" ht="23" customHeight="1">
      <x:c r="A973" t="n">
        <x:v>24</x:v>
      </x:c>
      <x:c r="B973" t="str">
        <x:v>蔬菜</x:v>
      </x:c>
      <x:c r="C973" t="str">
        <x:v>海带</x:v>
      </x:c>
      <x:c r="D973" t="n">
        <x:v>110</x:v>
      </x:c>
      <x:c r="E973" t="n">
        <x:v>120</x:v>
      </x:c>
      <x:c r="F973" s="10" t="str">
        <x:v>食材净重+约8%余量</x:v>
      </x:c>
      <x:c r="G973" s="10" t="str">
        <x:v>泡发沥水重</x:v>
      </x:c>
    </x:row>
    <x:row r="974" ht="23" customHeight="1">
      <x:c r="A974" t="n">
        <x:v>24</x:v>
      </x:c>
      <x:c r="B974" t="str">
        <x:v>蔬菜</x:v>
      </x:c>
      <x:c r="C974" t="str">
        <x:v>番茄</x:v>
      </x:c>
      <x:c r="D974" t="n">
        <x:v>335</x:v>
      </x:c>
      <x:c r="E974" t="n">
        <x:v>360</x:v>
      </x:c>
      <x:c r="F974" s="10" t="str">
        <x:v>食材净重+约8%余量</x:v>
      </x:c>
      <x:c r="G974" s="10" t="str">
        <x:v>生重</x:v>
      </x:c>
    </x:row>
    <x:row r="975" ht="23" customHeight="1">
      <x:c r="A975" t="n">
        <x:v>24</x:v>
      </x:c>
      <x:c r="B975" t="str">
        <x:v>蔬菜</x:v>
      </x:c>
      <x:c r="C975" t="str">
        <x:v>白萝卜</x:v>
      </x:c>
      <x:c r="D975" t="n">
        <x:v>310</x:v>
      </x:c>
      <x:c r="E975" t="n">
        <x:v>330</x:v>
      </x:c>
      <x:c r="F975" s="10" t="str">
        <x:v>食材净重+约8%余量</x:v>
      </x:c>
      <x:c r="G975" s="10" t="str">
        <x:v>生重</x:v>
      </x:c>
    </x:row>
    <x:row r="976" ht="23" customHeight="1">
      <x:c r="A976" t="n">
        <x:v>24</x:v>
      </x:c>
      <x:c r="B976" t="str">
        <x:v>蔬菜</x:v>
      </x:c>
      <x:c r="C976" t="str">
        <x:v>紫甘蓝</x:v>
      </x:c>
      <x:c r="D976" t="n">
        <x:v>365</x:v>
      </x:c>
      <x:c r="E976" t="n">
        <x:v>390</x:v>
      </x:c>
      <x:c r="F976" s="10" t="str">
        <x:v>食材净重+约8%余量</x:v>
      </x:c>
      <x:c r="G976" s="10" t="str">
        <x:v>生重</x:v>
      </x:c>
    </x:row>
    <x:row r="977" ht="23" customHeight="1">
      <x:c r="A977" t="n">
        <x:v>24</x:v>
      </x:c>
      <x:c r="B977" t="str">
        <x:v>蔬菜</x:v>
      </x:c>
      <x:c r="C977" t="str">
        <x:v>胡萝卜</x:v>
      </x:c>
      <x:c r="D977" t="n">
        <x:v>125</x:v>
      </x:c>
      <x:c r="E977" t="n">
        <x:v>140</x:v>
      </x:c>
      <x:c r="F977" s="10" t="str">
        <x:v>食材净重+约8%余量</x:v>
      </x:c>
      <x:c r="G977" s="10" t="str">
        <x:v>生重</x:v>
      </x:c>
    </x:row>
    <x:row r="978" ht="23" customHeight="1">
      <x:c r="A978" t="n">
        <x:v>24</x:v>
      </x:c>
      <x:c r="B978" t="str">
        <x:v>蔬菜</x:v>
      </x:c>
      <x:c r="C978" t="str">
        <x:v>芦笋</x:v>
      </x:c>
      <x:c r="D978" t="n">
        <x:v>140</x:v>
      </x:c>
      <x:c r="E978" t="n">
        <x:v>150</x:v>
      </x:c>
      <x:c r="F978" s="10" t="str">
        <x:v>食材净重+约8%余量</x:v>
      </x:c>
      <x:c r="G978" s="10" t="str">
        <x:v>生重</x:v>
      </x:c>
    </x:row>
    <x:row r="979" ht="23" customHeight="1">
      <x:c r="A979" t="n">
        <x:v>24</x:v>
      </x:c>
      <x:c r="B979" t="str">
        <x:v>蔬菜</x:v>
      </x:c>
      <x:c r="C979" t="str">
        <x:v>花菜</x:v>
      </x:c>
      <x:c r="D979" t="n">
        <x:v>155</x:v>
      </x:c>
      <x:c r="E979" t="n">
        <x:v>170</x:v>
      </x:c>
      <x:c r="F979" s="10" t="str">
        <x:v>食材净重+约8%余量</x:v>
      </x:c>
      <x:c r="G979" s="10" t="str">
        <x:v>生重</x:v>
      </x:c>
    </x:row>
    <x:row r="980" ht="23" customHeight="1">
      <x:c r="A980" t="n">
        <x:v>24</x:v>
      </x:c>
      <x:c r="B980" t="str">
        <x:v>蔬菜</x:v>
      </x:c>
      <x:c r="C980" t="str">
        <x:v>苦瓜</x:v>
      </x:c>
      <x:c r="D980" t="n">
        <x:v>175</x:v>
      </x:c>
      <x:c r="E980" t="n">
        <x:v>190</x:v>
      </x:c>
      <x:c r="F980" s="10" t="str">
        <x:v>食材净重+约8%余量</x:v>
      </x:c>
      <x:c r="G980" s="10" t="str">
        <x:v>生重</x:v>
      </x:c>
    </x:row>
    <x:row r="981" ht="23" customHeight="1">
      <x:c r="A981" t="n">
        <x:v>24</x:v>
      </x:c>
      <x:c r="B981" t="str">
        <x:v>蔬菜</x:v>
      </x:c>
      <x:c r="C981" t="str">
        <x:v>菠菜</x:v>
      </x:c>
      <x:c r="D981" t="n">
        <x:v>160</x:v>
      </x:c>
      <x:c r="E981" t="n">
        <x:v>170</x:v>
      </x:c>
      <x:c r="F981" s="10" t="str">
        <x:v>食材净重+约8%余量</x:v>
      </x:c>
      <x:c r="G981" s="10" t="str">
        <x:v>生重</x:v>
      </x:c>
    </x:row>
    <x:row r="982" ht="23" customHeight="1">
      <x:c r="A982" t="n">
        <x:v>24</x:v>
      </x:c>
      <x:c r="B982" t="str">
        <x:v>蔬菜</x:v>
      </x:c>
      <x:c r="C982" t="str">
        <x:v>西兰花</x:v>
      </x:c>
      <x:c r="D982" t="n">
        <x:v>110</x:v>
      </x:c>
      <x:c r="E982" t="n">
        <x:v>120</x:v>
      </x:c>
      <x:c r="F982" s="10" t="str">
        <x:v>食材净重+约8%余量</x:v>
      </x:c>
      <x:c r="G982" s="10" t="str">
        <x:v>生重</x:v>
      </x:c>
    </x:row>
    <x:row r="983" ht="23" customHeight="1">
      <x:c r="A983" t="n">
        <x:v>24</x:v>
      </x:c>
      <x:c r="B983" t="str">
        <x:v>蔬菜</x:v>
      </x:c>
      <x:c r="C983" t="str">
        <x:v>黄瓜</x:v>
      </x:c>
      <x:c r="D983" t="n">
        <x:v>125</x:v>
      </x:c>
      <x:c r="E983" t="n">
        <x:v>140</x:v>
      </x:c>
      <x:c r="F983" s="10" t="str">
        <x:v>食材净重+约8%余量</x:v>
      </x:c>
      <x:c r="G983" s="10" t="str">
        <x:v>生重</x:v>
      </x:c>
    </x:row>
    <x:row r="984" ht="23" customHeight="1">
      <x:c r="A984" t="n">
        <x:v>24</x:v>
      </x:c>
      <x:c r="B984" t="str">
        <x:v>豆蛋</x:v>
      </x:c>
      <x:c r="C984" t="str">
        <x:v>北豆腐</x:v>
      </x:c>
      <x:c r="D984" t="n">
        <x:v>560</x:v>
      </x:c>
      <x:c r="E984" t="n">
        <x:v>600</x:v>
      </x:c>
      <x:c r="F984" s="10" t="str">
        <x:v>食材净重+约8%余量</x:v>
      </x:c>
      <x:c r="G984" s="10" t="str">
        <x:v>净重</x:v>
      </x:c>
    </x:row>
    <x:row r="985" ht="23" customHeight="1">
      <x:c r="A985" t="n">
        <x:v>24</x:v>
      </x:c>
      <x:c r="B985" t="str">
        <x:v>豆蛋</x:v>
      </x:c>
      <x:c r="C985" t="str">
        <x:v>嫩豆腐</x:v>
      </x:c>
      <x:c r="D985" t="n">
        <x:v>160</x:v>
      </x:c>
      <x:c r="E985" t="n">
        <x:v>170</x:v>
      </x:c>
      <x:c r="F985" s="10" t="str">
        <x:v>食材净重+约8%余量</x:v>
      </x:c>
      <x:c r="G985" s="10" t="str">
        <x:v>净重</x:v>
      </x:c>
    </x:row>
    <x:row r="986" ht="23" customHeight="1">
      <x:c r="A986" t="n">
        <x:v>24</x:v>
      </x:c>
      <x:c r="B986" t="str">
        <x:v>豆蛋</x:v>
      </x:c>
      <x:c r="C986" t="str">
        <x:v>熟毛豆仁</x:v>
      </x:c>
      <x:c r="D986" t="n">
        <x:v>140</x:v>
      </x:c>
      <x:c r="E986" t="n">
        <x:v>150</x:v>
      </x:c>
      <x:c r="F986" s="10" t="str">
        <x:v>食材净重+约8%余量</x:v>
      </x:c>
      <x:c r="G986" s="10" t="str">
        <x:v>熟重</x:v>
      </x:c>
    </x:row>
    <x:row r="987" ht="23" customHeight="1">
      <x:c r="A987" t="n">
        <x:v>24</x:v>
      </x:c>
      <x:c r="B987" t="str">
        <x:v>豆蛋</x:v>
      </x:c>
      <x:c r="C987" t="str">
        <x:v>鸡蛋</x:v>
      </x:c>
      <x:c r="D987" t="n">
        <x:v>85</x:v>
      </x:c>
      <x:c r="E987" t="n">
        <x:v>90</x:v>
      </x:c>
      <x:c r="F987" s="10" t="str">
        <x:v>食材净重+约8%余量</x:v>
      </x:c>
      <x:c r="G987" s="10" t="str">
        <x:v>去壳可食重</x:v>
      </x:c>
    </x:row>
    <x:row r="988" ht="23" customHeight="1">
      <x:c r="A988" t="n">
        <x:v>24</x:v>
      </x:c>
      <x:c r="B988" t="str">
        <x:v>鱼类</x:v>
      </x:c>
      <x:c r="C988" t="str">
        <x:v>巴沙鱼</x:v>
      </x:c>
      <x:c r="D988" t="n">
        <x:v>185</x:v>
      </x:c>
      <x:c r="E988" t="n">
        <x:v>200</x:v>
      </x:c>
      <x:c r="F988" s="10" t="str">
        <x:v>食材净重+约8%余量</x:v>
      </x:c>
      <x:c r="G988" s="10" t="str">
        <x:v>净鱼肉生重</x:v>
      </x:c>
    </x:row>
    <x:row r="989" ht="23" customHeight="1">
      <x:c r="A989" t="n">
        <x:v>25</x:v>
      </x:c>
      <x:c r="B989" t="str">
        <x:v>主食</x:v>
      </x:c>
      <x:c r="C989" t="str">
        <x:v>山药</x:v>
      </x:c>
      <x:c r="D989" t="n">
        <x:v>265</x:v>
      </x:c>
      <x:c r="E989" t="n">
        <x:v>290</x:v>
      </x:c>
      <x:c r="F989" s="10" t="str">
        <x:v>鲜薯/玉米净重；考虑小幅损耗</x:v>
      </x:c>
      <x:c r="G989" s="10" t="str">
        <x:v>蒸熟净重</x:v>
      </x:c>
    </x:row>
    <x:row r="990" ht="23" customHeight="1">
      <x:c r="A990" t="n">
        <x:v>25</x:v>
      </x:c>
      <x:c r="B990" t="str">
        <x:v>主食</x:v>
      </x:c>
      <x:c r="C990" t="str">
        <x:v>杂粮饭</x:v>
      </x:c>
      <x:c r="D990" t="n">
        <x:v>495</x:v>
      </x:c>
      <x:c r="E990" t="n">
        <x:v>190</x:v>
      </x:c>
      <x:c r="F990" s="10" t="str">
        <x:v>未煮干粮约重（按熟饭/生米≈2.6估算）</x:v>
      </x:c>
      <x:c r="G990" s="10" t="str">
        <x:v>熟重</x:v>
      </x:c>
    </x:row>
    <x:row r="991" ht="23" customHeight="1">
      <x:c r="A991" t="n">
        <x:v>25</x:v>
      </x:c>
      <x:c r="B991" t="str">
        <x:v>主食</x:v>
      </x:c>
      <x:c r="C991" t="str">
        <x:v>白米饭</x:v>
      </x:c>
      <x:c r="D991" t="n">
        <x:v>205</x:v>
      </x:c>
      <x:c r="E991" t="n">
        <x:v>80</x:v>
      </x:c>
      <x:c r="F991" s="10" t="str">
        <x:v>未煮干粮约重（按熟饭/生米≈2.6估算）</x:v>
      </x:c>
      <x:c r="G991" s="10" t="str">
        <x:v>熟重</x:v>
      </x:c>
    </x:row>
    <x:row r="992" ht="23" customHeight="1">
      <x:c r="A992" t="n">
        <x:v>25</x:v>
      </x:c>
      <x:c r="B992" t="str">
        <x:v>主食</x:v>
      </x:c>
      <x:c r="C992" t="str">
        <x:v>米粉</x:v>
      </x:c>
      <x:c r="D992" t="n">
        <x:v>125</x:v>
      </x:c>
      <x:c r="E992" t="n">
        <x:v>60</x:v>
      </x:c>
      <x:c r="F992" s="10" t="str">
        <x:v>干粮约重（按熟面/干面≈2.1估算）</x:v>
      </x:c>
      <x:c r="G992" s="10" t="str">
        <x:v>煮熟沥水重</x:v>
      </x:c>
    </x:row>
    <x:row r="993" ht="23" customHeight="1">
      <x:c r="A993" t="n">
        <x:v>25</x:v>
      </x:c>
      <x:c r="B993" t="str">
        <x:v>主食</x:v>
      </x:c>
      <x:c r="C993" t="str">
        <x:v>紫薯</x:v>
      </x:c>
      <x:c r="D993" t="n">
        <x:v>110</x:v>
      </x:c>
      <x:c r="E993" t="n">
        <x:v>120</x:v>
      </x:c>
      <x:c r="F993" s="10" t="str">
        <x:v>鲜薯/玉米净重；考虑小幅损耗</x:v>
      </x:c>
      <x:c r="G993" s="10" t="str">
        <x:v>蒸熟净重</x:v>
      </x:c>
    </x:row>
    <x:row r="994" ht="23" customHeight="1">
      <x:c r="A994" t="n">
        <x:v>25</x:v>
      </x:c>
      <x:c r="B994" t="str">
        <x:v>主食</x:v>
      </x:c>
      <x:c r="C994" t="str">
        <x:v>红薯</x:v>
      </x:c>
      <x:c r="D994" t="n">
        <x:v>135</x:v>
      </x:c>
      <x:c r="E994" t="n">
        <x:v>150</x:v>
      </x:c>
      <x:c r="F994" s="10" t="str">
        <x:v>鲜薯/玉米净重；考虑小幅损耗</x:v>
      </x:c>
      <x:c r="G994" s="10" t="str">
        <x:v>蒸熟净重</x:v>
      </x:c>
    </x:row>
    <x:row r="995" ht="23" customHeight="1">
      <x:c r="A995" t="n">
        <x:v>25</x:v>
      </x:c>
      <x:c r="B995" t="str">
        <x:v>主食</x:v>
      </x:c>
      <x:c r="C995" t="str">
        <x:v>荞麦饭</x:v>
      </x:c>
      <x:c r="D995" t="n">
        <x:v>275</x:v>
      </x:c>
      <x:c r="E995" t="n">
        <x:v>110</x:v>
      </x:c>
      <x:c r="F995" s="10" t="str">
        <x:v>未煮干粮约重（按熟饭/生米≈2.6估算）</x:v>
      </x:c>
      <x:c r="G995" s="10" t="str">
        <x:v>熟重</x:v>
      </x:c>
    </x:row>
    <x:row r="996" ht="23" customHeight="1">
      <x:c r="A996" t="n">
        <x:v>25</x:v>
      </x:c>
      <x:c r="B996" t="str">
        <x:v>主食</x:v>
      </x:c>
      <x:c r="C996" t="str">
        <x:v>藜麦饭</x:v>
      </x:c>
      <x:c r="D996" t="n">
        <x:v>110</x:v>
      </x:c>
      <x:c r="E996" t="n">
        <x:v>40</x:v>
      </x:c>
      <x:c r="F996" s="10" t="str">
        <x:v>未煮干粮约重（按熟饭/生米≈2.6估算）</x:v>
      </x:c>
      <x:c r="G996" s="10" t="str">
        <x:v>熟重</x:v>
      </x:c>
    </x:row>
    <x:row r="997" ht="23" customHeight="1">
      <x:c r="A997" t="n">
        <x:v>25</x:v>
      </x:c>
      <x:c r="B997" t="str">
        <x:v>油脂</x:v>
      </x:c>
      <x:c r="C997" t="str">
        <x:v>烹调油</x:v>
      </x:c>
      <x:c r="D997" t="n">
        <x:v>63</x:v>
      </x:c>
      <x:c r="E997" t="n">
        <x:v>63</x:v>
      </x:c>
      <x:c r="F997" s="10" t="str">
        <x:v>食用油；现有库存足够即可</x:v>
      </x:c>
      <x:c r="G997" s="10" t="str">
        <x:v>实际用油重</x:v>
      </x:c>
    </x:row>
    <x:row r="998" ht="23" customHeight="1">
      <x:c r="A998" t="n">
        <x:v>25</x:v>
      </x:c>
      <x:c r="B998" t="str">
        <x:v>海鲜</x:v>
      </x:c>
      <x:c r="C998" t="str">
        <x:v>虾仁</x:v>
      </x:c>
      <x:c r="D998" t="n">
        <x:v>350</x:v>
      </x:c>
      <x:c r="E998" t="n">
        <x:v>380</x:v>
      </x:c>
      <x:c r="F998" s="10" t="str">
        <x:v>食材净重+约8%余量</x:v>
      </x:c>
      <x:c r="G998" s="10" t="str">
        <x:v>生重</x:v>
      </x:c>
    </x:row>
    <x:row r="999" ht="23" customHeight="1">
      <x:c r="A999" t="n">
        <x:v>25</x:v>
      </x:c>
      <x:c r="B999" t="str">
        <x:v>海鲜</x:v>
      </x:c>
      <x:c r="C999" t="str">
        <x:v>鱿鱼</x:v>
      </x:c>
      <x:c r="D999" t="n">
        <x:v>175</x:v>
      </x:c>
      <x:c r="E999" t="n">
        <x:v>190</x:v>
      </x:c>
      <x:c r="F999" s="10" t="str">
        <x:v>食材净重+约8%余量</x:v>
      </x:c>
      <x:c r="G999" s="10" t="str">
        <x:v>生重</x:v>
      </x:c>
    </x:row>
    <x:row r="1000" ht="23" customHeight="1">
      <x:c r="A1000" t="n">
        <x:v>25</x:v>
      </x:c>
      <x:c r="B1000" t="str">
        <x:v>牛肉</x:v>
      </x:c>
      <x:c r="C1000" t="str">
        <x:v>瘦牛肉</x:v>
      </x:c>
      <x:c r="D1000" t="n">
        <x:v>160</x:v>
      </x:c>
      <x:c r="E1000" t="n">
        <x:v>170</x:v>
      </x:c>
      <x:c r="F1000" s="10" t="str">
        <x:v>食材净重+约8%余量</x:v>
      </x:c>
      <x:c r="G1000" s="10" t="str">
        <x:v>生重</x:v>
      </x:c>
    </x:row>
    <x:row r="1001" ht="23" customHeight="1">
      <x:c r="A1001" t="n">
        <x:v>25</x:v>
      </x:c>
      <x:c r="B1001" t="str">
        <x:v>牛肉</x:v>
      </x:c>
      <x:c r="C1001" t="str">
        <x:v>肥牛卷</x:v>
      </x:c>
      <x:c r="D1001" t="n">
        <x:v>95</x:v>
      </x:c>
      <x:c r="E1001" t="n">
        <x:v>100</x:v>
      </x:c>
      <x:c r="F1001" s="10" t="str">
        <x:v>食材净重+约8%余量</x:v>
      </x:c>
      <x:c r="G1001" s="10" t="str">
        <x:v>生重；以包装为准</x:v>
      </x:c>
    </x:row>
    <x:row r="1002" ht="23" customHeight="1">
      <x:c r="A1002" t="n">
        <x:v>25</x:v>
      </x:c>
      <x:c r="B1002" t="str">
        <x:v>禽肉</x:v>
      </x:c>
      <x:c r="C1002" t="str">
        <x:v>鸡胸肉</x:v>
      </x:c>
      <x:c r="D1002" t="n">
        <x:v>340</x:v>
      </x:c>
      <x:c r="E1002" t="n">
        <x:v>370</x:v>
      </x:c>
      <x:c r="F1002" s="10" t="str">
        <x:v>食材净重+约8%余量</x:v>
      </x:c>
      <x:c r="G1002" s="10" t="str">
        <x:v>生重</x:v>
      </x:c>
    </x:row>
    <x:row r="1003" ht="23" customHeight="1">
      <x:c r="A1003" t="n">
        <x:v>25</x:v>
      </x:c>
      <x:c r="B1003" t="str">
        <x:v>禽肉</x:v>
      </x:c>
      <x:c r="C1003" t="str">
        <x:v>鸡里脊肉</x:v>
      </x:c>
      <x:c r="D1003" t="n">
        <x:v>145</x:v>
      </x:c>
      <x:c r="E1003" t="n">
        <x:v>160</x:v>
      </x:c>
      <x:c r="F1003" s="10" t="str">
        <x:v>食材净重+约8%余量</x:v>
      </x:c>
      <x:c r="G1003" s="10" t="str">
        <x:v>生重</x:v>
      </x:c>
    </x:row>
    <x:row r="1004" ht="23" customHeight="1">
      <x:c r="A1004" t="n">
        <x:v>25</x:v>
      </x:c>
      <x:c r="B1004" t="str">
        <x:v>菌菇</x:v>
      </x:c>
      <x:c r="C1004" t="str">
        <x:v>口蘑</x:v>
      </x:c>
      <x:c r="D1004" t="n">
        <x:v>155</x:v>
      </x:c>
      <x:c r="E1004" t="n">
        <x:v>170</x:v>
      </x:c>
      <x:c r="F1004" s="10" t="str">
        <x:v>食材净重+约8%余量</x:v>
      </x:c>
      <x:c r="G1004" s="10" t="str">
        <x:v>生重</x:v>
      </x:c>
    </x:row>
    <x:row r="1005" ht="23" customHeight="1">
      <x:c r="A1005" t="n">
        <x:v>25</x:v>
      </x:c>
      <x:c r="B1005" t="str">
        <x:v>菌菇</x:v>
      </x:c>
      <x:c r="C1005" t="str">
        <x:v>香菇</x:v>
      </x:c>
      <x:c r="D1005" t="n">
        <x:v>700</x:v>
      </x:c>
      <x:c r="E1005" t="n">
        <x:v>760</x:v>
      </x:c>
      <x:c r="F1005" s="10" t="str">
        <x:v>食材净重+约8%余量</x:v>
      </x:c>
      <x:c r="G1005" s="10" t="str">
        <x:v>生重</x:v>
      </x:c>
    </x:row>
    <x:row r="1006" ht="23" customHeight="1">
      <x:c r="A1006" t="n">
        <x:v>25</x:v>
      </x:c>
      <x:c r="B1006" t="str">
        <x:v>蔬菜</x:v>
      </x:c>
      <x:c r="C1006" t="str">
        <x:v>丝瓜</x:v>
      </x:c>
      <x:c r="D1006" t="n">
        <x:v>300</x:v>
      </x:c>
      <x:c r="E1006" t="n">
        <x:v>320</x:v>
      </x:c>
      <x:c r="F1006" s="10" t="str">
        <x:v>食材净重+约8%余量</x:v>
      </x:c>
      <x:c r="G1006" s="10" t="str">
        <x:v>生重</x:v>
      </x:c>
    </x:row>
    <x:row r="1007" ht="23" customHeight="1">
      <x:c r="A1007" t="n">
        <x:v>25</x:v>
      </x:c>
      <x:c r="B1007" t="str">
        <x:v>蔬菜</x:v>
      </x:c>
      <x:c r="C1007" t="str">
        <x:v>冬瓜</x:v>
      </x:c>
      <x:c r="D1007" t="n">
        <x:v>140</x:v>
      </x:c>
      <x:c r="E1007" t="n">
        <x:v>150</x:v>
      </x:c>
      <x:c r="F1007" s="10" t="str">
        <x:v>食材净重+约8%余量</x:v>
      </x:c>
      <x:c r="G1007" s="10" t="str">
        <x:v>生重</x:v>
      </x:c>
    </x:row>
    <x:row r="1008" ht="23" customHeight="1">
      <x:c r="A1008" t="n">
        <x:v>25</x:v>
      </x:c>
      <x:c r="B1008" t="str">
        <x:v>蔬菜</x:v>
      </x:c>
      <x:c r="C1008" t="str">
        <x:v>娃娃菜</x:v>
      </x:c>
      <x:c r="D1008" t="n">
        <x:v>140</x:v>
      </x:c>
      <x:c r="E1008" t="n">
        <x:v>150</x:v>
      </x:c>
      <x:c r="F1008" s="10" t="str">
        <x:v>食材净重+约8%余量</x:v>
      </x:c>
      <x:c r="G1008" s="10" t="str">
        <x:v>生重</x:v>
      </x:c>
    </x:row>
    <x:row r="1009" ht="23" customHeight="1">
      <x:c r="A1009" t="n">
        <x:v>25</x:v>
      </x:c>
      <x:c r="B1009" t="str">
        <x:v>蔬菜</x:v>
      </x:c>
      <x:c r="C1009" t="str">
        <x:v>彩椒</x:v>
      </x:c>
      <x:c r="D1009" t="n">
        <x:v>250</x:v>
      </x:c>
      <x:c r="E1009" t="n">
        <x:v>270</x:v>
      </x:c>
      <x:c r="F1009" s="10" t="str">
        <x:v>食材净重+约8%余量</x:v>
      </x:c>
      <x:c r="G1009" s="10" t="str">
        <x:v>生重</x:v>
      </x:c>
    </x:row>
    <x:row r="1010" ht="23" customHeight="1">
      <x:c r="A1010" t="n">
        <x:v>25</x:v>
      </x:c>
      <x:c r="B1010" t="str">
        <x:v>蔬菜</x:v>
      </x:c>
      <x:c r="C1010" t="str">
        <x:v>油麦菜</x:v>
      </x:c>
      <x:c r="D1010" t="n">
        <x:v>140</x:v>
      </x:c>
      <x:c r="E1010" t="n">
        <x:v>150</x:v>
      </x:c>
      <x:c r="F1010" s="10" t="str">
        <x:v>食材净重+约8%余量</x:v>
      </x:c>
      <x:c r="G1010" s="10" t="str">
        <x:v>生重</x:v>
      </x:c>
    </x:row>
    <x:row r="1011" ht="23" customHeight="1">
      <x:c r="A1011" t="n">
        <x:v>25</x:v>
      </x:c>
      <x:c r="B1011" t="str">
        <x:v>蔬菜</x:v>
      </x:c>
      <x:c r="C1011" t="str">
        <x:v>洋葱</x:v>
      </x:c>
      <x:c r="D1011" t="n">
        <x:v>110</x:v>
      </x:c>
      <x:c r="E1011" t="n">
        <x:v>120</x:v>
      </x:c>
      <x:c r="F1011" s="10" t="str">
        <x:v>食材净重+约8%余量</x:v>
      </x:c>
      <x:c r="G1011" s="10" t="str">
        <x:v>生重</x:v>
      </x:c>
    </x:row>
    <x:row r="1012" ht="23" customHeight="1">
      <x:c r="A1012" t="n">
        <x:v>25</x:v>
      </x:c>
      <x:c r="B1012" t="str">
        <x:v>蔬菜</x:v>
      </x:c>
      <x:c r="C1012" t="str">
        <x:v>番茄</x:v>
      </x:c>
      <x:c r="D1012" t="n">
        <x:v>490</x:v>
      </x:c>
      <x:c r="E1012" t="n">
        <x:v>530</x:v>
      </x:c>
      <x:c r="F1012" s="10" t="str">
        <x:v>食材净重+约8%余量</x:v>
      </x:c>
      <x:c r="G1012" s="10" t="str">
        <x:v>生重</x:v>
      </x:c>
    </x:row>
    <x:row r="1013" ht="23" customHeight="1">
      <x:c r="A1013" t="n">
        <x:v>25</x:v>
      </x:c>
      <x:c r="B1013" t="str">
        <x:v>蔬菜</x:v>
      </x:c>
      <x:c r="C1013" t="str">
        <x:v>白萝卜</x:v>
      </x:c>
      <x:c r="D1013" t="n">
        <x:v>265</x:v>
      </x:c>
      <x:c r="E1013" t="n">
        <x:v>290</x:v>
      </x:c>
      <x:c r="F1013" s="10" t="str">
        <x:v>食材净重+约8%余量</x:v>
      </x:c>
      <x:c r="G1013" s="10" t="str">
        <x:v>生重</x:v>
      </x:c>
    </x:row>
    <x:row r="1014" ht="23" customHeight="1">
      <x:c r="A1014" t="n">
        <x:v>25</x:v>
      </x:c>
      <x:c r="B1014" t="str">
        <x:v>蔬菜</x:v>
      </x:c>
      <x:c r="C1014" t="str">
        <x:v>竹笋</x:v>
      </x:c>
      <x:c r="D1014" t="n">
        <x:v>160</x:v>
      </x:c>
      <x:c r="E1014" t="n">
        <x:v>170</x:v>
      </x:c>
      <x:c r="F1014" s="10" t="str">
        <x:v>食材净重+约8%余量</x:v>
      </x:c>
      <x:c r="G1014" s="10" t="str">
        <x:v>生重</x:v>
      </x:c>
    </x:row>
    <x:row r="1015" ht="23" customHeight="1">
      <x:c r="A1015" t="n">
        <x:v>25</x:v>
      </x:c>
      <x:c r="B1015" t="str">
        <x:v>蔬菜</x:v>
      </x:c>
      <x:c r="C1015" t="str">
        <x:v>紫甘蓝</x:v>
      </x:c>
      <x:c r="D1015" t="n">
        <x:v>660</x:v>
      </x:c>
      <x:c r="E1015" t="n">
        <x:v>710</x:v>
      </x:c>
      <x:c r="F1015" s="10" t="str">
        <x:v>食材净重+约8%余量</x:v>
      </x:c>
      <x:c r="G1015" s="10" t="str">
        <x:v>生重</x:v>
      </x:c>
    </x:row>
    <x:row r="1016" ht="23" customHeight="1">
      <x:c r="A1016" t="n">
        <x:v>25</x:v>
      </x:c>
      <x:c r="B1016" t="str">
        <x:v>蔬菜</x:v>
      </x:c>
      <x:c r="C1016" t="str">
        <x:v>芹菜</x:v>
      </x:c>
      <x:c r="D1016" t="n">
        <x:v>140</x:v>
      </x:c>
      <x:c r="E1016" t="n">
        <x:v>150</x:v>
      </x:c>
      <x:c r="F1016" s="10" t="str">
        <x:v>食材净重+约8%余量</x:v>
      </x:c>
      <x:c r="G1016" s="10" t="str">
        <x:v>生重</x:v>
      </x:c>
    </x:row>
    <x:row r="1017" ht="23" customHeight="1">
      <x:c r="A1017" t="n">
        <x:v>25</x:v>
      </x:c>
      <x:c r="B1017" t="str">
        <x:v>蔬菜</x:v>
      </x:c>
      <x:c r="C1017" t="str">
        <x:v>苦瓜</x:v>
      </x:c>
      <x:c r="D1017" t="n">
        <x:v>140</x:v>
      </x:c>
      <x:c r="E1017" t="n">
        <x:v>150</x:v>
      </x:c>
      <x:c r="F1017" s="10" t="str">
        <x:v>食材净重+约8%余量</x:v>
      </x:c>
      <x:c r="G1017" s="10" t="str">
        <x:v>生重</x:v>
      </x:c>
    </x:row>
    <x:row r="1018" ht="23" customHeight="1">
      <x:c r="A1018" t="n">
        <x:v>25</x:v>
      </x:c>
      <x:c r="B1018" t="str">
        <x:v>蔬菜</x:v>
      </x:c>
      <x:c r="C1018" t="str">
        <x:v>菜心</x:v>
      </x:c>
      <x:c r="D1018" t="n">
        <x:v>160</x:v>
      </x:c>
      <x:c r="E1018" t="n">
        <x:v>170</x:v>
      </x:c>
      <x:c r="F1018" s="10" t="str">
        <x:v>食材净重+约8%余量</x:v>
      </x:c>
      <x:c r="G1018" s="10" t="str">
        <x:v>生重</x:v>
      </x:c>
    </x:row>
    <x:row r="1019" ht="23" customHeight="1">
      <x:c r="A1019" t="n">
        <x:v>25</x:v>
      </x:c>
      <x:c r="B1019" t="str">
        <x:v>蔬菜</x:v>
      </x:c>
      <x:c r="C1019" t="str">
        <x:v>西葫芦</x:v>
      </x:c>
      <x:c r="D1019" t="n">
        <x:v>190</x:v>
      </x:c>
      <x:c r="E1019" t="n">
        <x:v>210</x:v>
      </x:c>
      <x:c r="F1019" s="10" t="str">
        <x:v>食材净重+约8%余量</x:v>
      </x:c>
      <x:c r="G1019" s="10" t="str">
        <x:v>生重</x:v>
      </x:c>
    </x:row>
    <x:row r="1020" ht="23" customHeight="1">
      <x:c r="A1020" t="n">
        <x:v>25</x:v>
      </x:c>
      <x:c r="B1020" t="str">
        <x:v>豆蛋</x:v>
      </x:c>
      <x:c r="C1020" t="str">
        <x:v>北豆腐</x:v>
      </x:c>
      <x:c r="D1020" t="n">
        <x:v>350</x:v>
      </x:c>
      <x:c r="E1020" t="n">
        <x:v>380</x:v>
      </x:c>
      <x:c r="F1020" s="10" t="str">
        <x:v>食材净重+约8%余量</x:v>
      </x:c>
      <x:c r="G1020" s="10" t="str">
        <x:v>净重</x:v>
      </x:c>
    </x:row>
    <x:row r="1021" ht="23" customHeight="1">
      <x:c r="A1021" t="n">
        <x:v>25</x:v>
      </x:c>
      <x:c r="B1021" t="str">
        <x:v>豆蛋</x:v>
      </x:c>
      <x:c r="C1021" t="str">
        <x:v>嫩豆腐</x:v>
      </x:c>
      <x:c r="D1021" t="n">
        <x:v>460</x:v>
      </x:c>
      <x:c r="E1021" t="n">
        <x:v>500</x:v>
      </x:c>
      <x:c r="F1021" s="10" t="str">
        <x:v>食材净重+约8%余量</x:v>
      </x:c>
      <x:c r="G1021" s="10" t="str">
        <x:v>净重</x:v>
      </x:c>
    </x:row>
    <x:row r="1022" ht="23" customHeight="1">
      <x:c r="A1022" t="n">
        <x:v>25</x:v>
      </x:c>
      <x:c r="B1022" t="str">
        <x:v>豆蛋</x:v>
      </x:c>
      <x:c r="C1022" t="str">
        <x:v>鸡蛋</x:v>
      </x:c>
      <x:c r="D1022" t="n">
        <x:v>185</x:v>
      </x:c>
      <x:c r="E1022" t="n">
        <x:v>200</x:v>
      </x:c>
      <x:c r="F1022" s="10" t="str">
        <x:v>食材净重+约8%余量</x:v>
      </x:c>
      <x:c r="G1022" s="10" t="str">
        <x:v>去壳可食重</x:v>
      </x:c>
    </x:row>
    <x:row r="1023" ht="23" customHeight="1">
      <x:c r="A1023" t="n">
        <x:v>25</x:v>
      </x:c>
      <x:c r="B1023" t="str">
        <x:v>鱼类</x:v>
      </x:c>
      <x:c r="C1023" t="str">
        <x:v>巴沙鱼</x:v>
      </x:c>
      <x:c r="D1023" t="n">
        <x:v>570</x:v>
      </x:c>
      <x:c r="E1023" t="n">
        <x:v>620</x:v>
      </x:c>
      <x:c r="F1023" s="10" t="str">
        <x:v>食材净重+约8%余量</x:v>
      </x:c>
      <x:c r="G1023" s="10" t="str">
        <x:v>净鱼肉生重</x:v>
      </x:c>
    </x:row>
    <x:row r="1024" ht="23" customHeight="1">
      <x:c r="A1024" t="n">
        <x:v>25</x:v>
      </x:c>
      <x:c r="B1024" t="str">
        <x:v>鱼类</x:v>
      </x:c>
      <x:c r="C1024" t="str">
        <x:v>鳕鱼</x:v>
      </x:c>
      <x:c r="D1024" t="n">
        <x:v>215</x:v>
      </x:c>
      <x:c r="E1024" t="n">
        <x:v>230</x:v>
      </x:c>
      <x:c r="F1024" s="10" t="str">
        <x:v>食材净重+约8%余量；带壳或带骨采购需另折算</x:v>
      </x:c>
      <x:c r="G1024" s="10" t="str">
        <x:v>净鱼肉生重</x:v>
      </x:c>
    </x:row>
    <x:row r="1025" ht="23" customHeight="1">
      <x:c r="A1025" t="n">
        <x:v>26</x:v>
      </x:c>
      <x:c r="B1025" t="str">
        <x:v>主食</x:v>
      </x:c>
      <x:c r="C1025" t="str">
        <x:v>乌冬面</x:v>
      </x:c>
      <x:c r="D1025" t="n">
        <x:v>150</x:v>
      </x:c>
      <x:c r="E1025" t="n">
        <x:v>70</x:v>
      </x:c>
      <x:c r="F1025" s="10" t="str">
        <x:v>干粮约重（按熟面/干面≈2.1估算）</x:v>
      </x:c>
      <x:c r="G1025" s="10" t="str">
        <x:v>煮熟沥水重</x:v>
      </x:c>
    </x:row>
    <x:row r="1026" ht="23" customHeight="1">
      <x:c r="A1026" t="n">
        <x:v>26</x:v>
      </x:c>
      <x:c r="B1026" t="str">
        <x:v>主食</x:v>
      </x:c>
      <x:c r="C1026" t="str">
        <x:v>全麦面</x:v>
      </x:c>
      <x:c r="D1026" t="n">
        <x:v>135</x:v>
      </x:c>
      <x:c r="E1026" t="n">
        <x:v>60</x:v>
      </x:c>
      <x:c r="F1026" s="10" t="str">
        <x:v>干粮约重（按熟面/干面≈2.1估算）</x:v>
      </x:c>
      <x:c r="G1026" s="10" t="str">
        <x:v>煮熟沥水重</x:v>
      </x:c>
    </x:row>
    <x:row r="1027" ht="23" customHeight="1">
      <x:c r="A1027" t="n">
        <x:v>26</x:v>
      </x:c>
      <x:c r="B1027" t="str">
        <x:v>主食</x:v>
      </x:c>
      <x:c r="C1027" t="str">
        <x:v>杂粮饭</x:v>
      </x:c>
      <x:c r="D1027" t="n">
        <x:v>275</x:v>
      </x:c>
      <x:c r="E1027" t="n">
        <x:v>110</x:v>
      </x:c>
      <x:c r="F1027" s="10" t="str">
        <x:v>未煮干粮约重（按熟饭/生米≈2.6估算）</x:v>
      </x:c>
      <x:c r="G1027" s="10" t="str">
        <x:v>熟重</x:v>
      </x:c>
    </x:row>
    <x:row r="1028" ht="23" customHeight="1">
      <x:c r="A1028" t="n">
        <x:v>26</x:v>
      </x:c>
      <x:c r="B1028" t="str">
        <x:v>主食</x:v>
      </x:c>
      <x:c r="C1028" t="str">
        <x:v>白米饭</x:v>
      </x:c>
      <x:c r="D1028" t="n">
        <x:v>350</x:v>
      </x:c>
      <x:c r="E1028" t="n">
        <x:v>130</x:v>
      </x:c>
      <x:c r="F1028" s="10" t="str">
        <x:v>未煮干粮约重（按熟饭/生米≈2.6估算）</x:v>
      </x:c>
      <x:c r="G1028" s="10" t="str">
        <x:v>熟重</x:v>
      </x:c>
    </x:row>
    <x:row r="1029" ht="23" customHeight="1">
      <x:c r="A1029" t="n">
        <x:v>26</x:v>
      </x:c>
      <x:c r="B1029" t="str">
        <x:v>主食</x:v>
      </x:c>
      <x:c r="C1029" t="str">
        <x:v>糙米饭</x:v>
      </x:c>
      <x:c r="D1029" t="n">
        <x:v>135</x:v>
      </x:c>
      <x:c r="E1029" t="n">
        <x:v>50</x:v>
      </x:c>
      <x:c r="F1029" s="10" t="str">
        <x:v>未煮干粮约重（按熟饭/生米≈2.6估算）</x:v>
      </x:c>
      <x:c r="G1029" s="10" t="str">
        <x:v>熟重</x:v>
      </x:c>
    </x:row>
    <x:row r="1030" ht="23" customHeight="1">
      <x:c r="A1030" t="n">
        <x:v>26</x:v>
      </x:c>
      <x:c r="B1030" t="str">
        <x:v>主食</x:v>
      </x:c>
      <x:c r="C1030" t="str">
        <x:v>紫薯</x:v>
      </x:c>
      <x:c r="D1030" t="n">
        <x:v>260</x:v>
      </x:c>
      <x:c r="E1030" t="n">
        <x:v>290</x:v>
      </x:c>
      <x:c r="F1030" s="10" t="str">
        <x:v>鲜薯/玉米净重；考虑小幅损耗</x:v>
      </x:c>
      <x:c r="G1030" s="10" t="str">
        <x:v>蒸熟净重</x:v>
      </x:c>
    </x:row>
    <x:row r="1031" ht="23" customHeight="1">
      <x:c r="A1031" t="n">
        <x:v>26</x:v>
      </x:c>
      <x:c r="B1031" t="str">
        <x:v>主食</x:v>
      </x:c>
      <x:c r="C1031" t="str">
        <x:v>荞麦面</x:v>
      </x:c>
      <x:c r="D1031" t="n">
        <x:v>300</x:v>
      </x:c>
      <x:c r="E1031" t="n">
        <x:v>140</x:v>
      </x:c>
      <x:c r="F1031" s="10" t="str">
        <x:v>干粮约重（按熟面/干面≈2.1估算）</x:v>
      </x:c>
      <x:c r="G1031" s="10" t="str">
        <x:v>煮熟沥水重</x:v>
      </x:c>
    </x:row>
    <x:row r="1032" ht="23" customHeight="1">
      <x:c r="A1032" t="n">
        <x:v>26</x:v>
      </x:c>
      <x:c r="B1032" t="str">
        <x:v>主食</x:v>
      </x:c>
      <x:c r="C1032" t="str">
        <x:v>藜麦饭</x:v>
      </x:c>
      <x:c r="D1032" t="n">
        <x:v>260</x:v>
      </x:c>
      <x:c r="E1032" t="n">
        <x:v>100</x:v>
      </x:c>
      <x:c r="F1032" s="10" t="str">
        <x:v>未煮干粮约重（按熟饭/生米≈2.6估算）</x:v>
      </x:c>
      <x:c r="G1032" s="10" t="str">
        <x:v>熟重</x:v>
      </x:c>
    </x:row>
    <x:row r="1033" ht="23" customHeight="1">
      <x:c r="A1033" t="n">
        <x:v>26</x:v>
      </x:c>
      <x:c r="B1033" t="str">
        <x:v>油脂</x:v>
      </x:c>
      <x:c r="C1033" t="str">
        <x:v>烹调油</x:v>
      </x:c>
      <x:c r="D1033" t="n">
        <x:v>64</x:v>
      </x:c>
      <x:c r="E1033" t="n">
        <x:v>64</x:v>
      </x:c>
      <x:c r="F1033" s="10" t="str">
        <x:v>食用油；现有库存足够即可</x:v>
      </x:c>
      <x:c r="G1033" s="10" t="str">
        <x:v>实际用油重</x:v>
      </x:c>
    </x:row>
    <x:row r="1034" ht="23" customHeight="1">
      <x:c r="A1034" t="n">
        <x:v>26</x:v>
      </x:c>
      <x:c r="B1034" t="str">
        <x:v>海鲜</x:v>
      </x:c>
      <x:c r="C1034" t="str">
        <x:v>扇贝肉</x:v>
      </x:c>
      <x:c r="D1034" t="n">
        <x:v>170</x:v>
      </x:c>
      <x:c r="E1034" t="n">
        <x:v>180</x:v>
      </x:c>
      <x:c r="F1034" s="10" t="str">
        <x:v>食材净重+约8%余量；带壳或带骨采购需另折算</x:v>
      </x:c>
      <x:c r="G1034" s="10" t="str">
        <x:v>生重</x:v>
      </x:c>
    </x:row>
    <x:row r="1035" ht="23" customHeight="1">
      <x:c r="A1035" t="n">
        <x:v>26</x:v>
      </x:c>
      <x:c r="B1035" t="str">
        <x:v>海鲜</x:v>
      </x:c>
      <x:c r="C1035" t="str">
        <x:v>花蛤肉</x:v>
      </x:c>
      <x:c r="D1035" t="n">
        <x:v>170</x:v>
      </x:c>
      <x:c r="E1035" t="n">
        <x:v>180</x:v>
      </x:c>
      <x:c r="F1035" s="10" t="str">
        <x:v>食材净重+约8%余量；带壳或带骨采购需另折算</x:v>
      </x:c>
      <x:c r="G1035" s="10" t="str">
        <x:v>净肉生重</x:v>
      </x:c>
    </x:row>
    <x:row r="1036" ht="23" customHeight="1">
      <x:c r="A1036" t="n">
        <x:v>26</x:v>
      </x:c>
      <x:c r="B1036" t="str">
        <x:v>海鲜</x:v>
      </x:c>
      <x:c r="C1036" t="str">
        <x:v>鱿鱼</x:v>
      </x:c>
      <x:c r="D1036" t="n">
        <x:v>175</x:v>
      </x:c>
      <x:c r="E1036" t="n">
        <x:v>190</x:v>
      </x:c>
      <x:c r="F1036" s="10" t="str">
        <x:v>食材净重+约8%余量</x:v>
      </x:c>
      <x:c r="G1036" s="10" t="str">
        <x:v>生重</x:v>
      </x:c>
    </x:row>
    <x:row r="1037" ht="23" customHeight="1">
      <x:c r="A1037" t="n">
        <x:v>26</x:v>
      </x:c>
      <x:c r="B1037" t="str">
        <x:v>牛肉</x:v>
      </x:c>
      <x:c r="C1037" t="str">
        <x:v>牛腱子</x:v>
      </x:c>
      <x:c r="D1037" t="n">
        <x:v>170</x:v>
      </x:c>
      <x:c r="E1037" t="n">
        <x:v>180</x:v>
      </x:c>
      <x:c r="F1037" s="10" t="str">
        <x:v>食材净重+约8%余量</x:v>
      </x:c>
      <x:c r="G1037" s="10" t="str">
        <x:v>生重</x:v>
      </x:c>
    </x:row>
    <x:row r="1038" ht="23" customHeight="1">
      <x:c r="A1038" t="n">
        <x:v>26</x:v>
      </x:c>
      <x:c r="B1038" t="str">
        <x:v>牛肉</x:v>
      </x:c>
      <x:c r="C1038" t="str">
        <x:v>肥牛卷</x:v>
      </x:c>
      <x:c r="D1038" t="n">
        <x:v>85</x:v>
      </x:c>
      <x:c r="E1038" t="n">
        <x:v>90</x:v>
      </x:c>
      <x:c r="F1038" s="10" t="str">
        <x:v>食材净重+约8%余量</x:v>
      </x:c>
      <x:c r="G1038" s="10" t="str">
        <x:v>生重；以包装为准</x:v>
      </x:c>
    </x:row>
    <x:row r="1039" ht="23" customHeight="1">
      <x:c r="A1039" t="n">
        <x:v>26</x:v>
      </x:c>
      <x:c r="B1039" t="str">
        <x:v>猪肉</x:v>
      </x:c>
      <x:c r="C1039" t="str">
        <x:v>猪瘦肉</x:v>
      </x:c>
      <x:c r="D1039" t="n">
        <x:v>160</x:v>
      </x:c>
      <x:c r="E1039" t="n">
        <x:v>170</x:v>
      </x:c>
      <x:c r="F1039" s="10" t="str">
        <x:v>食材净重+约8%余量</x:v>
      </x:c>
      <x:c r="G1039" s="10" t="str">
        <x:v>生重</x:v>
      </x:c>
    </x:row>
    <x:row r="1040" ht="23" customHeight="1">
      <x:c r="A1040" t="n">
        <x:v>26</x:v>
      </x:c>
      <x:c r="B1040" t="str">
        <x:v>猪肉</x:v>
      </x:c>
      <x:c r="C1040" t="str">
        <x:v>猪里脊</x:v>
      </x:c>
      <x:c r="D1040" t="n">
        <x:v>165</x:v>
      </x:c>
      <x:c r="E1040" t="n">
        <x:v>180</x:v>
      </x:c>
      <x:c r="F1040" s="10" t="str">
        <x:v>食材净重+约8%余量</x:v>
      </x:c>
      <x:c r="G1040" s="10" t="str">
        <x:v>生重</x:v>
      </x:c>
    </x:row>
    <x:row r="1041" ht="23" customHeight="1">
      <x:c r="A1041" t="n">
        <x:v>26</x:v>
      </x:c>
      <x:c r="B1041" t="str">
        <x:v>禽肉</x:v>
      </x:c>
      <x:c r="C1041" t="str">
        <x:v>去皮鸡腿肉</x:v>
      </x:c>
      <x:c r="D1041" t="n">
        <x:v>510</x:v>
      </x:c>
      <x:c r="E1041" t="n">
        <x:v>550</x:v>
      </x:c>
      <x:c r="F1041" s="10" t="str">
        <x:v>食材净重+约8%余量</x:v>
      </x:c>
      <x:c r="G1041" s="10" t="str">
        <x:v>生重</x:v>
      </x:c>
    </x:row>
    <x:row r="1042" ht="23" customHeight="1">
      <x:c r="A1042" t="n">
        <x:v>26</x:v>
      </x:c>
      <x:c r="B1042" t="str">
        <x:v>禽肉</x:v>
      </x:c>
      <x:c r="C1042" t="str">
        <x:v>去皮鸭胸肉</x:v>
      </x:c>
      <x:c r="D1042" t="n">
        <x:v>145</x:v>
      </x:c>
      <x:c r="E1042" t="n">
        <x:v>160</x:v>
      </x:c>
      <x:c r="F1042" s="10" t="str">
        <x:v>食材净重+约8%余量</x:v>
      </x:c>
      <x:c r="G1042" s="10" t="str">
        <x:v>生重</x:v>
      </x:c>
    </x:row>
    <x:row r="1043" ht="23" customHeight="1">
      <x:c r="A1043" t="n">
        <x:v>26</x:v>
      </x:c>
      <x:c r="B1043" t="str">
        <x:v>菌菇</x:v>
      </x:c>
      <x:c r="C1043" t="str">
        <x:v>杏鲍菇</x:v>
      </x:c>
      <x:c r="D1043" t="n">
        <x:v>110</x:v>
      </x:c>
      <x:c r="E1043" t="n">
        <x:v>120</x:v>
      </x:c>
      <x:c r="F1043" s="10" t="str">
        <x:v>食材净重+约8%余量</x:v>
      </x:c>
      <x:c r="G1043" s="10" t="str">
        <x:v>生重</x:v>
      </x:c>
    </x:row>
    <x:row r="1044" ht="23" customHeight="1">
      <x:c r="A1044" t="n">
        <x:v>26</x:v>
      </x:c>
      <x:c r="B1044" t="str">
        <x:v>蔬菜</x:v>
      </x:c>
      <x:c r="C1044" t="str">
        <x:v>四季豆</x:v>
      </x:c>
      <x:c r="D1044" t="n">
        <x:v>175</x:v>
      </x:c>
      <x:c r="E1044" t="n">
        <x:v>190</x:v>
      </x:c>
      <x:c r="F1044" s="10" t="str">
        <x:v>食材净重+约8%余量</x:v>
      </x:c>
      <x:c r="G1044" s="10" t="str">
        <x:v>生重</x:v>
      </x:c>
    </x:row>
    <x:row r="1045" ht="23" customHeight="1">
      <x:c r="A1045" t="n">
        <x:v>26</x:v>
      </x:c>
      <x:c r="B1045" t="str">
        <x:v>蔬菜</x:v>
      </x:c>
      <x:c r="C1045" t="str">
        <x:v>小白菜</x:v>
      </x:c>
      <x:c r="D1045" t="n">
        <x:v>155</x:v>
      </x:c>
      <x:c r="E1045" t="n">
        <x:v>170</x:v>
      </x:c>
      <x:c r="F1045" s="10" t="str">
        <x:v>食材净重+约8%余量</x:v>
      </x:c>
      <x:c r="G1045" s="10" t="str">
        <x:v>生重</x:v>
      </x:c>
    </x:row>
    <x:row r="1046" ht="23" customHeight="1">
      <x:c r="A1046" t="n">
        <x:v>26</x:v>
      </x:c>
      <x:c r="B1046" t="str">
        <x:v>蔬菜</x:v>
      </x:c>
      <x:c r="C1046" t="str">
        <x:v>彩椒</x:v>
      </x:c>
      <x:c r="D1046" t="n">
        <x:v>125</x:v>
      </x:c>
      <x:c r="E1046" t="n">
        <x:v>140</x:v>
      </x:c>
      <x:c r="F1046" s="10" t="str">
        <x:v>食材净重+约8%余量</x:v>
      </x:c>
      <x:c r="G1046" s="10" t="str">
        <x:v>生重</x:v>
      </x:c>
    </x:row>
    <x:row r="1047" ht="23" customHeight="1">
      <x:c r="A1047" t="n">
        <x:v>26</x:v>
      </x:c>
      <x:c r="B1047" t="str">
        <x:v>蔬菜</x:v>
      </x:c>
      <x:c r="C1047" t="str">
        <x:v>洋葱</x:v>
      </x:c>
      <x:c r="D1047" t="n">
        <x:v>125</x:v>
      </x:c>
      <x:c r="E1047" t="n">
        <x:v>140</x:v>
      </x:c>
      <x:c r="F1047" s="10" t="str">
        <x:v>食材净重+约8%余量</x:v>
      </x:c>
      <x:c r="G1047" s="10" t="str">
        <x:v>生重</x:v>
      </x:c>
    </x:row>
    <x:row r="1048" ht="23" customHeight="1">
      <x:c r="A1048" t="n">
        <x:v>26</x:v>
      </x:c>
      <x:c r="B1048" t="str">
        <x:v>蔬菜</x:v>
      </x:c>
      <x:c r="C1048" t="str">
        <x:v>海带</x:v>
      </x:c>
      <x:c r="D1048" t="n">
        <x:v>155</x:v>
      </x:c>
      <x:c r="E1048" t="n">
        <x:v>170</x:v>
      </x:c>
      <x:c r="F1048" s="10" t="str">
        <x:v>食材净重+约8%余量</x:v>
      </x:c>
      <x:c r="G1048" s="10" t="str">
        <x:v>泡发沥水重</x:v>
      </x:c>
    </x:row>
    <x:row r="1049" ht="23" customHeight="1">
      <x:c r="A1049" t="n">
        <x:v>26</x:v>
      </x:c>
      <x:c r="B1049" t="str">
        <x:v>蔬菜</x:v>
      </x:c>
      <x:c r="C1049" t="str">
        <x:v>玉米笋</x:v>
      </x:c>
      <x:c r="D1049" t="n">
        <x:v>155</x:v>
      </x:c>
      <x:c r="E1049" t="n">
        <x:v>170</x:v>
      </x:c>
      <x:c r="F1049" s="10" t="str">
        <x:v>食材净重+约8%余量</x:v>
      </x:c>
      <x:c r="G1049" s="10" t="str">
        <x:v>生重</x:v>
      </x:c>
    </x:row>
    <x:row r="1050" ht="23" customHeight="1">
      <x:c r="A1050" t="n">
        <x:v>26</x:v>
      </x:c>
      <x:c r="B1050" t="str">
        <x:v>蔬菜</x:v>
      </x:c>
      <x:c r="C1050" t="str">
        <x:v>生菜</x:v>
      </x:c>
      <x:c r="D1050" t="n">
        <x:v>160</x:v>
      </x:c>
      <x:c r="E1050" t="n">
        <x:v>170</x:v>
      </x:c>
      <x:c r="F1050" s="10" t="str">
        <x:v>食材净重+约8%余量</x:v>
      </x:c>
      <x:c r="G1050" s="10" t="str">
        <x:v>生重</x:v>
      </x:c>
    </x:row>
    <x:row r="1051" ht="23" customHeight="1">
      <x:c r="A1051" t="n">
        <x:v>26</x:v>
      </x:c>
      <x:c r="B1051" t="str">
        <x:v>蔬菜</x:v>
      </x:c>
      <x:c r="C1051" t="str">
        <x:v>番茄</x:v>
      </x:c>
      <x:c r="D1051" t="n">
        <x:v>175</x:v>
      </x:c>
      <x:c r="E1051" t="n">
        <x:v>190</x:v>
      </x:c>
      <x:c r="F1051" s="10" t="str">
        <x:v>食材净重+约8%余量</x:v>
      </x:c>
      <x:c r="G1051" s="10" t="str">
        <x:v>生重</x:v>
      </x:c>
    </x:row>
    <x:row r="1052" ht="23" customHeight="1">
      <x:c r="A1052" t="n">
        <x:v>26</x:v>
      </x:c>
      <x:c r="B1052" t="str">
        <x:v>蔬菜</x:v>
      </x:c>
      <x:c r="C1052" t="str">
        <x:v>白萝卜</x:v>
      </x:c>
      <x:c r="D1052" t="n">
        <x:v>140</x:v>
      </x:c>
      <x:c r="E1052" t="n">
        <x:v>150</x:v>
      </x:c>
      <x:c r="F1052" s="10" t="str">
        <x:v>食材净重+约8%余量</x:v>
      </x:c>
      <x:c r="G1052" s="10" t="str">
        <x:v>生重</x:v>
      </x:c>
    </x:row>
    <x:row r="1053" ht="23" customHeight="1">
      <x:c r="A1053" t="n">
        <x:v>26</x:v>
      </x:c>
      <x:c r="B1053" t="str">
        <x:v>蔬菜</x:v>
      </x:c>
      <x:c r="C1053" t="str">
        <x:v>紫甘蓝</x:v>
      </x:c>
      <x:c r="D1053" t="n">
        <x:v>160</x:v>
      </x:c>
      <x:c r="E1053" t="n">
        <x:v>170</x:v>
      </x:c>
      <x:c r="F1053" s="10" t="str">
        <x:v>食材净重+约8%余量</x:v>
      </x:c>
      <x:c r="G1053" s="10" t="str">
        <x:v>生重</x:v>
      </x:c>
    </x:row>
    <x:row r="1054" ht="23" customHeight="1">
      <x:c r="A1054" t="n">
        <x:v>26</x:v>
      </x:c>
      <x:c r="B1054" t="str">
        <x:v>蔬菜</x:v>
      </x:c>
      <x:c r="C1054" t="str">
        <x:v>绿豆芽</x:v>
      </x:c>
      <x:c r="D1054" t="n">
        <x:v>155</x:v>
      </x:c>
      <x:c r="E1054" t="n">
        <x:v>170</x:v>
      </x:c>
      <x:c r="F1054" s="10" t="str">
        <x:v>食材净重+约8%余量</x:v>
      </x:c>
      <x:c r="G1054" s="10" t="str">
        <x:v>生重</x:v>
      </x:c>
    </x:row>
    <x:row r="1055" ht="23" customHeight="1">
      <x:c r="A1055" t="n">
        <x:v>26</x:v>
      </x:c>
      <x:c r="B1055" t="str">
        <x:v>蔬菜</x:v>
      </x:c>
      <x:c r="C1055" t="str">
        <x:v>芦笋</x:v>
      </x:c>
      <x:c r="D1055" t="n">
        <x:v>315</x:v>
      </x:c>
      <x:c r="E1055" t="n">
        <x:v>340</x:v>
      </x:c>
      <x:c r="F1055" s="10" t="str">
        <x:v>食材净重+约8%余量</x:v>
      </x:c>
      <x:c r="G1055" s="10" t="str">
        <x:v>生重</x:v>
      </x:c>
    </x:row>
    <x:row r="1056" ht="23" customHeight="1">
      <x:c r="A1056" t="n">
        <x:v>26</x:v>
      </x:c>
      <x:c r="B1056" t="str">
        <x:v>蔬菜</x:v>
      </x:c>
      <x:c r="C1056" t="str">
        <x:v>花菜</x:v>
      </x:c>
      <x:c r="D1056" t="n">
        <x:v>175</x:v>
      </x:c>
      <x:c r="E1056" t="n">
        <x:v>190</x:v>
      </x:c>
      <x:c r="F1056" s="10" t="str">
        <x:v>食材净重+约8%余量</x:v>
      </x:c>
      <x:c r="G1056" s="10" t="str">
        <x:v>生重</x:v>
      </x:c>
    </x:row>
    <x:row r="1057" ht="23" customHeight="1">
      <x:c r="A1057" t="n">
        <x:v>26</x:v>
      </x:c>
      <x:c r="B1057" t="str">
        <x:v>蔬菜</x:v>
      </x:c>
      <x:c r="C1057" t="str">
        <x:v>芹菜</x:v>
      </x:c>
      <x:c r="D1057" t="n">
        <x:v>140</x:v>
      </x:c>
      <x:c r="E1057" t="n">
        <x:v>150</x:v>
      </x:c>
      <x:c r="F1057" s="10" t="str">
        <x:v>食材净重+约8%余量</x:v>
      </x:c>
      <x:c r="G1057" s="10" t="str">
        <x:v>生重</x:v>
      </x:c>
    </x:row>
    <x:row r="1058" ht="23" customHeight="1">
      <x:c r="A1058" t="n">
        <x:v>26</x:v>
      </x:c>
      <x:c r="B1058" t="str">
        <x:v>蔬菜</x:v>
      </x:c>
      <x:c r="C1058" t="str">
        <x:v>荷兰豆</x:v>
      </x:c>
      <x:c r="D1058" t="n">
        <x:v>330</x:v>
      </x:c>
      <x:c r="E1058" t="n">
        <x:v>360</x:v>
      </x:c>
      <x:c r="F1058" s="10" t="str">
        <x:v>食材净重+约8%余量</x:v>
      </x:c>
      <x:c r="G1058" s="10" t="str">
        <x:v>生重</x:v>
      </x:c>
    </x:row>
    <x:row r="1059" ht="23" customHeight="1">
      <x:c r="A1059" t="n">
        <x:v>26</x:v>
      </x:c>
      <x:c r="B1059" t="str">
        <x:v>蔬菜</x:v>
      </x:c>
      <x:c r="C1059" t="str">
        <x:v>莴笋</x:v>
      </x:c>
      <x:c r="D1059" t="n">
        <x:v>265</x:v>
      </x:c>
      <x:c r="E1059" t="n">
        <x:v>290</x:v>
      </x:c>
      <x:c r="F1059" s="10" t="str">
        <x:v>食材净重+约8%余量</x:v>
      </x:c>
      <x:c r="G1059" s="10" t="str">
        <x:v>生重</x:v>
      </x:c>
    </x:row>
    <x:row r="1060" ht="23" customHeight="1">
      <x:c r="A1060" t="n">
        <x:v>26</x:v>
      </x:c>
      <x:c r="B1060" t="str">
        <x:v>蔬菜</x:v>
      </x:c>
      <x:c r="C1060" t="str">
        <x:v>菜心</x:v>
      </x:c>
      <x:c r="D1060" t="n">
        <x:v>435</x:v>
      </x:c>
      <x:c r="E1060" t="n">
        <x:v>470</x:v>
      </x:c>
      <x:c r="F1060" s="10" t="str">
        <x:v>食材净重+约8%余量</x:v>
      </x:c>
      <x:c r="G1060" s="10" t="str">
        <x:v>生重</x:v>
      </x:c>
    </x:row>
    <x:row r="1061" ht="23" customHeight="1">
      <x:c r="A1061" t="n">
        <x:v>26</x:v>
      </x:c>
      <x:c r="B1061" t="str">
        <x:v>蔬菜</x:v>
      </x:c>
      <x:c r="C1061" t="str">
        <x:v>西兰花</x:v>
      </x:c>
      <x:c r="D1061" t="n">
        <x:v>160</x:v>
      </x:c>
      <x:c r="E1061" t="n">
        <x:v>170</x:v>
      </x:c>
      <x:c r="F1061" s="10" t="str">
        <x:v>食材净重+约8%余量</x:v>
      </x:c>
      <x:c r="G1061" s="10" t="str">
        <x:v>生重</x:v>
      </x:c>
    </x:row>
    <x:row r="1062" ht="23" customHeight="1">
      <x:c r="A1062" t="n">
        <x:v>26</x:v>
      </x:c>
      <x:c r="B1062" t="str">
        <x:v>蔬菜</x:v>
      </x:c>
      <x:c r="C1062" t="str">
        <x:v>西葫芦</x:v>
      </x:c>
      <x:c r="D1062" t="n">
        <x:v>475</x:v>
      </x:c>
      <x:c r="E1062" t="n">
        <x:v>510</x:v>
      </x:c>
      <x:c r="F1062" s="10" t="str">
        <x:v>食材净重+约8%余量</x:v>
      </x:c>
      <x:c r="G1062" s="10" t="str">
        <x:v>生重</x:v>
      </x:c>
    </x:row>
    <x:row r="1063" ht="23" customHeight="1">
      <x:c r="A1063" t="n">
        <x:v>26</x:v>
      </x:c>
      <x:c r="B1063" t="str">
        <x:v>蔬菜</x:v>
      </x:c>
      <x:c r="C1063" t="str">
        <x:v>黄瓜</x:v>
      </x:c>
      <x:c r="D1063" t="n">
        <x:v>125</x:v>
      </x:c>
      <x:c r="E1063" t="n">
        <x:v>140</x:v>
      </x:c>
      <x:c r="F1063" s="10" t="str">
        <x:v>食材净重+约8%余量</x:v>
      </x:c>
      <x:c r="G1063" s="10" t="str">
        <x:v>生重</x:v>
      </x:c>
    </x:row>
    <x:row r="1064" ht="23" customHeight="1">
      <x:c r="A1064" t="n">
        <x:v>26</x:v>
      </x:c>
      <x:c r="B1064" t="str">
        <x:v>豆蛋</x:v>
      </x:c>
      <x:c r="C1064" t="str">
        <x:v>北豆腐</x:v>
      </x:c>
      <x:c r="D1064" t="n">
        <x:v>90</x:v>
      </x:c>
      <x:c r="E1064" t="n">
        <x:v>100</x:v>
      </x:c>
      <x:c r="F1064" s="10" t="str">
        <x:v>食材净重+约8%余量</x:v>
      </x:c>
      <x:c r="G1064" s="10" t="str">
        <x:v>净重</x:v>
      </x:c>
    </x:row>
    <x:row r="1065" ht="23" customHeight="1">
      <x:c r="A1065" t="n">
        <x:v>26</x:v>
      </x:c>
      <x:c r="B1065" t="str">
        <x:v>豆蛋</x:v>
      </x:c>
      <x:c r="C1065" t="str">
        <x:v>熟毛豆仁</x:v>
      </x:c>
      <x:c r="D1065" t="n">
        <x:v>50</x:v>
      </x:c>
      <x:c r="E1065" t="n">
        <x:v>50</x:v>
      </x:c>
      <x:c r="F1065" s="10" t="str">
        <x:v>食材净重+约8%余量</x:v>
      </x:c>
      <x:c r="G1065" s="10" t="str">
        <x:v>熟重</x:v>
      </x:c>
    </x:row>
    <x:row r="1066" ht="23" customHeight="1">
      <x:c r="A1066" t="n">
        <x:v>26</x:v>
      </x:c>
      <x:c r="B1066" t="str">
        <x:v>鱼类</x:v>
      </x:c>
      <x:c r="C1066" t="str">
        <x:v>三文鱼</x:v>
      </x:c>
      <x:c r="D1066" t="n">
        <x:v>120</x:v>
      </x:c>
      <x:c r="E1066" t="n">
        <x:v>130</x:v>
      </x:c>
      <x:c r="F1066" s="10" t="str">
        <x:v>食材净重+约8%余量</x:v>
      </x:c>
      <x:c r="G1066" s="10" t="str">
        <x:v>净鱼肉生重</x:v>
      </x:c>
    </x:row>
    <x:row r="1067" ht="23" customHeight="1">
      <x:c r="A1067" t="n">
        <x:v>26</x:v>
      </x:c>
      <x:c r="B1067" t="str">
        <x:v>鱼类</x:v>
      </x:c>
      <x:c r="C1067" t="str">
        <x:v>鲈鱼</x:v>
      </x:c>
      <x:c r="D1067" t="n">
        <x:v>430</x:v>
      </x:c>
      <x:c r="E1067" t="n">
        <x:v>460</x:v>
      </x:c>
      <x:c r="F1067" s="10" t="str">
        <x:v>食材净重+约8%余量；带壳或带骨采购需另折算</x:v>
      </x:c>
      <x:c r="G1067" s="10" t="str">
        <x:v>净鱼肉生重</x:v>
      </x:c>
    </x:row>
    <x:row r="1068" ht="23" customHeight="1">
      <x:c r="A1068" t="n">
        <x:v>27</x:v>
      </x:c>
      <x:c r="B1068" t="str">
        <x:v>主食</x:v>
      </x:c>
      <x:c r="C1068" t="str">
        <x:v>乌冬面</x:v>
      </x:c>
      <x:c r="D1068" t="n">
        <x:v>150</x:v>
      </x:c>
      <x:c r="E1068" t="n">
        <x:v>70</x:v>
      </x:c>
      <x:c r="F1068" s="10" t="str">
        <x:v>干粮约重（按熟面/干面≈2.1估算）</x:v>
      </x:c>
      <x:c r="G1068" s="10" t="str">
        <x:v>煮熟沥水重</x:v>
      </x:c>
    </x:row>
    <x:row r="1069" ht="23" customHeight="1">
      <x:c r="A1069" t="n">
        <x:v>27</x:v>
      </x:c>
      <x:c r="B1069" t="str">
        <x:v>主食</x:v>
      </x:c>
      <x:c r="C1069" t="str">
        <x:v>山药</x:v>
      </x:c>
      <x:c r="D1069" t="n">
        <x:v>125</x:v>
      </x:c>
      <x:c r="E1069" t="n">
        <x:v>140</x:v>
      </x:c>
      <x:c r="F1069" s="10" t="str">
        <x:v>鲜薯/玉米净重；考虑小幅损耗</x:v>
      </x:c>
      <x:c r="G1069" s="10" t="str">
        <x:v>蒸熟净重</x:v>
      </x:c>
    </x:row>
    <x:row r="1070" ht="23" customHeight="1">
      <x:c r="A1070" t="n">
        <x:v>27</x:v>
      </x:c>
      <x:c r="B1070" t="str">
        <x:v>主食</x:v>
      </x:c>
      <x:c r="C1070" t="str">
        <x:v>燕麦饭</x:v>
      </x:c>
      <x:c r="D1070" t="n">
        <x:v>245</x:v>
      </x:c>
      <x:c r="E1070" t="n">
        <x:v>90</x:v>
      </x:c>
      <x:c r="F1070" s="10" t="str">
        <x:v>未煮干粮约重（按熟饭/生米≈2.6估算）</x:v>
      </x:c>
      <x:c r="G1070" s="10" t="str">
        <x:v>熟重</x:v>
      </x:c>
    </x:row>
    <x:row r="1071" ht="23" customHeight="1">
      <x:c r="A1071" t="n">
        <x:v>27</x:v>
      </x:c>
      <x:c r="B1071" t="str">
        <x:v>主食</x:v>
      </x:c>
      <x:c r="C1071" t="str">
        <x:v>玉米</x:v>
      </x:c>
      <x:c r="D1071" t="n">
        <x:v>135</x:v>
      </x:c>
      <x:c r="E1071" t="n">
        <x:v>150</x:v>
      </x:c>
      <x:c r="F1071" s="10" t="str">
        <x:v>鲜薯/玉米净重；考虑小幅损耗</x:v>
      </x:c>
      <x:c r="G1071" s="10" t="str">
        <x:v>蒸熟净重</x:v>
      </x:c>
    </x:row>
    <x:row r="1072" ht="23" customHeight="1">
      <x:c r="A1072" t="n">
        <x:v>27</x:v>
      </x:c>
      <x:c r="B1072" t="str">
        <x:v>主食</x:v>
      </x:c>
      <x:c r="C1072" t="str">
        <x:v>白米饭</x:v>
      </x:c>
      <x:c r="D1072" t="n">
        <x:v>205</x:v>
      </x:c>
      <x:c r="E1072" t="n">
        <x:v>80</x:v>
      </x:c>
      <x:c r="F1072" s="10" t="str">
        <x:v>未煮干粮约重（按熟饭/生米≈2.6估算）</x:v>
      </x:c>
      <x:c r="G1072" s="10" t="str">
        <x:v>熟重</x:v>
      </x:c>
    </x:row>
    <x:row r="1073" ht="23" customHeight="1">
      <x:c r="A1073" t="n">
        <x:v>27</x:v>
      </x:c>
      <x:c r="B1073" t="str">
        <x:v>主食</x:v>
      </x:c>
      <x:c r="C1073" t="str">
        <x:v>紫薯</x:v>
      </x:c>
      <x:c r="D1073" t="n">
        <x:v>360</x:v>
      </x:c>
      <x:c r="E1073" t="n">
        <x:v>400</x:v>
      </x:c>
      <x:c r="F1073" s="10" t="str">
        <x:v>鲜薯/玉米净重；考虑小幅损耗</x:v>
      </x:c>
      <x:c r="G1073" s="10" t="str">
        <x:v>蒸熟净重</x:v>
      </x:c>
    </x:row>
    <x:row r="1074" ht="23" customHeight="1">
      <x:c r="A1074" t="n">
        <x:v>27</x:v>
      </x:c>
      <x:c r="B1074" t="str">
        <x:v>主食</x:v>
      </x:c>
      <x:c r="C1074" t="str">
        <x:v>红薯</x:v>
      </x:c>
      <x:c r="D1074" t="n">
        <x:v>95</x:v>
      </x:c>
      <x:c r="E1074" t="n">
        <x:v>100</x:v>
      </x:c>
      <x:c r="F1074" s="10" t="str">
        <x:v>鲜薯/玉米净重；考虑小幅损耗</x:v>
      </x:c>
      <x:c r="G1074" s="10" t="str">
        <x:v>蒸熟净重</x:v>
      </x:c>
    </x:row>
    <x:row r="1075" ht="23" customHeight="1">
      <x:c r="A1075" t="n">
        <x:v>27</x:v>
      </x:c>
      <x:c r="B1075" t="str">
        <x:v>低主食</x:v>
      </x:c>
      <x:c r="C1075" t="str">
        <x:v>魔芋丝</x:v>
      </x:c>
      <x:c r="D1075" t="n">
        <x:v>460</x:v>
      </x:c>
      <x:c r="E1075" t="n">
        <x:v>480</x:v>
      </x:c>
      <x:c r="F1075" s="10" t="str">
        <x:v>袋装沥水净重</x:v>
      </x:c>
      <x:c r="G1075" s="10" t="str">
        <x:v>沥水重</x:v>
      </x:c>
    </x:row>
    <x:row r="1076" ht="23" customHeight="1">
      <x:c r="A1076" t="n">
        <x:v>27</x:v>
      </x:c>
      <x:c r="B1076" t="str">
        <x:v>油脂</x:v>
      </x:c>
      <x:c r="C1076" t="str">
        <x:v>烹调油</x:v>
      </x:c>
      <x:c r="D1076" t="n">
        <x:v>59</x:v>
      </x:c>
      <x:c r="E1076" t="n">
        <x:v>59</x:v>
      </x:c>
      <x:c r="F1076" s="10" t="str">
        <x:v>食用油；现有库存足够即可</x:v>
      </x:c>
      <x:c r="G1076" s="10" t="str">
        <x:v>实际用油重</x:v>
      </x:c>
    </x:row>
    <x:row r="1077" ht="23" customHeight="1">
      <x:c r="A1077" t="n">
        <x:v>27</x:v>
      </x:c>
      <x:c r="B1077" t="str">
        <x:v>海鲜</x:v>
      </x:c>
      <x:c r="C1077" t="str">
        <x:v>花蛤肉</x:v>
      </x:c>
      <x:c r="D1077" t="n">
        <x:v>190</x:v>
      </x:c>
      <x:c r="E1077" t="n">
        <x:v>210</x:v>
      </x:c>
      <x:c r="F1077" s="10" t="str">
        <x:v>食材净重+约8%余量；带壳或带骨采购需另折算</x:v>
      </x:c>
      <x:c r="G1077" s="10" t="str">
        <x:v>净肉生重</x:v>
      </x:c>
    </x:row>
    <x:row r="1078" ht="23" customHeight="1">
      <x:c r="A1078" t="n">
        <x:v>27</x:v>
      </x:c>
      <x:c r="B1078" t="str">
        <x:v>海鲜</x:v>
      </x:c>
      <x:c r="C1078" t="str">
        <x:v>虾仁</x:v>
      </x:c>
      <x:c r="D1078" t="n">
        <x:v>400</x:v>
      </x:c>
      <x:c r="E1078" t="n">
        <x:v>430</x:v>
      </x:c>
      <x:c r="F1078" s="10" t="str">
        <x:v>食材净重+约8%余量</x:v>
      </x:c>
      <x:c r="G1078" s="10" t="str">
        <x:v>生重</x:v>
      </x:c>
    </x:row>
    <x:row r="1079" ht="23" customHeight="1">
      <x:c r="A1079" t="n">
        <x:v>27</x:v>
      </x:c>
      <x:c r="B1079" t="str">
        <x:v>牛肉</x:v>
      </x:c>
      <x:c r="C1079" t="str">
        <x:v>瘦牛肉</x:v>
      </x:c>
      <x:c r="D1079" t="n">
        <x:v>170</x:v>
      </x:c>
      <x:c r="E1079" t="n">
        <x:v>180</x:v>
      </x:c>
      <x:c r="F1079" s="10" t="str">
        <x:v>食材净重+约8%余量</x:v>
      </x:c>
      <x:c r="G1079" s="10" t="str">
        <x:v>生重</x:v>
      </x:c>
    </x:row>
    <x:row r="1080" ht="23" customHeight="1">
      <x:c r="A1080" t="n">
        <x:v>27</x:v>
      </x:c>
      <x:c r="B1080" t="str">
        <x:v>禽肉</x:v>
      </x:c>
      <x:c r="C1080" t="str">
        <x:v>鸡胸肉</x:v>
      </x:c>
      <x:c r="D1080" t="n">
        <x:v>550</x:v>
      </x:c>
      <x:c r="E1080" t="n">
        <x:v>590</x:v>
      </x:c>
      <x:c r="F1080" s="10" t="str">
        <x:v>食材净重+约8%余量</x:v>
      </x:c>
      <x:c r="G1080" s="10" t="str">
        <x:v>生重</x:v>
      </x:c>
    </x:row>
    <x:row r="1081" ht="23" customHeight="1">
      <x:c r="A1081" t="n">
        <x:v>27</x:v>
      </x:c>
      <x:c r="B1081" t="str">
        <x:v>菌菇</x:v>
      </x:c>
      <x:c r="C1081" t="str">
        <x:v>口蘑</x:v>
      </x:c>
      <x:c r="D1081" t="n">
        <x:v>375</x:v>
      </x:c>
      <x:c r="E1081" t="n">
        <x:v>400</x:v>
      </x:c>
      <x:c r="F1081" s="10" t="str">
        <x:v>食材净重+约8%余量</x:v>
      </x:c>
      <x:c r="G1081" s="10" t="str">
        <x:v>生重</x:v>
      </x:c>
    </x:row>
    <x:row r="1082" ht="23" customHeight="1">
      <x:c r="A1082" t="n">
        <x:v>27</x:v>
      </x:c>
      <x:c r="B1082" t="str">
        <x:v>菌菇</x:v>
      </x:c>
      <x:c r="C1082" t="str">
        <x:v>杏鲍菇</x:v>
      </x:c>
      <x:c r="D1082" t="n">
        <x:v>140</x:v>
      </x:c>
      <x:c r="E1082" t="n">
        <x:v>150</x:v>
      </x:c>
      <x:c r="F1082" s="10" t="str">
        <x:v>食材净重+约8%余量</x:v>
      </x:c>
      <x:c r="G1082" s="10" t="str">
        <x:v>生重</x:v>
      </x:c>
    </x:row>
    <x:row r="1083" ht="23" customHeight="1">
      <x:c r="A1083" t="n">
        <x:v>27</x:v>
      </x:c>
      <x:c r="B1083" t="str">
        <x:v>蔬菜</x:v>
      </x:c>
      <x:c r="C1083" t="str">
        <x:v>丝瓜</x:v>
      </x:c>
      <x:c r="D1083" t="n">
        <x:v>160</x:v>
      </x:c>
      <x:c r="E1083" t="n">
        <x:v>170</x:v>
      </x:c>
      <x:c r="F1083" s="10" t="str">
        <x:v>食材净重+约8%余量</x:v>
      </x:c>
      <x:c r="G1083" s="10" t="str">
        <x:v>生重</x:v>
      </x:c>
    </x:row>
    <x:row r="1084" ht="23" customHeight="1">
      <x:c r="A1084" t="n">
        <x:v>27</x:v>
      </x:c>
      <x:c r="B1084" t="str">
        <x:v>蔬菜</x:v>
      </x:c>
      <x:c r="C1084" t="str">
        <x:v>娃娃菜</x:v>
      </x:c>
      <x:c r="D1084" t="n">
        <x:v>265</x:v>
      </x:c>
      <x:c r="E1084" t="n">
        <x:v>290</x:v>
      </x:c>
      <x:c r="F1084" s="10" t="str">
        <x:v>食材净重+约8%余量</x:v>
      </x:c>
      <x:c r="G1084" s="10" t="str">
        <x:v>生重</x:v>
      </x:c>
    </x:row>
    <x:row r="1085" ht="23" customHeight="1">
      <x:c r="A1085" t="n">
        <x:v>27</x:v>
      </x:c>
      <x:c r="B1085" t="str">
        <x:v>蔬菜</x:v>
      </x:c>
      <x:c r="C1085" t="str">
        <x:v>小白菜</x:v>
      </x:c>
      <x:c r="D1085" t="n">
        <x:v>110</x:v>
      </x:c>
      <x:c r="E1085" t="n">
        <x:v>120</x:v>
      </x:c>
      <x:c r="F1085" s="10" t="str">
        <x:v>食材净重+约8%余量</x:v>
      </x:c>
      <x:c r="G1085" s="10" t="str">
        <x:v>生重</x:v>
      </x:c>
    </x:row>
    <x:row r="1086" ht="23" customHeight="1">
      <x:c r="A1086" t="n">
        <x:v>27</x:v>
      </x:c>
      <x:c r="B1086" t="str">
        <x:v>蔬菜</x:v>
      </x:c>
      <x:c r="C1086" t="str">
        <x:v>彩椒</x:v>
      </x:c>
      <x:c r="D1086" t="n">
        <x:v>420</x:v>
      </x:c>
      <x:c r="E1086" t="n">
        <x:v>450</x:v>
      </x:c>
      <x:c r="F1086" s="10" t="str">
        <x:v>食材净重+约8%余量</x:v>
      </x:c>
      <x:c r="G1086" s="10" t="str">
        <x:v>生重</x:v>
      </x:c>
    </x:row>
    <x:row r="1087" ht="23" customHeight="1">
      <x:c r="A1087" t="n">
        <x:v>27</x:v>
      </x:c>
      <x:c r="B1087" t="str">
        <x:v>蔬菜</x:v>
      </x:c>
      <x:c r="C1087" t="str">
        <x:v>玉米笋</x:v>
      </x:c>
      <x:c r="D1087" t="n">
        <x:v>140</x:v>
      </x:c>
      <x:c r="E1087" t="n">
        <x:v>150</x:v>
      </x:c>
      <x:c r="F1087" s="10" t="str">
        <x:v>食材净重+约8%余量</x:v>
      </x:c>
      <x:c r="G1087" s="10" t="str">
        <x:v>生重</x:v>
      </x:c>
    </x:row>
    <x:row r="1088" ht="23" customHeight="1">
      <x:c r="A1088" t="n">
        <x:v>27</x:v>
      </x:c>
      <x:c r="B1088" t="str">
        <x:v>蔬菜</x:v>
      </x:c>
      <x:c r="C1088" t="str">
        <x:v>生菜</x:v>
      </x:c>
      <x:c r="D1088" t="n">
        <x:v>190</x:v>
      </x:c>
      <x:c r="E1088" t="n">
        <x:v>210</x:v>
      </x:c>
      <x:c r="F1088" s="10" t="str">
        <x:v>食材净重+约8%余量</x:v>
      </x:c>
      <x:c r="G1088" s="10" t="str">
        <x:v>生重</x:v>
      </x:c>
    </x:row>
    <x:row r="1089" ht="23" customHeight="1">
      <x:c r="A1089" t="n">
        <x:v>27</x:v>
      </x:c>
      <x:c r="B1089" t="str">
        <x:v>蔬菜</x:v>
      </x:c>
      <x:c r="C1089" t="str">
        <x:v>番茄</x:v>
      </x:c>
      <x:c r="D1089" t="n">
        <x:v>160</x:v>
      </x:c>
      <x:c r="E1089" t="n">
        <x:v>170</x:v>
      </x:c>
      <x:c r="F1089" s="10" t="str">
        <x:v>食材净重+约8%余量</x:v>
      </x:c>
      <x:c r="G1089" s="10" t="str">
        <x:v>生重</x:v>
      </x:c>
    </x:row>
    <x:row r="1090" ht="23" customHeight="1">
      <x:c r="A1090" t="n">
        <x:v>27</x:v>
      </x:c>
      <x:c r="B1090" t="str">
        <x:v>蔬菜</x:v>
      </x:c>
      <x:c r="C1090" t="str">
        <x:v>白萝卜</x:v>
      </x:c>
      <x:c r="D1090" t="n">
        <x:v>330</x:v>
      </x:c>
      <x:c r="E1090" t="n">
        <x:v>360</x:v>
      </x:c>
      <x:c r="F1090" s="10" t="str">
        <x:v>食材净重+约8%余量</x:v>
      </x:c>
      <x:c r="G1090" s="10" t="str">
        <x:v>生重</x:v>
      </x:c>
    </x:row>
    <x:row r="1091" ht="23" customHeight="1">
      <x:c r="A1091" t="n">
        <x:v>27</x:v>
      </x:c>
      <x:c r="B1091" t="str">
        <x:v>蔬菜</x:v>
      </x:c>
      <x:c r="C1091" t="str">
        <x:v>紫甘蓝</x:v>
      </x:c>
      <x:c r="D1091" t="n">
        <x:v>140</x:v>
      </x:c>
      <x:c r="E1091" t="n">
        <x:v>150</x:v>
      </x:c>
      <x:c r="F1091" s="10" t="str">
        <x:v>食材净重+约8%余量</x:v>
      </x:c>
      <x:c r="G1091" s="10" t="str">
        <x:v>生重</x:v>
      </x:c>
    </x:row>
    <x:row r="1092" ht="23" customHeight="1">
      <x:c r="A1092" t="n">
        <x:v>27</x:v>
      </x:c>
      <x:c r="B1092" t="str">
        <x:v>蔬菜</x:v>
      </x:c>
      <x:c r="C1092" t="str">
        <x:v>胡萝卜</x:v>
      </x:c>
      <x:c r="D1092" t="n">
        <x:v>110</x:v>
      </x:c>
      <x:c r="E1092" t="n">
        <x:v>120</x:v>
      </x:c>
      <x:c r="F1092" s="10" t="str">
        <x:v>食材净重+约8%余量</x:v>
      </x:c>
      <x:c r="G1092" s="10" t="str">
        <x:v>生重</x:v>
      </x:c>
    </x:row>
    <x:row r="1093" ht="23" customHeight="1">
      <x:c r="A1093" t="n">
        <x:v>27</x:v>
      </x:c>
      <x:c r="B1093" t="str">
        <x:v>蔬菜</x:v>
      </x:c>
      <x:c r="C1093" t="str">
        <x:v>芦笋</x:v>
      </x:c>
      <x:c r="D1093" t="n">
        <x:v>475</x:v>
      </x:c>
      <x:c r="E1093" t="n">
        <x:v>510</x:v>
      </x:c>
      <x:c r="F1093" s="10" t="str">
        <x:v>食材净重+约8%余量</x:v>
      </x:c>
      <x:c r="G1093" s="10" t="str">
        <x:v>生重</x:v>
      </x:c>
    </x:row>
    <x:row r="1094" ht="23" customHeight="1">
      <x:c r="A1094" t="n">
        <x:v>27</x:v>
      </x:c>
      <x:c r="B1094" t="str">
        <x:v>蔬菜</x:v>
      </x:c>
      <x:c r="C1094" t="str">
        <x:v>花菜</x:v>
      </x:c>
      <x:c r="D1094" t="n">
        <x:v>140</x:v>
      </x:c>
      <x:c r="E1094" t="n">
        <x:v>150</x:v>
      </x:c>
      <x:c r="F1094" s="10" t="str">
        <x:v>食材净重+约8%余量</x:v>
      </x:c>
      <x:c r="G1094" s="10" t="str">
        <x:v>生重</x:v>
      </x:c>
    </x:row>
    <x:row r="1095" ht="23" customHeight="1">
      <x:c r="A1095" t="n">
        <x:v>27</x:v>
      </x:c>
      <x:c r="B1095" t="str">
        <x:v>蔬菜</x:v>
      </x:c>
      <x:c r="C1095" t="str">
        <x:v>茼蒿</x:v>
      </x:c>
      <x:c r="D1095" t="n">
        <x:v>300</x:v>
      </x:c>
      <x:c r="E1095" t="n">
        <x:v>320</x:v>
      </x:c>
      <x:c r="F1095" s="10" t="str">
        <x:v>食材净重+约8%余量</x:v>
      </x:c>
      <x:c r="G1095" s="10" t="str">
        <x:v>生重</x:v>
      </x:c>
    </x:row>
    <x:row r="1096" ht="23" customHeight="1">
      <x:c r="A1096" t="n">
        <x:v>27</x:v>
      </x:c>
      <x:c r="B1096" t="str">
        <x:v>蔬菜</x:v>
      </x:c>
      <x:c r="C1096" t="str">
        <x:v>莴笋</x:v>
      </x:c>
      <x:c r="D1096" t="n">
        <x:v>155</x:v>
      </x:c>
      <x:c r="E1096" t="n">
        <x:v>170</x:v>
      </x:c>
      <x:c r="F1096" s="10" t="str">
        <x:v>食材净重+约8%余量</x:v>
      </x:c>
      <x:c r="G1096" s="10" t="str">
        <x:v>生重</x:v>
      </x:c>
    </x:row>
    <x:row r="1097" ht="23" customHeight="1">
      <x:c r="A1097" t="n">
        <x:v>27</x:v>
      </x:c>
      <x:c r="B1097" t="str">
        <x:v>蔬菜</x:v>
      </x:c>
      <x:c r="C1097" t="str">
        <x:v>西兰花</x:v>
      </x:c>
      <x:c r="D1097" t="n">
        <x:v>140</x:v>
      </x:c>
      <x:c r="E1097" t="n">
        <x:v>150</x:v>
      </x:c>
      <x:c r="F1097" s="10" t="str">
        <x:v>食材净重+约8%余量</x:v>
      </x:c>
      <x:c r="G1097" s="10" t="str">
        <x:v>生重</x:v>
      </x:c>
    </x:row>
    <x:row r="1098" ht="23" customHeight="1">
      <x:c r="A1098" t="n">
        <x:v>27</x:v>
      </x:c>
      <x:c r="B1098" t="str">
        <x:v>蔬菜</x:v>
      </x:c>
      <x:c r="C1098" t="str">
        <x:v>西葫芦</x:v>
      </x:c>
      <x:c r="D1098" t="n">
        <x:v>175</x:v>
      </x:c>
      <x:c r="E1098" t="n">
        <x:v>190</x:v>
      </x:c>
      <x:c r="F1098" s="10" t="str">
        <x:v>食材净重+约8%余量</x:v>
      </x:c>
      <x:c r="G1098" s="10" t="str">
        <x:v>生重</x:v>
      </x:c>
    </x:row>
    <x:row r="1099" ht="23" customHeight="1">
      <x:c r="A1099" t="n">
        <x:v>27</x:v>
      </x:c>
      <x:c r="B1099" t="str">
        <x:v>蔬菜</x:v>
      </x:c>
      <x:c r="C1099" t="str">
        <x:v>黄瓜</x:v>
      </x:c>
      <x:c r="D1099" t="n">
        <x:v>190</x:v>
      </x:c>
      <x:c r="E1099" t="n">
        <x:v>210</x:v>
      </x:c>
      <x:c r="F1099" s="10" t="str">
        <x:v>食材净重+约8%余量</x:v>
      </x:c>
      <x:c r="G1099" s="10" t="str">
        <x:v>生重</x:v>
      </x:c>
    </x:row>
    <x:row r="1100" ht="23" customHeight="1">
      <x:c r="A1100" t="n">
        <x:v>27</x:v>
      </x:c>
      <x:c r="B1100" t="str">
        <x:v>豆蛋</x:v>
      </x:c>
      <x:c r="C1100" t="str">
        <x:v>北豆腐</x:v>
      </x:c>
      <x:c r="D1100" t="n">
        <x:v>130</x:v>
      </x:c>
      <x:c r="E1100" t="n">
        <x:v>140</x:v>
      </x:c>
      <x:c r="F1100" s="10" t="str">
        <x:v>食材净重+约8%余量</x:v>
      </x:c>
      <x:c r="G1100" s="10" t="str">
        <x:v>净重</x:v>
      </x:c>
    </x:row>
    <x:row r="1101" ht="23" customHeight="1">
      <x:c r="A1101" t="n">
        <x:v>27</x:v>
      </x:c>
      <x:c r="B1101" t="str">
        <x:v>豆蛋</x:v>
      </x:c>
      <x:c r="C1101" t="str">
        <x:v>嫩豆腐</x:v>
      </x:c>
      <x:c r="D1101" t="n">
        <x:v>925</x:v>
      </x:c>
      <x:c r="E1101" t="n">
        <x:v>1000</x:v>
      </x:c>
      <x:c r="F1101" s="10" t="str">
        <x:v>食材净重+约8%余量</x:v>
      </x:c>
      <x:c r="G1101" s="10" t="str">
        <x:v>净重</x:v>
      </x:c>
    </x:row>
    <x:row r="1102" ht="23" customHeight="1">
      <x:c r="A1102" t="n">
        <x:v>27</x:v>
      </x:c>
      <x:c r="B1102" t="str">
        <x:v>豆蛋</x:v>
      </x:c>
      <x:c r="C1102" t="str">
        <x:v>鸡蛋</x:v>
      </x:c>
      <x:c r="D1102" t="n">
        <x:v>280</x:v>
      </x:c>
      <x:c r="E1102" t="n">
        <x:v>300</x:v>
      </x:c>
      <x:c r="F1102" s="10" t="str">
        <x:v>食材净重+约8%余量</x:v>
      </x:c>
      <x:c r="G1102" s="10" t="str">
        <x:v>去壳可食重</x:v>
      </x:c>
    </x:row>
    <x:row r="1103" ht="23" customHeight="1">
      <x:c r="A1103" t="n">
        <x:v>27</x:v>
      </x:c>
      <x:c r="B1103" t="str">
        <x:v>鱼类</x:v>
      </x:c>
      <x:c r="C1103" t="str">
        <x:v>鲈鱼</x:v>
      </x:c>
      <x:c r="D1103" t="n">
        <x:v>385</x:v>
      </x:c>
      <x:c r="E1103" t="n">
        <x:v>420</x:v>
      </x:c>
      <x:c r="F1103" s="10" t="str">
        <x:v>食材净重+约8%余量；带壳或带骨采购需另折算</x:v>
      </x:c>
      <x:c r="G1103" s="10" t="str">
        <x:v>净鱼肉生重</x:v>
      </x:c>
    </x:row>
    <x:row r="1104" ht="23" customHeight="1">
      <x:c r="A1104" t="n">
        <x:v>27</x:v>
      </x:c>
      <x:c r="B1104" t="str">
        <x:v>鱼类</x:v>
      </x:c>
      <x:c r="C1104" t="str">
        <x:v>鳕鱼</x:v>
      </x:c>
      <x:c r="D1104" t="n">
        <x:v>385</x:v>
      </x:c>
      <x:c r="E1104" t="n">
        <x:v>420</x:v>
      </x:c>
      <x:c r="F1104" s="10" t="str">
        <x:v>食材净重+约8%余量；带壳或带骨采购需另折算</x:v>
      </x:c>
      <x:c r="G1104" s="10" t="str">
        <x:v>净鱼肉生重</x:v>
      </x:c>
    </x:row>
    <x:row r="1105" ht="23" customHeight="1">
      <x:c r="A1105" t="n">
        <x:v>28</x:v>
      </x:c>
      <x:c r="B1105" t="str">
        <x:v>主食</x:v>
      </x:c>
      <x:c r="C1105" t="str">
        <x:v>全麦面</x:v>
      </x:c>
      <x:c r="D1105" t="n">
        <x:v>135</x:v>
      </x:c>
      <x:c r="E1105" t="n">
        <x:v>60</x:v>
      </x:c>
      <x:c r="F1105" s="10" t="str">
        <x:v>干粮约重（按熟面/干面≈2.1估算）</x:v>
      </x:c>
      <x:c r="G1105" s="10" t="str">
        <x:v>煮熟沥水重</x:v>
      </x:c>
    </x:row>
    <x:row r="1106" ht="23" customHeight="1">
      <x:c r="A1106" t="n">
        <x:v>28</x:v>
      </x:c>
      <x:c r="B1106" t="str">
        <x:v>主食</x:v>
      </x:c>
      <x:c r="C1106" t="str">
        <x:v>土豆</x:v>
      </x:c>
      <x:c r="D1106" t="n">
        <x:v>160</x:v>
      </x:c>
      <x:c r="E1106" t="n">
        <x:v>180</x:v>
      </x:c>
      <x:c r="F1106" s="10" t="str">
        <x:v>鲜薯/玉米净重；考虑小幅损耗</x:v>
      </x:c>
      <x:c r="G1106" s="10" t="str">
        <x:v>蒸熟净重</x:v>
      </x:c>
    </x:row>
    <x:row r="1107" ht="23" customHeight="1">
      <x:c r="A1107" t="n">
        <x:v>28</x:v>
      </x:c>
      <x:c r="B1107" t="str">
        <x:v>主食</x:v>
      </x:c>
      <x:c r="C1107" t="str">
        <x:v>山药</x:v>
      </x:c>
      <x:c r="D1107" t="n">
        <x:v>135</x:v>
      </x:c>
      <x:c r="E1107" t="n">
        <x:v>150</x:v>
      </x:c>
      <x:c r="F1107" s="10" t="str">
        <x:v>鲜薯/玉米净重；考虑小幅损耗</x:v>
      </x:c>
      <x:c r="G1107" s="10" t="str">
        <x:v>蒸熟净重</x:v>
      </x:c>
    </x:row>
    <x:row r="1108" ht="23" customHeight="1">
      <x:c r="A1108" t="n">
        <x:v>28</x:v>
      </x:c>
      <x:c r="B1108" t="str">
        <x:v>主食</x:v>
      </x:c>
      <x:c r="C1108" t="str">
        <x:v>杂粮饭</x:v>
      </x:c>
      <x:c r="D1108" t="n">
        <x:v>150</x:v>
      </x:c>
      <x:c r="E1108" t="n">
        <x:v>60</x:v>
      </x:c>
      <x:c r="F1108" s="10" t="str">
        <x:v>未煮干粮约重（按熟饭/生米≈2.6估算）</x:v>
      </x:c>
      <x:c r="G1108" s="10" t="str">
        <x:v>熟重</x:v>
      </x:c>
    </x:row>
    <x:row r="1109" ht="23" customHeight="1">
      <x:c r="A1109" t="n">
        <x:v>28</x:v>
      </x:c>
      <x:c r="B1109" t="str">
        <x:v>主食</x:v>
      </x:c>
      <x:c r="C1109" t="str">
        <x:v>燕麦饭</x:v>
      </x:c>
      <x:c r="D1109" t="n">
        <x:v>370</x:v>
      </x:c>
      <x:c r="E1109" t="n">
        <x:v>140</x:v>
      </x:c>
      <x:c r="F1109" s="10" t="str">
        <x:v>未煮干粮约重（按熟饭/生米≈2.6估算）</x:v>
      </x:c>
      <x:c r="G1109" s="10" t="str">
        <x:v>熟重</x:v>
      </x:c>
    </x:row>
    <x:row r="1110" ht="23" customHeight="1">
      <x:c r="A1110" t="n">
        <x:v>28</x:v>
      </x:c>
      <x:c r="B1110" t="str">
        <x:v>主食</x:v>
      </x:c>
      <x:c r="C1110" t="str">
        <x:v>玉米</x:v>
      </x:c>
      <x:c r="D1110" t="n">
        <x:v>95</x:v>
      </x:c>
      <x:c r="E1110" t="n">
        <x:v>100</x:v>
      </x:c>
      <x:c r="F1110" s="10" t="str">
        <x:v>鲜薯/玉米净重；考虑小幅损耗</x:v>
      </x:c>
      <x:c r="G1110" s="10" t="str">
        <x:v>蒸熟净重</x:v>
      </x:c>
    </x:row>
    <x:row r="1111" ht="23" customHeight="1">
      <x:c r="A1111" t="n">
        <x:v>28</x:v>
      </x:c>
      <x:c r="B1111" t="str">
        <x:v>主食</x:v>
      </x:c>
      <x:c r="C1111" t="str">
        <x:v>米粉</x:v>
      </x:c>
      <x:c r="D1111" t="n">
        <x:v>150</x:v>
      </x:c>
      <x:c r="E1111" t="n">
        <x:v>70</x:v>
      </x:c>
      <x:c r="F1111" s="10" t="str">
        <x:v>干粮约重（按熟面/干面≈2.1估算）</x:v>
      </x:c>
      <x:c r="G1111" s="10" t="str">
        <x:v>煮熟沥水重</x:v>
      </x:c>
    </x:row>
    <x:row r="1112" ht="23" customHeight="1">
      <x:c r="A1112" t="n">
        <x:v>28</x:v>
      </x:c>
      <x:c r="B1112" t="str">
        <x:v>主食</x:v>
      </x:c>
      <x:c r="C1112" t="str">
        <x:v>糙米饭</x:v>
      </x:c>
      <x:c r="D1112" t="n">
        <x:v>135</x:v>
      </x:c>
      <x:c r="E1112" t="n">
        <x:v>50</x:v>
      </x:c>
      <x:c r="F1112" s="10" t="str">
        <x:v>未煮干粮约重（按熟饭/生米≈2.6估算）</x:v>
      </x:c>
      <x:c r="G1112" s="10" t="str">
        <x:v>熟重</x:v>
      </x:c>
    </x:row>
    <x:row r="1113" ht="23" customHeight="1">
      <x:c r="A1113" t="n">
        <x:v>28</x:v>
      </x:c>
      <x:c r="B1113" t="str">
        <x:v>主食</x:v>
      </x:c>
      <x:c r="C1113" t="str">
        <x:v>紫薯</x:v>
      </x:c>
      <x:c r="D1113" t="n">
        <x:v>110</x:v>
      </x:c>
      <x:c r="E1113" t="n">
        <x:v>120</x:v>
      </x:c>
      <x:c r="F1113" s="10" t="str">
        <x:v>鲜薯/玉米净重；考虑小幅损耗</x:v>
      </x:c>
      <x:c r="G1113" s="10" t="str">
        <x:v>蒸熟净重</x:v>
      </x:c>
    </x:row>
    <x:row r="1114" ht="23" customHeight="1">
      <x:c r="A1114" t="n">
        <x:v>28</x:v>
      </x:c>
      <x:c r="B1114" t="str">
        <x:v>主食</x:v>
      </x:c>
      <x:c r="C1114" t="str">
        <x:v>红薯</x:v>
      </x:c>
      <x:c r="D1114" t="n">
        <x:v>135</x:v>
      </x:c>
      <x:c r="E1114" t="n">
        <x:v>150</x:v>
      </x:c>
      <x:c r="F1114" s="10" t="str">
        <x:v>鲜薯/玉米净重；考虑小幅损耗</x:v>
      </x:c>
      <x:c r="G1114" s="10" t="str">
        <x:v>蒸熟净重</x:v>
      </x:c>
    </x:row>
    <x:row r="1115" ht="23" customHeight="1">
      <x:c r="A1115" t="n">
        <x:v>28</x:v>
      </x:c>
      <x:c r="B1115" t="str">
        <x:v>主食</x:v>
      </x:c>
      <x:c r="C1115" t="str">
        <x:v>荞麦饭</x:v>
      </x:c>
      <x:c r="D1115" t="n">
        <x:v>95</x:v>
      </x:c>
      <x:c r="E1115" t="n">
        <x:v>40</x:v>
      </x:c>
      <x:c r="F1115" s="10" t="str">
        <x:v>未煮干粮约重（按熟饭/生米≈2.6估算）</x:v>
      </x:c>
      <x:c r="G1115" s="10" t="str">
        <x:v>熟重</x:v>
      </x:c>
    </x:row>
    <x:row r="1116" ht="23" customHeight="1">
      <x:c r="A1116" t="n">
        <x:v>28</x:v>
      </x:c>
      <x:c r="B1116" t="str">
        <x:v>低主食</x:v>
      </x:c>
      <x:c r="C1116" t="str">
        <x:v>魔芋丝</x:v>
      </x:c>
      <x:c r="D1116" t="n">
        <x:v>130</x:v>
      </x:c>
      <x:c r="E1116" t="n">
        <x:v>140</x:v>
      </x:c>
      <x:c r="F1116" s="10" t="str">
        <x:v>袋装沥水净重</x:v>
      </x:c>
      <x:c r="G1116" s="10" t="str">
        <x:v>沥水重</x:v>
      </x:c>
    </x:row>
    <x:row r="1117" ht="23" customHeight="1">
      <x:c r="A1117" t="n">
        <x:v>28</x:v>
      </x:c>
      <x:c r="B1117" t="str">
        <x:v>油脂</x:v>
      </x:c>
      <x:c r="C1117" t="str">
        <x:v>烹调油</x:v>
      </x:c>
      <x:c r="D1117" t="n">
        <x:v>63</x:v>
      </x:c>
      <x:c r="E1117" t="n">
        <x:v>63</x:v>
      </x:c>
      <x:c r="F1117" s="10" t="str">
        <x:v>食用油；现有库存足够即可</x:v>
      </x:c>
      <x:c r="G1117" s="10" t="str">
        <x:v>实际用油重</x:v>
      </x:c>
    </x:row>
    <x:row r="1118" ht="23" customHeight="1">
      <x:c r="A1118" t="n">
        <x:v>28</x:v>
      </x:c>
      <x:c r="B1118" t="str">
        <x:v>海鲜</x:v>
      </x:c>
      <x:c r="C1118" t="str">
        <x:v>扇贝肉</x:v>
      </x:c>
      <x:c r="D1118" t="n">
        <x:v>170</x:v>
      </x:c>
      <x:c r="E1118" t="n">
        <x:v>180</x:v>
      </x:c>
      <x:c r="F1118" s="10" t="str">
        <x:v>食材净重+约8%余量；带壳或带骨采购需另折算</x:v>
      </x:c>
      <x:c r="G1118" s="10" t="str">
        <x:v>生重</x:v>
      </x:c>
    </x:row>
    <x:row r="1119" ht="23" customHeight="1">
      <x:c r="A1119" t="n">
        <x:v>28</x:v>
      </x:c>
      <x:c r="B1119" t="str">
        <x:v>海鲜</x:v>
      </x:c>
      <x:c r="C1119" t="str">
        <x:v>虾仁</x:v>
      </x:c>
      <x:c r="D1119" t="n">
        <x:v>225</x:v>
      </x:c>
      <x:c r="E1119" t="n">
        <x:v>240</x:v>
      </x:c>
      <x:c r="F1119" s="10" t="str">
        <x:v>食材净重+约8%余量</x:v>
      </x:c>
      <x:c r="G1119" s="10" t="str">
        <x:v>生重</x:v>
      </x:c>
    </x:row>
    <x:row r="1120" ht="23" customHeight="1">
      <x:c r="A1120" t="n">
        <x:v>28</x:v>
      </x:c>
      <x:c r="B1120" t="str">
        <x:v>牛肉</x:v>
      </x:c>
      <x:c r="C1120" t="str">
        <x:v>牛腱子</x:v>
      </x:c>
      <x:c r="D1120" t="n">
        <x:v>145</x:v>
      </x:c>
      <x:c r="E1120" t="n">
        <x:v>160</x:v>
      </x:c>
      <x:c r="F1120" s="10" t="str">
        <x:v>食材净重+约8%余量</x:v>
      </x:c>
      <x:c r="G1120" s="10" t="str">
        <x:v>生重</x:v>
      </x:c>
    </x:row>
    <x:row r="1121" ht="23" customHeight="1">
      <x:c r="A1121" t="n">
        <x:v>28</x:v>
      </x:c>
      <x:c r="B1121" t="str">
        <x:v>牛肉</x:v>
      </x:c>
      <x:c r="C1121" t="str">
        <x:v>瘦牛肉</x:v>
      </x:c>
      <x:c r="D1121" t="n">
        <x:v>185</x:v>
      </x:c>
      <x:c r="E1121" t="n">
        <x:v>200</x:v>
      </x:c>
      <x:c r="F1121" s="10" t="str">
        <x:v>食材净重+约8%余量</x:v>
      </x:c>
      <x:c r="G1121" s="10" t="str">
        <x:v>生重</x:v>
      </x:c>
    </x:row>
    <x:row r="1122" ht="23" customHeight="1">
      <x:c r="A1122" t="n">
        <x:v>28</x:v>
      </x:c>
      <x:c r="B1122" t="str">
        <x:v>猪肉</x:v>
      </x:c>
      <x:c r="C1122" t="str">
        <x:v>猪瘦肉</x:v>
      </x:c>
      <x:c r="D1122" t="n">
        <x:v>165</x:v>
      </x:c>
      <x:c r="E1122" t="n">
        <x:v>180</x:v>
      </x:c>
      <x:c r="F1122" s="10" t="str">
        <x:v>食材净重+约8%余量</x:v>
      </x:c>
      <x:c r="G1122" s="10" t="str">
        <x:v>生重</x:v>
      </x:c>
    </x:row>
    <x:row r="1123" ht="23" customHeight="1">
      <x:c r="A1123" t="n">
        <x:v>28</x:v>
      </x:c>
      <x:c r="B1123" t="str">
        <x:v>禽肉</x:v>
      </x:c>
      <x:c r="C1123" t="str">
        <x:v>去皮鸡腿肉</x:v>
      </x:c>
      <x:c r="D1123" t="n">
        <x:v>535</x:v>
      </x:c>
      <x:c r="E1123" t="n">
        <x:v>580</x:v>
      </x:c>
      <x:c r="F1123" s="10" t="str">
        <x:v>食材净重+约8%余量</x:v>
      </x:c>
      <x:c r="G1123" s="10" t="str">
        <x:v>生重</x:v>
      </x:c>
    </x:row>
    <x:row r="1124" ht="23" customHeight="1">
      <x:c r="A1124" t="n">
        <x:v>28</x:v>
      </x:c>
      <x:c r="B1124" t="str">
        <x:v>禽肉</x:v>
      </x:c>
      <x:c r="C1124" t="str">
        <x:v>去皮鸭胸肉</x:v>
      </x:c>
      <x:c r="D1124" t="n">
        <x:v>165</x:v>
      </x:c>
      <x:c r="E1124" t="n">
        <x:v>180</x:v>
      </x:c>
      <x:c r="F1124" s="10" t="str">
        <x:v>食材净重+约8%余量</x:v>
      </x:c>
      <x:c r="G1124" s="10" t="str">
        <x:v>生重</x:v>
      </x:c>
    </x:row>
    <x:row r="1125" ht="23" customHeight="1">
      <x:c r="A1125" t="n">
        <x:v>28</x:v>
      </x:c>
      <x:c r="B1125" t="str">
        <x:v>禽肉</x:v>
      </x:c>
      <x:c r="C1125" t="str">
        <x:v>鸡胸肉</x:v>
      </x:c>
      <x:c r="D1125" t="n">
        <x:v>165</x:v>
      </x:c>
      <x:c r="E1125" t="n">
        <x:v>180</x:v>
      </x:c>
      <x:c r="F1125" s="10" t="str">
        <x:v>食材净重+约8%余量</x:v>
      </x:c>
      <x:c r="G1125" s="10" t="str">
        <x:v>生重</x:v>
      </x:c>
    </x:row>
    <x:row r="1126" ht="23" customHeight="1">
      <x:c r="A1126" t="n">
        <x:v>28</x:v>
      </x:c>
      <x:c r="B1126" t="str">
        <x:v>菌菇</x:v>
      </x:c>
      <x:c r="C1126" t="str">
        <x:v>口蘑</x:v>
      </x:c>
      <x:c r="D1126" t="n">
        <x:v>110</x:v>
      </x:c>
      <x:c r="E1126" t="n">
        <x:v>120</x:v>
      </x:c>
      <x:c r="F1126" s="10" t="str">
        <x:v>食材净重+约8%余量</x:v>
      </x:c>
      <x:c r="G1126" s="10" t="str">
        <x:v>生重</x:v>
      </x:c>
    </x:row>
    <x:row r="1127" ht="23" customHeight="1">
      <x:c r="A1127" t="n">
        <x:v>28</x:v>
      </x:c>
      <x:c r="B1127" t="str">
        <x:v>菌菇</x:v>
      </x:c>
      <x:c r="C1127" t="str">
        <x:v>香菇</x:v>
      </x:c>
      <x:c r="D1127" t="n">
        <x:v>280</x:v>
      </x:c>
      <x:c r="E1127" t="n">
        <x:v>300</x:v>
      </x:c>
      <x:c r="F1127" s="10" t="str">
        <x:v>食材净重+约8%余量</x:v>
      </x:c>
      <x:c r="G1127" s="10" t="str">
        <x:v>生重</x:v>
      </x:c>
    </x:row>
    <x:row r="1128" ht="23" customHeight="1">
      <x:c r="A1128" t="n">
        <x:v>28</x:v>
      </x:c>
      <x:c r="B1128" t="str">
        <x:v>蔬菜</x:v>
      </x:c>
      <x:c r="C1128" t="str">
        <x:v>丝瓜</x:v>
      </x:c>
      <x:c r="D1128" t="n">
        <x:v>330</x:v>
      </x:c>
      <x:c r="E1128" t="n">
        <x:v>360</x:v>
      </x:c>
      <x:c r="F1128" s="10" t="str">
        <x:v>食材净重+约8%余量</x:v>
      </x:c>
      <x:c r="G1128" s="10" t="str">
        <x:v>生重</x:v>
      </x:c>
    </x:row>
    <x:row r="1129" ht="23" customHeight="1">
      <x:c r="A1129" t="n">
        <x:v>28</x:v>
      </x:c>
      <x:c r="B1129" t="str">
        <x:v>蔬菜</x:v>
      </x:c>
      <x:c r="C1129" t="str">
        <x:v>四季豆</x:v>
      </x:c>
      <x:c r="D1129" t="n">
        <x:v>140</x:v>
      </x:c>
      <x:c r="E1129" t="n">
        <x:v>150</x:v>
      </x:c>
      <x:c r="F1129" s="10" t="str">
        <x:v>食材净重+约8%余量</x:v>
      </x:c>
      <x:c r="G1129" s="10" t="str">
        <x:v>生重</x:v>
      </x:c>
    </x:row>
    <x:row r="1130" ht="23" customHeight="1">
      <x:c r="A1130" t="n">
        <x:v>28</x:v>
      </x:c>
      <x:c r="B1130" t="str">
        <x:v>蔬菜</x:v>
      </x:c>
      <x:c r="C1130" t="str">
        <x:v>娃娃菜</x:v>
      </x:c>
      <x:c r="D1130" t="n">
        <x:v>350</x:v>
      </x:c>
      <x:c r="E1130" t="n">
        <x:v>380</x:v>
      </x:c>
      <x:c r="F1130" s="10" t="str">
        <x:v>食材净重+约8%余量</x:v>
      </x:c>
      <x:c r="G1130" s="10" t="str">
        <x:v>生重</x:v>
      </x:c>
    </x:row>
    <x:row r="1131" ht="23" customHeight="1">
      <x:c r="A1131" t="n">
        <x:v>28</x:v>
      </x:c>
      <x:c r="B1131" t="str">
        <x:v>蔬菜</x:v>
      </x:c>
      <x:c r="C1131" t="str">
        <x:v>油麦菜</x:v>
      </x:c>
      <x:c r="D1131" t="n">
        <x:v>300</x:v>
      </x:c>
      <x:c r="E1131" t="n">
        <x:v>320</x:v>
      </x:c>
      <x:c r="F1131" s="10" t="str">
        <x:v>食材净重+约8%余量</x:v>
      </x:c>
      <x:c r="G1131" s="10" t="str">
        <x:v>生重</x:v>
      </x:c>
    </x:row>
    <x:row r="1132" ht="23" customHeight="1">
      <x:c r="A1132" t="n">
        <x:v>28</x:v>
      </x:c>
      <x:c r="B1132" t="str">
        <x:v>蔬菜</x:v>
      </x:c>
      <x:c r="C1132" t="str">
        <x:v>洋葱</x:v>
      </x:c>
      <x:c r="D1132" t="n">
        <x:v>140</x:v>
      </x:c>
      <x:c r="E1132" t="n">
        <x:v>150</x:v>
      </x:c>
      <x:c r="F1132" s="10" t="str">
        <x:v>食材净重+约8%余量</x:v>
      </x:c>
      <x:c r="G1132" s="10" t="str">
        <x:v>生重</x:v>
      </x:c>
    </x:row>
    <x:row r="1133" ht="23" customHeight="1">
      <x:c r="A1133" t="n">
        <x:v>28</x:v>
      </x:c>
      <x:c r="B1133" t="str">
        <x:v>蔬菜</x:v>
      </x:c>
      <x:c r="C1133" t="str">
        <x:v>海带</x:v>
      </x:c>
      <x:c r="D1133" t="n">
        <x:v>310</x:v>
      </x:c>
      <x:c r="E1133" t="n">
        <x:v>330</x:v>
      </x:c>
      <x:c r="F1133" s="10" t="str">
        <x:v>食材净重+约8%余量</x:v>
      </x:c>
      <x:c r="G1133" s="10" t="str">
        <x:v>泡发沥水重</x:v>
      </x:c>
    </x:row>
    <x:row r="1134" ht="23" customHeight="1">
      <x:c r="A1134" t="n">
        <x:v>28</x:v>
      </x:c>
      <x:c r="B1134" t="str">
        <x:v>蔬菜</x:v>
      </x:c>
      <x:c r="C1134" t="str">
        <x:v>玉米笋</x:v>
      </x:c>
      <x:c r="D1134" t="n">
        <x:v>110</x:v>
      </x:c>
      <x:c r="E1134" t="n">
        <x:v>120</x:v>
      </x:c>
      <x:c r="F1134" s="10" t="str">
        <x:v>食材净重+约8%余量</x:v>
      </x:c>
      <x:c r="G1134" s="10" t="str">
        <x:v>生重</x:v>
      </x:c>
    </x:row>
    <x:row r="1135" ht="23" customHeight="1">
      <x:c r="A1135" t="n">
        <x:v>28</x:v>
      </x:c>
      <x:c r="B1135" t="str">
        <x:v>蔬菜</x:v>
      </x:c>
      <x:c r="C1135" t="str">
        <x:v>生菜</x:v>
      </x:c>
      <x:c r="D1135" t="n">
        <x:v>160</x:v>
      </x:c>
      <x:c r="E1135" t="n">
        <x:v>170</x:v>
      </x:c>
      <x:c r="F1135" s="10" t="str">
        <x:v>食材净重+约8%余量</x:v>
      </x:c>
      <x:c r="G1135" s="10" t="str">
        <x:v>生重</x:v>
      </x:c>
    </x:row>
    <x:row r="1136" ht="23" customHeight="1">
      <x:c r="A1136" t="n">
        <x:v>28</x:v>
      </x:c>
      <x:c r="B1136" t="str">
        <x:v>蔬菜</x:v>
      </x:c>
      <x:c r="C1136" t="str">
        <x:v>白萝卜</x:v>
      </x:c>
      <x:c r="D1136" t="n">
        <x:v>265</x:v>
      </x:c>
      <x:c r="E1136" t="n">
        <x:v>290</x:v>
      </x:c>
      <x:c r="F1136" s="10" t="str">
        <x:v>食材净重+约8%余量</x:v>
      </x:c>
      <x:c r="G1136" s="10" t="str">
        <x:v>生重</x:v>
      </x:c>
    </x:row>
    <x:row r="1137" ht="23" customHeight="1">
      <x:c r="A1137" t="n">
        <x:v>28</x:v>
      </x:c>
      <x:c r="B1137" t="str">
        <x:v>蔬菜</x:v>
      </x:c>
      <x:c r="C1137" t="str">
        <x:v>紫甘蓝</x:v>
      </x:c>
      <x:c r="D1137" t="n">
        <x:v>425</x:v>
      </x:c>
      <x:c r="E1137" t="n">
        <x:v>460</x:v>
      </x:c>
      <x:c r="F1137" s="10" t="str">
        <x:v>食材净重+约8%余量</x:v>
      </x:c>
      <x:c r="G1137" s="10" t="str">
        <x:v>生重</x:v>
      </x:c>
    </x:row>
    <x:row r="1138" ht="23" customHeight="1">
      <x:c r="A1138" t="n">
        <x:v>28</x:v>
      </x:c>
      <x:c r="B1138" t="str">
        <x:v>蔬菜</x:v>
      </x:c>
      <x:c r="C1138" t="str">
        <x:v>芹菜</x:v>
      </x:c>
      <x:c r="D1138" t="n">
        <x:v>190</x:v>
      </x:c>
      <x:c r="E1138" t="n">
        <x:v>210</x:v>
      </x:c>
      <x:c r="F1138" s="10" t="str">
        <x:v>食材净重+约8%余量</x:v>
      </x:c>
      <x:c r="G1138" s="10" t="str">
        <x:v>生重</x:v>
      </x:c>
    </x:row>
    <x:row r="1139" ht="23" customHeight="1">
      <x:c r="A1139" t="n">
        <x:v>28</x:v>
      </x:c>
      <x:c r="B1139" t="str">
        <x:v>蔬菜</x:v>
      </x:c>
      <x:c r="C1139" t="str">
        <x:v>荷兰豆</x:v>
      </x:c>
      <x:c r="D1139" t="n">
        <x:v>140</x:v>
      </x:c>
      <x:c r="E1139" t="n">
        <x:v>150</x:v>
      </x:c>
      <x:c r="F1139" s="10" t="str">
        <x:v>食材净重+约8%余量</x:v>
      </x:c>
      <x:c r="G1139" s="10" t="str">
        <x:v>生重</x:v>
      </x:c>
    </x:row>
    <x:row r="1140" ht="23" customHeight="1">
      <x:c r="A1140" t="n">
        <x:v>28</x:v>
      </x:c>
      <x:c r="B1140" t="str">
        <x:v>蔬菜</x:v>
      </x:c>
      <x:c r="C1140" t="str">
        <x:v>莴笋</x:v>
      </x:c>
      <x:c r="D1140" t="n">
        <x:v>125</x:v>
      </x:c>
      <x:c r="E1140" t="n">
        <x:v>140</x:v>
      </x:c>
      <x:c r="F1140" s="10" t="str">
        <x:v>食材净重+约8%余量</x:v>
      </x:c>
      <x:c r="G1140" s="10" t="str">
        <x:v>生重</x:v>
      </x:c>
    </x:row>
    <x:row r="1141" ht="23" customHeight="1">
      <x:c r="A1141" t="n">
        <x:v>28</x:v>
      </x:c>
      <x:c r="B1141" t="str">
        <x:v>蔬菜</x:v>
      </x:c>
      <x:c r="C1141" t="str">
        <x:v>菜心</x:v>
      </x:c>
      <x:c r="D1141" t="n">
        <x:v>330</x:v>
      </x:c>
      <x:c r="E1141" t="n">
        <x:v>360</x:v>
      </x:c>
      <x:c r="F1141" s="10" t="str">
        <x:v>食材净重+约8%余量</x:v>
      </x:c>
      <x:c r="G1141" s="10" t="str">
        <x:v>生重</x:v>
      </x:c>
    </x:row>
    <x:row r="1142" ht="23" customHeight="1">
      <x:c r="A1142" t="n">
        <x:v>28</x:v>
      </x:c>
      <x:c r="B1142" t="str">
        <x:v>蔬菜</x:v>
      </x:c>
      <x:c r="C1142" t="str">
        <x:v>西兰花</x:v>
      </x:c>
      <x:c r="D1142" t="n">
        <x:v>175</x:v>
      </x:c>
      <x:c r="E1142" t="n">
        <x:v>190</x:v>
      </x:c>
      <x:c r="F1142" s="10" t="str">
        <x:v>食材净重+约8%余量</x:v>
      </x:c>
      <x:c r="G1142" s="10" t="str">
        <x:v>生重</x:v>
      </x:c>
    </x:row>
    <x:row r="1143" ht="23" customHeight="1">
      <x:c r="A1143" t="n">
        <x:v>28</x:v>
      </x:c>
      <x:c r="B1143" t="str">
        <x:v>蔬菜</x:v>
      </x:c>
      <x:c r="C1143" t="str">
        <x:v>西葫芦</x:v>
      </x:c>
      <x:c r="D1143" t="n">
        <x:v>365</x:v>
      </x:c>
      <x:c r="E1143" t="n">
        <x:v>390</x:v>
      </x:c>
      <x:c r="F1143" s="10" t="str">
        <x:v>食材净重+约8%余量</x:v>
      </x:c>
      <x:c r="G1143" s="10" t="str">
        <x:v>生重</x:v>
      </x:c>
    </x:row>
    <x:row r="1144" ht="23" customHeight="1">
      <x:c r="A1144" t="n">
        <x:v>28</x:v>
      </x:c>
      <x:c r="B1144" t="str">
        <x:v>豆蛋</x:v>
      </x:c>
      <x:c r="C1144" t="str">
        <x:v>北豆腐</x:v>
      </x:c>
      <x:c r="D1144" t="n">
        <x:v>260</x:v>
      </x:c>
      <x:c r="E1144" t="n">
        <x:v>280</x:v>
      </x:c>
      <x:c r="F1144" s="10" t="str">
        <x:v>食材净重+约8%余量</x:v>
      </x:c>
      <x:c r="G1144" s="10" t="str">
        <x:v>净重</x:v>
      </x:c>
    </x:row>
    <x:row r="1145" ht="23" customHeight="1">
      <x:c r="A1145" t="n">
        <x:v>28</x:v>
      </x:c>
      <x:c r="B1145" t="str">
        <x:v>豆蛋</x:v>
      </x:c>
      <x:c r="C1145" t="str">
        <x:v>嫩豆腐</x:v>
      </x:c>
      <x:c r="D1145" t="n">
        <x:v>300</x:v>
      </x:c>
      <x:c r="E1145" t="n">
        <x:v>320</x:v>
      </x:c>
      <x:c r="F1145" s="10" t="str">
        <x:v>食材净重+约8%余量</x:v>
      </x:c>
      <x:c r="G1145" s="10" t="str">
        <x:v>净重</x:v>
      </x:c>
    </x:row>
    <x:row r="1146" ht="23" customHeight="1">
      <x:c r="A1146" t="n">
        <x:v>28</x:v>
      </x:c>
      <x:c r="B1146" t="str">
        <x:v>豆蛋</x:v>
      </x:c>
      <x:c r="C1146" t="str">
        <x:v>鸡蛋</x:v>
      </x:c>
      <x:c r="D1146" t="n">
        <x:v>60</x:v>
      </x:c>
      <x:c r="E1146" t="n">
        <x:v>60</x:v>
      </x:c>
      <x:c r="F1146" s="10" t="str">
        <x:v>食材净重+约8%余量</x:v>
      </x:c>
      <x:c r="G1146" s="10" t="str">
        <x:v>去壳可食重</x:v>
      </x:c>
    </x:row>
    <x:row r="1147" ht="23" customHeight="1">
      <x:c r="A1147" t="n">
        <x:v>28</x:v>
      </x:c>
      <x:c r="B1147" t="str">
        <x:v>鱼类</x:v>
      </x:c>
      <x:c r="C1147" t="str">
        <x:v>鲈鱼</x:v>
      </x:c>
      <x:c r="D1147" t="n">
        <x:v>185</x:v>
      </x:c>
      <x:c r="E1147" t="n">
        <x:v>200</x:v>
      </x:c>
      <x:c r="F1147" s="10" t="str">
        <x:v>食材净重+约8%余量；带壳或带骨采购需另折算</x:v>
      </x:c>
      <x:c r="G1147" s="10" t="str">
        <x:v>净鱼肉生重</x:v>
      </x:c>
    </x:row>
    <x:row r="1148" ht="23" customHeight="1">
      <x:c r="A1148" t="n">
        <x:v>28</x:v>
      </x:c>
      <x:c r="B1148" t="str">
        <x:v>鱼类</x:v>
      </x:c>
      <x:c r="C1148" t="str">
        <x:v>鳕鱼</x:v>
      </x:c>
      <x:c r="D1148" t="n">
        <x:v>200</x:v>
      </x:c>
      <x:c r="E1148" t="n">
        <x:v>220</x:v>
      </x:c>
      <x:c r="F1148" s="10" t="str">
        <x:v>食材净重+约8%余量；带壳或带骨采购需另折算</x:v>
      </x:c>
      <x:c r="G1148" s="10" t="str">
        <x:v>净鱼肉生重</x:v>
      </x:c>
    </x:row>
    <x:row r="1149" ht="23" customHeight="1">
      <x:c r="A1149" t="n">
        <x:v>29</x:v>
      </x:c>
      <x:c r="B1149" t="str">
        <x:v>主食</x:v>
      </x:c>
      <x:c r="C1149" t="str">
        <x:v>乌冬面</x:v>
      </x:c>
      <x:c r="D1149" t="n">
        <x:v>80</x:v>
      </x:c>
      <x:c r="E1149" t="n">
        <x:v>40</x:v>
      </x:c>
      <x:c r="F1149" s="10" t="str">
        <x:v>干粮约重（按熟面/干面≈2.1估算）</x:v>
      </x:c>
      <x:c r="G1149" s="10" t="str">
        <x:v>煮熟沥水重</x:v>
      </x:c>
    </x:row>
    <x:row r="1150" ht="23" customHeight="1">
      <x:c r="A1150" t="n">
        <x:v>29</x:v>
      </x:c>
      <x:c r="B1150" t="str">
        <x:v>主食</x:v>
      </x:c>
      <x:c r="C1150" t="str">
        <x:v>全麦面</x:v>
      </x:c>
      <x:c r="D1150" t="n">
        <x:v>150</x:v>
      </x:c>
      <x:c r="E1150" t="n">
        <x:v>70</x:v>
      </x:c>
      <x:c r="F1150" s="10" t="str">
        <x:v>干粮约重（按熟面/干面≈2.1估算）</x:v>
      </x:c>
      <x:c r="G1150" s="10" t="str">
        <x:v>煮熟沥水重</x:v>
      </x:c>
    </x:row>
    <x:row r="1151" ht="23" customHeight="1">
      <x:c r="A1151" t="n">
        <x:v>29</x:v>
      </x:c>
      <x:c r="B1151" t="str">
        <x:v>主食</x:v>
      </x:c>
      <x:c r="C1151" t="str">
        <x:v>土豆</x:v>
      </x:c>
      <x:c r="D1151" t="n">
        <x:v>80</x:v>
      </x:c>
      <x:c r="E1151" t="n">
        <x:v>90</x:v>
      </x:c>
      <x:c r="F1151" s="10" t="str">
        <x:v>鲜薯/玉米净重；考虑小幅损耗</x:v>
      </x:c>
      <x:c r="G1151" s="10" t="str">
        <x:v>蒸熟净重</x:v>
      </x:c>
    </x:row>
    <x:row r="1152" ht="23" customHeight="1">
      <x:c r="A1152" t="n">
        <x:v>29</x:v>
      </x:c>
      <x:c r="B1152" t="str">
        <x:v>主食</x:v>
      </x:c>
      <x:c r="C1152" t="str">
        <x:v>杂粮饭</x:v>
      </x:c>
      <x:c r="D1152" t="n">
        <x:v>300</x:v>
      </x:c>
      <x:c r="E1152" t="n">
        <x:v>120</x:v>
      </x:c>
      <x:c r="F1152" s="10" t="str">
        <x:v>未煮干粮约重（按熟饭/生米≈2.6估算）</x:v>
      </x:c>
      <x:c r="G1152" s="10" t="str">
        <x:v>熟重</x:v>
      </x:c>
    </x:row>
    <x:row r="1153" ht="23" customHeight="1">
      <x:c r="A1153" t="n">
        <x:v>29</x:v>
      </x:c>
      <x:c r="B1153" t="str">
        <x:v>主食</x:v>
      </x:c>
      <x:c r="C1153" t="str">
        <x:v>燕麦饭</x:v>
      </x:c>
      <x:c r="D1153" t="n">
        <x:v>80</x:v>
      </x:c>
      <x:c r="E1153" t="n">
        <x:v>30</x:v>
      </x:c>
      <x:c r="F1153" s="10" t="str">
        <x:v>未煮干粮约重（按熟饭/生米≈2.6估算）</x:v>
      </x:c>
      <x:c r="G1153" s="10" t="str">
        <x:v>熟重</x:v>
      </x:c>
    </x:row>
    <x:row r="1154" ht="23" customHeight="1">
      <x:c r="A1154" t="n">
        <x:v>29</x:v>
      </x:c>
      <x:c r="B1154" t="str">
        <x:v>主食</x:v>
      </x:c>
      <x:c r="C1154" t="str">
        <x:v>白米饭</x:v>
      </x:c>
      <x:c r="D1154" t="n">
        <x:v>80</x:v>
      </x:c>
      <x:c r="E1154" t="n">
        <x:v>30</x:v>
      </x:c>
      <x:c r="F1154" s="10" t="str">
        <x:v>未煮干粮约重（按熟饭/生米≈2.6估算）</x:v>
      </x:c>
      <x:c r="G1154" s="10" t="str">
        <x:v>熟重</x:v>
      </x:c>
    </x:row>
    <x:row r="1155" ht="23" customHeight="1">
      <x:c r="A1155" t="n">
        <x:v>29</x:v>
      </x:c>
      <x:c r="B1155" t="str">
        <x:v>主食</x:v>
      </x:c>
      <x:c r="C1155" t="str">
        <x:v>米粉</x:v>
      </x:c>
      <x:c r="D1155" t="n">
        <x:v>110</x:v>
      </x:c>
      <x:c r="E1155" t="n">
        <x:v>50</x:v>
      </x:c>
      <x:c r="F1155" s="10" t="str">
        <x:v>干粮约重（按熟面/干面≈2.1估算）</x:v>
      </x:c>
      <x:c r="G1155" s="10" t="str">
        <x:v>煮熟沥水重</x:v>
      </x:c>
    </x:row>
    <x:row r="1156" ht="23" customHeight="1">
      <x:c r="A1156" t="n">
        <x:v>29</x:v>
      </x:c>
      <x:c r="B1156" t="str">
        <x:v>主食</x:v>
      </x:c>
      <x:c r="C1156" t="str">
        <x:v>糙米饭</x:v>
      </x:c>
      <x:c r="D1156" t="n">
        <x:v>260</x:v>
      </x:c>
      <x:c r="E1156" t="n">
        <x:v>100</x:v>
      </x:c>
      <x:c r="F1156" s="10" t="str">
        <x:v>未煮干粮约重（按熟饭/生米≈2.6估算）</x:v>
      </x:c>
      <x:c r="G1156" s="10" t="str">
        <x:v>熟重</x:v>
      </x:c>
    </x:row>
    <x:row r="1157" ht="23" customHeight="1">
      <x:c r="A1157" t="n">
        <x:v>29</x:v>
      </x:c>
      <x:c r="B1157" t="str">
        <x:v>主食</x:v>
      </x:c>
      <x:c r="C1157" t="str">
        <x:v>藜麦饭</x:v>
      </x:c>
      <x:c r="D1157" t="n">
        <x:v>355</x:v>
      </x:c>
      <x:c r="E1157" t="n">
        <x:v>140</x:v>
      </x:c>
      <x:c r="F1157" s="10" t="str">
        <x:v>未煮干粮约重（按熟饭/生米≈2.6估算）</x:v>
      </x:c>
      <x:c r="G1157" s="10" t="str">
        <x:v>熟重</x:v>
      </x:c>
    </x:row>
    <x:row r="1158" ht="23" customHeight="1">
      <x:c r="A1158" t="n">
        <x:v>29</x:v>
      </x:c>
      <x:c r="B1158" t="str">
        <x:v>低主食</x:v>
      </x:c>
      <x:c r="C1158" t="str">
        <x:v>魔芋丝</x:v>
      </x:c>
      <x:c r="D1158" t="n">
        <x:v>160</x:v>
      </x:c>
      <x:c r="E1158" t="n">
        <x:v>170</x:v>
      </x:c>
      <x:c r="F1158" s="10" t="str">
        <x:v>袋装沥水净重</x:v>
      </x:c>
      <x:c r="G1158" s="10" t="str">
        <x:v>沥水重</x:v>
      </x:c>
    </x:row>
    <x:row r="1159" ht="23" customHeight="1">
      <x:c r="A1159" t="n">
        <x:v>29</x:v>
      </x:c>
      <x:c r="B1159" t="str">
        <x:v>油脂</x:v>
      </x:c>
      <x:c r="C1159" t="str">
        <x:v>烹调油</x:v>
      </x:c>
      <x:c r="D1159" t="n">
        <x:v>68</x:v>
      </x:c>
      <x:c r="E1159" t="n">
        <x:v>68</x:v>
      </x:c>
      <x:c r="F1159" s="10" t="str">
        <x:v>食用油；现有库存足够即可</x:v>
      </x:c>
      <x:c r="G1159" s="10" t="str">
        <x:v>实际用油重</x:v>
      </x:c>
    </x:row>
    <x:row r="1160" ht="23" customHeight="1">
      <x:c r="A1160" t="n">
        <x:v>29</x:v>
      </x:c>
      <x:c r="B1160" t="str">
        <x:v>海鲜</x:v>
      </x:c>
      <x:c r="C1160" t="str">
        <x:v>扇贝肉</x:v>
      </x:c>
      <x:c r="D1160" t="n">
        <x:v>170</x:v>
      </x:c>
      <x:c r="E1160" t="n">
        <x:v>180</x:v>
      </x:c>
      <x:c r="F1160" s="10" t="str">
        <x:v>食材净重+约8%余量；带壳或带骨采购需另折算</x:v>
      </x:c>
      <x:c r="G1160" s="10" t="str">
        <x:v>生重</x:v>
      </x:c>
    </x:row>
    <x:row r="1161" ht="23" customHeight="1">
      <x:c r="A1161" t="n">
        <x:v>29</x:v>
      </x:c>
      <x:c r="B1161" t="str">
        <x:v>海鲜</x:v>
      </x:c>
      <x:c r="C1161" t="str">
        <x:v>虾仁</x:v>
      </x:c>
      <x:c r="D1161" t="n">
        <x:v>160</x:v>
      </x:c>
      <x:c r="E1161" t="n">
        <x:v>170</x:v>
      </x:c>
      <x:c r="F1161" s="10" t="str">
        <x:v>食材净重+约8%余量</x:v>
      </x:c>
      <x:c r="G1161" s="10" t="str">
        <x:v>生重</x:v>
      </x:c>
    </x:row>
    <x:row r="1162" ht="23" customHeight="1">
      <x:c r="A1162" t="n">
        <x:v>29</x:v>
      </x:c>
      <x:c r="B1162" t="str">
        <x:v>海鲜</x:v>
      </x:c>
      <x:c r="C1162" t="str">
        <x:v>鱿鱼</x:v>
      </x:c>
      <x:c r="D1162" t="n">
        <x:v>190</x:v>
      </x:c>
      <x:c r="E1162" t="n">
        <x:v>210</x:v>
      </x:c>
      <x:c r="F1162" s="10" t="str">
        <x:v>食材净重+约8%余量</x:v>
      </x:c>
      <x:c r="G1162" s="10" t="str">
        <x:v>生重</x:v>
      </x:c>
    </x:row>
    <x:row r="1163" ht="23" customHeight="1">
      <x:c r="A1163" t="n">
        <x:v>29</x:v>
      </x:c>
      <x:c r="B1163" t="str">
        <x:v>牛肉</x:v>
      </x:c>
      <x:c r="C1163" t="str">
        <x:v>牛里脊</x:v>
      </x:c>
      <x:c r="D1163" t="n">
        <x:v>325</x:v>
      </x:c>
      <x:c r="E1163" t="n">
        <x:v>350</x:v>
      </x:c>
      <x:c r="F1163" s="10" t="str">
        <x:v>食材净重+约8%余量</x:v>
      </x:c>
      <x:c r="G1163" s="10" t="str">
        <x:v>生重</x:v>
      </x:c>
    </x:row>
    <x:row r="1164" ht="23" customHeight="1">
      <x:c r="A1164" t="n">
        <x:v>29</x:v>
      </x:c>
      <x:c r="B1164" t="str">
        <x:v>牛肉</x:v>
      </x:c>
      <x:c r="C1164" t="str">
        <x:v>瘦牛肉</x:v>
      </x:c>
      <x:c r="D1164" t="n">
        <x:v>335</x:v>
      </x:c>
      <x:c r="E1164" t="n">
        <x:v>360</x:v>
      </x:c>
      <x:c r="F1164" s="10" t="str">
        <x:v>食材净重+约8%余量</x:v>
      </x:c>
      <x:c r="G1164" s="10" t="str">
        <x:v>生重</x:v>
      </x:c>
    </x:row>
    <x:row r="1165" ht="23" customHeight="1">
      <x:c r="A1165" t="n">
        <x:v>29</x:v>
      </x:c>
      <x:c r="B1165" t="str">
        <x:v>猪肉</x:v>
      </x:c>
      <x:c r="C1165" t="str">
        <x:v>猪里脊</x:v>
      </x:c>
      <x:c r="D1165" t="n">
        <x:v>155</x:v>
      </x:c>
      <x:c r="E1165" t="n">
        <x:v>170</x:v>
      </x:c>
      <x:c r="F1165" s="10" t="str">
        <x:v>食材净重+约8%余量</x:v>
      </x:c>
      <x:c r="G1165" s="10" t="str">
        <x:v>生重</x:v>
      </x:c>
    </x:row>
    <x:row r="1166" ht="23" customHeight="1">
      <x:c r="A1166" t="n">
        <x:v>29</x:v>
      </x:c>
      <x:c r="B1166" t="str">
        <x:v>禽肉</x:v>
      </x:c>
      <x:c r="C1166" t="str">
        <x:v>去皮鸡腿肉</x:v>
      </x:c>
      <x:c r="D1166" t="n">
        <x:v>305</x:v>
      </x:c>
      <x:c r="E1166" t="n">
        <x:v>330</x:v>
      </x:c>
      <x:c r="F1166" s="10" t="str">
        <x:v>食材净重+约8%余量</x:v>
      </x:c>
      <x:c r="G1166" s="10" t="str">
        <x:v>生重</x:v>
      </x:c>
    </x:row>
    <x:row r="1167" ht="23" customHeight="1">
      <x:c r="A1167" t="n">
        <x:v>29</x:v>
      </x:c>
      <x:c r="B1167" t="str">
        <x:v>禽肉</x:v>
      </x:c>
      <x:c r="C1167" t="str">
        <x:v>鸡里脊肉</x:v>
      </x:c>
      <x:c r="D1167" t="n">
        <x:v>165</x:v>
      </x:c>
      <x:c r="E1167" t="n">
        <x:v>180</x:v>
      </x:c>
      <x:c r="F1167" s="10" t="str">
        <x:v>食材净重+约8%余量</x:v>
      </x:c>
      <x:c r="G1167" s="10" t="str">
        <x:v>生重</x:v>
      </x:c>
    </x:row>
    <x:row r="1168" ht="23" customHeight="1">
      <x:c r="A1168" t="n">
        <x:v>29</x:v>
      </x:c>
      <x:c r="B1168" t="str">
        <x:v>菌菇</x:v>
      </x:c>
      <x:c r="C1168" t="str">
        <x:v>口蘑</x:v>
      </x:c>
      <x:c r="D1168" t="n">
        <x:v>235</x:v>
      </x:c>
      <x:c r="E1168" t="n">
        <x:v>250</x:v>
      </x:c>
      <x:c r="F1168" s="10" t="str">
        <x:v>食材净重+约8%余量</x:v>
      </x:c>
      <x:c r="G1168" s="10" t="str">
        <x:v>生重</x:v>
      </x:c>
    </x:row>
    <x:row r="1169" ht="23" customHeight="1">
      <x:c r="A1169" t="n">
        <x:v>29</x:v>
      </x:c>
      <x:c r="B1169" t="str">
        <x:v>菌菇</x:v>
      </x:c>
      <x:c r="C1169" t="str">
        <x:v>杏鲍菇</x:v>
      </x:c>
      <x:c r="D1169" t="n">
        <x:v>140</x:v>
      </x:c>
      <x:c r="E1169" t="n">
        <x:v>150</x:v>
      </x:c>
      <x:c r="F1169" s="10" t="str">
        <x:v>食材净重+约8%余量</x:v>
      </x:c>
      <x:c r="G1169" s="10" t="str">
        <x:v>生重</x:v>
      </x:c>
    </x:row>
    <x:row r="1170" ht="23" customHeight="1">
      <x:c r="A1170" t="n">
        <x:v>29</x:v>
      </x:c>
      <x:c r="B1170" t="str">
        <x:v>菌菇</x:v>
      </x:c>
      <x:c r="C1170" t="str">
        <x:v>泡发木耳</x:v>
      </x:c>
      <x:c r="D1170" t="n">
        <x:v>140</x:v>
      </x:c>
      <x:c r="E1170" t="n">
        <x:v>150</x:v>
      </x:c>
      <x:c r="F1170" s="10" t="str">
        <x:v>食材净重+约8%余量</x:v>
      </x:c>
      <x:c r="G1170" s="10" t="str">
        <x:v>泡发沥水重</x:v>
      </x:c>
    </x:row>
    <x:row r="1171" ht="23" customHeight="1">
      <x:c r="A1171" t="n">
        <x:v>29</x:v>
      </x:c>
      <x:c r="B1171" t="str">
        <x:v>菌菇</x:v>
      </x:c>
      <x:c r="C1171" t="str">
        <x:v>金针菇</x:v>
      </x:c>
      <x:c r="D1171" t="n">
        <x:v>295</x:v>
      </x:c>
      <x:c r="E1171" t="n">
        <x:v>320</x:v>
      </x:c>
      <x:c r="F1171" s="10" t="str">
        <x:v>食材净重+约8%余量</x:v>
      </x:c>
      <x:c r="G1171" s="10" t="str">
        <x:v>生重</x:v>
      </x:c>
    </x:row>
    <x:row r="1172" ht="23" customHeight="1">
      <x:c r="A1172" t="n">
        <x:v>29</x:v>
      </x:c>
      <x:c r="B1172" t="str">
        <x:v>菌菇</x:v>
      </x:c>
      <x:c r="C1172" t="str">
        <x:v>香菇</x:v>
      </x:c>
      <x:c r="D1172" t="n">
        <x:v>250</x:v>
      </x:c>
      <x:c r="E1172" t="n">
        <x:v>270</x:v>
      </x:c>
      <x:c r="F1172" s="10" t="str">
        <x:v>食材净重+约8%余量</x:v>
      </x:c>
      <x:c r="G1172" s="10" t="str">
        <x:v>生重</x:v>
      </x:c>
    </x:row>
    <x:row r="1173" ht="23" customHeight="1">
      <x:c r="A1173" t="n">
        <x:v>29</x:v>
      </x:c>
      <x:c r="B1173" t="str">
        <x:v>蔬菜</x:v>
      </x:c>
      <x:c r="C1173" t="str">
        <x:v>冬瓜</x:v>
      </x:c>
      <x:c r="D1173" t="n">
        <x:v>140</x:v>
      </x:c>
      <x:c r="E1173" t="n">
        <x:v>150</x:v>
      </x:c>
      <x:c r="F1173" s="10" t="str">
        <x:v>食材净重+约8%余量</x:v>
      </x:c>
      <x:c r="G1173" s="10" t="str">
        <x:v>生重</x:v>
      </x:c>
    </x:row>
    <x:row r="1174" ht="23" customHeight="1">
      <x:c r="A1174" t="n">
        <x:v>29</x:v>
      </x:c>
      <x:c r="B1174" t="str">
        <x:v>蔬菜</x:v>
      </x:c>
      <x:c r="C1174" t="str">
        <x:v>大白菜</x:v>
      </x:c>
      <x:c r="D1174" t="n">
        <x:v>190</x:v>
      </x:c>
      <x:c r="E1174" t="n">
        <x:v>210</x:v>
      </x:c>
      <x:c r="F1174" s="10" t="str">
        <x:v>食材净重+约8%余量</x:v>
      </x:c>
      <x:c r="G1174" s="10" t="str">
        <x:v>生重</x:v>
      </x:c>
    </x:row>
    <x:row r="1175" ht="23" customHeight="1">
      <x:c r="A1175" t="n">
        <x:v>29</x:v>
      </x:c>
      <x:c r="B1175" t="str">
        <x:v>蔬菜</x:v>
      </x:c>
      <x:c r="C1175" t="str">
        <x:v>小白菜</x:v>
      </x:c>
      <x:c r="D1175" t="n">
        <x:v>380</x:v>
      </x:c>
      <x:c r="E1175" t="n">
        <x:v>410</x:v>
      </x:c>
      <x:c r="F1175" s="10" t="str">
        <x:v>食材净重+约8%余量</x:v>
      </x:c>
      <x:c r="G1175" s="10" t="str">
        <x:v>生重</x:v>
      </x:c>
    </x:row>
    <x:row r="1176" ht="23" customHeight="1">
      <x:c r="A1176" t="n">
        <x:v>29</x:v>
      </x:c>
      <x:c r="B1176" t="str">
        <x:v>蔬菜</x:v>
      </x:c>
      <x:c r="C1176" t="str">
        <x:v>彩椒</x:v>
      </x:c>
      <x:c r="D1176" t="n">
        <x:v>125</x:v>
      </x:c>
      <x:c r="E1176" t="n">
        <x:v>140</x:v>
      </x:c>
      <x:c r="F1176" s="10" t="str">
        <x:v>食材净重+约8%余量</x:v>
      </x:c>
      <x:c r="G1176" s="10" t="str">
        <x:v>生重</x:v>
      </x:c>
    </x:row>
    <x:row r="1177" ht="23" customHeight="1">
      <x:c r="A1177" t="n">
        <x:v>29</x:v>
      </x:c>
      <x:c r="B1177" t="str">
        <x:v>蔬菜</x:v>
      </x:c>
      <x:c r="C1177" t="str">
        <x:v>洋葱</x:v>
      </x:c>
      <x:c r="D1177" t="n">
        <x:v>265</x:v>
      </x:c>
      <x:c r="E1177" t="n">
        <x:v>290</x:v>
      </x:c>
      <x:c r="F1177" s="10" t="str">
        <x:v>食材净重+约8%余量</x:v>
      </x:c>
      <x:c r="G1177" s="10" t="str">
        <x:v>生重</x:v>
      </x:c>
    </x:row>
    <x:row r="1178" ht="23" customHeight="1">
      <x:c r="A1178" t="n">
        <x:v>29</x:v>
      </x:c>
      <x:c r="B1178" t="str">
        <x:v>蔬菜</x:v>
      </x:c>
      <x:c r="C1178" t="str">
        <x:v>生菜</x:v>
      </x:c>
      <x:c r="D1178" t="n">
        <x:v>365</x:v>
      </x:c>
      <x:c r="E1178" t="n">
        <x:v>390</x:v>
      </x:c>
      <x:c r="F1178" s="10" t="str">
        <x:v>食材净重+约8%余量</x:v>
      </x:c>
      <x:c r="G1178" s="10" t="str">
        <x:v>生重</x:v>
      </x:c>
    </x:row>
    <x:row r="1179" ht="23" customHeight="1">
      <x:c r="A1179" t="n">
        <x:v>29</x:v>
      </x:c>
      <x:c r="B1179" t="str">
        <x:v>蔬菜</x:v>
      </x:c>
      <x:c r="C1179" t="str">
        <x:v>番茄</x:v>
      </x:c>
      <x:c r="D1179" t="n">
        <x:v>330</x:v>
      </x:c>
      <x:c r="E1179" t="n">
        <x:v>360</x:v>
      </x:c>
      <x:c r="F1179" s="10" t="str">
        <x:v>食材净重+约8%余量</x:v>
      </x:c>
      <x:c r="G1179" s="10" t="str">
        <x:v>生重</x:v>
      </x:c>
    </x:row>
    <x:row r="1180" ht="23" customHeight="1">
      <x:c r="A1180" t="n">
        <x:v>29</x:v>
      </x:c>
      <x:c r="B1180" t="str">
        <x:v>蔬菜</x:v>
      </x:c>
      <x:c r="C1180" t="str">
        <x:v>胡萝卜</x:v>
      </x:c>
      <x:c r="D1180" t="n">
        <x:v>110</x:v>
      </x:c>
      <x:c r="E1180" t="n">
        <x:v>120</x:v>
      </x:c>
      <x:c r="F1180" s="10" t="str">
        <x:v>食材净重+约8%余量</x:v>
      </x:c>
      <x:c r="G1180" s="10" t="str">
        <x:v>生重</x:v>
      </x:c>
    </x:row>
    <x:row r="1181" ht="23" customHeight="1">
      <x:c r="A1181" t="n">
        <x:v>29</x:v>
      </x:c>
      <x:c r="B1181" t="str">
        <x:v>蔬菜</x:v>
      </x:c>
      <x:c r="C1181" t="str">
        <x:v>芦笋</x:v>
      </x:c>
      <x:c r="D1181" t="n">
        <x:v>175</x:v>
      </x:c>
      <x:c r="E1181" t="n">
        <x:v>190</x:v>
      </x:c>
      <x:c r="F1181" s="10" t="str">
        <x:v>食材净重+约8%余量</x:v>
      </x:c>
      <x:c r="G1181" s="10" t="str">
        <x:v>生重</x:v>
      </x:c>
    </x:row>
    <x:row r="1182" ht="23" customHeight="1">
      <x:c r="A1182" t="n">
        <x:v>29</x:v>
      </x:c>
      <x:c r="B1182" t="str">
        <x:v>蔬菜</x:v>
      </x:c>
      <x:c r="C1182" t="str">
        <x:v>荷兰豆</x:v>
      </x:c>
      <x:c r="D1182" t="n">
        <x:v>320</x:v>
      </x:c>
      <x:c r="E1182" t="n">
        <x:v>350</x:v>
      </x:c>
      <x:c r="F1182" s="10" t="str">
        <x:v>食材净重+约8%余量</x:v>
      </x:c>
      <x:c r="G1182" s="10" t="str">
        <x:v>生重</x:v>
      </x:c>
    </x:row>
    <x:row r="1183" ht="23" customHeight="1">
      <x:c r="A1183" t="n">
        <x:v>29</x:v>
      </x:c>
      <x:c r="B1183" t="str">
        <x:v>蔬菜</x:v>
      </x:c>
      <x:c r="C1183" t="str">
        <x:v>莴笋</x:v>
      </x:c>
      <x:c r="D1183" t="n">
        <x:v>155</x:v>
      </x:c>
      <x:c r="E1183" t="n">
        <x:v>170</x:v>
      </x:c>
      <x:c r="F1183" s="10" t="str">
        <x:v>食材净重+约8%余量</x:v>
      </x:c>
      <x:c r="G1183" s="10" t="str">
        <x:v>生重</x:v>
      </x:c>
    </x:row>
    <x:row r="1184" ht="23" customHeight="1">
      <x:c r="A1184" t="n">
        <x:v>29</x:v>
      </x:c>
      <x:c r="B1184" t="str">
        <x:v>蔬菜</x:v>
      </x:c>
      <x:c r="C1184" t="str">
        <x:v>菜心</x:v>
      </x:c>
      <x:c r="D1184" t="n">
        <x:v>160</x:v>
      </x:c>
      <x:c r="E1184" t="n">
        <x:v>170</x:v>
      </x:c>
      <x:c r="F1184" s="10" t="str">
        <x:v>食材净重+约8%余量</x:v>
      </x:c>
      <x:c r="G1184" s="10" t="str">
        <x:v>生重</x:v>
      </x:c>
    </x:row>
    <x:row r="1185" ht="23" customHeight="1">
      <x:c r="A1185" t="n">
        <x:v>29</x:v>
      </x:c>
      <x:c r="B1185" t="str">
        <x:v>蔬菜</x:v>
      </x:c>
      <x:c r="C1185" t="str">
        <x:v>西兰花</x:v>
      </x:c>
      <x:c r="D1185" t="n">
        <x:v>380</x:v>
      </x:c>
      <x:c r="E1185" t="n">
        <x:v>410</x:v>
      </x:c>
      <x:c r="F1185" s="10" t="str">
        <x:v>食材净重+约8%余量</x:v>
      </x:c>
      <x:c r="G1185" s="10" t="str">
        <x:v>生重</x:v>
      </x:c>
    </x:row>
    <x:row r="1186" ht="23" customHeight="1">
      <x:c r="A1186" t="n">
        <x:v>29</x:v>
      </x:c>
      <x:c r="B1186" t="str">
        <x:v>蔬菜</x:v>
      </x:c>
      <x:c r="C1186" t="str">
        <x:v>西葫芦</x:v>
      </x:c>
      <x:c r="D1186" t="n">
        <x:v>175</x:v>
      </x:c>
      <x:c r="E1186" t="n">
        <x:v>190</x:v>
      </x:c>
      <x:c r="F1186" s="10" t="str">
        <x:v>食材净重+约8%余量</x:v>
      </x:c>
      <x:c r="G1186" s="10" t="str">
        <x:v>生重</x:v>
      </x:c>
    </x:row>
    <x:row r="1187" ht="23" customHeight="1">
      <x:c r="A1187" t="n">
        <x:v>29</x:v>
      </x:c>
      <x:c r="B1187" t="str">
        <x:v>豆蛋</x:v>
      </x:c>
      <x:c r="C1187" t="str">
        <x:v>北豆腐</x:v>
      </x:c>
      <x:c r="D1187" t="n">
        <x:v>130</x:v>
      </x:c>
      <x:c r="E1187" t="n">
        <x:v>140</x:v>
      </x:c>
      <x:c r="F1187" s="10" t="str">
        <x:v>食材净重+约8%余量</x:v>
      </x:c>
      <x:c r="G1187" s="10" t="str">
        <x:v>净重</x:v>
      </x:c>
    </x:row>
    <x:row r="1188" ht="23" customHeight="1">
      <x:c r="A1188" t="n">
        <x:v>29</x:v>
      </x:c>
      <x:c r="B1188" t="str">
        <x:v>豆蛋</x:v>
      </x:c>
      <x:c r="C1188" t="str">
        <x:v>嫩豆腐</x:v>
      </x:c>
      <x:c r="D1188" t="n">
        <x:v>110</x:v>
      </x:c>
      <x:c r="E1188" t="n">
        <x:v>120</x:v>
      </x:c>
      <x:c r="F1188" s="10" t="str">
        <x:v>食材净重+约8%余量</x:v>
      </x:c>
      <x:c r="G1188" s="10" t="str">
        <x:v>净重</x:v>
      </x:c>
    </x:row>
    <x:row r="1189" ht="23" customHeight="1">
      <x:c r="A1189" t="n">
        <x:v>29</x:v>
      </x:c>
      <x:c r="B1189" t="str">
        <x:v>豆蛋</x:v>
      </x:c>
      <x:c r="C1189" t="str">
        <x:v>熟毛豆仁</x:v>
      </x:c>
      <x:c r="D1189" t="n">
        <x:v>70</x:v>
      </x:c>
      <x:c r="E1189" t="n">
        <x:v>80</x:v>
      </x:c>
      <x:c r="F1189" s="10" t="str">
        <x:v>食材净重+约8%余量</x:v>
      </x:c>
      <x:c r="G1189" s="10" t="str">
        <x:v>熟重</x:v>
      </x:c>
    </x:row>
    <x:row r="1190" ht="23" customHeight="1">
      <x:c r="A1190" t="n">
        <x:v>29</x:v>
      </x:c>
      <x:c r="B1190" t="str">
        <x:v>豆蛋</x:v>
      </x:c>
      <x:c r="C1190" t="str">
        <x:v>鸡蛋</x:v>
      </x:c>
      <x:c r="D1190" t="n">
        <x:v>120</x:v>
      </x:c>
      <x:c r="E1190" t="n">
        <x:v>130</x:v>
      </x:c>
      <x:c r="F1190" s="10" t="str">
        <x:v>食材净重+约8%余量</x:v>
      </x:c>
      <x:c r="G1190" s="10" t="str">
        <x:v>去壳可食重</x:v>
      </x:c>
    </x:row>
    <x:row r="1191" ht="23" customHeight="1">
      <x:c r="A1191" t="n">
        <x:v>29</x:v>
      </x:c>
      <x:c r="B1191" t="str">
        <x:v>鱼类</x:v>
      </x:c>
      <x:c r="C1191" t="str">
        <x:v>巴沙鱼</x:v>
      </x:c>
      <x:c r="D1191" t="n">
        <x:v>200</x:v>
      </x:c>
      <x:c r="E1191" t="n">
        <x:v>220</x:v>
      </x:c>
      <x:c r="F1191" s="10" t="str">
        <x:v>食材净重+约8%余量</x:v>
      </x:c>
      <x:c r="G1191" s="10" t="str">
        <x:v>净鱼肉生重</x:v>
      </x:c>
    </x:row>
    <x:row r="1192" ht="23" customHeight="1">
      <x:c r="A1192" t="n">
        <x:v>29</x:v>
      </x:c>
      <x:c r="B1192" t="str">
        <x:v>鱼类</x:v>
      </x:c>
      <x:c r="C1192" t="str">
        <x:v>鲈鱼</x:v>
      </x:c>
      <x:c r="D1192" t="n">
        <x:v>215</x:v>
      </x:c>
      <x:c r="E1192" t="n">
        <x:v>230</x:v>
      </x:c>
      <x:c r="F1192" s="10" t="str">
        <x:v>食材净重+约8%余量；带壳或带骨采购需另折算</x:v>
      </x:c>
      <x:c r="G1192" s="10" t="str">
        <x:v>净鱼肉生重</x:v>
      </x:c>
    </x:row>
    <x:row r="1193" ht="23" customHeight="1">
      <x:c r="A1193" t="n">
        <x:v>30</x:v>
      </x:c>
      <x:c r="B1193" t="str">
        <x:v>主食</x:v>
      </x:c>
      <x:c r="C1193" t="str">
        <x:v>杂粮饭</x:v>
      </x:c>
      <x:c r="D1193" t="n">
        <x:v>205</x:v>
      </x:c>
      <x:c r="E1193" t="n">
        <x:v>80</x:v>
      </x:c>
      <x:c r="F1193" s="10" t="str">
        <x:v>未煮干粮约重（按熟饭/生米≈2.6估算）</x:v>
      </x:c>
      <x:c r="G1193" s="10" t="str">
        <x:v>熟重</x:v>
      </x:c>
    </x:row>
    <x:row r="1194" ht="23" customHeight="1">
      <x:c r="A1194" t="n">
        <x:v>30</x:v>
      </x:c>
      <x:c r="B1194" t="str">
        <x:v>主食</x:v>
      </x:c>
      <x:c r="C1194" t="str">
        <x:v>燕麦饭</x:v>
      </x:c>
      <x:c r="D1194" t="n">
        <x:v>260</x:v>
      </x:c>
      <x:c r="E1194" t="n">
        <x:v>100</x:v>
      </x:c>
      <x:c r="F1194" s="10" t="str">
        <x:v>未煮干粮约重（按熟饭/生米≈2.6估算）</x:v>
      </x:c>
      <x:c r="G1194" s="10" t="str">
        <x:v>熟重</x:v>
      </x:c>
    </x:row>
    <x:row r="1195" ht="23" customHeight="1">
      <x:c r="A1195" t="n">
        <x:v>30</x:v>
      </x:c>
      <x:c r="B1195" t="str">
        <x:v>主食</x:v>
      </x:c>
      <x:c r="C1195" t="str">
        <x:v>玉米</x:v>
      </x:c>
      <x:c r="D1195" t="n">
        <x:v>95</x:v>
      </x:c>
      <x:c r="E1195" t="n">
        <x:v>100</x:v>
      </x:c>
      <x:c r="F1195" s="10" t="str">
        <x:v>鲜薯/玉米净重；考虑小幅损耗</x:v>
      </x:c>
      <x:c r="G1195" s="10" t="str">
        <x:v>蒸熟净重</x:v>
      </x:c>
    </x:row>
    <x:row r="1196" ht="23" customHeight="1">
      <x:c r="A1196" t="n">
        <x:v>30</x:v>
      </x:c>
      <x:c r="B1196" t="str">
        <x:v>主食</x:v>
      </x:c>
      <x:c r="C1196" t="str">
        <x:v>米粉</x:v>
      </x:c>
      <x:c r="D1196" t="n">
        <x:v>80</x:v>
      </x:c>
      <x:c r="E1196" t="n">
        <x:v>40</x:v>
      </x:c>
      <x:c r="F1196" s="10" t="str">
        <x:v>干粮约重（按熟面/干面≈2.1估算）</x:v>
      </x:c>
      <x:c r="G1196" s="10" t="str">
        <x:v>煮熟沥水重</x:v>
      </x:c>
    </x:row>
    <x:row r="1197" ht="23" customHeight="1">
      <x:c r="A1197" t="n">
        <x:v>30</x:v>
      </x:c>
      <x:c r="B1197" t="str">
        <x:v>主食</x:v>
      </x:c>
      <x:c r="C1197" t="str">
        <x:v>糙米饭</x:v>
      </x:c>
      <x:c r="D1197" t="n">
        <x:v>135</x:v>
      </x:c>
      <x:c r="E1197" t="n">
        <x:v>50</x:v>
      </x:c>
      <x:c r="F1197" s="10" t="str">
        <x:v>未煮干粮约重（按熟饭/生米≈2.6估算）</x:v>
      </x:c>
      <x:c r="G1197" s="10" t="str">
        <x:v>熟重</x:v>
      </x:c>
    </x:row>
    <x:row r="1198" ht="23" customHeight="1">
      <x:c r="A1198" t="n">
        <x:v>30</x:v>
      </x:c>
      <x:c r="B1198" t="str">
        <x:v>主食</x:v>
      </x:c>
      <x:c r="C1198" t="str">
        <x:v>紫薯</x:v>
      </x:c>
      <x:c r="D1198" t="n">
        <x:v>165</x:v>
      </x:c>
      <x:c r="E1198" t="n">
        <x:v>180</x:v>
      </x:c>
      <x:c r="F1198" s="10" t="str">
        <x:v>鲜薯/玉米净重；考虑小幅损耗</x:v>
      </x:c>
      <x:c r="G1198" s="10" t="str">
        <x:v>蒸熟净重</x:v>
      </x:c>
    </x:row>
    <x:row r="1199" ht="23" customHeight="1">
      <x:c r="A1199" t="n">
        <x:v>30</x:v>
      </x:c>
      <x:c r="B1199" t="str">
        <x:v>主食</x:v>
      </x:c>
      <x:c r="C1199" t="str">
        <x:v>荞麦面</x:v>
      </x:c>
      <x:c r="D1199" t="n">
        <x:v>205</x:v>
      </x:c>
      <x:c r="E1199" t="n">
        <x:v>100</x:v>
      </x:c>
      <x:c r="F1199" s="10" t="str">
        <x:v>干粮约重（按熟面/干面≈2.1估算）</x:v>
      </x:c>
      <x:c r="G1199" s="10" t="str">
        <x:v>煮熟沥水重</x:v>
      </x:c>
    </x:row>
    <x:row r="1200" ht="23" customHeight="1">
      <x:c r="A1200" t="n">
        <x:v>30</x:v>
      </x:c>
      <x:c r="B1200" t="str">
        <x:v>主食</x:v>
      </x:c>
      <x:c r="C1200" t="str">
        <x:v>荞麦饭</x:v>
      </x:c>
      <x:c r="D1200" t="n">
        <x:v>80</x:v>
      </x:c>
      <x:c r="E1200" t="n">
        <x:v>30</x:v>
      </x:c>
      <x:c r="F1200" s="10" t="str">
        <x:v>未煮干粮约重（按熟饭/生米≈2.6估算）</x:v>
      </x:c>
      <x:c r="G1200" s="10" t="str">
        <x:v>熟重</x:v>
      </x:c>
    </x:row>
    <x:row r="1201" ht="23" customHeight="1">
      <x:c r="A1201" t="n">
        <x:v>30</x:v>
      </x:c>
      <x:c r="B1201" t="str">
        <x:v>主食</x:v>
      </x:c>
      <x:c r="C1201" t="str">
        <x:v>藜麦饭</x:v>
      </x:c>
      <x:c r="D1201" t="n">
        <x:v>165</x:v>
      </x:c>
      <x:c r="E1201" t="n">
        <x:v>60</x:v>
      </x:c>
      <x:c r="F1201" s="10" t="str">
        <x:v>未煮干粮约重（按熟饭/生米≈2.6估算）</x:v>
      </x:c>
      <x:c r="G1201" s="10" t="str">
        <x:v>熟重</x:v>
      </x:c>
    </x:row>
    <x:row r="1202" ht="23" customHeight="1">
      <x:c r="A1202" t="n">
        <x:v>30</x:v>
      </x:c>
      <x:c r="B1202" t="str">
        <x:v>低主食</x:v>
      </x:c>
      <x:c r="C1202" t="str">
        <x:v>魔芋丝</x:v>
      </x:c>
      <x:c r="D1202" t="n">
        <x:v>290</x:v>
      </x:c>
      <x:c r="E1202" t="n">
        <x:v>300</x:v>
      </x:c>
      <x:c r="F1202" s="10" t="str">
        <x:v>袋装沥水净重</x:v>
      </x:c>
      <x:c r="G1202" s="10" t="str">
        <x:v>沥水重</x:v>
      </x:c>
    </x:row>
    <x:row r="1203" ht="23" customHeight="1">
      <x:c r="A1203" t="n">
        <x:v>30</x:v>
      </x:c>
      <x:c r="B1203" t="str">
        <x:v>油脂</x:v>
      </x:c>
      <x:c r="C1203" t="str">
        <x:v>烹调油</x:v>
      </x:c>
      <x:c r="D1203" t="n">
        <x:v>59</x:v>
      </x:c>
      <x:c r="E1203" t="n">
        <x:v>59</x:v>
      </x:c>
      <x:c r="F1203" s="10" t="str">
        <x:v>食用油；现有库存足够即可</x:v>
      </x:c>
      <x:c r="G1203" s="10" t="str">
        <x:v>实际用油重</x:v>
      </x:c>
    </x:row>
    <x:row r="1204" ht="23" customHeight="1">
      <x:c r="A1204" t="n">
        <x:v>30</x:v>
      </x:c>
      <x:c r="B1204" t="str">
        <x:v>海鲜</x:v>
      </x:c>
      <x:c r="C1204" t="str">
        <x:v>花蛤肉</x:v>
      </x:c>
      <x:c r="D1204" t="n">
        <x:v>210</x:v>
      </x:c>
      <x:c r="E1204" t="n">
        <x:v>230</x:v>
      </x:c>
      <x:c r="F1204" s="10" t="str">
        <x:v>食材净重+约8%余量；带壳或带骨采购需另折算</x:v>
      </x:c>
      <x:c r="G1204" s="10" t="str">
        <x:v>净肉生重</x:v>
      </x:c>
    </x:row>
    <x:row r="1205" ht="23" customHeight="1">
      <x:c r="A1205" t="n">
        <x:v>30</x:v>
      </x:c>
      <x:c r="B1205" t="str">
        <x:v>海鲜</x:v>
      </x:c>
      <x:c r="C1205" t="str">
        <x:v>虾仁</x:v>
      </x:c>
      <x:c r="D1205" t="n">
        <x:v>340</x:v>
      </x:c>
      <x:c r="E1205" t="n">
        <x:v>370</x:v>
      </x:c>
      <x:c r="F1205" s="10" t="str">
        <x:v>食材净重+约8%余量</x:v>
      </x:c>
      <x:c r="G1205" s="10" t="str">
        <x:v>生重</x:v>
      </x:c>
    </x:row>
    <x:row r="1206" ht="23" customHeight="1">
      <x:c r="A1206" t="n">
        <x:v>30</x:v>
      </x:c>
      <x:c r="B1206" t="str">
        <x:v>牛肉</x:v>
      </x:c>
      <x:c r="C1206" t="str">
        <x:v>瘦牛肉</x:v>
      </x:c>
      <x:c r="D1206" t="n">
        <x:v>350</x:v>
      </x:c>
      <x:c r="E1206" t="n">
        <x:v>380</x:v>
      </x:c>
      <x:c r="F1206" s="10" t="str">
        <x:v>食材净重+约8%余量</x:v>
      </x:c>
      <x:c r="G1206" s="10" t="str">
        <x:v>生重</x:v>
      </x:c>
    </x:row>
    <x:row r="1207" ht="23" customHeight="1">
      <x:c r="A1207" t="n">
        <x:v>30</x:v>
      </x:c>
      <x:c r="B1207" t="str">
        <x:v>猪肉</x:v>
      </x:c>
      <x:c r="C1207" t="str">
        <x:v>猪瘦肉</x:v>
      </x:c>
      <x:c r="D1207" t="n">
        <x:v>220</x:v>
      </x:c>
      <x:c r="E1207" t="n">
        <x:v>240</x:v>
      </x:c>
      <x:c r="F1207" s="10" t="str">
        <x:v>食材净重+约8%余量</x:v>
      </x:c>
      <x:c r="G1207" s="10" t="str">
        <x:v>生重</x:v>
      </x:c>
    </x:row>
    <x:row r="1208" ht="23" customHeight="1">
      <x:c r="A1208" t="n">
        <x:v>30</x:v>
      </x:c>
      <x:c r="B1208" t="str">
        <x:v>禽肉</x:v>
      </x:c>
      <x:c r="C1208" t="str">
        <x:v>去皮鸡腿肉</x:v>
      </x:c>
      <x:c r="D1208" t="n">
        <x:v>375</x:v>
      </x:c>
      <x:c r="E1208" t="n">
        <x:v>400</x:v>
      </x:c>
      <x:c r="F1208" s="10" t="str">
        <x:v>食材净重+约8%余量</x:v>
      </x:c>
      <x:c r="G1208" s="10" t="str">
        <x:v>生重</x:v>
      </x:c>
    </x:row>
    <x:row r="1209" ht="23" customHeight="1">
      <x:c r="A1209" t="n">
        <x:v>30</x:v>
      </x:c>
      <x:c r="B1209" t="str">
        <x:v>禽肉</x:v>
      </x:c>
      <x:c r="C1209" t="str">
        <x:v>鸡胸肉</x:v>
      </x:c>
      <x:c r="D1209" t="n">
        <x:v>320</x:v>
      </x:c>
      <x:c r="E1209" t="n">
        <x:v>350</x:v>
      </x:c>
      <x:c r="F1209" s="10" t="str">
        <x:v>食材净重+约8%余量</x:v>
      </x:c>
      <x:c r="G1209" s="10" t="str">
        <x:v>生重</x:v>
      </x:c>
    </x:row>
    <x:row r="1210" ht="23" customHeight="1">
      <x:c r="A1210" t="n">
        <x:v>30</x:v>
      </x:c>
      <x:c r="B1210" t="str">
        <x:v>禽肉</x:v>
      </x:c>
      <x:c r="C1210" t="str">
        <x:v>鸡里脊肉</x:v>
      </x:c>
      <x:c r="D1210" t="n">
        <x:v>145</x:v>
      </x:c>
      <x:c r="E1210" t="n">
        <x:v>160</x:v>
      </x:c>
      <x:c r="F1210" s="10" t="str">
        <x:v>食材净重+约8%余量</x:v>
      </x:c>
      <x:c r="G1210" s="10" t="str">
        <x:v>生重</x:v>
      </x:c>
    </x:row>
    <x:row r="1211" ht="23" customHeight="1">
      <x:c r="A1211" t="n">
        <x:v>30</x:v>
      </x:c>
      <x:c r="B1211" t="str">
        <x:v>菌菇</x:v>
      </x:c>
      <x:c r="C1211" t="str">
        <x:v>口蘑</x:v>
      </x:c>
      <x:c r="D1211" t="n">
        <x:v>530</x:v>
      </x:c>
      <x:c r="E1211" t="n">
        <x:v>570</x:v>
      </x:c>
      <x:c r="F1211" s="10" t="str">
        <x:v>食材净重+约8%余量</x:v>
      </x:c>
      <x:c r="G1211" s="10" t="str">
        <x:v>生重</x:v>
      </x:c>
    </x:row>
    <x:row r="1212" ht="23" customHeight="1">
      <x:c r="A1212" t="n">
        <x:v>30</x:v>
      </x:c>
      <x:c r="B1212" t="str">
        <x:v>菌菇</x:v>
      </x:c>
      <x:c r="C1212" t="str">
        <x:v>杏鲍菇</x:v>
      </x:c>
      <x:c r="D1212" t="n">
        <x:v>140</x:v>
      </x:c>
      <x:c r="E1212" t="n">
        <x:v>150</x:v>
      </x:c>
      <x:c r="F1212" s="10" t="str">
        <x:v>食材净重+约8%余量</x:v>
      </x:c>
      <x:c r="G1212" s="10" t="str">
        <x:v>生重</x:v>
      </x:c>
    </x:row>
    <x:row r="1213" ht="23" customHeight="1">
      <x:c r="A1213" t="n">
        <x:v>30</x:v>
      </x:c>
      <x:c r="B1213" t="str">
        <x:v>菌菇</x:v>
      </x:c>
      <x:c r="C1213" t="str">
        <x:v>香菇</x:v>
      </x:c>
      <x:c r="D1213" t="n">
        <x:v>110</x:v>
      </x:c>
      <x:c r="E1213" t="n">
        <x:v>120</x:v>
      </x:c>
      <x:c r="F1213" s="10" t="str">
        <x:v>食材净重+约8%余量</x:v>
      </x:c>
      <x:c r="G1213" s="10" t="str">
        <x:v>生重</x:v>
      </x:c>
    </x:row>
    <x:row r="1214" ht="23" customHeight="1">
      <x:c r="A1214" t="n">
        <x:v>30</x:v>
      </x:c>
      <x:c r="B1214" t="str">
        <x:v>蔬菜</x:v>
      </x:c>
      <x:c r="C1214" t="str">
        <x:v>丝瓜</x:v>
      </x:c>
      <x:c r="D1214" t="n">
        <x:v>440</x:v>
      </x:c>
      <x:c r="E1214" t="n">
        <x:v>480</x:v>
      </x:c>
      <x:c r="F1214" s="10" t="str">
        <x:v>食材净重+约8%余量</x:v>
      </x:c>
      <x:c r="G1214" s="10" t="str">
        <x:v>生重</x:v>
      </x:c>
    </x:row>
    <x:row r="1215" ht="23" customHeight="1">
      <x:c r="A1215" t="n">
        <x:v>30</x:v>
      </x:c>
      <x:c r="B1215" t="str">
        <x:v>蔬菜</x:v>
      </x:c>
      <x:c r="C1215" t="str">
        <x:v>冬瓜</x:v>
      </x:c>
      <x:c r="D1215" t="n">
        <x:v>330</x:v>
      </x:c>
      <x:c r="E1215" t="n">
        <x:v>360</x:v>
      </x:c>
      <x:c r="F1215" s="10" t="str">
        <x:v>食材净重+约8%余量</x:v>
      </x:c>
      <x:c r="G1215" s="10" t="str">
        <x:v>生重</x:v>
      </x:c>
    </x:row>
    <x:row r="1216" ht="23" customHeight="1">
      <x:c r="A1216" t="n">
        <x:v>30</x:v>
      </x:c>
      <x:c r="B1216" t="str">
        <x:v>蔬菜</x:v>
      </x:c>
      <x:c r="C1216" t="str">
        <x:v>四季豆</x:v>
      </x:c>
      <x:c r="D1216" t="n">
        <x:v>525</x:v>
      </x:c>
      <x:c r="E1216" t="n">
        <x:v>570</x:v>
      </x:c>
      <x:c r="F1216" s="10" t="str">
        <x:v>食材净重+约8%余量</x:v>
      </x:c>
      <x:c r="G1216" s="10" t="str">
        <x:v>生重</x:v>
      </x:c>
    </x:row>
    <x:row r="1217" ht="23" customHeight="1">
      <x:c r="A1217" t="n">
        <x:v>30</x:v>
      </x:c>
      <x:c r="B1217" t="str">
        <x:v>蔬菜</x:v>
      </x:c>
      <x:c r="C1217" t="str">
        <x:v>娃娃菜</x:v>
      </x:c>
      <x:c r="D1217" t="n">
        <x:v>330</x:v>
      </x:c>
      <x:c r="E1217" t="n">
        <x:v>360</x:v>
      </x:c>
      <x:c r="F1217" s="10" t="str">
        <x:v>食材净重+约8%余量</x:v>
      </x:c>
      <x:c r="G1217" s="10" t="str">
        <x:v>生重</x:v>
      </x:c>
    </x:row>
    <x:row r="1218" ht="23" customHeight="1">
      <x:c r="A1218" t="n">
        <x:v>30</x:v>
      </x:c>
      <x:c r="B1218" t="str">
        <x:v>蔬菜</x:v>
      </x:c>
      <x:c r="C1218" t="str">
        <x:v>海带</x:v>
      </x:c>
      <x:c r="D1218" t="n">
        <x:v>155</x:v>
      </x:c>
      <x:c r="E1218" t="n">
        <x:v>170</x:v>
      </x:c>
      <x:c r="F1218" s="10" t="str">
        <x:v>食材净重+约8%余量</x:v>
      </x:c>
      <x:c r="G1218" s="10" t="str">
        <x:v>泡发沥水重</x:v>
      </x:c>
    </x:row>
    <x:row r="1219" ht="23" customHeight="1">
      <x:c r="A1219" t="n">
        <x:v>30</x:v>
      </x:c>
      <x:c r="B1219" t="str">
        <x:v>蔬菜</x:v>
      </x:c>
      <x:c r="C1219" t="str">
        <x:v>番茄</x:v>
      </x:c>
      <x:c r="D1219" t="n">
        <x:v>280</x:v>
      </x:c>
      <x:c r="E1219" t="n">
        <x:v>300</x:v>
      </x:c>
      <x:c r="F1219" s="10" t="str">
        <x:v>食材净重+约8%余量</x:v>
      </x:c>
      <x:c r="G1219" s="10" t="str">
        <x:v>生重</x:v>
      </x:c>
    </x:row>
    <x:row r="1220" ht="23" customHeight="1">
      <x:c r="A1220" t="n">
        <x:v>30</x:v>
      </x:c>
      <x:c r="B1220" t="str">
        <x:v>蔬菜</x:v>
      </x:c>
      <x:c r="C1220" t="str">
        <x:v>紫甘蓝</x:v>
      </x:c>
      <x:c r="D1220" t="n">
        <x:v>140</x:v>
      </x:c>
      <x:c r="E1220" t="n">
        <x:v>150</x:v>
      </x:c>
      <x:c r="F1220" s="10" t="str">
        <x:v>食材净重+约8%余量</x:v>
      </x:c>
      <x:c r="G1220" s="10" t="str">
        <x:v>生重</x:v>
      </x:c>
    </x:row>
    <x:row r="1221" ht="23" customHeight="1">
      <x:c r="A1221" t="n">
        <x:v>30</x:v>
      </x:c>
      <x:c r="B1221" t="str">
        <x:v>蔬菜</x:v>
      </x:c>
      <x:c r="C1221" t="str">
        <x:v>绿豆芽</x:v>
      </x:c>
      <x:c r="D1221" t="n">
        <x:v>265</x:v>
      </x:c>
      <x:c r="E1221" t="n">
        <x:v>290</x:v>
      </x:c>
      <x:c r="F1221" s="10" t="str">
        <x:v>食材净重+约8%余量</x:v>
      </x:c>
      <x:c r="G1221" s="10" t="str">
        <x:v>生重</x:v>
      </x:c>
    </x:row>
    <x:row r="1222" ht="23" customHeight="1">
      <x:c r="A1222" t="n">
        <x:v>30</x:v>
      </x:c>
      <x:c r="B1222" t="str">
        <x:v>蔬菜</x:v>
      </x:c>
      <x:c r="C1222" t="str">
        <x:v>芦笋</x:v>
      </x:c>
      <x:c r="D1222" t="n">
        <x:v>140</x:v>
      </x:c>
      <x:c r="E1222" t="n">
        <x:v>150</x:v>
      </x:c>
      <x:c r="F1222" s="10" t="str">
        <x:v>食材净重+约8%余量</x:v>
      </x:c>
      <x:c r="G1222" s="10" t="str">
        <x:v>生重</x:v>
      </x:c>
    </x:row>
    <x:row r="1223" ht="23" customHeight="1">
      <x:c r="A1223" t="n">
        <x:v>30</x:v>
      </x:c>
      <x:c r="B1223" t="str">
        <x:v>蔬菜</x:v>
      </x:c>
      <x:c r="C1223" t="str">
        <x:v>花菜</x:v>
      </x:c>
      <x:c r="D1223" t="n">
        <x:v>140</x:v>
      </x:c>
      <x:c r="E1223" t="n">
        <x:v>150</x:v>
      </x:c>
      <x:c r="F1223" s="10" t="str">
        <x:v>食材净重+约8%余量</x:v>
      </x:c>
      <x:c r="G1223" s="10" t="str">
        <x:v>生重</x:v>
      </x:c>
    </x:row>
    <x:row r="1224" ht="23" customHeight="1">
      <x:c r="A1224" t="n">
        <x:v>30</x:v>
      </x:c>
      <x:c r="B1224" t="str">
        <x:v>蔬菜</x:v>
      </x:c>
      <x:c r="C1224" t="str">
        <x:v>苦瓜</x:v>
      </x:c>
      <x:c r="D1224" t="n">
        <x:v>175</x:v>
      </x:c>
      <x:c r="E1224" t="n">
        <x:v>190</x:v>
      </x:c>
      <x:c r="F1224" s="10" t="str">
        <x:v>食材净重+约8%余量</x:v>
      </x:c>
      <x:c r="G1224" s="10" t="str">
        <x:v>生重</x:v>
      </x:c>
    </x:row>
    <x:row r="1225" ht="23" customHeight="1">
      <x:c r="A1225" t="n">
        <x:v>30</x:v>
      </x:c>
      <x:c r="B1225" t="str">
        <x:v>蔬菜</x:v>
      </x:c>
      <x:c r="C1225" t="str">
        <x:v>西葫芦</x:v>
      </x:c>
      <x:c r="D1225" t="n">
        <x:v>300</x:v>
      </x:c>
      <x:c r="E1225" t="n">
        <x:v>320</x:v>
      </x:c>
      <x:c r="F1225" s="10" t="str">
        <x:v>食材净重+约8%余量</x:v>
      </x:c>
      <x:c r="G1225" s="10" t="str">
        <x:v>生重</x:v>
      </x:c>
    </x:row>
    <x:row r="1226" ht="23" customHeight="1">
      <x:c r="A1226" t="n">
        <x:v>30</x:v>
      </x:c>
      <x:c r="B1226" t="str">
        <x:v>蔬菜</x:v>
      </x:c>
      <x:c r="C1226" t="str">
        <x:v>黄瓜</x:v>
      </x:c>
      <x:c r="D1226" t="n">
        <x:v>125</x:v>
      </x:c>
      <x:c r="E1226" t="n">
        <x:v>140</x:v>
      </x:c>
      <x:c r="F1226" s="10" t="str">
        <x:v>食材净重+约8%余量</x:v>
      </x:c>
      <x:c r="G1226" s="10" t="str">
        <x:v>生重</x:v>
      </x:c>
    </x:row>
    <x:row r="1227" ht="23" customHeight="1">
      <x:c r="A1227" t="n">
        <x:v>30</x:v>
      </x:c>
      <x:c r="B1227" t="str">
        <x:v>豆蛋</x:v>
      </x:c>
      <x:c r="C1227" t="str">
        <x:v>北豆腐</x:v>
      </x:c>
      <x:c r="D1227" t="n">
        <x:v>650</x:v>
      </x:c>
      <x:c r="E1227" t="n">
        <x:v>700</x:v>
      </x:c>
      <x:c r="F1227" s="10" t="str">
        <x:v>食材净重+约8%余量</x:v>
      </x:c>
      <x:c r="G1227" s="10" t="str">
        <x:v>净重</x:v>
      </x:c>
    </x:row>
    <x:row r="1228" ht="23" customHeight="1">
      <x:c r="A1228" t="n">
        <x:v>30</x:v>
      </x:c>
      <x:c r="B1228" t="str">
        <x:v>豆蛋</x:v>
      </x:c>
      <x:c r="C1228" t="str">
        <x:v>嫩豆腐</x:v>
      </x:c>
      <x:c r="D1228" t="n">
        <x:v>300</x:v>
      </x:c>
      <x:c r="E1228" t="n">
        <x:v>320</x:v>
      </x:c>
      <x:c r="F1228" s="10" t="str">
        <x:v>食材净重+约8%余量</x:v>
      </x:c>
      <x:c r="G1228" s="10" t="str">
        <x:v>净重</x:v>
      </x:c>
    </x:row>
    <x:row r="1229" ht="23" customHeight="1">
      <x:c r="A1229" t="n">
        <x:v>30</x:v>
      </x:c>
      <x:c r="B1229" t="str">
        <x:v>豆蛋</x:v>
      </x:c>
      <x:c r="C1229" t="str">
        <x:v>熟毛豆仁</x:v>
      </x:c>
      <x:c r="D1229" t="n">
        <x:v>70</x:v>
      </x:c>
      <x:c r="E1229" t="n">
        <x:v>80</x:v>
      </x:c>
      <x:c r="F1229" s="10" t="str">
        <x:v>食材净重+约8%余量</x:v>
      </x:c>
      <x:c r="G1229" s="10" t="str">
        <x:v>熟重</x:v>
      </x:c>
    </x:row>
    <x:row r="1230" ht="23" customHeight="1">
      <x:c r="A1230" t="n">
        <x:v>30</x:v>
      </x:c>
      <x:c r="B1230" t="str">
        <x:v>豆蛋</x:v>
      </x:c>
      <x:c r="C1230" t="str">
        <x:v>鸡蛋</x:v>
      </x:c>
      <x:c r="D1230" t="n">
        <x:v>120</x:v>
      </x:c>
      <x:c r="E1230" t="n">
        <x:v>130</x:v>
      </x:c>
      <x:c r="F1230" s="10" t="str">
        <x:v>食材净重+约8%余量</x:v>
      </x:c>
      <x:c r="G1230" s="10" t="str">
        <x:v>去壳可食重</x:v>
      </x:c>
    </x:row>
    <x:row r="1231" ht="23" customHeight="1">
      <x:c r="A1231" t="n">
        <x:v>31</x:v>
      </x:c>
      <x:c r="B1231" t="str">
        <x:v>主食</x:v>
      </x:c>
      <x:c r="C1231" t="str">
        <x:v>杂粮饭</x:v>
      </x:c>
      <x:c r="D1231" t="n">
        <x:v>135</x:v>
      </x:c>
      <x:c r="E1231" t="n">
        <x:v>50</x:v>
      </x:c>
      <x:c r="F1231" s="10" t="str">
        <x:v>未煮干粮约重（按熟饭/生米≈2.6估算）</x:v>
      </x:c>
      <x:c r="G1231" s="10" t="str">
        <x:v>熟重</x:v>
      </x:c>
    </x:row>
    <x:row r="1232" ht="23" customHeight="1">
      <x:c r="A1232" t="n">
        <x:v>31</x:v>
      </x:c>
      <x:c r="B1232" t="str">
        <x:v>主食</x:v>
      </x:c>
      <x:c r="C1232" t="str">
        <x:v>玉米</x:v>
      </x:c>
      <x:c r="D1232" t="n">
        <x:v>95</x:v>
      </x:c>
      <x:c r="E1232" t="n">
        <x:v>100</x:v>
      </x:c>
      <x:c r="F1232" s="10" t="str">
        <x:v>鲜薯/玉米净重；考虑小幅损耗</x:v>
      </x:c>
      <x:c r="G1232" s="10" t="str">
        <x:v>蒸熟净重</x:v>
      </x:c>
    </x:row>
    <x:row r="1233" ht="23" customHeight="1">
      <x:c r="A1233" t="n">
        <x:v>31</x:v>
      </x:c>
      <x:c r="B1233" t="str">
        <x:v>主食</x:v>
      </x:c>
      <x:c r="C1233" t="str">
        <x:v>糙米饭</x:v>
      </x:c>
      <x:c r="D1233" t="n">
        <x:v>110</x:v>
      </x:c>
      <x:c r="E1233" t="n">
        <x:v>40</x:v>
      </x:c>
      <x:c r="F1233" s="10" t="str">
        <x:v>未煮干粮约重（按熟饭/生米≈2.6估算）</x:v>
      </x:c>
      <x:c r="G1233" s="10" t="str">
        <x:v>熟重</x:v>
      </x:c>
    </x:row>
    <x:row r="1234" ht="23" customHeight="1">
      <x:c r="A1234" t="n">
        <x:v>31</x:v>
      </x:c>
      <x:c r="B1234" t="str">
        <x:v>主食</x:v>
      </x:c>
      <x:c r="C1234" t="str">
        <x:v>紫薯</x:v>
      </x:c>
      <x:c r="D1234" t="n">
        <x:v>315</x:v>
      </x:c>
      <x:c r="E1234" t="n">
        <x:v>350</x:v>
      </x:c>
      <x:c r="F1234" s="10" t="str">
        <x:v>鲜薯/玉米净重；考虑小幅损耗</x:v>
      </x:c>
      <x:c r="G1234" s="10" t="str">
        <x:v>蒸熟净重</x:v>
      </x:c>
    </x:row>
    <x:row r="1235" ht="23" customHeight="1">
      <x:c r="A1235" t="n">
        <x:v>31</x:v>
      </x:c>
      <x:c r="B1235" t="str">
        <x:v>主食</x:v>
      </x:c>
      <x:c r="C1235" t="str">
        <x:v>红薯</x:v>
      </x:c>
      <x:c r="D1235" t="n">
        <x:v>130</x:v>
      </x:c>
      <x:c r="E1235" t="n">
        <x:v>140</x:v>
      </x:c>
      <x:c r="F1235" s="10" t="str">
        <x:v>鲜薯/玉米净重；考虑小幅损耗</x:v>
      </x:c>
      <x:c r="G1235" s="10" t="str">
        <x:v>蒸熟净重</x:v>
      </x:c>
    </x:row>
    <x:row r="1236" ht="23" customHeight="1">
      <x:c r="A1236" t="n">
        <x:v>31</x:v>
      </x:c>
      <x:c r="B1236" t="str">
        <x:v>主食</x:v>
      </x:c>
      <x:c r="C1236" t="str">
        <x:v>荞麦面</x:v>
      </x:c>
      <x:c r="D1236" t="n">
        <x:v>535</x:v>
      </x:c>
      <x:c r="E1236" t="n">
        <x:v>250</x:v>
      </x:c>
      <x:c r="F1236" s="10" t="str">
        <x:v>干粮约重（按熟面/干面≈2.1估算）</x:v>
      </x:c>
      <x:c r="G1236" s="10" t="str">
        <x:v>煮熟沥水重</x:v>
      </x:c>
    </x:row>
    <x:row r="1237" ht="23" customHeight="1">
      <x:c r="A1237" t="n">
        <x:v>31</x:v>
      </x:c>
      <x:c r="B1237" t="str">
        <x:v>主食</x:v>
      </x:c>
      <x:c r="C1237" t="str">
        <x:v>荞麦饭</x:v>
      </x:c>
      <x:c r="D1237" t="n">
        <x:v>245</x:v>
      </x:c>
      <x:c r="E1237" t="n">
        <x:v>90</x:v>
      </x:c>
      <x:c r="F1237" s="10" t="str">
        <x:v>未煮干粮约重（按熟饭/生米≈2.6估算）</x:v>
      </x:c>
      <x:c r="G1237" s="10" t="str">
        <x:v>熟重</x:v>
      </x:c>
    </x:row>
    <x:row r="1238" ht="23" customHeight="1">
      <x:c r="A1238" t="n">
        <x:v>31</x:v>
      </x:c>
      <x:c r="B1238" t="str">
        <x:v>主食</x:v>
      </x:c>
      <x:c r="C1238" t="str">
        <x:v>藜麦饭</x:v>
      </x:c>
      <x:c r="D1238" t="n">
        <x:v>230</x:v>
      </x:c>
      <x:c r="E1238" t="n">
        <x:v>90</x:v>
      </x:c>
      <x:c r="F1238" s="10" t="str">
        <x:v>未煮干粮约重（按熟饭/生米≈2.6估算）</x:v>
      </x:c>
      <x:c r="G1238" s="10" t="str">
        <x:v>熟重</x:v>
      </x:c>
    </x:row>
    <x:row r="1239" ht="23" customHeight="1">
      <x:c r="A1239" t="n">
        <x:v>31</x:v>
      </x:c>
      <x:c r="B1239" t="str">
        <x:v>油脂</x:v>
      </x:c>
      <x:c r="C1239" t="str">
        <x:v>烹调油</x:v>
      </x:c>
      <x:c r="D1239" t="n">
        <x:v>66</x:v>
      </x:c>
      <x:c r="E1239" t="n">
        <x:v>66</x:v>
      </x:c>
      <x:c r="F1239" s="10" t="str">
        <x:v>食用油；现有库存足够即可</x:v>
      </x:c>
      <x:c r="G1239" s="10" t="str">
        <x:v>实际用油重</x:v>
      </x:c>
    </x:row>
    <x:row r="1240" ht="23" customHeight="1">
      <x:c r="A1240" t="n">
        <x:v>31</x:v>
      </x:c>
      <x:c r="B1240" t="str">
        <x:v>海鲜</x:v>
      </x:c>
      <x:c r="C1240" t="str">
        <x:v>扇贝肉</x:v>
      </x:c>
      <x:c r="D1240" t="n">
        <x:v>170</x:v>
      </x:c>
      <x:c r="E1240" t="n">
        <x:v>180</x:v>
      </x:c>
      <x:c r="F1240" s="10" t="str">
        <x:v>食材净重+约8%余量；带壳或带骨采购需另折算</x:v>
      </x:c>
      <x:c r="G1240" s="10" t="str">
        <x:v>生重</x:v>
      </x:c>
    </x:row>
    <x:row r="1241" ht="23" customHeight="1">
      <x:c r="A1241" t="n">
        <x:v>31</x:v>
      </x:c>
      <x:c r="B1241" t="str">
        <x:v>海鲜</x:v>
      </x:c>
      <x:c r="C1241" t="str">
        <x:v>虾仁</x:v>
      </x:c>
      <x:c r="D1241" t="n">
        <x:v>85</x:v>
      </x:c>
      <x:c r="E1241" t="n">
        <x:v>90</x:v>
      </x:c>
      <x:c r="F1241" s="10" t="str">
        <x:v>食材净重+约8%余量</x:v>
      </x:c>
      <x:c r="G1241" s="10" t="str">
        <x:v>生重</x:v>
      </x:c>
    </x:row>
    <x:row r="1242" ht="23" customHeight="1">
      <x:c r="A1242" t="n">
        <x:v>31</x:v>
      </x:c>
      <x:c r="B1242" t="str">
        <x:v>牛肉</x:v>
      </x:c>
      <x:c r="C1242" t="str">
        <x:v>牛腱子</x:v>
      </x:c>
      <x:c r="D1242" t="n">
        <x:v>160</x:v>
      </x:c>
      <x:c r="E1242" t="n">
        <x:v>170</x:v>
      </x:c>
      <x:c r="F1242" s="10" t="str">
        <x:v>食材净重+约8%余量</x:v>
      </x:c>
      <x:c r="G1242" s="10" t="str">
        <x:v>生重</x:v>
      </x:c>
    </x:row>
    <x:row r="1243" ht="23" customHeight="1">
      <x:c r="A1243" t="n">
        <x:v>31</x:v>
      </x:c>
      <x:c r="B1243" t="str">
        <x:v>牛肉</x:v>
      </x:c>
      <x:c r="C1243" t="str">
        <x:v>牛里脊</x:v>
      </x:c>
      <x:c r="D1243" t="n">
        <x:v>365</x:v>
      </x:c>
      <x:c r="E1243" t="n">
        <x:v>390</x:v>
      </x:c>
      <x:c r="F1243" s="10" t="str">
        <x:v>食材净重+约8%余量</x:v>
      </x:c>
      <x:c r="G1243" s="10" t="str">
        <x:v>生重</x:v>
      </x:c>
    </x:row>
    <x:row r="1244" ht="23" customHeight="1">
      <x:c r="A1244" t="n">
        <x:v>31</x:v>
      </x:c>
      <x:c r="B1244" t="str">
        <x:v>牛肉</x:v>
      </x:c>
      <x:c r="C1244" t="str">
        <x:v>瘦牛肉</x:v>
      </x:c>
      <x:c r="D1244" t="n">
        <x:v>165</x:v>
      </x:c>
      <x:c r="E1244" t="n">
        <x:v>180</x:v>
      </x:c>
      <x:c r="F1244" s="10" t="str">
        <x:v>食材净重+约8%余量</x:v>
      </x:c>
      <x:c r="G1244" s="10" t="str">
        <x:v>生重</x:v>
      </x:c>
    </x:row>
    <x:row r="1245" ht="23" customHeight="1">
      <x:c r="A1245" t="n">
        <x:v>31</x:v>
      </x:c>
      <x:c r="B1245" t="str">
        <x:v>禽肉</x:v>
      </x:c>
      <x:c r="C1245" t="str">
        <x:v>去皮鸡腿肉</x:v>
      </x:c>
      <x:c r="D1245" t="n">
        <x:v>320</x:v>
      </x:c>
      <x:c r="E1245" t="n">
        <x:v>350</x:v>
      </x:c>
      <x:c r="F1245" s="10" t="str">
        <x:v>食材净重+约8%余量</x:v>
      </x:c>
      <x:c r="G1245" s="10" t="str">
        <x:v>生重</x:v>
      </x:c>
    </x:row>
    <x:row r="1246" ht="23" customHeight="1">
      <x:c r="A1246" t="n">
        <x:v>31</x:v>
      </x:c>
      <x:c r="B1246" t="str">
        <x:v>禽肉</x:v>
      </x:c>
      <x:c r="C1246" t="str">
        <x:v>鸡胸肉</x:v>
      </x:c>
      <x:c r="D1246" t="n">
        <x:v>145</x:v>
      </x:c>
      <x:c r="E1246" t="n">
        <x:v>160</x:v>
      </x:c>
      <x:c r="F1246" s="10" t="str">
        <x:v>食材净重+约8%余量</x:v>
      </x:c>
      <x:c r="G1246" s="10" t="str">
        <x:v>生重</x:v>
      </x:c>
    </x:row>
    <x:row r="1247" ht="23" customHeight="1">
      <x:c r="A1247" t="n">
        <x:v>31</x:v>
      </x:c>
      <x:c r="B1247" t="str">
        <x:v>禽肉</x:v>
      </x:c>
      <x:c r="C1247" t="str">
        <x:v>鸡里脊肉</x:v>
      </x:c>
      <x:c r="D1247" t="n">
        <x:v>325</x:v>
      </x:c>
      <x:c r="E1247" t="n">
        <x:v>350</x:v>
      </x:c>
      <x:c r="F1247" s="10" t="str">
        <x:v>食材净重+约8%余量</x:v>
      </x:c>
      <x:c r="G1247" s="10" t="str">
        <x:v>生重</x:v>
      </x:c>
    </x:row>
    <x:row r="1248" ht="23" customHeight="1">
      <x:c r="A1248" t="n">
        <x:v>31</x:v>
      </x:c>
      <x:c r="B1248" t="str">
        <x:v>菌菇</x:v>
      </x:c>
      <x:c r="C1248" t="str">
        <x:v>口蘑</x:v>
      </x:c>
      <x:c r="D1248" t="n">
        <x:v>405</x:v>
      </x:c>
      <x:c r="E1248" t="n">
        <x:v>440</x:v>
      </x:c>
      <x:c r="F1248" s="10" t="str">
        <x:v>食材净重+约8%余量</x:v>
      </x:c>
      <x:c r="G1248" s="10" t="str">
        <x:v>生重</x:v>
      </x:c>
    </x:row>
    <x:row r="1249" ht="23" customHeight="1">
      <x:c r="A1249" t="n">
        <x:v>31</x:v>
      </x:c>
      <x:c r="B1249" t="str">
        <x:v>菌菇</x:v>
      </x:c>
      <x:c r="C1249" t="str">
        <x:v>杏鲍菇</x:v>
      </x:c>
      <x:c r="D1249" t="n">
        <x:v>265</x:v>
      </x:c>
      <x:c r="E1249" t="n">
        <x:v>290</x:v>
      </x:c>
      <x:c r="F1249" s="10" t="str">
        <x:v>食材净重+约8%余量</x:v>
      </x:c>
      <x:c r="G1249" s="10" t="str">
        <x:v>生重</x:v>
      </x:c>
    </x:row>
    <x:row r="1250" ht="23" customHeight="1">
      <x:c r="A1250" t="n">
        <x:v>31</x:v>
      </x:c>
      <x:c r="B1250" t="str">
        <x:v>蔬菜</x:v>
      </x:c>
      <x:c r="C1250" t="str">
        <x:v>丝瓜</x:v>
      </x:c>
      <x:c r="D1250" t="n">
        <x:v>315</x:v>
      </x:c>
      <x:c r="E1250" t="n">
        <x:v>340</x:v>
      </x:c>
      <x:c r="F1250" s="10" t="str">
        <x:v>食材净重+约8%余量</x:v>
      </x:c>
      <x:c r="G1250" s="10" t="str">
        <x:v>生重</x:v>
      </x:c>
    </x:row>
    <x:row r="1251" ht="23" customHeight="1">
      <x:c r="A1251" t="n">
        <x:v>31</x:v>
      </x:c>
      <x:c r="B1251" t="str">
        <x:v>蔬菜</x:v>
      </x:c>
      <x:c r="C1251" t="str">
        <x:v>冬瓜</x:v>
      </x:c>
      <x:c r="D1251" t="n">
        <x:v>110</x:v>
      </x:c>
      <x:c r="E1251" t="n">
        <x:v>120</x:v>
      </x:c>
      <x:c r="F1251" s="10" t="str">
        <x:v>食材净重+约8%余量</x:v>
      </x:c>
      <x:c r="G1251" s="10" t="str">
        <x:v>生重</x:v>
      </x:c>
    </x:row>
    <x:row r="1252" ht="23" customHeight="1">
      <x:c r="A1252" t="n">
        <x:v>31</x:v>
      </x:c>
      <x:c r="B1252" t="str">
        <x:v>蔬菜</x:v>
      </x:c>
      <x:c r="C1252" t="str">
        <x:v>四季豆</x:v>
      </x:c>
      <x:c r="D1252" t="n">
        <x:v>160</x:v>
      </x:c>
      <x:c r="E1252" t="n">
        <x:v>170</x:v>
      </x:c>
      <x:c r="F1252" s="10" t="str">
        <x:v>食材净重+约8%余量</x:v>
      </x:c>
      <x:c r="G1252" s="10" t="str">
        <x:v>生重</x:v>
      </x:c>
    </x:row>
    <x:row r="1253" ht="23" customHeight="1">
      <x:c r="A1253" t="n">
        <x:v>31</x:v>
      </x:c>
      <x:c r="B1253" t="str">
        <x:v>蔬菜</x:v>
      </x:c>
      <x:c r="C1253" t="str">
        <x:v>娃娃菜</x:v>
      </x:c>
      <x:c r="D1253" t="n">
        <x:v>160</x:v>
      </x:c>
      <x:c r="E1253" t="n">
        <x:v>170</x:v>
      </x:c>
      <x:c r="F1253" s="10" t="str">
        <x:v>食材净重+约8%余量</x:v>
      </x:c>
      <x:c r="G1253" s="10" t="str">
        <x:v>生重</x:v>
      </x:c>
    </x:row>
    <x:row r="1254" ht="23" customHeight="1">
      <x:c r="A1254" t="n">
        <x:v>31</x:v>
      </x:c>
      <x:c r="B1254" t="str">
        <x:v>蔬菜</x:v>
      </x:c>
      <x:c r="C1254" t="str">
        <x:v>油麦菜</x:v>
      </x:c>
      <x:c r="D1254" t="n">
        <x:v>175</x:v>
      </x:c>
      <x:c r="E1254" t="n">
        <x:v>190</x:v>
      </x:c>
      <x:c r="F1254" s="10" t="str">
        <x:v>食材净重+约8%余量</x:v>
      </x:c>
      <x:c r="G1254" s="10" t="str">
        <x:v>生重</x:v>
      </x:c>
    </x:row>
    <x:row r="1255" ht="23" customHeight="1">
      <x:c r="A1255" t="n">
        <x:v>31</x:v>
      </x:c>
      <x:c r="B1255" t="str">
        <x:v>蔬菜</x:v>
      </x:c>
      <x:c r="C1255" t="str">
        <x:v>洋葱</x:v>
      </x:c>
      <x:c r="D1255" t="n">
        <x:v>140</x:v>
      </x:c>
      <x:c r="E1255" t="n">
        <x:v>150</x:v>
      </x:c>
      <x:c r="F1255" s="10" t="str">
        <x:v>食材净重+约8%余量</x:v>
      </x:c>
      <x:c r="G1255" s="10" t="str">
        <x:v>生重</x:v>
      </x:c>
    </x:row>
    <x:row r="1256" ht="23" customHeight="1">
      <x:c r="A1256" t="n">
        <x:v>31</x:v>
      </x:c>
      <x:c r="B1256" t="str">
        <x:v>蔬菜</x:v>
      </x:c>
      <x:c r="C1256" t="str">
        <x:v>生菜</x:v>
      </x:c>
      <x:c r="D1256" t="n">
        <x:v>160</x:v>
      </x:c>
      <x:c r="E1256" t="n">
        <x:v>170</x:v>
      </x:c>
      <x:c r="F1256" s="10" t="str">
        <x:v>食材净重+约8%余量</x:v>
      </x:c>
      <x:c r="G1256" s="10" t="str">
        <x:v>生重</x:v>
      </x:c>
    </x:row>
    <x:row r="1257" ht="23" customHeight="1">
      <x:c r="A1257" t="n">
        <x:v>31</x:v>
      </x:c>
      <x:c r="B1257" t="str">
        <x:v>蔬菜</x:v>
      </x:c>
      <x:c r="C1257" t="str">
        <x:v>番茄</x:v>
      </x:c>
      <x:c r="D1257" t="n">
        <x:v>300</x:v>
      </x:c>
      <x:c r="E1257" t="n">
        <x:v>320</x:v>
      </x:c>
      <x:c r="F1257" s="10" t="str">
        <x:v>食材净重+约8%余量</x:v>
      </x:c>
      <x:c r="G1257" s="10" t="str">
        <x:v>生重</x:v>
      </x:c>
    </x:row>
    <x:row r="1258" ht="23" customHeight="1">
      <x:c r="A1258" t="n">
        <x:v>31</x:v>
      </x:c>
      <x:c r="B1258" t="str">
        <x:v>蔬菜</x:v>
      </x:c>
      <x:c r="C1258" t="str">
        <x:v>白萝卜</x:v>
      </x:c>
      <x:c r="D1258" t="n">
        <x:v>330</x:v>
      </x:c>
      <x:c r="E1258" t="n">
        <x:v>360</x:v>
      </x:c>
      <x:c r="F1258" s="10" t="str">
        <x:v>食材净重+约8%余量</x:v>
      </x:c>
      <x:c r="G1258" s="10" t="str">
        <x:v>生重</x:v>
      </x:c>
    </x:row>
    <x:row r="1259" ht="23" customHeight="1">
      <x:c r="A1259" t="n">
        <x:v>31</x:v>
      </x:c>
      <x:c r="B1259" t="str">
        <x:v>蔬菜</x:v>
      </x:c>
      <x:c r="C1259" t="str">
        <x:v>秋葵</x:v>
      </x:c>
      <x:c r="D1259" t="n">
        <x:v>190</x:v>
      </x:c>
      <x:c r="E1259" t="n">
        <x:v>210</x:v>
      </x:c>
      <x:c r="F1259" s="10" t="str">
        <x:v>食材净重+约8%余量</x:v>
      </x:c>
      <x:c r="G1259" s="10" t="str">
        <x:v>生重</x:v>
      </x:c>
    </x:row>
    <x:row r="1260" ht="23" customHeight="1">
      <x:c r="A1260" t="n">
        <x:v>31</x:v>
      </x:c>
      <x:c r="B1260" t="str">
        <x:v>蔬菜</x:v>
      </x:c>
      <x:c r="C1260" t="str">
        <x:v>竹笋</x:v>
      </x:c>
      <x:c r="D1260" t="n">
        <x:v>315</x:v>
      </x:c>
      <x:c r="E1260" t="n">
        <x:v>340</x:v>
      </x:c>
      <x:c r="F1260" s="10" t="str">
        <x:v>食材净重+约8%余量</x:v>
      </x:c>
      <x:c r="G1260" s="10" t="str">
        <x:v>生重</x:v>
      </x:c>
    </x:row>
    <x:row r="1261" ht="23" customHeight="1">
      <x:c r="A1261" t="n">
        <x:v>31</x:v>
      </x:c>
      <x:c r="B1261" t="str">
        <x:v>蔬菜</x:v>
      </x:c>
      <x:c r="C1261" t="str">
        <x:v>紫甘蓝</x:v>
      </x:c>
      <x:c r="D1261" t="n">
        <x:v>335</x:v>
      </x:c>
      <x:c r="E1261" t="n">
        <x:v>360</x:v>
      </x:c>
      <x:c r="F1261" s="10" t="str">
        <x:v>食材净重+约8%余量</x:v>
      </x:c>
      <x:c r="G1261" s="10" t="str">
        <x:v>生重</x:v>
      </x:c>
    </x:row>
    <x:row r="1262" ht="23" customHeight="1">
      <x:c r="A1262" t="n">
        <x:v>31</x:v>
      </x:c>
      <x:c r="B1262" t="str">
        <x:v>蔬菜</x:v>
      </x:c>
      <x:c r="C1262" t="str">
        <x:v>绿豆芽</x:v>
      </x:c>
      <x:c r="D1262" t="n">
        <x:v>110</x:v>
      </x:c>
      <x:c r="E1262" t="n">
        <x:v>120</x:v>
      </x:c>
      <x:c r="F1262" s="10" t="str">
        <x:v>食材净重+约8%余量</x:v>
      </x:c>
      <x:c r="G1262" s="10" t="str">
        <x:v>生重</x:v>
      </x:c>
    </x:row>
    <x:row r="1263" ht="23" customHeight="1">
      <x:c r="A1263" t="n">
        <x:v>31</x:v>
      </x:c>
      <x:c r="B1263" t="str">
        <x:v>蔬菜</x:v>
      </x:c>
      <x:c r="C1263" t="str">
        <x:v>胡萝卜</x:v>
      </x:c>
      <x:c r="D1263" t="n">
        <x:v>250</x:v>
      </x:c>
      <x:c r="E1263" t="n">
        <x:v>270</x:v>
      </x:c>
      <x:c r="F1263" s="10" t="str">
        <x:v>食材净重+约8%余量</x:v>
      </x:c>
      <x:c r="G1263" s="10" t="str">
        <x:v>生重</x:v>
      </x:c>
    </x:row>
    <x:row r="1264" ht="23" customHeight="1">
      <x:c r="A1264" t="n">
        <x:v>31</x:v>
      </x:c>
      <x:c r="B1264" t="str">
        <x:v>蔬菜</x:v>
      </x:c>
      <x:c r="C1264" t="str">
        <x:v>莴笋</x:v>
      </x:c>
      <x:c r="D1264" t="n">
        <x:v>140</x:v>
      </x:c>
      <x:c r="E1264" t="n">
        <x:v>150</x:v>
      </x:c>
      <x:c r="F1264" s="10" t="str">
        <x:v>食材净重+约8%余量</x:v>
      </x:c>
      <x:c r="G1264" s="10" t="str">
        <x:v>生重</x:v>
      </x:c>
    </x:row>
    <x:row r="1265" ht="23" customHeight="1">
      <x:c r="A1265" t="n">
        <x:v>31</x:v>
      </x:c>
      <x:c r="B1265" t="str">
        <x:v>蔬菜</x:v>
      </x:c>
      <x:c r="C1265" t="str">
        <x:v>菠菜</x:v>
      </x:c>
      <x:c r="D1265" t="n">
        <x:v>190</x:v>
      </x:c>
      <x:c r="E1265" t="n">
        <x:v>210</x:v>
      </x:c>
      <x:c r="F1265" s="10" t="str">
        <x:v>食材净重+约8%余量</x:v>
      </x:c>
      <x:c r="G1265" s="10" t="str">
        <x:v>生重</x:v>
      </x:c>
    </x:row>
    <x:row r="1266" ht="23" customHeight="1">
      <x:c r="A1266" t="n">
        <x:v>31</x:v>
      </x:c>
      <x:c r="B1266" t="str">
        <x:v>蔬菜</x:v>
      </x:c>
      <x:c r="C1266" t="str">
        <x:v>黄瓜</x:v>
      </x:c>
      <x:c r="D1266" t="n">
        <x:v>155</x:v>
      </x:c>
      <x:c r="E1266" t="n">
        <x:v>170</x:v>
      </x:c>
      <x:c r="F1266" s="10" t="str">
        <x:v>食材净重+约8%余量</x:v>
      </x:c>
      <x:c r="G1266" s="10" t="str">
        <x:v>生重</x:v>
      </x:c>
    </x:row>
    <x:row r="1267" ht="23" customHeight="1">
      <x:c r="A1267" t="n">
        <x:v>31</x:v>
      </x:c>
      <x:c r="B1267" t="str">
        <x:v>豆蛋</x:v>
      </x:c>
      <x:c r="C1267" t="str">
        <x:v>嫩豆腐</x:v>
      </x:c>
      <x:c r="D1267" t="n">
        <x:v>260</x:v>
      </x:c>
      <x:c r="E1267" t="n">
        <x:v>280</x:v>
      </x:c>
      <x:c r="F1267" s="10" t="str">
        <x:v>食材净重+约8%余量</x:v>
      </x:c>
      <x:c r="G1267" s="10" t="str">
        <x:v>净重</x:v>
      </x:c>
    </x:row>
    <x:row r="1268" ht="23" customHeight="1">
      <x:c r="A1268" t="n">
        <x:v>31</x:v>
      </x:c>
      <x:c r="B1268" t="str">
        <x:v>豆蛋</x:v>
      </x:c>
      <x:c r="C1268" t="str">
        <x:v>熟毛豆仁</x:v>
      </x:c>
      <x:c r="D1268" t="n">
        <x:v>70</x:v>
      </x:c>
      <x:c r="E1268" t="n">
        <x:v>80</x:v>
      </x:c>
      <x:c r="F1268" s="10" t="str">
        <x:v>食材净重+约8%余量</x:v>
      </x:c>
      <x:c r="G1268" s="10" t="str">
        <x:v>熟重</x:v>
      </x:c>
    </x:row>
    <x:row r="1269" ht="23" customHeight="1">
      <x:c r="A1269" t="n">
        <x:v>31</x:v>
      </x:c>
      <x:c r="B1269" t="str">
        <x:v>鱼类</x:v>
      </x:c>
      <x:c r="C1269" t="str">
        <x:v>巴沙鱼</x:v>
      </x:c>
      <x:c r="D1269" t="n">
        <x:v>390</x:v>
      </x:c>
      <x:c r="E1269" t="n">
        <x:v>420</x:v>
      </x:c>
      <x:c r="F1269" s="10" t="str">
        <x:v>食材净重+约8%余量</x:v>
      </x:c>
      <x:c r="G1269" s="10" t="str">
        <x:v>净鱼肉生重</x:v>
      </x:c>
    </x:row>
    <x:row r="1270" ht="23" customHeight="1">
      <x:c r="A1270" t="n">
        <x:v>31</x:v>
      </x:c>
      <x:c r="B1270" t="str">
        <x:v>鱼类</x:v>
      </x:c>
      <x:c r="C1270" t="str">
        <x:v>鲈鱼</x:v>
      </x:c>
      <x:c r="D1270" t="n">
        <x:v>175</x:v>
      </x:c>
      <x:c r="E1270" t="n">
        <x:v>190</x:v>
      </x:c>
      <x:c r="F1270" s="10" t="str">
        <x:v>食材净重+约8%余量；带壳或带骨采购需另折算</x:v>
      </x:c>
      <x:c r="G1270" s="10" t="str">
        <x:v>净鱼肉生重</x:v>
      </x:c>
    </x:row>
    <x:row r="1271" ht="23" customHeight="1">
      <x:c r="A1271" t="n">
        <x:v>32</x:v>
      </x:c>
      <x:c r="B1271" t="str">
        <x:v>主食</x:v>
      </x:c>
      <x:c r="C1271" t="str">
        <x:v>杂粮饭</x:v>
      </x:c>
      <x:c r="D1271" t="n">
        <x:v>135</x:v>
      </x:c>
      <x:c r="E1271" t="n">
        <x:v>50</x:v>
      </x:c>
      <x:c r="F1271" s="10" t="str">
        <x:v>未煮干粮约重（按熟饭/生米≈2.6估算）</x:v>
      </x:c>
      <x:c r="G1271" s="10" t="str">
        <x:v>熟重</x:v>
      </x:c>
    </x:row>
    <x:row r="1272" ht="23" customHeight="1">
      <x:c r="A1272" t="n">
        <x:v>32</x:v>
      </x:c>
      <x:c r="B1272" t="str">
        <x:v>主食</x:v>
      </x:c>
      <x:c r="C1272" t="str">
        <x:v>燕麦饭</x:v>
      </x:c>
      <x:c r="D1272" t="n">
        <x:v>95</x:v>
      </x:c>
      <x:c r="E1272" t="n">
        <x:v>40</x:v>
      </x:c>
      <x:c r="F1272" s="10" t="str">
        <x:v>未煮干粮约重（按熟饭/生米≈2.6估算）</x:v>
      </x:c>
      <x:c r="G1272" s="10" t="str">
        <x:v>熟重</x:v>
      </x:c>
    </x:row>
    <x:row r="1273" ht="23" customHeight="1">
      <x:c r="A1273" t="n">
        <x:v>32</x:v>
      </x:c>
      <x:c r="B1273" t="str">
        <x:v>主食</x:v>
      </x:c>
      <x:c r="C1273" t="str">
        <x:v>白米饭</x:v>
      </x:c>
      <x:c r="D1273" t="n">
        <x:v>135</x:v>
      </x:c>
      <x:c r="E1273" t="n">
        <x:v>50</x:v>
      </x:c>
      <x:c r="F1273" s="10" t="str">
        <x:v>未煮干粮约重（按熟饭/生米≈2.6估算）</x:v>
      </x:c>
      <x:c r="G1273" s="10" t="str">
        <x:v>熟重</x:v>
      </x:c>
    </x:row>
    <x:row r="1274" ht="23" customHeight="1">
      <x:c r="A1274" t="n">
        <x:v>32</x:v>
      </x:c>
      <x:c r="B1274" t="str">
        <x:v>主食</x:v>
      </x:c>
      <x:c r="C1274" t="str">
        <x:v>糙米饭</x:v>
      </x:c>
      <x:c r="D1274" t="n">
        <x:v>125</x:v>
      </x:c>
      <x:c r="E1274" t="n">
        <x:v>50</x:v>
      </x:c>
      <x:c r="F1274" s="10" t="str">
        <x:v>未煮干粮约重（按熟饭/生米≈2.6估算）</x:v>
      </x:c>
      <x:c r="G1274" s="10" t="str">
        <x:v>熟重</x:v>
      </x:c>
    </x:row>
    <x:row r="1275" ht="23" customHeight="1">
      <x:c r="A1275" t="n">
        <x:v>32</x:v>
      </x:c>
      <x:c r="B1275" t="str">
        <x:v>主食</x:v>
      </x:c>
      <x:c r="C1275" t="str">
        <x:v>红薯</x:v>
      </x:c>
      <x:c r="D1275" t="n">
        <x:v>95</x:v>
      </x:c>
      <x:c r="E1275" t="n">
        <x:v>100</x:v>
      </x:c>
      <x:c r="F1275" s="10" t="str">
        <x:v>鲜薯/玉米净重；考虑小幅损耗</x:v>
      </x:c>
      <x:c r="G1275" s="10" t="str">
        <x:v>蒸熟净重</x:v>
      </x:c>
    </x:row>
    <x:row r="1276" ht="23" customHeight="1">
      <x:c r="A1276" t="n">
        <x:v>32</x:v>
      </x:c>
      <x:c r="B1276" t="str">
        <x:v>主食</x:v>
      </x:c>
      <x:c r="C1276" t="str">
        <x:v>荞麦面</x:v>
      </x:c>
      <x:c r="D1276" t="n">
        <x:v>385</x:v>
      </x:c>
      <x:c r="E1276" t="n">
        <x:v>180</x:v>
      </x:c>
      <x:c r="F1276" s="10" t="str">
        <x:v>干粮约重（按熟面/干面≈2.1估算）</x:v>
      </x:c>
      <x:c r="G1276" s="10" t="str">
        <x:v>煮熟沥水重</x:v>
      </x:c>
    </x:row>
    <x:row r="1277" ht="23" customHeight="1">
      <x:c r="A1277" t="n">
        <x:v>32</x:v>
      </x:c>
      <x:c r="B1277" t="str">
        <x:v>主食</x:v>
      </x:c>
      <x:c r="C1277" t="str">
        <x:v>荞麦饭</x:v>
      </x:c>
      <x:c r="D1277" t="n">
        <x:v>520</x:v>
      </x:c>
      <x:c r="E1277" t="n">
        <x:v>200</x:v>
      </x:c>
      <x:c r="F1277" s="10" t="str">
        <x:v>未煮干粮约重（按熟饭/生米≈2.6估算）</x:v>
      </x:c>
      <x:c r="G1277" s="10" t="str">
        <x:v>熟重</x:v>
      </x:c>
    </x:row>
    <x:row r="1278" ht="23" customHeight="1">
      <x:c r="A1278" t="n">
        <x:v>32</x:v>
      </x:c>
      <x:c r="B1278" t="str">
        <x:v>主食</x:v>
      </x:c>
      <x:c r="C1278" t="str">
        <x:v>藜麦饭</x:v>
      </x:c>
      <x:c r="D1278" t="n">
        <x:v>285</x:v>
      </x:c>
      <x:c r="E1278" t="n">
        <x:v>110</x:v>
      </x:c>
      <x:c r="F1278" s="10" t="str">
        <x:v>未煮干粮约重（按熟饭/生米≈2.6估算）</x:v>
      </x:c>
      <x:c r="G1278" s="10" t="str">
        <x:v>熟重</x:v>
      </x:c>
    </x:row>
    <x:row r="1279" ht="23" customHeight="1">
      <x:c r="A1279" t="n">
        <x:v>32</x:v>
      </x:c>
      <x:c r="B1279" t="str">
        <x:v>油脂</x:v>
      </x:c>
      <x:c r="C1279" t="str">
        <x:v>烹调油</x:v>
      </x:c>
      <x:c r="D1279" t="n">
        <x:v>66</x:v>
      </x:c>
      <x:c r="E1279" t="n">
        <x:v>66</x:v>
      </x:c>
      <x:c r="F1279" s="10" t="str">
        <x:v>食用油；现有库存足够即可</x:v>
      </x:c>
      <x:c r="G1279" s="10" t="str">
        <x:v>实际用油重</x:v>
      </x:c>
    </x:row>
    <x:row r="1280" ht="23" customHeight="1">
      <x:c r="A1280" t="n">
        <x:v>32</x:v>
      </x:c>
      <x:c r="B1280" t="str">
        <x:v>海鲜</x:v>
      </x:c>
      <x:c r="C1280" t="str">
        <x:v>花蛤肉</x:v>
      </x:c>
      <x:c r="D1280" t="n">
        <x:v>190</x:v>
      </x:c>
      <x:c r="E1280" t="n">
        <x:v>210</x:v>
      </x:c>
      <x:c r="F1280" s="10" t="str">
        <x:v>食材净重+约8%余量；带壳或带骨采购需另折算</x:v>
      </x:c>
      <x:c r="G1280" s="10" t="str">
        <x:v>净肉生重</x:v>
      </x:c>
    </x:row>
    <x:row r="1281" ht="23" customHeight="1">
      <x:c r="A1281" t="n">
        <x:v>32</x:v>
      </x:c>
      <x:c r="B1281" t="str">
        <x:v>牛肉</x:v>
      </x:c>
      <x:c r="C1281" t="str">
        <x:v>牛腱子</x:v>
      </x:c>
      <x:c r="D1281" t="n">
        <x:v>165</x:v>
      </x:c>
      <x:c r="E1281" t="n">
        <x:v>180</x:v>
      </x:c>
      <x:c r="F1281" s="10" t="str">
        <x:v>食材净重+约8%余量</x:v>
      </x:c>
      <x:c r="G1281" s="10" t="str">
        <x:v>生重</x:v>
      </x:c>
    </x:row>
    <x:row r="1282" ht="23" customHeight="1">
      <x:c r="A1282" t="n">
        <x:v>32</x:v>
      </x:c>
      <x:c r="B1282" t="str">
        <x:v>猪肉</x:v>
      </x:c>
      <x:c r="C1282" t="str">
        <x:v>猪瘦肉</x:v>
      </x:c>
      <x:c r="D1282" t="n">
        <x:v>300</x:v>
      </x:c>
      <x:c r="E1282" t="n">
        <x:v>320</x:v>
      </x:c>
      <x:c r="F1282" s="10" t="str">
        <x:v>食材净重+约8%余量</x:v>
      </x:c>
      <x:c r="G1282" s="10" t="str">
        <x:v>生重</x:v>
      </x:c>
    </x:row>
    <x:row r="1283" ht="23" customHeight="1">
      <x:c r="A1283" t="n">
        <x:v>32</x:v>
      </x:c>
      <x:c r="B1283" t="str">
        <x:v>猪肉</x:v>
      </x:c>
      <x:c r="C1283" t="str">
        <x:v>猪里脊</x:v>
      </x:c>
      <x:c r="D1283" t="n">
        <x:v>165</x:v>
      </x:c>
      <x:c r="E1283" t="n">
        <x:v>180</x:v>
      </x:c>
      <x:c r="F1283" s="10" t="str">
        <x:v>食材净重+约8%余量</x:v>
      </x:c>
      <x:c r="G1283" s="10" t="str">
        <x:v>生重</x:v>
      </x:c>
    </x:row>
    <x:row r="1284" ht="23" customHeight="1">
      <x:c r="A1284" t="n">
        <x:v>32</x:v>
      </x:c>
      <x:c r="B1284" t="str">
        <x:v>禽肉</x:v>
      </x:c>
      <x:c r="C1284" t="str">
        <x:v>鸡胸肉</x:v>
      </x:c>
      <x:c r="D1284" t="n">
        <x:v>490</x:v>
      </x:c>
      <x:c r="E1284" t="n">
        <x:v>530</x:v>
      </x:c>
      <x:c r="F1284" s="10" t="str">
        <x:v>食材净重+约8%余量</x:v>
      </x:c>
      <x:c r="G1284" s="10" t="str">
        <x:v>生重</x:v>
      </x:c>
    </x:row>
    <x:row r="1285" ht="23" customHeight="1">
      <x:c r="A1285" t="n">
        <x:v>32</x:v>
      </x:c>
      <x:c r="B1285" t="str">
        <x:v>禽肉</x:v>
      </x:c>
      <x:c r="C1285" t="str">
        <x:v>鸡里脊肉</x:v>
      </x:c>
      <x:c r="D1285" t="n">
        <x:v>165</x:v>
      </x:c>
      <x:c r="E1285" t="n">
        <x:v>180</x:v>
      </x:c>
      <x:c r="F1285" s="10" t="str">
        <x:v>食材净重+约8%余量</x:v>
      </x:c>
      <x:c r="G1285" s="10" t="str">
        <x:v>生重</x:v>
      </x:c>
    </x:row>
    <x:row r="1286" ht="23" customHeight="1">
      <x:c r="A1286" t="n">
        <x:v>32</x:v>
      </x:c>
      <x:c r="B1286" t="str">
        <x:v>菌菇</x:v>
      </x:c>
      <x:c r="C1286" t="str">
        <x:v>口蘑</x:v>
      </x:c>
      <x:c r="D1286" t="n">
        <x:v>110</x:v>
      </x:c>
      <x:c r="E1286" t="n">
        <x:v>120</x:v>
      </x:c>
      <x:c r="F1286" s="10" t="str">
        <x:v>食材净重+约8%余量</x:v>
      </x:c>
      <x:c r="G1286" s="10" t="str">
        <x:v>生重</x:v>
      </x:c>
    </x:row>
    <x:row r="1287" ht="23" customHeight="1">
      <x:c r="A1287" t="n">
        <x:v>32</x:v>
      </x:c>
      <x:c r="B1287" t="str">
        <x:v>菌菇</x:v>
      </x:c>
      <x:c r="C1287" t="str">
        <x:v>泡发木耳</x:v>
      </x:c>
      <x:c r="D1287" t="n">
        <x:v>265</x:v>
      </x:c>
      <x:c r="E1287" t="n">
        <x:v>290</x:v>
      </x:c>
      <x:c r="F1287" s="10" t="str">
        <x:v>食材净重+约8%余量</x:v>
      </x:c>
      <x:c r="G1287" s="10" t="str">
        <x:v>泡发沥水重</x:v>
      </x:c>
    </x:row>
    <x:row r="1288" ht="23" customHeight="1">
      <x:c r="A1288" t="n">
        <x:v>32</x:v>
      </x:c>
      <x:c r="B1288" t="str">
        <x:v>菌菇</x:v>
      </x:c>
      <x:c r="C1288" t="str">
        <x:v>金针菇</x:v>
      </x:c>
      <x:c r="D1288" t="n">
        <x:v>125</x:v>
      </x:c>
      <x:c r="E1288" t="n">
        <x:v>140</x:v>
      </x:c>
      <x:c r="F1288" s="10" t="str">
        <x:v>食材净重+约8%余量</x:v>
      </x:c>
      <x:c r="G1288" s="10" t="str">
        <x:v>生重</x:v>
      </x:c>
    </x:row>
    <x:row r="1289" ht="23" customHeight="1">
      <x:c r="A1289" t="n">
        <x:v>32</x:v>
      </x:c>
      <x:c r="B1289" t="str">
        <x:v>菌菇</x:v>
      </x:c>
      <x:c r="C1289" t="str">
        <x:v>香菇</x:v>
      </x:c>
      <x:c r="D1289" t="n">
        <x:v>280</x:v>
      </x:c>
      <x:c r="E1289" t="n">
        <x:v>300</x:v>
      </x:c>
      <x:c r="F1289" s="10" t="str">
        <x:v>食材净重+约8%余量</x:v>
      </x:c>
      <x:c r="G1289" s="10" t="str">
        <x:v>生重</x:v>
      </x:c>
    </x:row>
    <x:row r="1290" ht="23" customHeight="1">
      <x:c r="A1290" t="n">
        <x:v>32</x:v>
      </x:c>
      <x:c r="B1290" t="str">
        <x:v>蔬菜</x:v>
      </x:c>
      <x:c r="C1290" t="str">
        <x:v>冬瓜</x:v>
      </x:c>
      <x:c r="D1290" t="n">
        <x:v>315</x:v>
      </x:c>
      <x:c r="E1290" t="n">
        <x:v>340</x:v>
      </x:c>
      <x:c r="F1290" s="10" t="str">
        <x:v>食材净重+约8%余量</x:v>
      </x:c>
      <x:c r="G1290" s="10" t="str">
        <x:v>生重</x:v>
      </x:c>
    </x:row>
    <x:row r="1291" ht="23" customHeight="1">
      <x:c r="A1291" t="n">
        <x:v>32</x:v>
      </x:c>
      <x:c r="B1291" t="str">
        <x:v>蔬菜</x:v>
      </x:c>
      <x:c r="C1291" t="str">
        <x:v>娃娃菜</x:v>
      </x:c>
      <x:c r="D1291" t="n">
        <x:v>190</x:v>
      </x:c>
      <x:c r="E1291" t="n">
        <x:v>210</x:v>
      </x:c>
      <x:c r="F1291" s="10" t="str">
        <x:v>食材净重+约8%余量</x:v>
      </x:c>
      <x:c r="G1291" s="10" t="str">
        <x:v>生重</x:v>
      </x:c>
    </x:row>
    <x:row r="1292" ht="23" customHeight="1">
      <x:c r="A1292" t="n">
        <x:v>32</x:v>
      </x:c>
      <x:c r="B1292" t="str">
        <x:v>蔬菜</x:v>
      </x:c>
      <x:c r="C1292" t="str">
        <x:v>小白菜</x:v>
      </x:c>
      <x:c r="D1292" t="n">
        <x:v>140</x:v>
      </x:c>
      <x:c r="E1292" t="n">
        <x:v>150</x:v>
      </x:c>
      <x:c r="F1292" s="10" t="str">
        <x:v>食材净重+约8%余量</x:v>
      </x:c>
      <x:c r="G1292" s="10" t="str">
        <x:v>生重</x:v>
      </x:c>
    </x:row>
    <x:row r="1293" ht="23" customHeight="1">
      <x:c r="A1293" t="n">
        <x:v>32</x:v>
      </x:c>
      <x:c r="B1293" t="str">
        <x:v>蔬菜</x:v>
      </x:c>
      <x:c r="C1293" t="str">
        <x:v>彩椒</x:v>
      </x:c>
      <x:c r="D1293" t="n">
        <x:v>350</x:v>
      </x:c>
      <x:c r="E1293" t="n">
        <x:v>380</x:v>
      </x:c>
      <x:c r="F1293" s="10" t="str">
        <x:v>食材净重+约8%余量</x:v>
      </x:c>
      <x:c r="G1293" s="10" t="str">
        <x:v>生重</x:v>
      </x:c>
    </x:row>
    <x:row r="1294" ht="23" customHeight="1">
      <x:c r="A1294" t="n">
        <x:v>32</x:v>
      </x:c>
      <x:c r="B1294" t="str">
        <x:v>蔬菜</x:v>
      </x:c>
      <x:c r="C1294" t="str">
        <x:v>洋葱</x:v>
      </x:c>
      <x:c r="D1294" t="n">
        <x:v>110</x:v>
      </x:c>
      <x:c r="E1294" t="n">
        <x:v>120</x:v>
      </x:c>
      <x:c r="F1294" s="10" t="str">
        <x:v>食材净重+约8%余量</x:v>
      </x:c>
      <x:c r="G1294" s="10" t="str">
        <x:v>生重</x:v>
      </x:c>
    </x:row>
    <x:row r="1295" ht="23" customHeight="1">
      <x:c r="A1295" t="n">
        <x:v>32</x:v>
      </x:c>
      <x:c r="B1295" t="str">
        <x:v>蔬菜</x:v>
      </x:c>
      <x:c r="C1295" t="str">
        <x:v>生菜</x:v>
      </x:c>
      <x:c r="D1295" t="n">
        <x:v>140</x:v>
      </x:c>
      <x:c r="E1295" t="n">
        <x:v>150</x:v>
      </x:c>
      <x:c r="F1295" s="10" t="str">
        <x:v>食材净重+约8%余量</x:v>
      </x:c>
      <x:c r="G1295" s="10" t="str">
        <x:v>生重</x:v>
      </x:c>
    </x:row>
    <x:row r="1296" ht="23" customHeight="1">
      <x:c r="A1296" t="n">
        <x:v>32</x:v>
      </x:c>
      <x:c r="B1296" t="str">
        <x:v>蔬菜</x:v>
      </x:c>
      <x:c r="C1296" t="str">
        <x:v>番茄</x:v>
      </x:c>
      <x:c r="D1296" t="n">
        <x:v>470</x:v>
      </x:c>
      <x:c r="E1296" t="n">
        <x:v>510</x:v>
      </x:c>
      <x:c r="F1296" s="10" t="str">
        <x:v>食材净重+约8%余量</x:v>
      </x:c>
      <x:c r="G1296" s="10" t="str">
        <x:v>生重</x:v>
      </x:c>
    </x:row>
    <x:row r="1297" ht="23" customHeight="1">
      <x:c r="A1297" t="n">
        <x:v>32</x:v>
      </x:c>
      <x:c r="B1297" t="str">
        <x:v>蔬菜</x:v>
      </x:c>
      <x:c r="C1297" t="str">
        <x:v>白萝卜</x:v>
      </x:c>
      <x:c r="D1297" t="n">
        <x:v>250</x:v>
      </x:c>
      <x:c r="E1297" t="n">
        <x:v>270</x:v>
      </x:c>
      <x:c r="F1297" s="10" t="str">
        <x:v>食材净重+约8%余量</x:v>
      </x:c>
      <x:c r="G1297" s="10" t="str">
        <x:v>生重</x:v>
      </x:c>
    </x:row>
    <x:row r="1298" ht="23" customHeight="1">
      <x:c r="A1298" t="n">
        <x:v>32</x:v>
      </x:c>
      <x:c r="B1298" t="str">
        <x:v>蔬菜</x:v>
      </x:c>
      <x:c r="C1298" t="str">
        <x:v>绿豆芽</x:v>
      </x:c>
      <x:c r="D1298" t="n">
        <x:v>155</x:v>
      </x:c>
      <x:c r="E1298" t="n">
        <x:v>170</x:v>
      </x:c>
      <x:c r="F1298" s="10" t="str">
        <x:v>食材净重+约8%余量</x:v>
      </x:c>
      <x:c r="G1298" s="10" t="str">
        <x:v>生重</x:v>
      </x:c>
    </x:row>
    <x:row r="1299" ht="23" customHeight="1">
      <x:c r="A1299" t="n">
        <x:v>32</x:v>
      </x:c>
      <x:c r="B1299" t="str">
        <x:v>蔬菜</x:v>
      </x:c>
      <x:c r="C1299" t="str">
        <x:v>芦笋</x:v>
      </x:c>
      <x:c r="D1299" t="n">
        <x:v>175</x:v>
      </x:c>
      <x:c r="E1299" t="n">
        <x:v>190</x:v>
      </x:c>
      <x:c r="F1299" s="10" t="str">
        <x:v>食材净重+约8%余量</x:v>
      </x:c>
      <x:c r="G1299" s="10" t="str">
        <x:v>生重</x:v>
      </x:c>
    </x:row>
    <x:row r="1300" ht="23" customHeight="1">
      <x:c r="A1300" t="n">
        <x:v>32</x:v>
      </x:c>
      <x:c r="B1300" t="str">
        <x:v>蔬菜</x:v>
      </x:c>
      <x:c r="C1300" t="str">
        <x:v>莴笋</x:v>
      </x:c>
      <x:c r="D1300" t="n">
        <x:v>155</x:v>
      </x:c>
      <x:c r="E1300" t="n">
        <x:v>170</x:v>
      </x:c>
      <x:c r="F1300" s="10" t="str">
        <x:v>食材净重+约8%余量</x:v>
      </x:c>
      <x:c r="G1300" s="10" t="str">
        <x:v>生重</x:v>
      </x:c>
    </x:row>
    <x:row r="1301" ht="23" customHeight="1">
      <x:c r="A1301" t="n">
        <x:v>32</x:v>
      </x:c>
      <x:c r="B1301" t="str">
        <x:v>蔬菜</x:v>
      </x:c>
      <x:c r="C1301" t="str">
        <x:v>菜心</x:v>
      </x:c>
      <x:c r="D1301" t="n">
        <x:v>190</x:v>
      </x:c>
      <x:c r="E1301" t="n">
        <x:v>210</x:v>
      </x:c>
      <x:c r="F1301" s="10" t="str">
        <x:v>食材净重+约8%余量</x:v>
      </x:c>
      <x:c r="G1301" s="10" t="str">
        <x:v>生重</x:v>
      </x:c>
    </x:row>
    <x:row r="1302" ht="23" customHeight="1">
      <x:c r="A1302" t="n">
        <x:v>32</x:v>
      </x:c>
      <x:c r="B1302" t="str">
        <x:v>蔬菜</x:v>
      </x:c>
      <x:c r="C1302" t="str">
        <x:v>菠菜</x:v>
      </x:c>
      <x:c r="D1302" t="n">
        <x:v>380</x:v>
      </x:c>
      <x:c r="E1302" t="n">
        <x:v>410</x:v>
      </x:c>
      <x:c r="F1302" s="10" t="str">
        <x:v>食材净重+约8%余量</x:v>
      </x:c>
      <x:c r="G1302" s="10" t="str">
        <x:v>生重</x:v>
      </x:c>
    </x:row>
    <x:row r="1303" ht="23" customHeight="1">
      <x:c r="A1303" t="n">
        <x:v>32</x:v>
      </x:c>
      <x:c r="B1303" t="str">
        <x:v>蔬菜</x:v>
      </x:c>
      <x:c r="C1303" t="str">
        <x:v>西兰花</x:v>
      </x:c>
      <x:c r="D1303" t="n">
        <x:v>175</x:v>
      </x:c>
      <x:c r="E1303" t="n">
        <x:v>190</x:v>
      </x:c>
      <x:c r="F1303" s="10" t="str">
        <x:v>食材净重+约8%余量</x:v>
      </x:c>
      <x:c r="G1303" s="10" t="str">
        <x:v>生重</x:v>
      </x:c>
    </x:row>
    <x:row r="1304" ht="23" customHeight="1">
      <x:c r="A1304" t="n">
        <x:v>32</x:v>
      </x:c>
      <x:c r="B1304" t="str">
        <x:v>蔬菜</x:v>
      </x:c>
      <x:c r="C1304" t="str">
        <x:v>黄瓜</x:v>
      </x:c>
      <x:c r="D1304" t="n">
        <x:v>265</x:v>
      </x:c>
      <x:c r="E1304" t="n">
        <x:v>290</x:v>
      </x:c>
      <x:c r="F1304" s="10" t="str">
        <x:v>食材净重+约8%余量</x:v>
      </x:c>
      <x:c r="G1304" s="10" t="str">
        <x:v>生重</x:v>
      </x:c>
    </x:row>
    <x:row r="1305" ht="23" customHeight="1">
      <x:c r="A1305" t="n">
        <x:v>32</x:v>
      </x:c>
      <x:c r="B1305" t="str">
        <x:v>豆蛋</x:v>
      </x:c>
      <x:c r="C1305" t="str">
        <x:v>北豆腐</x:v>
      </x:c>
      <x:c r="D1305" t="n">
        <x:v>310</x:v>
      </x:c>
      <x:c r="E1305" t="n">
        <x:v>330</x:v>
      </x:c>
      <x:c r="F1305" s="10" t="str">
        <x:v>食材净重+约8%余量</x:v>
      </x:c>
      <x:c r="G1305" s="10" t="str">
        <x:v>净重</x:v>
      </x:c>
    </x:row>
    <x:row r="1306" ht="23" customHeight="1">
      <x:c r="A1306" t="n">
        <x:v>32</x:v>
      </x:c>
      <x:c r="B1306" t="str">
        <x:v>豆蛋</x:v>
      </x:c>
      <x:c r="C1306" t="str">
        <x:v>嫩豆腐</x:v>
      </x:c>
      <x:c r="D1306" t="n">
        <x:v>135</x:v>
      </x:c>
      <x:c r="E1306" t="n">
        <x:v>150</x:v>
      </x:c>
      <x:c r="F1306" s="10" t="str">
        <x:v>食材净重+约8%余量</x:v>
      </x:c>
      <x:c r="G1306" s="10" t="str">
        <x:v>净重</x:v>
      </x:c>
    </x:row>
    <x:row r="1307" ht="23" customHeight="1">
      <x:c r="A1307" t="n">
        <x:v>32</x:v>
      </x:c>
      <x:c r="B1307" t="str">
        <x:v>豆蛋</x:v>
      </x:c>
      <x:c r="C1307" t="str">
        <x:v>鸡蛋</x:v>
      </x:c>
      <x:c r="D1307" t="n">
        <x:v>110</x:v>
      </x:c>
      <x:c r="E1307" t="n">
        <x:v>120</x:v>
      </x:c>
      <x:c r="F1307" s="10" t="str">
        <x:v>食材净重+约8%余量</x:v>
      </x:c>
      <x:c r="G1307" s="10" t="str">
        <x:v>去壳可食重</x:v>
      </x:c>
    </x:row>
    <x:row r="1308" ht="23" customHeight="1">
      <x:c r="A1308" t="n">
        <x:v>32</x:v>
      </x:c>
      <x:c r="B1308" t="str">
        <x:v>鱼类</x:v>
      </x:c>
      <x:c r="C1308" t="str">
        <x:v>巴沙鱼</x:v>
      </x:c>
      <x:c r="D1308" t="n">
        <x:v>360</x:v>
      </x:c>
      <x:c r="E1308" t="n">
        <x:v>390</x:v>
      </x:c>
      <x:c r="F1308" s="10" t="str">
        <x:v>食材净重+约8%余量</x:v>
      </x:c>
      <x:c r="G1308" s="10" t="str">
        <x:v>净鱼肉生重</x:v>
      </x:c>
    </x:row>
    <x:row r="1309" ht="23" customHeight="1">
      <x:c r="A1309" t="n">
        <x:v>32</x:v>
      </x:c>
      <x:c r="B1309" t="str">
        <x:v>鱼类</x:v>
      </x:c>
      <x:c r="C1309" t="str">
        <x:v>鲈鱼</x:v>
      </x:c>
      <x:c r="D1309" t="n">
        <x:v>200</x:v>
      </x:c>
      <x:c r="E1309" t="n">
        <x:v>220</x:v>
      </x:c>
      <x:c r="F1309" s="10" t="str">
        <x:v>食材净重+约8%余量；带壳或带骨采购需另折算</x:v>
      </x:c>
      <x:c r="G1309" s="10" t="str">
        <x:v>净鱼肉生重</x:v>
      </x:c>
    </x:row>
    <x:row r="1310" ht="23" customHeight="1">
      <x:c r="A1310" t="n">
        <x:v>32</x:v>
      </x:c>
      <x:c r="B1310" t="str">
        <x:v>鱼类</x:v>
      </x:c>
      <x:c r="C1310" t="str">
        <x:v>鳕鱼</x:v>
      </x:c>
      <x:c r="D1310" t="n">
        <x:v>200</x:v>
      </x:c>
      <x:c r="E1310" t="n">
        <x:v>220</x:v>
      </x:c>
      <x:c r="F1310" s="10" t="str">
        <x:v>食材净重+约8%余量；带壳或带骨采购需另折算</x:v>
      </x:c>
      <x:c r="G1310" s="10" t="str">
        <x:v>净鱼肉生重</x:v>
      </x:c>
    </x:row>
    <x:row r="1311" ht="23" customHeight="1">
      <x:c r="A1311" t="n">
        <x:v>33</x:v>
      </x:c>
      <x:c r="B1311" t="str">
        <x:v>主食</x:v>
      </x:c>
      <x:c r="C1311" t="str">
        <x:v>全麦面</x:v>
      </x:c>
      <x:c r="D1311" t="n">
        <x:v>80</x:v>
      </x:c>
      <x:c r="E1311" t="n">
        <x:v>40</x:v>
      </x:c>
      <x:c r="F1311" s="10" t="str">
        <x:v>干粮约重（按熟面/干面≈2.1估算）</x:v>
      </x:c>
      <x:c r="G1311" s="10" t="str">
        <x:v>煮熟沥水重</x:v>
      </x:c>
    </x:row>
    <x:row r="1312" ht="23" customHeight="1">
      <x:c r="A1312" t="n">
        <x:v>33</x:v>
      </x:c>
      <x:c r="B1312" t="str">
        <x:v>主食</x:v>
      </x:c>
      <x:c r="C1312" t="str">
        <x:v>杂粮饭</x:v>
      </x:c>
      <x:c r="D1312" t="n">
        <x:v>315</x:v>
      </x:c>
      <x:c r="E1312" t="n">
        <x:v>120</x:v>
      </x:c>
      <x:c r="F1312" s="10" t="str">
        <x:v>未煮干粮约重（按熟饭/生米≈2.6估算）</x:v>
      </x:c>
      <x:c r="G1312" s="10" t="str">
        <x:v>熟重</x:v>
      </x:c>
    </x:row>
    <x:row r="1313" ht="23" customHeight="1">
      <x:c r="A1313" t="n">
        <x:v>33</x:v>
      </x:c>
      <x:c r="B1313" t="str">
        <x:v>主食</x:v>
      </x:c>
      <x:c r="C1313" t="str">
        <x:v>燕麦饭</x:v>
      </x:c>
      <x:c r="D1313" t="n">
        <x:v>410</x:v>
      </x:c>
      <x:c r="E1313" t="n">
        <x:v>160</x:v>
      </x:c>
      <x:c r="F1313" s="10" t="str">
        <x:v>未煮干粮约重（按熟饭/生米≈2.6估算）</x:v>
      </x:c>
      <x:c r="G1313" s="10" t="str">
        <x:v>熟重</x:v>
      </x:c>
    </x:row>
    <x:row r="1314" ht="23" customHeight="1">
      <x:c r="A1314" t="n">
        <x:v>33</x:v>
      </x:c>
      <x:c r="B1314" t="str">
        <x:v>主食</x:v>
      </x:c>
      <x:c r="C1314" t="str">
        <x:v>糙米饭</x:v>
      </x:c>
      <x:c r="D1314" t="n">
        <x:v>275</x:v>
      </x:c>
      <x:c r="E1314" t="n">
        <x:v>110</x:v>
      </x:c>
      <x:c r="F1314" s="10" t="str">
        <x:v>未煮干粮约重（按熟饭/生米≈2.6估算）</x:v>
      </x:c>
      <x:c r="G1314" s="10" t="str">
        <x:v>熟重</x:v>
      </x:c>
    </x:row>
    <x:row r="1315" ht="23" customHeight="1">
      <x:c r="A1315" t="n">
        <x:v>33</x:v>
      </x:c>
      <x:c r="B1315" t="str">
        <x:v>主食</x:v>
      </x:c>
      <x:c r="C1315" t="str">
        <x:v>红薯</x:v>
      </x:c>
      <x:c r="D1315" t="n">
        <x:v>95</x:v>
      </x:c>
      <x:c r="E1315" t="n">
        <x:v>100</x:v>
      </x:c>
      <x:c r="F1315" s="10" t="str">
        <x:v>鲜薯/玉米净重；考虑小幅损耗</x:v>
      </x:c>
      <x:c r="G1315" s="10" t="str">
        <x:v>蒸熟净重</x:v>
      </x:c>
    </x:row>
    <x:row r="1316" ht="23" customHeight="1">
      <x:c r="A1316" t="n">
        <x:v>33</x:v>
      </x:c>
      <x:c r="B1316" t="str">
        <x:v>主食</x:v>
      </x:c>
      <x:c r="C1316" t="str">
        <x:v>荞麦面</x:v>
      </x:c>
      <x:c r="D1316" t="n">
        <x:v>165</x:v>
      </x:c>
      <x:c r="E1316" t="n">
        <x:v>80</x:v>
      </x:c>
      <x:c r="F1316" s="10" t="str">
        <x:v>干粮约重（按熟面/干面≈2.1估算）</x:v>
      </x:c>
      <x:c r="G1316" s="10" t="str">
        <x:v>煮熟沥水重</x:v>
      </x:c>
    </x:row>
    <x:row r="1317" ht="23" customHeight="1">
      <x:c r="A1317" t="n">
        <x:v>33</x:v>
      </x:c>
      <x:c r="B1317" t="str">
        <x:v>主食</x:v>
      </x:c>
      <x:c r="C1317" t="str">
        <x:v>荞麦饭</x:v>
      </x:c>
      <x:c r="D1317" t="n">
        <x:v>165</x:v>
      </x:c>
      <x:c r="E1317" t="n">
        <x:v>60</x:v>
      </x:c>
      <x:c r="F1317" s="10" t="str">
        <x:v>未煮干粮约重（按熟饭/生米≈2.6估算）</x:v>
      </x:c>
      <x:c r="G1317" s="10" t="str">
        <x:v>熟重</x:v>
      </x:c>
    </x:row>
    <x:row r="1318" ht="23" customHeight="1">
      <x:c r="A1318" t="n">
        <x:v>33</x:v>
      </x:c>
      <x:c r="B1318" t="str">
        <x:v>主食</x:v>
      </x:c>
      <x:c r="C1318" t="str">
        <x:v>藜麦饭</x:v>
      </x:c>
      <x:c r="D1318" t="n">
        <x:v>220</x:v>
      </x:c>
      <x:c r="E1318" t="n">
        <x:v>80</x:v>
      </x:c>
      <x:c r="F1318" s="10" t="str">
        <x:v>未煮干粮约重（按熟饭/生米≈2.6估算）</x:v>
      </x:c>
      <x:c r="G1318" s="10" t="str">
        <x:v>熟重</x:v>
      </x:c>
    </x:row>
    <x:row r="1319" ht="23" customHeight="1">
      <x:c r="A1319" t="n">
        <x:v>33</x:v>
      </x:c>
      <x:c r="B1319" t="str">
        <x:v>低主食</x:v>
      </x:c>
      <x:c r="C1319" t="str">
        <x:v>魔芋丝</x:v>
      </x:c>
      <x:c r="D1319" t="n">
        <x:v>130</x:v>
      </x:c>
      <x:c r="E1319" t="n">
        <x:v>140</x:v>
      </x:c>
      <x:c r="F1319" s="10" t="str">
        <x:v>袋装沥水净重</x:v>
      </x:c>
      <x:c r="G1319" s="10" t="str">
        <x:v>沥水重</x:v>
      </x:c>
    </x:row>
    <x:row r="1320" ht="23" customHeight="1">
      <x:c r="A1320" t="n">
        <x:v>33</x:v>
      </x:c>
      <x:c r="B1320" t="str">
        <x:v>油脂</x:v>
      </x:c>
      <x:c r="C1320" t="str">
        <x:v>烹调油</x:v>
      </x:c>
      <x:c r="D1320" t="n">
        <x:v>68</x:v>
      </x:c>
      <x:c r="E1320" t="n">
        <x:v>68</x:v>
      </x:c>
      <x:c r="F1320" s="10" t="str">
        <x:v>食用油；现有库存足够即可</x:v>
      </x:c>
      <x:c r="G1320" s="10" t="str">
        <x:v>实际用油重</x:v>
      </x:c>
    </x:row>
    <x:row r="1321" ht="23" customHeight="1">
      <x:c r="A1321" t="n">
        <x:v>33</x:v>
      </x:c>
      <x:c r="B1321" t="str">
        <x:v>海鲜</x:v>
      </x:c>
      <x:c r="C1321" t="str">
        <x:v>虾仁</x:v>
      </x:c>
      <x:c r="D1321" t="n">
        <x:v>190</x:v>
      </x:c>
      <x:c r="E1321" t="n">
        <x:v>210</x:v>
      </x:c>
      <x:c r="F1321" s="10" t="str">
        <x:v>食材净重+约8%余量</x:v>
      </x:c>
      <x:c r="G1321" s="10" t="str">
        <x:v>生重</x:v>
      </x:c>
    </x:row>
    <x:row r="1322" ht="23" customHeight="1">
      <x:c r="A1322" t="n">
        <x:v>33</x:v>
      </x:c>
      <x:c r="B1322" t="str">
        <x:v>牛肉</x:v>
      </x:c>
      <x:c r="C1322" t="str">
        <x:v>牛腱子</x:v>
      </x:c>
      <x:c r="D1322" t="n">
        <x:v>165</x:v>
      </x:c>
      <x:c r="E1322" t="n">
        <x:v>180</x:v>
      </x:c>
      <x:c r="F1322" s="10" t="str">
        <x:v>食材净重+约8%余量</x:v>
      </x:c>
      <x:c r="G1322" s="10" t="str">
        <x:v>生重</x:v>
      </x:c>
    </x:row>
    <x:row r="1323" ht="23" customHeight="1">
      <x:c r="A1323" t="n">
        <x:v>33</x:v>
      </x:c>
      <x:c r="B1323" t="str">
        <x:v>牛肉</x:v>
      </x:c>
      <x:c r="C1323" t="str">
        <x:v>瘦牛肉</x:v>
      </x:c>
      <x:c r="D1323" t="n">
        <x:v>495</x:v>
      </x:c>
      <x:c r="E1323" t="n">
        <x:v>530</x:v>
      </x:c>
      <x:c r="F1323" s="10" t="str">
        <x:v>食材净重+约8%余量</x:v>
      </x:c>
      <x:c r="G1323" s="10" t="str">
        <x:v>生重</x:v>
      </x:c>
    </x:row>
    <x:row r="1324" ht="23" customHeight="1">
      <x:c r="A1324" t="n">
        <x:v>33</x:v>
      </x:c>
      <x:c r="B1324" t="str">
        <x:v>猪肉</x:v>
      </x:c>
      <x:c r="C1324" t="str">
        <x:v>猪瘦肉</x:v>
      </x:c>
      <x:c r="D1324" t="n">
        <x:v>320</x:v>
      </x:c>
      <x:c r="E1324" t="n">
        <x:v>350</x:v>
      </x:c>
      <x:c r="F1324" s="10" t="str">
        <x:v>食材净重+约8%余量</x:v>
      </x:c>
      <x:c r="G1324" s="10" t="str">
        <x:v>生重</x:v>
      </x:c>
    </x:row>
    <x:row r="1325" ht="23" customHeight="1">
      <x:c r="A1325" t="n">
        <x:v>33</x:v>
      </x:c>
      <x:c r="B1325" t="str">
        <x:v>猪肉</x:v>
      </x:c>
      <x:c r="C1325" t="str">
        <x:v>猪里脊</x:v>
      </x:c>
      <x:c r="D1325" t="n">
        <x:v>170</x:v>
      </x:c>
      <x:c r="E1325" t="n">
        <x:v>180</x:v>
      </x:c>
      <x:c r="F1325" s="10" t="str">
        <x:v>食材净重+约8%余量</x:v>
      </x:c>
      <x:c r="G1325" s="10" t="str">
        <x:v>生重</x:v>
      </x:c>
    </x:row>
    <x:row r="1326" ht="23" customHeight="1">
      <x:c r="A1326" t="n">
        <x:v>33</x:v>
      </x:c>
      <x:c r="B1326" t="str">
        <x:v>禽肉</x:v>
      </x:c>
      <x:c r="C1326" t="str">
        <x:v>去皮鸡腿肉</x:v>
      </x:c>
      <x:c r="D1326" t="n">
        <x:v>155</x:v>
      </x:c>
      <x:c r="E1326" t="n">
        <x:v>170</x:v>
      </x:c>
      <x:c r="F1326" s="10" t="str">
        <x:v>食材净重+约8%余量</x:v>
      </x:c>
      <x:c r="G1326" s="10" t="str">
        <x:v>生重</x:v>
      </x:c>
    </x:row>
    <x:row r="1327" ht="23" customHeight="1">
      <x:c r="A1327" t="n">
        <x:v>33</x:v>
      </x:c>
      <x:c r="B1327" t="str">
        <x:v>禽肉</x:v>
      </x:c>
      <x:c r="C1327" t="str">
        <x:v>鸡胸肉</x:v>
      </x:c>
      <x:c r="D1327" t="n">
        <x:v>335</x:v>
      </x:c>
      <x:c r="E1327" t="n">
        <x:v>360</x:v>
      </x:c>
      <x:c r="F1327" s="10" t="str">
        <x:v>食材净重+约8%余量</x:v>
      </x:c>
      <x:c r="G1327" s="10" t="str">
        <x:v>生重</x:v>
      </x:c>
    </x:row>
    <x:row r="1328" ht="23" customHeight="1">
      <x:c r="A1328" t="n">
        <x:v>33</x:v>
      </x:c>
      <x:c r="B1328" t="str">
        <x:v>菌菇</x:v>
      </x:c>
      <x:c r="C1328" t="str">
        <x:v>杏鲍菇</x:v>
      </x:c>
      <x:c r="D1328" t="n">
        <x:v>265</x:v>
      </x:c>
      <x:c r="E1328" t="n">
        <x:v>290</x:v>
      </x:c>
      <x:c r="F1328" s="10" t="str">
        <x:v>食材净重+约8%余量</x:v>
      </x:c>
      <x:c r="G1328" s="10" t="str">
        <x:v>生重</x:v>
      </x:c>
    </x:row>
    <x:row r="1329" ht="23" customHeight="1">
      <x:c r="A1329" t="n">
        <x:v>33</x:v>
      </x:c>
      <x:c r="B1329" t="str">
        <x:v>菌菇</x:v>
      </x:c>
      <x:c r="C1329" t="str">
        <x:v>金针菇</x:v>
      </x:c>
      <x:c r="D1329" t="n">
        <x:v>295</x:v>
      </x:c>
      <x:c r="E1329" t="n">
        <x:v>320</x:v>
      </x:c>
      <x:c r="F1329" s="10" t="str">
        <x:v>食材净重+约8%余量</x:v>
      </x:c>
      <x:c r="G1329" s="10" t="str">
        <x:v>生重</x:v>
      </x:c>
    </x:row>
    <x:row r="1330" ht="23" customHeight="1">
      <x:c r="A1330" t="n">
        <x:v>33</x:v>
      </x:c>
      <x:c r="B1330" t="str">
        <x:v>菌菇</x:v>
      </x:c>
      <x:c r="C1330" t="str">
        <x:v>香菇</x:v>
      </x:c>
      <x:c r="D1330" t="n">
        <x:v>435</x:v>
      </x:c>
      <x:c r="E1330" t="n">
        <x:v>470</x:v>
      </x:c>
      <x:c r="F1330" s="10" t="str">
        <x:v>食材净重+约8%余量</x:v>
      </x:c>
      <x:c r="G1330" s="10" t="str">
        <x:v>生重</x:v>
      </x:c>
    </x:row>
    <x:row r="1331" ht="23" customHeight="1">
      <x:c r="A1331" t="n">
        <x:v>33</x:v>
      </x:c>
      <x:c r="B1331" t="str">
        <x:v>蔬菜</x:v>
      </x:c>
      <x:c r="C1331" t="str">
        <x:v>小白菜</x:v>
      </x:c>
      <x:c r="D1331" t="n">
        <x:v>685</x:v>
      </x:c>
      <x:c r="E1331" t="n">
        <x:v>740</x:v>
      </x:c>
      <x:c r="F1331" s="10" t="str">
        <x:v>食材净重+约8%余量</x:v>
      </x:c>
      <x:c r="G1331" s="10" t="str">
        <x:v>生重</x:v>
      </x:c>
    </x:row>
    <x:row r="1332" ht="23" customHeight="1">
      <x:c r="A1332" t="n">
        <x:v>33</x:v>
      </x:c>
      <x:c r="B1332" t="str">
        <x:v>蔬菜</x:v>
      </x:c>
      <x:c r="C1332" t="str">
        <x:v>彩椒</x:v>
      </x:c>
      <x:c r="D1332" t="n">
        <x:v>155</x:v>
      </x:c>
      <x:c r="E1332" t="n">
        <x:v>170</x:v>
      </x:c>
      <x:c r="F1332" s="10" t="str">
        <x:v>食材净重+约8%余量</x:v>
      </x:c>
      <x:c r="G1332" s="10" t="str">
        <x:v>生重</x:v>
      </x:c>
    </x:row>
    <x:row r="1333" ht="23" customHeight="1">
      <x:c r="A1333" t="n">
        <x:v>33</x:v>
      </x:c>
      <x:c r="B1333" t="str">
        <x:v>蔬菜</x:v>
      </x:c>
      <x:c r="C1333" t="str">
        <x:v>洋葱</x:v>
      </x:c>
      <x:c r="D1333" t="n">
        <x:v>155</x:v>
      </x:c>
      <x:c r="E1333" t="n">
        <x:v>170</x:v>
      </x:c>
      <x:c r="F1333" s="10" t="str">
        <x:v>食材净重+约8%余量</x:v>
      </x:c>
      <x:c r="G1333" s="10" t="str">
        <x:v>生重</x:v>
      </x:c>
    </x:row>
    <x:row r="1334" ht="23" customHeight="1">
      <x:c r="A1334" t="n">
        <x:v>33</x:v>
      </x:c>
      <x:c r="B1334" t="str">
        <x:v>蔬菜</x:v>
      </x:c>
      <x:c r="C1334" t="str">
        <x:v>番茄</x:v>
      </x:c>
      <x:c r="D1334" t="n">
        <x:v>335</x:v>
      </x:c>
      <x:c r="E1334" t="n">
        <x:v>360</x:v>
      </x:c>
      <x:c r="F1334" s="10" t="str">
        <x:v>食材净重+约8%余量</x:v>
      </x:c>
      <x:c r="G1334" s="10" t="str">
        <x:v>生重</x:v>
      </x:c>
    </x:row>
    <x:row r="1335" ht="23" customHeight="1">
      <x:c r="A1335" t="n">
        <x:v>33</x:v>
      </x:c>
      <x:c r="B1335" t="str">
        <x:v>蔬菜</x:v>
      </x:c>
      <x:c r="C1335" t="str">
        <x:v>紫甘蓝</x:v>
      </x:c>
      <x:c r="D1335" t="n">
        <x:v>175</x:v>
      </x:c>
      <x:c r="E1335" t="n">
        <x:v>190</x:v>
      </x:c>
      <x:c r="F1335" s="10" t="str">
        <x:v>食材净重+约8%余量</x:v>
      </x:c>
      <x:c r="G1335" s="10" t="str">
        <x:v>生重</x:v>
      </x:c>
    </x:row>
    <x:row r="1336" ht="23" customHeight="1">
      <x:c r="A1336" t="n">
        <x:v>33</x:v>
      </x:c>
      <x:c r="B1336" t="str">
        <x:v>蔬菜</x:v>
      </x:c>
      <x:c r="C1336" t="str">
        <x:v>绿豆芽</x:v>
      </x:c>
      <x:c r="D1336" t="n">
        <x:v>110</x:v>
      </x:c>
      <x:c r="E1336" t="n">
        <x:v>120</x:v>
      </x:c>
      <x:c r="F1336" s="10" t="str">
        <x:v>食材净重+约8%余量</x:v>
      </x:c>
      <x:c r="G1336" s="10" t="str">
        <x:v>生重</x:v>
      </x:c>
    </x:row>
    <x:row r="1337" ht="23" customHeight="1">
      <x:c r="A1337" t="n">
        <x:v>33</x:v>
      </x:c>
      <x:c r="B1337" t="str">
        <x:v>蔬菜</x:v>
      </x:c>
      <x:c r="C1337" t="str">
        <x:v>芦笋</x:v>
      </x:c>
      <x:c r="D1337" t="n">
        <x:v>140</x:v>
      </x:c>
      <x:c r="E1337" t="n">
        <x:v>150</x:v>
      </x:c>
      <x:c r="F1337" s="10" t="str">
        <x:v>食材净重+约8%余量</x:v>
      </x:c>
      <x:c r="G1337" s="10" t="str">
        <x:v>生重</x:v>
      </x:c>
    </x:row>
    <x:row r="1338" ht="23" customHeight="1">
      <x:c r="A1338" t="n">
        <x:v>33</x:v>
      </x:c>
      <x:c r="B1338" t="str">
        <x:v>蔬菜</x:v>
      </x:c>
      <x:c r="C1338" t="str">
        <x:v>花菜</x:v>
      </x:c>
      <x:c r="D1338" t="n">
        <x:v>140</x:v>
      </x:c>
      <x:c r="E1338" t="n">
        <x:v>150</x:v>
      </x:c>
      <x:c r="F1338" s="10" t="str">
        <x:v>食材净重+约8%余量</x:v>
      </x:c>
      <x:c r="G1338" s="10" t="str">
        <x:v>生重</x:v>
      </x:c>
    </x:row>
    <x:row r="1339" ht="23" customHeight="1">
      <x:c r="A1339" t="n">
        <x:v>33</x:v>
      </x:c>
      <x:c r="B1339" t="str">
        <x:v>蔬菜</x:v>
      </x:c>
      <x:c r="C1339" t="str">
        <x:v>芹菜</x:v>
      </x:c>
      <x:c r="D1339" t="n">
        <x:v>175</x:v>
      </x:c>
      <x:c r="E1339" t="n">
        <x:v>190</x:v>
      </x:c>
      <x:c r="F1339" s="10" t="str">
        <x:v>食材净重+约8%余量</x:v>
      </x:c>
      <x:c r="G1339" s="10" t="str">
        <x:v>生重</x:v>
      </x:c>
    </x:row>
    <x:row r="1340" ht="23" customHeight="1">
      <x:c r="A1340" t="n">
        <x:v>33</x:v>
      </x:c>
      <x:c r="B1340" t="str">
        <x:v>蔬菜</x:v>
      </x:c>
      <x:c r="C1340" t="str">
        <x:v>苦瓜</x:v>
      </x:c>
      <x:c r="D1340" t="n">
        <x:v>160</x:v>
      </x:c>
      <x:c r="E1340" t="n">
        <x:v>170</x:v>
      </x:c>
      <x:c r="F1340" s="10" t="str">
        <x:v>食材净重+约8%余量</x:v>
      </x:c>
      <x:c r="G1340" s="10" t="str">
        <x:v>生重</x:v>
      </x:c>
    </x:row>
    <x:row r="1341" ht="23" customHeight="1">
      <x:c r="A1341" t="n">
        <x:v>33</x:v>
      </x:c>
      <x:c r="B1341" t="str">
        <x:v>蔬菜</x:v>
      </x:c>
      <x:c r="C1341" t="str">
        <x:v>荷兰豆</x:v>
      </x:c>
      <x:c r="D1341" t="n">
        <x:v>125</x:v>
      </x:c>
      <x:c r="E1341" t="n">
        <x:v>140</x:v>
      </x:c>
      <x:c r="F1341" s="10" t="str">
        <x:v>食材净重+约8%余量</x:v>
      </x:c>
      <x:c r="G1341" s="10" t="str">
        <x:v>生重</x:v>
      </x:c>
    </x:row>
    <x:row r="1342" ht="23" customHeight="1">
      <x:c r="A1342" t="n">
        <x:v>33</x:v>
      </x:c>
      <x:c r="B1342" t="str">
        <x:v>蔬菜</x:v>
      </x:c>
      <x:c r="C1342" t="str">
        <x:v>西兰花</x:v>
      </x:c>
      <x:c r="D1342" t="n">
        <x:v>510</x:v>
      </x:c>
      <x:c r="E1342" t="n">
        <x:v>550</x:v>
      </x:c>
      <x:c r="F1342" s="10" t="str">
        <x:v>食材净重+约8%余量</x:v>
      </x:c>
      <x:c r="G1342" s="10" t="str">
        <x:v>生重</x:v>
      </x:c>
    </x:row>
    <x:row r="1343" ht="23" customHeight="1">
      <x:c r="A1343" t="n">
        <x:v>33</x:v>
      </x:c>
      <x:c r="B1343" t="str">
        <x:v>蔬菜</x:v>
      </x:c>
      <x:c r="C1343" t="str">
        <x:v>西葫芦</x:v>
      </x:c>
      <x:c r="D1343" t="n">
        <x:v>365</x:v>
      </x:c>
      <x:c r="E1343" t="n">
        <x:v>390</x:v>
      </x:c>
      <x:c r="F1343" s="10" t="str">
        <x:v>食材净重+约8%余量</x:v>
      </x:c>
      <x:c r="G1343" s="10" t="str">
        <x:v>生重</x:v>
      </x:c>
    </x:row>
    <x:row r="1344" ht="23" customHeight="1">
      <x:c r="A1344" t="n">
        <x:v>33</x:v>
      </x:c>
      <x:c r="B1344" t="str">
        <x:v>豆蛋</x:v>
      </x:c>
      <x:c r="C1344" t="str">
        <x:v>北豆腐</x:v>
      </x:c>
      <x:c r="D1344" t="n">
        <x:v>670</x:v>
      </x:c>
      <x:c r="E1344" t="n">
        <x:v>720</x:v>
      </x:c>
      <x:c r="F1344" s="10" t="str">
        <x:v>食材净重+约8%余量</x:v>
      </x:c>
      <x:c r="G1344" s="10" t="str">
        <x:v>净重</x:v>
      </x:c>
    </x:row>
    <x:row r="1345" ht="23" customHeight="1">
      <x:c r="A1345" t="n">
        <x:v>33</x:v>
      </x:c>
      <x:c r="B1345" t="str">
        <x:v>豆蛋</x:v>
      </x:c>
      <x:c r="C1345" t="str">
        <x:v>熟毛豆仁</x:v>
      </x:c>
      <x:c r="D1345" t="n">
        <x:v>50</x:v>
      </x:c>
      <x:c r="E1345" t="n">
        <x:v>50</x:v>
      </x:c>
      <x:c r="F1345" s="10" t="str">
        <x:v>食材净重+约8%余量</x:v>
      </x:c>
      <x:c r="G1345" s="10" t="str">
        <x:v>熟重</x:v>
      </x:c>
    </x:row>
    <x:row r="1346" ht="23" customHeight="1">
      <x:c r="A1346" t="n">
        <x:v>33</x:v>
      </x:c>
      <x:c r="B1346" t="str">
        <x:v>豆蛋</x:v>
      </x:c>
      <x:c r="C1346" t="str">
        <x:v>鸡蛋</x:v>
      </x:c>
      <x:c r="D1346" t="n">
        <x:v>160</x:v>
      </x:c>
      <x:c r="E1346" t="n">
        <x:v>170</x:v>
      </x:c>
      <x:c r="F1346" s="10" t="str">
        <x:v>食材净重+约8%余量</x:v>
      </x:c>
      <x:c r="G1346" s="10" t="str">
        <x:v>去壳可食重</x:v>
      </x:c>
    </x:row>
    <x:row r="1347" ht="23" customHeight="1">
      <x:c r="A1347" t="n">
        <x:v>34</x:v>
      </x:c>
      <x:c r="B1347" t="str">
        <x:v>主食</x:v>
      </x:c>
      <x:c r="C1347" t="str">
        <x:v>全麦面</x:v>
      </x:c>
      <x:c r="D1347" t="n">
        <x:v>160</x:v>
      </x:c>
      <x:c r="E1347" t="n">
        <x:v>80</x:v>
      </x:c>
      <x:c r="F1347" s="10" t="str">
        <x:v>干粮约重（按熟面/干面≈2.1估算）</x:v>
      </x:c>
      <x:c r="G1347" s="10" t="str">
        <x:v>煮熟沥水重</x:v>
      </x:c>
    </x:row>
    <x:row r="1348" ht="23" customHeight="1">
      <x:c r="A1348" t="n">
        <x:v>34</x:v>
      </x:c>
      <x:c r="B1348" t="str">
        <x:v>主食</x:v>
      </x:c>
      <x:c r="C1348" t="str">
        <x:v>山药</x:v>
      </x:c>
      <x:c r="D1348" t="n">
        <x:v>250</x:v>
      </x:c>
      <x:c r="E1348" t="n">
        <x:v>280</x:v>
      </x:c>
      <x:c r="F1348" s="10" t="str">
        <x:v>鲜薯/玉米净重；考虑小幅损耗</x:v>
      </x:c>
      <x:c r="G1348" s="10" t="str">
        <x:v>蒸熟净重</x:v>
      </x:c>
    </x:row>
    <x:row r="1349" ht="23" customHeight="1">
      <x:c r="A1349" t="n">
        <x:v>34</x:v>
      </x:c>
      <x:c r="B1349" t="str">
        <x:v>主食</x:v>
      </x:c>
      <x:c r="C1349" t="str">
        <x:v>杂粮饭</x:v>
      </x:c>
      <x:c r="D1349" t="n">
        <x:v>125</x:v>
      </x:c>
      <x:c r="E1349" t="n">
        <x:v>50</x:v>
      </x:c>
      <x:c r="F1349" s="10" t="str">
        <x:v>未煮干粮约重（按熟饭/生米≈2.6估算）</x:v>
      </x:c>
      <x:c r="G1349" s="10" t="str">
        <x:v>熟重</x:v>
      </x:c>
    </x:row>
    <x:row r="1350" ht="23" customHeight="1">
      <x:c r="A1350" t="n">
        <x:v>34</x:v>
      </x:c>
      <x:c r="B1350" t="str">
        <x:v>主食</x:v>
      </x:c>
      <x:c r="C1350" t="str">
        <x:v>燕麦饭</x:v>
      </x:c>
      <x:c r="D1350" t="n">
        <x:v>275</x:v>
      </x:c>
      <x:c r="E1350" t="n">
        <x:v>110</x:v>
      </x:c>
      <x:c r="F1350" s="10" t="str">
        <x:v>未煮干粮约重（按熟饭/生米≈2.6估算）</x:v>
      </x:c>
      <x:c r="G1350" s="10" t="str">
        <x:v>熟重</x:v>
      </x:c>
    </x:row>
    <x:row r="1351" ht="23" customHeight="1">
      <x:c r="A1351" t="n">
        <x:v>34</x:v>
      </x:c>
      <x:c r="B1351" t="str">
        <x:v>主食</x:v>
      </x:c>
      <x:c r="C1351" t="str">
        <x:v>玉米</x:v>
      </x:c>
      <x:c r="D1351" t="n">
        <x:v>165</x:v>
      </x:c>
      <x:c r="E1351" t="n">
        <x:v>180</x:v>
      </x:c>
      <x:c r="F1351" s="10" t="str">
        <x:v>鲜薯/玉米净重；考虑小幅损耗</x:v>
      </x:c>
      <x:c r="G1351" s="10" t="str">
        <x:v>蒸熟净重</x:v>
      </x:c>
    </x:row>
    <x:row r="1352" ht="23" customHeight="1">
      <x:c r="A1352" t="n">
        <x:v>34</x:v>
      </x:c>
      <x:c r="B1352" t="str">
        <x:v>主食</x:v>
      </x:c>
      <x:c r="C1352" t="str">
        <x:v>糙米饭</x:v>
      </x:c>
      <x:c r="D1352" t="n">
        <x:v>465</x:v>
      </x:c>
      <x:c r="E1352" t="n">
        <x:v>180</x:v>
      </x:c>
      <x:c r="F1352" s="10" t="str">
        <x:v>未煮干粮约重（按熟饭/生米≈2.6估算）</x:v>
      </x:c>
      <x:c r="G1352" s="10" t="str">
        <x:v>熟重</x:v>
      </x:c>
    </x:row>
    <x:row r="1353" ht="23" customHeight="1">
      <x:c r="A1353" t="n">
        <x:v>34</x:v>
      </x:c>
      <x:c r="B1353" t="str">
        <x:v>主食</x:v>
      </x:c>
      <x:c r="C1353" t="str">
        <x:v>紫薯</x:v>
      </x:c>
      <x:c r="D1353" t="n">
        <x:v>150</x:v>
      </x:c>
      <x:c r="E1353" t="n">
        <x:v>160</x:v>
      </x:c>
      <x:c r="F1353" s="10" t="str">
        <x:v>鲜薯/玉米净重；考虑小幅损耗</x:v>
      </x:c>
      <x:c r="G1353" s="10" t="str">
        <x:v>蒸熟净重</x:v>
      </x:c>
    </x:row>
    <x:row r="1354" ht="23" customHeight="1">
      <x:c r="A1354" t="n">
        <x:v>34</x:v>
      </x:c>
      <x:c r="B1354" t="str">
        <x:v>主食</x:v>
      </x:c>
      <x:c r="C1354" t="str">
        <x:v>荞麦饭</x:v>
      </x:c>
      <x:c r="D1354" t="n">
        <x:v>110</x:v>
      </x:c>
      <x:c r="E1354" t="n">
        <x:v>40</x:v>
      </x:c>
      <x:c r="F1354" s="10" t="str">
        <x:v>未煮干粮约重（按熟饭/生米≈2.6估算）</x:v>
      </x:c>
      <x:c r="G1354" s="10" t="str">
        <x:v>熟重</x:v>
      </x:c>
    </x:row>
    <x:row r="1355" ht="23" customHeight="1">
      <x:c r="A1355" t="n">
        <x:v>34</x:v>
      </x:c>
      <x:c r="B1355" t="str">
        <x:v>油脂</x:v>
      </x:c>
      <x:c r="C1355" t="str">
        <x:v>烹调油</x:v>
      </x:c>
      <x:c r="D1355" t="n">
        <x:v>64</x:v>
      </x:c>
      <x:c r="E1355" t="n">
        <x:v>64</x:v>
      </x:c>
      <x:c r="F1355" s="10" t="str">
        <x:v>食用油；现有库存足够即可</x:v>
      </x:c>
      <x:c r="G1355" s="10" t="str">
        <x:v>实际用油重</x:v>
      </x:c>
    </x:row>
    <x:row r="1356" ht="23" customHeight="1">
      <x:c r="A1356" t="n">
        <x:v>34</x:v>
      </x:c>
      <x:c r="B1356" t="str">
        <x:v>海鲜</x:v>
      </x:c>
      <x:c r="C1356" t="str">
        <x:v>鱿鱼</x:v>
      </x:c>
      <x:c r="D1356" t="n">
        <x:v>160</x:v>
      </x:c>
      <x:c r="E1356" t="n">
        <x:v>170</x:v>
      </x:c>
      <x:c r="F1356" s="10" t="str">
        <x:v>食材净重+约8%余量</x:v>
      </x:c>
      <x:c r="G1356" s="10" t="str">
        <x:v>生重</x:v>
      </x:c>
    </x:row>
    <x:row r="1357" ht="23" customHeight="1">
      <x:c r="A1357" t="n">
        <x:v>34</x:v>
      </x:c>
      <x:c r="B1357" t="str">
        <x:v>牛肉</x:v>
      </x:c>
      <x:c r="C1357" t="str">
        <x:v>牛里脊</x:v>
      </x:c>
      <x:c r="D1357" t="n">
        <x:v>350</x:v>
      </x:c>
      <x:c r="E1357" t="n">
        <x:v>380</x:v>
      </x:c>
      <x:c r="F1357" s="10" t="str">
        <x:v>食材净重+约8%余量</x:v>
      </x:c>
      <x:c r="G1357" s="10" t="str">
        <x:v>生重</x:v>
      </x:c>
    </x:row>
    <x:row r="1358" ht="23" customHeight="1">
      <x:c r="A1358" t="n">
        <x:v>34</x:v>
      </x:c>
      <x:c r="B1358" t="str">
        <x:v>牛肉</x:v>
      </x:c>
      <x:c r="C1358" t="str">
        <x:v>瘦牛肉</x:v>
      </x:c>
      <x:c r="D1358" t="n">
        <x:v>350</x:v>
      </x:c>
      <x:c r="E1358" t="n">
        <x:v>380</x:v>
      </x:c>
      <x:c r="F1358" s="10" t="str">
        <x:v>食材净重+约8%余量</x:v>
      </x:c>
      <x:c r="G1358" s="10" t="str">
        <x:v>生重</x:v>
      </x:c>
    </x:row>
    <x:row r="1359" ht="23" customHeight="1">
      <x:c r="A1359" t="n">
        <x:v>34</x:v>
      </x:c>
      <x:c r="B1359" t="str">
        <x:v>猪肉</x:v>
      </x:c>
      <x:c r="C1359" t="str">
        <x:v>猪瘦肉</x:v>
      </x:c>
      <x:c r="D1359" t="n">
        <x:v>180</x:v>
      </x:c>
      <x:c r="E1359" t="n">
        <x:v>190</x:v>
      </x:c>
      <x:c r="F1359" s="10" t="str">
        <x:v>食材净重+约8%余量</x:v>
      </x:c>
      <x:c r="G1359" s="10" t="str">
        <x:v>生重</x:v>
      </x:c>
    </x:row>
    <x:row r="1360" ht="23" customHeight="1">
      <x:c r="A1360" t="n">
        <x:v>34</x:v>
      </x:c>
      <x:c r="B1360" t="str">
        <x:v>禽肉</x:v>
      </x:c>
      <x:c r="C1360" t="str">
        <x:v>去皮鸡腿肉</x:v>
      </x:c>
      <x:c r="D1360" t="n">
        <x:v>500</x:v>
      </x:c>
      <x:c r="E1360" t="n">
        <x:v>540</x:v>
      </x:c>
      <x:c r="F1360" s="10" t="str">
        <x:v>食材净重+约8%余量</x:v>
      </x:c>
      <x:c r="G1360" s="10" t="str">
        <x:v>生重</x:v>
      </x:c>
    </x:row>
    <x:row r="1361" ht="23" customHeight="1">
      <x:c r="A1361" t="n">
        <x:v>34</x:v>
      </x:c>
      <x:c r="B1361" t="str">
        <x:v>禽肉</x:v>
      </x:c>
      <x:c r="C1361" t="str">
        <x:v>鸡胸肉</x:v>
      </x:c>
      <x:c r="D1361" t="n">
        <x:v>345</x:v>
      </x:c>
      <x:c r="E1361" t="n">
        <x:v>370</x:v>
      </x:c>
      <x:c r="F1361" s="10" t="str">
        <x:v>食材净重+约8%余量</x:v>
      </x:c>
      <x:c r="G1361" s="10" t="str">
        <x:v>生重</x:v>
      </x:c>
    </x:row>
    <x:row r="1362" ht="23" customHeight="1">
      <x:c r="A1362" t="n">
        <x:v>34</x:v>
      </x:c>
      <x:c r="B1362" t="str">
        <x:v>菌菇</x:v>
      </x:c>
      <x:c r="C1362" t="str">
        <x:v>口蘑</x:v>
      </x:c>
      <x:c r="D1362" t="n">
        <x:v>280</x:v>
      </x:c>
      <x:c r="E1362" t="n">
        <x:v>300</x:v>
      </x:c>
      <x:c r="F1362" s="10" t="str">
        <x:v>食材净重+约8%余量</x:v>
      </x:c>
      <x:c r="G1362" s="10" t="str">
        <x:v>生重</x:v>
      </x:c>
    </x:row>
    <x:row r="1363" ht="23" customHeight="1">
      <x:c r="A1363" t="n">
        <x:v>34</x:v>
      </x:c>
      <x:c r="B1363" t="str">
        <x:v>菌菇</x:v>
      </x:c>
      <x:c r="C1363" t="str">
        <x:v>杏鲍菇</x:v>
      </x:c>
      <x:c r="D1363" t="n">
        <x:v>140</x:v>
      </x:c>
      <x:c r="E1363" t="n">
        <x:v>150</x:v>
      </x:c>
      <x:c r="F1363" s="10" t="str">
        <x:v>食材净重+约8%余量</x:v>
      </x:c>
      <x:c r="G1363" s="10" t="str">
        <x:v>生重</x:v>
      </x:c>
    </x:row>
    <x:row r="1364" ht="23" customHeight="1">
      <x:c r="A1364" t="n">
        <x:v>34</x:v>
      </x:c>
      <x:c r="B1364" t="str">
        <x:v>菌菇</x:v>
      </x:c>
      <x:c r="C1364" t="str">
        <x:v>泡发木耳</x:v>
      </x:c>
      <x:c r="D1364" t="n">
        <x:v>155</x:v>
      </x:c>
      <x:c r="E1364" t="n">
        <x:v>170</x:v>
      </x:c>
      <x:c r="F1364" s="10" t="str">
        <x:v>食材净重+约8%余量</x:v>
      </x:c>
      <x:c r="G1364" s="10" t="str">
        <x:v>泡发沥水重</x:v>
      </x:c>
    </x:row>
    <x:row r="1365" ht="23" customHeight="1">
      <x:c r="A1365" t="n">
        <x:v>34</x:v>
      </x:c>
      <x:c r="B1365" t="str">
        <x:v>菌菇</x:v>
      </x:c>
      <x:c r="C1365" t="str">
        <x:v>金针菇</x:v>
      </x:c>
      <x:c r="D1365" t="n">
        <x:v>155</x:v>
      </x:c>
      <x:c r="E1365" t="n">
        <x:v>170</x:v>
      </x:c>
      <x:c r="F1365" s="10" t="str">
        <x:v>食材净重+约8%余量</x:v>
      </x:c>
      <x:c r="G1365" s="10" t="str">
        <x:v>生重</x:v>
      </x:c>
    </x:row>
    <x:row r="1366" ht="23" customHeight="1">
      <x:c r="A1366" t="n">
        <x:v>34</x:v>
      </x:c>
      <x:c r="B1366" t="str">
        <x:v>蔬菜</x:v>
      </x:c>
      <x:c r="C1366" t="str">
        <x:v>丝瓜</x:v>
      </x:c>
      <x:c r="D1366" t="n">
        <x:v>315</x:v>
      </x:c>
      <x:c r="E1366" t="n">
        <x:v>340</x:v>
      </x:c>
      <x:c r="F1366" s="10" t="str">
        <x:v>食材净重+约8%余量</x:v>
      </x:c>
      <x:c r="G1366" s="10" t="str">
        <x:v>生重</x:v>
      </x:c>
    </x:row>
    <x:row r="1367" ht="23" customHeight="1">
      <x:c r="A1367" t="n">
        <x:v>34</x:v>
      </x:c>
      <x:c r="B1367" t="str">
        <x:v>蔬菜</x:v>
      </x:c>
      <x:c r="C1367" t="str">
        <x:v>冬瓜</x:v>
      </x:c>
      <x:c r="D1367" t="n">
        <x:v>125</x:v>
      </x:c>
      <x:c r="E1367" t="n">
        <x:v>140</x:v>
      </x:c>
      <x:c r="F1367" s="10" t="str">
        <x:v>食材净重+约8%余量</x:v>
      </x:c>
      <x:c r="G1367" s="10" t="str">
        <x:v>生重</x:v>
      </x:c>
    </x:row>
    <x:row r="1368" ht="23" customHeight="1">
      <x:c r="A1368" t="n">
        <x:v>34</x:v>
      </x:c>
      <x:c r="B1368" t="str">
        <x:v>蔬菜</x:v>
      </x:c>
      <x:c r="C1368" t="str">
        <x:v>四季豆</x:v>
      </x:c>
      <x:c r="D1368" t="n">
        <x:v>140</x:v>
      </x:c>
      <x:c r="E1368" t="n">
        <x:v>150</x:v>
      </x:c>
      <x:c r="F1368" s="10" t="str">
        <x:v>食材净重+约8%余量</x:v>
      </x:c>
      <x:c r="G1368" s="10" t="str">
        <x:v>生重</x:v>
      </x:c>
    </x:row>
    <x:row r="1369" ht="23" customHeight="1">
      <x:c r="A1369" t="n">
        <x:v>34</x:v>
      </x:c>
      <x:c r="B1369" t="str">
        <x:v>蔬菜</x:v>
      </x:c>
      <x:c r="C1369" t="str">
        <x:v>小白菜</x:v>
      </x:c>
      <x:c r="D1369" t="n">
        <x:v>140</x:v>
      </x:c>
      <x:c r="E1369" t="n">
        <x:v>150</x:v>
      </x:c>
      <x:c r="F1369" s="10" t="str">
        <x:v>食材净重+约8%余量</x:v>
      </x:c>
      <x:c r="G1369" s="10" t="str">
        <x:v>生重</x:v>
      </x:c>
    </x:row>
    <x:row r="1370" ht="23" customHeight="1">
      <x:c r="A1370" t="n">
        <x:v>34</x:v>
      </x:c>
      <x:c r="B1370" t="str">
        <x:v>蔬菜</x:v>
      </x:c>
      <x:c r="C1370" t="str">
        <x:v>彩椒</x:v>
      </x:c>
      <x:c r="D1370" t="n">
        <x:v>160</x:v>
      </x:c>
      <x:c r="E1370" t="n">
        <x:v>170</x:v>
      </x:c>
      <x:c r="F1370" s="10" t="str">
        <x:v>食材净重+约8%余量</x:v>
      </x:c>
      <x:c r="G1370" s="10" t="str">
        <x:v>生重</x:v>
      </x:c>
    </x:row>
    <x:row r="1371" ht="23" customHeight="1">
      <x:c r="A1371" t="n">
        <x:v>34</x:v>
      </x:c>
      <x:c r="B1371" t="str">
        <x:v>蔬菜</x:v>
      </x:c>
      <x:c r="C1371" t="str">
        <x:v>洋葱</x:v>
      </x:c>
      <x:c r="D1371" t="n">
        <x:v>125</x:v>
      </x:c>
      <x:c r="E1371" t="n">
        <x:v>140</x:v>
      </x:c>
      <x:c r="F1371" s="10" t="str">
        <x:v>食材净重+约8%余量</x:v>
      </x:c>
      <x:c r="G1371" s="10" t="str">
        <x:v>生重</x:v>
      </x:c>
    </x:row>
    <x:row r="1372" ht="23" customHeight="1">
      <x:c r="A1372" t="n">
        <x:v>34</x:v>
      </x:c>
      <x:c r="B1372" t="str">
        <x:v>蔬菜</x:v>
      </x:c>
      <x:c r="C1372" t="str">
        <x:v>玉米笋</x:v>
      </x:c>
      <x:c r="D1372" t="n">
        <x:v>250</x:v>
      </x:c>
      <x:c r="E1372" t="n">
        <x:v>270</x:v>
      </x:c>
      <x:c r="F1372" s="10" t="str">
        <x:v>食材净重+约8%余量</x:v>
      </x:c>
      <x:c r="G1372" s="10" t="str">
        <x:v>生重</x:v>
      </x:c>
    </x:row>
    <x:row r="1373" ht="23" customHeight="1">
      <x:c r="A1373" t="n">
        <x:v>34</x:v>
      </x:c>
      <x:c r="B1373" t="str">
        <x:v>蔬菜</x:v>
      </x:c>
      <x:c r="C1373" t="str">
        <x:v>番茄</x:v>
      </x:c>
      <x:c r="D1373" t="n">
        <x:v>140</x:v>
      </x:c>
      <x:c r="E1373" t="n">
        <x:v>150</x:v>
      </x:c>
      <x:c r="F1373" s="10" t="str">
        <x:v>食材净重+约8%余量</x:v>
      </x:c>
      <x:c r="G1373" s="10" t="str">
        <x:v>生重</x:v>
      </x:c>
    </x:row>
    <x:row r="1374" ht="23" customHeight="1">
      <x:c r="A1374" t="n">
        <x:v>34</x:v>
      </x:c>
      <x:c r="B1374" t="str">
        <x:v>蔬菜</x:v>
      </x:c>
      <x:c r="C1374" t="str">
        <x:v>白萝卜</x:v>
      </x:c>
      <x:c r="D1374" t="n">
        <x:v>155</x:v>
      </x:c>
      <x:c r="E1374" t="n">
        <x:v>170</x:v>
      </x:c>
      <x:c r="F1374" s="10" t="str">
        <x:v>食材净重+约8%余量</x:v>
      </x:c>
      <x:c r="G1374" s="10" t="str">
        <x:v>生重</x:v>
      </x:c>
    </x:row>
    <x:row r="1375" ht="23" customHeight="1">
      <x:c r="A1375" t="n">
        <x:v>34</x:v>
      </x:c>
      <x:c r="B1375" t="str">
        <x:v>蔬菜</x:v>
      </x:c>
      <x:c r="C1375" t="str">
        <x:v>芦笋</x:v>
      </x:c>
      <x:c r="D1375" t="n">
        <x:v>645</x:v>
      </x:c>
      <x:c r="E1375" t="n">
        <x:v>700</x:v>
      </x:c>
      <x:c r="F1375" s="10" t="str">
        <x:v>食材净重+约8%余量</x:v>
      </x:c>
      <x:c r="G1375" s="10" t="str">
        <x:v>生重</x:v>
      </x:c>
    </x:row>
    <x:row r="1376" ht="23" customHeight="1">
      <x:c r="A1376" t="n">
        <x:v>34</x:v>
      </x:c>
      <x:c r="B1376" t="str">
        <x:v>蔬菜</x:v>
      </x:c>
      <x:c r="C1376" t="str">
        <x:v>花菜</x:v>
      </x:c>
      <x:c r="D1376" t="n">
        <x:v>190</x:v>
      </x:c>
      <x:c r="E1376" t="n">
        <x:v>210</x:v>
      </x:c>
      <x:c r="F1376" s="10" t="str">
        <x:v>食材净重+约8%余量</x:v>
      </x:c>
      <x:c r="G1376" s="10" t="str">
        <x:v>生重</x:v>
      </x:c>
    </x:row>
    <x:row r="1377" ht="23" customHeight="1">
      <x:c r="A1377" t="n">
        <x:v>34</x:v>
      </x:c>
      <x:c r="B1377" t="str">
        <x:v>蔬菜</x:v>
      </x:c>
      <x:c r="C1377" t="str">
        <x:v>荷兰豆</x:v>
      </x:c>
      <x:c r="D1377" t="n">
        <x:v>300</x:v>
      </x:c>
      <x:c r="E1377" t="n">
        <x:v>320</x:v>
      </x:c>
      <x:c r="F1377" s="10" t="str">
        <x:v>食材净重+约8%余量</x:v>
      </x:c>
      <x:c r="G1377" s="10" t="str">
        <x:v>生重</x:v>
      </x:c>
    </x:row>
    <x:row r="1378" ht="23" customHeight="1">
      <x:c r="A1378" t="n">
        <x:v>34</x:v>
      </x:c>
      <x:c r="B1378" t="str">
        <x:v>蔬菜</x:v>
      </x:c>
      <x:c r="C1378" t="str">
        <x:v>莴笋</x:v>
      </x:c>
      <x:c r="D1378" t="n">
        <x:v>190</x:v>
      </x:c>
      <x:c r="E1378" t="n">
        <x:v>210</x:v>
      </x:c>
      <x:c r="F1378" s="10" t="str">
        <x:v>食材净重+约8%余量</x:v>
      </x:c>
      <x:c r="G1378" s="10" t="str">
        <x:v>生重</x:v>
      </x:c>
    </x:row>
    <x:row r="1379" ht="23" customHeight="1">
      <x:c r="A1379" t="n">
        <x:v>34</x:v>
      </x:c>
      <x:c r="B1379" t="str">
        <x:v>蔬菜</x:v>
      </x:c>
      <x:c r="C1379" t="str">
        <x:v>菜心</x:v>
      </x:c>
      <x:c r="D1379" t="n">
        <x:v>190</x:v>
      </x:c>
      <x:c r="E1379" t="n">
        <x:v>210</x:v>
      </x:c>
      <x:c r="F1379" s="10" t="str">
        <x:v>食材净重+约8%余量</x:v>
      </x:c>
      <x:c r="G1379" s="10" t="str">
        <x:v>生重</x:v>
      </x:c>
    </x:row>
    <x:row r="1380" ht="23" customHeight="1">
      <x:c r="A1380" t="n">
        <x:v>34</x:v>
      </x:c>
      <x:c r="B1380" t="str">
        <x:v>蔬菜</x:v>
      </x:c>
      <x:c r="C1380" t="str">
        <x:v>西兰花</x:v>
      </x:c>
      <x:c r="D1380" t="n">
        <x:v>110</x:v>
      </x:c>
      <x:c r="E1380" t="n">
        <x:v>120</x:v>
      </x:c>
      <x:c r="F1380" s="10" t="str">
        <x:v>食材净重+约8%余量</x:v>
      </x:c>
      <x:c r="G1380" s="10" t="str">
        <x:v>生重</x:v>
      </x:c>
    </x:row>
    <x:row r="1381" ht="23" customHeight="1">
      <x:c r="A1381" t="n">
        <x:v>34</x:v>
      </x:c>
      <x:c r="B1381" t="str">
        <x:v>蔬菜</x:v>
      </x:c>
      <x:c r="C1381" t="str">
        <x:v>西葫芦</x:v>
      </x:c>
      <x:c r="D1381" t="n">
        <x:v>160</x:v>
      </x:c>
      <x:c r="E1381" t="n">
        <x:v>170</x:v>
      </x:c>
      <x:c r="F1381" s="10" t="str">
        <x:v>食材净重+约8%余量</x:v>
      </x:c>
      <x:c r="G1381" s="10" t="str">
        <x:v>生重</x:v>
      </x:c>
    </x:row>
    <x:row r="1382" ht="23" customHeight="1">
      <x:c r="A1382" t="n">
        <x:v>34</x:v>
      </x:c>
      <x:c r="B1382" t="str">
        <x:v>蔬菜</x:v>
      </x:c>
      <x:c r="C1382" t="str">
        <x:v>黄瓜</x:v>
      </x:c>
      <x:c r="D1382" t="n">
        <x:v>125</x:v>
      </x:c>
      <x:c r="E1382" t="n">
        <x:v>140</x:v>
      </x:c>
      <x:c r="F1382" s="10" t="str">
        <x:v>食材净重+约8%余量</x:v>
      </x:c>
      <x:c r="G1382" s="10" t="str">
        <x:v>生重</x:v>
      </x:c>
    </x:row>
    <x:row r="1383" ht="23" customHeight="1">
      <x:c r="A1383" t="n">
        <x:v>34</x:v>
      </x:c>
      <x:c r="B1383" t="str">
        <x:v>豆蛋</x:v>
      </x:c>
      <x:c r="C1383" t="str">
        <x:v>北豆腐</x:v>
      </x:c>
      <x:c r="D1383" t="n">
        <x:v>280</x:v>
      </x:c>
      <x:c r="E1383" t="n">
        <x:v>300</x:v>
      </x:c>
      <x:c r="F1383" s="10" t="str">
        <x:v>食材净重+约8%余量</x:v>
      </x:c>
      <x:c r="G1383" s="10" t="str">
        <x:v>净重</x:v>
      </x:c>
    </x:row>
    <x:row r="1384" ht="23" customHeight="1">
      <x:c r="A1384" t="n">
        <x:v>34</x:v>
      </x:c>
      <x:c r="B1384" t="str">
        <x:v>豆蛋</x:v>
      </x:c>
      <x:c r="C1384" t="str">
        <x:v>嫩豆腐</x:v>
      </x:c>
      <x:c r="D1384" t="n">
        <x:v>135</x:v>
      </x:c>
      <x:c r="E1384" t="n">
        <x:v>150</x:v>
      </x:c>
      <x:c r="F1384" s="10" t="str">
        <x:v>食材净重+约8%余量</x:v>
      </x:c>
      <x:c r="G1384" s="10" t="str">
        <x:v>净重</x:v>
      </x:c>
    </x:row>
    <x:row r="1385" ht="23" customHeight="1">
      <x:c r="A1385" t="n">
        <x:v>34</x:v>
      </x:c>
      <x:c r="B1385" t="str">
        <x:v>豆蛋</x:v>
      </x:c>
      <x:c r="C1385" t="str">
        <x:v>鸡蛋</x:v>
      </x:c>
      <x:c r="D1385" t="n">
        <x:v>60</x:v>
      </x:c>
      <x:c r="E1385" t="n">
        <x:v>60</x:v>
      </x:c>
      <x:c r="F1385" s="10" t="str">
        <x:v>食材净重+约8%余量</x:v>
      </x:c>
      <x:c r="G1385" s="10" t="str">
        <x:v>去壳可食重</x:v>
      </x:c>
    </x:row>
    <x:row r="1386" ht="23" customHeight="1">
      <x:c r="A1386" t="n">
        <x:v>34</x:v>
      </x:c>
      <x:c r="B1386" t="str">
        <x:v>鱼类</x:v>
      </x:c>
      <x:c r="C1386" t="str">
        <x:v>三文鱼</x:v>
      </x:c>
      <x:c r="D1386" t="n">
        <x:v>135</x:v>
      </x:c>
      <x:c r="E1386" t="n">
        <x:v>150</x:v>
      </x:c>
      <x:c r="F1386" s="10" t="str">
        <x:v>食材净重+约8%余量</x:v>
      </x:c>
      <x:c r="G1386" s="10" t="str">
        <x:v>净鱼肉生重</x:v>
      </x:c>
    </x:row>
    <x:row r="1387" ht="23" customHeight="1">
      <x:c r="A1387" t="n">
        <x:v>34</x:v>
      </x:c>
      <x:c r="B1387" t="str">
        <x:v>鱼类</x:v>
      </x:c>
      <x:c r="C1387" t="str">
        <x:v>鲈鱼</x:v>
      </x:c>
      <x:c r="D1387" t="n">
        <x:v>175</x:v>
      </x:c>
      <x:c r="E1387" t="n">
        <x:v>190</x:v>
      </x:c>
      <x:c r="F1387" s="10" t="str">
        <x:v>食材净重+约8%余量；带壳或带骨采购需另折算</x:v>
      </x:c>
      <x:c r="G1387" s="10" t="str">
        <x:v>净鱼肉生重</x:v>
      </x:c>
    </x:row>
    <x:row r="1388" ht="23" customHeight="1">
      <x:c r="A1388" t="n">
        <x:v>35</x:v>
      </x:c>
      <x:c r="B1388" t="str">
        <x:v>主食</x:v>
      </x:c>
      <x:c r="C1388" t="str">
        <x:v>乌冬面</x:v>
      </x:c>
      <x:c r="D1388" t="n">
        <x:v>110</x:v>
      </x:c>
      <x:c r="E1388" t="n">
        <x:v>50</x:v>
      </x:c>
      <x:c r="F1388" s="10" t="str">
        <x:v>干粮约重（按熟面/干面≈2.1估算）</x:v>
      </x:c>
      <x:c r="G1388" s="10" t="str">
        <x:v>煮熟沥水重</x:v>
      </x:c>
    </x:row>
    <x:row r="1389" ht="23" customHeight="1">
      <x:c r="A1389" t="n">
        <x:v>35</x:v>
      </x:c>
      <x:c r="B1389" t="str">
        <x:v>主食</x:v>
      </x:c>
      <x:c r="C1389" t="str">
        <x:v>土豆</x:v>
      </x:c>
      <x:c r="D1389" t="n">
        <x:v>125</x:v>
      </x:c>
      <x:c r="E1389" t="n">
        <x:v>140</x:v>
      </x:c>
      <x:c r="F1389" s="10" t="str">
        <x:v>鲜薯/玉米净重；考虑小幅损耗</x:v>
      </x:c>
      <x:c r="G1389" s="10" t="str">
        <x:v>蒸熟净重</x:v>
      </x:c>
    </x:row>
    <x:row r="1390" ht="23" customHeight="1">
      <x:c r="A1390" t="n">
        <x:v>35</x:v>
      </x:c>
      <x:c r="B1390" t="str">
        <x:v>主食</x:v>
      </x:c>
      <x:c r="C1390" t="str">
        <x:v>山药</x:v>
      </x:c>
      <x:c r="D1390" t="n">
        <x:v>150</x:v>
      </x:c>
      <x:c r="E1390" t="n">
        <x:v>160</x:v>
      </x:c>
      <x:c r="F1390" s="10" t="str">
        <x:v>鲜薯/玉米净重；考虑小幅损耗</x:v>
      </x:c>
      <x:c r="G1390" s="10" t="str">
        <x:v>蒸熟净重</x:v>
      </x:c>
    </x:row>
    <x:row r="1391" ht="23" customHeight="1">
      <x:c r="A1391" t="n">
        <x:v>35</x:v>
      </x:c>
      <x:c r="B1391" t="str">
        <x:v>主食</x:v>
      </x:c>
      <x:c r="C1391" t="str">
        <x:v>杂粮饭</x:v>
      </x:c>
      <x:c r="D1391" t="n">
        <x:v>420</x:v>
      </x:c>
      <x:c r="E1391" t="n">
        <x:v>160</x:v>
      </x:c>
      <x:c r="F1391" s="10" t="str">
        <x:v>未煮干粮约重（按熟饭/生米≈2.6估算）</x:v>
      </x:c>
      <x:c r="G1391" s="10" t="str">
        <x:v>熟重</x:v>
      </x:c>
    </x:row>
    <x:row r="1392" ht="23" customHeight="1">
      <x:c r="A1392" t="n">
        <x:v>35</x:v>
      </x:c>
      <x:c r="B1392" t="str">
        <x:v>主食</x:v>
      </x:c>
      <x:c r="C1392" t="str">
        <x:v>燕麦饭</x:v>
      </x:c>
      <x:c r="D1392" t="n">
        <x:v>135</x:v>
      </x:c>
      <x:c r="E1392" t="n">
        <x:v>50</x:v>
      </x:c>
      <x:c r="F1392" s="10" t="str">
        <x:v>未煮干粮约重（按熟饭/生米≈2.6估算）</x:v>
      </x:c>
      <x:c r="G1392" s="10" t="str">
        <x:v>熟重</x:v>
      </x:c>
    </x:row>
    <x:row r="1393" ht="23" customHeight="1">
      <x:c r="A1393" t="n">
        <x:v>35</x:v>
      </x:c>
      <x:c r="B1393" t="str">
        <x:v>主食</x:v>
      </x:c>
      <x:c r="C1393" t="str">
        <x:v>糙米饭</x:v>
      </x:c>
      <x:c r="D1393" t="n">
        <x:v>230</x:v>
      </x:c>
      <x:c r="E1393" t="n">
        <x:v>90</x:v>
      </x:c>
      <x:c r="F1393" s="10" t="str">
        <x:v>未煮干粮约重（按熟饭/生米≈2.6估算）</x:v>
      </x:c>
      <x:c r="G1393" s="10" t="str">
        <x:v>熟重</x:v>
      </x:c>
    </x:row>
    <x:row r="1394" ht="23" customHeight="1">
      <x:c r="A1394" t="n">
        <x:v>35</x:v>
      </x:c>
      <x:c r="B1394" t="str">
        <x:v>主食</x:v>
      </x:c>
      <x:c r="C1394" t="str">
        <x:v>紫薯</x:v>
      </x:c>
      <x:c r="D1394" t="n">
        <x:v>135</x:v>
      </x:c>
      <x:c r="E1394" t="n">
        <x:v>150</x:v>
      </x:c>
      <x:c r="F1394" s="10" t="str">
        <x:v>鲜薯/玉米净重；考虑小幅损耗</x:v>
      </x:c>
      <x:c r="G1394" s="10" t="str">
        <x:v>蒸熟净重</x:v>
      </x:c>
    </x:row>
    <x:row r="1395" ht="23" customHeight="1">
      <x:c r="A1395" t="n">
        <x:v>35</x:v>
      </x:c>
      <x:c r="B1395" t="str">
        <x:v>主食</x:v>
      </x:c>
      <x:c r="C1395" t="str">
        <x:v>藜麦饭</x:v>
      </x:c>
      <x:c r="D1395" t="n">
        <x:v>440</x:v>
      </x:c>
      <x:c r="E1395" t="n">
        <x:v>170</x:v>
      </x:c>
      <x:c r="F1395" s="10" t="str">
        <x:v>未煮干粮约重（按熟饭/生米≈2.6估算）</x:v>
      </x:c>
      <x:c r="G1395" s="10" t="str">
        <x:v>熟重</x:v>
      </x:c>
    </x:row>
    <x:row r="1396" ht="23" customHeight="1">
      <x:c r="A1396" t="n">
        <x:v>35</x:v>
      </x:c>
      <x:c r="B1396" t="str">
        <x:v>低主食</x:v>
      </x:c>
      <x:c r="C1396" t="str">
        <x:v>魔芋丝</x:v>
      </x:c>
      <x:c r="D1396" t="n">
        <x:v>160</x:v>
      </x:c>
      <x:c r="E1396" t="n">
        <x:v>170</x:v>
      </x:c>
      <x:c r="F1396" s="10" t="str">
        <x:v>袋装沥水净重</x:v>
      </x:c>
      <x:c r="G1396" s="10" t="str">
        <x:v>沥水重</x:v>
      </x:c>
    </x:row>
    <x:row r="1397" ht="23" customHeight="1">
      <x:c r="A1397" t="n">
        <x:v>35</x:v>
      </x:c>
      <x:c r="B1397" t="str">
        <x:v>油脂</x:v>
      </x:c>
      <x:c r="C1397" t="str">
        <x:v>烹调油</x:v>
      </x:c>
      <x:c r="D1397" t="n">
        <x:v>72</x:v>
      </x:c>
      <x:c r="E1397" t="n">
        <x:v>72</x:v>
      </x:c>
      <x:c r="F1397" s="10" t="str">
        <x:v>食用油；现有库存足够即可</x:v>
      </x:c>
      <x:c r="G1397" s="10" t="str">
        <x:v>实际用油重</x:v>
      </x:c>
    </x:row>
    <x:row r="1398" ht="23" customHeight="1">
      <x:c r="A1398" t="n">
        <x:v>35</x:v>
      </x:c>
      <x:c r="B1398" t="str">
        <x:v>海鲜</x:v>
      </x:c>
      <x:c r="C1398" t="str">
        <x:v>虾仁</x:v>
      </x:c>
      <x:c r="D1398" t="n">
        <x:v>450</x:v>
      </x:c>
      <x:c r="E1398" t="n">
        <x:v>490</x:v>
      </x:c>
      <x:c r="F1398" s="10" t="str">
        <x:v>食材净重+约8%余量</x:v>
      </x:c>
      <x:c r="G1398" s="10" t="str">
        <x:v>生重</x:v>
      </x:c>
    </x:row>
    <x:row r="1399" ht="23" customHeight="1">
      <x:c r="A1399" t="n">
        <x:v>35</x:v>
      </x:c>
      <x:c r="B1399" t="str">
        <x:v>海鲜</x:v>
      </x:c>
      <x:c r="C1399" t="str">
        <x:v>鱿鱼</x:v>
      </x:c>
      <x:c r="D1399" t="n">
        <x:v>425</x:v>
      </x:c>
      <x:c r="E1399" t="n">
        <x:v>460</x:v>
      </x:c>
      <x:c r="F1399" s="10" t="str">
        <x:v>食材净重+约8%余量</x:v>
      </x:c>
      <x:c r="G1399" s="10" t="str">
        <x:v>生重</x:v>
      </x:c>
    </x:row>
    <x:row r="1400" ht="23" customHeight="1">
      <x:c r="A1400" t="n">
        <x:v>35</x:v>
      </x:c>
      <x:c r="B1400" t="str">
        <x:v>牛肉</x:v>
      </x:c>
      <x:c r="C1400" t="str">
        <x:v>牛腱子</x:v>
      </x:c>
      <x:c r="D1400" t="n">
        <x:v>155</x:v>
      </x:c>
      <x:c r="E1400" t="n">
        <x:v>170</x:v>
      </x:c>
      <x:c r="F1400" s="10" t="str">
        <x:v>食材净重+约8%余量</x:v>
      </x:c>
      <x:c r="G1400" s="10" t="str">
        <x:v>生重</x:v>
      </x:c>
    </x:row>
    <x:row r="1401" ht="23" customHeight="1">
      <x:c r="A1401" t="n">
        <x:v>35</x:v>
      </x:c>
      <x:c r="B1401" t="str">
        <x:v>牛肉</x:v>
      </x:c>
      <x:c r="C1401" t="str">
        <x:v>牛里脊</x:v>
      </x:c>
      <x:c r="D1401" t="n">
        <x:v>355</x:v>
      </x:c>
      <x:c r="E1401" t="n">
        <x:v>380</x:v>
      </x:c>
      <x:c r="F1401" s="10" t="str">
        <x:v>食材净重+约8%余量</x:v>
      </x:c>
      <x:c r="G1401" s="10" t="str">
        <x:v>生重</x:v>
      </x:c>
    </x:row>
    <x:row r="1402" ht="23" customHeight="1">
      <x:c r="A1402" t="n">
        <x:v>35</x:v>
      </x:c>
      <x:c r="B1402" t="str">
        <x:v>牛肉</x:v>
      </x:c>
      <x:c r="C1402" t="str">
        <x:v>瘦牛肉</x:v>
      </x:c>
      <x:c r="D1402" t="n">
        <x:v>175</x:v>
      </x:c>
      <x:c r="E1402" t="n">
        <x:v>190</x:v>
      </x:c>
      <x:c r="F1402" s="10" t="str">
        <x:v>食材净重+约8%余量</x:v>
      </x:c>
      <x:c r="G1402" s="10" t="str">
        <x:v>生重</x:v>
      </x:c>
    </x:row>
    <x:row r="1403" ht="23" customHeight="1">
      <x:c r="A1403" t="n">
        <x:v>35</x:v>
      </x:c>
      <x:c r="B1403" t="str">
        <x:v>禽肉</x:v>
      </x:c>
      <x:c r="C1403" t="str">
        <x:v>鸡胸肉</x:v>
      </x:c>
      <x:c r="D1403" t="n">
        <x:v>330</x:v>
      </x:c>
      <x:c r="E1403" t="n">
        <x:v>360</x:v>
      </x:c>
      <x:c r="F1403" s="10" t="str">
        <x:v>食材净重+约8%余量</x:v>
      </x:c>
      <x:c r="G1403" s="10" t="str">
        <x:v>生重</x:v>
      </x:c>
    </x:row>
    <x:row r="1404" ht="23" customHeight="1">
      <x:c r="A1404" t="n">
        <x:v>35</x:v>
      </x:c>
      <x:c r="B1404" t="str">
        <x:v>禽肉</x:v>
      </x:c>
      <x:c r="C1404" t="str">
        <x:v>鸡里脊肉</x:v>
      </x:c>
      <x:c r="D1404" t="n">
        <x:v>180</x:v>
      </x:c>
      <x:c r="E1404" t="n">
        <x:v>190</x:v>
      </x:c>
      <x:c r="F1404" s="10" t="str">
        <x:v>食材净重+约8%余量</x:v>
      </x:c>
      <x:c r="G1404" s="10" t="str">
        <x:v>生重</x:v>
      </x:c>
    </x:row>
    <x:row r="1405" ht="23" customHeight="1">
      <x:c r="A1405" t="n">
        <x:v>35</x:v>
      </x:c>
      <x:c r="B1405" t="str">
        <x:v>菌菇</x:v>
      </x:c>
      <x:c r="C1405" t="str">
        <x:v>口蘑</x:v>
      </x:c>
      <x:c r="D1405" t="n">
        <x:v>125</x:v>
      </x:c>
      <x:c r="E1405" t="n">
        <x:v>140</x:v>
      </x:c>
      <x:c r="F1405" s="10" t="str">
        <x:v>食材净重+约8%余量</x:v>
      </x:c>
      <x:c r="G1405" s="10" t="str">
        <x:v>生重</x:v>
      </x:c>
    </x:row>
    <x:row r="1406" ht="23" customHeight="1">
      <x:c r="A1406" t="n">
        <x:v>35</x:v>
      </x:c>
      <x:c r="B1406" t="str">
        <x:v>菌菇</x:v>
      </x:c>
      <x:c r="C1406" t="str">
        <x:v>泡发木耳</x:v>
      </x:c>
      <x:c r="D1406" t="n">
        <x:v>250</x:v>
      </x:c>
      <x:c r="E1406" t="n">
        <x:v>270</x:v>
      </x:c>
      <x:c r="F1406" s="10" t="str">
        <x:v>食材净重+约8%余量</x:v>
      </x:c>
      <x:c r="G1406" s="10" t="str">
        <x:v>泡发沥水重</x:v>
      </x:c>
    </x:row>
    <x:row r="1407" ht="23" customHeight="1">
      <x:c r="A1407" t="n">
        <x:v>35</x:v>
      </x:c>
      <x:c r="B1407" t="str">
        <x:v>菌菇</x:v>
      </x:c>
      <x:c r="C1407" t="str">
        <x:v>香菇</x:v>
      </x:c>
      <x:c r="D1407" t="n">
        <x:v>155</x:v>
      </x:c>
      <x:c r="E1407" t="n">
        <x:v>170</x:v>
      </x:c>
      <x:c r="F1407" s="10" t="str">
        <x:v>食材净重+约8%余量</x:v>
      </x:c>
      <x:c r="G1407" s="10" t="str">
        <x:v>生重</x:v>
      </x:c>
    </x:row>
    <x:row r="1408" ht="23" customHeight="1">
      <x:c r="A1408" t="n">
        <x:v>35</x:v>
      </x:c>
      <x:c r="B1408" t="str">
        <x:v>蔬菜</x:v>
      </x:c>
      <x:c r="C1408" t="str">
        <x:v>冬瓜</x:v>
      </x:c>
      <x:c r="D1408" t="n">
        <x:v>280</x:v>
      </x:c>
      <x:c r="E1408" t="n">
        <x:v>300</x:v>
      </x:c>
      <x:c r="F1408" s="10" t="str">
        <x:v>食材净重+约8%余量</x:v>
      </x:c>
      <x:c r="G1408" s="10" t="str">
        <x:v>生重</x:v>
      </x:c>
    </x:row>
    <x:row r="1409" ht="23" customHeight="1">
      <x:c r="A1409" t="n">
        <x:v>35</x:v>
      </x:c>
      <x:c r="B1409" t="str">
        <x:v>蔬菜</x:v>
      </x:c>
      <x:c r="C1409" t="str">
        <x:v>四季豆</x:v>
      </x:c>
      <x:c r="D1409" t="n">
        <x:v>365</x:v>
      </x:c>
      <x:c r="E1409" t="n">
        <x:v>390</x:v>
      </x:c>
      <x:c r="F1409" s="10" t="str">
        <x:v>食材净重+约8%余量</x:v>
      </x:c>
      <x:c r="G1409" s="10" t="str">
        <x:v>生重</x:v>
      </x:c>
    </x:row>
    <x:row r="1410" ht="23" customHeight="1">
      <x:c r="A1410" t="n">
        <x:v>35</x:v>
      </x:c>
      <x:c r="B1410" t="str">
        <x:v>蔬菜</x:v>
      </x:c>
      <x:c r="C1410" t="str">
        <x:v>大白菜</x:v>
      </x:c>
      <x:c r="D1410" t="n">
        <x:v>190</x:v>
      </x:c>
      <x:c r="E1410" t="n">
        <x:v>210</x:v>
      </x:c>
      <x:c r="F1410" s="10" t="str">
        <x:v>食材净重+约8%余量</x:v>
      </x:c>
      <x:c r="G1410" s="10" t="str">
        <x:v>生重</x:v>
      </x:c>
    </x:row>
    <x:row r="1411" ht="23" customHeight="1">
      <x:c r="A1411" t="n">
        <x:v>35</x:v>
      </x:c>
      <x:c r="B1411" t="str">
        <x:v>蔬菜</x:v>
      </x:c>
      <x:c r="C1411" t="str">
        <x:v>娃娃菜</x:v>
      </x:c>
      <x:c r="D1411" t="n">
        <x:v>190</x:v>
      </x:c>
      <x:c r="E1411" t="n">
        <x:v>210</x:v>
      </x:c>
      <x:c r="F1411" s="10" t="str">
        <x:v>食材净重+约8%余量</x:v>
      </x:c>
      <x:c r="G1411" s="10" t="str">
        <x:v>生重</x:v>
      </x:c>
    </x:row>
    <x:row r="1412" ht="23" customHeight="1">
      <x:c r="A1412" t="n">
        <x:v>35</x:v>
      </x:c>
      <x:c r="B1412" t="str">
        <x:v>蔬菜</x:v>
      </x:c>
      <x:c r="C1412" t="str">
        <x:v>小白菜</x:v>
      </x:c>
      <x:c r="D1412" t="n">
        <x:v>125</x:v>
      </x:c>
      <x:c r="E1412" t="n">
        <x:v>140</x:v>
      </x:c>
      <x:c r="F1412" s="10" t="str">
        <x:v>食材净重+约8%余量</x:v>
      </x:c>
      <x:c r="G1412" s="10" t="str">
        <x:v>生重</x:v>
      </x:c>
    </x:row>
    <x:row r="1413" ht="23" customHeight="1">
      <x:c r="A1413" t="n">
        <x:v>35</x:v>
      </x:c>
      <x:c r="B1413" t="str">
        <x:v>蔬菜</x:v>
      </x:c>
      <x:c r="C1413" t="str">
        <x:v>油麦菜</x:v>
      </x:c>
      <x:c r="D1413" t="n">
        <x:v>140</x:v>
      </x:c>
      <x:c r="E1413" t="n">
        <x:v>150</x:v>
      </x:c>
      <x:c r="F1413" s="10" t="str">
        <x:v>食材净重+约8%余量</x:v>
      </x:c>
      <x:c r="G1413" s="10" t="str">
        <x:v>生重</x:v>
      </x:c>
    </x:row>
    <x:row r="1414" ht="23" customHeight="1">
      <x:c r="A1414" t="n">
        <x:v>35</x:v>
      </x:c>
      <x:c r="B1414" t="str">
        <x:v>蔬菜</x:v>
      </x:c>
      <x:c r="C1414" t="str">
        <x:v>番茄</x:v>
      </x:c>
      <x:c r="D1414" t="n">
        <x:v>315</x:v>
      </x:c>
      <x:c r="E1414" t="n">
        <x:v>340</x:v>
      </x:c>
      <x:c r="F1414" s="10" t="str">
        <x:v>食材净重+约8%余量</x:v>
      </x:c>
      <x:c r="G1414" s="10" t="str">
        <x:v>生重</x:v>
      </x:c>
    </x:row>
    <x:row r="1415" ht="23" customHeight="1">
      <x:c r="A1415" t="n">
        <x:v>35</x:v>
      </x:c>
      <x:c r="B1415" t="str">
        <x:v>蔬菜</x:v>
      </x:c>
      <x:c r="C1415" t="str">
        <x:v>白萝卜</x:v>
      </x:c>
      <x:c r="D1415" t="n">
        <x:v>155</x:v>
      </x:c>
      <x:c r="E1415" t="n">
        <x:v>170</x:v>
      </x:c>
      <x:c r="F1415" s="10" t="str">
        <x:v>食材净重+约8%余量</x:v>
      </x:c>
      <x:c r="G1415" s="10" t="str">
        <x:v>生重</x:v>
      </x:c>
    </x:row>
    <x:row r="1416" ht="23" customHeight="1">
      <x:c r="A1416" t="n">
        <x:v>35</x:v>
      </x:c>
      <x:c r="B1416" t="str">
        <x:v>蔬菜</x:v>
      </x:c>
      <x:c r="C1416" t="str">
        <x:v>竹笋</x:v>
      </x:c>
      <x:c r="D1416" t="n">
        <x:v>190</x:v>
      </x:c>
      <x:c r="E1416" t="n">
        <x:v>210</x:v>
      </x:c>
      <x:c r="F1416" s="10" t="str">
        <x:v>食材净重+约8%余量</x:v>
      </x:c>
      <x:c r="G1416" s="10" t="str">
        <x:v>生重</x:v>
      </x:c>
    </x:row>
    <x:row r="1417" ht="23" customHeight="1">
      <x:c r="A1417" t="n">
        <x:v>35</x:v>
      </x:c>
      <x:c r="B1417" t="str">
        <x:v>蔬菜</x:v>
      </x:c>
      <x:c r="C1417" t="str">
        <x:v>绿豆芽</x:v>
      </x:c>
      <x:c r="D1417" t="n">
        <x:v>310</x:v>
      </x:c>
      <x:c r="E1417" t="n">
        <x:v>330</x:v>
      </x:c>
      <x:c r="F1417" s="10" t="str">
        <x:v>食材净重+约8%余量</x:v>
      </x:c>
      <x:c r="G1417" s="10" t="str">
        <x:v>生重</x:v>
      </x:c>
    </x:row>
    <x:row r="1418" ht="23" customHeight="1">
      <x:c r="A1418" t="n">
        <x:v>35</x:v>
      </x:c>
      <x:c r="B1418" t="str">
        <x:v>蔬菜</x:v>
      </x:c>
      <x:c r="C1418" t="str">
        <x:v>胡萝卜</x:v>
      </x:c>
      <x:c r="D1418" t="n">
        <x:v>110</x:v>
      </x:c>
      <x:c r="E1418" t="n">
        <x:v>120</x:v>
      </x:c>
      <x:c r="F1418" s="10" t="str">
        <x:v>食材净重+约8%余量</x:v>
      </x:c>
      <x:c r="G1418" s="10" t="str">
        <x:v>生重</x:v>
      </x:c>
    </x:row>
    <x:row r="1419" ht="23" customHeight="1">
      <x:c r="A1419" t="n">
        <x:v>35</x:v>
      </x:c>
      <x:c r="B1419" t="str">
        <x:v>蔬菜</x:v>
      </x:c>
      <x:c r="C1419" t="str">
        <x:v>芦笋</x:v>
      </x:c>
      <x:c r="D1419" t="n">
        <x:v>155</x:v>
      </x:c>
      <x:c r="E1419" t="n">
        <x:v>170</x:v>
      </x:c>
      <x:c r="F1419" s="10" t="str">
        <x:v>食材净重+约8%余量</x:v>
      </x:c>
      <x:c r="G1419" s="10" t="str">
        <x:v>生重</x:v>
      </x:c>
    </x:row>
    <x:row r="1420" ht="23" customHeight="1">
      <x:c r="A1420" t="n">
        <x:v>35</x:v>
      </x:c>
      <x:c r="B1420" t="str">
        <x:v>蔬菜</x:v>
      </x:c>
      <x:c r="C1420" t="str">
        <x:v>花菜</x:v>
      </x:c>
      <x:c r="D1420" t="n">
        <x:v>175</x:v>
      </x:c>
      <x:c r="E1420" t="n">
        <x:v>190</x:v>
      </x:c>
      <x:c r="F1420" s="10" t="str">
        <x:v>食材净重+约8%余量</x:v>
      </x:c>
      <x:c r="G1420" s="10" t="str">
        <x:v>生重</x:v>
      </x:c>
    </x:row>
    <x:row r="1421" ht="23" customHeight="1">
      <x:c r="A1421" t="n">
        <x:v>35</x:v>
      </x:c>
      <x:c r="B1421" t="str">
        <x:v>蔬菜</x:v>
      </x:c>
      <x:c r="C1421" t="str">
        <x:v>茼蒿</x:v>
      </x:c>
      <x:c r="D1421" t="n">
        <x:v>280</x:v>
      </x:c>
      <x:c r="E1421" t="n">
        <x:v>300</x:v>
      </x:c>
      <x:c r="F1421" s="10" t="str">
        <x:v>食材净重+约8%余量</x:v>
      </x:c>
      <x:c r="G1421" s="10" t="str">
        <x:v>生重</x:v>
      </x:c>
    </x:row>
    <x:row r="1422" ht="23" customHeight="1">
      <x:c r="A1422" t="n">
        <x:v>35</x:v>
      </x:c>
      <x:c r="B1422" t="str">
        <x:v>蔬菜</x:v>
      </x:c>
      <x:c r="C1422" t="str">
        <x:v>荷兰豆</x:v>
      </x:c>
      <x:c r="D1422" t="n">
        <x:v>110</x:v>
      </x:c>
      <x:c r="E1422" t="n">
        <x:v>120</x:v>
      </x:c>
      <x:c r="F1422" s="10" t="str">
        <x:v>食材净重+约8%余量</x:v>
      </x:c>
      <x:c r="G1422" s="10" t="str">
        <x:v>生重</x:v>
      </x:c>
    </x:row>
    <x:row r="1423" ht="23" customHeight="1">
      <x:c r="A1423" t="n">
        <x:v>35</x:v>
      </x:c>
      <x:c r="B1423" t="str">
        <x:v>蔬菜</x:v>
      </x:c>
      <x:c r="C1423" t="str">
        <x:v>莴笋</x:v>
      </x:c>
      <x:c r="D1423" t="n">
        <x:v>435</x:v>
      </x:c>
      <x:c r="E1423" t="n">
        <x:v>470</x:v>
      </x:c>
      <x:c r="F1423" s="10" t="str">
        <x:v>食材净重+约8%余量</x:v>
      </x:c>
      <x:c r="G1423" s="10" t="str">
        <x:v>生重</x:v>
      </x:c>
    </x:row>
    <x:row r="1424" ht="23" customHeight="1">
      <x:c r="A1424" t="n">
        <x:v>35</x:v>
      </x:c>
      <x:c r="B1424" t="str">
        <x:v>蔬菜</x:v>
      </x:c>
      <x:c r="C1424" t="str">
        <x:v>黄瓜</x:v>
      </x:c>
      <x:c r="D1424" t="n">
        <x:v>175</x:v>
      </x:c>
      <x:c r="E1424" t="n">
        <x:v>190</x:v>
      </x:c>
      <x:c r="F1424" s="10" t="str">
        <x:v>食材净重+约8%余量</x:v>
      </x:c>
      <x:c r="G1424" s="10" t="str">
        <x:v>生重</x:v>
      </x:c>
    </x:row>
    <x:row r="1425" ht="23" customHeight="1">
      <x:c r="A1425" t="n">
        <x:v>35</x:v>
      </x:c>
      <x:c r="B1425" t="str">
        <x:v>豆蛋</x:v>
      </x:c>
      <x:c r="C1425" t="str">
        <x:v>北豆腐</x:v>
      </x:c>
      <x:c r="D1425" t="n">
        <x:v>300</x:v>
      </x:c>
      <x:c r="E1425" t="n">
        <x:v>320</x:v>
      </x:c>
      <x:c r="F1425" s="10" t="str">
        <x:v>食材净重+约8%余量</x:v>
      </x:c>
      <x:c r="G1425" s="10" t="str">
        <x:v>净重</x:v>
      </x:c>
    </x:row>
    <x:row r="1426" ht="23" customHeight="1">
      <x:c r="A1426" t="n">
        <x:v>35</x:v>
      </x:c>
      <x:c r="B1426" t="str">
        <x:v>豆蛋</x:v>
      </x:c>
      <x:c r="C1426" t="str">
        <x:v>熟毛豆仁</x:v>
      </x:c>
      <x:c r="D1426" t="n">
        <x:v>100</x:v>
      </x:c>
      <x:c r="E1426" t="n">
        <x:v>110</x:v>
      </x:c>
      <x:c r="F1426" s="10" t="str">
        <x:v>食材净重+约8%余量</x:v>
      </x:c>
      <x:c r="G1426" s="10" t="str">
        <x:v>熟重</x:v>
      </x:c>
    </x:row>
    <x:row r="1427" ht="23" customHeight="1">
      <x:c r="A1427" t="n">
        <x:v>35</x:v>
      </x:c>
      <x:c r="B1427" t="str">
        <x:v>鱼类</x:v>
      </x:c>
      <x:c r="C1427" t="str">
        <x:v>巴沙鱼</x:v>
      </x:c>
      <x:c r="D1427" t="n">
        <x:v>200</x:v>
      </x:c>
      <x:c r="E1427" t="n">
        <x:v>220</x:v>
      </x:c>
      <x:c r="F1427" s="10" t="str">
        <x:v>食材净重+约8%余量</x:v>
      </x:c>
      <x:c r="G1427" s="10" t="str">
        <x:v>净鱼肉生重</x:v>
      </x:c>
    </x:row>
    <x:row r="1428" ht="23" customHeight="1">
      <x:c r="A1428" t="n">
        <x:v>35</x:v>
      </x:c>
      <x:c r="B1428" t="str">
        <x:v>鱼类</x:v>
      </x:c>
      <x:c r="C1428" t="str">
        <x:v>鲈鱼</x:v>
      </x:c>
      <x:c r="D1428" t="n">
        <x:v>185</x:v>
      </x:c>
      <x:c r="E1428" t="n">
        <x:v>200</x:v>
      </x:c>
      <x:c r="F1428" s="10" t="str">
        <x:v>食材净重+约8%余量；带壳或带骨采购需另折算</x:v>
      </x:c>
      <x:c r="G1428" s="10" t="str">
        <x:v>净鱼肉生重</x:v>
      </x:c>
    </x:row>
    <x:row r="1429" ht="23" customHeight="1">
      <x:c r="A1429" t="n">
        <x:v>36</x:v>
      </x:c>
      <x:c r="B1429" t="str">
        <x:v>主食</x:v>
      </x:c>
      <x:c r="C1429" t="str">
        <x:v>乌冬面</x:v>
      </x:c>
      <x:c r="D1429" t="n">
        <x:v>125</x:v>
      </x:c>
      <x:c r="E1429" t="n">
        <x:v>60</x:v>
      </x:c>
      <x:c r="F1429" s="10" t="str">
        <x:v>干粮约重（按熟面/干面≈2.1估算）</x:v>
      </x:c>
      <x:c r="G1429" s="10" t="str">
        <x:v>煮熟沥水重</x:v>
      </x:c>
    </x:row>
    <x:row r="1430" ht="23" customHeight="1">
      <x:c r="A1430" t="n">
        <x:v>36</x:v>
      </x:c>
      <x:c r="B1430" t="str">
        <x:v>主食</x:v>
      </x:c>
      <x:c r="C1430" t="str">
        <x:v>杂粮饭</x:v>
      </x:c>
      <x:c r="D1430" t="n">
        <x:v>245</x:v>
      </x:c>
      <x:c r="E1430" t="n">
        <x:v>90</x:v>
      </x:c>
      <x:c r="F1430" s="10" t="str">
        <x:v>未煮干粮约重（按熟饭/生米≈2.6估算）</x:v>
      </x:c>
      <x:c r="G1430" s="10" t="str">
        <x:v>熟重</x:v>
      </x:c>
    </x:row>
    <x:row r="1431" ht="23" customHeight="1">
      <x:c r="A1431" t="n">
        <x:v>36</x:v>
      </x:c>
      <x:c r="B1431" t="str">
        <x:v>主食</x:v>
      </x:c>
      <x:c r="C1431" t="str">
        <x:v>燕麦饭</x:v>
      </x:c>
      <x:c r="D1431" t="n">
        <x:v>150</x:v>
      </x:c>
      <x:c r="E1431" t="n">
        <x:v>60</x:v>
      </x:c>
      <x:c r="F1431" s="10" t="str">
        <x:v>未煮干粮约重（按熟饭/生米≈2.6估算）</x:v>
      </x:c>
      <x:c r="G1431" s="10" t="str">
        <x:v>熟重</x:v>
      </x:c>
    </x:row>
    <x:row r="1432" ht="23" customHeight="1">
      <x:c r="A1432" t="n">
        <x:v>36</x:v>
      </x:c>
      <x:c r="B1432" t="str">
        <x:v>主食</x:v>
      </x:c>
      <x:c r="C1432" t="str">
        <x:v>玉米</x:v>
      </x:c>
      <x:c r="D1432" t="n">
        <x:v>125</x:v>
      </x:c>
      <x:c r="E1432" t="n">
        <x:v>140</x:v>
      </x:c>
      <x:c r="F1432" s="10" t="str">
        <x:v>鲜薯/玉米净重；考虑小幅损耗</x:v>
      </x:c>
      <x:c r="G1432" s="10" t="str">
        <x:v>蒸熟净重</x:v>
      </x:c>
    </x:row>
    <x:row r="1433" ht="23" customHeight="1">
      <x:c r="A1433" t="n">
        <x:v>36</x:v>
      </x:c>
      <x:c r="B1433" t="str">
        <x:v>主食</x:v>
      </x:c>
      <x:c r="C1433" t="str">
        <x:v>米粉</x:v>
      </x:c>
      <x:c r="D1433" t="n">
        <x:v>95</x:v>
      </x:c>
      <x:c r="E1433" t="n">
        <x:v>50</x:v>
      </x:c>
      <x:c r="F1433" s="10" t="str">
        <x:v>干粮约重（按熟面/干面≈2.1估算）</x:v>
      </x:c>
      <x:c r="G1433" s="10" t="str">
        <x:v>煮熟沥水重</x:v>
      </x:c>
    </x:row>
    <x:row r="1434" ht="23" customHeight="1">
      <x:c r="A1434" t="n">
        <x:v>36</x:v>
      </x:c>
      <x:c r="B1434" t="str">
        <x:v>主食</x:v>
      </x:c>
      <x:c r="C1434" t="str">
        <x:v>糙米饭</x:v>
      </x:c>
      <x:c r="D1434" t="n">
        <x:v>655</x:v>
      </x:c>
      <x:c r="E1434" t="n">
        <x:v>250</x:v>
      </x:c>
      <x:c r="F1434" s="10" t="str">
        <x:v>未煮干粮约重（按熟饭/生米≈2.6估算）</x:v>
      </x:c>
      <x:c r="G1434" s="10" t="str">
        <x:v>熟重</x:v>
      </x:c>
    </x:row>
    <x:row r="1435" ht="23" customHeight="1">
      <x:c r="A1435" t="n">
        <x:v>36</x:v>
      </x:c>
      <x:c r="B1435" t="str">
        <x:v>主食</x:v>
      </x:c>
      <x:c r="C1435" t="str">
        <x:v>紫薯</x:v>
      </x:c>
      <x:c r="D1435" t="n">
        <x:v>135</x:v>
      </x:c>
      <x:c r="E1435" t="n">
        <x:v>150</x:v>
      </x:c>
      <x:c r="F1435" s="10" t="str">
        <x:v>鲜薯/玉米净重；考虑小幅损耗</x:v>
      </x:c>
      <x:c r="G1435" s="10" t="str">
        <x:v>蒸熟净重</x:v>
      </x:c>
    </x:row>
    <x:row r="1436" ht="23" customHeight="1">
      <x:c r="A1436" t="n">
        <x:v>36</x:v>
      </x:c>
      <x:c r="B1436" t="str">
        <x:v>主食</x:v>
      </x:c>
      <x:c r="C1436" t="str">
        <x:v>荞麦面</x:v>
      </x:c>
      <x:c r="D1436" t="n">
        <x:v>110</x:v>
      </x:c>
      <x:c r="E1436" t="n">
        <x:v>50</x:v>
      </x:c>
      <x:c r="F1436" s="10" t="str">
        <x:v>干粮约重（按熟面/干面≈2.1估算）</x:v>
      </x:c>
      <x:c r="G1436" s="10" t="str">
        <x:v>煮熟沥水重</x:v>
      </x:c>
    </x:row>
    <x:row r="1437" ht="23" customHeight="1">
      <x:c r="A1437" t="n">
        <x:v>36</x:v>
      </x:c>
      <x:c r="B1437" t="str">
        <x:v>主食</x:v>
      </x:c>
      <x:c r="C1437" t="str">
        <x:v>藜麦饭</x:v>
      </x:c>
      <x:c r="D1437" t="n">
        <x:v>125</x:v>
      </x:c>
      <x:c r="E1437" t="n">
        <x:v>50</x:v>
      </x:c>
      <x:c r="F1437" s="10" t="str">
        <x:v>未煮干粮约重（按熟饭/生米≈2.6估算）</x:v>
      </x:c>
      <x:c r="G1437" s="10" t="str">
        <x:v>熟重</x:v>
      </x:c>
    </x:row>
    <x:row r="1438" ht="23" customHeight="1">
      <x:c r="A1438" t="n">
        <x:v>36</x:v>
      </x:c>
      <x:c r="B1438" t="str">
        <x:v>油脂</x:v>
      </x:c>
      <x:c r="C1438" t="str">
        <x:v>烹调油</x:v>
      </x:c>
      <x:c r="D1438" t="n">
        <x:v>61</x:v>
      </x:c>
      <x:c r="E1438" t="n">
        <x:v>61</x:v>
      </x:c>
      <x:c r="F1438" s="10" t="str">
        <x:v>食用油；现有库存足够即可</x:v>
      </x:c>
      <x:c r="G1438" s="10" t="str">
        <x:v>实际用油重</x:v>
      </x:c>
    </x:row>
    <x:row r="1439" ht="23" customHeight="1">
      <x:c r="A1439" t="n">
        <x:v>36</x:v>
      </x:c>
      <x:c r="B1439" t="str">
        <x:v>海鲜</x:v>
      </x:c>
      <x:c r="C1439" t="str">
        <x:v>花蛤肉</x:v>
      </x:c>
      <x:c r="D1439" t="n">
        <x:v>170</x:v>
      </x:c>
      <x:c r="E1439" t="n">
        <x:v>180</x:v>
      </x:c>
      <x:c r="F1439" s="10" t="str">
        <x:v>食材净重+约8%余量；带壳或带骨采购需另折算</x:v>
      </x:c>
      <x:c r="G1439" s="10" t="str">
        <x:v>净肉生重</x:v>
      </x:c>
    </x:row>
    <x:row r="1440" ht="23" customHeight="1">
      <x:c r="A1440" t="n">
        <x:v>36</x:v>
      </x:c>
      <x:c r="B1440" t="str">
        <x:v>海鲜</x:v>
      </x:c>
      <x:c r="C1440" t="str">
        <x:v>虾仁</x:v>
      </x:c>
      <x:c r="D1440" t="n">
        <x:v>245</x:v>
      </x:c>
      <x:c r="E1440" t="n">
        <x:v>260</x:v>
      </x:c>
      <x:c r="F1440" s="10" t="str">
        <x:v>食材净重+约8%余量</x:v>
      </x:c>
      <x:c r="G1440" s="10" t="str">
        <x:v>生重</x:v>
      </x:c>
    </x:row>
    <x:row r="1441" ht="23" customHeight="1">
      <x:c r="A1441" t="n">
        <x:v>36</x:v>
      </x:c>
      <x:c r="B1441" t="str">
        <x:v>牛肉</x:v>
      </x:c>
      <x:c r="C1441" t="str">
        <x:v>瘦牛肉</x:v>
      </x:c>
      <x:c r="D1441" t="n">
        <x:v>160</x:v>
      </x:c>
      <x:c r="E1441" t="n">
        <x:v>170</x:v>
      </x:c>
      <x:c r="F1441" s="10" t="str">
        <x:v>食材净重+约8%余量</x:v>
      </x:c>
      <x:c r="G1441" s="10" t="str">
        <x:v>生重</x:v>
      </x:c>
    </x:row>
    <x:row r="1442" ht="23" customHeight="1">
      <x:c r="A1442" t="n">
        <x:v>36</x:v>
      </x:c>
      <x:c r="B1442" t="str">
        <x:v>猪肉</x:v>
      </x:c>
      <x:c r="C1442" t="str">
        <x:v>猪里脊</x:v>
      </x:c>
      <x:c r="D1442" t="n">
        <x:v>170</x:v>
      </x:c>
      <x:c r="E1442" t="n">
        <x:v>180</x:v>
      </x:c>
      <x:c r="F1442" s="10" t="str">
        <x:v>食材净重+约8%余量</x:v>
      </x:c>
      <x:c r="G1442" s="10" t="str">
        <x:v>生重</x:v>
      </x:c>
    </x:row>
    <x:row r="1443" ht="23" customHeight="1">
      <x:c r="A1443" t="n">
        <x:v>36</x:v>
      </x:c>
      <x:c r="B1443" t="str">
        <x:v>禽肉</x:v>
      </x:c>
      <x:c r="C1443" t="str">
        <x:v>去皮鸡腿肉</x:v>
      </x:c>
      <x:c r="D1443" t="n">
        <x:v>145</x:v>
      </x:c>
      <x:c r="E1443" t="n">
        <x:v>160</x:v>
      </x:c>
      <x:c r="F1443" s="10" t="str">
        <x:v>食材净重+约8%余量</x:v>
      </x:c>
      <x:c r="G1443" s="10" t="str">
        <x:v>生重</x:v>
      </x:c>
    </x:row>
    <x:row r="1444" ht="23" customHeight="1">
      <x:c r="A1444" t="n">
        <x:v>36</x:v>
      </x:c>
      <x:c r="B1444" t="str">
        <x:v>禽肉</x:v>
      </x:c>
      <x:c r="C1444" t="str">
        <x:v>鸡胸肉</x:v>
      </x:c>
      <x:c r="D1444" t="n">
        <x:v>155</x:v>
      </x:c>
      <x:c r="E1444" t="n">
        <x:v>170</x:v>
      </x:c>
      <x:c r="F1444" s="10" t="str">
        <x:v>食材净重+约8%余量</x:v>
      </x:c>
      <x:c r="G1444" s="10" t="str">
        <x:v>生重</x:v>
      </x:c>
    </x:row>
    <x:row r="1445" ht="23" customHeight="1">
      <x:c r="A1445" t="n">
        <x:v>36</x:v>
      </x:c>
      <x:c r="B1445" t="str">
        <x:v>菌菇</x:v>
      </x:c>
      <x:c r="C1445" t="str">
        <x:v>口蘑</x:v>
      </x:c>
      <x:c r="D1445" t="n">
        <x:v>125</x:v>
      </x:c>
      <x:c r="E1445" t="n">
        <x:v>140</x:v>
      </x:c>
      <x:c r="F1445" s="10" t="str">
        <x:v>食材净重+约8%余量</x:v>
      </x:c>
      <x:c r="G1445" s="10" t="str">
        <x:v>生重</x:v>
      </x:c>
    </x:row>
    <x:row r="1446" ht="23" customHeight="1">
      <x:c r="A1446" t="n">
        <x:v>36</x:v>
      </x:c>
      <x:c r="B1446" t="str">
        <x:v>菌菇</x:v>
      </x:c>
      <x:c r="C1446" t="str">
        <x:v>香菇</x:v>
      </x:c>
      <x:c r="D1446" t="n">
        <x:v>155</x:v>
      </x:c>
      <x:c r="E1446" t="n">
        <x:v>170</x:v>
      </x:c>
      <x:c r="F1446" s="10" t="str">
        <x:v>食材净重+约8%余量</x:v>
      </x:c>
      <x:c r="G1446" s="10" t="str">
        <x:v>生重</x:v>
      </x:c>
    </x:row>
    <x:row r="1447" ht="23" customHeight="1">
      <x:c r="A1447" t="n">
        <x:v>36</x:v>
      </x:c>
      <x:c r="B1447" t="str">
        <x:v>蔬菜</x:v>
      </x:c>
      <x:c r="C1447" t="str">
        <x:v>大白菜</x:v>
      </x:c>
      <x:c r="D1447" t="n">
        <x:v>175</x:v>
      </x:c>
      <x:c r="E1447" t="n">
        <x:v>190</x:v>
      </x:c>
      <x:c r="F1447" s="10" t="str">
        <x:v>食材净重+约8%余量</x:v>
      </x:c>
      <x:c r="G1447" s="10" t="str">
        <x:v>生重</x:v>
      </x:c>
    </x:row>
    <x:row r="1448" ht="23" customHeight="1">
      <x:c r="A1448" t="n">
        <x:v>36</x:v>
      </x:c>
      <x:c r="B1448" t="str">
        <x:v>蔬菜</x:v>
      </x:c>
      <x:c r="C1448" t="str">
        <x:v>娃娃菜</x:v>
      </x:c>
      <x:c r="D1448" t="n">
        <x:v>190</x:v>
      </x:c>
      <x:c r="E1448" t="n">
        <x:v>210</x:v>
      </x:c>
      <x:c r="F1448" s="10" t="str">
        <x:v>食材净重+约8%余量</x:v>
      </x:c>
      <x:c r="G1448" s="10" t="str">
        <x:v>生重</x:v>
      </x:c>
    </x:row>
    <x:row r="1449" ht="23" customHeight="1">
      <x:c r="A1449" t="n">
        <x:v>36</x:v>
      </x:c>
      <x:c r="B1449" t="str">
        <x:v>蔬菜</x:v>
      </x:c>
      <x:c r="C1449" t="str">
        <x:v>小白菜</x:v>
      </x:c>
      <x:c r="D1449" t="n">
        <x:v>140</x:v>
      </x:c>
      <x:c r="E1449" t="n">
        <x:v>150</x:v>
      </x:c>
      <x:c r="F1449" s="10" t="str">
        <x:v>食材净重+约8%余量</x:v>
      </x:c>
      <x:c r="G1449" s="10" t="str">
        <x:v>生重</x:v>
      </x:c>
    </x:row>
    <x:row r="1450" ht="23" customHeight="1">
      <x:c r="A1450" t="n">
        <x:v>36</x:v>
      </x:c>
      <x:c r="B1450" t="str">
        <x:v>蔬菜</x:v>
      </x:c>
      <x:c r="C1450" t="str">
        <x:v>彩椒</x:v>
      </x:c>
      <x:c r="D1450" t="n">
        <x:v>455</x:v>
      </x:c>
      <x:c r="E1450" t="n">
        <x:v>490</x:v>
      </x:c>
      <x:c r="F1450" s="10" t="str">
        <x:v>食材净重+约8%余量</x:v>
      </x:c>
      <x:c r="G1450" s="10" t="str">
        <x:v>生重</x:v>
      </x:c>
    </x:row>
    <x:row r="1451" ht="23" customHeight="1">
      <x:c r="A1451" t="n">
        <x:v>36</x:v>
      </x:c>
      <x:c r="B1451" t="str">
        <x:v>蔬菜</x:v>
      </x:c>
      <x:c r="C1451" t="str">
        <x:v>海带</x:v>
      </x:c>
      <x:c r="D1451" t="n">
        <x:v>140</x:v>
      </x:c>
      <x:c r="E1451" t="n">
        <x:v>150</x:v>
      </x:c>
      <x:c r="F1451" s="10" t="str">
        <x:v>食材净重+约8%余量</x:v>
      </x:c>
      <x:c r="G1451" s="10" t="str">
        <x:v>泡发沥水重</x:v>
      </x:c>
    </x:row>
    <x:row r="1452" ht="23" customHeight="1">
      <x:c r="A1452" t="n">
        <x:v>36</x:v>
      </x:c>
      <x:c r="B1452" t="str">
        <x:v>蔬菜</x:v>
      </x:c>
      <x:c r="C1452" t="str">
        <x:v>番茄</x:v>
      </x:c>
      <x:c r="D1452" t="n">
        <x:v>660</x:v>
      </x:c>
      <x:c r="E1452" t="n">
        <x:v>710</x:v>
      </x:c>
      <x:c r="F1452" s="10" t="str">
        <x:v>食材净重+约8%余量</x:v>
      </x:c>
      <x:c r="G1452" s="10" t="str">
        <x:v>生重</x:v>
      </x:c>
    </x:row>
    <x:row r="1453" ht="23" customHeight="1">
      <x:c r="A1453" t="n">
        <x:v>36</x:v>
      </x:c>
      <x:c r="B1453" t="str">
        <x:v>蔬菜</x:v>
      </x:c>
      <x:c r="C1453" t="str">
        <x:v>白萝卜</x:v>
      </x:c>
      <x:c r="D1453" t="n">
        <x:v>265</x:v>
      </x:c>
      <x:c r="E1453" t="n">
        <x:v>290</x:v>
      </x:c>
      <x:c r="F1453" s="10" t="str">
        <x:v>食材净重+约8%余量</x:v>
      </x:c>
      <x:c r="G1453" s="10" t="str">
        <x:v>生重</x:v>
      </x:c>
    </x:row>
    <x:row r="1454" ht="23" customHeight="1">
      <x:c r="A1454" t="n">
        <x:v>36</x:v>
      </x:c>
      <x:c r="B1454" t="str">
        <x:v>蔬菜</x:v>
      </x:c>
      <x:c r="C1454" t="str">
        <x:v>秋葵</x:v>
      </x:c>
      <x:c r="D1454" t="n">
        <x:v>175</x:v>
      </x:c>
      <x:c r="E1454" t="n">
        <x:v>190</x:v>
      </x:c>
      <x:c r="F1454" s="10" t="str">
        <x:v>食材净重+约8%余量</x:v>
      </x:c>
      <x:c r="G1454" s="10" t="str">
        <x:v>生重</x:v>
      </x:c>
    </x:row>
    <x:row r="1455" ht="23" customHeight="1">
      <x:c r="A1455" t="n">
        <x:v>36</x:v>
      </x:c>
      <x:c r="B1455" t="str">
        <x:v>蔬菜</x:v>
      </x:c>
      <x:c r="C1455" t="str">
        <x:v>紫甘蓝</x:v>
      </x:c>
      <x:c r="D1455" t="n">
        <x:v>140</x:v>
      </x:c>
      <x:c r="E1455" t="n">
        <x:v>150</x:v>
      </x:c>
      <x:c r="F1455" s="10" t="str">
        <x:v>食材净重+约8%余量</x:v>
      </x:c>
      <x:c r="G1455" s="10" t="str">
        <x:v>生重</x:v>
      </x:c>
    </x:row>
    <x:row r="1456" ht="23" customHeight="1">
      <x:c r="A1456" t="n">
        <x:v>36</x:v>
      </x:c>
      <x:c r="B1456" t="str">
        <x:v>蔬菜</x:v>
      </x:c>
      <x:c r="C1456" t="str">
        <x:v>绿豆芽</x:v>
      </x:c>
      <x:c r="D1456" t="n">
        <x:v>155</x:v>
      </x:c>
      <x:c r="E1456" t="n">
        <x:v>170</x:v>
      </x:c>
      <x:c r="F1456" s="10" t="str">
        <x:v>食材净重+约8%余量</x:v>
      </x:c>
      <x:c r="G1456" s="10" t="str">
        <x:v>生重</x:v>
      </x:c>
    </x:row>
    <x:row r="1457" ht="23" customHeight="1">
      <x:c r="A1457" t="n">
        <x:v>36</x:v>
      </x:c>
      <x:c r="B1457" t="str">
        <x:v>蔬菜</x:v>
      </x:c>
      <x:c r="C1457" t="str">
        <x:v>芹菜</x:v>
      </x:c>
      <x:c r="D1457" t="n">
        <x:v>330</x:v>
      </x:c>
      <x:c r="E1457" t="n">
        <x:v>360</x:v>
      </x:c>
      <x:c r="F1457" s="10" t="str">
        <x:v>食材净重+约8%余量</x:v>
      </x:c>
      <x:c r="G1457" s="10" t="str">
        <x:v>生重</x:v>
      </x:c>
    </x:row>
    <x:row r="1458" ht="23" customHeight="1">
      <x:c r="A1458" t="n">
        <x:v>36</x:v>
      </x:c>
      <x:c r="B1458" t="str">
        <x:v>蔬菜</x:v>
      </x:c>
      <x:c r="C1458" t="str">
        <x:v>荷兰豆</x:v>
      </x:c>
      <x:c r="D1458" t="n">
        <x:v>345</x:v>
      </x:c>
      <x:c r="E1458" t="n">
        <x:v>370</x:v>
      </x:c>
      <x:c r="F1458" s="10" t="str">
        <x:v>食材净重+约8%余量</x:v>
      </x:c>
      <x:c r="G1458" s="10" t="str">
        <x:v>生重</x:v>
      </x:c>
    </x:row>
    <x:row r="1459" ht="23" customHeight="1">
      <x:c r="A1459" t="n">
        <x:v>36</x:v>
      </x:c>
      <x:c r="B1459" t="str">
        <x:v>蔬菜</x:v>
      </x:c>
      <x:c r="C1459" t="str">
        <x:v>莴笋</x:v>
      </x:c>
      <x:c r="D1459" t="n">
        <x:v>190</x:v>
      </x:c>
      <x:c r="E1459" t="n">
        <x:v>210</x:v>
      </x:c>
      <x:c r="F1459" s="10" t="str">
        <x:v>食材净重+约8%余量</x:v>
      </x:c>
      <x:c r="G1459" s="10" t="str">
        <x:v>生重</x:v>
      </x:c>
    </x:row>
    <x:row r="1460" ht="23" customHeight="1">
      <x:c r="A1460" t="n">
        <x:v>36</x:v>
      </x:c>
      <x:c r="B1460" t="str">
        <x:v>蔬菜</x:v>
      </x:c>
      <x:c r="C1460" t="str">
        <x:v>菜心</x:v>
      </x:c>
      <x:c r="D1460" t="n">
        <x:v>110</x:v>
      </x:c>
      <x:c r="E1460" t="n">
        <x:v>120</x:v>
      </x:c>
      <x:c r="F1460" s="10" t="str">
        <x:v>食材净重+约8%余量</x:v>
      </x:c>
      <x:c r="G1460" s="10" t="str">
        <x:v>生重</x:v>
      </x:c>
    </x:row>
    <x:row r="1461" ht="23" customHeight="1">
      <x:c r="A1461" t="n">
        <x:v>36</x:v>
      </x:c>
      <x:c r="B1461" t="str">
        <x:v>蔬菜</x:v>
      </x:c>
      <x:c r="C1461" t="str">
        <x:v>西兰花</x:v>
      </x:c>
      <x:c r="D1461" t="n">
        <x:v>140</x:v>
      </x:c>
      <x:c r="E1461" t="n">
        <x:v>150</x:v>
      </x:c>
      <x:c r="F1461" s="10" t="str">
        <x:v>食材净重+约8%余量</x:v>
      </x:c>
      <x:c r="G1461" s="10" t="str">
        <x:v>生重</x:v>
      </x:c>
    </x:row>
    <x:row r="1462" ht="23" customHeight="1">
      <x:c r="A1462" t="n">
        <x:v>36</x:v>
      </x:c>
      <x:c r="B1462" t="str">
        <x:v>蔬菜</x:v>
      </x:c>
      <x:c r="C1462" t="str">
        <x:v>西葫芦</x:v>
      </x:c>
      <x:c r="D1462" t="n">
        <x:v>365</x:v>
      </x:c>
      <x:c r="E1462" t="n">
        <x:v>390</x:v>
      </x:c>
      <x:c r="F1462" s="10" t="str">
        <x:v>食材净重+约8%余量</x:v>
      </x:c>
      <x:c r="G1462" s="10" t="str">
        <x:v>生重</x:v>
      </x:c>
    </x:row>
    <x:row r="1463" ht="23" customHeight="1">
      <x:c r="A1463" t="n">
        <x:v>36</x:v>
      </x:c>
      <x:c r="B1463" t="str">
        <x:v>蔬菜</x:v>
      </x:c>
      <x:c r="C1463" t="str">
        <x:v>黄瓜</x:v>
      </x:c>
      <x:c r="D1463" t="n">
        <x:v>155</x:v>
      </x:c>
      <x:c r="E1463" t="n">
        <x:v>170</x:v>
      </x:c>
      <x:c r="F1463" s="10" t="str">
        <x:v>食材净重+约8%余量</x:v>
      </x:c>
      <x:c r="G1463" s="10" t="str">
        <x:v>生重</x:v>
      </x:c>
    </x:row>
    <x:row r="1464" ht="23" customHeight="1">
      <x:c r="A1464" t="n">
        <x:v>36</x:v>
      </x:c>
      <x:c r="B1464" t="str">
        <x:v>豆蛋</x:v>
      </x:c>
      <x:c r="C1464" t="str">
        <x:v>北豆腐</x:v>
      </x:c>
      <x:c r="D1464" t="n">
        <x:v>1080</x:v>
      </x:c>
      <x:c r="E1464" t="n">
        <x:v>1170</x:v>
      </x:c>
      <x:c r="F1464" s="10" t="str">
        <x:v>食材净重+约8%余量</x:v>
      </x:c>
      <x:c r="G1464" s="10" t="str">
        <x:v>净重</x:v>
      </x:c>
    </x:row>
    <x:row r="1465" ht="23" customHeight="1">
      <x:c r="A1465" t="n">
        <x:v>36</x:v>
      </x:c>
      <x:c r="B1465" t="str">
        <x:v>豆蛋</x:v>
      </x:c>
      <x:c r="C1465" t="str">
        <x:v>嫩豆腐</x:v>
      </x:c>
      <x:c r="D1465" t="n">
        <x:v>110</x:v>
      </x:c>
      <x:c r="E1465" t="n">
        <x:v>120</x:v>
      </x:c>
      <x:c r="F1465" s="10" t="str">
        <x:v>食材净重+约8%余量</x:v>
      </x:c>
      <x:c r="G1465" s="10" t="str">
        <x:v>净重</x:v>
      </x:c>
    </x:row>
    <x:row r="1466" ht="23" customHeight="1">
      <x:c r="A1466" t="n">
        <x:v>36</x:v>
      </x:c>
      <x:c r="B1466" t="str">
        <x:v>豆蛋</x:v>
      </x:c>
      <x:c r="C1466" t="str">
        <x:v>熟毛豆仁</x:v>
      </x:c>
      <x:c r="D1466" t="n">
        <x:v>150</x:v>
      </x:c>
      <x:c r="E1466" t="n">
        <x:v>160</x:v>
      </x:c>
      <x:c r="F1466" s="10" t="str">
        <x:v>食材净重+约8%余量</x:v>
      </x:c>
      <x:c r="G1466" s="10" t="str">
        <x:v>熟重</x:v>
      </x:c>
    </x:row>
    <x:row r="1467" ht="23" customHeight="1">
      <x:c r="A1467" t="n">
        <x:v>36</x:v>
      </x:c>
      <x:c r="B1467" t="str">
        <x:v>鱼类</x:v>
      </x:c>
      <x:c r="C1467" t="str">
        <x:v>鲈鱼</x:v>
      </x:c>
      <x:c r="D1467" t="n">
        <x:v>350</x:v>
      </x:c>
      <x:c r="E1467" t="n">
        <x:v>380</x:v>
      </x:c>
      <x:c r="F1467" s="10" t="str">
        <x:v>食材净重+约8%余量；带壳或带骨采购需另折算</x:v>
      </x:c>
      <x:c r="G1467" s="10" t="str">
        <x:v>净鱼肉生重</x:v>
      </x:c>
    </x:row>
    <x:row r="1468" ht="23" customHeight="1">
      <x:c r="A1468" t="n">
        <x:v>36</x:v>
      </x:c>
      <x:c r="B1468" t="str">
        <x:v>鱼类</x:v>
      </x:c>
      <x:c r="C1468" t="str">
        <x:v>鳕鱼</x:v>
      </x:c>
      <x:c r="D1468" t="n">
        <x:v>415</x:v>
      </x:c>
      <x:c r="E1468" t="n">
        <x:v>450</x:v>
      </x:c>
      <x:c r="F1468" s="10" t="str">
        <x:v>食材净重+约8%余量；带壳或带骨采购需另折算</x:v>
      </x:c>
      <x:c r="G1468" s="10" t="str">
        <x:v>净鱼肉生重</x:v>
      </x:c>
    </x:row>
    <x:row r="1469" ht="23" customHeight="1">
      <x:c r="A1469" t="n">
        <x:v>37</x:v>
      </x:c>
      <x:c r="B1469" t="str">
        <x:v>主食</x:v>
      </x:c>
      <x:c r="C1469" t="str">
        <x:v>乌冬面</x:v>
      </x:c>
      <x:c r="D1469" t="n">
        <x:v>165</x:v>
      </x:c>
      <x:c r="E1469" t="n">
        <x:v>80</x:v>
      </x:c>
      <x:c r="F1469" s="10" t="str">
        <x:v>干粮约重（按熟面/干面≈2.1估算）</x:v>
      </x:c>
      <x:c r="G1469" s="10" t="str">
        <x:v>煮熟沥水重</x:v>
      </x:c>
    </x:row>
    <x:row r="1470" ht="23" customHeight="1">
      <x:c r="A1470" t="n">
        <x:v>37</x:v>
      </x:c>
      <x:c r="B1470" t="str">
        <x:v>主食</x:v>
      </x:c>
      <x:c r="C1470" t="str">
        <x:v>全麦面</x:v>
      </x:c>
      <x:c r="D1470" t="n">
        <x:v>275</x:v>
      </x:c>
      <x:c r="E1470" t="n">
        <x:v>130</x:v>
      </x:c>
      <x:c r="F1470" s="10" t="str">
        <x:v>干粮约重（按熟面/干面≈2.1估算）</x:v>
      </x:c>
      <x:c r="G1470" s="10" t="str">
        <x:v>煮熟沥水重</x:v>
      </x:c>
    </x:row>
    <x:row r="1471" ht="23" customHeight="1">
      <x:c r="A1471" t="n">
        <x:v>37</x:v>
      </x:c>
      <x:c r="B1471" t="str">
        <x:v>主食</x:v>
      </x:c>
      <x:c r="C1471" t="str">
        <x:v>杂粮饭</x:v>
      </x:c>
      <x:c r="D1471" t="n">
        <x:v>380</x:v>
      </x:c>
      <x:c r="E1471" t="n">
        <x:v>150</x:v>
      </x:c>
      <x:c r="F1471" s="10" t="str">
        <x:v>未煮干粮约重（按熟饭/生米≈2.6估算）</x:v>
      </x:c>
      <x:c r="G1471" s="10" t="str">
        <x:v>熟重</x:v>
      </x:c>
    </x:row>
    <x:row r="1472" ht="23" customHeight="1">
      <x:c r="A1472" t="n">
        <x:v>37</x:v>
      </x:c>
      <x:c r="B1472" t="str">
        <x:v>主食</x:v>
      </x:c>
      <x:c r="C1472" t="str">
        <x:v>燕麦饭</x:v>
      </x:c>
      <x:c r="D1472" t="n">
        <x:v>150</x:v>
      </x:c>
      <x:c r="E1472" t="n">
        <x:v>60</x:v>
      </x:c>
      <x:c r="F1472" s="10" t="str">
        <x:v>未煮干粮约重（按熟饭/生米≈2.6估算）</x:v>
      </x:c>
      <x:c r="G1472" s="10" t="str">
        <x:v>熟重</x:v>
      </x:c>
    </x:row>
    <x:row r="1473" ht="23" customHeight="1">
      <x:c r="A1473" t="n">
        <x:v>37</x:v>
      </x:c>
      <x:c r="B1473" t="str">
        <x:v>主食</x:v>
      </x:c>
      <x:c r="C1473" t="str">
        <x:v>白米饭</x:v>
      </x:c>
      <x:c r="D1473" t="n">
        <x:v>135</x:v>
      </x:c>
      <x:c r="E1473" t="n">
        <x:v>50</x:v>
      </x:c>
      <x:c r="F1473" s="10" t="str">
        <x:v>未煮干粮约重（按熟饭/生米≈2.6估算）</x:v>
      </x:c>
      <x:c r="G1473" s="10" t="str">
        <x:v>熟重</x:v>
      </x:c>
    </x:row>
    <x:row r="1474" ht="23" customHeight="1">
      <x:c r="A1474" t="n">
        <x:v>37</x:v>
      </x:c>
      <x:c r="B1474" t="str">
        <x:v>主食</x:v>
      </x:c>
      <x:c r="C1474" t="str">
        <x:v>糙米饭</x:v>
      </x:c>
      <x:c r="D1474" t="n">
        <x:v>355</x:v>
      </x:c>
      <x:c r="E1474" t="n">
        <x:v>140</x:v>
      </x:c>
      <x:c r="F1474" s="10" t="str">
        <x:v>未煮干粮约重（按熟饭/生米≈2.6估算）</x:v>
      </x:c>
      <x:c r="G1474" s="10" t="str">
        <x:v>熟重</x:v>
      </x:c>
    </x:row>
    <x:row r="1475" ht="23" customHeight="1">
      <x:c r="A1475" t="n">
        <x:v>37</x:v>
      </x:c>
      <x:c r="B1475" t="str">
        <x:v>主食</x:v>
      </x:c>
      <x:c r="C1475" t="str">
        <x:v>紫薯</x:v>
      </x:c>
      <x:c r="D1475" t="n">
        <x:v>110</x:v>
      </x:c>
      <x:c r="E1475" t="n">
        <x:v>120</x:v>
      </x:c>
      <x:c r="F1475" s="10" t="str">
        <x:v>鲜薯/玉米净重；考虑小幅损耗</x:v>
      </x:c>
      <x:c r="G1475" s="10" t="str">
        <x:v>蒸熟净重</x:v>
      </x:c>
    </x:row>
    <x:row r="1476" ht="23" customHeight="1">
      <x:c r="A1476" t="n">
        <x:v>37</x:v>
      </x:c>
      <x:c r="B1476" t="str">
        <x:v>主食</x:v>
      </x:c>
      <x:c r="C1476" t="str">
        <x:v>红薯</x:v>
      </x:c>
      <x:c r="D1476" t="n">
        <x:v>110</x:v>
      </x:c>
      <x:c r="E1476" t="n">
        <x:v>120</x:v>
      </x:c>
      <x:c r="F1476" s="10" t="str">
        <x:v>鲜薯/玉米净重；考虑小幅损耗</x:v>
      </x:c>
      <x:c r="G1476" s="10" t="str">
        <x:v>蒸熟净重</x:v>
      </x:c>
    </x:row>
    <x:row r="1477" ht="23" customHeight="1">
      <x:c r="A1477" t="n">
        <x:v>37</x:v>
      </x:c>
      <x:c r="B1477" t="str">
        <x:v>主食</x:v>
      </x:c>
      <x:c r="C1477" t="str">
        <x:v>藜麦饭</x:v>
      </x:c>
      <x:c r="D1477" t="n">
        <x:v>150</x:v>
      </x:c>
      <x:c r="E1477" t="n">
        <x:v>60</x:v>
      </x:c>
      <x:c r="F1477" s="10" t="str">
        <x:v>未煮干粮约重（按熟饭/生米≈2.6估算）</x:v>
      </x:c>
      <x:c r="G1477" s="10" t="str">
        <x:v>熟重</x:v>
      </x:c>
    </x:row>
    <x:row r="1478" ht="23" customHeight="1">
      <x:c r="A1478" t="n">
        <x:v>37</x:v>
      </x:c>
      <x:c r="B1478" t="str">
        <x:v>油脂</x:v>
      </x:c>
      <x:c r="C1478" t="str">
        <x:v>烹调油</x:v>
      </x:c>
      <x:c r="D1478" t="n">
        <x:v>63</x:v>
      </x:c>
      <x:c r="E1478" t="n">
        <x:v>63</x:v>
      </x:c>
      <x:c r="F1478" s="10" t="str">
        <x:v>食用油；现有库存足够即可</x:v>
      </x:c>
      <x:c r="G1478" s="10" t="str">
        <x:v>实际用油重</x:v>
      </x:c>
    </x:row>
    <x:row r="1479" ht="23" customHeight="1">
      <x:c r="A1479" t="n">
        <x:v>37</x:v>
      </x:c>
      <x:c r="B1479" t="str">
        <x:v>海鲜</x:v>
      </x:c>
      <x:c r="C1479" t="str">
        <x:v>虾仁</x:v>
      </x:c>
      <x:c r="D1479" t="n">
        <x:v>555</x:v>
      </x:c>
      <x:c r="E1479" t="n">
        <x:v>600</x:v>
      </x:c>
      <x:c r="F1479" s="10" t="str">
        <x:v>食材净重+约8%余量</x:v>
      </x:c>
      <x:c r="G1479" s="10" t="str">
        <x:v>生重</x:v>
      </x:c>
    </x:row>
    <x:row r="1480" ht="23" customHeight="1">
      <x:c r="A1480" t="n">
        <x:v>37</x:v>
      </x:c>
      <x:c r="B1480" t="str">
        <x:v>猪肉</x:v>
      </x:c>
      <x:c r="C1480" t="str">
        <x:v>猪瘦肉</x:v>
      </x:c>
      <x:c r="D1480" t="n">
        <x:v>330</x:v>
      </x:c>
      <x:c r="E1480" t="n">
        <x:v>360</x:v>
      </x:c>
      <x:c r="F1480" s="10" t="str">
        <x:v>食材净重+约8%余量</x:v>
      </x:c>
      <x:c r="G1480" s="10" t="str">
        <x:v>生重</x:v>
      </x:c>
    </x:row>
    <x:row r="1481" ht="23" customHeight="1">
      <x:c r="A1481" t="n">
        <x:v>37</x:v>
      </x:c>
      <x:c r="B1481" t="str">
        <x:v>禽肉</x:v>
      </x:c>
      <x:c r="C1481" t="str">
        <x:v>鸡里脊肉</x:v>
      </x:c>
      <x:c r="D1481" t="n">
        <x:v>155</x:v>
      </x:c>
      <x:c r="E1481" t="n">
        <x:v>170</x:v>
      </x:c>
      <x:c r="F1481" s="10" t="str">
        <x:v>食材净重+约8%余量</x:v>
      </x:c>
      <x:c r="G1481" s="10" t="str">
        <x:v>生重</x:v>
      </x:c>
    </x:row>
    <x:row r="1482" ht="23" customHeight="1">
      <x:c r="A1482" t="n">
        <x:v>37</x:v>
      </x:c>
      <x:c r="B1482" t="str">
        <x:v>菌菇</x:v>
      </x:c>
      <x:c r="C1482" t="str">
        <x:v>泡发木耳</x:v>
      </x:c>
      <x:c r="D1482" t="n">
        <x:v>110</x:v>
      </x:c>
      <x:c r="E1482" t="n">
        <x:v>120</x:v>
      </x:c>
      <x:c r="F1482" s="10" t="str">
        <x:v>食材净重+约8%余量</x:v>
      </x:c>
      <x:c r="G1482" s="10" t="str">
        <x:v>泡发沥水重</x:v>
      </x:c>
    </x:row>
    <x:row r="1483" ht="23" customHeight="1">
      <x:c r="A1483" t="n">
        <x:v>37</x:v>
      </x:c>
      <x:c r="B1483" t="str">
        <x:v>菌菇</x:v>
      </x:c>
      <x:c r="C1483" t="str">
        <x:v>金针菇</x:v>
      </x:c>
      <x:c r="D1483" t="n">
        <x:v>390</x:v>
      </x:c>
      <x:c r="E1483" t="n">
        <x:v>420</x:v>
      </x:c>
      <x:c r="F1483" s="10" t="str">
        <x:v>食材净重+约8%余量</x:v>
      </x:c>
      <x:c r="G1483" s="10" t="str">
        <x:v>生重</x:v>
      </x:c>
    </x:row>
    <x:row r="1484" ht="23" customHeight="1">
      <x:c r="A1484" t="n">
        <x:v>37</x:v>
      </x:c>
      <x:c r="B1484" t="str">
        <x:v>菌菇</x:v>
      </x:c>
      <x:c r="C1484" t="str">
        <x:v>香菇</x:v>
      </x:c>
      <x:c r="D1484" t="n">
        <x:v>110</x:v>
      </x:c>
      <x:c r="E1484" t="n">
        <x:v>120</x:v>
      </x:c>
      <x:c r="F1484" s="10" t="str">
        <x:v>食材净重+约8%余量</x:v>
      </x:c>
      <x:c r="G1484" s="10" t="str">
        <x:v>生重</x:v>
      </x:c>
    </x:row>
    <x:row r="1485" ht="23" customHeight="1">
      <x:c r="A1485" t="n">
        <x:v>37</x:v>
      </x:c>
      <x:c r="B1485" t="str">
        <x:v>蔬菜</x:v>
      </x:c>
      <x:c r="C1485" t="str">
        <x:v>娃娃菜</x:v>
      </x:c>
      <x:c r="D1485" t="n">
        <x:v>140</x:v>
      </x:c>
      <x:c r="E1485" t="n">
        <x:v>150</x:v>
      </x:c>
      <x:c r="F1485" s="10" t="str">
        <x:v>食材净重+约8%余量</x:v>
      </x:c>
      <x:c r="G1485" s="10" t="str">
        <x:v>生重</x:v>
      </x:c>
    </x:row>
    <x:row r="1486" ht="23" customHeight="1">
      <x:c r="A1486" t="n">
        <x:v>37</x:v>
      </x:c>
      <x:c r="B1486" t="str">
        <x:v>蔬菜</x:v>
      </x:c>
      <x:c r="C1486" t="str">
        <x:v>小白菜</x:v>
      </x:c>
      <x:c r="D1486" t="n">
        <x:v>160</x:v>
      </x:c>
      <x:c r="E1486" t="n">
        <x:v>170</x:v>
      </x:c>
      <x:c r="F1486" s="10" t="str">
        <x:v>食材净重+约8%余量</x:v>
      </x:c>
      <x:c r="G1486" s="10" t="str">
        <x:v>生重</x:v>
      </x:c>
    </x:row>
    <x:row r="1487" ht="23" customHeight="1">
      <x:c r="A1487" t="n">
        <x:v>37</x:v>
      </x:c>
      <x:c r="B1487" t="str">
        <x:v>蔬菜</x:v>
      </x:c>
      <x:c r="C1487" t="str">
        <x:v>彩椒</x:v>
      </x:c>
      <x:c r="D1487" t="n">
        <x:v>140</x:v>
      </x:c>
      <x:c r="E1487" t="n">
        <x:v>150</x:v>
      </x:c>
      <x:c r="F1487" s="10" t="str">
        <x:v>食材净重+约8%余量</x:v>
      </x:c>
      <x:c r="G1487" s="10" t="str">
        <x:v>生重</x:v>
      </x:c>
    </x:row>
    <x:row r="1488" ht="23" customHeight="1">
      <x:c r="A1488" t="n">
        <x:v>37</x:v>
      </x:c>
      <x:c r="B1488" t="str">
        <x:v>蔬菜</x:v>
      </x:c>
      <x:c r="C1488" t="str">
        <x:v>洋葱</x:v>
      </x:c>
      <x:c r="D1488" t="n">
        <x:v>295</x:v>
      </x:c>
      <x:c r="E1488" t="n">
        <x:v>320</x:v>
      </x:c>
      <x:c r="F1488" s="10" t="str">
        <x:v>食材净重+约8%余量</x:v>
      </x:c>
      <x:c r="G1488" s="10" t="str">
        <x:v>生重</x:v>
      </x:c>
    </x:row>
    <x:row r="1489" ht="23" customHeight="1">
      <x:c r="A1489" t="n">
        <x:v>37</x:v>
      </x:c>
      <x:c r="B1489" t="str">
        <x:v>蔬菜</x:v>
      </x:c>
      <x:c r="C1489" t="str">
        <x:v>番茄</x:v>
      </x:c>
      <x:c r="D1489" t="n">
        <x:v>965</x:v>
      </x:c>
      <x:c r="E1489" t="n">
        <x:v>1040</x:v>
      </x:c>
      <x:c r="F1489" s="10" t="str">
        <x:v>食材净重+约8%余量</x:v>
      </x:c>
      <x:c r="G1489" s="10" t="str">
        <x:v>生重</x:v>
      </x:c>
    </x:row>
    <x:row r="1490" ht="23" customHeight="1">
      <x:c r="A1490" t="n">
        <x:v>37</x:v>
      </x:c>
      <x:c r="B1490" t="str">
        <x:v>蔬菜</x:v>
      </x:c>
      <x:c r="C1490" t="str">
        <x:v>白萝卜</x:v>
      </x:c>
      <x:c r="D1490" t="n">
        <x:v>110</x:v>
      </x:c>
      <x:c r="E1490" t="n">
        <x:v>120</x:v>
      </x:c>
      <x:c r="F1490" s="10" t="str">
        <x:v>食材净重+约8%余量</x:v>
      </x:c>
      <x:c r="G1490" s="10" t="str">
        <x:v>生重</x:v>
      </x:c>
    </x:row>
    <x:row r="1491" ht="23" customHeight="1">
      <x:c r="A1491" t="n">
        <x:v>37</x:v>
      </x:c>
      <x:c r="B1491" t="str">
        <x:v>蔬菜</x:v>
      </x:c>
      <x:c r="C1491" t="str">
        <x:v>紫甘蓝</x:v>
      </x:c>
      <x:c r="D1491" t="n">
        <x:v>125</x:v>
      </x:c>
      <x:c r="E1491" t="n">
        <x:v>140</x:v>
      </x:c>
      <x:c r="F1491" s="10" t="str">
        <x:v>食材净重+约8%余量</x:v>
      </x:c>
      <x:c r="G1491" s="10" t="str">
        <x:v>生重</x:v>
      </x:c>
    </x:row>
    <x:row r="1492" ht="23" customHeight="1">
      <x:c r="A1492" t="n">
        <x:v>37</x:v>
      </x:c>
      <x:c r="B1492" t="str">
        <x:v>蔬菜</x:v>
      </x:c>
      <x:c r="C1492" t="str">
        <x:v>芦笋</x:v>
      </x:c>
      <x:c r="D1492" t="n">
        <x:v>315</x:v>
      </x:c>
      <x:c r="E1492" t="n">
        <x:v>340</x:v>
      </x:c>
      <x:c r="F1492" s="10" t="str">
        <x:v>食材净重+约8%余量</x:v>
      </x:c>
      <x:c r="G1492" s="10" t="str">
        <x:v>生重</x:v>
      </x:c>
    </x:row>
    <x:row r="1493" ht="23" customHeight="1">
      <x:c r="A1493" t="n">
        <x:v>37</x:v>
      </x:c>
      <x:c r="B1493" t="str">
        <x:v>蔬菜</x:v>
      </x:c>
      <x:c r="C1493" t="str">
        <x:v>花菜</x:v>
      </x:c>
      <x:c r="D1493" t="n">
        <x:v>155</x:v>
      </x:c>
      <x:c r="E1493" t="n">
        <x:v>170</x:v>
      </x:c>
      <x:c r="F1493" s="10" t="str">
        <x:v>食材净重+约8%余量</x:v>
      </x:c>
      <x:c r="G1493" s="10" t="str">
        <x:v>生重</x:v>
      </x:c>
    </x:row>
    <x:row r="1494" ht="23" customHeight="1">
      <x:c r="A1494" t="n">
        <x:v>37</x:v>
      </x:c>
      <x:c r="B1494" t="str">
        <x:v>蔬菜</x:v>
      </x:c>
      <x:c r="C1494" t="str">
        <x:v>荷兰豆</x:v>
      </x:c>
      <x:c r="D1494" t="n">
        <x:v>330</x:v>
      </x:c>
      <x:c r="E1494" t="n">
        <x:v>360</x:v>
      </x:c>
      <x:c r="F1494" s="10" t="str">
        <x:v>食材净重+约8%余量</x:v>
      </x:c>
      <x:c r="G1494" s="10" t="str">
        <x:v>生重</x:v>
      </x:c>
    </x:row>
    <x:row r="1495" ht="23" customHeight="1">
      <x:c r="A1495" t="n">
        <x:v>37</x:v>
      </x:c>
      <x:c r="B1495" t="str">
        <x:v>蔬菜</x:v>
      </x:c>
      <x:c r="C1495" t="str">
        <x:v>莴笋</x:v>
      </x:c>
      <x:c r="D1495" t="n">
        <x:v>155</x:v>
      </x:c>
      <x:c r="E1495" t="n">
        <x:v>170</x:v>
      </x:c>
      <x:c r="F1495" s="10" t="str">
        <x:v>食材净重+约8%余量</x:v>
      </x:c>
      <x:c r="G1495" s="10" t="str">
        <x:v>生重</x:v>
      </x:c>
    </x:row>
    <x:row r="1496" ht="23" customHeight="1">
      <x:c r="A1496" t="n">
        <x:v>37</x:v>
      </x:c>
      <x:c r="B1496" t="str">
        <x:v>蔬菜</x:v>
      </x:c>
      <x:c r="C1496" t="str">
        <x:v>西兰花</x:v>
      </x:c>
      <x:c r="D1496" t="n">
        <x:v>645</x:v>
      </x:c>
      <x:c r="E1496" t="n">
        <x:v>700</x:v>
      </x:c>
      <x:c r="F1496" s="10" t="str">
        <x:v>食材净重+约8%余量</x:v>
      </x:c>
      <x:c r="G1496" s="10" t="str">
        <x:v>生重</x:v>
      </x:c>
    </x:row>
    <x:row r="1497" ht="23" customHeight="1">
      <x:c r="A1497" t="n">
        <x:v>37</x:v>
      </x:c>
      <x:c r="B1497" t="str">
        <x:v>豆蛋</x:v>
      </x:c>
      <x:c r="C1497" t="str">
        <x:v>北豆腐</x:v>
      </x:c>
      <x:c r="D1497" t="n">
        <x:v>660</x:v>
      </x:c>
      <x:c r="E1497" t="n">
        <x:v>710</x:v>
      </x:c>
      <x:c r="F1497" s="10" t="str">
        <x:v>食材净重+约8%余量</x:v>
      </x:c>
      <x:c r="G1497" s="10" t="str">
        <x:v>净重</x:v>
      </x:c>
    </x:row>
    <x:row r="1498" ht="23" customHeight="1">
      <x:c r="A1498" t="n">
        <x:v>37</x:v>
      </x:c>
      <x:c r="B1498" t="str">
        <x:v>豆蛋</x:v>
      </x:c>
      <x:c r="C1498" t="str">
        <x:v>熟毛豆仁</x:v>
      </x:c>
      <x:c r="D1498" t="n">
        <x:v>120</x:v>
      </x:c>
      <x:c r="E1498" t="n">
        <x:v>130</x:v>
      </x:c>
      <x:c r="F1498" s="10" t="str">
        <x:v>食材净重+约8%余量</x:v>
      </x:c>
      <x:c r="G1498" s="10" t="str">
        <x:v>熟重</x:v>
      </x:c>
    </x:row>
    <x:row r="1499" ht="23" customHeight="1">
      <x:c r="A1499" t="n">
        <x:v>37</x:v>
      </x:c>
      <x:c r="B1499" t="str">
        <x:v>豆蛋</x:v>
      </x:c>
      <x:c r="C1499" t="str">
        <x:v>鸡蛋</x:v>
      </x:c>
      <x:c r="D1499" t="n">
        <x:v>320</x:v>
      </x:c>
      <x:c r="E1499" t="n">
        <x:v>350</x:v>
      </x:c>
      <x:c r="F1499" s="10" t="str">
        <x:v>食材净重+约8%余量</x:v>
      </x:c>
      <x:c r="G1499" s="10" t="str">
        <x:v>去壳可食重</x:v>
      </x:c>
    </x:row>
    <x:row r="1500" ht="23" customHeight="1">
      <x:c r="A1500" t="n">
        <x:v>37</x:v>
      </x:c>
      <x:c r="B1500" t="str">
        <x:v>鱼类</x:v>
      </x:c>
      <x:c r="C1500" t="str">
        <x:v>三文鱼</x:v>
      </x:c>
      <x:c r="D1500" t="n">
        <x:v>255</x:v>
      </x:c>
      <x:c r="E1500" t="n">
        <x:v>280</x:v>
      </x:c>
      <x:c r="F1500" s="10" t="str">
        <x:v>食材净重+约8%余量</x:v>
      </x:c>
      <x:c r="G1500" s="10" t="str">
        <x:v>净鱼肉生重</x:v>
      </x:c>
    </x:row>
    <x:row r="1501" ht="23" customHeight="1">
      <x:c r="A1501" t="n">
        <x:v>37</x:v>
      </x:c>
      <x:c r="B1501" t="str">
        <x:v>鱼类</x:v>
      </x:c>
      <x:c r="C1501" t="str">
        <x:v>鲈鱼</x:v>
      </x:c>
      <x:c r="D1501" t="n">
        <x:v>215</x:v>
      </x:c>
      <x:c r="E1501" t="n">
        <x:v>230</x:v>
      </x:c>
      <x:c r="F1501" s="10" t="str">
        <x:v>食材净重+约8%余量；带壳或带骨采购需另折算</x:v>
      </x:c>
      <x:c r="G1501" s="10" t="str">
        <x:v>净鱼肉生重</x:v>
      </x:c>
    </x:row>
    <x:row r="1502" ht="23" customHeight="1">
      <x:c r="A1502" t="n">
        <x:v>37</x:v>
      </x:c>
      <x:c r="B1502" t="str">
        <x:v>鱼类</x:v>
      </x:c>
      <x:c r="C1502" t="str">
        <x:v>鳕鱼</x:v>
      </x:c>
      <x:c r="D1502" t="n">
        <x:v>200</x:v>
      </x:c>
      <x:c r="E1502" t="n">
        <x:v>220</x:v>
      </x:c>
      <x:c r="F1502" s="10" t="str">
        <x:v>食材净重+约8%余量；带壳或带骨采购需另折算</x:v>
      </x:c>
      <x:c r="G1502" s="10" t="str">
        <x:v>净鱼肉生重</x:v>
      </x:c>
    </x:row>
    <x:row r="1503" ht="23" customHeight="1">
      <x:c r="A1503" t="n">
        <x:v>38</x:v>
      </x:c>
      <x:c r="B1503" t="str">
        <x:v>主食</x:v>
      </x:c>
      <x:c r="C1503" t="str">
        <x:v>乌冬面</x:v>
      </x:c>
      <x:c r="D1503" t="n">
        <x:v>125</x:v>
      </x:c>
      <x:c r="E1503" t="n">
        <x:v>60</x:v>
      </x:c>
      <x:c r="F1503" s="10" t="str">
        <x:v>干粮约重（按熟面/干面≈2.1估算）</x:v>
      </x:c>
      <x:c r="G1503" s="10" t="str">
        <x:v>煮熟沥水重</x:v>
      </x:c>
    </x:row>
    <x:row r="1504" ht="23" customHeight="1">
      <x:c r="A1504" t="n">
        <x:v>38</x:v>
      </x:c>
      <x:c r="B1504" t="str">
        <x:v>主食</x:v>
      </x:c>
      <x:c r="C1504" t="str">
        <x:v>全麦面</x:v>
      </x:c>
      <x:c r="D1504" t="n">
        <x:v>270</x:v>
      </x:c>
      <x:c r="E1504" t="n">
        <x:v>130</x:v>
      </x:c>
      <x:c r="F1504" s="10" t="str">
        <x:v>干粮约重（按熟面/干面≈2.1估算）</x:v>
      </x:c>
      <x:c r="G1504" s="10" t="str">
        <x:v>煮熟沥水重</x:v>
      </x:c>
    </x:row>
    <x:row r="1505" ht="23" customHeight="1">
      <x:c r="A1505" t="n">
        <x:v>38</x:v>
      </x:c>
      <x:c r="B1505" t="str">
        <x:v>主食</x:v>
      </x:c>
      <x:c r="C1505" t="str">
        <x:v>杂粮饭</x:v>
      </x:c>
      <x:c r="D1505" t="n">
        <x:v>215</x:v>
      </x:c>
      <x:c r="E1505" t="n">
        <x:v>80</x:v>
      </x:c>
      <x:c r="F1505" s="10" t="str">
        <x:v>未煮干粮约重（按熟饭/生米≈2.6估算）</x:v>
      </x:c>
      <x:c r="G1505" s="10" t="str">
        <x:v>熟重</x:v>
      </x:c>
    </x:row>
    <x:row r="1506" ht="23" customHeight="1">
      <x:c r="A1506" t="n">
        <x:v>38</x:v>
      </x:c>
      <x:c r="B1506" t="str">
        <x:v>主食</x:v>
      </x:c>
      <x:c r="C1506" t="str">
        <x:v>燕麦饭</x:v>
      </x:c>
      <x:c r="D1506" t="n">
        <x:v>220</x:v>
      </x:c>
      <x:c r="E1506" t="n">
        <x:v>80</x:v>
      </x:c>
      <x:c r="F1506" s="10" t="str">
        <x:v>未煮干粮约重（按熟饭/生米≈2.6估算）</x:v>
      </x:c>
      <x:c r="G1506" s="10" t="str">
        <x:v>熟重</x:v>
      </x:c>
    </x:row>
    <x:row r="1507" ht="23" customHeight="1">
      <x:c r="A1507" t="n">
        <x:v>38</x:v>
      </x:c>
      <x:c r="B1507" t="str">
        <x:v>主食</x:v>
      </x:c>
      <x:c r="C1507" t="str">
        <x:v>糙米饭</x:v>
      </x:c>
      <x:c r="D1507" t="n">
        <x:v>500</x:v>
      </x:c>
      <x:c r="E1507" t="n">
        <x:v>190</x:v>
      </x:c>
      <x:c r="F1507" s="10" t="str">
        <x:v>未煮干粮约重（按熟饭/生米≈2.6估算）</x:v>
      </x:c>
      <x:c r="G1507" s="10" t="str">
        <x:v>熟重</x:v>
      </x:c>
    </x:row>
    <x:row r="1508" ht="23" customHeight="1">
      <x:c r="A1508" t="n">
        <x:v>38</x:v>
      </x:c>
      <x:c r="B1508" t="str">
        <x:v>主食</x:v>
      </x:c>
      <x:c r="C1508" t="str">
        <x:v>荞麦面</x:v>
      </x:c>
      <x:c r="D1508" t="n">
        <x:v>110</x:v>
      </x:c>
      <x:c r="E1508" t="n">
        <x:v>50</x:v>
      </x:c>
      <x:c r="F1508" s="10" t="str">
        <x:v>干粮约重（按熟面/干面≈2.1估算）</x:v>
      </x:c>
      <x:c r="G1508" s="10" t="str">
        <x:v>煮熟沥水重</x:v>
      </x:c>
    </x:row>
    <x:row r="1509" ht="23" customHeight="1">
      <x:c r="A1509" t="n">
        <x:v>38</x:v>
      </x:c>
      <x:c r="B1509" t="str">
        <x:v>主食</x:v>
      </x:c>
      <x:c r="C1509" t="str">
        <x:v>荞麦饭</x:v>
      </x:c>
      <x:c r="D1509" t="n">
        <x:v>235</x:v>
      </x:c>
      <x:c r="E1509" t="n">
        <x:v>90</x:v>
      </x:c>
      <x:c r="F1509" s="10" t="str">
        <x:v>未煮干粮约重（按熟饭/生米≈2.6估算）</x:v>
      </x:c>
      <x:c r="G1509" s="10" t="str">
        <x:v>熟重</x:v>
      </x:c>
    </x:row>
    <x:row r="1510" ht="23" customHeight="1">
      <x:c r="A1510" t="n">
        <x:v>38</x:v>
      </x:c>
      <x:c r="B1510" t="str">
        <x:v>油脂</x:v>
      </x:c>
      <x:c r="C1510" t="str">
        <x:v>烹调油</x:v>
      </x:c>
      <x:c r="D1510" t="n">
        <x:v>62</x:v>
      </x:c>
      <x:c r="E1510" t="n">
        <x:v>62</x:v>
      </x:c>
      <x:c r="F1510" s="10" t="str">
        <x:v>食用油；现有库存足够即可</x:v>
      </x:c>
      <x:c r="G1510" s="10" t="str">
        <x:v>实际用油重</x:v>
      </x:c>
    </x:row>
    <x:row r="1511" ht="23" customHeight="1">
      <x:c r="A1511" t="n">
        <x:v>38</x:v>
      </x:c>
      <x:c r="B1511" t="str">
        <x:v>海鲜</x:v>
      </x:c>
      <x:c r="C1511" t="str">
        <x:v>花蛤肉</x:v>
      </x:c>
      <x:c r="D1511" t="n">
        <x:v>190</x:v>
      </x:c>
      <x:c r="E1511" t="n">
        <x:v>210</x:v>
      </x:c>
      <x:c r="F1511" s="10" t="str">
        <x:v>食材净重+约8%余量；带壳或带骨采购需另折算</x:v>
      </x:c>
      <x:c r="G1511" s="10" t="str">
        <x:v>净肉生重</x:v>
      </x:c>
    </x:row>
    <x:row r="1512" ht="23" customHeight="1">
      <x:c r="A1512" t="n">
        <x:v>38</x:v>
      </x:c>
      <x:c r="B1512" t="str">
        <x:v>海鲜</x:v>
      </x:c>
      <x:c r="C1512" t="str">
        <x:v>虾仁</x:v>
      </x:c>
      <x:c r="D1512" t="n">
        <x:v>190</x:v>
      </x:c>
      <x:c r="E1512" t="n">
        <x:v>210</x:v>
      </x:c>
      <x:c r="F1512" s="10" t="str">
        <x:v>食材净重+约8%余量</x:v>
      </x:c>
      <x:c r="G1512" s="10" t="str">
        <x:v>生重</x:v>
      </x:c>
    </x:row>
    <x:row r="1513" ht="23" customHeight="1">
      <x:c r="A1513" t="n">
        <x:v>38</x:v>
      </x:c>
      <x:c r="B1513" t="str">
        <x:v>牛肉</x:v>
      </x:c>
      <x:c r="C1513" t="str">
        <x:v>牛腱子</x:v>
      </x:c>
      <x:c r="D1513" t="n">
        <x:v>160</x:v>
      </x:c>
      <x:c r="E1513" t="n">
        <x:v>170</x:v>
      </x:c>
      <x:c r="F1513" s="10" t="str">
        <x:v>食材净重+约8%余量</x:v>
      </x:c>
      <x:c r="G1513" s="10" t="str">
        <x:v>生重</x:v>
      </x:c>
    </x:row>
    <x:row r="1514" ht="23" customHeight="1">
      <x:c r="A1514" t="n">
        <x:v>38</x:v>
      </x:c>
      <x:c r="B1514" t="str">
        <x:v>猪肉</x:v>
      </x:c>
      <x:c r="C1514" t="str">
        <x:v>猪里脊</x:v>
      </x:c>
      <x:c r="D1514" t="n">
        <x:v>300</x:v>
      </x:c>
      <x:c r="E1514" t="n">
        <x:v>320</x:v>
      </x:c>
      <x:c r="F1514" s="10" t="str">
        <x:v>食材净重+约8%余量</x:v>
      </x:c>
      <x:c r="G1514" s="10" t="str">
        <x:v>生重</x:v>
      </x:c>
    </x:row>
    <x:row r="1515" ht="23" customHeight="1">
      <x:c r="A1515" t="n">
        <x:v>38</x:v>
      </x:c>
      <x:c r="B1515" t="str">
        <x:v>菌菇</x:v>
      </x:c>
      <x:c r="C1515" t="str">
        <x:v>口蘑</x:v>
      </x:c>
      <x:c r="D1515" t="n">
        <x:v>125</x:v>
      </x:c>
      <x:c r="E1515" t="n">
        <x:v>140</x:v>
      </x:c>
      <x:c r="F1515" s="10" t="str">
        <x:v>食材净重+约8%余量</x:v>
      </x:c>
      <x:c r="G1515" s="10" t="str">
        <x:v>生重</x:v>
      </x:c>
    </x:row>
    <x:row r="1516" ht="23" customHeight="1">
      <x:c r="A1516" t="n">
        <x:v>38</x:v>
      </x:c>
      <x:c r="B1516" t="str">
        <x:v>菌菇</x:v>
      </x:c>
      <x:c r="C1516" t="str">
        <x:v>杏鲍菇</x:v>
      </x:c>
      <x:c r="D1516" t="n">
        <x:v>140</x:v>
      </x:c>
      <x:c r="E1516" t="n">
        <x:v>150</x:v>
      </x:c>
      <x:c r="F1516" s="10" t="str">
        <x:v>食材净重+约8%余量</x:v>
      </x:c>
      <x:c r="G1516" s="10" t="str">
        <x:v>生重</x:v>
      </x:c>
    </x:row>
    <x:row r="1517" ht="23" customHeight="1">
      <x:c r="A1517" t="n">
        <x:v>38</x:v>
      </x:c>
      <x:c r="B1517" t="str">
        <x:v>菌菇</x:v>
      </x:c>
      <x:c r="C1517" t="str">
        <x:v>金针菇</x:v>
      </x:c>
      <x:c r="D1517" t="n">
        <x:v>110</x:v>
      </x:c>
      <x:c r="E1517" t="n">
        <x:v>120</x:v>
      </x:c>
      <x:c r="F1517" s="10" t="str">
        <x:v>食材净重+约8%余量</x:v>
      </x:c>
      <x:c r="G1517" s="10" t="str">
        <x:v>生重</x:v>
      </x:c>
    </x:row>
    <x:row r="1518" ht="23" customHeight="1">
      <x:c r="A1518" t="n">
        <x:v>38</x:v>
      </x:c>
      <x:c r="B1518" t="str">
        <x:v>菌菇</x:v>
      </x:c>
      <x:c r="C1518" t="str">
        <x:v>香菇</x:v>
      </x:c>
      <x:c r="D1518" t="n">
        <x:v>125</x:v>
      </x:c>
      <x:c r="E1518" t="n">
        <x:v>140</x:v>
      </x:c>
      <x:c r="F1518" s="10" t="str">
        <x:v>食材净重+约8%余量</x:v>
      </x:c>
      <x:c r="G1518" s="10" t="str">
        <x:v>生重</x:v>
      </x:c>
    </x:row>
    <x:row r="1519" ht="23" customHeight="1">
      <x:c r="A1519" t="n">
        <x:v>38</x:v>
      </x:c>
      <x:c r="B1519" t="str">
        <x:v>蔬菜</x:v>
      </x:c>
      <x:c r="C1519" t="str">
        <x:v>丝瓜</x:v>
      </x:c>
      <x:c r="D1519" t="n">
        <x:v>110</x:v>
      </x:c>
      <x:c r="E1519" t="n">
        <x:v>120</x:v>
      </x:c>
      <x:c r="F1519" s="10" t="str">
        <x:v>食材净重+约8%余量</x:v>
      </x:c>
      <x:c r="G1519" s="10" t="str">
        <x:v>生重</x:v>
      </x:c>
    </x:row>
    <x:row r="1520" ht="23" customHeight="1">
      <x:c r="A1520" t="n">
        <x:v>38</x:v>
      </x:c>
      <x:c r="B1520" t="str">
        <x:v>蔬菜</x:v>
      </x:c>
      <x:c r="C1520" t="str">
        <x:v>冬瓜</x:v>
      </x:c>
      <x:c r="D1520" t="n">
        <x:v>175</x:v>
      </x:c>
      <x:c r="E1520" t="n">
        <x:v>190</x:v>
      </x:c>
      <x:c r="F1520" s="10" t="str">
        <x:v>食材净重+约8%余量</x:v>
      </x:c>
      <x:c r="G1520" s="10" t="str">
        <x:v>生重</x:v>
      </x:c>
    </x:row>
    <x:row r="1521" ht="23" customHeight="1">
      <x:c r="A1521" t="n">
        <x:v>38</x:v>
      </x:c>
      <x:c r="B1521" t="str">
        <x:v>蔬菜</x:v>
      </x:c>
      <x:c r="C1521" t="str">
        <x:v>四季豆</x:v>
      </x:c>
      <x:c r="D1521" t="n">
        <x:v>160</x:v>
      </x:c>
      <x:c r="E1521" t="n">
        <x:v>170</x:v>
      </x:c>
      <x:c r="F1521" s="10" t="str">
        <x:v>食材净重+约8%余量</x:v>
      </x:c>
      <x:c r="G1521" s="10" t="str">
        <x:v>生重</x:v>
      </x:c>
    </x:row>
    <x:row r="1522" ht="23" customHeight="1">
      <x:c r="A1522" t="n">
        <x:v>38</x:v>
      </x:c>
      <x:c r="B1522" t="str">
        <x:v>蔬菜</x:v>
      </x:c>
      <x:c r="C1522" t="str">
        <x:v>彩椒</x:v>
      </x:c>
      <x:c r="D1522" t="n">
        <x:v>300</x:v>
      </x:c>
      <x:c r="E1522" t="n">
        <x:v>320</x:v>
      </x:c>
      <x:c r="F1522" s="10" t="str">
        <x:v>食材净重+约8%余量</x:v>
      </x:c>
      <x:c r="G1522" s="10" t="str">
        <x:v>生重</x:v>
      </x:c>
    </x:row>
    <x:row r="1523" ht="23" customHeight="1">
      <x:c r="A1523" t="n">
        <x:v>38</x:v>
      </x:c>
      <x:c r="B1523" t="str">
        <x:v>蔬菜</x:v>
      </x:c>
      <x:c r="C1523" t="str">
        <x:v>生菜</x:v>
      </x:c>
      <x:c r="D1523" t="n">
        <x:v>140</x:v>
      </x:c>
      <x:c r="E1523" t="n">
        <x:v>150</x:v>
      </x:c>
      <x:c r="F1523" s="10" t="str">
        <x:v>食材净重+约8%余量</x:v>
      </x:c>
      <x:c r="G1523" s="10" t="str">
        <x:v>生重</x:v>
      </x:c>
    </x:row>
    <x:row r="1524" ht="23" customHeight="1">
      <x:c r="A1524" t="n">
        <x:v>38</x:v>
      </x:c>
      <x:c r="B1524" t="str">
        <x:v>蔬菜</x:v>
      </x:c>
      <x:c r="C1524" t="str">
        <x:v>番茄</x:v>
      </x:c>
      <x:c r="D1524" t="n">
        <x:v>190</x:v>
      </x:c>
      <x:c r="E1524" t="n">
        <x:v>210</x:v>
      </x:c>
      <x:c r="F1524" s="10" t="str">
        <x:v>食材净重+约8%余量</x:v>
      </x:c>
      <x:c r="G1524" s="10" t="str">
        <x:v>生重</x:v>
      </x:c>
    </x:row>
    <x:row r="1525" ht="23" customHeight="1">
      <x:c r="A1525" t="n">
        <x:v>38</x:v>
      </x:c>
      <x:c r="B1525" t="str">
        <x:v>蔬菜</x:v>
      </x:c>
      <x:c r="C1525" t="str">
        <x:v>白萝卜</x:v>
      </x:c>
      <x:c r="D1525" t="n">
        <x:v>140</x:v>
      </x:c>
      <x:c r="E1525" t="n">
        <x:v>150</x:v>
      </x:c>
      <x:c r="F1525" s="10" t="str">
        <x:v>食材净重+约8%余量</x:v>
      </x:c>
      <x:c r="G1525" s="10" t="str">
        <x:v>生重</x:v>
      </x:c>
    </x:row>
    <x:row r="1526" ht="23" customHeight="1">
      <x:c r="A1526" t="n">
        <x:v>38</x:v>
      </x:c>
      <x:c r="B1526" t="str">
        <x:v>蔬菜</x:v>
      </x:c>
      <x:c r="C1526" t="str">
        <x:v>竹笋</x:v>
      </x:c>
      <x:c r="D1526" t="n">
        <x:v>190</x:v>
      </x:c>
      <x:c r="E1526" t="n">
        <x:v>210</x:v>
      </x:c>
      <x:c r="F1526" s="10" t="str">
        <x:v>食材净重+约8%余量</x:v>
      </x:c>
      <x:c r="G1526" s="10" t="str">
        <x:v>生重</x:v>
      </x:c>
    </x:row>
    <x:row r="1527" ht="23" customHeight="1">
      <x:c r="A1527" t="n">
        <x:v>38</x:v>
      </x:c>
      <x:c r="B1527" t="str">
        <x:v>蔬菜</x:v>
      </x:c>
      <x:c r="C1527" t="str">
        <x:v>紫甘蓝</x:v>
      </x:c>
      <x:c r="D1527" t="n">
        <x:v>155</x:v>
      </x:c>
      <x:c r="E1527" t="n">
        <x:v>170</x:v>
      </x:c>
      <x:c r="F1527" s="10" t="str">
        <x:v>食材净重+约8%余量</x:v>
      </x:c>
      <x:c r="G1527" s="10" t="str">
        <x:v>生重</x:v>
      </x:c>
    </x:row>
    <x:row r="1528" ht="23" customHeight="1">
      <x:c r="A1528" t="n">
        <x:v>38</x:v>
      </x:c>
      <x:c r="B1528" t="str">
        <x:v>蔬菜</x:v>
      </x:c>
      <x:c r="C1528" t="str">
        <x:v>绿豆芽</x:v>
      </x:c>
      <x:c r="D1528" t="n">
        <x:v>280</x:v>
      </x:c>
      <x:c r="E1528" t="n">
        <x:v>300</x:v>
      </x:c>
      <x:c r="F1528" s="10" t="str">
        <x:v>食材净重+约8%余量</x:v>
      </x:c>
      <x:c r="G1528" s="10" t="str">
        <x:v>生重</x:v>
      </x:c>
    </x:row>
    <x:row r="1529" ht="23" customHeight="1">
      <x:c r="A1529" t="n">
        <x:v>38</x:v>
      </x:c>
      <x:c r="B1529" t="str">
        <x:v>蔬菜</x:v>
      </x:c>
      <x:c r="C1529" t="str">
        <x:v>胡萝卜</x:v>
      </x:c>
      <x:c r="D1529" t="n">
        <x:v>110</x:v>
      </x:c>
      <x:c r="E1529" t="n">
        <x:v>120</x:v>
      </x:c>
      <x:c r="F1529" s="10" t="str">
        <x:v>食材净重+约8%余量</x:v>
      </x:c>
      <x:c r="G1529" s="10" t="str">
        <x:v>生重</x:v>
      </x:c>
    </x:row>
    <x:row r="1530" ht="23" customHeight="1">
      <x:c r="A1530" t="n">
        <x:v>38</x:v>
      </x:c>
      <x:c r="B1530" t="str">
        <x:v>蔬菜</x:v>
      </x:c>
      <x:c r="C1530" t="str">
        <x:v>芦笋</x:v>
      </x:c>
      <x:c r="D1530" t="n">
        <x:v>300</x:v>
      </x:c>
      <x:c r="E1530" t="n">
        <x:v>320</x:v>
      </x:c>
      <x:c r="F1530" s="10" t="str">
        <x:v>食材净重+约8%余量</x:v>
      </x:c>
      <x:c r="G1530" s="10" t="str">
        <x:v>生重</x:v>
      </x:c>
    </x:row>
    <x:row r="1531" ht="23" customHeight="1">
      <x:c r="A1531" t="n">
        <x:v>38</x:v>
      </x:c>
      <x:c r="B1531" t="str">
        <x:v>蔬菜</x:v>
      </x:c>
      <x:c r="C1531" t="str">
        <x:v>芹菜</x:v>
      </x:c>
      <x:c r="D1531" t="n">
        <x:v>190</x:v>
      </x:c>
      <x:c r="E1531" t="n">
        <x:v>210</x:v>
      </x:c>
      <x:c r="F1531" s="10" t="str">
        <x:v>食材净重+约8%余量</x:v>
      </x:c>
      <x:c r="G1531" s="10" t="str">
        <x:v>生重</x:v>
      </x:c>
    </x:row>
    <x:row r="1532" ht="23" customHeight="1">
      <x:c r="A1532" t="n">
        <x:v>38</x:v>
      </x:c>
      <x:c r="B1532" t="str">
        <x:v>蔬菜</x:v>
      </x:c>
      <x:c r="C1532" t="str">
        <x:v>荷兰豆</x:v>
      </x:c>
      <x:c r="D1532" t="n">
        <x:v>300</x:v>
      </x:c>
      <x:c r="E1532" t="n">
        <x:v>320</x:v>
      </x:c>
      <x:c r="F1532" s="10" t="str">
        <x:v>食材净重+约8%余量</x:v>
      </x:c>
      <x:c r="G1532" s="10" t="str">
        <x:v>生重</x:v>
      </x:c>
    </x:row>
    <x:row r="1533" ht="23" customHeight="1">
      <x:c r="A1533" t="n">
        <x:v>38</x:v>
      </x:c>
      <x:c r="B1533" t="str">
        <x:v>蔬菜</x:v>
      </x:c>
      <x:c r="C1533" t="str">
        <x:v>莴笋</x:v>
      </x:c>
      <x:c r="D1533" t="n">
        <x:v>460</x:v>
      </x:c>
      <x:c r="E1533" t="n">
        <x:v>500</x:v>
      </x:c>
      <x:c r="F1533" s="10" t="str">
        <x:v>食材净重+约8%余量</x:v>
      </x:c>
      <x:c r="G1533" s="10" t="str">
        <x:v>生重</x:v>
      </x:c>
    </x:row>
    <x:row r="1534" ht="23" customHeight="1">
      <x:c r="A1534" t="n">
        <x:v>38</x:v>
      </x:c>
      <x:c r="B1534" t="str">
        <x:v>蔬菜</x:v>
      </x:c>
      <x:c r="C1534" t="str">
        <x:v>菜心</x:v>
      </x:c>
      <x:c r="D1534" t="n">
        <x:v>140</x:v>
      </x:c>
      <x:c r="E1534" t="n">
        <x:v>150</x:v>
      </x:c>
      <x:c r="F1534" s="10" t="str">
        <x:v>食材净重+约8%余量</x:v>
      </x:c>
      <x:c r="G1534" s="10" t="str">
        <x:v>生重</x:v>
      </x:c>
    </x:row>
    <x:row r="1535" ht="23" customHeight="1">
      <x:c r="A1535" t="n">
        <x:v>38</x:v>
      </x:c>
      <x:c r="B1535" t="str">
        <x:v>蔬菜</x:v>
      </x:c>
      <x:c r="C1535" t="str">
        <x:v>黄瓜</x:v>
      </x:c>
      <x:c r="D1535" t="n">
        <x:v>280</x:v>
      </x:c>
      <x:c r="E1535" t="n">
        <x:v>300</x:v>
      </x:c>
      <x:c r="F1535" s="10" t="str">
        <x:v>食材净重+约8%余量</x:v>
      </x:c>
      <x:c r="G1535" s="10" t="str">
        <x:v>生重</x:v>
      </x:c>
    </x:row>
    <x:row r="1536" ht="23" customHeight="1">
      <x:c r="A1536" t="n">
        <x:v>38</x:v>
      </x:c>
      <x:c r="B1536" t="str">
        <x:v>豆蛋</x:v>
      </x:c>
      <x:c r="C1536" t="str">
        <x:v>北豆腐</x:v>
      </x:c>
      <x:c r="D1536" t="n">
        <x:v>300</x:v>
      </x:c>
      <x:c r="E1536" t="n">
        <x:v>320</x:v>
      </x:c>
      <x:c r="F1536" s="10" t="str">
        <x:v>食材净重+约8%余量</x:v>
      </x:c>
      <x:c r="G1536" s="10" t="str">
        <x:v>净重</x:v>
      </x:c>
    </x:row>
    <x:row r="1537" ht="23" customHeight="1">
      <x:c r="A1537" t="n">
        <x:v>38</x:v>
      </x:c>
      <x:c r="B1537" t="str">
        <x:v>豆蛋</x:v>
      </x:c>
      <x:c r="C1537" t="str">
        <x:v>嫩豆腐</x:v>
      </x:c>
      <x:c r="D1537" t="n">
        <x:v>560</x:v>
      </x:c>
      <x:c r="E1537" t="n">
        <x:v>600</x:v>
      </x:c>
      <x:c r="F1537" s="10" t="str">
        <x:v>食材净重+约8%余量</x:v>
      </x:c>
      <x:c r="G1537" s="10" t="str">
        <x:v>净重</x:v>
      </x:c>
    </x:row>
    <x:row r="1538" ht="23" customHeight="1">
      <x:c r="A1538" t="n">
        <x:v>38</x:v>
      </x:c>
      <x:c r="B1538" t="str">
        <x:v>豆蛋</x:v>
      </x:c>
      <x:c r="C1538" t="str">
        <x:v>熟毛豆仁</x:v>
      </x:c>
      <x:c r="D1538" t="n">
        <x:v>240</x:v>
      </x:c>
      <x:c r="E1538" t="n">
        <x:v>260</x:v>
      </x:c>
      <x:c r="F1538" s="10" t="str">
        <x:v>食材净重+约8%余量</x:v>
      </x:c>
      <x:c r="G1538" s="10" t="str">
        <x:v>熟重</x:v>
      </x:c>
    </x:row>
    <x:row r="1539" ht="23" customHeight="1">
      <x:c r="A1539" t="n">
        <x:v>38</x:v>
      </x:c>
      <x:c r="B1539" t="str">
        <x:v>豆蛋</x:v>
      </x:c>
      <x:c r="C1539" t="str">
        <x:v>鸡蛋</x:v>
      </x:c>
      <x:c r="D1539" t="n">
        <x:v>60</x:v>
      </x:c>
      <x:c r="E1539" t="n">
        <x:v>60</x:v>
      </x:c>
      <x:c r="F1539" s="10" t="str">
        <x:v>食材净重+约8%余量</x:v>
      </x:c>
      <x:c r="G1539" s="10" t="str">
        <x:v>去壳可食重</x:v>
      </x:c>
    </x:row>
    <x:row r="1540" ht="23" customHeight="1">
      <x:c r="A1540" t="n">
        <x:v>38</x:v>
      </x:c>
      <x:c r="B1540" t="str">
        <x:v>鱼类</x:v>
      </x:c>
      <x:c r="C1540" t="str">
        <x:v>巴沙鱼</x:v>
      </x:c>
      <x:c r="D1540" t="n">
        <x:v>415</x:v>
      </x:c>
      <x:c r="E1540" t="n">
        <x:v>450</x:v>
      </x:c>
      <x:c r="F1540" s="10" t="str">
        <x:v>食材净重+约8%余量</x:v>
      </x:c>
      <x:c r="G1540" s="10" t="str">
        <x:v>净鱼肉生重</x:v>
      </x:c>
    </x:row>
    <x:row r="1541" ht="23" customHeight="1">
      <x:c r="A1541" t="n">
        <x:v>38</x:v>
      </x:c>
      <x:c r="B1541" t="str">
        <x:v>鱼类</x:v>
      </x:c>
      <x:c r="C1541" t="str">
        <x:v>鲈鱼</x:v>
      </x:c>
      <x:c r="D1541" t="n">
        <x:v>185</x:v>
      </x:c>
      <x:c r="E1541" t="n">
        <x:v>200</x:v>
      </x:c>
      <x:c r="F1541" s="10" t="str">
        <x:v>食材净重+约8%余量；带壳或带骨采购需另折算</x:v>
      </x:c>
      <x:c r="G1541" s="10" t="str">
        <x:v>净鱼肉生重</x:v>
      </x:c>
    </x:row>
    <x:row r="1542" ht="23" customHeight="1">
      <x:c r="A1542" t="n">
        <x:v>38</x:v>
      </x:c>
      <x:c r="B1542" t="str">
        <x:v>鱼类</x:v>
      </x:c>
      <x:c r="C1542" t="str">
        <x:v>鳕鱼</x:v>
      </x:c>
      <x:c r="D1542" t="n">
        <x:v>575</x:v>
      </x:c>
      <x:c r="E1542" t="n">
        <x:v>620</x:v>
      </x:c>
      <x:c r="F1542" s="10" t="str">
        <x:v>食材净重+约8%余量；带壳或带骨采购需另折算</x:v>
      </x:c>
      <x:c r="G1542" s="10" t="str">
        <x:v>净鱼肉生重</x:v>
      </x:c>
    </x:row>
    <x:row r="1543" ht="23" customHeight="1">
      <x:c r="A1543" t="n">
        <x:v>39</x:v>
      </x:c>
      <x:c r="B1543" t="str">
        <x:v>主食</x:v>
      </x:c>
      <x:c r="C1543" t="str">
        <x:v>土豆</x:v>
      </x:c>
      <x:c r="D1543" t="n">
        <x:v>210</x:v>
      </x:c>
      <x:c r="E1543" t="n">
        <x:v>230</x:v>
      </x:c>
      <x:c r="F1543" s="10" t="str">
        <x:v>鲜薯/玉米净重；考虑小幅损耗</x:v>
      </x:c>
      <x:c r="G1543" s="10" t="str">
        <x:v>蒸熟净重</x:v>
      </x:c>
    </x:row>
    <x:row r="1544" ht="23" customHeight="1">
      <x:c r="A1544" t="n">
        <x:v>39</x:v>
      </x:c>
      <x:c r="B1544" t="str">
        <x:v>主食</x:v>
      </x:c>
      <x:c r="C1544" t="str">
        <x:v>山药</x:v>
      </x:c>
      <x:c r="D1544" t="n">
        <x:v>245</x:v>
      </x:c>
      <x:c r="E1544" t="n">
        <x:v>270</x:v>
      </x:c>
      <x:c r="F1544" s="10" t="str">
        <x:v>鲜薯/玉米净重；考虑小幅损耗</x:v>
      </x:c>
      <x:c r="G1544" s="10" t="str">
        <x:v>蒸熟净重</x:v>
      </x:c>
    </x:row>
    <x:row r="1545" ht="23" customHeight="1">
      <x:c r="A1545" t="n">
        <x:v>39</x:v>
      </x:c>
      <x:c r="B1545" t="str">
        <x:v>主食</x:v>
      </x:c>
      <x:c r="C1545" t="str">
        <x:v>杂粮饭</x:v>
      </x:c>
      <x:c r="D1545" t="n">
        <x:v>455</x:v>
      </x:c>
      <x:c r="E1545" t="n">
        <x:v>180</x:v>
      </x:c>
      <x:c r="F1545" s="10" t="str">
        <x:v>未煮干粮约重（按熟饭/生米≈2.6估算）</x:v>
      </x:c>
      <x:c r="G1545" s="10" t="str">
        <x:v>熟重</x:v>
      </x:c>
    </x:row>
    <x:row r="1546" ht="23" customHeight="1">
      <x:c r="A1546" t="n">
        <x:v>39</x:v>
      </x:c>
      <x:c r="B1546" t="str">
        <x:v>主食</x:v>
      </x:c>
      <x:c r="C1546" t="str">
        <x:v>燕麦饭</x:v>
      </x:c>
      <x:c r="D1546" t="n">
        <x:v>235</x:v>
      </x:c>
      <x:c r="E1546" t="n">
        <x:v>90</x:v>
      </x:c>
      <x:c r="F1546" s="10" t="str">
        <x:v>未煮干粮约重（按熟饭/生米≈2.6估算）</x:v>
      </x:c>
      <x:c r="G1546" s="10" t="str">
        <x:v>熟重</x:v>
      </x:c>
    </x:row>
    <x:row r="1547" ht="23" customHeight="1">
      <x:c r="A1547" t="n">
        <x:v>39</x:v>
      </x:c>
      <x:c r="B1547" t="str">
        <x:v>主食</x:v>
      </x:c>
      <x:c r="C1547" t="str">
        <x:v>玉米</x:v>
      </x:c>
      <x:c r="D1547" t="n">
        <x:v>125</x:v>
      </x:c>
      <x:c r="E1547" t="n">
        <x:v>140</x:v>
      </x:c>
      <x:c r="F1547" s="10" t="str">
        <x:v>鲜薯/玉米净重；考虑小幅损耗</x:v>
      </x:c>
      <x:c r="G1547" s="10" t="str">
        <x:v>蒸熟净重</x:v>
      </x:c>
    </x:row>
    <x:row r="1548" ht="23" customHeight="1">
      <x:c r="A1548" t="n">
        <x:v>39</x:v>
      </x:c>
      <x:c r="B1548" t="str">
        <x:v>主食</x:v>
      </x:c>
      <x:c r="C1548" t="str">
        <x:v>糙米饭</x:v>
      </x:c>
      <x:c r="D1548" t="n">
        <x:v>125</x:v>
      </x:c>
      <x:c r="E1548" t="n">
        <x:v>50</x:v>
      </x:c>
      <x:c r="F1548" s="10" t="str">
        <x:v>未煮干粮约重（按熟饭/生米≈2.6估算）</x:v>
      </x:c>
      <x:c r="G1548" s="10" t="str">
        <x:v>熟重</x:v>
      </x:c>
    </x:row>
    <x:row r="1549" ht="23" customHeight="1">
      <x:c r="A1549" t="n">
        <x:v>39</x:v>
      </x:c>
      <x:c r="B1549" t="str">
        <x:v>主食</x:v>
      </x:c>
      <x:c r="C1549" t="str">
        <x:v>荞麦饭</x:v>
      </x:c>
      <x:c r="D1549" t="n">
        <x:v>110</x:v>
      </x:c>
      <x:c r="E1549" t="n">
        <x:v>40</x:v>
      </x:c>
      <x:c r="F1549" s="10" t="str">
        <x:v>未煮干粮约重（按熟饭/生米≈2.6估算）</x:v>
      </x:c>
      <x:c r="G1549" s="10" t="str">
        <x:v>熟重</x:v>
      </x:c>
    </x:row>
    <x:row r="1550" ht="23" customHeight="1">
      <x:c r="A1550" t="n">
        <x:v>39</x:v>
      </x:c>
      <x:c r="B1550" t="str">
        <x:v>主食</x:v>
      </x:c>
      <x:c r="C1550" t="str">
        <x:v>藜麦饭</x:v>
      </x:c>
      <x:c r="D1550" t="n">
        <x:v>95</x:v>
      </x:c>
      <x:c r="E1550" t="n">
        <x:v>40</x:v>
      </x:c>
      <x:c r="F1550" s="10" t="str">
        <x:v>未煮干粮约重（按熟饭/生米≈2.6估算）</x:v>
      </x:c>
      <x:c r="G1550" s="10" t="str">
        <x:v>熟重</x:v>
      </x:c>
    </x:row>
    <x:row r="1551" ht="23" customHeight="1">
      <x:c r="A1551" t="n">
        <x:v>39</x:v>
      </x:c>
      <x:c r="B1551" t="str">
        <x:v>油脂</x:v>
      </x:c>
      <x:c r="C1551" t="str">
        <x:v>烹调油</x:v>
      </x:c>
      <x:c r="D1551" t="n">
        <x:v>58</x:v>
      </x:c>
      <x:c r="E1551" t="n">
        <x:v>58</x:v>
      </x:c>
      <x:c r="F1551" s="10" t="str">
        <x:v>食用油；现有库存足够即可</x:v>
      </x:c>
      <x:c r="G1551" s="10" t="str">
        <x:v>实际用油重</x:v>
      </x:c>
    </x:row>
    <x:row r="1552" ht="23" customHeight="1">
      <x:c r="A1552" t="n">
        <x:v>39</x:v>
      </x:c>
      <x:c r="B1552" t="str">
        <x:v>海鲜</x:v>
      </x:c>
      <x:c r="C1552" t="str">
        <x:v>虾仁</x:v>
      </x:c>
      <x:c r="D1552" t="n">
        <x:v>580</x:v>
      </x:c>
      <x:c r="E1552" t="n">
        <x:v>630</x:v>
      </x:c>
      <x:c r="F1552" s="10" t="str">
        <x:v>食材净重+约8%余量</x:v>
      </x:c>
      <x:c r="G1552" s="10" t="str">
        <x:v>生重</x:v>
      </x:c>
    </x:row>
    <x:row r="1553" ht="23" customHeight="1">
      <x:c r="A1553" t="n">
        <x:v>39</x:v>
      </x:c>
      <x:c r="B1553" t="str">
        <x:v>牛肉</x:v>
      </x:c>
      <x:c r="C1553" t="str">
        <x:v>牛里脊</x:v>
      </x:c>
      <x:c r="D1553" t="n">
        <x:v>185</x:v>
      </x:c>
      <x:c r="E1553" t="n">
        <x:v>200</x:v>
      </x:c>
      <x:c r="F1553" s="10" t="str">
        <x:v>食材净重+约8%余量</x:v>
      </x:c>
      <x:c r="G1553" s="10" t="str">
        <x:v>生重</x:v>
      </x:c>
    </x:row>
    <x:row r="1554" ht="23" customHeight="1">
      <x:c r="A1554" t="n">
        <x:v>39</x:v>
      </x:c>
      <x:c r="B1554" t="str">
        <x:v>牛肉</x:v>
      </x:c>
      <x:c r="C1554" t="str">
        <x:v>瘦牛肉</x:v>
      </x:c>
      <x:c r="D1554" t="n">
        <x:v>155</x:v>
      </x:c>
      <x:c r="E1554" t="n">
        <x:v>170</x:v>
      </x:c>
      <x:c r="F1554" s="10" t="str">
        <x:v>食材净重+约8%余量</x:v>
      </x:c>
      <x:c r="G1554" s="10" t="str">
        <x:v>生重</x:v>
      </x:c>
    </x:row>
    <x:row r="1555" ht="23" customHeight="1">
      <x:c r="A1555" t="n">
        <x:v>39</x:v>
      </x:c>
      <x:c r="B1555" t="str">
        <x:v>禽肉</x:v>
      </x:c>
      <x:c r="C1555" t="str">
        <x:v>去皮鸭胸肉</x:v>
      </x:c>
      <x:c r="D1555" t="n">
        <x:v>145</x:v>
      </x:c>
      <x:c r="E1555" t="n">
        <x:v>160</x:v>
      </x:c>
      <x:c r="F1555" s="10" t="str">
        <x:v>食材净重+约8%余量</x:v>
      </x:c>
      <x:c r="G1555" s="10" t="str">
        <x:v>生重</x:v>
      </x:c>
    </x:row>
    <x:row r="1556" ht="23" customHeight="1">
      <x:c r="A1556" t="n">
        <x:v>39</x:v>
      </x:c>
      <x:c r="B1556" t="str">
        <x:v>禽肉</x:v>
      </x:c>
      <x:c r="C1556" t="str">
        <x:v>鸡胸肉</x:v>
      </x:c>
      <x:c r="D1556" t="n">
        <x:v>165</x:v>
      </x:c>
      <x:c r="E1556" t="n">
        <x:v>180</x:v>
      </x:c>
      <x:c r="F1556" s="10" t="str">
        <x:v>食材净重+约8%余量</x:v>
      </x:c>
      <x:c r="G1556" s="10" t="str">
        <x:v>生重</x:v>
      </x:c>
    </x:row>
    <x:row r="1557" ht="23" customHeight="1">
      <x:c r="A1557" t="n">
        <x:v>39</x:v>
      </x:c>
      <x:c r="B1557" t="str">
        <x:v>菌菇</x:v>
      </x:c>
      <x:c r="C1557" t="str">
        <x:v>杏鲍菇</x:v>
      </x:c>
      <x:c r="D1557" t="n">
        <x:v>155</x:v>
      </x:c>
      <x:c r="E1557" t="n">
        <x:v>170</x:v>
      </x:c>
      <x:c r="F1557" s="10" t="str">
        <x:v>食材净重+约8%余量</x:v>
      </x:c>
      <x:c r="G1557" s="10" t="str">
        <x:v>生重</x:v>
      </x:c>
    </x:row>
    <x:row r="1558" ht="23" customHeight="1">
      <x:c r="A1558" t="n">
        <x:v>39</x:v>
      </x:c>
      <x:c r="B1558" t="str">
        <x:v>菌菇</x:v>
      </x:c>
      <x:c r="C1558" t="str">
        <x:v>泡发木耳</x:v>
      </x:c>
      <x:c r="D1558" t="n">
        <x:v>125</x:v>
      </x:c>
      <x:c r="E1558" t="n">
        <x:v>140</x:v>
      </x:c>
      <x:c r="F1558" s="10" t="str">
        <x:v>食材净重+约8%余量</x:v>
      </x:c>
      <x:c r="G1558" s="10" t="str">
        <x:v>泡发沥水重</x:v>
      </x:c>
    </x:row>
    <x:row r="1559" ht="23" customHeight="1">
      <x:c r="A1559" t="n">
        <x:v>39</x:v>
      </x:c>
      <x:c r="B1559" t="str">
        <x:v>菌菇</x:v>
      </x:c>
      <x:c r="C1559" t="str">
        <x:v>金针菇</x:v>
      </x:c>
      <x:c r="D1559" t="n">
        <x:v>140</x:v>
      </x:c>
      <x:c r="E1559" t="n">
        <x:v>150</x:v>
      </x:c>
      <x:c r="F1559" s="10" t="str">
        <x:v>食材净重+约8%余量</x:v>
      </x:c>
      <x:c r="G1559" s="10" t="str">
        <x:v>生重</x:v>
      </x:c>
    </x:row>
    <x:row r="1560" ht="23" customHeight="1">
      <x:c r="A1560" t="n">
        <x:v>39</x:v>
      </x:c>
      <x:c r="B1560" t="str">
        <x:v>菌菇</x:v>
      </x:c>
      <x:c r="C1560" t="str">
        <x:v>香菇</x:v>
      </x:c>
      <x:c r="D1560" t="n">
        <x:v>250</x:v>
      </x:c>
      <x:c r="E1560" t="n">
        <x:v>270</x:v>
      </x:c>
      <x:c r="F1560" s="10" t="str">
        <x:v>食材净重+约8%余量</x:v>
      </x:c>
      <x:c r="G1560" s="10" t="str">
        <x:v>生重</x:v>
      </x:c>
    </x:row>
    <x:row r="1561" ht="23" customHeight="1">
      <x:c r="A1561" t="n">
        <x:v>39</x:v>
      </x:c>
      <x:c r="B1561" t="str">
        <x:v>蔬菜</x:v>
      </x:c>
      <x:c r="C1561" t="str">
        <x:v>丝瓜</x:v>
      </x:c>
      <x:c r="D1561" t="n">
        <x:v>365</x:v>
      </x:c>
      <x:c r="E1561" t="n">
        <x:v>390</x:v>
      </x:c>
      <x:c r="F1561" s="10" t="str">
        <x:v>食材净重+约8%余量</x:v>
      </x:c>
      <x:c r="G1561" s="10" t="str">
        <x:v>生重</x:v>
      </x:c>
    </x:row>
    <x:row r="1562" ht="23" customHeight="1">
      <x:c r="A1562" t="n">
        <x:v>39</x:v>
      </x:c>
      <x:c r="B1562" t="str">
        <x:v>蔬菜</x:v>
      </x:c>
      <x:c r="C1562" t="str">
        <x:v>冬瓜</x:v>
      </x:c>
      <x:c r="D1562" t="n">
        <x:v>285</x:v>
      </x:c>
      <x:c r="E1562" t="n">
        <x:v>310</x:v>
      </x:c>
      <x:c r="F1562" s="10" t="str">
        <x:v>食材净重+约8%余量</x:v>
      </x:c>
      <x:c r="G1562" s="10" t="str">
        <x:v>生重</x:v>
      </x:c>
    </x:row>
    <x:row r="1563" ht="23" customHeight="1">
      <x:c r="A1563" t="n">
        <x:v>39</x:v>
      </x:c>
      <x:c r="B1563" t="str">
        <x:v>蔬菜</x:v>
      </x:c>
      <x:c r="C1563" t="str">
        <x:v>四季豆</x:v>
      </x:c>
      <x:c r="D1563" t="n">
        <x:v>350</x:v>
      </x:c>
      <x:c r="E1563" t="n">
        <x:v>380</x:v>
      </x:c>
      <x:c r="F1563" s="10" t="str">
        <x:v>食材净重+约8%余量</x:v>
      </x:c>
      <x:c r="G1563" s="10" t="str">
        <x:v>生重</x:v>
      </x:c>
    </x:row>
    <x:row r="1564" ht="23" customHeight="1">
      <x:c r="A1564" t="n">
        <x:v>39</x:v>
      </x:c>
      <x:c r="B1564" t="str">
        <x:v>蔬菜</x:v>
      </x:c>
      <x:c r="C1564" t="str">
        <x:v>小白菜</x:v>
      </x:c>
      <x:c r="D1564" t="n">
        <x:v>470</x:v>
      </x:c>
      <x:c r="E1564" t="n">
        <x:v>510</x:v>
      </x:c>
      <x:c r="F1564" s="10" t="str">
        <x:v>食材净重+约8%余量</x:v>
      </x:c>
      <x:c r="G1564" s="10" t="str">
        <x:v>生重</x:v>
      </x:c>
    </x:row>
    <x:row r="1565" ht="23" customHeight="1">
      <x:c r="A1565" t="n">
        <x:v>39</x:v>
      </x:c>
      <x:c r="B1565" t="str">
        <x:v>蔬菜</x:v>
      </x:c>
      <x:c r="C1565" t="str">
        <x:v>彩椒</x:v>
      </x:c>
      <x:c r="D1565" t="n">
        <x:v>155</x:v>
      </x:c>
      <x:c r="E1565" t="n">
        <x:v>170</x:v>
      </x:c>
      <x:c r="F1565" s="10" t="str">
        <x:v>食材净重+约8%余量</x:v>
      </x:c>
      <x:c r="G1565" s="10" t="str">
        <x:v>生重</x:v>
      </x:c>
    </x:row>
    <x:row r="1566" ht="23" customHeight="1">
      <x:c r="A1566" t="n">
        <x:v>39</x:v>
      </x:c>
      <x:c r="B1566" t="str">
        <x:v>蔬菜</x:v>
      </x:c>
      <x:c r="C1566" t="str">
        <x:v>番茄</x:v>
      </x:c>
      <x:c r="D1566" t="n">
        <x:v>175</x:v>
      </x:c>
      <x:c r="E1566" t="n">
        <x:v>190</x:v>
      </x:c>
      <x:c r="F1566" s="10" t="str">
        <x:v>食材净重+约8%余量</x:v>
      </x:c>
      <x:c r="G1566" s="10" t="str">
        <x:v>生重</x:v>
      </x:c>
    </x:row>
    <x:row r="1567" ht="23" customHeight="1">
      <x:c r="A1567" t="n">
        <x:v>39</x:v>
      </x:c>
      <x:c r="B1567" t="str">
        <x:v>蔬菜</x:v>
      </x:c>
      <x:c r="C1567" t="str">
        <x:v>白萝卜</x:v>
      </x:c>
      <x:c r="D1567" t="n">
        <x:v>280</x:v>
      </x:c>
      <x:c r="E1567" t="n">
        <x:v>300</x:v>
      </x:c>
      <x:c r="F1567" s="10" t="str">
        <x:v>食材净重+约8%余量</x:v>
      </x:c>
      <x:c r="G1567" s="10" t="str">
        <x:v>生重</x:v>
      </x:c>
    </x:row>
    <x:row r="1568" ht="23" customHeight="1">
      <x:c r="A1568" t="n">
        <x:v>39</x:v>
      </x:c>
      <x:c r="B1568" t="str">
        <x:v>蔬菜</x:v>
      </x:c>
      <x:c r="C1568" t="str">
        <x:v>秋葵</x:v>
      </x:c>
      <x:c r="D1568" t="n">
        <x:v>160</x:v>
      </x:c>
      <x:c r="E1568" t="n">
        <x:v>170</x:v>
      </x:c>
      <x:c r="F1568" s="10" t="str">
        <x:v>食材净重+约8%余量</x:v>
      </x:c>
      <x:c r="G1568" s="10" t="str">
        <x:v>生重</x:v>
      </x:c>
    </x:row>
    <x:row r="1569" ht="23" customHeight="1">
      <x:c r="A1569" t="n">
        <x:v>39</x:v>
      </x:c>
      <x:c r="B1569" t="str">
        <x:v>蔬菜</x:v>
      </x:c>
      <x:c r="C1569" t="str">
        <x:v>胡萝卜</x:v>
      </x:c>
      <x:c r="D1569" t="n">
        <x:v>125</x:v>
      </x:c>
      <x:c r="E1569" t="n">
        <x:v>140</x:v>
      </x:c>
      <x:c r="F1569" s="10" t="str">
        <x:v>食材净重+约8%余量</x:v>
      </x:c>
      <x:c r="G1569" s="10" t="str">
        <x:v>生重</x:v>
      </x:c>
    </x:row>
    <x:row r="1570" ht="23" customHeight="1">
      <x:c r="A1570" t="n">
        <x:v>39</x:v>
      </x:c>
      <x:c r="B1570" t="str">
        <x:v>蔬菜</x:v>
      </x:c>
      <x:c r="C1570" t="str">
        <x:v>芦笋</x:v>
      </x:c>
      <x:c r="D1570" t="n">
        <x:v>300</x:v>
      </x:c>
      <x:c r="E1570" t="n">
        <x:v>320</x:v>
      </x:c>
      <x:c r="F1570" s="10" t="str">
        <x:v>食材净重+约8%余量</x:v>
      </x:c>
      <x:c r="G1570" s="10" t="str">
        <x:v>生重</x:v>
      </x:c>
    </x:row>
    <x:row r="1571" ht="23" customHeight="1">
      <x:c r="A1571" t="n">
        <x:v>39</x:v>
      </x:c>
      <x:c r="B1571" t="str">
        <x:v>蔬菜</x:v>
      </x:c>
      <x:c r="C1571" t="str">
        <x:v>花菜</x:v>
      </x:c>
      <x:c r="D1571" t="n">
        <x:v>235</x:v>
      </x:c>
      <x:c r="E1571" t="n">
        <x:v>250</x:v>
      </x:c>
      <x:c r="F1571" s="10" t="str">
        <x:v>食材净重+约8%余量</x:v>
      </x:c>
      <x:c r="G1571" s="10" t="str">
        <x:v>生重</x:v>
      </x:c>
    </x:row>
    <x:row r="1572" ht="23" customHeight="1">
      <x:c r="A1572" t="n">
        <x:v>39</x:v>
      </x:c>
      <x:c r="B1572" t="str">
        <x:v>蔬菜</x:v>
      </x:c>
      <x:c r="C1572" t="str">
        <x:v>芹菜</x:v>
      </x:c>
      <x:c r="D1572" t="n">
        <x:v>140</x:v>
      </x:c>
      <x:c r="E1572" t="n">
        <x:v>150</x:v>
      </x:c>
      <x:c r="F1572" s="10" t="str">
        <x:v>食材净重+约8%余量</x:v>
      </x:c>
      <x:c r="G1572" s="10" t="str">
        <x:v>生重</x:v>
      </x:c>
    </x:row>
    <x:row r="1573" ht="23" customHeight="1">
      <x:c r="A1573" t="n">
        <x:v>39</x:v>
      </x:c>
      <x:c r="B1573" t="str">
        <x:v>蔬菜</x:v>
      </x:c>
      <x:c r="C1573" t="str">
        <x:v>菜心</x:v>
      </x:c>
      <x:c r="D1573" t="n">
        <x:v>300</x:v>
      </x:c>
      <x:c r="E1573" t="n">
        <x:v>320</x:v>
      </x:c>
      <x:c r="F1573" s="10" t="str">
        <x:v>食材净重+约8%余量</x:v>
      </x:c>
      <x:c r="G1573" s="10" t="str">
        <x:v>生重</x:v>
      </x:c>
    </x:row>
    <x:row r="1574" ht="23" customHeight="1">
      <x:c r="A1574" t="n">
        <x:v>39</x:v>
      </x:c>
      <x:c r="B1574" t="str">
        <x:v>蔬菜</x:v>
      </x:c>
      <x:c r="C1574" t="str">
        <x:v>菠菜</x:v>
      </x:c>
      <x:c r="D1574" t="n">
        <x:v>160</x:v>
      </x:c>
      <x:c r="E1574" t="n">
        <x:v>170</x:v>
      </x:c>
      <x:c r="F1574" s="10" t="str">
        <x:v>食材净重+约8%余量</x:v>
      </x:c>
      <x:c r="G1574" s="10" t="str">
        <x:v>生重</x:v>
      </x:c>
    </x:row>
    <x:row r="1575" ht="23" customHeight="1">
      <x:c r="A1575" t="n">
        <x:v>39</x:v>
      </x:c>
      <x:c r="B1575" t="str">
        <x:v>豆蛋</x:v>
      </x:c>
      <x:c r="C1575" t="str">
        <x:v>北豆腐</x:v>
      </x:c>
      <x:c r="D1575" t="n">
        <x:v>1190</x:v>
      </x:c>
      <x:c r="E1575" t="n">
        <x:v>1290</x:v>
      </x:c>
      <x:c r="F1575" s="10" t="str">
        <x:v>食材净重+约8%余量</x:v>
      </x:c>
      <x:c r="G1575" s="10" t="str">
        <x:v>净重</x:v>
      </x:c>
    </x:row>
    <x:row r="1576" ht="23" customHeight="1">
      <x:c r="A1576" t="n">
        <x:v>39</x:v>
      </x:c>
      <x:c r="B1576" t="str">
        <x:v>豆蛋</x:v>
      </x:c>
      <x:c r="C1576" t="str">
        <x:v>嫩豆腐</x:v>
      </x:c>
      <x:c r="D1576" t="n">
        <x:v>300</x:v>
      </x:c>
      <x:c r="E1576" t="n">
        <x:v>320</x:v>
      </x:c>
      <x:c r="F1576" s="10" t="str">
        <x:v>食材净重+约8%余量</x:v>
      </x:c>
      <x:c r="G1576" s="10" t="str">
        <x:v>净重</x:v>
      </x:c>
    </x:row>
    <x:row r="1577" ht="23" customHeight="1">
      <x:c r="A1577" t="n">
        <x:v>39</x:v>
      </x:c>
      <x:c r="B1577" t="str">
        <x:v>豆蛋</x:v>
      </x:c>
      <x:c r="C1577" t="str">
        <x:v>鸡蛋</x:v>
      </x:c>
      <x:c r="D1577" t="n">
        <x:v>135</x:v>
      </x:c>
      <x:c r="E1577" t="n">
        <x:v>150</x:v>
      </x:c>
      <x:c r="F1577" s="10" t="str">
        <x:v>食材净重+约8%余量</x:v>
      </x:c>
      <x:c r="G1577" s="10" t="str">
        <x:v>去壳可食重</x:v>
      </x:c>
    </x:row>
    <x:row r="1578" ht="23" customHeight="1">
      <x:c r="A1578" t="n">
        <x:v>39</x:v>
      </x:c>
      <x:c r="B1578" t="str">
        <x:v>鱼类</x:v>
      </x:c>
      <x:c r="C1578" t="str">
        <x:v>三文鱼</x:v>
      </x:c>
      <x:c r="D1578" t="n">
        <x:v>145</x:v>
      </x:c>
      <x:c r="E1578" t="n">
        <x:v>160</x:v>
      </x:c>
      <x:c r="F1578" s="10" t="str">
        <x:v>食材净重+约8%余量</x:v>
      </x:c>
      <x:c r="G1578" s="10" t="str">
        <x:v>净鱼肉生重</x:v>
      </x:c>
    </x:row>
    <x:row r="1579" ht="23" customHeight="1">
      <x:c r="A1579" t="n">
        <x:v>39</x:v>
      </x:c>
      <x:c r="B1579" t="str">
        <x:v>鱼类</x:v>
      </x:c>
      <x:c r="C1579" t="str">
        <x:v>鲈鱼</x:v>
      </x:c>
      <x:c r="D1579" t="n">
        <x:v>175</x:v>
      </x:c>
      <x:c r="E1579" t="n">
        <x:v>190</x:v>
      </x:c>
      <x:c r="F1579" s="10" t="str">
        <x:v>食材净重+约8%余量；带壳或带骨采购需另折算</x:v>
      </x:c>
      <x:c r="G1579" s="10" t="str">
        <x:v>净鱼肉生重</x:v>
      </x:c>
    </x:row>
    <x:row r="1580" ht="23" customHeight="1">
      <x:c r="A1580" t="n">
        <x:v>40</x:v>
      </x:c>
      <x:c r="B1580" t="str">
        <x:v>主食</x:v>
      </x:c>
      <x:c r="C1580" t="str">
        <x:v>杂粮饭</x:v>
      </x:c>
      <x:c r="D1580" t="n">
        <x:v>250</x:v>
      </x:c>
      <x:c r="E1580" t="n">
        <x:v>100</x:v>
      </x:c>
      <x:c r="F1580" s="10" t="str">
        <x:v>未煮干粮约重（按熟饭/生米≈2.6估算）</x:v>
      </x:c>
      <x:c r="G1580" s="10" t="str">
        <x:v>熟重</x:v>
      </x:c>
    </x:row>
    <x:row r="1581" ht="23" customHeight="1">
      <x:c r="A1581" t="n">
        <x:v>40</x:v>
      </x:c>
      <x:c r="B1581" t="str">
        <x:v>主食</x:v>
      </x:c>
      <x:c r="C1581" t="str">
        <x:v>燕麦饭</x:v>
      </x:c>
      <x:c r="D1581" t="n">
        <x:v>260</x:v>
      </x:c>
      <x:c r="E1581" t="n">
        <x:v>100</x:v>
      </x:c>
      <x:c r="F1581" s="10" t="str">
        <x:v>未煮干粮约重（按熟饭/生米≈2.6估算）</x:v>
      </x:c>
      <x:c r="G1581" s="10" t="str">
        <x:v>熟重</x:v>
      </x:c>
    </x:row>
    <x:row r="1582" ht="23" customHeight="1">
      <x:c r="A1582" t="n">
        <x:v>40</x:v>
      </x:c>
      <x:c r="B1582" t="str">
        <x:v>主食</x:v>
      </x:c>
      <x:c r="C1582" t="str">
        <x:v>玉米</x:v>
      </x:c>
      <x:c r="D1582" t="n">
        <x:v>190</x:v>
      </x:c>
      <x:c r="E1582" t="n">
        <x:v>210</x:v>
      </x:c>
      <x:c r="F1582" s="10" t="str">
        <x:v>鲜薯/玉米净重；考虑小幅损耗</x:v>
      </x:c>
      <x:c r="G1582" s="10" t="str">
        <x:v>蒸熟净重</x:v>
      </x:c>
    </x:row>
    <x:row r="1583" ht="23" customHeight="1">
      <x:c r="A1583" t="n">
        <x:v>40</x:v>
      </x:c>
      <x:c r="B1583" t="str">
        <x:v>主食</x:v>
      </x:c>
      <x:c r="C1583" t="str">
        <x:v>白米饭</x:v>
      </x:c>
      <x:c r="D1583" t="n">
        <x:v>125</x:v>
      </x:c>
      <x:c r="E1583" t="n">
        <x:v>50</x:v>
      </x:c>
      <x:c r="F1583" s="10" t="str">
        <x:v>未煮干粮约重（按熟饭/生米≈2.6估算）</x:v>
      </x:c>
      <x:c r="G1583" s="10" t="str">
        <x:v>熟重</x:v>
      </x:c>
    </x:row>
    <x:row r="1584" ht="23" customHeight="1">
      <x:c r="A1584" t="n">
        <x:v>40</x:v>
      </x:c>
      <x:c r="B1584" t="str">
        <x:v>主食</x:v>
      </x:c>
      <x:c r="C1584" t="str">
        <x:v>糙米饭</x:v>
      </x:c>
      <x:c r="D1584" t="n">
        <x:v>370</x:v>
      </x:c>
      <x:c r="E1584" t="n">
        <x:v>140</x:v>
      </x:c>
      <x:c r="F1584" s="10" t="str">
        <x:v>未煮干粮约重（按熟饭/生米≈2.6估算）</x:v>
      </x:c>
      <x:c r="G1584" s="10" t="str">
        <x:v>熟重</x:v>
      </x:c>
    </x:row>
    <x:row r="1585" ht="23" customHeight="1">
      <x:c r="A1585" t="n">
        <x:v>40</x:v>
      </x:c>
      <x:c r="B1585" t="str">
        <x:v>主食</x:v>
      </x:c>
      <x:c r="C1585" t="str">
        <x:v>荞麦饭</x:v>
      </x:c>
      <x:c r="D1585" t="n">
        <x:v>95</x:v>
      </x:c>
      <x:c r="E1585" t="n">
        <x:v>40</x:v>
      </x:c>
      <x:c r="F1585" s="10" t="str">
        <x:v>未煮干粮约重（按熟饭/生米≈2.6估算）</x:v>
      </x:c>
      <x:c r="G1585" s="10" t="str">
        <x:v>熟重</x:v>
      </x:c>
    </x:row>
    <x:row r="1586" ht="23" customHeight="1">
      <x:c r="A1586" t="n">
        <x:v>40</x:v>
      </x:c>
      <x:c r="B1586" t="str">
        <x:v>主食</x:v>
      </x:c>
      <x:c r="C1586" t="str">
        <x:v>藜麦饭</x:v>
      </x:c>
      <x:c r="D1586" t="n">
        <x:v>340</x:v>
      </x:c>
      <x:c r="E1586" t="n">
        <x:v>130</x:v>
      </x:c>
      <x:c r="F1586" s="10" t="str">
        <x:v>未煮干粮约重（按熟饭/生米≈2.6估算）</x:v>
      </x:c>
      <x:c r="G1586" s="10" t="str">
        <x:v>熟重</x:v>
      </x:c>
    </x:row>
    <x:row r="1587" ht="23" customHeight="1">
      <x:c r="A1587" t="n">
        <x:v>40</x:v>
      </x:c>
      <x:c r="B1587" t="str">
        <x:v>加工肉</x:v>
      </x:c>
      <x:c r="C1587" t="str">
        <x:v>低盐火腿</x:v>
      </x:c>
      <x:c r="D1587" t="n">
        <x:v>45</x:v>
      </x:c>
      <x:c r="E1587" t="n">
        <x:v>50</x:v>
      </x:c>
      <x:c r="F1587" s="10" t="str">
        <x:v>食材净重+约8%余量</x:v>
      </x:c>
      <x:c r="G1587" s="10" t="str">
        <x:v>以品牌标签为准</x:v>
      </x:c>
    </x:row>
    <x:row r="1588" ht="23" customHeight="1">
      <x:c r="A1588" t="n">
        <x:v>40</x:v>
      </x:c>
      <x:c r="B1588" t="str">
        <x:v>油脂</x:v>
      </x:c>
      <x:c r="C1588" t="str">
        <x:v>烹调油</x:v>
      </x:c>
      <x:c r="D1588" t="n">
        <x:v>66</x:v>
      </x:c>
      <x:c r="E1588" t="n">
        <x:v>66</x:v>
      </x:c>
      <x:c r="F1588" s="10" t="str">
        <x:v>食用油；现有库存足够即可</x:v>
      </x:c>
      <x:c r="G1588" s="10" t="str">
        <x:v>实际用油重</x:v>
      </x:c>
    </x:row>
    <x:row r="1589" ht="23" customHeight="1">
      <x:c r="A1589" t="n">
        <x:v>40</x:v>
      </x:c>
      <x:c r="B1589" t="str">
        <x:v>海鲜</x:v>
      </x:c>
      <x:c r="C1589" t="str">
        <x:v>虾仁</x:v>
      </x:c>
      <x:c r="D1589" t="n">
        <x:v>65</x:v>
      </x:c>
      <x:c r="E1589" t="n">
        <x:v>70</x:v>
      </x:c>
      <x:c r="F1589" s="10" t="str">
        <x:v>食材净重+约8%余量</x:v>
      </x:c>
      <x:c r="G1589" s="10" t="str">
        <x:v>生重</x:v>
      </x:c>
    </x:row>
    <x:row r="1590" ht="23" customHeight="1">
      <x:c r="A1590" t="n">
        <x:v>40</x:v>
      </x:c>
      <x:c r="B1590" t="str">
        <x:v>海鲜</x:v>
      </x:c>
      <x:c r="C1590" t="str">
        <x:v>鱿鱼</x:v>
      </x:c>
      <x:c r="D1590" t="n">
        <x:v>190</x:v>
      </x:c>
      <x:c r="E1590" t="n">
        <x:v>210</x:v>
      </x:c>
      <x:c r="F1590" s="10" t="str">
        <x:v>食材净重+约8%余量</x:v>
      </x:c>
      <x:c r="G1590" s="10" t="str">
        <x:v>生重</x:v>
      </x:c>
    </x:row>
    <x:row r="1591" ht="23" customHeight="1">
      <x:c r="A1591" t="n">
        <x:v>40</x:v>
      </x:c>
      <x:c r="B1591" t="str">
        <x:v>牛肉</x:v>
      </x:c>
      <x:c r="C1591" t="str">
        <x:v>瘦牛肉</x:v>
      </x:c>
      <x:c r="D1591" t="n">
        <x:v>360</x:v>
      </x:c>
      <x:c r="E1591" t="n">
        <x:v>390</x:v>
      </x:c>
      <x:c r="F1591" s="10" t="str">
        <x:v>食材净重+约8%余量</x:v>
      </x:c>
      <x:c r="G1591" s="10" t="str">
        <x:v>生重</x:v>
      </x:c>
    </x:row>
    <x:row r="1592" ht="23" customHeight="1">
      <x:c r="A1592" t="n">
        <x:v>40</x:v>
      </x:c>
      <x:c r="B1592" t="str">
        <x:v>禽肉</x:v>
      </x:c>
      <x:c r="C1592" t="str">
        <x:v>去皮鸡腿肉</x:v>
      </x:c>
      <x:c r="D1592" t="n">
        <x:v>165</x:v>
      </x:c>
      <x:c r="E1592" t="n">
        <x:v>180</x:v>
      </x:c>
      <x:c r="F1592" s="10" t="str">
        <x:v>食材净重+约8%余量</x:v>
      </x:c>
      <x:c r="G1592" s="10" t="str">
        <x:v>生重</x:v>
      </x:c>
    </x:row>
    <x:row r="1593" ht="23" customHeight="1">
      <x:c r="A1593" t="n">
        <x:v>40</x:v>
      </x:c>
      <x:c r="B1593" t="str">
        <x:v>禽肉</x:v>
      </x:c>
      <x:c r="C1593" t="str">
        <x:v>去皮鸭胸肉</x:v>
      </x:c>
      <x:c r="D1593" t="n">
        <x:v>330</x:v>
      </x:c>
      <x:c r="E1593" t="n">
        <x:v>360</x:v>
      </x:c>
      <x:c r="F1593" s="10" t="str">
        <x:v>食材净重+约8%余量</x:v>
      </x:c>
      <x:c r="G1593" s="10" t="str">
        <x:v>生重</x:v>
      </x:c>
    </x:row>
    <x:row r="1594" ht="23" customHeight="1">
      <x:c r="A1594" t="n">
        <x:v>40</x:v>
      </x:c>
      <x:c r="B1594" t="str">
        <x:v>禽肉</x:v>
      </x:c>
      <x:c r="C1594" t="str">
        <x:v>鸡胸肉</x:v>
      </x:c>
      <x:c r="D1594" t="n">
        <x:v>170</x:v>
      </x:c>
      <x:c r="E1594" t="n">
        <x:v>180</x:v>
      </x:c>
      <x:c r="F1594" s="10" t="str">
        <x:v>食材净重+约8%余量</x:v>
      </x:c>
      <x:c r="G1594" s="10" t="str">
        <x:v>生重</x:v>
      </x:c>
    </x:row>
    <x:row r="1595" ht="23" customHeight="1">
      <x:c r="A1595" t="n">
        <x:v>40</x:v>
      </x:c>
      <x:c r="B1595" t="str">
        <x:v>菌菇</x:v>
      </x:c>
      <x:c r="C1595" t="str">
        <x:v>口蘑</x:v>
      </x:c>
      <x:c r="D1595" t="n">
        <x:v>125</x:v>
      </x:c>
      <x:c r="E1595" t="n">
        <x:v>140</x:v>
      </x:c>
      <x:c r="F1595" s="10" t="str">
        <x:v>食材净重+约8%余量</x:v>
      </x:c>
      <x:c r="G1595" s="10" t="str">
        <x:v>生重</x:v>
      </x:c>
    </x:row>
    <x:row r="1596" ht="23" customHeight="1">
      <x:c r="A1596" t="n">
        <x:v>40</x:v>
      </x:c>
      <x:c r="B1596" t="str">
        <x:v>菌菇</x:v>
      </x:c>
      <x:c r="C1596" t="str">
        <x:v>杏鲍菇</x:v>
      </x:c>
      <x:c r="D1596" t="n">
        <x:v>140</x:v>
      </x:c>
      <x:c r="E1596" t="n">
        <x:v>150</x:v>
      </x:c>
      <x:c r="F1596" s="10" t="str">
        <x:v>食材净重+约8%余量</x:v>
      </x:c>
      <x:c r="G1596" s="10" t="str">
        <x:v>生重</x:v>
      </x:c>
    </x:row>
    <x:row r="1597" ht="23" customHeight="1">
      <x:c r="A1597" t="n">
        <x:v>40</x:v>
      </x:c>
      <x:c r="B1597" t="str">
        <x:v>菌菇</x:v>
      </x:c>
      <x:c r="C1597" t="str">
        <x:v>香菇</x:v>
      </x:c>
      <x:c r="D1597" t="n">
        <x:v>280</x:v>
      </x:c>
      <x:c r="E1597" t="n">
        <x:v>300</x:v>
      </x:c>
      <x:c r="F1597" s="10" t="str">
        <x:v>食材净重+约8%余量</x:v>
      </x:c>
      <x:c r="G1597" s="10" t="str">
        <x:v>生重</x:v>
      </x:c>
    </x:row>
    <x:row r="1598" ht="23" customHeight="1">
      <x:c r="A1598" t="n">
        <x:v>40</x:v>
      </x:c>
      <x:c r="B1598" t="str">
        <x:v>蔬菜</x:v>
      </x:c>
      <x:c r="C1598" t="str">
        <x:v>大白菜</x:v>
      </x:c>
      <x:c r="D1598" t="n">
        <x:v>160</x:v>
      </x:c>
      <x:c r="E1598" t="n">
        <x:v>170</x:v>
      </x:c>
      <x:c r="F1598" s="10" t="str">
        <x:v>食材净重+约8%余量</x:v>
      </x:c>
      <x:c r="G1598" s="10" t="str">
        <x:v>生重</x:v>
      </x:c>
    </x:row>
    <x:row r="1599" ht="23" customHeight="1">
      <x:c r="A1599" t="n">
        <x:v>40</x:v>
      </x:c>
      <x:c r="B1599" t="str">
        <x:v>蔬菜</x:v>
      </x:c>
      <x:c r="C1599" t="str">
        <x:v>小白菜</x:v>
      </x:c>
      <x:c r="D1599" t="n">
        <x:v>140</x:v>
      </x:c>
      <x:c r="E1599" t="n">
        <x:v>150</x:v>
      </x:c>
      <x:c r="F1599" s="10" t="str">
        <x:v>食材净重+约8%余量</x:v>
      </x:c>
      <x:c r="G1599" s="10" t="str">
        <x:v>生重</x:v>
      </x:c>
    </x:row>
    <x:row r="1600" ht="23" customHeight="1">
      <x:c r="A1600" t="n">
        <x:v>40</x:v>
      </x:c>
      <x:c r="B1600" t="str">
        <x:v>蔬菜</x:v>
      </x:c>
      <x:c r="C1600" t="str">
        <x:v>彩椒</x:v>
      </x:c>
      <x:c r="D1600" t="n">
        <x:v>315</x:v>
      </x:c>
      <x:c r="E1600" t="n">
        <x:v>340</x:v>
      </x:c>
      <x:c r="F1600" s="10" t="str">
        <x:v>食材净重+约8%余量</x:v>
      </x:c>
      <x:c r="G1600" s="10" t="str">
        <x:v>生重</x:v>
      </x:c>
    </x:row>
    <x:row r="1601" ht="23" customHeight="1">
      <x:c r="A1601" t="n">
        <x:v>40</x:v>
      </x:c>
      <x:c r="B1601" t="str">
        <x:v>蔬菜</x:v>
      </x:c>
      <x:c r="C1601" t="str">
        <x:v>油麦菜</x:v>
      </x:c>
      <x:c r="D1601" t="n">
        <x:v>160</x:v>
      </x:c>
      <x:c r="E1601" t="n">
        <x:v>170</x:v>
      </x:c>
      <x:c r="F1601" s="10" t="str">
        <x:v>食材净重+约8%余量</x:v>
      </x:c>
      <x:c r="G1601" s="10" t="str">
        <x:v>生重</x:v>
      </x:c>
    </x:row>
    <x:row r="1602" ht="23" customHeight="1">
      <x:c r="A1602" t="n">
        <x:v>40</x:v>
      </x:c>
      <x:c r="B1602" t="str">
        <x:v>蔬菜</x:v>
      </x:c>
      <x:c r="C1602" t="str">
        <x:v>海带</x:v>
      </x:c>
      <x:c r="D1602" t="n">
        <x:v>235</x:v>
      </x:c>
      <x:c r="E1602" t="n">
        <x:v>250</x:v>
      </x:c>
      <x:c r="F1602" s="10" t="str">
        <x:v>食材净重+约8%余量</x:v>
      </x:c>
      <x:c r="G1602" s="10" t="str">
        <x:v>泡发沥水重</x:v>
      </x:c>
    </x:row>
    <x:row r="1603" ht="23" customHeight="1">
      <x:c r="A1603" t="n">
        <x:v>40</x:v>
      </x:c>
      <x:c r="B1603" t="str">
        <x:v>蔬菜</x:v>
      </x:c>
      <x:c r="C1603" t="str">
        <x:v>生菜</x:v>
      </x:c>
      <x:c r="D1603" t="n">
        <x:v>140</x:v>
      </x:c>
      <x:c r="E1603" t="n">
        <x:v>150</x:v>
      </x:c>
      <x:c r="F1603" s="10" t="str">
        <x:v>食材净重+约8%余量</x:v>
      </x:c>
      <x:c r="G1603" s="10" t="str">
        <x:v>生重</x:v>
      </x:c>
    </x:row>
    <x:row r="1604" ht="23" customHeight="1">
      <x:c r="A1604" t="n">
        <x:v>40</x:v>
      </x:c>
      <x:c r="B1604" t="str">
        <x:v>蔬菜</x:v>
      </x:c>
      <x:c r="C1604" t="str">
        <x:v>番茄</x:v>
      </x:c>
      <x:c r="D1604" t="n">
        <x:v>490</x:v>
      </x:c>
      <x:c r="E1604" t="n">
        <x:v>530</x:v>
      </x:c>
      <x:c r="F1604" s="10" t="str">
        <x:v>食材净重+约8%余量</x:v>
      </x:c>
      <x:c r="G1604" s="10" t="str">
        <x:v>生重</x:v>
      </x:c>
    </x:row>
    <x:row r="1605" ht="23" customHeight="1">
      <x:c r="A1605" t="n">
        <x:v>40</x:v>
      </x:c>
      <x:c r="B1605" t="str">
        <x:v>蔬菜</x:v>
      </x:c>
      <x:c r="C1605" t="str">
        <x:v>白萝卜</x:v>
      </x:c>
      <x:c r="D1605" t="n">
        <x:v>160</x:v>
      </x:c>
      <x:c r="E1605" t="n">
        <x:v>170</x:v>
      </x:c>
      <x:c r="F1605" s="10" t="str">
        <x:v>食材净重+约8%余量</x:v>
      </x:c>
      <x:c r="G1605" s="10" t="str">
        <x:v>生重</x:v>
      </x:c>
    </x:row>
    <x:row r="1606" ht="23" customHeight="1">
      <x:c r="A1606" t="n">
        <x:v>40</x:v>
      </x:c>
      <x:c r="B1606" t="str">
        <x:v>蔬菜</x:v>
      </x:c>
      <x:c r="C1606" t="str">
        <x:v>绿豆芽</x:v>
      </x:c>
      <x:c r="D1606" t="n">
        <x:v>140</x:v>
      </x:c>
      <x:c r="E1606" t="n">
        <x:v>150</x:v>
      </x:c>
      <x:c r="F1606" s="10" t="str">
        <x:v>食材净重+约8%余量</x:v>
      </x:c>
      <x:c r="G1606" s="10" t="str">
        <x:v>生重</x:v>
      </x:c>
    </x:row>
    <x:row r="1607" ht="23" customHeight="1">
      <x:c r="A1607" t="n">
        <x:v>40</x:v>
      </x:c>
      <x:c r="B1607" t="str">
        <x:v>蔬菜</x:v>
      </x:c>
      <x:c r="C1607" t="str">
        <x:v>芹菜</x:v>
      </x:c>
      <x:c r="D1607" t="n">
        <x:v>160</x:v>
      </x:c>
      <x:c r="E1607" t="n">
        <x:v>170</x:v>
      </x:c>
      <x:c r="F1607" s="10" t="str">
        <x:v>食材净重+约8%余量</x:v>
      </x:c>
      <x:c r="G1607" s="10" t="str">
        <x:v>生重</x:v>
      </x:c>
    </x:row>
    <x:row r="1608" ht="23" customHeight="1">
      <x:c r="A1608" t="n">
        <x:v>40</x:v>
      </x:c>
      <x:c r="B1608" t="str">
        <x:v>蔬菜</x:v>
      </x:c>
      <x:c r="C1608" t="str">
        <x:v>茼蒿</x:v>
      </x:c>
      <x:c r="D1608" t="n">
        <x:v>160</x:v>
      </x:c>
      <x:c r="E1608" t="n">
        <x:v>170</x:v>
      </x:c>
      <x:c r="F1608" s="10" t="str">
        <x:v>食材净重+约8%余量</x:v>
      </x:c>
      <x:c r="G1608" s="10" t="str">
        <x:v>生重</x:v>
      </x:c>
    </x:row>
    <x:row r="1609" ht="23" customHeight="1">
      <x:c r="A1609" t="n">
        <x:v>40</x:v>
      </x:c>
      <x:c r="B1609" t="str">
        <x:v>蔬菜</x:v>
      </x:c>
      <x:c r="C1609" t="str">
        <x:v>莴笋</x:v>
      </x:c>
      <x:c r="D1609" t="n">
        <x:v>160</x:v>
      </x:c>
      <x:c r="E1609" t="n">
        <x:v>170</x:v>
      </x:c>
      <x:c r="F1609" s="10" t="str">
        <x:v>食材净重+约8%余量</x:v>
      </x:c>
      <x:c r="G1609" s="10" t="str">
        <x:v>生重</x:v>
      </x:c>
    </x:row>
    <x:row r="1610" ht="23" customHeight="1">
      <x:c r="A1610" t="n">
        <x:v>40</x:v>
      </x:c>
      <x:c r="B1610" t="str">
        <x:v>蔬菜</x:v>
      </x:c>
      <x:c r="C1610" t="str">
        <x:v>菠菜</x:v>
      </x:c>
      <x:c r="D1610" t="n">
        <x:v>140</x:v>
      </x:c>
      <x:c r="E1610" t="n">
        <x:v>150</x:v>
      </x:c>
      <x:c r="F1610" s="10" t="str">
        <x:v>食材净重+约8%余量</x:v>
      </x:c>
      <x:c r="G1610" s="10" t="str">
        <x:v>生重</x:v>
      </x:c>
    </x:row>
    <x:row r="1611" ht="23" customHeight="1">
      <x:c r="A1611" t="n">
        <x:v>40</x:v>
      </x:c>
      <x:c r="B1611" t="str">
        <x:v>蔬菜</x:v>
      </x:c>
      <x:c r="C1611" t="str">
        <x:v>西兰花</x:v>
      </x:c>
      <x:c r="D1611" t="n">
        <x:v>720</x:v>
      </x:c>
      <x:c r="E1611" t="n">
        <x:v>780</x:v>
      </x:c>
      <x:c r="F1611" s="10" t="str">
        <x:v>食材净重+约8%余量</x:v>
      </x:c>
      <x:c r="G1611" s="10" t="str">
        <x:v>生重</x:v>
      </x:c>
    </x:row>
    <x:row r="1612" ht="23" customHeight="1">
      <x:c r="A1612" t="n">
        <x:v>40</x:v>
      </x:c>
      <x:c r="B1612" t="str">
        <x:v>蔬菜</x:v>
      </x:c>
      <x:c r="C1612" t="str">
        <x:v>黄瓜</x:v>
      </x:c>
      <x:c r="D1612" t="n">
        <x:v>250</x:v>
      </x:c>
      <x:c r="E1612" t="n">
        <x:v>270</x:v>
      </x:c>
      <x:c r="F1612" s="10" t="str">
        <x:v>食材净重+约8%余量</x:v>
      </x:c>
      <x:c r="G1612" s="10" t="str">
        <x:v>生重</x:v>
      </x:c>
    </x:row>
    <x:row r="1613" ht="23" customHeight="1">
      <x:c r="A1613" t="n">
        <x:v>40</x:v>
      </x:c>
      <x:c r="B1613" t="str">
        <x:v>豆蛋</x:v>
      </x:c>
      <x:c r="C1613" t="str">
        <x:v>北豆腐</x:v>
      </x:c>
      <x:c r="D1613" t="n">
        <x:v>90</x:v>
      </x:c>
      <x:c r="E1613" t="n">
        <x:v>100</x:v>
      </x:c>
      <x:c r="F1613" s="10" t="str">
        <x:v>食材净重+约8%余量</x:v>
      </x:c>
      <x:c r="G1613" s="10" t="str">
        <x:v>净重</x:v>
      </x:c>
    </x:row>
    <x:row r="1614" ht="23" customHeight="1">
      <x:c r="A1614" t="n">
        <x:v>40</x:v>
      </x:c>
      <x:c r="B1614" t="str">
        <x:v>豆蛋</x:v>
      </x:c>
      <x:c r="C1614" t="str">
        <x:v>嫩豆腐</x:v>
      </x:c>
      <x:c r="D1614" t="n">
        <x:v>300</x:v>
      </x:c>
      <x:c r="E1614" t="n">
        <x:v>320</x:v>
      </x:c>
      <x:c r="F1614" s="10" t="str">
        <x:v>食材净重+约8%余量</x:v>
      </x:c>
      <x:c r="G1614" s="10" t="str">
        <x:v>净重</x:v>
      </x:c>
    </x:row>
    <x:row r="1615" ht="23" customHeight="1">
      <x:c r="A1615" t="n">
        <x:v>40</x:v>
      </x:c>
      <x:c r="B1615" t="str">
        <x:v>豆蛋</x:v>
      </x:c>
      <x:c r="C1615" t="str">
        <x:v>鸡蛋</x:v>
      </x:c>
      <x:c r="D1615" t="n">
        <x:v>355</x:v>
      </x:c>
      <x:c r="E1615" t="n">
        <x:v>380</x:v>
      </x:c>
      <x:c r="F1615" s="10" t="str">
        <x:v>食材净重+约8%余量</x:v>
      </x:c>
      <x:c r="G1615" s="10" t="str">
        <x:v>去壳可食重</x:v>
      </x:c>
    </x:row>
    <x:row r="1616" ht="23" customHeight="1">
      <x:c r="A1616" t="n">
        <x:v>40</x:v>
      </x:c>
      <x:c r="B1616" t="str">
        <x:v>鱼类</x:v>
      </x:c>
      <x:c r="C1616" t="str">
        <x:v>鲈鱼</x:v>
      </x:c>
      <x:c r="D1616" t="n">
        <x:v>375</x:v>
      </x:c>
      <x:c r="E1616" t="n">
        <x:v>400</x:v>
      </x:c>
      <x:c r="F1616" s="10" t="str">
        <x:v>食材净重+约8%余量；带壳或带骨采购需另折算</x:v>
      </x:c>
      <x:c r="G1616" s="10" t="str">
        <x:v>净鱼肉生重</x:v>
      </x:c>
    </x:row>
    <x:row r="1617" ht="23" customHeight="1">
      <x:c r="A1617" t="n">
        <x:v>40</x:v>
      </x:c>
      <x:c r="B1617" t="str">
        <x:v>鱼类</x:v>
      </x:c>
      <x:c r="C1617" t="str">
        <x:v>鳕鱼</x:v>
      </x:c>
      <x:c r="D1617" t="n">
        <x:v>215</x:v>
      </x:c>
      <x:c r="E1617" t="n">
        <x:v>230</x:v>
      </x:c>
      <x:c r="F1617" s="10" t="str">
        <x:v>食材净重+约8%余量；带壳或带骨采购需另折算</x:v>
      </x:c>
      <x:c r="G1617" s="10" t="str">
        <x:v>净鱼肉生重</x:v>
      </x:c>
    </x:row>
    <x:row r="1618" ht="23" customHeight="1">
      <x:c r="A1618" t="n">
        <x:v>41</x:v>
      </x:c>
      <x:c r="B1618" t="str">
        <x:v>主食</x:v>
      </x:c>
      <x:c r="C1618" t="str">
        <x:v>乌冬面</x:v>
      </x:c>
      <x:c r="D1618" t="n">
        <x:v>135</x:v>
      </x:c>
      <x:c r="E1618" t="n">
        <x:v>60</x:v>
      </x:c>
      <x:c r="F1618" s="10" t="str">
        <x:v>干粮约重（按熟面/干面≈2.1估算）</x:v>
      </x:c>
      <x:c r="G1618" s="10" t="str">
        <x:v>煮熟沥水重</x:v>
      </x:c>
    </x:row>
    <x:row r="1619" ht="23" customHeight="1">
      <x:c r="A1619" t="n">
        <x:v>41</x:v>
      </x:c>
      <x:c r="B1619" t="str">
        <x:v>主食</x:v>
      </x:c>
      <x:c r="C1619" t="str">
        <x:v>全麦面</x:v>
      </x:c>
      <x:c r="D1619" t="n">
        <x:v>260</x:v>
      </x:c>
      <x:c r="E1619" t="n">
        <x:v>120</x:v>
      </x:c>
      <x:c r="F1619" s="10" t="str">
        <x:v>干粮约重（按熟面/干面≈2.1估算）</x:v>
      </x:c>
      <x:c r="G1619" s="10" t="str">
        <x:v>煮熟沥水重</x:v>
      </x:c>
    </x:row>
    <x:row r="1620" ht="23" customHeight="1">
      <x:c r="A1620" t="n">
        <x:v>41</x:v>
      </x:c>
      <x:c r="B1620" t="str">
        <x:v>主食</x:v>
      </x:c>
      <x:c r="C1620" t="str">
        <x:v>土豆</x:v>
      </x:c>
      <x:c r="D1620" t="n">
        <x:v>280</x:v>
      </x:c>
      <x:c r="E1620" t="n">
        <x:v>310</x:v>
      </x:c>
      <x:c r="F1620" s="10" t="str">
        <x:v>鲜薯/玉米净重；考虑小幅损耗</x:v>
      </x:c>
      <x:c r="G1620" s="10" t="str">
        <x:v>蒸熟净重</x:v>
      </x:c>
    </x:row>
    <x:row r="1621" ht="23" customHeight="1">
      <x:c r="A1621" t="n">
        <x:v>41</x:v>
      </x:c>
      <x:c r="B1621" t="str">
        <x:v>主食</x:v>
      </x:c>
      <x:c r="C1621" t="str">
        <x:v>杂粮饭</x:v>
      </x:c>
      <x:c r="D1621" t="n">
        <x:v>150</x:v>
      </x:c>
      <x:c r="E1621" t="n">
        <x:v>60</x:v>
      </x:c>
      <x:c r="F1621" s="10" t="str">
        <x:v>未煮干粮约重（按熟饭/生米≈2.6估算）</x:v>
      </x:c>
      <x:c r="G1621" s="10" t="str">
        <x:v>熟重</x:v>
      </x:c>
    </x:row>
    <x:row r="1622" ht="23" customHeight="1">
      <x:c r="A1622" t="n">
        <x:v>41</x:v>
      </x:c>
      <x:c r="B1622" t="str">
        <x:v>主食</x:v>
      </x:c>
      <x:c r="C1622" t="str">
        <x:v>燕麦饭</x:v>
      </x:c>
      <x:c r="D1622" t="n">
        <x:v>125</x:v>
      </x:c>
      <x:c r="E1622" t="n">
        <x:v>50</x:v>
      </x:c>
      <x:c r="F1622" s="10" t="str">
        <x:v>未煮干粮约重（按熟饭/生米≈2.6估算）</x:v>
      </x:c>
      <x:c r="G1622" s="10" t="str">
        <x:v>熟重</x:v>
      </x:c>
    </x:row>
    <x:row r="1623" ht="23" customHeight="1">
      <x:c r="A1623" t="n">
        <x:v>41</x:v>
      </x:c>
      <x:c r="B1623" t="str">
        <x:v>主食</x:v>
      </x:c>
      <x:c r="C1623" t="str">
        <x:v>白米饭</x:v>
      </x:c>
      <x:c r="D1623" t="n">
        <x:v>80</x:v>
      </x:c>
      <x:c r="E1623" t="n">
        <x:v>30</x:v>
      </x:c>
      <x:c r="F1623" s="10" t="str">
        <x:v>未煮干粮约重（按熟饭/生米≈2.6估算）</x:v>
      </x:c>
      <x:c r="G1623" s="10" t="str">
        <x:v>熟重</x:v>
      </x:c>
    </x:row>
    <x:row r="1624" ht="23" customHeight="1">
      <x:c r="A1624" t="n">
        <x:v>41</x:v>
      </x:c>
      <x:c r="B1624" t="str">
        <x:v>主食</x:v>
      </x:c>
      <x:c r="C1624" t="str">
        <x:v>糙米饭</x:v>
      </x:c>
      <x:c r="D1624" t="n">
        <x:v>135</x:v>
      </x:c>
      <x:c r="E1624" t="n">
        <x:v>50</x:v>
      </x:c>
      <x:c r="F1624" s="10" t="str">
        <x:v>未煮干粮约重（按熟饭/生米≈2.6估算）</x:v>
      </x:c>
      <x:c r="G1624" s="10" t="str">
        <x:v>熟重</x:v>
      </x:c>
    </x:row>
    <x:row r="1625" ht="23" customHeight="1">
      <x:c r="A1625" t="n">
        <x:v>41</x:v>
      </x:c>
      <x:c r="B1625" t="str">
        <x:v>主食</x:v>
      </x:c>
      <x:c r="C1625" t="str">
        <x:v>紫薯</x:v>
      </x:c>
      <x:c r="D1625" t="n">
        <x:v>125</x:v>
      </x:c>
      <x:c r="E1625" t="n">
        <x:v>140</x:v>
      </x:c>
      <x:c r="F1625" s="10" t="str">
        <x:v>鲜薯/玉米净重；考虑小幅损耗</x:v>
      </x:c>
      <x:c r="G1625" s="10" t="str">
        <x:v>蒸熟净重</x:v>
      </x:c>
    </x:row>
    <x:row r="1626" ht="23" customHeight="1">
      <x:c r="A1626" t="n">
        <x:v>41</x:v>
      </x:c>
      <x:c r="B1626" t="str">
        <x:v>主食</x:v>
      </x:c>
      <x:c r="C1626" t="str">
        <x:v>红薯</x:v>
      </x:c>
      <x:c r="D1626" t="n">
        <x:v>245</x:v>
      </x:c>
      <x:c r="E1626" t="n">
        <x:v>270</x:v>
      </x:c>
      <x:c r="F1626" s="10" t="str">
        <x:v>鲜薯/玉米净重；考虑小幅损耗</x:v>
      </x:c>
      <x:c r="G1626" s="10" t="str">
        <x:v>蒸熟净重</x:v>
      </x:c>
    </x:row>
    <x:row r="1627" ht="23" customHeight="1">
      <x:c r="A1627" t="n">
        <x:v>41</x:v>
      </x:c>
      <x:c r="B1627" t="str">
        <x:v>主食</x:v>
      </x:c>
      <x:c r="C1627" t="str">
        <x:v>荞麦面</x:v>
      </x:c>
      <x:c r="D1627" t="n">
        <x:v>100</x:v>
      </x:c>
      <x:c r="E1627" t="n">
        <x:v>50</x:v>
      </x:c>
      <x:c r="F1627" s="10" t="str">
        <x:v>干粮约重（按熟面/干面≈2.1估算）</x:v>
      </x:c>
      <x:c r="G1627" s="10" t="str">
        <x:v>煮熟沥水重</x:v>
      </x:c>
    </x:row>
    <x:row r="1628" ht="23" customHeight="1">
      <x:c r="A1628" t="n">
        <x:v>41</x:v>
      </x:c>
      <x:c r="B1628" t="str">
        <x:v>主食</x:v>
      </x:c>
      <x:c r="C1628" t="str">
        <x:v>荞麦饭</x:v>
      </x:c>
      <x:c r="D1628" t="n">
        <x:v>110</x:v>
      </x:c>
      <x:c r="E1628" t="n">
        <x:v>40</x:v>
      </x:c>
      <x:c r="F1628" s="10" t="str">
        <x:v>未煮干粮约重（按熟饭/生米≈2.6估算）</x:v>
      </x:c>
      <x:c r="G1628" s="10" t="str">
        <x:v>熟重</x:v>
      </x:c>
    </x:row>
    <x:row r="1629" ht="23" customHeight="1">
      <x:c r="A1629" t="n">
        <x:v>41</x:v>
      </x:c>
      <x:c r="B1629" t="str">
        <x:v>加工肉</x:v>
      </x:c>
      <x:c r="C1629" t="str">
        <x:v>低盐火腿</x:v>
      </x:c>
      <x:c r="D1629" t="n">
        <x:v>45</x:v>
      </x:c>
      <x:c r="E1629" t="n">
        <x:v>50</x:v>
      </x:c>
      <x:c r="F1629" s="10" t="str">
        <x:v>食材净重+约8%余量</x:v>
      </x:c>
      <x:c r="G1629" s="10" t="str">
        <x:v>以品牌标签为准</x:v>
      </x:c>
    </x:row>
    <x:row r="1630" ht="23" customHeight="1">
      <x:c r="A1630" t="n">
        <x:v>41</x:v>
      </x:c>
      <x:c r="B1630" t="str">
        <x:v>油脂</x:v>
      </x:c>
      <x:c r="C1630" t="str">
        <x:v>烹调油</x:v>
      </x:c>
      <x:c r="D1630" t="n">
        <x:v>57</x:v>
      </x:c>
      <x:c r="E1630" t="n">
        <x:v>57</x:v>
      </x:c>
      <x:c r="F1630" s="10" t="str">
        <x:v>食用油；现有库存足够即可</x:v>
      </x:c>
      <x:c r="G1630" s="10" t="str">
        <x:v>实际用油重</x:v>
      </x:c>
    </x:row>
    <x:row r="1631" ht="23" customHeight="1">
      <x:c r="A1631" t="n">
        <x:v>41</x:v>
      </x:c>
      <x:c r="B1631" t="str">
        <x:v>海鲜</x:v>
      </x:c>
      <x:c r="C1631" t="str">
        <x:v>扇贝肉</x:v>
      </x:c>
      <x:c r="D1631" t="n">
        <x:v>210</x:v>
      </x:c>
      <x:c r="E1631" t="n">
        <x:v>230</x:v>
      </x:c>
      <x:c r="F1631" s="10" t="str">
        <x:v>食材净重+约8%余量；带壳或带骨采购需另折算</x:v>
      </x:c>
      <x:c r="G1631" s="10" t="str">
        <x:v>生重</x:v>
      </x:c>
    </x:row>
    <x:row r="1632" ht="23" customHeight="1">
      <x:c r="A1632" t="n">
        <x:v>41</x:v>
      </x:c>
      <x:c r="B1632" t="str">
        <x:v>海鲜</x:v>
      </x:c>
      <x:c r="C1632" t="str">
        <x:v>虾仁</x:v>
      </x:c>
      <x:c r="D1632" t="n">
        <x:v>435</x:v>
      </x:c>
      <x:c r="E1632" t="n">
        <x:v>470</x:v>
      </x:c>
      <x:c r="F1632" s="10" t="str">
        <x:v>食材净重+约8%余量</x:v>
      </x:c>
      <x:c r="G1632" s="10" t="str">
        <x:v>生重</x:v>
      </x:c>
    </x:row>
    <x:row r="1633" ht="23" customHeight="1">
      <x:c r="A1633" t="n">
        <x:v>41</x:v>
      </x:c>
      <x:c r="B1633" t="str">
        <x:v>牛肉</x:v>
      </x:c>
      <x:c r="C1633" t="str">
        <x:v>牛里脊</x:v>
      </x:c>
      <x:c r="D1633" t="n">
        <x:v>180</x:v>
      </x:c>
      <x:c r="E1633" t="n">
        <x:v>190</x:v>
      </x:c>
      <x:c r="F1633" s="10" t="str">
        <x:v>食材净重+约8%余量</x:v>
      </x:c>
      <x:c r="G1633" s="10" t="str">
        <x:v>生重</x:v>
      </x:c>
    </x:row>
    <x:row r="1634" ht="23" customHeight="1">
      <x:c r="A1634" t="n">
        <x:v>41</x:v>
      </x:c>
      <x:c r="B1634" t="str">
        <x:v>猪肉</x:v>
      </x:c>
      <x:c r="C1634" t="str">
        <x:v>猪瘦肉</x:v>
      </x:c>
      <x:c r="D1634" t="n">
        <x:v>165</x:v>
      </x:c>
      <x:c r="E1634" t="n">
        <x:v>180</x:v>
      </x:c>
      <x:c r="F1634" s="10" t="str">
        <x:v>食材净重+约8%余量</x:v>
      </x:c>
      <x:c r="G1634" s="10" t="str">
        <x:v>生重</x:v>
      </x:c>
    </x:row>
    <x:row r="1635" ht="23" customHeight="1">
      <x:c r="A1635" t="n">
        <x:v>41</x:v>
      </x:c>
      <x:c r="B1635" t="str">
        <x:v>禽肉</x:v>
      </x:c>
      <x:c r="C1635" t="str">
        <x:v>去皮鸡腿肉</x:v>
      </x:c>
      <x:c r="D1635" t="n">
        <x:v>170</x:v>
      </x:c>
      <x:c r="E1635" t="n">
        <x:v>180</x:v>
      </x:c>
      <x:c r="F1635" s="10" t="str">
        <x:v>食材净重+约8%余量</x:v>
      </x:c>
      <x:c r="G1635" s="10" t="str">
        <x:v>生重</x:v>
      </x:c>
    </x:row>
    <x:row r="1636" ht="23" customHeight="1">
      <x:c r="A1636" t="n">
        <x:v>41</x:v>
      </x:c>
      <x:c r="B1636" t="str">
        <x:v>禽肉</x:v>
      </x:c>
      <x:c r="C1636" t="str">
        <x:v>鸡胸肉</x:v>
      </x:c>
      <x:c r="D1636" t="n">
        <x:v>175</x:v>
      </x:c>
      <x:c r="E1636" t="n">
        <x:v>190</x:v>
      </x:c>
      <x:c r="F1636" s="10" t="str">
        <x:v>食材净重+约8%余量</x:v>
      </x:c>
      <x:c r="G1636" s="10" t="str">
        <x:v>生重</x:v>
      </x:c>
    </x:row>
    <x:row r="1637" ht="23" customHeight="1">
      <x:c r="A1637" t="n">
        <x:v>41</x:v>
      </x:c>
      <x:c r="B1637" t="str">
        <x:v>禽肉</x:v>
      </x:c>
      <x:c r="C1637" t="str">
        <x:v>鸡里脊肉</x:v>
      </x:c>
      <x:c r="D1637" t="n">
        <x:v>145</x:v>
      </x:c>
      <x:c r="E1637" t="n">
        <x:v>160</x:v>
      </x:c>
      <x:c r="F1637" s="10" t="str">
        <x:v>食材净重+约8%余量</x:v>
      </x:c>
      <x:c r="G1637" s="10" t="str">
        <x:v>生重</x:v>
      </x:c>
    </x:row>
    <x:row r="1638" ht="23" customHeight="1">
      <x:c r="A1638" t="n">
        <x:v>41</x:v>
      </x:c>
      <x:c r="B1638" t="str">
        <x:v>菌菇</x:v>
      </x:c>
      <x:c r="C1638" t="str">
        <x:v>口蘑</x:v>
      </x:c>
      <x:c r="D1638" t="n">
        <x:v>125</x:v>
      </x:c>
      <x:c r="E1638" t="n">
        <x:v>140</x:v>
      </x:c>
      <x:c r="F1638" s="10" t="str">
        <x:v>食材净重+约8%余量</x:v>
      </x:c>
      <x:c r="G1638" s="10" t="str">
        <x:v>生重</x:v>
      </x:c>
    </x:row>
    <x:row r="1639" ht="23" customHeight="1">
      <x:c r="A1639" t="n">
        <x:v>41</x:v>
      </x:c>
      <x:c r="B1639" t="str">
        <x:v>菌菇</x:v>
      </x:c>
      <x:c r="C1639" t="str">
        <x:v>香菇</x:v>
      </x:c>
      <x:c r="D1639" t="n">
        <x:v>405</x:v>
      </x:c>
      <x:c r="E1639" t="n">
        <x:v>440</x:v>
      </x:c>
      <x:c r="F1639" s="10" t="str">
        <x:v>食材净重+约8%余量</x:v>
      </x:c>
      <x:c r="G1639" s="10" t="str">
        <x:v>生重</x:v>
      </x:c>
    </x:row>
    <x:row r="1640" ht="23" customHeight="1">
      <x:c r="A1640" t="n">
        <x:v>41</x:v>
      </x:c>
      <x:c r="B1640" t="str">
        <x:v>蔬菜</x:v>
      </x:c>
      <x:c r="C1640" t="str">
        <x:v>丝瓜</x:v>
      </x:c>
      <x:c r="D1640" t="n">
        <x:v>140</x:v>
      </x:c>
      <x:c r="E1640" t="n">
        <x:v>150</x:v>
      </x:c>
      <x:c r="F1640" s="10" t="str">
        <x:v>食材净重+约8%余量</x:v>
      </x:c>
      <x:c r="G1640" s="10" t="str">
        <x:v>生重</x:v>
      </x:c>
    </x:row>
    <x:row r="1641" ht="23" customHeight="1">
      <x:c r="A1641" t="n">
        <x:v>41</x:v>
      </x:c>
      <x:c r="B1641" t="str">
        <x:v>蔬菜</x:v>
      </x:c>
      <x:c r="C1641" t="str">
        <x:v>冬瓜</x:v>
      </x:c>
      <x:c r="D1641" t="n">
        <x:v>190</x:v>
      </x:c>
      <x:c r="E1641" t="n">
        <x:v>210</x:v>
      </x:c>
      <x:c r="F1641" s="10" t="str">
        <x:v>食材净重+约8%余量</x:v>
      </x:c>
      <x:c r="G1641" s="10" t="str">
        <x:v>生重</x:v>
      </x:c>
    </x:row>
    <x:row r="1642" ht="23" customHeight="1">
      <x:c r="A1642" t="n">
        <x:v>41</x:v>
      </x:c>
      <x:c r="B1642" t="str">
        <x:v>蔬菜</x:v>
      </x:c>
      <x:c r="C1642" t="str">
        <x:v>小白菜</x:v>
      </x:c>
      <x:c r="D1642" t="n">
        <x:v>300</x:v>
      </x:c>
      <x:c r="E1642" t="n">
        <x:v>320</x:v>
      </x:c>
      <x:c r="F1642" s="10" t="str">
        <x:v>食材净重+约8%余量</x:v>
      </x:c>
      <x:c r="G1642" s="10" t="str">
        <x:v>生重</x:v>
      </x:c>
    </x:row>
    <x:row r="1643" ht="23" customHeight="1">
      <x:c r="A1643" t="n">
        <x:v>41</x:v>
      </x:c>
      <x:c r="B1643" t="str">
        <x:v>蔬菜</x:v>
      </x:c>
      <x:c r="C1643" t="str">
        <x:v>彩椒</x:v>
      </x:c>
      <x:c r="D1643" t="n">
        <x:v>175</x:v>
      </x:c>
      <x:c r="E1643" t="n">
        <x:v>190</x:v>
      </x:c>
      <x:c r="F1643" s="10" t="str">
        <x:v>食材净重+约8%余量</x:v>
      </x:c>
      <x:c r="G1643" s="10" t="str">
        <x:v>生重</x:v>
      </x:c>
    </x:row>
    <x:row r="1644" ht="23" customHeight="1">
      <x:c r="A1644" t="n">
        <x:v>41</x:v>
      </x:c>
      <x:c r="B1644" t="str">
        <x:v>蔬菜</x:v>
      </x:c>
      <x:c r="C1644" t="str">
        <x:v>洋葱</x:v>
      </x:c>
      <x:c r="D1644" t="n">
        <x:v>280</x:v>
      </x:c>
      <x:c r="E1644" t="n">
        <x:v>300</x:v>
      </x:c>
      <x:c r="F1644" s="10" t="str">
        <x:v>食材净重+约8%余量</x:v>
      </x:c>
      <x:c r="G1644" s="10" t="str">
        <x:v>生重</x:v>
      </x:c>
    </x:row>
    <x:row r="1645" ht="23" customHeight="1">
      <x:c r="A1645" t="n">
        <x:v>41</x:v>
      </x:c>
      <x:c r="B1645" t="str">
        <x:v>蔬菜</x:v>
      </x:c>
      <x:c r="C1645" t="str">
        <x:v>海带</x:v>
      </x:c>
      <x:c r="D1645" t="n">
        <x:v>140</x:v>
      </x:c>
      <x:c r="E1645" t="n">
        <x:v>150</x:v>
      </x:c>
      <x:c r="F1645" s="10" t="str">
        <x:v>食材净重+约8%余量</x:v>
      </x:c>
      <x:c r="G1645" s="10" t="str">
        <x:v>泡发沥水重</x:v>
      </x:c>
    </x:row>
    <x:row r="1646" ht="23" customHeight="1">
      <x:c r="A1646" t="n">
        <x:v>41</x:v>
      </x:c>
      <x:c r="B1646" t="str">
        <x:v>蔬菜</x:v>
      </x:c>
      <x:c r="C1646" t="str">
        <x:v>玉米笋</x:v>
      </x:c>
      <x:c r="D1646" t="n">
        <x:v>155</x:v>
      </x:c>
      <x:c r="E1646" t="n">
        <x:v>170</x:v>
      </x:c>
      <x:c r="F1646" s="10" t="str">
        <x:v>食材净重+约8%余量</x:v>
      </x:c>
      <x:c r="G1646" s="10" t="str">
        <x:v>生重</x:v>
      </x:c>
    </x:row>
    <x:row r="1647" ht="23" customHeight="1">
      <x:c r="A1647" t="n">
        <x:v>41</x:v>
      </x:c>
      <x:c r="B1647" t="str">
        <x:v>蔬菜</x:v>
      </x:c>
      <x:c r="C1647" t="str">
        <x:v>番茄</x:v>
      </x:c>
      <x:c r="D1647" t="n">
        <x:v>310</x:v>
      </x:c>
      <x:c r="E1647" t="n">
        <x:v>330</x:v>
      </x:c>
      <x:c r="F1647" s="10" t="str">
        <x:v>食材净重+约8%余量</x:v>
      </x:c>
      <x:c r="G1647" s="10" t="str">
        <x:v>生重</x:v>
      </x:c>
    </x:row>
    <x:row r="1648" ht="23" customHeight="1">
      <x:c r="A1648" t="n">
        <x:v>41</x:v>
      </x:c>
      <x:c r="B1648" t="str">
        <x:v>蔬菜</x:v>
      </x:c>
      <x:c r="C1648" t="str">
        <x:v>紫甘蓝</x:v>
      </x:c>
      <x:c r="D1648" t="n">
        <x:v>140</x:v>
      </x:c>
      <x:c r="E1648" t="n">
        <x:v>150</x:v>
      </x:c>
      <x:c r="F1648" s="10" t="str">
        <x:v>食材净重+约8%余量</x:v>
      </x:c>
      <x:c r="G1648" s="10" t="str">
        <x:v>生重</x:v>
      </x:c>
    </x:row>
    <x:row r="1649" ht="23" customHeight="1">
      <x:c r="A1649" t="n">
        <x:v>41</x:v>
      </x:c>
      <x:c r="B1649" t="str">
        <x:v>蔬菜</x:v>
      </x:c>
      <x:c r="C1649" t="str">
        <x:v>芦笋</x:v>
      </x:c>
      <x:c r="D1649" t="n">
        <x:v>235</x:v>
      </x:c>
      <x:c r="E1649" t="n">
        <x:v>250</x:v>
      </x:c>
      <x:c r="F1649" s="10" t="str">
        <x:v>食材净重+约8%余量</x:v>
      </x:c>
      <x:c r="G1649" s="10" t="str">
        <x:v>生重</x:v>
      </x:c>
    </x:row>
    <x:row r="1650" ht="23" customHeight="1">
      <x:c r="A1650" t="n">
        <x:v>41</x:v>
      </x:c>
      <x:c r="B1650" t="str">
        <x:v>蔬菜</x:v>
      </x:c>
      <x:c r="C1650" t="str">
        <x:v>花菜</x:v>
      </x:c>
      <x:c r="D1650" t="n">
        <x:v>190</x:v>
      </x:c>
      <x:c r="E1650" t="n">
        <x:v>210</x:v>
      </x:c>
      <x:c r="F1650" s="10" t="str">
        <x:v>食材净重+约8%余量</x:v>
      </x:c>
      <x:c r="G1650" s="10" t="str">
        <x:v>生重</x:v>
      </x:c>
    </x:row>
    <x:row r="1651" ht="23" customHeight="1">
      <x:c r="A1651" t="n">
        <x:v>41</x:v>
      </x:c>
      <x:c r="B1651" t="str">
        <x:v>蔬菜</x:v>
      </x:c>
      <x:c r="C1651" t="str">
        <x:v>苦瓜</x:v>
      </x:c>
      <x:c r="D1651" t="n">
        <x:v>330</x:v>
      </x:c>
      <x:c r="E1651" t="n">
        <x:v>360</x:v>
      </x:c>
      <x:c r="F1651" s="10" t="str">
        <x:v>食材净重+约8%余量</x:v>
      </x:c>
      <x:c r="G1651" s="10" t="str">
        <x:v>生重</x:v>
      </x:c>
    </x:row>
    <x:row r="1652" ht="23" customHeight="1">
      <x:c r="A1652" t="n">
        <x:v>41</x:v>
      </x:c>
      <x:c r="B1652" t="str">
        <x:v>蔬菜</x:v>
      </x:c>
      <x:c r="C1652" t="str">
        <x:v>荷兰豆</x:v>
      </x:c>
      <x:c r="D1652" t="n">
        <x:v>315</x:v>
      </x:c>
      <x:c r="E1652" t="n">
        <x:v>340</x:v>
      </x:c>
      <x:c r="F1652" s="10" t="str">
        <x:v>食材净重+约8%余量</x:v>
      </x:c>
      <x:c r="G1652" s="10" t="str">
        <x:v>生重</x:v>
      </x:c>
    </x:row>
    <x:row r="1653" ht="23" customHeight="1">
      <x:c r="A1653" t="n">
        <x:v>41</x:v>
      </x:c>
      <x:c r="B1653" t="str">
        <x:v>蔬菜</x:v>
      </x:c>
      <x:c r="C1653" t="str">
        <x:v>菜心</x:v>
      </x:c>
      <x:c r="D1653" t="n">
        <x:v>160</x:v>
      </x:c>
      <x:c r="E1653" t="n">
        <x:v>170</x:v>
      </x:c>
      <x:c r="F1653" s="10" t="str">
        <x:v>食材净重+约8%余量</x:v>
      </x:c>
      <x:c r="G1653" s="10" t="str">
        <x:v>生重</x:v>
      </x:c>
    </x:row>
    <x:row r="1654" ht="23" customHeight="1">
      <x:c r="A1654" t="n">
        <x:v>41</x:v>
      </x:c>
      <x:c r="B1654" t="str">
        <x:v>蔬菜</x:v>
      </x:c>
      <x:c r="C1654" t="str">
        <x:v>西兰花</x:v>
      </x:c>
      <x:c r="D1654" t="n">
        <x:v>285</x:v>
      </x:c>
      <x:c r="E1654" t="n">
        <x:v>310</x:v>
      </x:c>
      <x:c r="F1654" s="10" t="str">
        <x:v>食材净重+约8%余量</x:v>
      </x:c>
      <x:c r="G1654" s="10" t="str">
        <x:v>生重</x:v>
      </x:c>
    </x:row>
    <x:row r="1655" ht="23" customHeight="1">
      <x:c r="A1655" t="n">
        <x:v>41</x:v>
      </x:c>
      <x:c r="B1655" t="str">
        <x:v>蔬菜</x:v>
      </x:c>
      <x:c r="C1655" t="str">
        <x:v>黄瓜</x:v>
      </x:c>
      <x:c r="D1655" t="n">
        <x:v>365</x:v>
      </x:c>
      <x:c r="E1655" t="n">
        <x:v>390</x:v>
      </x:c>
      <x:c r="F1655" s="10" t="str">
        <x:v>食材净重+约8%余量</x:v>
      </x:c>
      <x:c r="G1655" s="10" t="str">
        <x:v>生重</x:v>
      </x:c>
    </x:row>
    <x:row r="1656" ht="23" customHeight="1">
      <x:c r="A1656" t="n">
        <x:v>41</x:v>
      </x:c>
      <x:c r="B1656" t="str">
        <x:v>豆蛋</x:v>
      </x:c>
      <x:c r="C1656" t="str">
        <x:v>北豆腐</x:v>
      </x:c>
      <x:c r="D1656" t="n">
        <x:v>980</x:v>
      </x:c>
      <x:c r="E1656" t="n">
        <x:v>1060</x:v>
      </x:c>
      <x:c r="F1656" s="10" t="str">
        <x:v>食材净重+约8%余量</x:v>
      </x:c>
      <x:c r="G1656" s="10" t="str">
        <x:v>净重</x:v>
      </x:c>
    </x:row>
    <x:row r="1657" ht="23" customHeight="1">
      <x:c r="A1657" t="n">
        <x:v>41</x:v>
      </x:c>
      <x:c r="B1657" t="str">
        <x:v>豆蛋</x:v>
      </x:c>
      <x:c r="C1657" t="str">
        <x:v>嫩豆腐</x:v>
      </x:c>
      <x:c r="D1657" t="n">
        <x:v>160</x:v>
      </x:c>
      <x:c r="E1657" t="n">
        <x:v>170</x:v>
      </x:c>
      <x:c r="F1657" s="10" t="str">
        <x:v>食材净重+约8%余量</x:v>
      </x:c>
      <x:c r="G1657" s="10" t="str">
        <x:v>净重</x:v>
      </x:c>
    </x:row>
    <x:row r="1658" ht="23" customHeight="1">
      <x:c r="A1658" t="n">
        <x:v>41</x:v>
      </x:c>
      <x:c r="B1658" t="str">
        <x:v>豆蛋</x:v>
      </x:c>
      <x:c r="C1658" t="str">
        <x:v>鸡蛋</x:v>
      </x:c>
      <x:c r="D1658" t="n">
        <x:v>210</x:v>
      </x:c>
      <x:c r="E1658" t="n">
        <x:v>230</x:v>
      </x:c>
      <x:c r="F1658" s="10" t="str">
        <x:v>食材净重+约8%余量</x:v>
      </x:c>
      <x:c r="G1658" s="10" t="str">
        <x:v>去壳可食重</x:v>
      </x:c>
    </x:row>
    <x:row r="1659" ht="23" customHeight="1">
      <x:c r="A1659" t="n">
        <x:v>41</x:v>
      </x:c>
      <x:c r="B1659" t="str">
        <x:v>鱼类</x:v>
      </x:c>
      <x:c r="C1659" t="str">
        <x:v>鳕鱼</x:v>
      </x:c>
      <x:c r="D1659" t="n">
        <x:v>185</x:v>
      </x:c>
      <x:c r="E1659" t="n">
        <x:v>200</x:v>
      </x:c>
      <x:c r="F1659" s="10" t="str">
        <x:v>食材净重+约8%余量；带壳或带骨采购需另折算</x:v>
      </x:c>
      <x:c r="G1659" s="10" t="str">
        <x:v>净鱼肉生重</x:v>
      </x:c>
    </x:row>
    <x:row r="1660" ht="23" customHeight="1">
      <x:c r="A1660" t="n">
        <x:v>42</x:v>
      </x:c>
      <x:c r="B1660" t="str">
        <x:v>主食</x:v>
      </x:c>
      <x:c r="C1660" t="str">
        <x:v>乌冬面</x:v>
      </x:c>
      <x:c r="D1660" t="n">
        <x:v>245</x:v>
      </x:c>
      <x:c r="E1660" t="n">
        <x:v>120</x:v>
      </x:c>
      <x:c r="F1660" s="10" t="str">
        <x:v>干粮约重（按熟面/干面≈2.1估算）</x:v>
      </x:c>
      <x:c r="G1660" s="10" t="str">
        <x:v>煮熟沥水重</x:v>
      </x:c>
    </x:row>
    <x:row r="1661" ht="23" customHeight="1">
      <x:c r="A1661" t="n">
        <x:v>42</x:v>
      </x:c>
      <x:c r="B1661" t="str">
        <x:v>主食</x:v>
      </x:c>
      <x:c r="C1661" t="str">
        <x:v>全麦面</x:v>
      </x:c>
      <x:c r="D1661" t="n">
        <x:v>95</x:v>
      </x:c>
      <x:c r="E1661" t="n">
        <x:v>50</x:v>
      </x:c>
      <x:c r="F1661" s="10" t="str">
        <x:v>干粮约重（按熟面/干面≈2.1估算）</x:v>
      </x:c>
      <x:c r="G1661" s="10" t="str">
        <x:v>煮熟沥水重</x:v>
      </x:c>
    </x:row>
    <x:row r="1662" ht="23" customHeight="1">
      <x:c r="A1662" t="n">
        <x:v>42</x:v>
      </x:c>
      <x:c r="B1662" t="str">
        <x:v>主食</x:v>
      </x:c>
      <x:c r="C1662" t="str">
        <x:v>杂粮饭</x:v>
      </x:c>
      <x:c r="D1662" t="n">
        <x:v>125</x:v>
      </x:c>
      <x:c r="E1662" t="n">
        <x:v>50</x:v>
      </x:c>
      <x:c r="F1662" s="10" t="str">
        <x:v>未煮干粮约重（按熟饭/生米≈2.6估算）</x:v>
      </x:c>
      <x:c r="G1662" s="10" t="str">
        <x:v>熟重</x:v>
      </x:c>
    </x:row>
    <x:row r="1663" ht="23" customHeight="1">
      <x:c r="A1663" t="n">
        <x:v>42</x:v>
      </x:c>
      <x:c r="B1663" t="str">
        <x:v>主食</x:v>
      </x:c>
      <x:c r="C1663" t="str">
        <x:v>燕麦饭</x:v>
      </x:c>
      <x:c r="D1663" t="n">
        <x:v>135</x:v>
      </x:c>
      <x:c r="E1663" t="n">
        <x:v>50</x:v>
      </x:c>
      <x:c r="F1663" s="10" t="str">
        <x:v>未煮干粮约重（按熟饭/生米≈2.6估算）</x:v>
      </x:c>
      <x:c r="G1663" s="10" t="str">
        <x:v>熟重</x:v>
      </x:c>
    </x:row>
    <x:row r="1664" ht="23" customHeight="1">
      <x:c r="A1664" t="n">
        <x:v>42</x:v>
      </x:c>
      <x:c r="B1664" t="str">
        <x:v>主食</x:v>
      </x:c>
      <x:c r="C1664" t="str">
        <x:v>玉米</x:v>
      </x:c>
      <x:c r="D1664" t="n">
        <x:v>395</x:v>
      </x:c>
      <x:c r="E1664" t="n">
        <x:v>430</x:v>
      </x:c>
      <x:c r="F1664" s="10" t="str">
        <x:v>鲜薯/玉米净重；考虑小幅损耗</x:v>
      </x:c>
      <x:c r="G1664" s="10" t="str">
        <x:v>蒸熟净重</x:v>
      </x:c>
    </x:row>
    <x:row r="1665" ht="23" customHeight="1">
      <x:c r="A1665" t="n">
        <x:v>42</x:v>
      </x:c>
      <x:c r="B1665" t="str">
        <x:v>主食</x:v>
      </x:c>
      <x:c r="C1665" t="str">
        <x:v>米粉</x:v>
      </x:c>
      <x:c r="D1665" t="n">
        <x:v>110</x:v>
      </x:c>
      <x:c r="E1665" t="n">
        <x:v>50</x:v>
      </x:c>
      <x:c r="F1665" s="10" t="str">
        <x:v>干粮约重（按熟面/干面≈2.1估算）</x:v>
      </x:c>
      <x:c r="G1665" s="10" t="str">
        <x:v>煮熟沥水重</x:v>
      </x:c>
    </x:row>
    <x:row r="1666" ht="23" customHeight="1">
      <x:c r="A1666" t="n">
        <x:v>42</x:v>
      </x:c>
      <x:c r="B1666" t="str">
        <x:v>主食</x:v>
      </x:c>
      <x:c r="C1666" t="str">
        <x:v>糙米饭</x:v>
      </x:c>
      <x:c r="D1666" t="n">
        <x:v>250</x:v>
      </x:c>
      <x:c r="E1666" t="n">
        <x:v>100</x:v>
      </x:c>
      <x:c r="F1666" s="10" t="str">
        <x:v>未煮干粮约重（按熟饭/生米≈2.6估算）</x:v>
      </x:c>
      <x:c r="G1666" s="10" t="str">
        <x:v>熟重</x:v>
      </x:c>
    </x:row>
    <x:row r="1667" ht="23" customHeight="1">
      <x:c r="A1667" t="n">
        <x:v>42</x:v>
      </x:c>
      <x:c r="B1667" t="str">
        <x:v>主食</x:v>
      </x:c>
      <x:c r="C1667" t="str">
        <x:v>紫薯</x:v>
      </x:c>
      <x:c r="D1667" t="n">
        <x:v>80</x:v>
      </x:c>
      <x:c r="E1667" t="n">
        <x:v>90</x:v>
      </x:c>
      <x:c r="F1667" s="10" t="str">
        <x:v>鲜薯/玉米净重；考虑小幅损耗</x:v>
      </x:c>
      <x:c r="G1667" s="10" t="str">
        <x:v>蒸熟净重</x:v>
      </x:c>
    </x:row>
    <x:row r="1668" ht="23" customHeight="1">
      <x:c r="A1668" t="n">
        <x:v>42</x:v>
      </x:c>
      <x:c r="B1668" t="str">
        <x:v>主食</x:v>
      </x:c>
      <x:c r="C1668" t="str">
        <x:v>荞麦面</x:v>
      </x:c>
      <x:c r="D1668" t="n">
        <x:v>110</x:v>
      </x:c>
      <x:c r="E1668" t="n">
        <x:v>50</x:v>
      </x:c>
      <x:c r="F1668" s="10" t="str">
        <x:v>干粮约重（按熟面/干面≈2.1估算）</x:v>
      </x:c>
      <x:c r="G1668" s="10" t="str">
        <x:v>煮熟沥水重</x:v>
      </x:c>
    </x:row>
    <x:row r="1669" ht="23" customHeight="1">
      <x:c r="A1669" t="n">
        <x:v>42</x:v>
      </x:c>
      <x:c r="B1669" t="str">
        <x:v>主食</x:v>
      </x:c>
      <x:c r="C1669" t="str">
        <x:v>荞麦饭</x:v>
      </x:c>
      <x:c r="D1669" t="n">
        <x:v>135</x:v>
      </x:c>
      <x:c r="E1669" t="n">
        <x:v>50</x:v>
      </x:c>
      <x:c r="F1669" s="10" t="str">
        <x:v>未煮干粮约重（按熟饭/生米≈2.6估算）</x:v>
      </x:c>
      <x:c r="G1669" s="10" t="str">
        <x:v>熟重</x:v>
      </x:c>
    </x:row>
    <x:row r="1670" ht="23" customHeight="1">
      <x:c r="A1670" t="n">
        <x:v>42</x:v>
      </x:c>
      <x:c r="B1670" t="str">
        <x:v>油脂</x:v>
      </x:c>
      <x:c r="C1670" t="str">
        <x:v>烹调油</x:v>
      </x:c>
      <x:c r="D1670" t="n">
        <x:v>64</x:v>
      </x:c>
      <x:c r="E1670" t="n">
        <x:v>64</x:v>
      </x:c>
      <x:c r="F1670" s="10" t="str">
        <x:v>食用油；现有库存足够即可</x:v>
      </x:c>
      <x:c r="G1670" s="10" t="str">
        <x:v>实际用油重</x:v>
      </x:c>
    </x:row>
    <x:row r="1671" ht="23" customHeight="1">
      <x:c r="A1671" t="n">
        <x:v>42</x:v>
      </x:c>
      <x:c r="B1671" t="str">
        <x:v>海鲜</x:v>
      </x:c>
      <x:c r="C1671" t="str">
        <x:v>虾仁</x:v>
      </x:c>
      <x:c r="D1671" t="n">
        <x:v>340</x:v>
      </x:c>
      <x:c r="E1671" t="n">
        <x:v>370</x:v>
      </x:c>
      <x:c r="F1671" s="10" t="str">
        <x:v>食材净重+约8%余量</x:v>
      </x:c>
      <x:c r="G1671" s="10" t="str">
        <x:v>生重</x:v>
      </x:c>
    </x:row>
    <x:row r="1672" ht="23" customHeight="1">
      <x:c r="A1672" t="n">
        <x:v>42</x:v>
      </x:c>
      <x:c r="B1672" t="str">
        <x:v>海鲜</x:v>
      </x:c>
      <x:c r="C1672" t="str">
        <x:v>鱿鱼</x:v>
      </x:c>
      <x:c r="D1672" t="n">
        <x:v>190</x:v>
      </x:c>
      <x:c r="E1672" t="n">
        <x:v>210</x:v>
      </x:c>
      <x:c r="F1672" s="10" t="str">
        <x:v>食材净重+约8%余量</x:v>
      </x:c>
      <x:c r="G1672" s="10" t="str">
        <x:v>生重</x:v>
      </x:c>
    </x:row>
    <x:row r="1673" ht="23" customHeight="1">
      <x:c r="A1673" t="n">
        <x:v>42</x:v>
      </x:c>
      <x:c r="B1673" t="str">
        <x:v>牛肉</x:v>
      </x:c>
      <x:c r="C1673" t="str">
        <x:v>牛里脊</x:v>
      </x:c>
      <x:c r="D1673" t="n">
        <x:v>175</x:v>
      </x:c>
      <x:c r="E1673" t="n">
        <x:v>190</x:v>
      </x:c>
      <x:c r="F1673" s="10" t="str">
        <x:v>食材净重+约8%余量</x:v>
      </x:c>
      <x:c r="G1673" s="10" t="str">
        <x:v>生重</x:v>
      </x:c>
    </x:row>
    <x:row r="1674" ht="23" customHeight="1">
      <x:c r="A1674" t="n">
        <x:v>42</x:v>
      </x:c>
      <x:c r="B1674" t="str">
        <x:v>牛肉</x:v>
      </x:c>
      <x:c r="C1674" t="str">
        <x:v>瘦牛肉</x:v>
      </x:c>
      <x:c r="D1674" t="n">
        <x:v>165</x:v>
      </x:c>
      <x:c r="E1674" t="n">
        <x:v>180</x:v>
      </x:c>
      <x:c r="F1674" s="10" t="str">
        <x:v>食材净重+约8%余量</x:v>
      </x:c>
      <x:c r="G1674" s="10" t="str">
        <x:v>生重</x:v>
      </x:c>
    </x:row>
    <x:row r="1675" ht="23" customHeight="1">
      <x:c r="A1675" t="n">
        <x:v>42</x:v>
      </x:c>
      <x:c r="B1675" t="str">
        <x:v>猪肉</x:v>
      </x:c>
      <x:c r="C1675" t="str">
        <x:v>猪瘦肉</x:v>
      </x:c>
      <x:c r="D1675" t="n">
        <x:v>180</x:v>
      </x:c>
      <x:c r="E1675" t="n">
        <x:v>190</x:v>
      </x:c>
      <x:c r="F1675" s="10" t="str">
        <x:v>食材净重+约8%余量</x:v>
      </x:c>
      <x:c r="G1675" s="10" t="str">
        <x:v>生重</x:v>
      </x:c>
    </x:row>
    <x:row r="1676" ht="23" customHeight="1">
      <x:c r="A1676" t="n">
        <x:v>42</x:v>
      </x:c>
      <x:c r="B1676" t="str">
        <x:v>猪肉</x:v>
      </x:c>
      <x:c r="C1676" t="str">
        <x:v>猪里脊</x:v>
      </x:c>
      <x:c r="D1676" t="n">
        <x:v>180</x:v>
      </x:c>
      <x:c r="E1676" t="n">
        <x:v>190</x:v>
      </x:c>
      <x:c r="F1676" s="10" t="str">
        <x:v>食材净重+约8%余量</x:v>
      </x:c>
      <x:c r="G1676" s="10" t="str">
        <x:v>生重</x:v>
      </x:c>
    </x:row>
    <x:row r="1677" ht="23" customHeight="1">
      <x:c r="A1677" t="n">
        <x:v>42</x:v>
      </x:c>
      <x:c r="B1677" t="str">
        <x:v>禽肉</x:v>
      </x:c>
      <x:c r="C1677" t="str">
        <x:v>去皮鸡腿肉</x:v>
      </x:c>
      <x:c r="D1677" t="n">
        <x:v>325</x:v>
      </x:c>
      <x:c r="E1677" t="n">
        <x:v>350</x:v>
      </x:c>
      <x:c r="F1677" s="10" t="str">
        <x:v>食材净重+约8%余量</x:v>
      </x:c>
      <x:c r="G1677" s="10" t="str">
        <x:v>生重</x:v>
      </x:c>
    </x:row>
    <x:row r="1678" ht="23" customHeight="1">
      <x:c r="A1678" t="n">
        <x:v>42</x:v>
      </x:c>
      <x:c r="B1678" t="str">
        <x:v>禽肉</x:v>
      </x:c>
      <x:c r="C1678" t="str">
        <x:v>鸡胸肉</x:v>
      </x:c>
      <x:c r="D1678" t="n">
        <x:v>165</x:v>
      </x:c>
      <x:c r="E1678" t="n">
        <x:v>180</x:v>
      </x:c>
      <x:c r="F1678" s="10" t="str">
        <x:v>食材净重+约8%余量</x:v>
      </x:c>
      <x:c r="G1678" s="10" t="str">
        <x:v>生重</x:v>
      </x:c>
    </x:row>
    <x:row r="1679" ht="23" customHeight="1">
      <x:c r="A1679" t="n">
        <x:v>42</x:v>
      </x:c>
      <x:c r="B1679" t="str">
        <x:v>禽肉</x:v>
      </x:c>
      <x:c r="C1679" t="str">
        <x:v>鸡里脊肉</x:v>
      </x:c>
      <x:c r="D1679" t="n">
        <x:v>185</x:v>
      </x:c>
      <x:c r="E1679" t="n">
        <x:v>200</x:v>
      </x:c>
      <x:c r="F1679" s="10" t="str">
        <x:v>食材净重+约8%余量</x:v>
      </x:c>
      <x:c r="G1679" s="10" t="str">
        <x:v>生重</x:v>
      </x:c>
    </x:row>
    <x:row r="1680" ht="23" customHeight="1">
      <x:c r="A1680" t="n">
        <x:v>42</x:v>
      </x:c>
      <x:c r="B1680" t="str">
        <x:v>菌菇</x:v>
      </x:c>
      <x:c r="C1680" t="str">
        <x:v>口蘑</x:v>
      </x:c>
      <x:c r="D1680" t="n">
        <x:v>125</x:v>
      </x:c>
      <x:c r="E1680" t="n">
        <x:v>140</x:v>
      </x:c>
      <x:c r="F1680" s="10" t="str">
        <x:v>食材净重+约8%余量</x:v>
      </x:c>
      <x:c r="G1680" s="10" t="str">
        <x:v>生重</x:v>
      </x:c>
    </x:row>
    <x:row r="1681" ht="23" customHeight="1">
      <x:c r="A1681" t="n">
        <x:v>42</x:v>
      </x:c>
      <x:c r="B1681" t="str">
        <x:v>菌菇</x:v>
      </x:c>
      <x:c r="C1681" t="str">
        <x:v>杏鲍菇</x:v>
      </x:c>
      <x:c r="D1681" t="n">
        <x:v>265</x:v>
      </x:c>
      <x:c r="E1681" t="n">
        <x:v>290</x:v>
      </x:c>
      <x:c r="F1681" s="10" t="str">
        <x:v>食材净重+约8%余量</x:v>
      </x:c>
      <x:c r="G1681" s="10" t="str">
        <x:v>生重</x:v>
      </x:c>
    </x:row>
    <x:row r="1682" ht="23" customHeight="1">
      <x:c r="A1682" t="n">
        <x:v>42</x:v>
      </x:c>
      <x:c r="B1682" t="str">
        <x:v>菌菇</x:v>
      </x:c>
      <x:c r="C1682" t="str">
        <x:v>泡发木耳</x:v>
      </x:c>
      <x:c r="D1682" t="n">
        <x:v>140</x:v>
      </x:c>
      <x:c r="E1682" t="n">
        <x:v>150</x:v>
      </x:c>
      <x:c r="F1682" s="10" t="str">
        <x:v>食材净重+约8%余量</x:v>
      </x:c>
      <x:c r="G1682" s="10" t="str">
        <x:v>泡发沥水重</x:v>
      </x:c>
    </x:row>
    <x:row r="1683" ht="23" customHeight="1">
      <x:c r="A1683" t="n">
        <x:v>42</x:v>
      </x:c>
      <x:c r="B1683" t="str">
        <x:v>菌菇</x:v>
      </x:c>
      <x:c r="C1683" t="str">
        <x:v>金针菇</x:v>
      </x:c>
      <x:c r="D1683" t="n">
        <x:v>235</x:v>
      </x:c>
      <x:c r="E1683" t="n">
        <x:v>250</x:v>
      </x:c>
      <x:c r="F1683" s="10" t="str">
        <x:v>食材净重+约8%余量</x:v>
      </x:c>
      <x:c r="G1683" s="10" t="str">
        <x:v>生重</x:v>
      </x:c>
    </x:row>
    <x:row r="1684" ht="23" customHeight="1">
      <x:c r="A1684" t="n">
        <x:v>42</x:v>
      </x:c>
      <x:c r="B1684" t="str">
        <x:v>菌菇</x:v>
      </x:c>
      <x:c r="C1684" t="str">
        <x:v>香菇</x:v>
      </x:c>
      <x:c r="D1684" t="n">
        <x:v>280</x:v>
      </x:c>
      <x:c r="E1684" t="n">
        <x:v>300</x:v>
      </x:c>
      <x:c r="F1684" s="10" t="str">
        <x:v>食材净重+约8%余量</x:v>
      </x:c>
      <x:c r="G1684" s="10" t="str">
        <x:v>生重</x:v>
      </x:c>
    </x:row>
    <x:row r="1685" ht="23" customHeight="1">
      <x:c r="A1685" t="n">
        <x:v>42</x:v>
      </x:c>
      <x:c r="B1685" t="str">
        <x:v>蔬菜</x:v>
      </x:c>
      <x:c r="C1685" t="str">
        <x:v>丝瓜</x:v>
      </x:c>
      <x:c r="D1685" t="n">
        <x:v>140</x:v>
      </x:c>
      <x:c r="E1685" t="n">
        <x:v>150</x:v>
      </x:c>
      <x:c r="F1685" s="10" t="str">
        <x:v>食材净重+约8%余量</x:v>
      </x:c>
      <x:c r="G1685" s="10" t="str">
        <x:v>生重</x:v>
      </x:c>
    </x:row>
    <x:row r="1686" ht="23" customHeight="1">
      <x:c r="A1686" t="n">
        <x:v>42</x:v>
      </x:c>
      <x:c r="B1686" t="str">
        <x:v>蔬菜</x:v>
      </x:c>
      <x:c r="C1686" t="str">
        <x:v>大白菜</x:v>
      </x:c>
      <x:c r="D1686" t="n">
        <x:v>175</x:v>
      </x:c>
      <x:c r="E1686" t="n">
        <x:v>190</x:v>
      </x:c>
      <x:c r="F1686" s="10" t="str">
        <x:v>食材净重+约8%余量</x:v>
      </x:c>
      <x:c r="G1686" s="10" t="str">
        <x:v>生重</x:v>
      </x:c>
    </x:row>
    <x:row r="1687" ht="23" customHeight="1">
      <x:c r="A1687" t="n">
        <x:v>42</x:v>
      </x:c>
      <x:c r="B1687" t="str">
        <x:v>蔬菜</x:v>
      </x:c>
      <x:c r="C1687" t="str">
        <x:v>生菜</x:v>
      </x:c>
      <x:c r="D1687" t="n">
        <x:v>190</x:v>
      </x:c>
      <x:c r="E1687" t="n">
        <x:v>210</x:v>
      </x:c>
      <x:c r="F1687" s="10" t="str">
        <x:v>食材净重+约8%余量</x:v>
      </x:c>
      <x:c r="G1687" s="10" t="str">
        <x:v>生重</x:v>
      </x:c>
    </x:row>
    <x:row r="1688" ht="23" customHeight="1">
      <x:c r="A1688" t="n">
        <x:v>42</x:v>
      </x:c>
      <x:c r="B1688" t="str">
        <x:v>蔬菜</x:v>
      </x:c>
      <x:c r="C1688" t="str">
        <x:v>番茄</x:v>
      </x:c>
      <x:c r="D1688" t="n">
        <x:v>190</x:v>
      </x:c>
      <x:c r="E1688" t="n">
        <x:v>210</x:v>
      </x:c>
      <x:c r="F1688" s="10" t="str">
        <x:v>食材净重+约8%余量</x:v>
      </x:c>
      <x:c r="G1688" s="10" t="str">
        <x:v>生重</x:v>
      </x:c>
    </x:row>
    <x:row r="1689" ht="23" customHeight="1">
      <x:c r="A1689" t="n">
        <x:v>42</x:v>
      </x:c>
      <x:c r="B1689" t="str">
        <x:v>蔬菜</x:v>
      </x:c>
      <x:c r="C1689" t="str">
        <x:v>竹笋</x:v>
      </x:c>
      <x:c r="D1689" t="n">
        <x:v>175</x:v>
      </x:c>
      <x:c r="E1689" t="n">
        <x:v>190</x:v>
      </x:c>
      <x:c r="F1689" s="10" t="str">
        <x:v>食材净重+约8%余量</x:v>
      </x:c>
      <x:c r="G1689" s="10" t="str">
        <x:v>生重</x:v>
      </x:c>
    </x:row>
    <x:row r="1690" ht="23" customHeight="1">
      <x:c r="A1690" t="n">
        <x:v>42</x:v>
      </x:c>
      <x:c r="B1690" t="str">
        <x:v>蔬菜</x:v>
      </x:c>
      <x:c r="C1690" t="str">
        <x:v>紫甘蓝</x:v>
      </x:c>
      <x:c r="D1690" t="n">
        <x:v>160</x:v>
      </x:c>
      <x:c r="E1690" t="n">
        <x:v>170</x:v>
      </x:c>
      <x:c r="F1690" s="10" t="str">
        <x:v>食材净重+约8%余量</x:v>
      </x:c>
      <x:c r="G1690" s="10" t="str">
        <x:v>生重</x:v>
      </x:c>
    </x:row>
    <x:row r="1691" ht="23" customHeight="1">
      <x:c r="A1691" t="n">
        <x:v>42</x:v>
      </x:c>
      <x:c r="B1691" t="str">
        <x:v>蔬菜</x:v>
      </x:c>
      <x:c r="C1691" t="str">
        <x:v>绿豆芽</x:v>
      </x:c>
      <x:c r="D1691" t="n">
        <x:v>140</x:v>
      </x:c>
      <x:c r="E1691" t="n">
        <x:v>150</x:v>
      </x:c>
      <x:c r="F1691" s="10" t="str">
        <x:v>食材净重+约8%余量</x:v>
      </x:c>
      <x:c r="G1691" s="10" t="str">
        <x:v>生重</x:v>
      </x:c>
    </x:row>
    <x:row r="1692" ht="23" customHeight="1">
      <x:c r="A1692" t="n">
        <x:v>42</x:v>
      </x:c>
      <x:c r="B1692" t="str">
        <x:v>蔬菜</x:v>
      </x:c>
      <x:c r="C1692" t="str">
        <x:v>花菜</x:v>
      </x:c>
      <x:c r="D1692" t="n">
        <x:v>140</x:v>
      </x:c>
      <x:c r="E1692" t="n">
        <x:v>150</x:v>
      </x:c>
      <x:c r="F1692" s="10" t="str">
        <x:v>食材净重+约8%余量</x:v>
      </x:c>
      <x:c r="G1692" s="10" t="str">
        <x:v>生重</x:v>
      </x:c>
    </x:row>
    <x:row r="1693" ht="23" customHeight="1">
      <x:c r="A1693" t="n">
        <x:v>42</x:v>
      </x:c>
      <x:c r="B1693" t="str">
        <x:v>蔬菜</x:v>
      </x:c>
      <x:c r="C1693" t="str">
        <x:v>芹菜</x:v>
      </x:c>
      <x:c r="D1693" t="n">
        <x:v>140</x:v>
      </x:c>
      <x:c r="E1693" t="n">
        <x:v>150</x:v>
      </x:c>
      <x:c r="F1693" s="10" t="str">
        <x:v>食材净重+约8%余量</x:v>
      </x:c>
      <x:c r="G1693" s="10" t="str">
        <x:v>生重</x:v>
      </x:c>
    </x:row>
    <x:row r="1694" ht="23" customHeight="1">
      <x:c r="A1694" t="n">
        <x:v>42</x:v>
      </x:c>
      <x:c r="B1694" t="str">
        <x:v>蔬菜</x:v>
      </x:c>
      <x:c r="C1694" t="str">
        <x:v>苦瓜</x:v>
      </x:c>
      <x:c r="D1694" t="n">
        <x:v>175</x:v>
      </x:c>
      <x:c r="E1694" t="n">
        <x:v>190</x:v>
      </x:c>
      <x:c r="F1694" s="10" t="str">
        <x:v>食材净重+约8%余量</x:v>
      </x:c>
      <x:c r="G1694" s="10" t="str">
        <x:v>生重</x:v>
      </x:c>
    </x:row>
    <x:row r="1695" ht="23" customHeight="1">
      <x:c r="A1695" t="n">
        <x:v>42</x:v>
      </x:c>
      <x:c r="B1695" t="str">
        <x:v>蔬菜</x:v>
      </x:c>
      <x:c r="C1695" t="str">
        <x:v>茼蒿</x:v>
      </x:c>
      <x:c r="D1695" t="n">
        <x:v>330</x:v>
      </x:c>
      <x:c r="E1695" t="n">
        <x:v>360</x:v>
      </x:c>
      <x:c r="F1695" s="10" t="str">
        <x:v>食材净重+约8%余量</x:v>
      </x:c>
      <x:c r="G1695" s="10" t="str">
        <x:v>生重</x:v>
      </x:c>
    </x:row>
    <x:row r="1696" ht="23" customHeight="1">
      <x:c r="A1696" t="n">
        <x:v>42</x:v>
      </x:c>
      <x:c r="B1696" t="str">
        <x:v>蔬菜</x:v>
      </x:c>
      <x:c r="C1696" t="str">
        <x:v>菜心</x:v>
      </x:c>
      <x:c r="D1696" t="n">
        <x:v>600</x:v>
      </x:c>
      <x:c r="E1696" t="n">
        <x:v>650</x:v>
      </x:c>
      <x:c r="F1696" s="10" t="str">
        <x:v>食材净重+约8%余量</x:v>
      </x:c>
      <x:c r="G1696" s="10" t="str">
        <x:v>生重</x:v>
      </x:c>
    </x:row>
    <x:row r="1697" ht="23" customHeight="1">
      <x:c r="A1697" t="n">
        <x:v>42</x:v>
      </x:c>
      <x:c r="B1697" t="str">
        <x:v>蔬菜</x:v>
      </x:c>
      <x:c r="C1697" t="str">
        <x:v>西兰花</x:v>
      </x:c>
      <x:c r="D1697" t="n">
        <x:v>455</x:v>
      </x:c>
      <x:c r="E1697" t="n">
        <x:v>490</x:v>
      </x:c>
      <x:c r="F1697" s="10" t="str">
        <x:v>食材净重+约8%余量</x:v>
      </x:c>
      <x:c r="G1697" s="10" t="str">
        <x:v>生重</x:v>
      </x:c>
    </x:row>
    <x:row r="1698" ht="23" customHeight="1">
      <x:c r="A1698" t="n">
        <x:v>42</x:v>
      </x:c>
      <x:c r="B1698" t="str">
        <x:v>蔬菜</x:v>
      </x:c>
      <x:c r="C1698" t="str">
        <x:v>黄瓜</x:v>
      </x:c>
      <x:c r="D1698" t="n">
        <x:v>160</x:v>
      </x:c>
      <x:c r="E1698" t="n">
        <x:v>170</x:v>
      </x:c>
      <x:c r="F1698" s="10" t="str">
        <x:v>食材净重+约8%余量</x:v>
      </x:c>
      <x:c r="G1698" s="10" t="str">
        <x:v>生重</x:v>
      </x:c>
    </x:row>
    <x:row r="1699" ht="23" customHeight="1">
      <x:c r="A1699" t="n">
        <x:v>42</x:v>
      </x:c>
      <x:c r="B1699" t="str">
        <x:v>豆蛋</x:v>
      </x:c>
      <x:c r="C1699" t="str">
        <x:v>北豆腐</x:v>
      </x:c>
      <x:c r="D1699" t="n">
        <x:v>1020</x:v>
      </x:c>
      <x:c r="E1699" t="n">
        <x:v>1100</x:v>
      </x:c>
      <x:c r="F1699" s="10" t="str">
        <x:v>食材净重+约8%余量</x:v>
      </x:c>
      <x:c r="G1699" s="10" t="str">
        <x:v>净重</x:v>
      </x:c>
    </x:row>
    <x:row r="1700" ht="23" customHeight="1">
      <x:c r="A1700" t="n">
        <x:v>42</x:v>
      </x:c>
      <x:c r="B1700" t="str">
        <x:v>豆蛋</x:v>
      </x:c>
      <x:c r="C1700" t="str">
        <x:v>嫩豆腐</x:v>
      </x:c>
      <x:c r="D1700" t="n">
        <x:v>435</x:v>
      </x:c>
      <x:c r="E1700" t="n">
        <x:v>470</x:v>
      </x:c>
      <x:c r="F1700" s="10" t="str">
        <x:v>食材净重+约8%余量</x:v>
      </x:c>
      <x:c r="G1700" s="10" t="str">
        <x:v>净重</x:v>
      </x:c>
    </x:row>
    <x:row r="1701" ht="23" customHeight="1">
      <x:c r="A1701" t="n">
        <x:v>42</x:v>
      </x:c>
      <x:c r="B1701" t="str">
        <x:v>豆蛋</x:v>
      </x:c>
      <x:c r="C1701" t="str">
        <x:v>熟毛豆仁</x:v>
      </x:c>
      <x:c r="D1701" t="n">
        <x:v>190</x:v>
      </x:c>
      <x:c r="E1701" t="n">
        <x:v>210</x:v>
      </x:c>
      <x:c r="F1701" s="10" t="str">
        <x:v>食材净重+约8%余量</x:v>
      </x:c>
      <x:c r="G1701" s="10" t="str">
        <x:v>熟重</x:v>
      </x:c>
    </x:row>
    <x:row r="1702" ht="23" customHeight="1">
      <x:c r="A1702" t="n">
        <x:v>42</x:v>
      </x:c>
      <x:c r="B1702" t="str">
        <x:v>豆蛋</x:v>
      </x:c>
      <x:c r="C1702" t="str">
        <x:v>鸡蛋</x:v>
      </x:c>
      <x:c r="D1702" t="n">
        <x:v>60</x:v>
      </x:c>
      <x:c r="E1702" t="n">
        <x:v>60</x:v>
      </x:c>
      <x:c r="F1702" s="10" t="str">
        <x:v>食材净重+约8%余量</x:v>
      </x:c>
      <x:c r="G1702" s="10" t="str">
        <x:v>去壳可食重</x:v>
      </x:c>
    </x:row>
    <x:row r="1703" ht="23" customHeight="1">
      <x:c r="A1703" t="n">
        <x:v>43</x:v>
      </x:c>
      <x:c r="B1703" t="str">
        <x:v>主食</x:v>
      </x:c>
      <x:c r="C1703" t="str">
        <x:v>乌冬面</x:v>
      </x:c>
      <x:c r="D1703" t="n">
        <x:v>110</x:v>
      </x:c>
      <x:c r="E1703" t="n">
        <x:v>50</x:v>
      </x:c>
      <x:c r="F1703" s="10" t="str">
        <x:v>干粮约重（按熟面/干面≈2.1估算）</x:v>
      </x:c>
      <x:c r="G1703" s="10" t="str">
        <x:v>煮熟沥水重</x:v>
      </x:c>
    </x:row>
    <x:row r="1704" ht="23" customHeight="1">
      <x:c r="A1704" t="n">
        <x:v>43</x:v>
      </x:c>
      <x:c r="B1704" t="str">
        <x:v>主食</x:v>
      </x:c>
      <x:c r="C1704" t="str">
        <x:v>土豆</x:v>
      </x:c>
      <x:c r="D1704" t="n">
        <x:v>95</x:v>
      </x:c>
      <x:c r="E1704" t="n">
        <x:v>100</x:v>
      </x:c>
      <x:c r="F1704" s="10" t="str">
        <x:v>鲜薯/玉米净重；考虑小幅损耗</x:v>
      </x:c>
      <x:c r="G1704" s="10" t="str">
        <x:v>蒸熟净重</x:v>
      </x:c>
    </x:row>
    <x:row r="1705" ht="23" customHeight="1">
      <x:c r="A1705" t="n">
        <x:v>43</x:v>
      </x:c>
      <x:c r="B1705" t="str">
        <x:v>主食</x:v>
      </x:c>
      <x:c r="C1705" t="str">
        <x:v>燕麦饭</x:v>
      </x:c>
      <x:c r="D1705" t="n">
        <x:v>210</x:v>
      </x:c>
      <x:c r="E1705" t="n">
        <x:v>80</x:v>
      </x:c>
      <x:c r="F1705" s="10" t="str">
        <x:v>未煮干粮约重（按熟饭/生米≈2.6估算）</x:v>
      </x:c>
      <x:c r="G1705" s="10" t="str">
        <x:v>熟重</x:v>
      </x:c>
    </x:row>
    <x:row r="1706" ht="23" customHeight="1">
      <x:c r="A1706" t="n">
        <x:v>43</x:v>
      </x:c>
      <x:c r="B1706" t="str">
        <x:v>主食</x:v>
      </x:c>
      <x:c r="C1706" t="str">
        <x:v>玉米</x:v>
      </x:c>
      <x:c r="D1706" t="n">
        <x:v>165</x:v>
      </x:c>
      <x:c r="E1706" t="n">
        <x:v>180</x:v>
      </x:c>
      <x:c r="F1706" s="10" t="str">
        <x:v>鲜薯/玉米净重；考虑小幅损耗</x:v>
      </x:c>
      <x:c r="G1706" s="10" t="str">
        <x:v>蒸熟净重</x:v>
      </x:c>
    </x:row>
    <x:row r="1707" ht="23" customHeight="1">
      <x:c r="A1707" t="n">
        <x:v>43</x:v>
      </x:c>
      <x:c r="B1707" t="str">
        <x:v>主食</x:v>
      </x:c>
      <x:c r="C1707" t="str">
        <x:v>白米饭</x:v>
      </x:c>
      <x:c r="D1707" t="n">
        <x:v>245</x:v>
      </x:c>
      <x:c r="E1707" t="n">
        <x:v>90</x:v>
      </x:c>
      <x:c r="F1707" s="10" t="str">
        <x:v>未煮干粮约重（按熟饭/生米≈2.6估算）</x:v>
      </x:c>
      <x:c r="G1707" s="10" t="str">
        <x:v>熟重</x:v>
      </x:c>
    </x:row>
    <x:row r="1708" ht="23" customHeight="1">
      <x:c r="A1708" t="n">
        <x:v>43</x:v>
      </x:c>
      <x:c r="B1708" t="str">
        <x:v>主食</x:v>
      </x:c>
      <x:c r="C1708" t="str">
        <x:v>紫薯</x:v>
      </x:c>
      <x:c r="D1708" t="n">
        <x:v>245</x:v>
      </x:c>
      <x:c r="E1708" t="n">
        <x:v>270</x:v>
      </x:c>
      <x:c r="F1708" s="10" t="str">
        <x:v>鲜薯/玉米净重；考虑小幅损耗</x:v>
      </x:c>
      <x:c r="G1708" s="10" t="str">
        <x:v>蒸熟净重</x:v>
      </x:c>
    </x:row>
    <x:row r="1709" ht="23" customHeight="1">
      <x:c r="A1709" t="n">
        <x:v>43</x:v>
      </x:c>
      <x:c r="B1709" t="str">
        <x:v>主食</x:v>
      </x:c>
      <x:c r="C1709" t="str">
        <x:v>红薯</x:v>
      </x:c>
      <x:c r="D1709" t="n">
        <x:v>220</x:v>
      </x:c>
      <x:c r="E1709" t="n">
        <x:v>240</x:v>
      </x:c>
      <x:c r="F1709" s="10" t="str">
        <x:v>鲜薯/玉米净重；考虑小幅损耗</x:v>
      </x:c>
      <x:c r="G1709" s="10" t="str">
        <x:v>蒸熟净重</x:v>
      </x:c>
    </x:row>
    <x:row r="1710" ht="23" customHeight="1">
      <x:c r="A1710" t="n">
        <x:v>43</x:v>
      </x:c>
      <x:c r="B1710" t="str">
        <x:v>主食</x:v>
      </x:c>
      <x:c r="C1710" t="str">
        <x:v>藜麦饭</x:v>
      </x:c>
      <x:c r="D1710" t="n">
        <x:v>315</x:v>
      </x:c>
      <x:c r="E1710" t="n">
        <x:v>120</x:v>
      </x:c>
      <x:c r="F1710" s="10" t="str">
        <x:v>未煮干粮约重（按熟饭/生米≈2.6估算）</x:v>
      </x:c>
      <x:c r="G1710" s="10" t="str">
        <x:v>熟重</x:v>
      </x:c>
    </x:row>
    <x:row r="1711" ht="23" customHeight="1">
      <x:c r="A1711" t="n">
        <x:v>43</x:v>
      </x:c>
      <x:c r="B1711" t="str">
        <x:v>油脂</x:v>
      </x:c>
      <x:c r="C1711" t="str">
        <x:v>烹调油</x:v>
      </x:c>
      <x:c r="D1711" t="n">
        <x:v>74</x:v>
      </x:c>
      <x:c r="E1711" t="n">
        <x:v>74</x:v>
      </x:c>
      <x:c r="F1711" s="10" t="str">
        <x:v>食用油；现有库存足够即可</x:v>
      </x:c>
      <x:c r="G1711" s="10" t="str">
        <x:v>实际用油重</x:v>
      </x:c>
    </x:row>
    <x:row r="1712" ht="23" customHeight="1">
      <x:c r="A1712" t="n">
        <x:v>43</x:v>
      </x:c>
      <x:c r="B1712" t="str">
        <x:v>海鲜</x:v>
      </x:c>
      <x:c r="C1712" t="str">
        <x:v>扇贝肉</x:v>
      </x:c>
      <x:c r="D1712" t="n">
        <x:v>190</x:v>
      </x:c>
      <x:c r="E1712" t="n">
        <x:v>210</x:v>
      </x:c>
      <x:c r="F1712" s="10" t="str">
        <x:v>食材净重+约8%余量；带壳或带骨采购需另折算</x:v>
      </x:c>
      <x:c r="G1712" s="10" t="str">
        <x:v>生重</x:v>
      </x:c>
    </x:row>
    <x:row r="1713" ht="23" customHeight="1">
      <x:c r="A1713" t="n">
        <x:v>43</x:v>
      </x:c>
      <x:c r="B1713" t="str">
        <x:v>海鲜</x:v>
      </x:c>
      <x:c r="C1713" t="str">
        <x:v>虾仁</x:v>
      </x:c>
      <x:c r="D1713" t="n">
        <x:v>190</x:v>
      </x:c>
      <x:c r="E1713" t="n">
        <x:v>210</x:v>
      </x:c>
      <x:c r="F1713" s="10" t="str">
        <x:v>食材净重+约8%余量</x:v>
      </x:c>
      <x:c r="G1713" s="10" t="str">
        <x:v>生重</x:v>
      </x:c>
    </x:row>
    <x:row r="1714" ht="23" customHeight="1">
      <x:c r="A1714" t="n">
        <x:v>43</x:v>
      </x:c>
      <x:c r="B1714" t="str">
        <x:v>海鲜</x:v>
      </x:c>
      <x:c r="C1714" t="str">
        <x:v>鱿鱼</x:v>
      </x:c>
      <x:c r="D1714" t="n">
        <x:v>160</x:v>
      </x:c>
      <x:c r="E1714" t="n">
        <x:v>170</x:v>
      </x:c>
      <x:c r="F1714" s="10" t="str">
        <x:v>食材净重+约8%余量</x:v>
      </x:c>
      <x:c r="G1714" s="10" t="str">
        <x:v>生重</x:v>
      </x:c>
    </x:row>
    <x:row r="1715" ht="23" customHeight="1">
      <x:c r="A1715" t="n">
        <x:v>43</x:v>
      </x:c>
      <x:c r="B1715" t="str">
        <x:v>牛肉</x:v>
      </x:c>
      <x:c r="C1715" t="str">
        <x:v>牛腱子</x:v>
      </x:c>
      <x:c r="D1715" t="n">
        <x:v>160</x:v>
      </x:c>
      <x:c r="E1715" t="n">
        <x:v>170</x:v>
      </x:c>
      <x:c r="F1715" s="10" t="str">
        <x:v>食材净重+约8%余量</x:v>
      </x:c>
      <x:c r="G1715" s="10" t="str">
        <x:v>生重</x:v>
      </x:c>
    </x:row>
    <x:row r="1716" ht="23" customHeight="1">
      <x:c r="A1716" t="n">
        <x:v>43</x:v>
      </x:c>
      <x:c r="B1716" t="str">
        <x:v>猪肉</x:v>
      </x:c>
      <x:c r="C1716" t="str">
        <x:v>猪里脊</x:v>
      </x:c>
      <x:c r="D1716" t="n">
        <x:v>365</x:v>
      </x:c>
      <x:c r="E1716" t="n">
        <x:v>390</x:v>
      </x:c>
      <x:c r="F1716" s="10" t="str">
        <x:v>食材净重+约8%余量</x:v>
      </x:c>
      <x:c r="G1716" s="10" t="str">
        <x:v>生重</x:v>
      </x:c>
    </x:row>
    <x:row r="1717" ht="23" customHeight="1">
      <x:c r="A1717" t="n">
        <x:v>43</x:v>
      </x:c>
      <x:c r="B1717" t="str">
        <x:v>禽肉</x:v>
      </x:c>
      <x:c r="C1717" t="str">
        <x:v>去皮鸡腿肉</x:v>
      </x:c>
      <x:c r="D1717" t="n">
        <x:v>330</x:v>
      </x:c>
      <x:c r="E1717" t="n">
        <x:v>360</x:v>
      </x:c>
      <x:c r="F1717" s="10" t="str">
        <x:v>食材净重+约8%余量</x:v>
      </x:c>
      <x:c r="G1717" s="10" t="str">
        <x:v>生重</x:v>
      </x:c>
    </x:row>
    <x:row r="1718" ht="23" customHeight="1">
      <x:c r="A1718" t="n">
        <x:v>43</x:v>
      </x:c>
      <x:c r="B1718" t="str">
        <x:v>禽肉</x:v>
      </x:c>
      <x:c r="C1718" t="str">
        <x:v>鸡里脊肉</x:v>
      </x:c>
      <x:c r="D1718" t="n">
        <x:v>170</x:v>
      </x:c>
      <x:c r="E1718" t="n">
        <x:v>180</x:v>
      </x:c>
      <x:c r="F1718" s="10" t="str">
        <x:v>食材净重+约8%余量</x:v>
      </x:c>
      <x:c r="G1718" s="10" t="str">
        <x:v>生重</x:v>
      </x:c>
    </x:row>
    <x:row r="1719" ht="23" customHeight="1">
      <x:c r="A1719" t="n">
        <x:v>43</x:v>
      </x:c>
      <x:c r="B1719" t="str">
        <x:v>菌菇</x:v>
      </x:c>
      <x:c r="C1719" t="str">
        <x:v>口蘑</x:v>
      </x:c>
      <x:c r="D1719" t="n">
        <x:v>295</x:v>
      </x:c>
      <x:c r="E1719" t="n">
        <x:v>320</x:v>
      </x:c>
      <x:c r="F1719" s="10" t="str">
        <x:v>食材净重+约8%余量</x:v>
      </x:c>
      <x:c r="G1719" s="10" t="str">
        <x:v>生重</x:v>
      </x:c>
    </x:row>
    <x:row r="1720" ht="23" customHeight="1">
      <x:c r="A1720" t="n">
        <x:v>43</x:v>
      </x:c>
      <x:c r="B1720" t="str">
        <x:v>菌菇</x:v>
      </x:c>
      <x:c r="C1720" t="str">
        <x:v>杏鲍菇</x:v>
      </x:c>
      <x:c r="D1720" t="n">
        <x:v>295</x:v>
      </x:c>
      <x:c r="E1720" t="n">
        <x:v>320</x:v>
      </x:c>
      <x:c r="F1720" s="10" t="str">
        <x:v>食材净重+约8%余量</x:v>
      </x:c>
      <x:c r="G1720" s="10" t="str">
        <x:v>生重</x:v>
      </x:c>
    </x:row>
    <x:row r="1721" ht="23" customHeight="1">
      <x:c r="A1721" t="n">
        <x:v>43</x:v>
      </x:c>
      <x:c r="B1721" t="str">
        <x:v>菌菇</x:v>
      </x:c>
      <x:c r="C1721" t="str">
        <x:v>泡发木耳</x:v>
      </x:c>
      <x:c r="D1721" t="n">
        <x:v>140</x:v>
      </x:c>
      <x:c r="E1721" t="n">
        <x:v>150</x:v>
      </x:c>
      <x:c r="F1721" s="10" t="str">
        <x:v>食材净重+约8%余量</x:v>
      </x:c>
      <x:c r="G1721" s="10" t="str">
        <x:v>泡发沥水重</x:v>
      </x:c>
    </x:row>
    <x:row r="1722" ht="23" customHeight="1">
      <x:c r="A1722" t="n">
        <x:v>43</x:v>
      </x:c>
      <x:c r="B1722" t="str">
        <x:v>蔬菜</x:v>
      </x:c>
      <x:c r="C1722" t="str">
        <x:v>丝瓜</x:v>
      </x:c>
      <x:c r="D1722" t="n">
        <x:v>110</x:v>
      </x:c>
      <x:c r="E1722" t="n">
        <x:v>120</x:v>
      </x:c>
      <x:c r="F1722" s="10" t="str">
        <x:v>食材净重+约8%余量</x:v>
      </x:c>
      <x:c r="G1722" s="10" t="str">
        <x:v>生重</x:v>
      </x:c>
    </x:row>
    <x:row r="1723" ht="23" customHeight="1">
      <x:c r="A1723" t="n">
        <x:v>43</x:v>
      </x:c>
      <x:c r="B1723" t="str">
        <x:v>蔬菜</x:v>
      </x:c>
      <x:c r="C1723" t="str">
        <x:v>冬瓜</x:v>
      </x:c>
      <x:c r="D1723" t="n">
        <x:v>315</x:v>
      </x:c>
      <x:c r="E1723" t="n">
        <x:v>340</x:v>
      </x:c>
      <x:c r="F1723" s="10" t="str">
        <x:v>食材净重+约8%余量</x:v>
      </x:c>
      <x:c r="G1723" s="10" t="str">
        <x:v>生重</x:v>
      </x:c>
    </x:row>
    <x:row r="1724" ht="23" customHeight="1">
      <x:c r="A1724" t="n">
        <x:v>43</x:v>
      </x:c>
      <x:c r="B1724" t="str">
        <x:v>蔬菜</x:v>
      </x:c>
      <x:c r="C1724" t="str">
        <x:v>大白菜</x:v>
      </x:c>
      <x:c r="D1724" t="n">
        <x:v>190</x:v>
      </x:c>
      <x:c r="E1724" t="n">
        <x:v>210</x:v>
      </x:c>
      <x:c r="F1724" s="10" t="str">
        <x:v>食材净重+约8%余量</x:v>
      </x:c>
      <x:c r="G1724" s="10" t="str">
        <x:v>生重</x:v>
      </x:c>
    </x:row>
    <x:row r="1725" ht="23" customHeight="1">
      <x:c r="A1725" t="n">
        <x:v>43</x:v>
      </x:c>
      <x:c r="B1725" t="str">
        <x:v>蔬菜</x:v>
      </x:c>
      <x:c r="C1725" t="str">
        <x:v>娃娃菜</x:v>
      </x:c>
      <x:c r="D1725" t="n">
        <x:v>160</x:v>
      </x:c>
      <x:c r="E1725" t="n">
        <x:v>170</x:v>
      </x:c>
      <x:c r="F1725" s="10" t="str">
        <x:v>食材净重+约8%余量</x:v>
      </x:c>
      <x:c r="G1725" s="10" t="str">
        <x:v>生重</x:v>
      </x:c>
    </x:row>
    <x:row r="1726" ht="23" customHeight="1">
      <x:c r="A1726" t="n">
        <x:v>43</x:v>
      </x:c>
      <x:c r="B1726" t="str">
        <x:v>蔬菜</x:v>
      </x:c>
      <x:c r="C1726" t="str">
        <x:v>小白菜</x:v>
      </x:c>
      <x:c r="D1726" t="n">
        <x:v>440</x:v>
      </x:c>
      <x:c r="E1726" t="n">
        <x:v>480</x:v>
      </x:c>
      <x:c r="F1726" s="10" t="str">
        <x:v>食材净重+约8%余量</x:v>
      </x:c>
      <x:c r="G1726" s="10" t="str">
        <x:v>生重</x:v>
      </x:c>
    </x:row>
    <x:row r="1727" ht="23" customHeight="1">
      <x:c r="A1727" t="n">
        <x:v>43</x:v>
      </x:c>
      <x:c r="B1727" t="str">
        <x:v>蔬菜</x:v>
      </x:c>
      <x:c r="C1727" t="str">
        <x:v>彩椒</x:v>
      </x:c>
      <x:c r="D1727" t="n">
        <x:v>155</x:v>
      </x:c>
      <x:c r="E1727" t="n">
        <x:v>170</x:v>
      </x:c>
      <x:c r="F1727" s="10" t="str">
        <x:v>食材净重+约8%余量</x:v>
      </x:c>
      <x:c r="G1727" s="10" t="str">
        <x:v>生重</x:v>
      </x:c>
    </x:row>
    <x:row r="1728" ht="23" customHeight="1">
      <x:c r="A1728" t="n">
        <x:v>43</x:v>
      </x:c>
      <x:c r="B1728" t="str">
        <x:v>蔬菜</x:v>
      </x:c>
      <x:c r="C1728" t="str">
        <x:v>生菜</x:v>
      </x:c>
      <x:c r="D1728" t="n">
        <x:v>160</x:v>
      </x:c>
      <x:c r="E1728" t="n">
        <x:v>170</x:v>
      </x:c>
      <x:c r="F1728" s="10" t="str">
        <x:v>食材净重+约8%余量</x:v>
      </x:c>
      <x:c r="G1728" s="10" t="str">
        <x:v>生重</x:v>
      </x:c>
    </x:row>
    <x:row r="1729" ht="23" customHeight="1">
      <x:c r="A1729" t="n">
        <x:v>43</x:v>
      </x:c>
      <x:c r="B1729" t="str">
        <x:v>蔬菜</x:v>
      </x:c>
      <x:c r="C1729" t="str">
        <x:v>番茄</x:v>
      </x:c>
      <x:c r="D1729" t="n">
        <x:v>140</x:v>
      </x:c>
      <x:c r="E1729" t="n">
        <x:v>150</x:v>
      </x:c>
      <x:c r="F1729" s="10" t="str">
        <x:v>食材净重+约8%余量</x:v>
      </x:c>
      <x:c r="G1729" s="10" t="str">
        <x:v>生重</x:v>
      </x:c>
    </x:row>
    <x:row r="1730" ht="23" customHeight="1">
      <x:c r="A1730" t="n">
        <x:v>43</x:v>
      </x:c>
      <x:c r="B1730" t="str">
        <x:v>蔬菜</x:v>
      </x:c>
      <x:c r="C1730" t="str">
        <x:v>秋葵</x:v>
      </x:c>
      <x:c r="D1730" t="n">
        <x:v>140</x:v>
      </x:c>
      <x:c r="E1730" t="n">
        <x:v>150</x:v>
      </x:c>
      <x:c r="F1730" s="10" t="str">
        <x:v>食材净重+约8%余量</x:v>
      </x:c>
      <x:c r="G1730" s="10" t="str">
        <x:v>生重</x:v>
      </x:c>
    </x:row>
    <x:row r="1731" ht="23" customHeight="1">
      <x:c r="A1731" t="n">
        <x:v>43</x:v>
      </x:c>
      <x:c r="B1731" t="str">
        <x:v>蔬菜</x:v>
      </x:c>
      <x:c r="C1731" t="str">
        <x:v>胡萝卜</x:v>
      </x:c>
      <x:c r="D1731" t="n">
        <x:v>250</x:v>
      </x:c>
      <x:c r="E1731" t="n">
        <x:v>270</x:v>
      </x:c>
      <x:c r="F1731" s="10" t="str">
        <x:v>食材净重+约8%余量</x:v>
      </x:c>
      <x:c r="G1731" s="10" t="str">
        <x:v>生重</x:v>
      </x:c>
    </x:row>
    <x:row r="1732" ht="23" customHeight="1">
      <x:c r="A1732" t="n">
        <x:v>43</x:v>
      </x:c>
      <x:c r="B1732" t="str">
        <x:v>蔬菜</x:v>
      </x:c>
      <x:c r="C1732" t="str">
        <x:v>芦笋</x:v>
      </x:c>
      <x:c r="D1732" t="n">
        <x:v>300</x:v>
      </x:c>
      <x:c r="E1732" t="n">
        <x:v>320</x:v>
      </x:c>
      <x:c r="F1732" s="10" t="str">
        <x:v>食材净重+约8%余量</x:v>
      </x:c>
      <x:c r="G1732" s="10" t="str">
        <x:v>生重</x:v>
      </x:c>
    </x:row>
    <x:row r="1733" ht="23" customHeight="1">
      <x:c r="A1733" t="n">
        <x:v>43</x:v>
      </x:c>
      <x:c r="B1733" t="str">
        <x:v>蔬菜</x:v>
      </x:c>
      <x:c r="C1733" t="str">
        <x:v>花菜</x:v>
      </x:c>
      <x:c r="D1733" t="n">
        <x:v>160</x:v>
      </x:c>
      <x:c r="E1733" t="n">
        <x:v>170</x:v>
      </x:c>
      <x:c r="F1733" s="10" t="str">
        <x:v>食材净重+约8%余量</x:v>
      </x:c>
      <x:c r="G1733" s="10" t="str">
        <x:v>生重</x:v>
      </x:c>
    </x:row>
    <x:row r="1734" ht="23" customHeight="1">
      <x:c r="A1734" t="n">
        <x:v>43</x:v>
      </x:c>
      <x:c r="B1734" t="str">
        <x:v>蔬菜</x:v>
      </x:c>
      <x:c r="C1734" t="str">
        <x:v>芹菜</x:v>
      </x:c>
      <x:c r="D1734" t="n">
        <x:v>190</x:v>
      </x:c>
      <x:c r="E1734" t="n">
        <x:v>210</x:v>
      </x:c>
      <x:c r="F1734" s="10" t="str">
        <x:v>食材净重+约8%余量</x:v>
      </x:c>
      <x:c r="G1734" s="10" t="str">
        <x:v>生重</x:v>
      </x:c>
    </x:row>
    <x:row r="1735" ht="23" customHeight="1">
      <x:c r="A1735" t="n">
        <x:v>43</x:v>
      </x:c>
      <x:c r="B1735" t="str">
        <x:v>蔬菜</x:v>
      </x:c>
      <x:c r="C1735" t="str">
        <x:v>茼蒿</x:v>
      </x:c>
      <x:c r="D1735" t="n">
        <x:v>190</x:v>
      </x:c>
      <x:c r="E1735" t="n">
        <x:v>210</x:v>
      </x:c>
      <x:c r="F1735" s="10" t="str">
        <x:v>食材净重+约8%余量</x:v>
      </x:c>
      <x:c r="G1735" s="10" t="str">
        <x:v>生重</x:v>
      </x:c>
    </x:row>
    <x:row r="1736" ht="23" customHeight="1">
      <x:c r="A1736" t="n">
        <x:v>43</x:v>
      </x:c>
      <x:c r="B1736" t="str">
        <x:v>蔬菜</x:v>
      </x:c>
      <x:c r="C1736" t="str">
        <x:v>荷兰豆</x:v>
      </x:c>
      <x:c r="D1736" t="n">
        <x:v>140</x:v>
      </x:c>
      <x:c r="E1736" t="n">
        <x:v>150</x:v>
      </x:c>
      <x:c r="F1736" s="10" t="str">
        <x:v>食材净重+约8%余量</x:v>
      </x:c>
      <x:c r="G1736" s="10" t="str">
        <x:v>生重</x:v>
      </x:c>
    </x:row>
    <x:row r="1737" ht="23" customHeight="1">
      <x:c r="A1737" t="n">
        <x:v>43</x:v>
      </x:c>
      <x:c r="B1737" t="str">
        <x:v>蔬菜</x:v>
      </x:c>
      <x:c r="C1737" t="str">
        <x:v>菜心</x:v>
      </x:c>
      <x:c r="D1737" t="n">
        <x:v>110</x:v>
      </x:c>
      <x:c r="E1737" t="n">
        <x:v>120</x:v>
      </x:c>
      <x:c r="F1737" s="10" t="str">
        <x:v>食材净重+约8%余量</x:v>
      </x:c>
      <x:c r="G1737" s="10" t="str">
        <x:v>生重</x:v>
      </x:c>
    </x:row>
    <x:row r="1738" ht="23" customHeight="1">
      <x:c r="A1738" t="n">
        <x:v>43</x:v>
      </x:c>
      <x:c r="B1738" t="str">
        <x:v>蔬菜</x:v>
      </x:c>
      <x:c r="C1738" t="str">
        <x:v>西兰花</x:v>
      </x:c>
      <x:c r="D1738" t="n">
        <x:v>300</x:v>
      </x:c>
      <x:c r="E1738" t="n">
        <x:v>320</x:v>
      </x:c>
      <x:c r="F1738" s="10" t="str">
        <x:v>食材净重+约8%余量</x:v>
      </x:c>
      <x:c r="G1738" s="10" t="str">
        <x:v>生重</x:v>
      </x:c>
    </x:row>
    <x:row r="1739" ht="23" customHeight="1">
      <x:c r="A1739" t="n">
        <x:v>43</x:v>
      </x:c>
      <x:c r="B1739" t="str">
        <x:v>豆蛋</x:v>
      </x:c>
      <x:c r="C1739" t="str">
        <x:v>北豆腐</x:v>
      </x:c>
      <x:c r="D1739" t="n">
        <x:v>310</x:v>
      </x:c>
      <x:c r="E1739" t="n">
        <x:v>330</x:v>
      </x:c>
      <x:c r="F1739" s="10" t="str">
        <x:v>食材净重+约8%余量</x:v>
      </x:c>
      <x:c r="G1739" s="10" t="str">
        <x:v>净重</x:v>
      </x:c>
    </x:row>
    <x:row r="1740" ht="23" customHeight="1">
      <x:c r="A1740" t="n">
        <x:v>43</x:v>
      </x:c>
      <x:c r="B1740" t="str">
        <x:v>豆蛋</x:v>
      </x:c>
      <x:c r="C1740" t="str">
        <x:v>嫩豆腐</x:v>
      </x:c>
      <x:c r="D1740" t="n">
        <x:v>110</x:v>
      </x:c>
      <x:c r="E1740" t="n">
        <x:v>120</x:v>
      </x:c>
      <x:c r="F1740" s="10" t="str">
        <x:v>食材净重+约8%余量</x:v>
      </x:c>
      <x:c r="G1740" s="10" t="str">
        <x:v>净重</x:v>
      </x:c>
    </x:row>
    <x:row r="1741" ht="23" customHeight="1">
      <x:c r="A1741" t="n">
        <x:v>43</x:v>
      </x:c>
      <x:c r="B1741" t="str">
        <x:v>豆蛋</x:v>
      </x:c>
      <x:c r="C1741" t="str">
        <x:v>熟毛豆仁</x:v>
      </x:c>
      <x:c r="D1741" t="n">
        <x:v>70</x:v>
      </x:c>
      <x:c r="E1741" t="n">
        <x:v>80</x:v>
      </x:c>
      <x:c r="F1741" s="10" t="str">
        <x:v>食材净重+约8%余量</x:v>
      </x:c>
      <x:c r="G1741" s="10" t="str">
        <x:v>熟重</x:v>
      </x:c>
    </x:row>
    <x:row r="1742" ht="23" customHeight="1">
      <x:c r="A1742" t="n">
        <x:v>43</x:v>
      </x:c>
      <x:c r="B1742" t="str">
        <x:v>豆蛋</x:v>
      </x:c>
      <x:c r="C1742" t="str">
        <x:v>鸡蛋</x:v>
      </x:c>
      <x:c r="D1742" t="n">
        <x:v>100</x:v>
      </x:c>
      <x:c r="E1742" t="n">
        <x:v>110</x:v>
      </x:c>
      <x:c r="F1742" s="10" t="str">
        <x:v>食材净重+约8%余量</x:v>
      </x:c>
      <x:c r="G1742" s="10" t="str">
        <x:v>去壳可食重</x:v>
      </x:c>
    </x:row>
    <x:row r="1743" ht="23" customHeight="1">
      <x:c r="A1743" t="n">
        <x:v>43</x:v>
      </x:c>
      <x:c r="B1743" t="str">
        <x:v>鱼类</x:v>
      </x:c>
      <x:c r="C1743" t="str">
        <x:v>巴沙鱼</x:v>
      </x:c>
      <x:c r="D1743" t="n">
        <x:v>200</x:v>
      </x:c>
      <x:c r="E1743" t="n">
        <x:v>220</x:v>
      </x:c>
      <x:c r="F1743" s="10" t="str">
        <x:v>食材净重+约8%余量</x:v>
      </x:c>
      <x:c r="G1743" s="10" t="str">
        <x:v>净鱼肉生重</x:v>
      </x:c>
    </x:row>
    <x:row r="1744" ht="23" customHeight="1">
      <x:c r="A1744" t="n">
        <x:v>43</x:v>
      </x:c>
      <x:c r="B1744" t="str">
        <x:v>鱼类</x:v>
      </x:c>
      <x:c r="C1744" t="str">
        <x:v>鲈鱼</x:v>
      </x:c>
      <x:c r="D1744" t="n">
        <x:v>360</x:v>
      </x:c>
      <x:c r="E1744" t="n">
        <x:v>390</x:v>
      </x:c>
      <x:c r="F1744" s="10" t="str">
        <x:v>食材净重+约8%余量；带壳或带骨采购需另折算</x:v>
      </x:c>
      <x:c r="G1744" s="10" t="str">
        <x:v>净鱼肉生重</x:v>
      </x:c>
    </x:row>
    <x:row r="1745" ht="23" customHeight="1">
      <x:c r="A1745" t="n">
        <x:v>43</x:v>
      </x:c>
      <x:c r="B1745" t="str">
        <x:v>鱼类</x:v>
      </x:c>
      <x:c r="C1745" t="str">
        <x:v>鳕鱼</x:v>
      </x:c>
      <x:c r="D1745" t="n">
        <x:v>175</x:v>
      </x:c>
      <x:c r="E1745" t="n">
        <x:v>190</x:v>
      </x:c>
      <x:c r="F1745" s="10" t="str">
        <x:v>食材净重+约8%余量；带壳或带骨采购需另折算</x:v>
      </x:c>
      <x:c r="G1745" s="10" t="str">
        <x:v>净鱼肉生重</x:v>
      </x:c>
    </x:row>
    <x:row r="1746" ht="23" customHeight="1">
      <x:c r="A1746" t="n">
        <x:v>44</x:v>
      </x:c>
      <x:c r="B1746" t="str">
        <x:v>主食</x:v>
      </x:c>
      <x:c r="C1746" t="str">
        <x:v>乌冬面</x:v>
      </x:c>
      <x:c r="D1746" t="n">
        <x:v>165</x:v>
      </x:c>
      <x:c r="E1746" t="n">
        <x:v>80</x:v>
      </x:c>
      <x:c r="F1746" s="10" t="str">
        <x:v>干粮约重（按熟面/干面≈2.1估算）</x:v>
      </x:c>
      <x:c r="G1746" s="10" t="str">
        <x:v>煮熟沥水重</x:v>
      </x:c>
    </x:row>
    <x:row r="1747" ht="23" customHeight="1">
      <x:c r="A1747" t="n">
        <x:v>44</x:v>
      </x:c>
      <x:c r="B1747" t="str">
        <x:v>主食</x:v>
      </x:c>
      <x:c r="C1747" t="str">
        <x:v>土豆</x:v>
      </x:c>
      <x:c r="D1747" t="n">
        <x:v>220</x:v>
      </x:c>
      <x:c r="E1747" t="n">
        <x:v>240</x:v>
      </x:c>
      <x:c r="F1747" s="10" t="str">
        <x:v>鲜薯/玉米净重；考虑小幅损耗</x:v>
      </x:c>
      <x:c r="G1747" s="10" t="str">
        <x:v>蒸熟净重</x:v>
      </x:c>
    </x:row>
    <x:row r="1748" ht="23" customHeight="1">
      <x:c r="A1748" t="n">
        <x:v>44</x:v>
      </x:c>
      <x:c r="B1748" t="str">
        <x:v>主食</x:v>
      </x:c>
      <x:c r="C1748" t="str">
        <x:v>山药</x:v>
      </x:c>
      <x:c r="D1748" t="n">
        <x:v>80</x:v>
      </x:c>
      <x:c r="E1748" t="n">
        <x:v>90</x:v>
      </x:c>
      <x:c r="F1748" s="10" t="str">
        <x:v>鲜薯/玉米净重；考虑小幅损耗</x:v>
      </x:c>
      <x:c r="G1748" s="10" t="str">
        <x:v>蒸熟净重</x:v>
      </x:c>
    </x:row>
    <x:row r="1749" ht="23" customHeight="1">
      <x:c r="A1749" t="n">
        <x:v>44</x:v>
      </x:c>
      <x:c r="B1749" t="str">
        <x:v>主食</x:v>
      </x:c>
      <x:c r="C1749" t="str">
        <x:v>杂粮饭</x:v>
      </x:c>
      <x:c r="D1749" t="n">
        <x:v>110</x:v>
      </x:c>
      <x:c r="E1749" t="n">
        <x:v>40</x:v>
      </x:c>
      <x:c r="F1749" s="10" t="str">
        <x:v>未煮干粮约重（按熟饭/生米≈2.6估算）</x:v>
      </x:c>
      <x:c r="G1749" s="10" t="str">
        <x:v>熟重</x:v>
      </x:c>
    </x:row>
    <x:row r="1750" ht="23" customHeight="1">
      <x:c r="A1750" t="n">
        <x:v>44</x:v>
      </x:c>
      <x:c r="B1750" t="str">
        <x:v>主食</x:v>
      </x:c>
      <x:c r="C1750" t="str">
        <x:v>燕麦饭</x:v>
      </x:c>
      <x:c r="D1750" t="n">
        <x:v>360</x:v>
      </x:c>
      <x:c r="E1750" t="n">
        <x:v>140</x:v>
      </x:c>
      <x:c r="F1750" s="10" t="str">
        <x:v>未煮干粮约重（按熟饭/生米≈2.6估算）</x:v>
      </x:c>
      <x:c r="G1750" s="10" t="str">
        <x:v>熟重</x:v>
      </x:c>
    </x:row>
    <x:row r="1751" ht="23" customHeight="1">
      <x:c r="A1751" t="n">
        <x:v>44</x:v>
      </x:c>
      <x:c r="B1751" t="str">
        <x:v>主食</x:v>
      </x:c>
      <x:c r="C1751" t="str">
        <x:v>玉米</x:v>
      </x:c>
      <x:c r="D1751" t="n">
        <x:v>110</x:v>
      </x:c>
      <x:c r="E1751" t="n">
        <x:v>120</x:v>
      </x:c>
      <x:c r="F1751" s="10" t="str">
        <x:v>鲜薯/玉米净重；考虑小幅损耗</x:v>
      </x:c>
      <x:c r="G1751" s="10" t="str">
        <x:v>蒸熟净重</x:v>
      </x:c>
    </x:row>
    <x:row r="1752" ht="23" customHeight="1">
      <x:c r="A1752" t="n">
        <x:v>44</x:v>
      </x:c>
      <x:c r="B1752" t="str">
        <x:v>主食</x:v>
      </x:c>
      <x:c r="C1752" t="str">
        <x:v>紫薯</x:v>
      </x:c>
      <x:c r="D1752" t="n">
        <x:v>135</x:v>
      </x:c>
      <x:c r="E1752" t="n">
        <x:v>150</x:v>
      </x:c>
      <x:c r="F1752" s="10" t="str">
        <x:v>鲜薯/玉米净重；考虑小幅损耗</x:v>
      </x:c>
      <x:c r="G1752" s="10" t="str">
        <x:v>蒸熟净重</x:v>
      </x:c>
    </x:row>
    <x:row r="1753" ht="23" customHeight="1">
      <x:c r="A1753" t="n">
        <x:v>44</x:v>
      </x:c>
      <x:c r="B1753" t="str">
        <x:v>主食</x:v>
      </x:c>
      <x:c r="C1753" t="str">
        <x:v>红薯</x:v>
      </x:c>
      <x:c r="D1753" t="n">
        <x:v>425</x:v>
      </x:c>
      <x:c r="E1753" t="n">
        <x:v>470</x:v>
      </x:c>
      <x:c r="F1753" s="10" t="str">
        <x:v>鲜薯/玉米净重；考虑小幅损耗</x:v>
      </x:c>
      <x:c r="G1753" s="10" t="str">
        <x:v>蒸熟净重</x:v>
      </x:c>
    </x:row>
    <x:row r="1754" ht="23" customHeight="1">
      <x:c r="A1754" t="n">
        <x:v>44</x:v>
      </x:c>
      <x:c r="B1754" t="str">
        <x:v>主食</x:v>
      </x:c>
      <x:c r="C1754" t="str">
        <x:v>荞麦饭</x:v>
      </x:c>
      <x:c r="D1754" t="n">
        <x:v>135</x:v>
      </x:c>
      <x:c r="E1754" t="n">
        <x:v>50</x:v>
      </x:c>
      <x:c r="F1754" s="10" t="str">
        <x:v>未煮干粮约重（按熟饭/生米≈2.6估算）</x:v>
      </x:c>
      <x:c r="G1754" s="10" t="str">
        <x:v>熟重</x:v>
      </x:c>
    </x:row>
    <x:row r="1755" ht="23" customHeight="1">
      <x:c r="A1755" t="n">
        <x:v>44</x:v>
      </x:c>
      <x:c r="B1755" t="str">
        <x:v>油脂</x:v>
      </x:c>
      <x:c r="C1755" t="str">
        <x:v>烹调油</x:v>
      </x:c>
      <x:c r="D1755" t="n">
        <x:v>69</x:v>
      </x:c>
      <x:c r="E1755" t="n">
        <x:v>69</x:v>
      </x:c>
      <x:c r="F1755" s="10" t="str">
        <x:v>食用油；现有库存足够即可</x:v>
      </x:c>
      <x:c r="G1755" s="10" t="str">
        <x:v>实际用油重</x:v>
      </x:c>
    </x:row>
    <x:row r="1756" ht="23" customHeight="1">
      <x:c r="A1756" t="n">
        <x:v>44</x:v>
      </x:c>
      <x:c r="B1756" t="str">
        <x:v>海鲜</x:v>
      </x:c>
      <x:c r="C1756" t="str">
        <x:v>扇贝肉</x:v>
      </x:c>
      <x:c r="D1756" t="n">
        <x:v>190</x:v>
      </x:c>
      <x:c r="E1756" t="n">
        <x:v>210</x:v>
      </x:c>
      <x:c r="F1756" s="10" t="str">
        <x:v>食材净重+约8%余量；带壳或带骨采购需另折算</x:v>
      </x:c>
      <x:c r="G1756" s="10" t="str">
        <x:v>生重</x:v>
      </x:c>
    </x:row>
    <x:row r="1757" ht="23" customHeight="1">
      <x:c r="A1757" t="n">
        <x:v>44</x:v>
      </x:c>
      <x:c r="B1757" t="str">
        <x:v>海鲜</x:v>
      </x:c>
      <x:c r="C1757" t="str">
        <x:v>花蛤肉</x:v>
      </x:c>
      <x:c r="D1757" t="n">
        <x:v>210</x:v>
      </x:c>
      <x:c r="E1757" t="n">
        <x:v>230</x:v>
      </x:c>
      <x:c r="F1757" s="10" t="str">
        <x:v>食材净重+约8%余量；带壳或带骨采购需另折算</x:v>
      </x:c>
      <x:c r="G1757" s="10" t="str">
        <x:v>净肉生重</x:v>
      </x:c>
    </x:row>
    <x:row r="1758" ht="23" customHeight="1">
      <x:c r="A1758" t="n">
        <x:v>44</x:v>
      </x:c>
      <x:c r="B1758" t="str">
        <x:v>海鲜</x:v>
      </x:c>
      <x:c r="C1758" t="str">
        <x:v>虾仁</x:v>
      </x:c>
      <x:c r="D1758" t="n">
        <x:v>160</x:v>
      </x:c>
      <x:c r="E1758" t="n">
        <x:v>170</x:v>
      </x:c>
      <x:c r="F1758" s="10" t="str">
        <x:v>食材净重+约8%余量</x:v>
      </x:c>
      <x:c r="G1758" s="10" t="str">
        <x:v>生重</x:v>
      </x:c>
    </x:row>
    <x:row r="1759" ht="23" customHeight="1">
      <x:c r="A1759" t="n">
        <x:v>44</x:v>
      </x:c>
      <x:c r="B1759" t="str">
        <x:v>海鲜</x:v>
      </x:c>
      <x:c r="C1759" t="str">
        <x:v>鱿鱼</x:v>
      </x:c>
      <x:c r="D1759" t="n">
        <x:v>160</x:v>
      </x:c>
      <x:c r="E1759" t="n">
        <x:v>170</x:v>
      </x:c>
      <x:c r="F1759" s="10" t="str">
        <x:v>食材净重+约8%余量</x:v>
      </x:c>
      <x:c r="G1759" s="10" t="str">
        <x:v>生重</x:v>
      </x:c>
    </x:row>
    <x:row r="1760" ht="23" customHeight="1">
      <x:c r="A1760" t="n">
        <x:v>44</x:v>
      </x:c>
      <x:c r="B1760" t="str">
        <x:v>牛肉</x:v>
      </x:c>
      <x:c r="C1760" t="str">
        <x:v>瘦牛肉</x:v>
      </x:c>
      <x:c r="D1760" t="n">
        <x:v>160</x:v>
      </x:c>
      <x:c r="E1760" t="n">
        <x:v>170</x:v>
      </x:c>
      <x:c r="F1760" s="10" t="str">
        <x:v>食材净重+约8%余量</x:v>
      </x:c>
      <x:c r="G1760" s="10" t="str">
        <x:v>生重</x:v>
      </x:c>
    </x:row>
    <x:row r="1761" ht="23" customHeight="1">
      <x:c r="A1761" t="n">
        <x:v>44</x:v>
      </x:c>
      <x:c r="B1761" t="str">
        <x:v>禽肉</x:v>
      </x:c>
      <x:c r="C1761" t="str">
        <x:v>去皮鸡腿肉</x:v>
      </x:c>
      <x:c r="D1761" t="n">
        <x:v>175</x:v>
      </x:c>
      <x:c r="E1761" t="n">
        <x:v>190</x:v>
      </x:c>
      <x:c r="F1761" s="10" t="str">
        <x:v>食材净重+约8%余量</x:v>
      </x:c>
      <x:c r="G1761" s="10" t="str">
        <x:v>生重</x:v>
      </x:c>
    </x:row>
    <x:row r="1762" ht="23" customHeight="1">
      <x:c r="A1762" t="n">
        <x:v>44</x:v>
      </x:c>
      <x:c r="B1762" t="str">
        <x:v>禽肉</x:v>
      </x:c>
      <x:c r="C1762" t="str">
        <x:v>鸡胸肉</x:v>
      </x:c>
      <x:c r="D1762" t="n">
        <x:v>185</x:v>
      </x:c>
      <x:c r="E1762" t="n">
        <x:v>200</x:v>
      </x:c>
      <x:c r="F1762" s="10" t="str">
        <x:v>食材净重+约8%余量</x:v>
      </x:c>
      <x:c r="G1762" s="10" t="str">
        <x:v>生重</x:v>
      </x:c>
    </x:row>
    <x:row r="1763" ht="23" customHeight="1">
      <x:c r="A1763" t="n">
        <x:v>44</x:v>
      </x:c>
      <x:c r="B1763" t="str">
        <x:v>菌菇</x:v>
      </x:c>
      <x:c r="C1763" t="str">
        <x:v>口蘑</x:v>
      </x:c>
      <x:c r="D1763" t="n">
        <x:v>685</x:v>
      </x:c>
      <x:c r="E1763" t="n">
        <x:v>740</x:v>
      </x:c>
      <x:c r="F1763" s="10" t="str">
        <x:v>食材净重+约8%余量</x:v>
      </x:c>
      <x:c r="G1763" s="10" t="str">
        <x:v>生重</x:v>
      </x:c>
    </x:row>
    <x:row r="1764" ht="23" customHeight="1">
      <x:c r="A1764" t="n">
        <x:v>44</x:v>
      </x:c>
      <x:c r="B1764" t="str">
        <x:v>菌菇</x:v>
      </x:c>
      <x:c r="C1764" t="str">
        <x:v>杏鲍菇</x:v>
      </x:c>
      <x:c r="D1764" t="n">
        <x:v>155</x:v>
      </x:c>
      <x:c r="E1764" t="n">
        <x:v>170</x:v>
      </x:c>
      <x:c r="F1764" s="10" t="str">
        <x:v>食材净重+约8%余量</x:v>
      </x:c>
      <x:c r="G1764" s="10" t="str">
        <x:v>生重</x:v>
      </x:c>
    </x:row>
    <x:row r="1765" ht="23" customHeight="1">
      <x:c r="A1765" t="n">
        <x:v>44</x:v>
      </x:c>
      <x:c r="B1765" t="str">
        <x:v>蔬菜</x:v>
      </x:c>
      <x:c r="C1765" t="str">
        <x:v>丝瓜</x:v>
      </x:c>
      <x:c r="D1765" t="n">
        <x:v>250</x:v>
      </x:c>
      <x:c r="E1765" t="n">
        <x:v>270</x:v>
      </x:c>
      <x:c r="F1765" s="10" t="str">
        <x:v>食材净重+约8%余量</x:v>
      </x:c>
      <x:c r="G1765" s="10" t="str">
        <x:v>生重</x:v>
      </x:c>
    </x:row>
    <x:row r="1766" ht="23" customHeight="1">
      <x:c r="A1766" t="n">
        <x:v>44</x:v>
      </x:c>
      <x:c r="B1766" t="str">
        <x:v>蔬菜</x:v>
      </x:c>
      <x:c r="C1766" t="str">
        <x:v>冬瓜</x:v>
      </x:c>
      <x:c r="D1766" t="n">
        <x:v>410</x:v>
      </x:c>
      <x:c r="E1766" t="n">
        <x:v>440</x:v>
      </x:c>
      <x:c r="F1766" s="10" t="str">
        <x:v>食材净重+约8%余量</x:v>
      </x:c>
      <x:c r="G1766" s="10" t="str">
        <x:v>生重</x:v>
      </x:c>
    </x:row>
    <x:row r="1767" ht="23" customHeight="1">
      <x:c r="A1767" t="n">
        <x:v>44</x:v>
      </x:c>
      <x:c r="B1767" t="str">
        <x:v>蔬菜</x:v>
      </x:c>
      <x:c r="C1767" t="str">
        <x:v>小白菜</x:v>
      </x:c>
      <x:c r="D1767" t="n">
        <x:v>140</x:v>
      </x:c>
      <x:c r="E1767" t="n">
        <x:v>150</x:v>
      </x:c>
      <x:c r="F1767" s="10" t="str">
        <x:v>食材净重+约8%余量</x:v>
      </x:c>
      <x:c r="G1767" s="10" t="str">
        <x:v>生重</x:v>
      </x:c>
    </x:row>
    <x:row r="1768" ht="23" customHeight="1">
      <x:c r="A1768" t="n">
        <x:v>44</x:v>
      </x:c>
      <x:c r="B1768" t="str">
        <x:v>蔬菜</x:v>
      </x:c>
      <x:c r="C1768" t="str">
        <x:v>油麦菜</x:v>
      </x:c>
      <x:c r="D1768" t="n">
        <x:v>190</x:v>
      </x:c>
      <x:c r="E1768" t="n">
        <x:v>210</x:v>
      </x:c>
      <x:c r="F1768" s="10" t="str">
        <x:v>食材净重+约8%余量</x:v>
      </x:c>
      <x:c r="G1768" s="10" t="str">
        <x:v>生重</x:v>
      </x:c>
    </x:row>
    <x:row r="1769" ht="23" customHeight="1">
      <x:c r="A1769" t="n">
        <x:v>44</x:v>
      </x:c>
      <x:c r="B1769" t="str">
        <x:v>蔬菜</x:v>
      </x:c>
      <x:c r="C1769" t="str">
        <x:v>玉米笋</x:v>
      </x:c>
      <x:c r="D1769" t="n">
        <x:v>280</x:v>
      </x:c>
      <x:c r="E1769" t="n">
        <x:v>300</x:v>
      </x:c>
      <x:c r="F1769" s="10" t="str">
        <x:v>食材净重+约8%余量</x:v>
      </x:c>
      <x:c r="G1769" s="10" t="str">
        <x:v>生重</x:v>
      </x:c>
    </x:row>
    <x:row r="1770" ht="23" customHeight="1">
      <x:c r="A1770" t="n">
        <x:v>44</x:v>
      </x:c>
      <x:c r="B1770" t="str">
        <x:v>蔬菜</x:v>
      </x:c>
      <x:c r="C1770" t="str">
        <x:v>生菜</x:v>
      </x:c>
      <x:c r="D1770" t="n">
        <x:v>160</x:v>
      </x:c>
      <x:c r="E1770" t="n">
        <x:v>170</x:v>
      </x:c>
      <x:c r="F1770" s="10" t="str">
        <x:v>食材净重+约8%余量</x:v>
      </x:c>
      <x:c r="G1770" s="10" t="str">
        <x:v>生重</x:v>
      </x:c>
    </x:row>
    <x:row r="1771" ht="23" customHeight="1">
      <x:c r="A1771" t="n">
        <x:v>44</x:v>
      </x:c>
      <x:c r="B1771" t="str">
        <x:v>蔬菜</x:v>
      </x:c>
      <x:c r="C1771" t="str">
        <x:v>竹笋</x:v>
      </x:c>
      <x:c r="D1771" t="n">
        <x:v>350</x:v>
      </x:c>
      <x:c r="E1771" t="n">
        <x:v>380</x:v>
      </x:c>
      <x:c r="F1771" s="10" t="str">
        <x:v>食材净重+约8%余量</x:v>
      </x:c>
      <x:c r="G1771" s="10" t="str">
        <x:v>生重</x:v>
      </x:c>
    </x:row>
    <x:row r="1772" ht="23" customHeight="1">
      <x:c r="A1772" t="n">
        <x:v>44</x:v>
      </x:c>
      <x:c r="B1772" t="str">
        <x:v>蔬菜</x:v>
      </x:c>
      <x:c r="C1772" t="str">
        <x:v>绿豆芽</x:v>
      </x:c>
      <x:c r="D1772" t="n">
        <x:v>155</x:v>
      </x:c>
      <x:c r="E1772" t="n">
        <x:v>170</x:v>
      </x:c>
      <x:c r="F1772" s="10" t="str">
        <x:v>食材净重+约8%余量</x:v>
      </x:c>
      <x:c r="G1772" s="10" t="str">
        <x:v>生重</x:v>
      </x:c>
    </x:row>
    <x:row r="1773" ht="23" customHeight="1">
      <x:c r="A1773" t="n">
        <x:v>44</x:v>
      </x:c>
      <x:c r="B1773" t="str">
        <x:v>蔬菜</x:v>
      </x:c>
      <x:c r="C1773" t="str">
        <x:v>胡萝卜</x:v>
      </x:c>
      <x:c r="D1773" t="n">
        <x:v>110</x:v>
      </x:c>
      <x:c r="E1773" t="n">
        <x:v>120</x:v>
      </x:c>
      <x:c r="F1773" s="10" t="str">
        <x:v>食材净重+约8%余量</x:v>
      </x:c>
      <x:c r="G1773" s="10" t="str">
        <x:v>生重</x:v>
      </x:c>
    </x:row>
    <x:row r="1774" ht="23" customHeight="1">
      <x:c r="A1774" t="n">
        <x:v>44</x:v>
      </x:c>
      <x:c r="B1774" t="str">
        <x:v>蔬菜</x:v>
      </x:c>
      <x:c r="C1774" t="str">
        <x:v>芦笋</x:v>
      </x:c>
      <x:c r="D1774" t="n">
        <x:v>330</x:v>
      </x:c>
      <x:c r="E1774" t="n">
        <x:v>360</x:v>
      </x:c>
      <x:c r="F1774" s="10" t="str">
        <x:v>食材净重+约8%余量</x:v>
      </x:c>
      <x:c r="G1774" s="10" t="str">
        <x:v>生重</x:v>
      </x:c>
    </x:row>
    <x:row r="1775" ht="23" customHeight="1">
      <x:c r="A1775" t="n">
        <x:v>44</x:v>
      </x:c>
      <x:c r="B1775" t="str">
        <x:v>蔬菜</x:v>
      </x:c>
      <x:c r="C1775" t="str">
        <x:v>苦瓜</x:v>
      </x:c>
      <x:c r="D1775" t="n">
        <x:v>190</x:v>
      </x:c>
      <x:c r="E1775" t="n">
        <x:v>210</x:v>
      </x:c>
      <x:c r="F1775" s="10" t="str">
        <x:v>食材净重+约8%余量</x:v>
      </x:c>
      <x:c r="G1775" s="10" t="str">
        <x:v>生重</x:v>
      </x:c>
    </x:row>
    <x:row r="1776" ht="23" customHeight="1">
      <x:c r="A1776" t="n">
        <x:v>44</x:v>
      </x:c>
      <x:c r="B1776" t="str">
        <x:v>蔬菜</x:v>
      </x:c>
      <x:c r="C1776" t="str">
        <x:v>茼蒿</x:v>
      </x:c>
      <x:c r="D1776" t="n">
        <x:v>160</x:v>
      </x:c>
      <x:c r="E1776" t="n">
        <x:v>170</x:v>
      </x:c>
      <x:c r="F1776" s="10" t="str">
        <x:v>食材净重+约8%余量</x:v>
      </x:c>
      <x:c r="G1776" s="10" t="str">
        <x:v>生重</x:v>
      </x:c>
    </x:row>
    <x:row r="1777" ht="23" customHeight="1">
      <x:c r="A1777" t="n">
        <x:v>44</x:v>
      </x:c>
      <x:c r="B1777" t="str">
        <x:v>蔬菜</x:v>
      </x:c>
      <x:c r="C1777" t="str">
        <x:v>莴笋</x:v>
      </x:c>
      <x:c r="D1777" t="n">
        <x:v>175</x:v>
      </x:c>
      <x:c r="E1777" t="n">
        <x:v>190</x:v>
      </x:c>
      <x:c r="F1777" s="10" t="str">
        <x:v>食材净重+约8%余量</x:v>
      </x:c>
      <x:c r="G1777" s="10" t="str">
        <x:v>生重</x:v>
      </x:c>
    </x:row>
    <x:row r="1778" ht="23" customHeight="1">
      <x:c r="A1778" t="n">
        <x:v>44</x:v>
      </x:c>
      <x:c r="B1778" t="str">
        <x:v>蔬菜</x:v>
      </x:c>
      <x:c r="C1778" t="str">
        <x:v>西兰花</x:v>
      </x:c>
      <x:c r="D1778" t="n">
        <x:v>330</x:v>
      </x:c>
      <x:c r="E1778" t="n">
        <x:v>360</x:v>
      </x:c>
      <x:c r="F1778" s="10" t="str">
        <x:v>食材净重+约8%余量</x:v>
      </x:c>
      <x:c r="G1778" s="10" t="str">
        <x:v>生重</x:v>
      </x:c>
    </x:row>
    <x:row r="1779" ht="23" customHeight="1">
      <x:c r="A1779" t="n">
        <x:v>44</x:v>
      </x:c>
      <x:c r="B1779" t="str">
        <x:v>蔬菜</x:v>
      </x:c>
      <x:c r="C1779" t="str">
        <x:v>黄瓜</x:v>
      </x:c>
      <x:c r="D1779" t="n">
        <x:v>175</x:v>
      </x:c>
      <x:c r="E1779" t="n">
        <x:v>190</x:v>
      </x:c>
      <x:c r="F1779" s="10" t="str">
        <x:v>食材净重+约8%余量</x:v>
      </x:c>
      <x:c r="G1779" s="10" t="str">
        <x:v>生重</x:v>
      </x:c>
    </x:row>
    <x:row r="1780" ht="23" customHeight="1">
      <x:c r="A1780" t="n">
        <x:v>44</x:v>
      </x:c>
      <x:c r="B1780" t="str">
        <x:v>豆蛋</x:v>
      </x:c>
      <x:c r="C1780" t="str">
        <x:v>北豆腐</x:v>
      </x:c>
      <x:c r="D1780" t="n">
        <x:v>1040</x:v>
      </x:c>
      <x:c r="E1780" t="n">
        <x:v>1120</x:v>
      </x:c>
      <x:c r="F1780" s="10" t="str">
        <x:v>食材净重+约8%余量</x:v>
      </x:c>
      <x:c r="G1780" s="10" t="str">
        <x:v>净重</x:v>
      </x:c>
    </x:row>
    <x:row r="1781" ht="23" customHeight="1">
      <x:c r="A1781" t="n">
        <x:v>44</x:v>
      </x:c>
      <x:c r="B1781" t="str">
        <x:v>豆蛋</x:v>
      </x:c>
      <x:c r="C1781" t="str">
        <x:v>嫩豆腐</x:v>
      </x:c>
      <x:c r="D1781" t="n">
        <x:v>240</x:v>
      </x:c>
      <x:c r="E1781" t="n">
        <x:v>260</x:v>
      </x:c>
      <x:c r="F1781" s="10" t="str">
        <x:v>食材净重+约8%余量</x:v>
      </x:c>
      <x:c r="G1781" s="10" t="str">
        <x:v>净重</x:v>
      </x:c>
    </x:row>
    <x:row r="1782" ht="23" customHeight="1">
      <x:c r="A1782" t="n">
        <x:v>44</x:v>
      </x:c>
      <x:c r="B1782" t="str">
        <x:v>豆蛋</x:v>
      </x:c>
      <x:c r="C1782" t="str">
        <x:v>熟毛豆仁</x:v>
      </x:c>
      <x:c r="D1782" t="n">
        <x:v>220</x:v>
      </x:c>
      <x:c r="E1782" t="n">
        <x:v>240</x:v>
      </x:c>
      <x:c r="F1782" s="10" t="str">
        <x:v>食材净重+约8%余量</x:v>
      </x:c>
      <x:c r="G1782" s="10" t="str">
        <x:v>熟重</x:v>
      </x:c>
    </x:row>
    <x:row r="1783" ht="23" customHeight="1">
      <x:c r="A1783" t="n">
        <x:v>44</x:v>
      </x:c>
      <x:c r="B1783" t="str">
        <x:v>豆蛋</x:v>
      </x:c>
      <x:c r="C1783" t="str">
        <x:v>鸡蛋</x:v>
      </x:c>
      <x:c r="D1783" t="n">
        <x:v>230</x:v>
      </x:c>
      <x:c r="E1783" t="n">
        <x:v>250</x:v>
      </x:c>
      <x:c r="F1783" s="10" t="str">
        <x:v>食材净重+约8%余量</x:v>
      </x:c>
      <x:c r="G1783" s="10" t="str">
        <x:v>去壳可食重</x:v>
      </x:c>
    </x:row>
    <x:row r="1784" ht="23" customHeight="1">
      <x:c r="A1784" t="n">
        <x:v>44</x:v>
      </x:c>
      <x:c r="B1784" t="str">
        <x:v>鱼类</x:v>
      </x:c>
      <x:c r="C1784" t="str">
        <x:v>鲈鱼</x:v>
      </x:c>
      <x:c r="D1784" t="n">
        <x:v>400</x:v>
      </x:c>
      <x:c r="E1784" t="n">
        <x:v>430</x:v>
      </x:c>
      <x:c r="F1784" s="10" t="str">
        <x:v>食材净重+约8%余量；带壳或带骨采购需另折算</x:v>
      </x:c>
      <x:c r="G1784" s="10" t="str">
        <x:v>净鱼肉生重</x:v>
      </x:c>
    </x:row>
    <x:row r="1785" ht="23" customHeight="1">
      <x:c r="A1785" t="n">
        <x:v>45</x:v>
      </x:c>
      <x:c r="B1785" t="str">
        <x:v>主食</x:v>
      </x:c>
      <x:c r="C1785" t="str">
        <x:v>杂粮饭</x:v>
      </x:c>
      <x:c r="D1785" t="n">
        <x:v>135</x:v>
      </x:c>
      <x:c r="E1785" t="n">
        <x:v>50</x:v>
      </x:c>
      <x:c r="F1785" s="10" t="str">
        <x:v>未煮干粮约重（按熟饭/生米≈2.6估算）</x:v>
      </x:c>
      <x:c r="G1785" s="10" t="str">
        <x:v>熟重</x:v>
      </x:c>
    </x:row>
    <x:row r="1786" ht="23" customHeight="1">
      <x:c r="A1786" t="n">
        <x:v>45</x:v>
      </x:c>
      <x:c r="B1786" t="str">
        <x:v>主食</x:v>
      </x:c>
      <x:c r="C1786" t="str">
        <x:v>燕麦饭</x:v>
      </x:c>
      <x:c r="D1786" t="n">
        <x:v>260</x:v>
      </x:c>
      <x:c r="E1786" t="n">
        <x:v>100</x:v>
      </x:c>
      <x:c r="F1786" s="10" t="str">
        <x:v>未煮干粮约重（按熟饭/生米≈2.6估算）</x:v>
      </x:c>
      <x:c r="G1786" s="10" t="str">
        <x:v>熟重</x:v>
      </x:c>
    </x:row>
    <x:row r="1787" ht="23" customHeight="1">
      <x:c r="A1787" t="n">
        <x:v>45</x:v>
      </x:c>
      <x:c r="B1787" t="str">
        <x:v>主食</x:v>
      </x:c>
      <x:c r="C1787" t="str">
        <x:v>米粉</x:v>
      </x:c>
      <x:c r="D1787" t="n">
        <x:v>220</x:v>
      </x:c>
      <x:c r="E1787" t="n">
        <x:v>100</x:v>
      </x:c>
      <x:c r="F1787" s="10" t="str">
        <x:v>干粮约重（按熟面/干面≈2.1估算）</x:v>
      </x:c>
      <x:c r="G1787" s="10" t="str">
        <x:v>煮熟沥水重</x:v>
      </x:c>
    </x:row>
    <x:row r="1788" ht="23" customHeight="1">
      <x:c r="A1788" t="n">
        <x:v>45</x:v>
      </x:c>
      <x:c r="B1788" t="str">
        <x:v>主食</x:v>
      </x:c>
      <x:c r="C1788" t="str">
        <x:v>糙米饭</x:v>
      </x:c>
      <x:c r="D1788" t="n">
        <x:v>590</x:v>
      </x:c>
      <x:c r="E1788" t="n">
        <x:v>230</x:v>
      </x:c>
      <x:c r="F1788" s="10" t="str">
        <x:v>未煮干粮约重（按熟饭/生米≈2.6估算）</x:v>
      </x:c>
      <x:c r="G1788" s="10" t="str">
        <x:v>熟重</x:v>
      </x:c>
    </x:row>
    <x:row r="1789" ht="23" customHeight="1">
      <x:c r="A1789" t="n">
        <x:v>45</x:v>
      </x:c>
      <x:c r="B1789" t="str">
        <x:v>主食</x:v>
      </x:c>
      <x:c r="C1789" t="str">
        <x:v>荞麦饭</x:v>
      </x:c>
      <x:c r="D1789" t="n">
        <x:v>125</x:v>
      </x:c>
      <x:c r="E1789" t="n">
        <x:v>50</x:v>
      </x:c>
      <x:c r="F1789" s="10" t="str">
        <x:v>未煮干粮约重（按熟饭/生米≈2.6估算）</x:v>
      </x:c>
      <x:c r="G1789" s="10" t="str">
        <x:v>熟重</x:v>
      </x:c>
    </x:row>
    <x:row r="1790" ht="23" customHeight="1">
      <x:c r="A1790" t="n">
        <x:v>45</x:v>
      </x:c>
      <x:c r="B1790" t="str">
        <x:v>主食</x:v>
      </x:c>
      <x:c r="C1790" t="str">
        <x:v>藜麦饭</x:v>
      </x:c>
      <x:c r="D1790" t="n">
        <x:v>270</x:v>
      </x:c>
      <x:c r="E1790" t="n">
        <x:v>100</x:v>
      </x:c>
      <x:c r="F1790" s="10" t="str">
        <x:v>未煮干粮约重（按熟饭/生米≈2.6估算）</x:v>
      </x:c>
      <x:c r="G1790" s="10" t="str">
        <x:v>熟重</x:v>
      </x:c>
    </x:row>
    <x:row r="1791" ht="23" customHeight="1">
      <x:c r="A1791" t="n">
        <x:v>45</x:v>
      </x:c>
      <x:c r="B1791" t="str">
        <x:v>油脂</x:v>
      </x:c>
      <x:c r="C1791" t="str">
        <x:v>烹调油</x:v>
      </x:c>
      <x:c r="D1791" t="n">
        <x:v>69</x:v>
      </x:c>
      <x:c r="E1791" t="n">
        <x:v>69</x:v>
      </x:c>
      <x:c r="F1791" s="10" t="str">
        <x:v>食用油；现有库存足够即可</x:v>
      </x:c>
      <x:c r="G1791" s="10" t="str">
        <x:v>实际用油重</x:v>
      </x:c>
    </x:row>
    <x:row r="1792" ht="23" customHeight="1">
      <x:c r="A1792" t="n">
        <x:v>45</x:v>
      </x:c>
      <x:c r="B1792" t="str">
        <x:v>海鲜</x:v>
      </x:c>
      <x:c r="C1792" t="str">
        <x:v>扇贝肉</x:v>
      </x:c>
      <x:c r="D1792" t="n">
        <x:v>210</x:v>
      </x:c>
      <x:c r="E1792" t="n">
        <x:v>230</x:v>
      </x:c>
      <x:c r="F1792" s="10" t="str">
        <x:v>食材净重+约8%余量；带壳或带骨采购需另折算</x:v>
      </x:c>
      <x:c r="G1792" s="10" t="str">
        <x:v>生重</x:v>
      </x:c>
    </x:row>
    <x:row r="1793" ht="23" customHeight="1">
      <x:c r="A1793" t="n">
        <x:v>45</x:v>
      </x:c>
      <x:c r="B1793" t="str">
        <x:v>海鲜</x:v>
      </x:c>
      <x:c r="C1793" t="str">
        <x:v>花蛤肉</x:v>
      </x:c>
      <x:c r="D1793" t="n">
        <x:v>190</x:v>
      </x:c>
      <x:c r="E1793" t="n">
        <x:v>210</x:v>
      </x:c>
      <x:c r="F1793" s="10" t="str">
        <x:v>食材净重+约8%余量；带壳或带骨采购需另折算</x:v>
      </x:c>
      <x:c r="G1793" s="10" t="str">
        <x:v>净肉生重</x:v>
      </x:c>
    </x:row>
    <x:row r="1794" ht="23" customHeight="1">
      <x:c r="A1794" t="n">
        <x:v>45</x:v>
      </x:c>
      <x:c r="B1794" t="str">
        <x:v>海鲜</x:v>
      </x:c>
      <x:c r="C1794" t="str">
        <x:v>虾仁</x:v>
      </x:c>
      <x:c r="D1794" t="n">
        <x:v>415</x:v>
      </x:c>
      <x:c r="E1794" t="n">
        <x:v>450</x:v>
      </x:c>
      <x:c r="F1794" s="10" t="str">
        <x:v>食材净重+约8%余量</x:v>
      </x:c>
      <x:c r="G1794" s="10" t="str">
        <x:v>生重</x:v>
      </x:c>
    </x:row>
    <x:row r="1795" ht="23" customHeight="1">
      <x:c r="A1795" t="n">
        <x:v>45</x:v>
      </x:c>
      <x:c r="B1795" t="str">
        <x:v>牛肉</x:v>
      </x:c>
      <x:c r="C1795" t="str">
        <x:v>牛里脊</x:v>
      </x:c>
      <x:c r="D1795" t="n">
        <x:v>175</x:v>
      </x:c>
      <x:c r="E1795" t="n">
        <x:v>190</x:v>
      </x:c>
      <x:c r="F1795" s="10" t="str">
        <x:v>食材净重+约8%余量</x:v>
      </x:c>
      <x:c r="G1795" s="10" t="str">
        <x:v>生重</x:v>
      </x:c>
    </x:row>
    <x:row r="1796" ht="23" customHeight="1">
      <x:c r="A1796" t="n">
        <x:v>45</x:v>
      </x:c>
      <x:c r="B1796" t="str">
        <x:v>牛肉</x:v>
      </x:c>
      <x:c r="C1796" t="str">
        <x:v>瘦牛肉</x:v>
      </x:c>
      <x:c r="D1796" t="n">
        <x:v>185</x:v>
      </x:c>
      <x:c r="E1796" t="n">
        <x:v>200</x:v>
      </x:c>
      <x:c r="F1796" s="10" t="str">
        <x:v>食材净重+约8%余量</x:v>
      </x:c>
      <x:c r="G1796" s="10" t="str">
        <x:v>生重</x:v>
      </x:c>
    </x:row>
    <x:row r="1797" ht="23" customHeight="1">
      <x:c r="A1797" t="n">
        <x:v>45</x:v>
      </x:c>
      <x:c r="B1797" t="str">
        <x:v>禽肉</x:v>
      </x:c>
      <x:c r="C1797" t="str">
        <x:v>去皮鸭胸肉</x:v>
      </x:c>
      <x:c r="D1797" t="n">
        <x:v>145</x:v>
      </x:c>
      <x:c r="E1797" t="n">
        <x:v>160</x:v>
      </x:c>
      <x:c r="F1797" s="10" t="str">
        <x:v>食材净重+约8%余量</x:v>
      </x:c>
      <x:c r="G1797" s="10" t="str">
        <x:v>生重</x:v>
      </x:c>
    </x:row>
    <x:row r="1798" ht="23" customHeight="1">
      <x:c r="A1798" t="n">
        <x:v>45</x:v>
      </x:c>
      <x:c r="B1798" t="str">
        <x:v>禽肉</x:v>
      </x:c>
      <x:c r="C1798" t="str">
        <x:v>鸡里脊肉</x:v>
      </x:c>
      <x:c r="D1798" t="n">
        <x:v>165</x:v>
      </x:c>
      <x:c r="E1798" t="n">
        <x:v>180</x:v>
      </x:c>
      <x:c r="F1798" s="10" t="str">
        <x:v>食材净重+约8%余量</x:v>
      </x:c>
      <x:c r="G1798" s="10" t="str">
        <x:v>生重</x:v>
      </x:c>
    </x:row>
    <x:row r="1799" ht="23" customHeight="1">
      <x:c r="A1799" t="n">
        <x:v>45</x:v>
      </x:c>
      <x:c r="B1799" t="str">
        <x:v>菌菇</x:v>
      </x:c>
      <x:c r="C1799" t="str">
        <x:v>口蘑</x:v>
      </x:c>
      <x:c r="D1799" t="n">
        <x:v>280</x:v>
      </x:c>
      <x:c r="E1799" t="n">
        <x:v>300</x:v>
      </x:c>
      <x:c r="F1799" s="10" t="str">
        <x:v>食材净重+约8%余量</x:v>
      </x:c>
      <x:c r="G1799" s="10" t="str">
        <x:v>生重</x:v>
      </x:c>
    </x:row>
    <x:row r="1800" ht="23" customHeight="1">
      <x:c r="A1800" t="n">
        <x:v>45</x:v>
      </x:c>
      <x:c r="B1800" t="str">
        <x:v>菌菇</x:v>
      </x:c>
      <x:c r="C1800" t="str">
        <x:v>杏鲍菇</x:v>
      </x:c>
      <x:c r="D1800" t="n">
        <x:v>110</x:v>
      </x:c>
      <x:c r="E1800" t="n">
        <x:v>120</x:v>
      </x:c>
      <x:c r="F1800" s="10" t="str">
        <x:v>食材净重+约8%余量</x:v>
      </x:c>
      <x:c r="G1800" s="10" t="str">
        <x:v>生重</x:v>
      </x:c>
    </x:row>
    <x:row r="1801" ht="23" customHeight="1">
      <x:c r="A1801" t="n">
        <x:v>45</x:v>
      </x:c>
      <x:c r="B1801" t="str">
        <x:v>菌菇</x:v>
      </x:c>
      <x:c r="C1801" t="str">
        <x:v>金针菇</x:v>
      </x:c>
      <x:c r="D1801" t="n">
        <x:v>235</x:v>
      </x:c>
      <x:c r="E1801" t="n">
        <x:v>250</x:v>
      </x:c>
      <x:c r="F1801" s="10" t="str">
        <x:v>食材净重+约8%余量</x:v>
      </x:c>
      <x:c r="G1801" s="10" t="str">
        <x:v>生重</x:v>
      </x:c>
    </x:row>
    <x:row r="1802" ht="23" customHeight="1">
      <x:c r="A1802" t="n">
        <x:v>45</x:v>
      </x:c>
      <x:c r="B1802" t="str">
        <x:v>菌菇</x:v>
      </x:c>
      <x:c r="C1802" t="str">
        <x:v>香菇</x:v>
      </x:c>
      <x:c r="D1802" t="n">
        <x:v>155</x:v>
      </x:c>
      <x:c r="E1802" t="n">
        <x:v>170</x:v>
      </x:c>
      <x:c r="F1802" s="10" t="str">
        <x:v>食材净重+约8%余量</x:v>
      </x:c>
      <x:c r="G1802" s="10" t="str">
        <x:v>生重</x:v>
      </x:c>
    </x:row>
    <x:row r="1803" ht="23" customHeight="1">
      <x:c r="A1803" t="n">
        <x:v>45</x:v>
      </x:c>
      <x:c r="B1803" t="str">
        <x:v>蔬菜</x:v>
      </x:c>
      <x:c r="C1803" t="str">
        <x:v>丝瓜</x:v>
      </x:c>
      <x:c r="D1803" t="n">
        <x:v>140</x:v>
      </x:c>
      <x:c r="E1803" t="n">
        <x:v>150</x:v>
      </x:c>
      <x:c r="F1803" s="10" t="str">
        <x:v>食材净重+约8%余量</x:v>
      </x:c>
      <x:c r="G1803" s="10" t="str">
        <x:v>生重</x:v>
      </x:c>
    </x:row>
    <x:row r="1804" ht="23" customHeight="1">
      <x:c r="A1804" t="n">
        <x:v>45</x:v>
      </x:c>
      <x:c r="B1804" t="str">
        <x:v>蔬菜</x:v>
      </x:c>
      <x:c r="C1804" t="str">
        <x:v>冬瓜</x:v>
      </x:c>
      <x:c r="D1804" t="n">
        <x:v>175</x:v>
      </x:c>
      <x:c r="E1804" t="n">
        <x:v>190</x:v>
      </x:c>
      <x:c r="F1804" s="10" t="str">
        <x:v>食材净重+约8%余量</x:v>
      </x:c>
      <x:c r="G1804" s="10" t="str">
        <x:v>生重</x:v>
      </x:c>
    </x:row>
    <x:row r="1805" ht="23" customHeight="1">
      <x:c r="A1805" t="n">
        <x:v>45</x:v>
      </x:c>
      <x:c r="B1805" t="str">
        <x:v>蔬菜</x:v>
      </x:c>
      <x:c r="C1805" t="str">
        <x:v>小白菜</x:v>
      </x:c>
      <x:c r="D1805" t="n">
        <x:v>610</x:v>
      </x:c>
      <x:c r="E1805" t="n">
        <x:v>660</x:v>
      </x:c>
      <x:c r="F1805" s="10" t="str">
        <x:v>食材净重+约8%余量</x:v>
      </x:c>
      <x:c r="G1805" s="10" t="str">
        <x:v>生重</x:v>
      </x:c>
    </x:row>
    <x:row r="1806" ht="23" customHeight="1">
      <x:c r="A1806" t="n">
        <x:v>45</x:v>
      </x:c>
      <x:c r="B1806" t="str">
        <x:v>蔬菜</x:v>
      </x:c>
      <x:c r="C1806" t="str">
        <x:v>洋葱</x:v>
      </x:c>
      <x:c r="D1806" t="n">
        <x:v>125</x:v>
      </x:c>
      <x:c r="E1806" t="n">
        <x:v>140</x:v>
      </x:c>
      <x:c r="F1806" s="10" t="str">
        <x:v>食材净重+约8%余量</x:v>
      </x:c>
      <x:c r="G1806" s="10" t="str">
        <x:v>生重</x:v>
      </x:c>
    </x:row>
    <x:row r="1807" ht="23" customHeight="1">
      <x:c r="A1807" t="n">
        <x:v>45</x:v>
      </x:c>
      <x:c r="B1807" t="str">
        <x:v>蔬菜</x:v>
      </x:c>
      <x:c r="C1807" t="str">
        <x:v>番茄</x:v>
      </x:c>
      <x:c r="D1807" t="n">
        <x:v>490</x:v>
      </x:c>
      <x:c r="E1807" t="n">
        <x:v>530</x:v>
      </x:c>
      <x:c r="F1807" s="10" t="str">
        <x:v>食材净重+约8%余量</x:v>
      </x:c>
      <x:c r="G1807" s="10" t="str">
        <x:v>生重</x:v>
      </x:c>
    </x:row>
    <x:row r="1808" ht="23" customHeight="1">
      <x:c r="A1808" t="n">
        <x:v>45</x:v>
      </x:c>
      <x:c r="B1808" t="str">
        <x:v>蔬菜</x:v>
      </x:c>
      <x:c r="C1808" t="str">
        <x:v>白萝卜</x:v>
      </x:c>
      <x:c r="D1808" t="n">
        <x:v>110</x:v>
      </x:c>
      <x:c r="E1808" t="n">
        <x:v>120</x:v>
      </x:c>
      <x:c r="F1808" s="10" t="str">
        <x:v>食材净重+约8%余量</x:v>
      </x:c>
      <x:c r="G1808" s="10" t="str">
        <x:v>生重</x:v>
      </x:c>
    </x:row>
    <x:row r="1809" ht="23" customHeight="1">
      <x:c r="A1809" t="n">
        <x:v>45</x:v>
      </x:c>
      <x:c r="B1809" t="str">
        <x:v>蔬菜</x:v>
      </x:c>
      <x:c r="C1809" t="str">
        <x:v>绿豆芽</x:v>
      </x:c>
      <x:c r="D1809" t="n">
        <x:v>140</x:v>
      </x:c>
      <x:c r="E1809" t="n">
        <x:v>150</x:v>
      </x:c>
      <x:c r="F1809" s="10" t="str">
        <x:v>食材净重+约8%余量</x:v>
      </x:c>
      <x:c r="G1809" s="10" t="str">
        <x:v>生重</x:v>
      </x:c>
    </x:row>
    <x:row r="1810" ht="23" customHeight="1">
      <x:c r="A1810" t="n">
        <x:v>45</x:v>
      </x:c>
      <x:c r="B1810" t="str">
        <x:v>蔬菜</x:v>
      </x:c>
      <x:c r="C1810" t="str">
        <x:v>胡萝卜</x:v>
      </x:c>
      <x:c r="D1810" t="n">
        <x:v>125</x:v>
      </x:c>
      <x:c r="E1810" t="n">
        <x:v>140</x:v>
      </x:c>
      <x:c r="F1810" s="10" t="str">
        <x:v>食材净重+约8%余量</x:v>
      </x:c>
      <x:c r="G1810" s="10" t="str">
        <x:v>生重</x:v>
      </x:c>
    </x:row>
    <x:row r="1811" ht="23" customHeight="1">
      <x:c r="A1811" t="n">
        <x:v>45</x:v>
      </x:c>
      <x:c r="B1811" t="str">
        <x:v>蔬菜</x:v>
      </x:c>
      <x:c r="C1811" t="str">
        <x:v>芦笋</x:v>
      </x:c>
      <x:c r="D1811" t="n">
        <x:v>155</x:v>
      </x:c>
      <x:c r="E1811" t="n">
        <x:v>170</x:v>
      </x:c>
      <x:c r="F1811" s="10" t="str">
        <x:v>食材净重+约8%余量</x:v>
      </x:c>
      <x:c r="G1811" s="10" t="str">
        <x:v>生重</x:v>
      </x:c>
    </x:row>
    <x:row r="1812" ht="23" customHeight="1">
      <x:c r="A1812" t="n">
        <x:v>45</x:v>
      </x:c>
      <x:c r="B1812" t="str">
        <x:v>蔬菜</x:v>
      </x:c>
      <x:c r="C1812" t="str">
        <x:v>芹菜</x:v>
      </x:c>
      <x:c r="D1812" t="n">
        <x:v>190</x:v>
      </x:c>
      <x:c r="E1812" t="n">
        <x:v>210</x:v>
      </x:c>
      <x:c r="F1812" s="10" t="str">
        <x:v>食材净重+约8%余量</x:v>
      </x:c>
      <x:c r="G1812" s="10" t="str">
        <x:v>生重</x:v>
      </x:c>
    </x:row>
    <x:row r="1813" ht="23" customHeight="1">
      <x:c r="A1813" t="n">
        <x:v>45</x:v>
      </x:c>
      <x:c r="B1813" t="str">
        <x:v>蔬菜</x:v>
      </x:c>
      <x:c r="C1813" t="str">
        <x:v>茼蒿</x:v>
      </x:c>
      <x:c r="D1813" t="n">
        <x:v>190</x:v>
      </x:c>
      <x:c r="E1813" t="n">
        <x:v>210</x:v>
      </x:c>
      <x:c r="F1813" s="10" t="str">
        <x:v>食材净重+约8%余量</x:v>
      </x:c>
      <x:c r="G1813" s="10" t="str">
        <x:v>生重</x:v>
      </x:c>
    </x:row>
    <x:row r="1814" ht="23" customHeight="1">
      <x:c r="A1814" t="n">
        <x:v>45</x:v>
      </x:c>
      <x:c r="B1814" t="str">
        <x:v>蔬菜</x:v>
      </x:c>
      <x:c r="C1814" t="str">
        <x:v>菜心</x:v>
      </x:c>
      <x:c r="D1814" t="n">
        <x:v>125</x:v>
      </x:c>
      <x:c r="E1814" t="n">
        <x:v>140</x:v>
      </x:c>
      <x:c r="F1814" s="10" t="str">
        <x:v>食材净重+约8%余量</x:v>
      </x:c>
      <x:c r="G1814" s="10" t="str">
        <x:v>生重</x:v>
      </x:c>
    </x:row>
    <x:row r="1815" ht="23" customHeight="1">
      <x:c r="A1815" t="n">
        <x:v>45</x:v>
      </x:c>
      <x:c r="B1815" t="str">
        <x:v>蔬菜</x:v>
      </x:c>
      <x:c r="C1815" t="str">
        <x:v>菠菜</x:v>
      </x:c>
      <x:c r="D1815" t="n">
        <x:v>380</x:v>
      </x:c>
      <x:c r="E1815" t="n">
        <x:v>410</x:v>
      </x:c>
      <x:c r="F1815" s="10" t="str">
        <x:v>食材净重+约8%余量</x:v>
      </x:c>
      <x:c r="G1815" s="10" t="str">
        <x:v>生重</x:v>
      </x:c>
    </x:row>
    <x:row r="1816" ht="23" customHeight="1">
      <x:c r="A1816" t="n">
        <x:v>45</x:v>
      </x:c>
      <x:c r="B1816" t="str">
        <x:v>蔬菜</x:v>
      </x:c>
      <x:c r="C1816" t="str">
        <x:v>西葫芦</x:v>
      </x:c>
      <x:c r="D1816" t="n">
        <x:v>160</x:v>
      </x:c>
      <x:c r="E1816" t="n">
        <x:v>170</x:v>
      </x:c>
      <x:c r="F1816" s="10" t="str">
        <x:v>食材净重+约8%余量</x:v>
      </x:c>
      <x:c r="G1816" s="10" t="str">
        <x:v>生重</x:v>
      </x:c>
    </x:row>
    <x:row r="1817" ht="23" customHeight="1">
      <x:c r="A1817" t="n">
        <x:v>45</x:v>
      </x:c>
      <x:c r="B1817" t="str">
        <x:v>蔬菜</x:v>
      </x:c>
      <x:c r="C1817" t="str">
        <x:v>黄瓜</x:v>
      </x:c>
      <x:c r="D1817" t="n">
        <x:v>335</x:v>
      </x:c>
      <x:c r="E1817" t="n">
        <x:v>360</x:v>
      </x:c>
      <x:c r="F1817" s="10" t="str">
        <x:v>食材净重+约8%余量</x:v>
      </x:c>
      <x:c r="G1817" s="10" t="str">
        <x:v>生重</x:v>
      </x:c>
    </x:row>
    <x:row r="1818" ht="23" customHeight="1">
      <x:c r="A1818" t="n">
        <x:v>45</x:v>
      </x:c>
      <x:c r="B1818" t="str">
        <x:v>豆蛋</x:v>
      </x:c>
      <x:c r="C1818" t="str">
        <x:v>北豆腐</x:v>
      </x:c>
      <x:c r="D1818" t="n">
        <x:v>430</x:v>
      </x:c>
      <x:c r="E1818" t="n">
        <x:v>460</x:v>
      </x:c>
      <x:c r="F1818" s="10" t="str">
        <x:v>食材净重+约8%余量</x:v>
      </x:c>
      <x:c r="G1818" s="10" t="str">
        <x:v>净重</x:v>
      </x:c>
    </x:row>
    <x:row r="1819" ht="23" customHeight="1">
      <x:c r="A1819" t="n">
        <x:v>45</x:v>
      </x:c>
      <x:c r="B1819" t="str">
        <x:v>豆蛋</x:v>
      </x:c>
      <x:c r="C1819" t="str">
        <x:v>嫩豆腐</x:v>
      </x:c>
      <x:c r="D1819" t="n">
        <x:v>260</x:v>
      </x:c>
      <x:c r="E1819" t="n">
        <x:v>280</x:v>
      </x:c>
      <x:c r="F1819" s="10" t="str">
        <x:v>食材净重+约8%余量</x:v>
      </x:c>
      <x:c r="G1819" s="10" t="str">
        <x:v>净重</x:v>
      </x:c>
    </x:row>
    <x:row r="1820" ht="23" customHeight="1">
      <x:c r="A1820" t="n">
        <x:v>45</x:v>
      </x:c>
      <x:c r="B1820" t="str">
        <x:v>豆蛋</x:v>
      </x:c>
      <x:c r="C1820" t="str">
        <x:v>熟毛豆仁</x:v>
      </x:c>
      <x:c r="D1820" t="n">
        <x:v>70</x:v>
      </x:c>
      <x:c r="E1820" t="n">
        <x:v>80</x:v>
      </x:c>
      <x:c r="F1820" s="10" t="str">
        <x:v>食材净重+约8%余量</x:v>
      </x:c>
      <x:c r="G1820" s="10" t="str">
        <x:v>熟重</x:v>
      </x:c>
    </x:row>
    <x:row r="1821" ht="23" customHeight="1">
      <x:c r="A1821" t="n">
        <x:v>45</x:v>
      </x:c>
      <x:c r="B1821" t="str">
        <x:v>豆蛋</x:v>
      </x:c>
      <x:c r="C1821" t="str">
        <x:v>鸡蛋</x:v>
      </x:c>
      <x:c r="D1821" t="n">
        <x:v>280</x:v>
      </x:c>
      <x:c r="E1821" t="n">
        <x:v>300</x:v>
      </x:c>
      <x:c r="F1821" s="10" t="str">
        <x:v>食材净重+约8%余量</x:v>
      </x:c>
      <x:c r="G1821" s="10" t="str">
        <x:v>去壳可食重</x:v>
      </x:c>
    </x:row>
    <x:row r="1822" ht="23" customHeight="1">
      <x:c r="A1822" t="n">
        <x:v>45</x:v>
      </x:c>
      <x:c r="B1822" t="str">
        <x:v>鱼类</x:v>
      </x:c>
      <x:c r="C1822" t="str">
        <x:v>鳕鱼</x:v>
      </x:c>
      <x:c r="D1822" t="n">
        <x:v>385</x:v>
      </x:c>
      <x:c r="E1822" t="n">
        <x:v>420</x:v>
      </x:c>
      <x:c r="F1822" s="10" t="str">
        <x:v>食材净重+约8%余量；带壳或带骨采购需另折算</x:v>
      </x:c>
      <x:c r="G1822" s="10" t="str">
        <x:v>净鱼肉生重</x:v>
      </x:c>
    </x:row>
    <x:row r="1823" ht="23" customHeight="1">
      <x:c r="A1823" t="n">
        <x:v>46</x:v>
      </x:c>
      <x:c r="B1823" t="str">
        <x:v>主食</x:v>
      </x:c>
      <x:c r="C1823" t="str">
        <x:v>乌冬面</x:v>
      </x:c>
      <x:c r="D1823" t="n">
        <x:v>190</x:v>
      </x:c>
      <x:c r="E1823" t="n">
        <x:v>90</x:v>
      </x:c>
      <x:c r="F1823" s="10" t="str">
        <x:v>干粮约重（按熟面/干面≈2.1估算）</x:v>
      </x:c>
      <x:c r="G1823" s="10" t="str">
        <x:v>煮熟沥水重</x:v>
      </x:c>
    </x:row>
    <x:row r="1824" ht="23" customHeight="1">
      <x:c r="A1824" t="n">
        <x:v>46</x:v>
      </x:c>
      <x:c r="B1824" t="str">
        <x:v>主食</x:v>
      </x:c>
      <x:c r="C1824" t="str">
        <x:v>土豆</x:v>
      </x:c>
      <x:c r="D1824" t="n">
        <x:v>135</x:v>
      </x:c>
      <x:c r="E1824" t="n">
        <x:v>150</x:v>
      </x:c>
      <x:c r="F1824" s="10" t="str">
        <x:v>鲜薯/玉米净重；考虑小幅损耗</x:v>
      </x:c>
      <x:c r="G1824" s="10" t="str">
        <x:v>蒸熟净重</x:v>
      </x:c>
    </x:row>
    <x:row r="1825" ht="23" customHeight="1">
      <x:c r="A1825" t="n">
        <x:v>46</x:v>
      </x:c>
      <x:c r="B1825" t="str">
        <x:v>主食</x:v>
      </x:c>
      <x:c r="C1825" t="str">
        <x:v>杂粮饭</x:v>
      </x:c>
      <x:c r="D1825" t="n">
        <x:v>285</x:v>
      </x:c>
      <x:c r="E1825" t="n">
        <x:v>110</x:v>
      </x:c>
      <x:c r="F1825" s="10" t="str">
        <x:v>未煮干粮约重（按熟饭/生米≈2.6估算）</x:v>
      </x:c>
      <x:c r="G1825" s="10" t="str">
        <x:v>熟重</x:v>
      </x:c>
    </x:row>
    <x:row r="1826" ht="23" customHeight="1">
      <x:c r="A1826" t="n">
        <x:v>46</x:v>
      </x:c>
      <x:c r="B1826" t="str">
        <x:v>主食</x:v>
      </x:c>
      <x:c r="C1826" t="str">
        <x:v>白米饭</x:v>
      </x:c>
      <x:c r="D1826" t="n">
        <x:v>300</x:v>
      </x:c>
      <x:c r="E1826" t="n">
        <x:v>120</x:v>
      </x:c>
      <x:c r="F1826" s="10" t="str">
        <x:v>未煮干粮约重（按熟饭/生米≈2.6估算）</x:v>
      </x:c>
      <x:c r="G1826" s="10" t="str">
        <x:v>熟重</x:v>
      </x:c>
    </x:row>
    <x:row r="1827" ht="23" customHeight="1">
      <x:c r="A1827" t="n">
        <x:v>46</x:v>
      </x:c>
      <x:c r="B1827" t="str">
        <x:v>主食</x:v>
      </x:c>
      <x:c r="C1827" t="str">
        <x:v>米粉</x:v>
      </x:c>
      <x:c r="D1827" t="n">
        <x:v>380</x:v>
      </x:c>
      <x:c r="E1827" t="n">
        <x:v>180</x:v>
      </x:c>
      <x:c r="F1827" s="10" t="str">
        <x:v>干粮约重（按熟面/干面≈2.1估算）</x:v>
      </x:c>
      <x:c r="G1827" s="10" t="str">
        <x:v>煮熟沥水重</x:v>
      </x:c>
    </x:row>
    <x:row r="1828" ht="23" customHeight="1">
      <x:c r="A1828" t="n">
        <x:v>46</x:v>
      </x:c>
      <x:c r="B1828" t="str">
        <x:v>主食</x:v>
      </x:c>
      <x:c r="C1828" t="str">
        <x:v>糙米饭</x:v>
      </x:c>
      <x:c r="D1828" t="n">
        <x:v>125</x:v>
      </x:c>
      <x:c r="E1828" t="n">
        <x:v>50</x:v>
      </x:c>
      <x:c r="F1828" s="10" t="str">
        <x:v>未煮干粮约重（按熟饭/生米≈2.6估算）</x:v>
      </x:c>
      <x:c r="G1828" s="10" t="str">
        <x:v>熟重</x:v>
      </x:c>
    </x:row>
    <x:row r="1829" ht="23" customHeight="1">
      <x:c r="A1829" t="n">
        <x:v>46</x:v>
      </x:c>
      <x:c r="B1829" t="str">
        <x:v>主食</x:v>
      </x:c>
      <x:c r="C1829" t="str">
        <x:v>红薯</x:v>
      </x:c>
      <x:c r="D1829" t="n">
        <x:v>135</x:v>
      </x:c>
      <x:c r="E1829" t="n">
        <x:v>150</x:v>
      </x:c>
      <x:c r="F1829" s="10" t="str">
        <x:v>鲜薯/玉米净重；考虑小幅损耗</x:v>
      </x:c>
      <x:c r="G1829" s="10" t="str">
        <x:v>蒸熟净重</x:v>
      </x:c>
    </x:row>
    <x:row r="1830" ht="23" customHeight="1">
      <x:c r="A1830" t="n">
        <x:v>46</x:v>
      </x:c>
      <x:c r="B1830" t="str">
        <x:v>主食</x:v>
      </x:c>
      <x:c r="C1830" t="str">
        <x:v>荞麦面</x:v>
      </x:c>
      <x:c r="D1830" t="n">
        <x:v>165</x:v>
      </x:c>
      <x:c r="E1830" t="n">
        <x:v>80</x:v>
      </x:c>
      <x:c r="F1830" s="10" t="str">
        <x:v>干粮约重（按熟面/干面≈2.1估算）</x:v>
      </x:c>
      <x:c r="G1830" s="10" t="str">
        <x:v>煮熟沥水重</x:v>
      </x:c>
    </x:row>
    <x:row r="1831" ht="23" customHeight="1">
      <x:c r="A1831" t="n">
        <x:v>46</x:v>
      </x:c>
      <x:c r="B1831" t="str">
        <x:v>主食</x:v>
      </x:c>
      <x:c r="C1831" t="str">
        <x:v>藜麦饭</x:v>
      </x:c>
      <x:c r="D1831" t="n">
        <x:v>135</x:v>
      </x:c>
      <x:c r="E1831" t="n">
        <x:v>50</x:v>
      </x:c>
      <x:c r="F1831" s="10" t="str">
        <x:v>未煮干粮约重（按熟饭/生米≈2.6估算）</x:v>
      </x:c>
      <x:c r="G1831" s="10" t="str">
        <x:v>熟重</x:v>
      </x:c>
    </x:row>
    <x:row r="1832" ht="23" customHeight="1">
      <x:c r="A1832" t="n">
        <x:v>46</x:v>
      </x:c>
      <x:c r="B1832" t="str">
        <x:v>油脂</x:v>
      </x:c>
      <x:c r="C1832" t="str">
        <x:v>烹调油</x:v>
      </x:c>
      <x:c r="D1832" t="n">
        <x:v>65</x:v>
      </x:c>
      <x:c r="E1832" t="n">
        <x:v>65</x:v>
      </x:c>
      <x:c r="F1832" s="10" t="str">
        <x:v>食用油；现有库存足够即可</x:v>
      </x:c>
      <x:c r="G1832" s="10" t="str">
        <x:v>实际用油重</x:v>
      </x:c>
    </x:row>
    <x:row r="1833" ht="23" customHeight="1">
      <x:c r="A1833" t="n">
        <x:v>46</x:v>
      </x:c>
      <x:c r="B1833" t="str">
        <x:v>海鲜</x:v>
      </x:c>
      <x:c r="C1833" t="str">
        <x:v>花蛤肉</x:v>
      </x:c>
      <x:c r="D1833" t="n">
        <x:v>210</x:v>
      </x:c>
      <x:c r="E1833" t="n">
        <x:v>230</x:v>
      </x:c>
      <x:c r="F1833" s="10" t="str">
        <x:v>食材净重+约8%余量；带壳或带骨采购需另折算</x:v>
      </x:c>
      <x:c r="G1833" s="10" t="str">
        <x:v>净肉生重</x:v>
      </x:c>
    </x:row>
    <x:row r="1834" ht="23" customHeight="1">
      <x:c r="A1834" t="n">
        <x:v>46</x:v>
      </x:c>
      <x:c r="B1834" t="str">
        <x:v>海鲜</x:v>
      </x:c>
      <x:c r="C1834" t="str">
        <x:v>虾仁</x:v>
      </x:c>
      <x:c r="D1834" t="n">
        <x:v>275</x:v>
      </x:c>
      <x:c r="E1834" t="n">
        <x:v>300</x:v>
      </x:c>
      <x:c r="F1834" s="10" t="str">
        <x:v>食材净重+约8%余量</x:v>
      </x:c>
      <x:c r="G1834" s="10" t="str">
        <x:v>生重</x:v>
      </x:c>
    </x:row>
    <x:row r="1835" ht="23" customHeight="1">
      <x:c r="A1835" t="n">
        <x:v>46</x:v>
      </x:c>
      <x:c r="B1835" t="str">
        <x:v>海鲜</x:v>
      </x:c>
      <x:c r="C1835" t="str">
        <x:v>鱿鱼</x:v>
      </x:c>
      <x:c r="D1835" t="n">
        <x:v>175</x:v>
      </x:c>
      <x:c r="E1835" t="n">
        <x:v>190</x:v>
      </x:c>
      <x:c r="F1835" s="10" t="str">
        <x:v>食材净重+约8%余量</x:v>
      </x:c>
      <x:c r="G1835" s="10" t="str">
        <x:v>生重</x:v>
      </x:c>
    </x:row>
    <x:row r="1836" ht="23" customHeight="1">
      <x:c r="A1836" t="n">
        <x:v>46</x:v>
      </x:c>
      <x:c r="B1836" t="str">
        <x:v>牛肉</x:v>
      </x:c>
      <x:c r="C1836" t="str">
        <x:v>牛里脊</x:v>
      </x:c>
      <x:c r="D1836" t="n">
        <x:v>165</x:v>
      </x:c>
      <x:c r="E1836" t="n">
        <x:v>180</x:v>
      </x:c>
      <x:c r="F1836" s="10" t="str">
        <x:v>食材净重+约8%余量</x:v>
      </x:c>
      <x:c r="G1836" s="10" t="str">
        <x:v>生重</x:v>
      </x:c>
    </x:row>
    <x:row r="1837" ht="23" customHeight="1">
      <x:c r="A1837" t="n">
        <x:v>46</x:v>
      </x:c>
      <x:c r="B1837" t="str">
        <x:v>猪肉</x:v>
      </x:c>
      <x:c r="C1837" t="str">
        <x:v>猪瘦肉</x:v>
      </x:c>
      <x:c r="D1837" t="n">
        <x:v>155</x:v>
      </x:c>
      <x:c r="E1837" t="n">
        <x:v>170</x:v>
      </x:c>
      <x:c r="F1837" s="10" t="str">
        <x:v>食材净重+约8%余量</x:v>
      </x:c>
      <x:c r="G1837" s="10" t="str">
        <x:v>生重</x:v>
      </x:c>
    </x:row>
    <x:row r="1838" ht="23" customHeight="1">
      <x:c r="A1838" t="n">
        <x:v>46</x:v>
      </x:c>
      <x:c r="B1838" t="str">
        <x:v>猪肉</x:v>
      </x:c>
      <x:c r="C1838" t="str">
        <x:v>猪里脊</x:v>
      </x:c>
      <x:c r="D1838" t="n">
        <x:v>175</x:v>
      </x:c>
      <x:c r="E1838" t="n">
        <x:v>190</x:v>
      </x:c>
      <x:c r="F1838" s="10" t="str">
        <x:v>食材净重+约8%余量</x:v>
      </x:c>
      <x:c r="G1838" s="10" t="str">
        <x:v>生重</x:v>
      </x:c>
    </x:row>
    <x:row r="1839" ht="23" customHeight="1">
      <x:c r="A1839" t="n">
        <x:v>46</x:v>
      </x:c>
      <x:c r="B1839" t="str">
        <x:v>禽肉</x:v>
      </x:c>
      <x:c r="C1839" t="str">
        <x:v>鸡胸肉</x:v>
      </x:c>
      <x:c r="D1839" t="n">
        <x:v>525</x:v>
      </x:c>
      <x:c r="E1839" t="n">
        <x:v>570</x:v>
      </x:c>
      <x:c r="F1839" s="10" t="str">
        <x:v>食材净重+约8%余量</x:v>
      </x:c>
      <x:c r="G1839" s="10" t="str">
        <x:v>生重</x:v>
      </x:c>
    </x:row>
    <x:row r="1840" ht="23" customHeight="1">
      <x:c r="A1840" t="n">
        <x:v>46</x:v>
      </x:c>
      <x:c r="B1840" t="str">
        <x:v>菌菇</x:v>
      </x:c>
      <x:c r="C1840" t="str">
        <x:v>口蘑</x:v>
      </x:c>
      <x:c r="D1840" t="n">
        <x:v>435</x:v>
      </x:c>
      <x:c r="E1840" t="n">
        <x:v>470</x:v>
      </x:c>
      <x:c r="F1840" s="10" t="str">
        <x:v>食材净重+约8%余量</x:v>
      </x:c>
      <x:c r="G1840" s="10" t="str">
        <x:v>生重</x:v>
      </x:c>
    </x:row>
    <x:row r="1841" ht="23" customHeight="1">
      <x:c r="A1841" t="n">
        <x:v>46</x:v>
      </x:c>
      <x:c r="B1841" t="str">
        <x:v>菌菇</x:v>
      </x:c>
      <x:c r="C1841" t="str">
        <x:v>杏鲍菇</x:v>
      </x:c>
      <x:c r="D1841" t="n">
        <x:v>110</x:v>
      </x:c>
      <x:c r="E1841" t="n">
        <x:v>120</x:v>
      </x:c>
      <x:c r="F1841" s="10" t="str">
        <x:v>食材净重+约8%余量</x:v>
      </x:c>
      <x:c r="G1841" s="10" t="str">
        <x:v>生重</x:v>
      </x:c>
    </x:row>
    <x:row r="1842" ht="23" customHeight="1">
      <x:c r="A1842" t="n">
        <x:v>46</x:v>
      </x:c>
      <x:c r="B1842" t="str">
        <x:v>菌菇</x:v>
      </x:c>
      <x:c r="C1842" t="str">
        <x:v>泡发木耳</x:v>
      </x:c>
      <x:c r="D1842" t="n">
        <x:v>125</x:v>
      </x:c>
      <x:c r="E1842" t="n">
        <x:v>140</x:v>
      </x:c>
      <x:c r="F1842" s="10" t="str">
        <x:v>食材净重+约8%余量</x:v>
      </x:c>
      <x:c r="G1842" s="10" t="str">
        <x:v>泡发沥水重</x:v>
      </x:c>
    </x:row>
    <x:row r="1843" ht="23" customHeight="1">
      <x:c r="A1843" t="n">
        <x:v>46</x:v>
      </x:c>
      <x:c r="B1843" t="str">
        <x:v>菌菇</x:v>
      </x:c>
      <x:c r="C1843" t="str">
        <x:v>金针菇</x:v>
      </x:c>
      <x:c r="D1843" t="n">
        <x:v>125</x:v>
      </x:c>
      <x:c r="E1843" t="n">
        <x:v>140</x:v>
      </x:c>
      <x:c r="F1843" s="10" t="str">
        <x:v>食材净重+约8%余量</x:v>
      </x:c>
      <x:c r="G1843" s="10" t="str">
        <x:v>生重</x:v>
      </x:c>
    </x:row>
    <x:row r="1844" ht="23" customHeight="1">
      <x:c r="A1844" t="n">
        <x:v>46</x:v>
      </x:c>
      <x:c r="B1844" t="str">
        <x:v>菌菇</x:v>
      </x:c>
      <x:c r="C1844" t="str">
        <x:v>香菇</x:v>
      </x:c>
      <x:c r="D1844" t="n">
        <x:v>110</x:v>
      </x:c>
      <x:c r="E1844" t="n">
        <x:v>120</x:v>
      </x:c>
      <x:c r="F1844" s="10" t="str">
        <x:v>食材净重+约8%余量</x:v>
      </x:c>
      <x:c r="G1844" s="10" t="str">
        <x:v>生重</x:v>
      </x:c>
    </x:row>
    <x:row r="1845" ht="23" customHeight="1">
      <x:c r="A1845" t="n">
        <x:v>46</x:v>
      </x:c>
      <x:c r="B1845" t="str">
        <x:v>蔬菜</x:v>
      </x:c>
      <x:c r="C1845" t="str">
        <x:v>丝瓜</x:v>
      </x:c>
      <x:c r="D1845" t="n">
        <x:v>190</x:v>
      </x:c>
      <x:c r="E1845" t="n">
        <x:v>210</x:v>
      </x:c>
      <x:c r="F1845" s="10" t="str">
        <x:v>食材净重+约8%余量</x:v>
      </x:c>
      <x:c r="G1845" s="10" t="str">
        <x:v>生重</x:v>
      </x:c>
    </x:row>
    <x:row r="1846" ht="23" customHeight="1">
      <x:c r="A1846" t="n">
        <x:v>46</x:v>
      </x:c>
      <x:c r="B1846" t="str">
        <x:v>蔬菜</x:v>
      </x:c>
      <x:c r="C1846" t="str">
        <x:v>大白菜</x:v>
      </x:c>
      <x:c r="D1846" t="n">
        <x:v>160</x:v>
      </x:c>
      <x:c r="E1846" t="n">
        <x:v>170</x:v>
      </x:c>
      <x:c r="F1846" s="10" t="str">
        <x:v>食材净重+约8%余量</x:v>
      </x:c>
      <x:c r="G1846" s="10" t="str">
        <x:v>生重</x:v>
      </x:c>
    </x:row>
    <x:row r="1847" ht="23" customHeight="1">
      <x:c r="A1847" t="n">
        <x:v>46</x:v>
      </x:c>
      <x:c r="B1847" t="str">
        <x:v>蔬菜</x:v>
      </x:c>
      <x:c r="C1847" t="str">
        <x:v>娃娃菜</x:v>
      </x:c>
      <x:c r="D1847" t="n">
        <x:v>140</x:v>
      </x:c>
      <x:c r="E1847" t="n">
        <x:v>150</x:v>
      </x:c>
      <x:c r="F1847" s="10" t="str">
        <x:v>食材净重+约8%余量</x:v>
      </x:c>
      <x:c r="G1847" s="10" t="str">
        <x:v>生重</x:v>
      </x:c>
    </x:row>
    <x:row r="1848" ht="23" customHeight="1">
      <x:c r="A1848" t="n">
        <x:v>46</x:v>
      </x:c>
      <x:c r="B1848" t="str">
        <x:v>蔬菜</x:v>
      </x:c>
      <x:c r="C1848" t="str">
        <x:v>小白菜</x:v>
      </x:c>
      <x:c r="D1848" t="n">
        <x:v>285</x:v>
      </x:c>
      <x:c r="E1848" t="n">
        <x:v>310</x:v>
      </x:c>
      <x:c r="F1848" s="10" t="str">
        <x:v>食材净重+约8%余量</x:v>
      </x:c>
      <x:c r="G1848" s="10" t="str">
        <x:v>生重</x:v>
      </x:c>
    </x:row>
    <x:row r="1849" ht="23" customHeight="1">
      <x:c r="A1849" t="n">
        <x:v>46</x:v>
      </x:c>
      <x:c r="B1849" t="str">
        <x:v>蔬菜</x:v>
      </x:c>
      <x:c r="C1849" t="str">
        <x:v>彩椒</x:v>
      </x:c>
      <x:c r="D1849" t="n">
        <x:v>350</x:v>
      </x:c>
      <x:c r="E1849" t="n">
        <x:v>380</x:v>
      </x:c>
      <x:c r="F1849" s="10" t="str">
        <x:v>食材净重+约8%余量</x:v>
      </x:c>
      <x:c r="G1849" s="10" t="str">
        <x:v>生重</x:v>
      </x:c>
    </x:row>
    <x:row r="1850" ht="23" customHeight="1">
      <x:c r="A1850" t="n">
        <x:v>46</x:v>
      </x:c>
      <x:c r="B1850" t="str">
        <x:v>蔬菜</x:v>
      </x:c>
      <x:c r="C1850" t="str">
        <x:v>洋葱</x:v>
      </x:c>
      <x:c r="D1850" t="n">
        <x:v>140</x:v>
      </x:c>
      <x:c r="E1850" t="n">
        <x:v>150</x:v>
      </x:c>
      <x:c r="F1850" s="10" t="str">
        <x:v>食材净重+约8%余量</x:v>
      </x:c>
      <x:c r="G1850" s="10" t="str">
        <x:v>生重</x:v>
      </x:c>
    </x:row>
    <x:row r="1851" ht="23" customHeight="1">
      <x:c r="A1851" t="n">
        <x:v>46</x:v>
      </x:c>
      <x:c r="B1851" t="str">
        <x:v>蔬菜</x:v>
      </x:c>
      <x:c r="C1851" t="str">
        <x:v>生菜</x:v>
      </x:c>
      <x:c r="D1851" t="n">
        <x:v>380</x:v>
      </x:c>
      <x:c r="E1851" t="n">
        <x:v>410</x:v>
      </x:c>
      <x:c r="F1851" s="10" t="str">
        <x:v>食材净重+约8%余量</x:v>
      </x:c>
      <x:c r="G1851" s="10" t="str">
        <x:v>生重</x:v>
      </x:c>
    </x:row>
    <x:row r="1852" ht="23" customHeight="1">
      <x:c r="A1852" t="n">
        <x:v>46</x:v>
      </x:c>
      <x:c r="B1852" t="str">
        <x:v>蔬菜</x:v>
      </x:c>
      <x:c r="C1852" t="str">
        <x:v>番茄</x:v>
      </x:c>
      <x:c r="D1852" t="n">
        <x:v>175</x:v>
      </x:c>
      <x:c r="E1852" t="n">
        <x:v>190</x:v>
      </x:c>
      <x:c r="F1852" s="10" t="str">
        <x:v>食材净重+约8%余量</x:v>
      </x:c>
      <x:c r="G1852" s="10" t="str">
        <x:v>生重</x:v>
      </x:c>
    </x:row>
    <x:row r="1853" ht="23" customHeight="1">
      <x:c r="A1853" t="n">
        <x:v>46</x:v>
      </x:c>
      <x:c r="B1853" t="str">
        <x:v>蔬菜</x:v>
      </x:c>
      <x:c r="C1853" t="str">
        <x:v>白萝卜</x:v>
      </x:c>
      <x:c r="D1853" t="n">
        <x:v>125</x:v>
      </x:c>
      <x:c r="E1853" t="n">
        <x:v>140</x:v>
      </x:c>
      <x:c r="F1853" s="10" t="str">
        <x:v>食材净重+约8%余量</x:v>
      </x:c>
      <x:c r="G1853" s="10" t="str">
        <x:v>生重</x:v>
      </x:c>
    </x:row>
    <x:row r="1854" ht="23" customHeight="1">
      <x:c r="A1854" t="n">
        <x:v>46</x:v>
      </x:c>
      <x:c r="B1854" t="str">
        <x:v>蔬菜</x:v>
      </x:c>
      <x:c r="C1854" t="str">
        <x:v>紫甘蓝</x:v>
      </x:c>
      <x:c r="D1854" t="n">
        <x:v>190</x:v>
      </x:c>
      <x:c r="E1854" t="n">
        <x:v>210</x:v>
      </x:c>
      <x:c r="F1854" s="10" t="str">
        <x:v>食材净重+约8%余量</x:v>
      </x:c>
      <x:c r="G1854" s="10" t="str">
        <x:v>生重</x:v>
      </x:c>
    </x:row>
    <x:row r="1855" ht="23" customHeight="1">
      <x:c r="A1855" t="n">
        <x:v>46</x:v>
      </x:c>
      <x:c r="B1855" t="str">
        <x:v>蔬菜</x:v>
      </x:c>
      <x:c r="C1855" t="str">
        <x:v>胡萝卜</x:v>
      </x:c>
      <x:c r="D1855" t="n">
        <x:v>140</x:v>
      </x:c>
      <x:c r="E1855" t="n">
        <x:v>150</x:v>
      </x:c>
      <x:c r="F1855" s="10" t="str">
        <x:v>食材净重+约8%余量</x:v>
      </x:c>
      <x:c r="G1855" s="10" t="str">
        <x:v>生重</x:v>
      </x:c>
    </x:row>
    <x:row r="1856" ht="23" customHeight="1">
      <x:c r="A1856" t="n">
        <x:v>46</x:v>
      </x:c>
      <x:c r="B1856" t="str">
        <x:v>蔬菜</x:v>
      </x:c>
      <x:c r="C1856" t="str">
        <x:v>芹菜</x:v>
      </x:c>
      <x:c r="D1856" t="n">
        <x:v>190</x:v>
      </x:c>
      <x:c r="E1856" t="n">
        <x:v>210</x:v>
      </x:c>
      <x:c r="F1856" s="10" t="str">
        <x:v>食材净重+约8%余量</x:v>
      </x:c>
      <x:c r="G1856" s="10" t="str">
        <x:v>生重</x:v>
      </x:c>
    </x:row>
    <x:row r="1857" ht="23" customHeight="1">
      <x:c r="A1857" t="n">
        <x:v>46</x:v>
      </x:c>
      <x:c r="B1857" t="str">
        <x:v>蔬菜</x:v>
      </x:c>
      <x:c r="C1857" t="str">
        <x:v>茼蒿</x:v>
      </x:c>
      <x:c r="D1857" t="n">
        <x:v>175</x:v>
      </x:c>
      <x:c r="E1857" t="n">
        <x:v>190</x:v>
      </x:c>
      <x:c r="F1857" s="10" t="str">
        <x:v>食材净重+约8%余量</x:v>
      </x:c>
      <x:c r="G1857" s="10" t="str">
        <x:v>生重</x:v>
      </x:c>
    </x:row>
    <x:row r="1858" ht="23" customHeight="1">
      <x:c r="A1858" t="n">
        <x:v>46</x:v>
      </x:c>
      <x:c r="B1858" t="str">
        <x:v>蔬菜</x:v>
      </x:c>
      <x:c r="C1858" t="str">
        <x:v>菜心</x:v>
      </x:c>
      <x:c r="D1858" t="n">
        <x:v>280</x:v>
      </x:c>
      <x:c r="E1858" t="n">
        <x:v>300</x:v>
      </x:c>
      <x:c r="F1858" s="10" t="str">
        <x:v>食材净重+约8%余量</x:v>
      </x:c>
      <x:c r="G1858" s="10" t="str">
        <x:v>生重</x:v>
      </x:c>
    </x:row>
    <x:row r="1859" ht="23" customHeight="1">
      <x:c r="A1859" t="n">
        <x:v>46</x:v>
      </x:c>
      <x:c r="B1859" t="str">
        <x:v>蔬菜</x:v>
      </x:c>
      <x:c r="C1859" t="str">
        <x:v>菠菜</x:v>
      </x:c>
      <x:c r="D1859" t="n">
        <x:v>190</x:v>
      </x:c>
      <x:c r="E1859" t="n">
        <x:v>210</x:v>
      </x:c>
      <x:c r="F1859" s="10" t="str">
        <x:v>食材净重+约8%余量</x:v>
      </x:c>
      <x:c r="G1859" s="10" t="str">
        <x:v>生重</x:v>
      </x:c>
    </x:row>
    <x:row r="1860" ht="23" customHeight="1">
      <x:c r="A1860" t="n">
        <x:v>46</x:v>
      </x:c>
      <x:c r="B1860" t="str">
        <x:v>蔬菜</x:v>
      </x:c>
      <x:c r="C1860" t="str">
        <x:v>西兰花</x:v>
      </x:c>
      <x:c r="D1860" t="n">
        <x:v>140</x:v>
      </x:c>
      <x:c r="E1860" t="n">
        <x:v>150</x:v>
      </x:c>
      <x:c r="F1860" s="10" t="str">
        <x:v>食材净重+约8%余量</x:v>
      </x:c>
      <x:c r="G1860" s="10" t="str">
        <x:v>生重</x:v>
      </x:c>
    </x:row>
    <x:row r="1861" ht="23" customHeight="1">
      <x:c r="A1861" t="n">
        <x:v>46</x:v>
      </x:c>
      <x:c r="B1861" t="str">
        <x:v>蔬菜</x:v>
      </x:c>
      <x:c r="C1861" t="str">
        <x:v>黄瓜</x:v>
      </x:c>
      <x:c r="D1861" t="n">
        <x:v>140</x:v>
      </x:c>
      <x:c r="E1861" t="n">
        <x:v>150</x:v>
      </x:c>
      <x:c r="F1861" s="10" t="str">
        <x:v>食材净重+约8%余量</x:v>
      </x:c>
      <x:c r="G1861" s="10" t="str">
        <x:v>生重</x:v>
      </x:c>
    </x:row>
    <x:row r="1862" ht="23" customHeight="1">
      <x:c r="A1862" t="n">
        <x:v>46</x:v>
      </x:c>
      <x:c r="B1862" t="str">
        <x:v>豆蛋</x:v>
      </x:c>
      <x:c r="C1862" t="str">
        <x:v>北豆腐</x:v>
      </x:c>
      <x:c r="D1862" t="n">
        <x:v>390</x:v>
      </x:c>
      <x:c r="E1862" t="n">
        <x:v>420</x:v>
      </x:c>
      <x:c r="F1862" s="10" t="str">
        <x:v>食材净重+约8%余量</x:v>
      </x:c>
      <x:c r="G1862" s="10" t="str">
        <x:v>净重</x:v>
      </x:c>
    </x:row>
    <x:row r="1863" ht="23" customHeight="1">
      <x:c r="A1863" t="n">
        <x:v>46</x:v>
      </x:c>
      <x:c r="B1863" t="str">
        <x:v>豆蛋</x:v>
      </x:c>
      <x:c r="C1863" t="str">
        <x:v>鸡蛋</x:v>
      </x:c>
      <x:c r="D1863" t="n">
        <x:v>120</x:v>
      </x:c>
      <x:c r="E1863" t="n">
        <x:v>130</x:v>
      </x:c>
      <x:c r="F1863" s="10" t="str">
        <x:v>食材净重+约8%余量</x:v>
      </x:c>
      <x:c r="G1863" s="10" t="str">
        <x:v>去壳可食重</x:v>
      </x:c>
    </x:row>
    <x:row r="1864" ht="23" customHeight="1">
      <x:c r="A1864" t="n">
        <x:v>46</x:v>
      </x:c>
      <x:c r="B1864" t="str">
        <x:v>鱼类</x:v>
      </x:c>
      <x:c r="C1864" t="str">
        <x:v>三文鱼</x:v>
      </x:c>
      <x:c r="D1864" t="n">
        <x:v>120</x:v>
      </x:c>
      <x:c r="E1864" t="n">
        <x:v>130</x:v>
      </x:c>
      <x:c r="F1864" s="10" t="str">
        <x:v>食材净重+约8%余量</x:v>
      </x:c>
      <x:c r="G1864" s="10" t="str">
        <x:v>净鱼肉生重</x:v>
      </x:c>
    </x:row>
    <x:row r="1865" ht="23" customHeight="1">
      <x:c r="A1865" t="n">
        <x:v>46</x:v>
      </x:c>
      <x:c r="B1865" t="str">
        <x:v>鱼类</x:v>
      </x:c>
      <x:c r="C1865" t="str">
        <x:v>巴沙鱼</x:v>
      </x:c>
      <x:c r="D1865" t="n">
        <x:v>215</x:v>
      </x:c>
      <x:c r="E1865" t="n">
        <x:v>230</x:v>
      </x:c>
      <x:c r="F1865" s="10" t="str">
        <x:v>食材净重+约8%余量</x:v>
      </x:c>
      <x:c r="G1865" s="10" t="str">
        <x:v>净鱼肉生重</x:v>
      </x:c>
    </x:row>
    <x:row r="1866" ht="23" customHeight="1">
      <x:c r="A1866" t="n">
        <x:v>46</x:v>
      </x:c>
      <x:c r="B1866" t="str">
        <x:v>鱼类</x:v>
      </x:c>
      <x:c r="C1866" t="str">
        <x:v>鳕鱼</x:v>
      </x:c>
      <x:c r="D1866" t="n">
        <x:v>200</x:v>
      </x:c>
      <x:c r="E1866" t="n">
        <x:v>220</x:v>
      </x:c>
      <x:c r="F1866" s="10" t="str">
        <x:v>食材净重+约8%余量；带壳或带骨采购需另折算</x:v>
      </x:c>
      <x:c r="G1866" s="10" t="str">
        <x:v>净鱼肉生重</x:v>
      </x:c>
    </x:row>
    <x:row r="1867" ht="23" customHeight="1">
      <x:c r="A1867" t="n">
        <x:v>47</x:v>
      </x:c>
      <x:c r="B1867" t="str">
        <x:v>主食</x:v>
      </x:c>
      <x:c r="C1867" t="str">
        <x:v>杂粮饭</x:v>
      </x:c>
      <x:c r="D1867" t="n">
        <x:v>385</x:v>
      </x:c>
      <x:c r="E1867" t="n">
        <x:v>150</x:v>
      </x:c>
      <x:c r="F1867" s="10" t="str">
        <x:v>未煮干粮约重（按熟饭/生米≈2.6估算）</x:v>
      </x:c>
      <x:c r="G1867" s="10" t="str">
        <x:v>熟重</x:v>
      </x:c>
    </x:row>
    <x:row r="1868" ht="23" customHeight="1">
      <x:c r="A1868" t="n">
        <x:v>47</x:v>
      </x:c>
      <x:c r="B1868" t="str">
        <x:v>主食</x:v>
      </x:c>
      <x:c r="C1868" t="str">
        <x:v>燕麦饭</x:v>
      </x:c>
      <x:c r="D1868" t="n">
        <x:v>385</x:v>
      </x:c>
      <x:c r="E1868" t="n">
        <x:v>150</x:v>
      </x:c>
      <x:c r="F1868" s="10" t="str">
        <x:v>未煮干粮约重（按熟饭/生米≈2.6估算）</x:v>
      </x:c>
      <x:c r="G1868" s="10" t="str">
        <x:v>熟重</x:v>
      </x:c>
    </x:row>
    <x:row r="1869" ht="23" customHeight="1">
      <x:c r="A1869" t="n">
        <x:v>47</x:v>
      </x:c>
      <x:c r="B1869" t="str">
        <x:v>主食</x:v>
      </x:c>
      <x:c r="C1869" t="str">
        <x:v>糙米饭</x:v>
      </x:c>
      <x:c r="D1869" t="n">
        <x:v>95</x:v>
      </x:c>
      <x:c r="E1869" t="n">
        <x:v>40</x:v>
      </x:c>
      <x:c r="F1869" s="10" t="str">
        <x:v>未煮干粮约重（按熟饭/生米≈2.6估算）</x:v>
      </x:c>
      <x:c r="G1869" s="10" t="str">
        <x:v>熟重</x:v>
      </x:c>
    </x:row>
    <x:row r="1870" ht="23" customHeight="1">
      <x:c r="A1870" t="n">
        <x:v>47</x:v>
      </x:c>
      <x:c r="B1870" t="str">
        <x:v>主食</x:v>
      </x:c>
      <x:c r="C1870" t="str">
        <x:v>红薯</x:v>
      </x:c>
      <x:c r="D1870" t="n">
        <x:v>380</x:v>
      </x:c>
      <x:c r="E1870" t="n">
        <x:v>420</x:v>
      </x:c>
      <x:c r="F1870" s="10" t="str">
        <x:v>鲜薯/玉米净重；考虑小幅损耗</x:v>
      </x:c>
      <x:c r="G1870" s="10" t="str">
        <x:v>蒸熟净重</x:v>
      </x:c>
    </x:row>
    <x:row r="1871" ht="23" customHeight="1">
      <x:c r="A1871" t="n">
        <x:v>47</x:v>
      </x:c>
      <x:c r="B1871" t="str">
        <x:v>主食</x:v>
      </x:c>
      <x:c r="C1871" t="str">
        <x:v>荞麦面</x:v>
      </x:c>
      <x:c r="D1871" t="n">
        <x:v>125</x:v>
      </x:c>
      <x:c r="E1871" t="n">
        <x:v>60</x:v>
      </x:c>
      <x:c r="F1871" s="10" t="str">
        <x:v>干粮约重（按熟面/干面≈2.1估算）</x:v>
      </x:c>
      <x:c r="G1871" s="10" t="str">
        <x:v>煮熟沥水重</x:v>
      </x:c>
    </x:row>
    <x:row r="1872" ht="23" customHeight="1">
      <x:c r="A1872" t="n">
        <x:v>47</x:v>
      </x:c>
      <x:c r="B1872" t="str">
        <x:v>主食</x:v>
      </x:c>
      <x:c r="C1872" t="str">
        <x:v>荞麦饭</x:v>
      </x:c>
      <x:c r="D1872" t="n">
        <x:v>110</x:v>
      </x:c>
      <x:c r="E1872" t="n">
        <x:v>40</x:v>
      </x:c>
      <x:c r="F1872" s="10" t="str">
        <x:v>未煮干粮约重（按熟饭/生米≈2.6估算）</x:v>
      </x:c>
      <x:c r="G1872" s="10" t="str">
        <x:v>熟重</x:v>
      </x:c>
    </x:row>
    <x:row r="1873" ht="23" customHeight="1">
      <x:c r="A1873" t="n">
        <x:v>47</x:v>
      </x:c>
      <x:c r="B1873" t="str">
        <x:v>主食</x:v>
      </x:c>
      <x:c r="C1873" t="str">
        <x:v>藜麦饭</x:v>
      </x:c>
      <x:c r="D1873" t="n">
        <x:v>235</x:v>
      </x:c>
      <x:c r="E1873" t="n">
        <x:v>90</x:v>
      </x:c>
      <x:c r="F1873" s="10" t="str">
        <x:v>未煮干粮约重（按熟饭/生米≈2.6估算）</x:v>
      </x:c>
      <x:c r="G1873" s="10" t="str">
        <x:v>熟重</x:v>
      </x:c>
    </x:row>
    <x:row r="1874" ht="23" customHeight="1">
      <x:c r="A1874" t="n">
        <x:v>47</x:v>
      </x:c>
      <x:c r="B1874" t="str">
        <x:v>油脂</x:v>
      </x:c>
      <x:c r="C1874" t="str">
        <x:v>烹调油</x:v>
      </x:c>
      <x:c r="D1874" t="n">
        <x:v>56</x:v>
      </x:c>
      <x:c r="E1874" t="n">
        <x:v>56</x:v>
      </x:c>
      <x:c r="F1874" s="10" t="str">
        <x:v>食用油；现有库存足够即可</x:v>
      </x:c>
      <x:c r="G1874" s="10" t="str">
        <x:v>实际用油重</x:v>
      </x:c>
    </x:row>
    <x:row r="1875" ht="23" customHeight="1">
      <x:c r="A1875" t="n">
        <x:v>47</x:v>
      </x:c>
      <x:c r="B1875" t="str">
        <x:v>海鲜</x:v>
      </x:c>
      <x:c r="C1875" t="str">
        <x:v>虾仁</x:v>
      </x:c>
      <x:c r="D1875" t="n">
        <x:v>335</x:v>
      </x:c>
      <x:c r="E1875" t="n">
        <x:v>360</x:v>
      </x:c>
      <x:c r="F1875" s="10" t="str">
        <x:v>食材净重+约8%余量</x:v>
      </x:c>
      <x:c r="G1875" s="10" t="str">
        <x:v>生重</x:v>
      </x:c>
    </x:row>
    <x:row r="1876" ht="23" customHeight="1">
      <x:c r="A1876" t="n">
        <x:v>47</x:v>
      </x:c>
      <x:c r="B1876" t="str">
        <x:v>海鲜</x:v>
      </x:c>
      <x:c r="C1876" t="str">
        <x:v>鱿鱼</x:v>
      </x:c>
      <x:c r="D1876" t="n">
        <x:v>160</x:v>
      </x:c>
      <x:c r="E1876" t="n">
        <x:v>170</x:v>
      </x:c>
      <x:c r="F1876" s="10" t="str">
        <x:v>食材净重+约8%余量</x:v>
      </x:c>
      <x:c r="G1876" s="10" t="str">
        <x:v>生重</x:v>
      </x:c>
    </x:row>
    <x:row r="1877" ht="23" customHeight="1">
      <x:c r="A1877" t="n">
        <x:v>47</x:v>
      </x:c>
      <x:c r="B1877" t="str">
        <x:v>牛肉</x:v>
      </x:c>
      <x:c r="C1877" t="str">
        <x:v>牛里脊</x:v>
      </x:c>
      <x:c r="D1877" t="n">
        <x:v>185</x:v>
      </x:c>
      <x:c r="E1877" t="n">
        <x:v>200</x:v>
      </x:c>
      <x:c r="F1877" s="10" t="str">
        <x:v>食材净重+约8%余量</x:v>
      </x:c>
      <x:c r="G1877" s="10" t="str">
        <x:v>生重</x:v>
      </x:c>
    </x:row>
    <x:row r="1878" ht="23" customHeight="1">
      <x:c r="A1878" t="n">
        <x:v>47</x:v>
      </x:c>
      <x:c r="B1878" t="str">
        <x:v>牛肉</x:v>
      </x:c>
      <x:c r="C1878" t="str">
        <x:v>瘦牛肉</x:v>
      </x:c>
      <x:c r="D1878" t="n">
        <x:v>520</x:v>
      </x:c>
      <x:c r="E1878" t="n">
        <x:v>560</x:v>
      </x:c>
      <x:c r="F1878" s="10" t="str">
        <x:v>食材净重+约8%余量</x:v>
      </x:c>
      <x:c r="G1878" s="10" t="str">
        <x:v>生重</x:v>
      </x:c>
    </x:row>
    <x:row r="1879" ht="23" customHeight="1">
      <x:c r="A1879" t="n">
        <x:v>47</x:v>
      </x:c>
      <x:c r="B1879" t="str">
        <x:v>猪肉</x:v>
      </x:c>
      <x:c r="C1879" t="str">
        <x:v>猪瘦肉</x:v>
      </x:c>
      <x:c r="D1879" t="n">
        <x:v>145</x:v>
      </x:c>
      <x:c r="E1879" t="n">
        <x:v>160</x:v>
      </x:c>
      <x:c r="F1879" s="10" t="str">
        <x:v>食材净重+约8%余量</x:v>
      </x:c>
      <x:c r="G1879" s="10" t="str">
        <x:v>生重</x:v>
      </x:c>
    </x:row>
    <x:row r="1880" ht="23" customHeight="1">
      <x:c r="A1880" t="n">
        <x:v>47</x:v>
      </x:c>
      <x:c r="B1880" t="str">
        <x:v>禽肉</x:v>
      </x:c>
      <x:c r="C1880" t="str">
        <x:v>鸡胸肉</x:v>
      </x:c>
      <x:c r="D1880" t="n">
        <x:v>350</x:v>
      </x:c>
      <x:c r="E1880" t="n">
        <x:v>380</x:v>
      </x:c>
      <x:c r="F1880" s="10" t="str">
        <x:v>食材净重+约8%余量</x:v>
      </x:c>
      <x:c r="G1880" s="10" t="str">
        <x:v>生重</x:v>
      </x:c>
    </x:row>
    <x:row r="1881" ht="23" customHeight="1">
      <x:c r="A1881" t="n">
        <x:v>47</x:v>
      </x:c>
      <x:c r="B1881" t="str">
        <x:v>禽肉</x:v>
      </x:c>
      <x:c r="C1881" t="str">
        <x:v>鸡里脊肉</x:v>
      </x:c>
      <x:c r="D1881" t="n">
        <x:v>170</x:v>
      </x:c>
      <x:c r="E1881" t="n">
        <x:v>180</x:v>
      </x:c>
      <x:c r="F1881" s="10" t="str">
        <x:v>食材净重+约8%余量</x:v>
      </x:c>
      <x:c r="G1881" s="10" t="str">
        <x:v>生重</x:v>
      </x:c>
    </x:row>
    <x:row r="1882" ht="23" customHeight="1">
      <x:c r="A1882" t="n">
        <x:v>47</x:v>
      </x:c>
      <x:c r="B1882" t="str">
        <x:v>菌菇</x:v>
      </x:c>
      <x:c r="C1882" t="str">
        <x:v>口蘑</x:v>
      </x:c>
      <x:c r="D1882" t="n">
        <x:v>295</x:v>
      </x:c>
      <x:c r="E1882" t="n">
        <x:v>320</x:v>
      </x:c>
      <x:c r="F1882" s="10" t="str">
        <x:v>食材净重+约8%余量</x:v>
      </x:c>
      <x:c r="G1882" s="10" t="str">
        <x:v>生重</x:v>
      </x:c>
    </x:row>
    <x:row r="1883" ht="23" customHeight="1">
      <x:c r="A1883" t="n">
        <x:v>47</x:v>
      </x:c>
      <x:c r="B1883" t="str">
        <x:v>菌菇</x:v>
      </x:c>
      <x:c r="C1883" t="str">
        <x:v>杏鲍菇</x:v>
      </x:c>
      <x:c r="D1883" t="n">
        <x:v>250</x:v>
      </x:c>
      <x:c r="E1883" t="n">
        <x:v>270</x:v>
      </x:c>
      <x:c r="F1883" s="10" t="str">
        <x:v>食材净重+约8%余量</x:v>
      </x:c>
      <x:c r="G1883" s="10" t="str">
        <x:v>生重</x:v>
      </x:c>
    </x:row>
    <x:row r="1884" ht="23" customHeight="1">
      <x:c r="A1884" t="n">
        <x:v>47</x:v>
      </x:c>
      <x:c r="B1884" t="str">
        <x:v>菌菇</x:v>
      </x:c>
      <x:c r="C1884" t="str">
        <x:v>泡发木耳</x:v>
      </x:c>
      <x:c r="D1884" t="n">
        <x:v>125</x:v>
      </x:c>
      <x:c r="E1884" t="n">
        <x:v>140</x:v>
      </x:c>
      <x:c r="F1884" s="10" t="str">
        <x:v>食材净重+约8%余量</x:v>
      </x:c>
      <x:c r="G1884" s="10" t="str">
        <x:v>泡发沥水重</x:v>
      </x:c>
    </x:row>
    <x:row r="1885" ht="23" customHeight="1">
      <x:c r="A1885" t="n">
        <x:v>47</x:v>
      </x:c>
      <x:c r="B1885" t="str">
        <x:v>菌菇</x:v>
      </x:c>
      <x:c r="C1885" t="str">
        <x:v>香菇</x:v>
      </x:c>
      <x:c r="D1885" t="n">
        <x:v>125</x:v>
      </x:c>
      <x:c r="E1885" t="n">
        <x:v>140</x:v>
      </x:c>
      <x:c r="F1885" s="10" t="str">
        <x:v>食材净重+约8%余量</x:v>
      </x:c>
      <x:c r="G1885" s="10" t="str">
        <x:v>生重</x:v>
      </x:c>
    </x:row>
    <x:row r="1886" ht="23" customHeight="1">
      <x:c r="A1886" t="n">
        <x:v>47</x:v>
      </x:c>
      <x:c r="B1886" t="str">
        <x:v>蔬菜</x:v>
      </x:c>
      <x:c r="C1886" t="str">
        <x:v>丝瓜</x:v>
      </x:c>
      <x:c r="D1886" t="n">
        <x:v>265</x:v>
      </x:c>
      <x:c r="E1886" t="n">
        <x:v>290</x:v>
      </x:c>
      <x:c r="F1886" s="10" t="str">
        <x:v>食材净重+约8%余量</x:v>
      </x:c>
      <x:c r="G1886" s="10" t="str">
        <x:v>生重</x:v>
      </x:c>
    </x:row>
    <x:row r="1887" ht="23" customHeight="1">
      <x:c r="A1887" t="n">
        <x:v>47</x:v>
      </x:c>
      <x:c r="B1887" t="str">
        <x:v>蔬菜</x:v>
      </x:c>
      <x:c r="C1887" t="str">
        <x:v>冬瓜</x:v>
      </x:c>
      <x:c r="D1887" t="n">
        <x:v>110</x:v>
      </x:c>
      <x:c r="E1887" t="n">
        <x:v>120</x:v>
      </x:c>
      <x:c r="F1887" s="10" t="str">
        <x:v>食材净重+约8%余量</x:v>
      </x:c>
      <x:c r="G1887" s="10" t="str">
        <x:v>生重</x:v>
      </x:c>
    </x:row>
    <x:row r="1888" ht="23" customHeight="1">
      <x:c r="A1888" t="n">
        <x:v>47</x:v>
      </x:c>
      <x:c r="B1888" t="str">
        <x:v>蔬菜</x:v>
      </x:c>
      <x:c r="C1888" t="str">
        <x:v>大白菜</x:v>
      </x:c>
      <x:c r="D1888" t="n">
        <x:v>140</x:v>
      </x:c>
      <x:c r="E1888" t="n">
        <x:v>150</x:v>
      </x:c>
      <x:c r="F1888" s="10" t="str">
        <x:v>食材净重+约8%余量</x:v>
      </x:c>
      <x:c r="G1888" s="10" t="str">
        <x:v>生重</x:v>
      </x:c>
    </x:row>
    <x:row r="1889" ht="23" customHeight="1">
      <x:c r="A1889" t="n">
        <x:v>47</x:v>
      </x:c>
      <x:c r="B1889" t="str">
        <x:v>蔬菜</x:v>
      </x:c>
      <x:c r="C1889" t="str">
        <x:v>娃娃菜</x:v>
      </x:c>
      <x:c r="D1889" t="n">
        <x:v>350</x:v>
      </x:c>
      <x:c r="E1889" t="n">
        <x:v>380</x:v>
      </x:c>
      <x:c r="F1889" s="10" t="str">
        <x:v>食材净重+约8%余量</x:v>
      </x:c>
      <x:c r="G1889" s="10" t="str">
        <x:v>生重</x:v>
      </x:c>
    </x:row>
    <x:row r="1890" ht="23" customHeight="1">
      <x:c r="A1890" t="n">
        <x:v>47</x:v>
      </x:c>
      <x:c r="B1890" t="str">
        <x:v>蔬菜</x:v>
      </x:c>
      <x:c r="C1890" t="str">
        <x:v>洋葱</x:v>
      </x:c>
      <x:c r="D1890" t="n">
        <x:v>110</x:v>
      </x:c>
      <x:c r="E1890" t="n">
        <x:v>120</x:v>
      </x:c>
      <x:c r="F1890" s="10" t="str">
        <x:v>食材净重+约8%余量</x:v>
      </x:c>
      <x:c r="G1890" s="10" t="str">
        <x:v>生重</x:v>
      </x:c>
    </x:row>
    <x:row r="1891" ht="23" customHeight="1">
      <x:c r="A1891" t="n">
        <x:v>47</x:v>
      </x:c>
      <x:c r="B1891" t="str">
        <x:v>蔬菜</x:v>
      </x:c>
      <x:c r="C1891" t="str">
        <x:v>海带</x:v>
      </x:c>
      <x:c r="D1891" t="n">
        <x:v>140</x:v>
      </x:c>
      <x:c r="E1891" t="n">
        <x:v>150</x:v>
      </x:c>
      <x:c r="F1891" s="10" t="str">
        <x:v>食材净重+约8%余量</x:v>
      </x:c>
      <x:c r="G1891" s="10" t="str">
        <x:v>泡发沥水重</x:v>
      </x:c>
    </x:row>
    <x:row r="1892" ht="23" customHeight="1">
      <x:c r="A1892" t="n">
        <x:v>47</x:v>
      </x:c>
      <x:c r="B1892" t="str">
        <x:v>蔬菜</x:v>
      </x:c>
      <x:c r="C1892" t="str">
        <x:v>玉米笋</x:v>
      </x:c>
      <x:c r="D1892" t="n">
        <x:v>140</x:v>
      </x:c>
      <x:c r="E1892" t="n">
        <x:v>150</x:v>
      </x:c>
      <x:c r="F1892" s="10" t="str">
        <x:v>食材净重+约8%余量</x:v>
      </x:c>
      <x:c r="G1892" s="10" t="str">
        <x:v>生重</x:v>
      </x:c>
    </x:row>
    <x:row r="1893" ht="23" customHeight="1">
      <x:c r="A1893" t="n">
        <x:v>47</x:v>
      </x:c>
      <x:c r="B1893" t="str">
        <x:v>蔬菜</x:v>
      </x:c>
      <x:c r="C1893" t="str">
        <x:v>番茄</x:v>
      </x:c>
      <x:c r="D1893" t="n">
        <x:v>190</x:v>
      </x:c>
      <x:c r="E1893" t="n">
        <x:v>210</x:v>
      </x:c>
      <x:c r="F1893" s="10" t="str">
        <x:v>食材净重+约8%余量</x:v>
      </x:c>
      <x:c r="G1893" s="10" t="str">
        <x:v>生重</x:v>
      </x:c>
    </x:row>
    <x:row r="1894" ht="23" customHeight="1">
      <x:c r="A1894" t="n">
        <x:v>47</x:v>
      </x:c>
      <x:c r="B1894" t="str">
        <x:v>蔬菜</x:v>
      </x:c>
      <x:c r="C1894" t="str">
        <x:v>秋葵</x:v>
      </x:c>
      <x:c r="D1894" t="n">
        <x:v>160</x:v>
      </x:c>
      <x:c r="E1894" t="n">
        <x:v>170</x:v>
      </x:c>
      <x:c r="F1894" s="10" t="str">
        <x:v>食材净重+约8%余量</x:v>
      </x:c>
      <x:c r="G1894" s="10" t="str">
        <x:v>生重</x:v>
      </x:c>
    </x:row>
    <x:row r="1895" ht="23" customHeight="1">
      <x:c r="A1895" t="n">
        <x:v>47</x:v>
      </x:c>
      <x:c r="B1895" t="str">
        <x:v>蔬菜</x:v>
      </x:c>
      <x:c r="C1895" t="str">
        <x:v>绿豆芽</x:v>
      </x:c>
      <x:c r="D1895" t="n">
        <x:v>110</x:v>
      </x:c>
      <x:c r="E1895" t="n">
        <x:v>120</x:v>
      </x:c>
      <x:c r="F1895" s="10" t="str">
        <x:v>食材净重+约8%余量</x:v>
      </x:c>
      <x:c r="G1895" s="10" t="str">
        <x:v>生重</x:v>
      </x:c>
    </x:row>
    <x:row r="1896" ht="23" customHeight="1">
      <x:c r="A1896" t="n">
        <x:v>47</x:v>
      </x:c>
      <x:c r="B1896" t="str">
        <x:v>蔬菜</x:v>
      </x:c>
      <x:c r="C1896" t="str">
        <x:v>芦笋</x:v>
      </x:c>
      <x:c r="D1896" t="n">
        <x:v>110</x:v>
      </x:c>
      <x:c r="E1896" t="n">
        <x:v>120</x:v>
      </x:c>
      <x:c r="F1896" s="10" t="str">
        <x:v>食材净重+约8%余量</x:v>
      </x:c>
      <x:c r="G1896" s="10" t="str">
        <x:v>生重</x:v>
      </x:c>
    </x:row>
    <x:row r="1897" ht="23" customHeight="1">
      <x:c r="A1897" t="n">
        <x:v>47</x:v>
      </x:c>
      <x:c r="B1897" t="str">
        <x:v>蔬菜</x:v>
      </x:c>
      <x:c r="C1897" t="str">
        <x:v>苦瓜</x:v>
      </x:c>
      <x:c r="D1897" t="n">
        <x:v>160</x:v>
      </x:c>
      <x:c r="E1897" t="n">
        <x:v>170</x:v>
      </x:c>
      <x:c r="F1897" s="10" t="str">
        <x:v>食材净重+约8%余量</x:v>
      </x:c>
      <x:c r="G1897" s="10" t="str">
        <x:v>生重</x:v>
      </x:c>
    </x:row>
    <x:row r="1898" ht="23" customHeight="1">
      <x:c r="A1898" t="n">
        <x:v>47</x:v>
      </x:c>
      <x:c r="B1898" t="str">
        <x:v>蔬菜</x:v>
      </x:c>
      <x:c r="C1898" t="str">
        <x:v>茼蒿</x:v>
      </x:c>
      <x:c r="D1898" t="n">
        <x:v>160</x:v>
      </x:c>
      <x:c r="E1898" t="n">
        <x:v>170</x:v>
      </x:c>
      <x:c r="F1898" s="10" t="str">
        <x:v>食材净重+约8%余量</x:v>
      </x:c>
      <x:c r="G1898" s="10" t="str">
        <x:v>生重</x:v>
      </x:c>
    </x:row>
    <x:row r="1899" ht="23" customHeight="1">
      <x:c r="A1899" t="n">
        <x:v>47</x:v>
      </x:c>
      <x:c r="B1899" t="str">
        <x:v>蔬菜</x:v>
      </x:c>
      <x:c r="C1899" t="str">
        <x:v>荷兰豆</x:v>
      </x:c>
      <x:c r="D1899" t="n">
        <x:v>510</x:v>
      </x:c>
      <x:c r="E1899" t="n">
        <x:v>550</x:v>
      </x:c>
      <x:c r="F1899" s="10" t="str">
        <x:v>食材净重+约8%余量</x:v>
      </x:c>
      <x:c r="G1899" s="10" t="str">
        <x:v>生重</x:v>
      </x:c>
    </x:row>
    <x:row r="1900" ht="23" customHeight="1">
      <x:c r="A1900" t="n">
        <x:v>47</x:v>
      </x:c>
      <x:c r="B1900" t="str">
        <x:v>蔬菜</x:v>
      </x:c>
      <x:c r="C1900" t="str">
        <x:v>莴笋</x:v>
      </x:c>
      <x:c r="D1900" t="n">
        <x:v>110</x:v>
      </x:c>
      <x:c r="E1900" t="n">
        <x:v>120</x:v>
      </x:c>
      <x:c r="F1900" s="10" t="str">
        <x:v>食材净重+约8%余量</x:v>
      </x:c>
      <x:c r="G1900" s="10" t="str">
        <x:v>生重</x:v>
      </x:c>
    </x:row>
    <x:row r="1901" ht="23" customHeight="1">
      <x:c r="A1901" t="n">
        <x:v>47</x:v>
      </x:c>
      <x:c r="B1901" t="str">
        <x:v>蔬菜</x:v>
      </x:c>
      <x:c r="C1901" t="str">
        <x:v>菠菜</x:v>
      </x:c>
      <x:c r="D1901" t="n">
        <x:v>505</x:v>
      </x:c>
      <x:c r="E1901" t="n">
        <x:v>550</x:v>
      </x:c>
      <x:c r="F1901" s="10" t="str">
        <x:v>食材净重+约8%余量</x:v>
      </x:c>
      <x:c r="G1901" s="10" t="str">
        <x:v>生重</x:v>
      </x:c>
    </x:row>
    <x:row r="1902" ht="23" customHeight="1">
      <x:c r="A1902" t="n">
        <x:v>47</x:v>
      </x:c>
      <x:c r="B1902" t="str">
        <x:v>豆蛋</x:v>
      </x:c>
      <x:c r="C1902" t="str">
        <x:v>北豆腐</x:v>
      </x:c>
      <x:c r="D1902" t="n">
        <x:v>430</x:v>
      </x:c>
      <x:c r="E1902" t="n">
        <x:v>460</x:v>
      </x:c>
      <x:c r="F1902" s="10" t="str">
        <x:v>食材净重+约8%余量</x:v>
      </x:c>
      <x:c r="G1902" s="10" t="str">
        <x:v>净重</x:v>
      </x:c>
    </x:row>
    <x:row r="1903" ht="23" customHeight="1">
      <x:c r="A1903" t="n">
        <x:v>47</x:v>
      </x:c>
      <x:c r="B1903" t="str">
        <x:v>豆蛋</x:v>
      </x:c>
      <x:c r="C1903" t="str">
        <x:v>嫩豆腐</x:v>
      </x:c>
      <x:c r="D1903" t="n">
        <x:v>280</x:v>
      </x:c>
      <x:c r="E1903" t="n">
        <x:v>300</x:v>
      </x:c>
      <x:c r="F1903" s="10" t="str">
        <x:v>食材净重+约8%余量</x:v>
      </x:c>
      <x:c r="G1903" s="10" t="str">
        <x:v>净重</x:v>
      </x:c>
    </x:row>
    <x:row r="1904" ht="23" customHeight="1">
      <x:c r="A1904" t="n">
        <x:v>47</x:v>
      </x:c>
      <x:c r="B1904" t="str">
        <x:v>豆蛋</x:v>
      </x:c>
      <x:c r="C1904" t="str">
        <x:v>鸡蛋</x:v>
      </x:c>
      <x:c r="D1904" t="n">
        <x:v>145</x:v>
      </x:c>
      <x:c r="E1904" t="n">
        <x:v>160</x:v>
      </x:c>
      <x:c r="F1904" s="10" t="str">
        <x:v>食材净重+约8%余量</x:v>
      </x:c>
      <x:c r="G1904" s="10" t="str">
        <x:v>去壳可食重</x:v>
      </x:c>
    </x:row>
    <x:row r="1905" ht="23" customHeight="1">
      <x:c r="A1905" t="n">
        <x:v>47</x:v>
      </x:c>
      <x:c r="B1905" t="str">
        <x:v>鱼类</x:v>
      </x:c>
      <x:c r="C1905" t="str">
        <x:v>三文鱼</x:v>
      </x:c>
      <x:c r="D1905" t="n">
        <x:v>120</x:v>
      </x:c>
      <x:c r="E1905" t="n">
        <x:v>130</x:v>
      </x:c>
      <x:c r="F1905" s="10" t="str">
        <x:v>食材净重+约8%余量</x:v>
      </x:c>
      <x:c r="G1905" s="10" t="str">
        <x:v>净鱼肉生重</x:v>
      </x:c>
    </x:row>
    <x:row r="1906" ht="23" customHeight="1">
      <x:c r="A1906" t="n">
        <x:v>48</x:v>
      </x:c>
      <x:c r="B1906" t="str">
        <x:v>主食</x:v>
      </x:c>
      <x:c r="C1906" t="str">
        <x:v>乌冬面</x:v>
      </x:c>
      <x:c r="D1906" t="n">
        <x:v>125</x:v>
      </x:c>
      <x:c r="E1906" t="n">
        <x:v>60</x:v>
      </x:c>
      <x:c r="F1906" s="10" t="str">
        <x:v>干粮约重（按熟面/干面≈2.1估算）</x:v>
      </x:c>
      <x:c r="G1906" s="10" t="str">
        <x:v>煮熟沥水重</x:v>
      </x:c>
    </x:row>
    <x:row r="1907" ht="23" customHeight="1">
      <x:c r="A1907" t="n">
        <x:v>48</x:v>
      </x:c>
      <x:c r="B1907" t="str">
        <x:v>主食</x:v>
      </x:c>
      <x:c r="C1907" t="str">
        <x:v>全麦面</x:v>
      </x:c>
      <x:c r="D1907" t="n">
        <x:v>165</x:v>
      </x:c>
      <x:c r="E1907" t="n">
        <x:v>80</x:v>
      </x:c>
      <x:c r="F1907" s="10" t="str">
        <x:v>干粮约重（按熟面/干面≈2.1估算）</x:v>
      </x:c>
      <x:c r="G1907" s="10" t="str">
        <x:v>煮熟沥水重</x:v>
      </x:c>
    </x:row>
    <x:row r="1908" ht="23" customHeight="1">
      <x:c r="A1908" t="n">
        <x:v>48</x:v>
      </x:c>
      <x:c r="B1908" t="str">
        <x:v>主食</x:v>
      </x:c>
      <x:c r="C1908" t="str">
        <x:v>山药</x:v>
      </x:c>
      <x:c r="D1908" t="n">
        <x:v>165</x:v>
      </x:c>
      <x:c r="E1908" t="n">
        <x:v>180</x:v>
      </x:c>
      <x:c r="F1908" s="10" t="str">
        <x:v>鲜薯/玉米净重；考虑小幅损耗</x:v>
      </x:c>
      <x:c r="G1908" s="10" t="str">
        <x:v>蒸熟净重</x:v>
      </x:c>
    </x:row>
    <x:row r="1909" ht="23" customHeight="1">
      <x:c r="A1909" t="n">
        <x:v>48</x:v>
      </x:c>
      <x:c r="B1909" t="str">
        <x:v>主食</x:v>
      </x:c>
      <x:c r="C1909" t="str">
        <x:v>燕麦饭</x:v>
      </x:c>
      <x:c r="D1909" t="n">
        <x:v>270</x:v>
      </x:c>
      <x:c r="E1909" t="n">
        <x:v>100</x:v>
      </x:c>
      <x:c r="F1909" s="10" t="str">
        <x:v>未煮干粮约重（按熟饭/生米≈2.6估算）</x:v>
      </x:c>
      <x:c r="G1909" s="10" t="str">
        <x:v>熟重</x:v>
      </x:c>
    </x:row>
    <x:row r="1910" ht="23" customHeight="1">
      <x:c r="A1910" t="n">
        <x:v>48</x:v>
      </x:c>
      <x:c r="B1910" t="str">
        <x:v>主食</x:v>
      </x:c>
      <x:c r="C1910" t="str">
        <x:v>玉米</x:v>
      </x:c>
      <x:c r="D1910" t="n">
        <x:v>80</x:v>
      </x:c>
      <x:c r="E1910" t="n">
        <x:v>90</x:v>
      </x:c>
      <x:c r="F1910" s="10" t="str">
        <x:v>鲜薯/玉米净重；考虑小幅损耗</x:v>
      </x:c>
      <x:c r="G1910" s="10" t="str">
        <x:v>蒸熟净重</x:v>
      </x:c>
    </x:row>
    <x:row r="1911" ht="23" customHeight="1">
      <x:c r="A1911" t="n">
        <x:v>48</x:v>
      </x:c>
      <x:c r="B1911" t="str">
        <x:v>主食</x:v>
      </x:c>
      <x:c r="C1911" t="str">
        <x:v>白米饭</x:v>
      </x:c>
      <x:c r="D1911" t="n">
        <x:v>215</x:v>
      </x:c>
      <x:c r="E1911" t="n">
        <x:v>80</x:v>
      </x:c>
      <x:c r="F1911" s="10" t="str">
        <x:v>未煮干粮约重（按熟饭/生米≈2.6估算）</x:v>
      </x:c>
      <x:c r="G1911" s="10" t="str">
        <x:v>熟重</x:v>
      </x:c>
    </x:row>
    <x:row r="1912" ht="23" customHeight="1">
      <x:c r="A1912" t="n">
        <x:v>48</x:v>
      </x:c>
      <x:c r="B1912" t="str">
        <x:v>主食</x:v>
      </x:c>
      <x:c r="C1912" t="str">
        <x:v>糙米饭</x:v>
      </x:c>
      <x:c r="D1912" t="n">
        <x:v>490</x:v>
      </x:c>
      <x:c r="E1912" t="n">
        <x:v>190</x:v>
      </x:c>
      <x:c r="F1912" s="10" t="str">
        <x:v>未煮干粮约重（按熟饭/生米≈2.6估算）</x:v>
      </x:c>
      <x:c r="G1912" s="10" t="str">
        <x:v>熟重</x:v>
      </x:c>
    </x:row>
    <x:row r="1913" ht="23" customHeight="1">
      <x:c r="A1913" t="n">
        <x:v>48</x:v>
      </x:c>
      <x:c r="B1913" t="str">
        <x:v>低主食</x:v>
      </x:c>
      <x:c r="C1913" t="str">
        <x:v>魔芋丝</x:v>
      </x:c>
      <x:c r="D1913" t="n">
        <x:v>130</x:v>
      </x:c>
      <x:c r="E1913" t="n">
        <x:v>140</x:v>
      </x:c>
      <x:c r="F1913" s="10" t="str">
        <x:v>袋装沥水净重</x:v>
      </x:c>
      <x:c r="G1913" s="10" t="str">
        <x:v>沥水重</x:v>
      </x:c>
    </x:row>
    <x:row r="1914" ht="23" customHeight="1">
      <x:c r="A1914" t="n">
        <x:v>48</x:v>
      </x:c>
      <x:c r="B1914" t="str">
        <x:v>油脂</x:v>
      </x:c>
      <x:c r="C1914" t="str">
        <x:v>烹调油</x:v>
      </x:c>
      <x:c r="D1914" t="n">
        <x:v>64</x:v>
      </x:c>
      <x:c r="E1914" t="n">
        <x:v>64</x:v>
      </x:c>
      <x:c r="F1914" s="10" t="str">
        <x:v>食用油；现有库存足够即可</x:v>
      </x:c>
      <x:c r="G1914" s="10" t="str">
        <x:v>实际用油重</x:v>
      </x:c>
    </x:row>
    <x:row r="1915" ht="23" customHeight="1">
      <x:c r="A1915" t="n">
        <x:v>48</x:v>
      </x:c>
      <x:c r="B1915" t="str">
        <x:v>海鲜</x:v>
      </x:c>
      <x:c r="C1915" t="str">
        <x:v>扇贝肉</x:v>
      </x:c>
      <x:c r="D1915" t="n">
        <x:v>360</x:v>
      </x:c>
      <x:c r="E1915" t="n">
        <x:v>390</x:v>
      </x:c>
      <x:c r="F1915" s="10" t="str">
        <x:v>食材净重+约8%余量；带壳或带骨采购需另折算</x:v>
      </x:c>
      <x:c r="G1915" s="10" t="str">
        <x:v>生重</x:v>
      </x:c>
    </x:row>
    <x:row r="1916" ht="23" customHeight="1">
      <x:c r="A1916" t="n">
        <x:v>48</x:v>
      </x:c>
      <x:c r="B1916" t="str">
        <x:v>海鲜</x:v>
      </x:c>
      <x:c r="C1916" t="str">
        <x:v>虾仁</x:v>
      </x:c>
      <x:c r="D1916" t="n">
        <x:v>85</x:v>
      </x:c>
      <x:c r="E1916" t="n">
        <x:v>90</x:v>
      </x:c>
      <x:c r="F1916" s="10" t="str">
        <x:v>食材净重+约8%余量</x:v>
      </x:c>
      <x:c r="G1916" s="10" t="str">
        <x:v>生重</x:v>
      </x:c>
    </x:row>
    <x:row r="1917" ht="23" customHeight="1">
      <x:c r="A1917" t="n">
        <x:v>48</x:v>
      </x:c>
      <x:c r="B1917" t="str">
        <x:v>海鲜</x:v>
      </x:c>
      <x:c r="C1917" t="str">
        <x:v>鱿鱼</x:v>
      </x:c>
      <x:c r="D1917" t="n">
        <x:v>190</x:v>
      </x:c>
      <x:c r="E1917" t="n">
        <x:v>210</x:v>
      </x:c>
      <x:c r="F1917" s="10" t="str">
        <x:v>食材净重+约8%余量</x:v>
      </x:c>
      <x:c r="G1917" s="10" t="str">
        <x:v>生重</x:v>
      </x:c>
    </x:row>
    <x:row r="1918" ht="23" customHeight="1">
      <x:c r="A1918" t="n">
        <x:v>48</x:v>
      </x:c>
      <x:c r="B1918" t="str">
        <x:v>牛肉</x:v>
      </x:c>
      <x:c r="C1918" t="str">
        <x:v>牛腱子</x:v>
      </x:c>
      <x:c r="D1918" t="n">
        <x:v>160</x:v>
      </x:c>
      <x:c r="E1918" t="n">
        <x:v>170</x:v>
      </x:c>
      <x:c r="F1918" s="10" t="str">
        <x:v>食材净重+约8%余量</x:v>
      </x:c>
      <x:c r="G1918" s="10" t="str">
        <x:v>生重</x:v>
      </x:c>
    </x:row>
    <x:row r="1919" ht="23" customHeight="1">
      <x:c r="A1919" t="n">
        <x:v>48</x:v>
      </x:c>
      <x:c r="B1919" t="str">
        <x:v>牛肉</x:v>
      </x:c>
      <x:c r="C1919" t="str">
        <x:v>牛里脊</x:v>
      </x:c>
      <x:c r="D1919" t="n">
        <x:v>170</x:v>
      </x:c>
      <x:c r="E1919" t="n">
        <x:v>180</x:v>
      </x:c>
      <x:c r="F1919" s="10" t="str">
        <x:v>食材净重+约8%余量</x:v>
      </x:c>
      <x:c r="G1919" s="10" t="str">
        <x:v>生重</x:v>
      </x:c>
    </x:row>
    <x:row r="1920" ht="23" customHeight="1">
      <x:c r="A1920" t="n">
        <x:v>48</x:v>
      </x:c>
      <x:c r="B1920" t="str">
        <x:v>牛肉</x:v>
      </x:c>
      <x:c r="C1920" t="str">
        <x:v>瘦牛肉</x:v>
      </x:c>
      <x:c r="D1920" t="n">
        <x:v>330</x:v>
      </x:c>
      <x:c r="E1920" t="n">
        <x:v>360</x:v>
      </x:c>
      <x:c r="F1920" s="10" t="str">
        <x:v>食材净重+约8%余量</x:v>
      </x:c>
      <x:c r="G1920" s="10" t="str">
        <x:v>生重</x:v>
      </x:c>
    </x:row>
    <x:row r="1921" ht="23" customHeight="1">
      <x:c r="A1921" t="n">
        <x:v>48</x:v>
      </x:c>
      <x:c r="B1921" t="str">
        <x:v>猪肉</x:v>
      </x:c>
      <x:c r="C1921" t="str">
        <x:v>猪里脊</x:v>
      </x:c>
      <x:c r="D1921" t="n">
        <x:v>185</x:v>
      </x:c>
      <x:c r="E1921" t="n">
        <x:v>200</x:v>
      </x:c>
      <x:c r="F1921" s="10" t="str">
        <x:v>食材净重+约8%余量</x:v>
      </x:c>
      <x:c r="G1921" s="10" t="str">
        <x:v>生重</x:v>
      </x:c>
    </x:row>
    <x:row r="1922" ht="23" customHeight="1">
      <x:c r="A1922" t="n">
        <x:v>48</x:v>
      </x:c>
      <x:c r="B1922" t="str">
        <x:v>禽肉</x:v>
      </x:c>
      <x:c r="C1922" t="str">
        <x:v>去皮鸡腿肉</x:v>
      </x:c>
      <x:c r="D1922" t="n">
        <x:v>145</x:v>
      </x:c>
      <x:c r="E1922" t="n">
        <x:v>160</x:v>
      </x:c>
      <x:c r="F1922" s="10" t="str">
        <x:v>食材净重+约8%余量</x:v>
      </x:c>
      <x:c r="G1922" s="10" t="str">
        <x:v>生重</x:v>
      </x:c>
    </x:row>
    <x:row r="1923" ht="23" customHeight="1">
      <x:c r="A1923" t="n">
        <x:v>48</x:v>
      </x:c>
      <x:c r="B1923" t="str">
        <x:v>菌菇</x:v>
      </x:c>
      <x:c r="C1923" t="str">
        <x:v>口蘑</x:v>
      </x:c>
      <x:c r="D1923" t="n">
        <x:v>265</x:v>
      </x:c>
      <x:c r="E1923" t="n">
        <x:v>290</x:v>
      </x:c>
      <x:c r="F1923" s="10" t="str">
        <x:v>食材净重+约8%余量</x:v>
      </x:c>
      <x:c r="G1923" s="10" t="str">
        <x:v>生重</x:v>
      </x:c>
    </x:row>
    <x:row r="1924" ht="23" customHeight="1">
      <x:c r="A1924" t="n">
        <x:v>48</x:v>
      </x:c>
      <x:c r="B1924" t="str">
        <x:v>菌菇</x:v>
      </x:c>
      <x:c r="C1924" t="str">
        <x:v>泡发木耳</x:v>
      </x:c>
      <x:c r="D1924" t="n">
        <x:v>125</x:v>
      </x:c>
      <x:c r="E1924" t="n">
        <x:v>140</x:v>
      </x:c>
      <x:c r="F1924" s="10" t="str">
        <x:v>食材净重+约8%余量</x:v>
      </x:c>
      <x:c r="G1924" s="10" t="str">
        <x:v>泡发沥水重</x:v>
      </x:c>
    </x:row>
    <x:row r="1925" ht="23" customHeight="1">
      <x:c r="A1925" t="n">
        <x:v>48</x:v>
      </x:c>
      <x:c r="B1925" t="str">
        <x:v>菌菇</x:v>
      </x:c>
      <x:c r="C1925" t="str">
        <x:v>金针菇</x:v>
      </x:c>
      <x:c r="D1925" t="n">
        <x:v>375</x:v>
      </x:c>
      <x:c r="E1925" t="n">
        <x:v>400</x:v>
      </x:c>
      <x:c r="F1925" s="10" t="str">
        <x:v>食材净重+约8%余量</x:v>
      </x:c>
      <x:c r="G1925" s="10" t="str">
        <x:v>生重</x:v>
      </x:c>
    </x:row>
    <x:row r="1926" ht="23" customHeight="1">
      <x:c r="A1926" t="n">
        <x:v>48</x:v>
      </x:c>
      <x:c r="B1926" t="str">
        <x:v>菌菇</x:v>
      </x:c>
      <x:c r="C1926" t="str">
        <x:v>香菇</x:v>
      </x:c>
      <x:c r="D1926" t="n">
        <x:v>265</x:v>
      </x:c>
      <x:c r="E1926" t="n">
        <x:v>290</x:v>
      </x:c>
      <x:c r="F1926" s="10" t="str">
        <x:v>食材净重+约8%余量</x:v>
      </x:c>
      <x:c r="G1926" s="10" t="str">
        <x:v>生重</x:v>
      </x:c>
    </x:row>
    <x:row r="1927" ht="23" customHeight="1">
      <x:c r="A1927" t="n">
        <x:v>48</x:v>
      </x:c>
      <x:c r="B1927" t="str">
        <x:v>蔬菜</x:v>
      </x:c>
      <x:c r="C1927" t="str">
        <x:v>丝瓜</x:v>
      </x:c>
      <x:c r="D1927" t="n">
        <x:v>110</x:v>
      </x:c>
      <x:c r="E1927" t="n">
        <x:v>120</x:v>
      </x:c>
      <x:c r="F1927" s="10" t="str">
        <x:v>食材净重+约8%余量</x:v>
      </x:c>
      <x:c r="G1927" s="10" t="str">
        <x:v>生重</x:v>
      </x:c>
    </x:row>
    <x:row r="1928" ht="23" customHeight="1">
      <x:c r="A1928" t="n">
        <x:v>48</x:v>
      </x:c>
      <x:c r="B1928" t="str">
        <x:v>蔬菜</x:v>
      </x:c>
      <x:c r="C1928" t="str">
        <x:v>冬瓜</x:v>
      </x:c>
      <x:c r="D1928" t="n">
        <x:v>300</x:v>
      </x:c>
      <x:c r="E1928" t="n">
        <x:v>320</x:v>
      </x:c>
      <x:c r="F1928" s="10" t="str">
        <x:v>食材净重+约8%余量</x:v>
      </x:c>
      <x:c r="G1928" s="10" t="str">
        <x:v>生重</x:v>
      </x:c>
    </x:row>
    <x:row r="1929" ht="23" customHeight="1">
      <x:c r="A1929" t="n">
        <x:v>48</x:v>
      </x:c>
      <x:c r="B1929" t="str">
        <x:v>蔬菜</x:v>
      </x:c>
      <x:c r="C1929" t="str">
        <x:v>娃娃菜</x:v>
      </x:c>
      <x:c r="D1929" t="n">
        <x:v>320</x:v>
      </x:c>
      <x:c r="E1929" t="n">
        <x:v>350</x:v>
      </x:c>
      <x:c r="F1929" s="10" t="str">
        <x:v>食材净重+约8%余量</x:v>
      </x:c>
      <x:c r="G1929" s="10" t="str">
        <x:v>生重</x:v>
      </x:c>
    </x:row>
    <x:row r="1930" ht="23" customHeight="1">
      <x:c r="A1930" t="n">
        <x:v>48</x:v>
      </x:c>
      <x:c r="B1930" t="str">
        <x:v>蔬菜</x:v>
      </x:c>
      <x:c r="C1930" t="str">
        <x:v>彩椒</x:v>
      </x:c>
      <x:c r="D1930" t="n">
        <x:v>235</x:v>
      </x:c>
      <x:c r="E1930" t="n">
        <x:v>250</x:v>
      </x:c>
      <x:c r="F1930" s="10" t="str">
        <x:v>食材净重+约8%余量</x:v>
      </x:c>
      <x:c r="G1930" s="10" t="str">
        <x:v>生重</x:v>
      </x:c>
    </x:row>
    <x:row r="1931" ht="23" customHeight="1">
      <x:c r="A1931" t="n">
        <x:v>48</x:v>
      </x:c>
      <x:c r="B1931" t="str">
        <x:v>蔬菜</x:v>
      </x:c>
      <x:c r="C1931" t="str">
        <x:v>油麦菜</x:v>
      </x:c>
      <x:c r="D1931" t="n">
        <x:v>160</x:v>
      </x:c>
      <x:c r="E1931" t="n">
        <x:v>170</x:v>
      </x:c>
      <x:c r="F1931" s="10" t="str">
        <x:v>食材净重+约8%余量</x:v>
      </x:c>
      <x:c r="G1931" s="10" t="str">
        <x:v>生重</x:v>
      </x:c>
    </x:row>
    <x:row r="1932" ht="23" customHeight="1">
      <x:c r="A1932" t="n">
        <x:v>48</x:v>
      </x:c>
      <x:c r="B1932" t="str">
        <x:v>蔬菜</x:v>
      </x:c>
      <x:c r="C1932" t="str">
        <x:v>洋葱</x:v>
      </x:c>
      <x:c r="D1932" t="n">
        <x:v>140</x:v>
      </x:c>
      <x:c r="E1932" t="n">
        <x:v>150</x:v>
      </x:c>
      <x:c r="F1932" s="10" t="str">
        <x:v>食材净重+约8%余量</x:v>
      </x:c>
      <x:c r="G1932" s="10" t="str">
        <x:v>生重</x:v>
      </x:c>
    </x:row>
    <x:row r="1933" ht="23" customHeight="1">
      <x:c r="A1933" t="n">
        <x:v>48</x:v>
      </x:c>
      <x:c r="B1933" t="str">
        <x:v>蔬菜</x:v>
      </x:c>
      <x:c r="C1933" t="str">
        <x:v>番茄</x:v>
      </x:c>
      <x:c r="D1933" t="n">
        <x:v>615</x:v>
      </x:c>
      <x:c r="E1933" t="n">
        <x:v>660</x:v>
      </x:c>
      <x:c r="F1933" s="10" t="str">
        <x:v>食材净重+约8%余量</x:v>
      </x:c>
      <x:c r="G1933" s="10" t="str">
        <x:v>生重</x:v>
      </x:c>
    </x:row>
    <x:row r="1934" ht="23" customHeight="1">
      <x:c r="A1934" t="n">
        <x:v>48</x:v>
      </x:c>
      <x:c r="B1934" t="str">
        <x:v>蔬菜</x:v>
      </x:c>
      <x:c r="C1934" t="str">
        <x:v>白萝卜</x:v>
      </x:c>
      <x:c r="D1934" t="n">
        <x:v>155</x:v>
      </x:c>
      <x:c r="E1934" t="n">
        <x:v>170</x:v>
      </x:c>
      <x:c r="F1934" s="10" t="str">
        <x:v>食材净重+约8%余量</x:v>
      </x:c>
      <x:c r="G1934" s="10" t="str">
        <x:v>生重</x:v>
      </x:c>
    </x:row>
    <x:row r="1935" ht="23" customHeight="1">
      <x:c r="A1935" t="n">
        <x:v>48</x:v>
      </x:c>
      <x:c r="B1935" t="str">
        <x:v>蔬菜</x:v>
      </x:c>
      <x:c r="C1935" t="str">
        <x:v>竹笋</x:v>
      </x:c>
      <x:c r="D1935" t="n">
        <x:v>140</x:v>
      </x:c>
      <x:c r="E1935" t="n">
        <x:v>150</x:v>
      </x:c>
      <x:c r="F1935" s="10" t="str">
        <x:v>食材净重+约8%余量</x:v>
      </x:c>
      <x:c r="G1935" s="10" t="str">
        <x:v>生重</x:v>
      </x:c>
    </x:row>
    <x:row r="1936" ht="23" customHeight="1">
      <x:c r="A1936" t="n">
        <x:v>48</x:v>
      </x:c>
      <x:c r="B1936" t="str">
        <x:v>蔬菜</x:v>
      </x:c>
      <x:c r="C1936" t="str">
        <x:v>紫甘蓝</x:v>
      </x:c>
      <x:c r="D1936" t="n">
        <x:v>190</x:v>
      </x:c>
      <x:c r="E1936" t="n">
        <x:v>210</x:v>
      </x:c>
      <x:c r="F1936" s="10" t="str">
        <x:v>食材净重+约8%余量</x:v>
      </x:c>
      <x:c r="G1936" s="10" t="str">
        <x:v>生重</x:v>
      </x:c>
    </x:row>
    <x:row r="1937" ht="23" customHeight="1">
      <x:c r="A1937" t="n">
        <x:v>48</x:v>
      </x:c>
      <x:c r="B1937" t="str">
        <x:v>蔬菜</x:v>
      </x:c>
      <x:c r="C1937" t="str">
        <x:v>芹菜</x:v>
      </x:c>
      <x:c r="D1937" t="n">
        <x:v>175</x:v>
      </x:c>
      <x:c r="E1937" t="n">
        <x:v>190</x:v>
      </x:c>
      <x:c r="F1937" s="10" t="str">
        <x:v>食材净重+约8%余量</x:v>
      </x:c>
      <x:c r="G1937" s="10" t="str">
        <x:v>生重</x:v>
      </x:c>
    </x:row>
    <x:row r="1938" ht="23" customHeight="1">
      <x:c r="A1938" t="n">
        <x:v>48</x:v>
      </x:c>
      <x:c r="B1938" t="str">
        <x:v>蔬菜</x:v>
      </x:c>
      <x:c r="C1938" t="str">
        <x:v>莴笋</x:v>
      </x:c>
      <x:c r="D1938" t="n">
        <x:v>330</x:v>
      </x:c>
      <x:c r="E1938" t="n">
        <x:v>360</x:v>
      </x:c>
      <x:c r="F1938" s="10" t="str">
        <x:v>食材净重+约8%余量</x:v>
      </x:c>
      <x:c r="G1938" s="10" t="str">
        <x:v>生重</x:v>
      </x:c>
    </x:row>
    <x:row r="1939" ht="23" customHeight="1">
      <x:c r="A1939" t="n">
        <x:v>48</x:v>
      </x:c>
      <x:c r="B1939" t="str">
        <x:v>蔬菜</x:v>
      </x:c>
      <x:c r="C1939" t="str">
        <x:v>菜心</x:v>
      </x:c>
      <x:c r="D1939" t="n">
        <x:v>190</x:v>
      </x:c>
      <x:c r="E1939" t="n">
        <x:v>210</x:v>
      </x:c>
      <x:c r="F1939" s="10" t="str">
        <x:v>食材净重+约8%余量</x:v>
      </x:c>
      <x:c r="G1939" s="10" t="str">
        <x:v>生重</x:v>
      </x:c>
    </x:row>
    <x:row r="1940" ht="23" customHeight="1">
      <x:c r="A1940" t="n">
        <x:v>48</x:v>
      </x:c>
      <x:c r="B1940" t="str">
        <x:v>豆蛋</x:v>
      </x:c>
      <x:c r="C1940" t="str">
        <x:v>北豆腐</x:v>
      </x:c>
      <x:c r="D1940" t="n">
        <x:v>370</x:v>
      </x:c>
      <x:c r="E1940" t="n">
        <x:v>400</x:v>
      </x:c>
      <x:c r="F1940" s="10" t="str">
        <x:v>食材净重+约8%余量</x:v>
      </x:c>
      <x:c r="G1940" s="10" t="str">
        <x:v>净重</x:v>
      </x:c>
    </x:row>
    <x:row r="1941" ht="23" customHeight="1">
      <x:c r="A1941" t="n">
        <x:v>48</x:v>
      </x:c>
      <x:c r="B1941" t="str">
        <x:v>豆蛋</x:v>
      </x:c>
      <x:c r="C1941" t="str">
        <x:v>嫩豆腐</x:v>
      </x:c>
      <x:c r="D1941" t="n">
        <x:v>260</x:v>
      </x:c>
      <x:c r="E1941" t="n">
        <x:v>280</x:v>
      </x:c>
      <x:c r="F1941" s="10" t="str">
        <x:v>食材净重+约8%余量</x:v>
      </x:c>
      <x:c r="G1941" s="10" t="str">
        <x:v>净重</x:v>
      </x:c>
    </x:row>
    <x:row r="1942" ht="23" customHeight="1">
      <x:c r="A1942" t="n">
        <x:v>48</x:v>
      </x:c>
      <x:c r="B1942" t="str">
        <x:v>豆蛋</x:v>
      </x:c>
      <x:c r="C1942" t="str">
        <x:v>鸡蛋</x:v>
      </x:c>
      <x:c r="D1942" t="n">
        <x:v>170</x:v>
      </x:c>
      <x:c r="E1942" t="n">
        <x:v>180</x:v>
      </x:c>
      <x:c r="F1942" s="10" t="str">
        <x:v>食材净重+约8%余量</x:v>
      </x:c>
      <x:c r="G1942" s="10" t="str">
        <x:v>去壳可食重</x:v>
      </x:c>
    </x:row>
    <x:row r="1943" ht="23" customHeight="1">
      <x:c r="A1943" t="n">
        <x:v>48</x:v>
      </x:c>
      <x:c r="B1943" t="str">
        <x:v>鱼类</x:v>
      </x:c>
      <x:c r="C1943" t="str">
        <x:v>巴沙鱼</x:v>
      </x:c>
      <x:c r="D1943" t="n">
        <x:v>200</x:v>
      </x:c>
      <x:c r="E1943" t="n">
        <x:v>220</x:v>
      </x:c>
      <x:c r="F1943" s="10" t="str">
        <x:v>食材净重+约8%余量</x:v>
      </x:c>
      <x:c r="G1943" s="10" t="str">
        <x:v>净鱼肉生重</x:v>
      </x:c>
    </x:row>
    <x:row r="1944" ht="23" customHeight="1">
      <x:c r="A1944" t="n">
        <x:v>48</x:v>
      </x:c>
      <x:c r="B1944" t="str">
        <x:v>鱼类</x:v>
      </x:c>
      <x:c r="C1944" t="str">
        <x:v>鲈鱼</x:v>
      </x:c>
      <x:c r="D1944" t="n">
        <x:v>200</x:v>
      </x:c>
      <x:c r="E1944" t="n">
        <x:v>220</x:v>
      </x:c>
      <x:c r="F1944" s="10" t="str">
        <x:v>食材净重+约8%余量；带壳或带骨采购需另折算</x:v>
      </x:c>
      <x:c r="G1944" s="10" t="str">
        <x:v>净鱼肉生重</x:v>
      </x:c>
    </x:row>
    <x:row r="1945" ht="23" customHeight="1">
      <x:c r="A1945" t="n">
        <x:v>49</x:v>
      </x:c>
      <x:c r="B1945" t="str">
        <x:v>主食</x:v>
      </x:c>
      <x:c r="C1945" t="str">
        <x:v>土豆</x:v>
      </x:c>
      <x:c r="D1945" t="n">
        <x:v>170</x:v>
      </x:c>
      <x:c r="E1945" t="n">
        <x:v>190</x:v>
      </x:c>
      <x:c r="F1945" s="10" t="str">
        <x:v>鲜薯/玉米净重；考虑小幅损耗</x:v>
      </x:c>
      <x:c r="G1945" s="10" t="str">
        <x:v>蒸熟净重</x:v>
      </x:c>
    </x:row>
    <x:row r="1946" ht="23" customHeight="1">
      <x:c r="A1946" t="n">
        <x:v>49</x:v>
      </x:c>
      <x:c r="B1946" t="str">
        <x:v>主食</x:v>
      </x:c>
      <x:c r="C1946" t="str">
        <x:v>山药</x:v>
      </x:c>
      <x:c r="D1946" t="n">
        <x:v>110</x:v>
      </x:c>
      <x:c r="E1946" t="n">
        <x:v>120</x:v>
      </x:c>
      <x:c r="F1946" s="10" t="str">
        <x:v>鲜薯/玉米净重；考虑小幅损耗</x:v>
      </x:c>
      <x:c r="G1946" s="10" t="str">
        <x:v>蒸熟净重</x:v>
      </x:c>
    </x:row>
    <x:row r="1947" ht="23" customHeight="1">
      <x:c r="A1947" t="n">
        <x:v>49</x:v>
      </x:c>
      <x:c r="B1947" t="str">
        <x:v>主食</x:v>
      </x:c>
      <x:c r="C1947" t="str">
        <x:v>杂粮饭</x:v>
      </x:c>
      <x:c r="D1947" t="n">
        <x:v>520</x:v>
      </x:c>
      <x:c r="E1947" t="n">
        <x:v>200</x:v>
      </x:c>
      <x:c r="F1947" s="10" t="str">
        <x:v>未煮干粮约重（按熟饭/生米≈2.6估算）</x:v>
      </x:c>
      <x:c r="G1947" s="10" t="str">
        <x:v>熟重</x:v>
      </x:c>
    </x:row>
    <x:row r="1948" ht="23" customHeight="1">
      <x:c r="A1948" t="n">
        <x:v>49</x:v>
      </x:c>
      <x:c r="B1948" t="str">
        <x:v>主食</x:v>
      </x:c>
      <x:c r="C1948" t="str">
        <x:v>米粉</x:v>
      </x:c>
      <x:c r="D1948" t="n">
        <x:v>95</x:v>
      </x:c>
      <x:c r="E1948" t="n">
        <x:v>50</x:v>
      </x:c>
      <x:c r="F1948" s="10" t="str">
        <x:v>干粮约重（按熟面/干面≈2.1估算）</x:v>
      </x:c>
      <x:c r="G1948" s="10" t="str">
        <x:v>煮熟沥水重</x:v>
      </x:c>
    </x:row>
    <x:row r="1949" ht="23" customHeight="1">
      <x:c r="A1949" t="n">
        <x:v>49</x:v>
      </x:c>
      <x:c r="B1949" t="str">
        <x:v>主食</x:v>
      </x:c>
      <x:c r="C1949" t="str">
        <x:v>糙米饭</x:v>
      </x:c>
      <x:c r="D1949" t="n">
        <x:v>345</x:v>
      </x:c>
      <x:c r="E1949" t="n">
        <x:v>130</x:v>
      </x:c>
      <x:c r="F1949" s="10" t="str">
        <x:v>未煮干粮约重（按熟饭/生米≈2.6估算）</x:v>
      </x:c>
      <x:c r="G1949" s="10" t="str">
        <x:v>熟重</x:v>
      </x:c>
    </x:row>
    <x:row r="1950" ht="23" customHeight="1">
      <x:c r="A1950" t="n">
        <x:v>49</x:v>
      </x:c>
      <x:c r="B1950" t="str">
        <x:v>主食</x:v>
      </x:c>
      <x:c r="C1950" t="str">
        <x:v>紫薯</x:v>
      </x:c>
      <x:c r="D1950" t="n">
        <x:v>125</x:v>
      </x:c>
      <x:c r="E1950" t="n">
        <x:v>140</x:v>
      </x:c>
      <x:c r="F1950" s="10" t="str">
        <x:v>鲜薯/玉米净重；考虑小幅损耗</x:v>
      </x:c>
      <x:c r="G1950" s="10" t="str">
        <x:v>蒸熟净重</x:v>
      </x:c>
    </x:row>
    <x:row r="1951" ht="23" customHeight="1">
      <x:c r="A1951" t="n">
        <x:v>49</x:v>
      </x:c>
      <x:c r="B1951" t="str">
        <x:v>主食</x:v>
      </x:c>
      <x:c r="C1951" t="str">
        <x:v>荞麦面</x:v>
      </x:c>
      <x:c r="D1951" t="n">
        <x:v>165</x:v>
      </x:c>
      <x:c r="E1951" t="n">
        <x:v>80</x:v>
      </x:c>
      <x:c r="F1951" s="10" t="str">
        <x:v>干粮约重（按熟面/干面≈2.1估算）</x:v>
      </x:c>
      <x:c r="G1951" s="10" t="str">
        <x:v>煮熟沥水重</x:v>
      </x:c>
    </x:row>
    <x:row r="1952" ht="23" customHeight="1">
      <x:c r="A1952" t="n">
        <x:v>49</x:v>
      </x:c>
      <x:c r="B1952" t="str">
        <x:v>主食</x:v>
      </x:c>
      <x:c r="C1952" t="str">
        <x:v>荞麦饭</x:v>
      </x:c>
      <x:c r="D1952" t="n">
        <x:v>135</x:v>
      </x:c>
      <x:c r="E1952" t="n">
        <x:v>50</x:v>
      </x:c>
      <x:c r="F1952" s="10" t="str">
        <x:v>未煮干粮约重（按熟饭/生米≈2.6估算）</x:v>
      </x:c>
      <x:c r="G1952" s="10" t="str">
        <x:v>熟重</x:v>
      </x:c>
    </x:row>
    <x:row r="1953" ht="23" customHeight="1">
      <x:c r="A1953" t="n">
        <x:v>49</x:v>
      </x:c>
      <x:c r="B1953" t="str">
        <x:v>主食</x:v>
      </x:c>
      <x:c r="C1953" t="str">
        <x:v>藜麦饭</x:v>
      </x:c>
      <x:c r="D1953" t="n">
        <x:v>135</x:v>
      </x:c>
      <x:c r="E1953" t="n">
        <x:v>50</x:v>
      </x:c>
      <x:c r="F1953" s="10" t="str">
        <x:v>未煮干粮约重（按熟饭/生米≈2.6估算）</x:v>
      </x:c>
      <x:c r="G1953" s="10" t="str">
        <x:v>熟重</x:v>
      </x:c>
    </x:row>
    <x:row r="1954" ht="23" customHeight="1">
      <x:c r="A1954" t="n">
        <x:v>49</x:v>
      </x:c>
      <x:c r="B1954" t="str">
        <x:v>油脂</x:v>
      </x:c>
      <x:c r="C1954" t="str">
        <x:v>烹调油</x:v>
      </x:c>
      <x:c r="D1954" t="n">
        <x:v>62</x:v>
      </x:c>
      <x:c r="E1954" t="n">
        <x:v>62</x:v>
      </x:c>
      <x:c r="F1954" s="10" t="str">
        <x:v>食用油；现有库存足够即可</x:v>
      </x:c>
      <x:c r="G1954" s="10" t="str">
        <x:v>实际用油重</x:v>
      </x:c>
    </x:row>
    <x:row r="1955" ht="23" customHeight="1">
      <x:c r="A1955" t="n">
        <x:v>49</x:v>
      </x:c>
      <x:c r="B1955" t="str">
        <x:v>海鲜</x:v>
      </x:c>
      <x:c r="C1955" t="str">
        <x:v>虾仁</x:v>
      </x:c>
      <x:c r="D1955" t="n">
        <x:v>365</x:v>
      </x:c>
      <x:c r="E1955" t="n">
        <x:v>390</x:v>
      </x:c>
      <x:c r="F1955" s="10" t="str">
        <x:v>食材净重+约8%余量</x:v>
      </x:c>
      <x:c r="G1955" s="10" t="str">
        <x:v>生重</x:v>
      </x:c>
    </x:row>
    <x:row r="1956" ht="23" customHeight="1">
      <x:c r="A1956" t="n">
        <x:v>49</x:v>
      </x:c>
      <x:c r="B1956" t="str">
        <x:v>牛肉</x:v>
      </x:c>
      <x:c r="C1956" t="str">
        <x:v>瘦牛肉</x:v>
      </x:c>
      <x:c r="D1956" t="n">
        <x:v>145</x:v>
      </x:c>
      <x:c r="E1956" t="n">
        <x:v>160</x:v>
      </x:c>
      <x:c r="F1956" s="10" t="str">
        <x:v>食材净重+约8%余量</x:v>
      </x:c>
      <x:c r="G1956" s="10" t="str">
        <x:v>生重</x:v>
      </x:c>
    </x:row>
    <x:row r="1957" ht="23" customHeight="1">
      <x:c r="A1957" t="n">
        <x:v>49</x:v>
      </x:c>
      <x:c r="B1957" t="str">
        <x:v>猪肉</x:v>
      </x:c>
      <x:c r="C1957" t="str">
        <x:v>猪瘦肉</x:v>
      </x:c>
      <x:c r="D1957" t="n">
        <x:v>175</x:v>
      </x:c>
      <x:c r="E1957" t="n">
        <x:v>190</x:v>
      </x:c>
      <x:c r="F1957" s="10" t="str">
        <x:v>食材净重+约8%余量</x:v>
      </x:c>
      <x:c r="G1957" s="10" t="str">
        <x:v>生重</x:v>
      </x:c>
    </x:row>
    <x:row r="1958" ht="23" customHeight="1">
      <x:c r="A1958" t="n">
        <x:v>49</x:v>
      </x:c>
      <x:c r="B1958" t="str">
        <x:v>猪肉</x:v>
      </x:c>
      <x:c r="C1958" t="str">
        <x:v>猪里脊</x:v>
      </x:c>
      <x:c r="D1958" t="n">
        <x:v>465</x:v>
      </x:c>
      <x:c r="E1958" t="n">
        <x:v>500</x:v>
      </x:c>
      <x:c r="F1958" s="10" t="str">
        <x:v>食材净重+约8%余量</x:v>
      </x:c>
      <x:c r="G1958" s="10" t="str">
        <x:v>生重</x:v>
      </x:c>
    </x:row>
    <x:row r="1959" ht="23" customHeight="1">
      <x:c r="A1959" t="n">
        <x:v>49</x:v>
      </x:c>
      <x:c r="B1959" t="str">
        <x:v>禽肉</x:v>
      </x:c>
      <x:c r="C1959" t="str">
        <x:v>去皮鸡腿肉</x:v>
      </x:c>
      <x:c r="D1959" t="n">
        <x:v>515</x:v>
      </x:c>
      <x:c r="E1959" t="n">
        <x:v>560</x:v>
      </x:c>
      <x:c r="F1959" s="10" t="str">
        <x:v>食材净重+约8%余量</x:v>
      </x:c>
      <x:c r="G1959" s="10" t="str">
        <x:v>生重</x:v>
      </x:c>
    </x:row>
    <x:row r="1960" ht="23" customHeight="1">
      <x:c r="A1960" t="n">
        <x:v>49</x:v>
      </x:c>
      <x:c r="B1960" t="str">
        <x:v>禽肉</x:v>
      </x:c>
      <x:c r="C1960" t="str">
        <x:v>鸡胸肉</x:v>
      </x:c>
      <x:c r="D1960" t="n">
        <x:v>345</x:v>
      </x:c>
      <x:c r="E1960" t="n">
        <x:v>370</x:v>
      </x:c>
      <x:c r="F1960" s="10" t="str">
        <x:v>食材净重+约8%余量</x:v>
      </x:c>
      <x:c r="G1960" s="10" t="str">
        <x:v>生重</x:v>
      </x:c>
    </x:row>
    <x:row r="1961" ht="23" customHeight="1">
      <x:c r="A1961" t="n">
        <x:v>49</x:v>
      </x:c>
      <x:c r="B1961" t="str">
        <x:v>菌菇</x:v>
      </x:c>
      <x:c r="C1961" t="str">
        <x:v>口蘑</x:v>
      </x:c>
      <x:c r="D1961" t="n">
        <x:v>405</x:v>
      </x:c>
      <x:c r="E1961" t="n">
        <x:v>440</x:v>
      </x:c>
      <x:c r="F1961" s="10" t="str">
        <x:v>食材净重+约8%余量</x:v>
      </x:c>
      <x:c r="G1961" s="10" t="str">
        <x:v>生重</x:v>
      </x:c>
    </x:row>
    <x:row r="1962" ht="23" customHeight="1">
      <x:c r="A1962" t="n">
        <x:v>49</x:v>
      </x:c>
      <x:c r="B1962" t="str">
        <x:v>菌菇</x:v>
      </x:c>
      <x:c r="C1962" t="str">
        <x:v>杏鲍菇</x:v>
      </x:c>
      <x:c r="D1962" t="n">
        <x:v>280</x:v>
      </x:c>
      <x:c r="E1962" t="n">
        <x:v>300</x:v>
      </x:c>
      <x:c r="F1962" s="10" t="str">
        <x:v>食材净重+约8%余量</x:v>
      </x:c>
      <x:c r="G1962" s="10" t="str">
        <x:v>生重</x:v>
      </x:c>
    </x:row>
    <x:row r="1963" ht="23" customHeight="1">
      <x:c r="A1963" t="n">
        <x:v>49</x:v>
      </x:c>
      <x:c r="B1963" t="str">
        <x:v>菌菇</x:v>
      </x:c>
      <x:c r="C1963" t="str">
        <x:v>泡发木耳</x:v>
      </x:c>
      <x:c r="D1963" t="n">
        <x:v>140</x:v>
      </x:c>
      <x:c r="E1963" t="n">
        <x:v>150</x:v>
      </x:c>
      <x:c r="F1963" s="10" t="str">
        <x:v>食材净重+约8%余量</x:v>
      </x:c>
      <x:c r="G1963" s="10" t="str">
        <x:v>泡发沥水重</x:v>
      </x:c>
    </x:row>
    <x:row r="1964" ht="23" customHeight="1">
      <x:c r="A1964" t="n">
        <x:v>49</x:v>
      </x:c>
      <x:c r="B1964" t="str">
        <x:v>蔬菜</x:v>
      </x:c>
      <x:c r="C1964" t="str">
        <x:v>大白菜</x:v>
      </x:c>
      <x:c r="D1964" t="n">
        <x:v>140</x:v>
      </x:c>
      <x:c r="E1964" t="n">
        <x:v>150</x:v>
      </x:c>
      <x:c r="F1964" s="10" t="str">
        <x:v>食材净重+约8%余量</x:v>
      </x:c>
      <x:c r="G1964" s="10" t="str">
        <x:v>生重</x:v>
      </x:c>
    </x:row>
    <x:row r="1965" ht="23" customHeight="1">
      <x:c r="A1965" t="n">
        <x:v>49</x:v>
      </x:c>
      <x:c r="B1965" t="str">
        <x:v>蔬菜</x:v>
      </x:c>
      <x:c r="C1965" t="str">
        <x:v>小白菜</x:v>
      </x:c>
      <x:c r="D1965" t="n">
        <x:v>440</x:v>
      </x:c>
      <x:c r="E1965" t="n">
        <x:v>480</x:v>
      </x:c>
      <x:c r="F1965" s="10" t="str">
        <x:v>食材净重+约8%余量</x:v>
      </x:c>
      <x:c r="G1965" s="10" t="str">
        <x:v>生重</x:v>
      </x:c>
    </x:row>
    <x:row r="1966" ht="23" customHeight="1">
      <x:c r="A1966" t="n">
        <x:v>49</x:v>
      </x:c>
      <x:c r="B1966" t="str">
        <x:v>蔬菜</x:v>
      </x:c>
      <x:c r="C1966" t="str">
        <x:v>彩椒</x:v>
      </x:c>
      <x:c r="D1966" t="n">
        <x:v>155</x:v>
      </x:c>
      <x:c r="E1966" t="n">
        <x:v>170</x:v>
      </x:c>
      <x:c r="F1966" s="10" t="str">
        <x:v>食材净重+约8%余量</x:v>
      </x:c>
      <x:c r="G1966" s="10" t="str">
        <x:v>生重</x:v>
      </x:c>
    </x:row>
    <x:row r="1967" ht="23" customHeight="1">
      <x:c r="A1967" t="n">
        <x:v>49</x:v>
      </x:c>
      <x:c r="B1967" t="str">
        <x:v>蔬菜</x:v>
      </x:c>
      <x:c r="C1967" t="str">
        <x:v>油麦菜</x:v>
      </x:c>
      <x:c r="D1967" t="n">
        <x:v>140</x:v>
      </x:c>
      <x:c r="E1967" t="n">
        <x:v>150</x:v>
      </x:c>
      <x:c r="F1967" s="10" t="str">
        <x:v>食材净重+约8%余量</x:v>
      </x:c>
      <x:c r="G1967" s="10" t="str">
        <x:v>生重</x:v>
      </x:c>
    </x:row>
    <x:row r="1968" ht="23" customHeight="1">
      <x:c r="A1968" t="n">
        <x:v>49</x:v>
      </x:c>
      <x:c r="B1968" t="str">
        <x:v>蔬菜</x:v>
      </x:c>
      <x:c r="C1968" t="str">
        <x:v>番茄</x:v>
      </x:c>
      <x:c r="D1968" t="n">
        <x:v>140</x:v>
      </x:c>
      <x:c r="E1968" t="n">
        <x:v>150</x:v>
      </x:c>
      <x:c r="F1968" s="10" t="str">
        <x:v>食材净重+约8%余量</x:v>
      </x:c>
      <x:c r="G1968" s="10" t="str">
        <x:v>生重</x:v>
      </x:c>
    </x:row>
    <x:row r="1969" ht="23" customHeight="1">
      <x:c r="A1969" t="n">
        <x:v>49</x:v>
      </x:c>
      <x:c r="B1969" t="str">
        <x:v>蔬菜</x:v>
      </x:c>
      <x:c r="C1969" t="str">
        <x:v>秋葵</x:v>
      </x:c>
      <x:c r="D1969" t="n">
        <x:v>190</x:v>
      </x:c>
      <x:c r="E1969" t="n">
        <x:v>210</x:v>
      </x:c>
      <x:c r="F1969" s="10" t="str">
        <x:v>食材净重+约8%余量</x:v>
      </x:c>
      <x:c r="G1969" s="10" t="str">
        <x:v>生重</x:v>
      </x:c>
    </x:row>
    <x:row r="1970" ht="23" customHeight="1">
      <x:c r="A1970" t="n">
        <x:v>49</x:v>
      </x:c>
      <x:c r="B1970" t="str">
        <x:v>蔬菜</x:v>
      </x:c>
      <x:c r="C1970" t="str">
        <x:v>紫甘蓝</x:v>
      </x:c>
      <x:c r="D1970" t="n">
        <x:v>335</x:v>
      </x:c>
      <x:c r="E1970" t="n">
        <x:v>360</x:v>
      </x:c>
      <x:c r="F1970" s="10" t="str">
        <x:v>食材净重+约8%余量</x:v>
      </x:c>
      <x:c r="G1970" s="10" t="str">
        <x:v>生重</x:v>
      </x:c>
    </x:row>
    <x:row r="1971" ht="23" customHeight="1">
      <x:c r="A1971" t="n">
        <x:v>49</x:v>
      </x:c>
      <x:c r="B1971" t="str">
        <x:v>蔬菜</x:v>
      </x:c>
      <x:c r="C1971" t="str">
        <x:v>绿豆芽</x:v>
      </x:c>
      <x:c r="D1971" t="n">
        <x:v>125</x:v>
      </x:c>
      <x:c r="E1971" t="n">
        <x:v>140</x:v>
      </x:c>
      <x:c r="F1971" s="10" t="str">
        <x:v>食材净重+约8%余量</x:v>
      </x:c>
      <x:c r="G1971" s="10" t="str">
        <x:v>生重</x:v>
      </x:c>
    </x:row>
    <x:row r="1972" ht="23" customHeight="1">
      <x:c r="A1972" t="n">
        <x:v>49</x:v>
      </x:c>
      <x:c r="B1972" t="str">
        <x:v>蔬菜</x:v>
      </x:c>
      <x:c r="C1972" t="str">
        <x:v>芦笋</x:v>
      </x:c>
      <x:c r="D1972" t="n">
        <x:v>110</x:v>
      </x:c>
      <x:c r="E1972" t="n">
        <x:v>120</x:v>
      </x:c>
      <x:c r="F1972" s="10" t="str">
        <x:v>食材净重+约8%余量</x:v>
      </x:c>
      <x:c r="G1972" s="10" t="str">
        <x:v>生重</x:v>
      </x:c>
    </x:row>
    <x:row r="1973" ht="23" customHeight="1">
      <x:c r="A1973" t="n">
        <x:v>49</x:v>
      </x:c>
      <x:c r="B1973" t="str">
        <x:v>蔬菜</x:v>
      </x:c>
      <x:c r="C1973" t="str">
        <x:v>花菜</x:v>
      </x:c>
      <x:c r="D1973" t="n">
        <x:v>330</x:v>
      </x:c>
      <x:c r="E1973" t="n">
        <x:v>360</x:v>
      </x:c>
      <x:c r="F1973" s="10" t="str">
        <x:v>食材净重+约8%余量</x:v>
      </x:c>
      <x:c r="G1973" s="10" t="str">
        <x:v>生重</x:v>
      </x:c>
    </x:row>
    <x:row r="1974" ht="23" customHeight="1">
      <x:c r="A1974" t="n">
        <x:v>49</x:v>
      </x:c>
      <x:c r="B1974" t="str">
        <x:v>蔬菜</x:v>
      </x:c>
      <x:c r="C1974" t="str">
        <x:v>芹菜</x:v>
      </x:c>
      <x:c r="D1974" t="n">
        <x:v>505</x:v>
      </x:c>
      <x:c r="E1974" t="n">
        <x:v>550</x:v>
      </x:c>
      <x:c r="F1974" s="10" t="str">
        <x:v>食材净重+约8%余量</x:v>
      </x:c>
      <x:c r="G1974" s="10" t="str">
        <x:v>生重</x:v>
      </x:c>
    </x:row>
    <x:row r="1975" ht="23" customHeight="1">
      <x:c r="A1975" t="n">
        <x:v>49</x:v>
      </x:c>
      <x:c r="B1975" t="str">
        <x:v>蔬菜</x:v>
      </x:c>
      <x:c r="C1975" t="str">
        <x:v>苦瓜</x:v>
      </x:c>
      <x:c r="D1975" t="n">
        <x:v>175</x:v>
      </x:c>
      <x:c r="E1975" t="n">
        <x:v>190</x:v>
      </x:c>
      <x:c r="F1975" s="10" t="str">
        <x:v>食材净重+约8%余量</x:v>
      </x:c>
      <x:c r="G1975" s="10" t="str">
        <x:v>生重</x:v>
      </x:c>
    </x:row>
    <x:row r="1976" ht="23" customHeight="1">
      <x:c r="A1976" t="n">
        <x:v>49</x:v>
      </x:c>
      <x:c r="B1976" t="str">
        <x:v>蔬菜</x:v>
      </x:c>
      <x:c r="C1976" t="str">
        <x:v>荷兰豆</x:v>
      </x:c>
      <x:c r="D1976" t="n">
        <x:v>320</x:v>
      </x:c>
      <x:c r="E1976" t="n">
        <x:v>350</x:v>
      </x:c>
      <x:c r="F1976" s="10" t="str">
        <x:v>食材净重+约8%余量</x:v>
      </x:c>
      <x:c r="G1976" s="10" t="str">
        <x:v>生重</x:v>
      </x:c>
    </x:row>
    <x:row r="1977" ht="23" customHeight="1">
      <x:c r="A1977" t="n">
        <x:v>49</x:v>
      </x:c>
      <x:c r="B1977" t="str">
        <x:v>蔬菜</x:v>
      </x:c>
      <x:c r="C1977" t="str">
        <x:v>莴笋</x:v>
      </x:c>
      <x:c r="D1977" t="n">
        <x:v>140</x:v>
      </x:c>
      <x:c r="E1977" t="n">
        <x:v>150</x:v>
      </x:c>
      <x:c r="F1977" s="10" t="str">
        <x:v>食材净重+约8%余量</x:v>
      </x:c>
      <x:c r="G1977" s="10" t="str">
        <x:v>生重</x:v>
      </x:c>
    </x:row>
    <x:row r="1978" ht="23" customHeight="1">
      <x:c r="A1978" t="n">
        <x:v>49</x:v>
      </x:c>
      <x:c r="B1978" t="str">
        <x:v>蔬菜</x:v>
      </x:c>
      <x:c r="C1978" t="str">
        <x:v>西兰花</x:v>
      </x:c>
      <x:c r="D1978" t="n">
        <x:v>125</x:v>
      </x:c>
      <x:c r="E1978" t="n">
        <x:v>140</x:v>
      </x:c>
      <x:c r="F1978" s="10" t="str">
        <x:v>食材净重+约8%余量</x:v>
      </x:c>
      <x:c r="G1978" s="10" t="str">
        <x:v>生重</x:v>
      </x:c>
    </x:row>
    <x:row r="1979" ht="23" customHeight="1">
      <x:c r="A1979" t="n">
        <x:v>49</x:v>
      </x:c>
      <x:c r="B1979" t="str">
        <x:v>豆蛋</x:v>
      </x:c>
      <x:c r="C1979" t="str">
        <x:v>嫩豆腐</x:v>
      </x:c>
      <x:c r="D1979" t="n">
        <x:v>420</x:v>
      </x:c>
      <x:c r="E1979" t="n">
        <x:v>450</x:v>
      </x:c>
      <x:c r="F1979" s="10" t="str">
        <x:v>食材净重+约8%余量</x:v>
      </x:c>
      <x:c r="G1979" s="10" t="str">
        <x:v>净重</x:v>
      </x:c>
    </x:row>
    <x:row r="1980" ht="23" customHeight="1">
      <x:c r="A1980" t="n">
        <x:v>49</x:v>
      </x:c>
      <x:c r="B1980" t="str">
        <x:v>豆蛋</x:v>
      </x:c>
      <x:c r="C1980" t="str">
        <x:v>熟毛豆仁</x:v>
      </x:c>
      <x:c r="D1980" t="n">
        <x:v>50</x:v>
      </x:c>
      <x:c r="E1980" t="n">
        <x:v>50</x:v>
      </x:c>
      <x:c r="F1980" s="10" t="str">
        <x:v>食材净重+约8%余量</x:v>
      </x:c>
      <x:c r="G1980" s="10" t="str">
        <x:v>熟重</x:v>
      </x:c>
    </x:row>
    <x:row r="1981" ht="23" customHeight="1">
      <x:c r="A1981" t="n">
        <x:v>49</x:v>
      </x:c>
      <x:c r="B1981" t="str">
        <x:v>豆蛋</x:v>
      </x:c>
      <x:c r="C1981" t="str">
        <x:v>鸡蛋</x:v>
      </x:c>
      <x:c r="D1981" t="n">
        <x:v>85</x:v>
      </x:c>
      <x:c r="E1981" t="n">
        <x:v>90</x:v>
      </x:c>
      <x:c r="F1981" s="10" t="str">
        <x:v>食材净重+约8%余量</x:v>
      </x:c>
      <x:c r="G1981" s="10" t="str">
        <x:v>去壳可食重</x:v>
      </x:c>
    </x:row>
    <x:row r="1982" ht="23" customHeight="1">
      <x:c r="A1982" t="n">
        <x:v>49</x:v>
      </x:c>
      <x:c r="B1982" t="str">
        <x:v>鱼类</x:v>
      </x:c>
      <x:c r="C1982" t="str">
        <x:v>巴沙鱼</x:v>
      </x:c>
      <x:c r="D1982" t="n">
        <x:v>175</x:v>
      </x:c>
      <x:c r="E1982" t="n">
        <x:v>190</x:v>
      </x:c>
      <x:c r="F1982" s="10" t="str">
        <x:v>食材净重+约8%余量</x:v>
      </x:c>
      <x:c r="G1982" s="10" t="str">
        <x:v>净鱼肉生重</x:v>
      </x:c>
    </x:row>
    <x:row r="1983" ht="23" customHeight="1">
      <x:c r="A1983" t="n">
        <x:v>50</x:v>
      </x:c>
      <x:c r="B1983" t="str">
        <x:v>主食</x:v>
      </x:c>
      <x:c r="C1983" t="str">
        <x:v>土豆</x:v>
      </x:c>
      <x:c r="D1983" t="n">
        <x:v>410</x:v>
      </x:c>
      <x:c r="E1983" t="n">
        <x:v>450</x:v>
      </x:c>
      <x:c r="F1983" s="10" t="str">
        <x:v>鲜薯/玉米净重；考虑小幅损耗</x:v>
      </x:c>
      <x:c r="G1983" s="10" t="str">
        <x:v>蒸熟净重</x:v>
      </x:c>
    </x:row>
    <x:row r="1984" ht="23" customHeight="1">
      <x:c r="A1984" t="n">
        <x:v>50</x:v>
      </x:c>
      <x:c r="B1984" t="str">
        <x:v>主食</x:v>
      </x:c>
      <x:c r="C1984" t="str">
        <x:v>杂粮饭</x:v>
      </x:c>
      <x:c r="D1984" t="n">
        <x:v>110</x:v>
      </x:c>
      <x:c r="E1984" t="n">
        <x:v>40</x:v>
      </x:c>
      <x:c r="F1984" s="10" t="str">
        <x:v>未煮干粮约重（按熟饭/生米≈2.6估算）</x:v>
      </x:c>
      <x:c r="G1984" s="10" t="str">
        <x:v>熟重</x:v>
      </x:c>
    </x:row>
    <x:row r="1985" ht="23" customHeight="1">
      <x:c r="A1985" t="n">
        <x:v>50</x:v>
      </x:c>
      <x:c r="B1985" t="str">
        <x:v>主食</x:v>
      </x:c>
      <x:c r="C1985" t="str">
        <x:v>燕麦饭</x:v>
      </x:c>
      <x:c r="D1985" t="n">
        <x:v>110</x:v>
      </x:c>
      <x:c r="E1985" t="n">
        <x:v>40</x:v>
      </x:c>
      <x:c r="F1985" s="10" t="str">
        <x:v>未煮干粮约重（按熟饭/生米≈2.6估算）</x:v>
      </x:c>
      <x:c r="G1985" s="10" t="str">
        <x:v>熟重</x:v>
      </x:c>
    </x:row>
    <x:row r="1986" ht="23" customHeight="1">
      <x:c r="A1986" t="n">
        <x:v>50</x:v>
      </x:c>
      <x:c r="B1986" t="str">
        <x:v>主食</x:v>
      </x:c>
      <x:c r="C1986" t="str">
        <x:v>白米饭</x:v>
      </x:c>
      <x:c r="D1986" t="n">
        <x:v>435</x:v>
      </x:c>
      <x:c r="E1986" t="n">
        <x:v>170</x:v>
      </x:c>
      <x:c r="F1986" s="10" t="str">
        <x:v>未煮干粮约重（按熟饭/生米≈2.6估算）</x:v>
      </x:c>
      <x:c r="G1986" s="10" t="str">
        <x:v>熟重</x:v>
      </x:c>
    </x:row>
    <x:row r="1987" ht="23" customHeight="1">
      <x:c r="A1987" t="n">
        <x:v>50</x:v>
      </x:c>
      <x:c r="B1987" t="str">
        <x:v>主食</x:v>
      </x:c>
      <x:c r="C1987" t="str">
        <x:v>红薯</x:v>
      </x:c>
      <x:c r="D1987" t="n">
        <x:v>245</x:v>
      </x:c>
      <x:c r="E1987" t="n">
        <x:v>270</x:v>
      </x:c>
      <x:c r="F1987" s="10" t="str">
        <x:v>鲜薯/玉米净重；考虑小幅损耗</x:v>
      </x:c>
      <x:c r="G1987" s="10" t="str">
        <x:v>蒸熟净重</x:v>
      </x:c>
    </x:row>
    <x:row r="1988" ht="23" customHeight="1">
      <x:c r="A1988" t="n">
        <x:v>50</x:v>
      </x:c>
      <x:c r="B1988" t="str">
        <x:v>主食</x:v>
      </x:c>
      <x:c r="C1988" t="str">
        <x:v>荞麦面</x:v>
      </x:c>
      <x:c r="D1988" t="n">
        <x:v>135</x:v>
      </x:c>
      <x:c r="E1988" t="n">
        <x:v>60</x:v>
      </x:c>
      <x:c r="F1988" s="10" t="str">
        <x:v>干粮约重（按熟面/干面≈2.1估算）</x:v>
      </x:c>
      <x:c r="G1988" s="10" t="str">
        <x:v>煮熟沥水重</x:v>
      </x:c>
    </x:row>
    <x:row r="1989" ht="23" customHeight="1">
      <x:c r="A1989" t="n">
        <x:v>50</x:v>
      </x:c>
      <x:c r="B1989" t="str">
        <x:v>主食</x:v>
      </x:c>
      <x:c r="C1989" t="str">
        <x:v>荞麦饭</x:v>
      </x:c>
      <x:c r="D1989" t="n">
        <x:v>235</x:v>
      </x:c>
      <x:c r="E1989" t="n">
        <x:v>90</x:v>
      </x:c>
      <x:c r="F1989" s="10" t="str">
        <x:v>未煮干粮约重（按熟饭/生米≈2.6估算）</x:v>
      </x:c>
      <x:c r="G1989" s="10" t="str">
        <x:v>熟重</x:v>
      </x:c>
    </x:row>
    <x:row r="1990" ht="23" customHeight="1">
      <x:c r="A1990" t="n">
        <x:v>50</x:v>
      </x:c>
      <x:c r="B1990" t="str">
        <x:v>主食</x:v>
      </x:c>
      <x:c r="C1990" t="str">
        <x:v>藜麦饭</x:v>
      </x:c>
      <x:c r="D1990" t="n">
        <x:v>110</x:v>
      </x:c>
      <x:c r="E1990" t="n">
        <x:v>40</x:v>
      </x:c>
      <x:c r="F1990" s="10" t="str">
        <x:v>未煮干粮约重（按熟饭/生米≈2.6估算）</x:v>
      </x:c>
      <x:c r="G1990" s="10" t="str">
        <x:v>熟重</x:v>
      </x:c>
    </x:row>
    <x:row r="1991" ht="23" customHeight="1">
      <x:c r="A1991" t="n">
        <x:v>50</x:v>
      </x:c>
      <x:c r="B1991" t="str">
        <x:v>油脂</x:v>
      </x:c>
      <x:c r="C1991" t="str">
        <x:v>烹调油</x:v>
      </x:c>
      <x:c r="D1991" t="n">
        <x:v>64</x:v>
      </x:c>
      <x:c r="E1991" t="n">
        <x:v>64</x:v>
      </x:c>
      <x:c r="F1991" s="10" t="str">
        <x:v>食用油；现有库存足够即可</x:v>
      </x:c>
      <x:c r="G1991" s="10" t="str">
        <x:v>实际用油重</x:v>
      </x:c>
    </x:row>
    <x:row r="1992" ht="23" customHeight="1">
      <x:c r="A1992" t="n">
        <x:v>50</x:v>
      </x:c>
      <x:c r="B1992" t="str">
        <x:v>海鲜</x:v>
      </x:c>
      <x:c r="C1992" t="str">
        <x:v>虾仁</x:v>
      </x:c>
      <x:c r="D1992" t="n">
        <x:v>175</x:v>
      </x:c>
      <x:c r="E1992" t="n">
        <x:v>190</x:v>
      </x:c>
      <x:c r="F1992" s="10" t="str">
        <x:v>食材净重+约8%余量</x:v>
      </x:c>
      <x:c r="G1992" s="10" t="str">
        <x:v>生重</x:v>
      </x:c>
    </x:row>
    <x:row r="1993" ht="23" customHeight="1">
      <x:c r="A1993" t="n">
        <x:v>50</x:v>
      </x:c>
      <x:c r="B1993" t="str">
        <x:v>海鲜</x:v>
      </x:c>
      <x:c r="C1993" t="str">
        <x:v>鱿鱼</x:v>
      </x:c>
      <x:c r="D1993" t="n">
        <x:v>160</x:v>
      </x:c>
      <x:c r="E1993" t="n">
        <x:v>170</x:v>
      </x:c>
      <x:c r="F1993" s="10" t="str">
        <x:v>食材净重+约8%余量</x:v>
      </x:c>
      <x:c r="G1993" s="10" t="str">
        <x:v>生重</x:v>
      </x:c>
    </x:row>
    <x:row r="1994" ht="23" customHeight="1">
      <x:c r="A1994" t="n">
        <x:v>50</x:v>
      </x:c>
      <x:c r="B1994" t="str">
        <x:v>牛肉</x:v>
      </x:c>
      <x:c r="C1994" t="str">
        <x:v>牛腱子</x:v>
      </x:c>
      <x:c r="D1994" t="n">
        <x:v>160</x:v>
      </x:c>
      <x:c r="E1994" t="n">
        <x:v>170</x:v>
      </x:c>
      <x:c r="F1994" s="10" t="str">
        <x:v>食材净重+约8%余量</x:v>
      </x:c>
      <x:c r="G1994" s="10" t="str">
        <x:v>生重</x:v>
      </x:c>
    </x:row>
    <x:row r="1995" ht="23" customHeight="1">
      <x:c r="A1995" t="n">
        <x:v>50</x:v>
      </x:c>
      <x:c r="B1995" t="str">
        <x:v>禽肉</x:v>
      </x:c>
      <x:c r="C1995" t="str">
        <x:v>去皮鸡腿肉</x:v>
      </x:c>
      <x:c r="D1995" t="n">
        <x:v>875</x:v>
      </x:c>
      <x:c r="E1995" t="n">
        <x:v>950</x:v>
      </x:c>
      <x:c r="F1995" s="10" t="str">
        <x:v>食材净重+约8%余量</x:v>
      </x:c>
      <x:c r="G1995" s="10" t="str">
        <x:v>生重</x:v>
      </x:c>
    </x:row>
    <x:row r="1996" ht="23" customHeight="1">
      <x:c r="A1996" t="n">
        <x:v>50</x:v>
      </x:c>
      <x:c r="B1996" t="str">
        <x:v>禽肉</x:v>
      </x:c>
      <x:c r="C1996" t="str">
        <x:v>去皮鸭胸肉</x:v>
      </x:c>
      <x:c r="D1996" t="n">
        <x:v>145</x:v>
      </x:c>
      <x:c r="E1996" t="n">
        <x:v>160</x:v>
      </x:c>
      <x:c r="F1996" s="10" t="str">
        <x:v>食材净重+约8%余量</x:v>
      </x:c>
      <x:c r="G1996" s="10" t="str">
        <x:v>生重</x:v>
      </x:c>
    </x:row>
    <x:row r="1997" ht="23" customHeight="1">
      <x:c r="A1997" t="n">
        <x:v>50</x:v>
      </x:c>
      <x:c r="B1997" t="str">
        <x:v>禽肉</x:v>
      </x:c>
      <x:c r="C1997" t="str">
        <x:v>鸡里脊肉</x:v>
      </x:c>
      <x:c r="D1997" t="n">
        <x:v>145</x:v>
      </x:c>
      <x:c r="E1997" t="n">
        <x:v>160</x:v>
      </x:c>
      <x:c r="F1997" s="10" t="str">
        <x:v>食材净重+约8%余量</x:v>
      </x:c>
      <x:c r="G1997" s="10" t="str">
        <x:v>生重</x:v>
      </x:c>
    </x:row>
    <x:row r="1998" ht="23" customHeight="1">
      <x:c r="A1998" t="n">
        <x:v>50</x:v>
      </x:c>
      <x:c r="B1998" t="str">
        <x:v>菌菇</x:v>
      </x:c>
      <x:c r="C1998" t="str">
        <x:v>泡发木耳</x:v>
      </x:c>
      <x:c r="D1998" t="n">
        <x:v>110</x:v>
      </x:c>
      <x:c r="E1998" t="n">
        <x:v>120</x:v>
      </x:c>
      <x:c r="F1998" s="10" t="str">
        <x:v>食材净重+约8%余量</x:v>
      </x:c>
      <x:c r="G1998" s="10" t="str">
        <x:v>泡发沥水重</x:v>
      </x:c>
    </x:row>
    <x:row r="1999" ht="23" customHeight="1">
      <x:c r="A1999" t="n">
        <x:v>50</x:v>
      </x:c>
      <x:c r="B1999" t="str">
        <x:v>菌菇</x:v>
      </x:c>
      <x:c r="C1999" t="str">
        <x:v>金针菇</x:v>
      </x:c>
      <x:c r="D1999" t="n">
        <x:v>155</x:v>
      </x:c>
      <x:c r="E1999" t="n">
        <x:v>170</x:v>
      </x:c>
      <x:c r="F1999" s="10" t="str">
        <x:v>食材净重+约8%余量</x:v>
      </x:c>
      <x:c r="G1999" s="10" t="str">
        <x:v>生重</x:v>
      </x:c>
    </x:row>
    <x:row r="2000" ht="23" customHeight="1">
      <x:c r="A2000" t="n">
        <x:v>50</x:v>
      </x:c>
      <x:c r="B2000" t="str">
        <x:v>菌菇</x:v>
      </x:c>
      <x:c r="C2000" t="str">
        <x:v>香菇</x:v>
      </x:c>
      <x:c r="D2000" t="n">
        <x:v>110</x:v>
      </x:c>
      <x:c r="E2000" t="n">
        <x:v>120</x:v>
      </x:c>
      <x:c r="F2000" s="10" t="str">
        <x:v>食材净重+约8%余量</x:v>
      </x:c>
      <x:c r="G2000" s="10" t="str">
        <x:v>生重</x:v>
      </x:c>
    </x:row>
    <x:row r="2001" ht="23" customHeight="1">
      <x:c r="A2001" t="n">
        <x:v>50</x:v>
      </x:c>
      <x:c r="B2001" t="str">
        <x:v>蔬菜</x:v>
      </x:c>
      <x:c r="C2001" t="str">
        <x:v>丝瓜</x:v>
      </x:c>
      <x:c r="D2001" t="n">
        <x:v>125</x:v>
      </x:c>
      <x:c r="E2001" t="n">
        <x:v>140</x:v>
      </x:c>
      <x:c r="F2001" s="10" t="str">
        <x:v>食材净重+约8%余量</x:v>
      </x:c>
      <x:c r="G2001" s="10" t="str">
        <x:v>生重</x:v>
      </x:c>
    </x:row>
    <x:row r="2002" ht="23" customHeight="1">
      <x:c r="A2002" t="n">
        <x:v>50</x:v>
      </x:c>
      <x:c r="B2002" t="str">
        <x:v>蔬菜</x:v>
      </x:c>
      <x:c r="C2002" t="str">
        <x:v>冬瓜</x:v>
      </x:c>
      <x:c r="D2002" t="n">
        <x:v>285</x:v>
      </x:c>
      <x:c r="E2002" t="n">
        <x:v>310</x:v>
      </x:c>
      <x:c r="F2002" s="10" t="str">
        <x:v>食材净重+约8%余量</x:v>
      </x:c>
      <x:c r="G2002" s="10" t="str">
        <x:v>生重</x:v>
      </x:c>
    </x:row>
    <x:row r="2003" ht="23" customHeight="1">
      <x:c r="A2003" t="n">
        <x:v>50</x:v>
      </x:c>
      <x:c r="B2003" t="str">
        <x:v>蔬菜</x:v>
      </x:c>
      <x:c r="C2003" t="str">
        <x:v>四季豆</x:v>
      </x:c>
      <x:c r="D2003" t="n">
        <x:v>140</x:v>
      </x:c>
      <x:c r="E2003" t="n">
        <x:v>150</x:v>
      </x:c>
      <x:c r="F2003" s="10" t="str">
        <x:v>食材净重+约8%余量</x:v>
      </x:c>
      <x:c r="G2003" s="10" t="str">
        <x:v>生重</x:v>
      </x:c>
    </x:row>
    <x:row r="2004" ht="23" customHeight="1">
      <x:c r="A2004" t="n">
        <x:v>50</x:v>
      </x:c>
      <x:c r="B2004" t="str">
        <x:v>蔬菜</x:v>
      </x:c>
      <x:c r="C2004" t="str">
        <x:v>大白菜</x:v>
      </x:c>
      <x:c r="D2004" t="n">
        <x:v>175</x:v>
      </x:c>
      <x:c r="E2004" t="n">
        <x:v>190</x:v>
      </x:c>
      <x:c r="F2004" s="10" t="str">
        <x:v>食材净重+约8%余量</x:v>
      </x:c>
      <x:c r="G2004" s="10" t="str">
        <x:v>生重</x:v>
      </x:c>
    </x:row>
    <x:row r="2005" ht="23" customHeight="1">
      <x:c r="A2005" t="n">
        <x:v>50</x:v>
      </x:c>
      <x:c r="B2005" t="str">
        <x:v>蔬菜</x:v>
      </x:c>
      <x:c r="C2005" t="str">
        <x:v>娃娃菜</x:v>
      </x:c>
      <x:c r="D2005" t="n">
        <x:v>335</x:v>
      </x:c>
      <x:c r="E2005" t="n">
        <x:v>360</x:v>
      </x:c>
      <x:c r="F2005" s="10" t="str">
        <x:v>食材净重+约8%余量</x:v>
      </x:c>
      <x:c r="G2005" s="10" t="str">
        <x:v>生重</x:v>
      </x:c>
    </x:row>
    <x:row r="2006" ht="23" customHeight="1">
      <x:c r="A2006" t="n">
        <x:v>50</x:v>
      </x:c>
      <x:c r="B2006" t="str">
        <x:v>蔬菜</x:v>
      </x:c>
      <x:c r="C2006" t="str">
        <x:v>小白菜</x:v>
      </x:c>
      <x:c r="D2006" t="n">
        <x:v>155</x:v>
      </x:c>
      <x:c r="E2006" t="n">
        <x:v>170</x:v>
      </x:c>
      <x:c r="F2006" s="10" t="str">
        <x:v>食材净重+约8%余量</x:v>
      </x:c>
      <x:c r="G2006" s="10" t="str">
        <x:v>生重</x:v>
      </x:c>
    </x:row>
    <x:row r="2007" ht="23" customHeight="1">
      <x:c r="A2007" t="n">
        <x:v>50</x:v>
      </x:c>
      <x:c r="B2007" t="str">
        <x:v>蔬菜</x:v>
      </x:c>
      <x:c r="C2007" t="str">
        <x:v>洋葱</x:v>
      </x:c>
      <x:c r="D2007" t="n">
        <x:v>110</x:v>
      </x:c>
      <x:c r="E2007" t="n">
        <x:v>120</x:v>
      </x:c>
      <x:c r="F2007" s="10" t="str">
        <x:v>食材净重+约8%余量</x:v>
      </x:c>
      <x:c r="G2007" s="10" t="str">
        <x:v>生重</x:v>
      </x:c>
    </x:row>
    <x:row r="2008" ht="23" customHeight="1">
      <x:c r="A2008" t="n">
        <x:v>50</x:v>
      </x:c>
      <x:c r="B2008" t="str">
        <x:v>蔬菜</x:v>
      </x:c>
      <x:c r="C2008" t="str">
        <x:v>海带</x:v>
      </x:c>
      <x:c r="D2008" t="n">
        <x:v>295</x:v>
      </x:c>
      <x:c r="E2008" t="n">
        <x:v>320</x:v>
      </x:c>
      <x:c r="F2008" s="10" t="str">
        <x:v>食材净重+约8%余量</x:v>
      </x:c>
      <x:c r="G2008" s="10" t="str">
        <x:v>泡发沥水重</x:v>
      </x:c>
    </x:row>
    <x:row r="2009" ht="23" customHeight="1">
      <x:c r="A2009" t="n">
        <x:v>50</x:v>
      </x:c>
      <x:c r="B2009" t="str">
        <x:v>蔬菜</x:v>
      </x:c>
      <x:c r="C2009" t="str">
        <x:v>玉米笋</x:v>
      </x:c>
      <x:c r="D2009" t="n">
        <x:v>140</x:v>
      </x:c>
      <x:c r="E2009" t="n">
        <x:v>150</x:v>
      </x:c>
      <x:c r="F2009" s="10" t="str">
        <x:v>食材净重+约8%余量</x:v>
      </x:c>
      <x:c r="G2009" s="10" t="str">
        <x:v>生重</x:v>
      </x:c>
    </x:row>
    <x:row r="2010" ht="23" customHeight="1">
      <x:c r="A2010" t="n">
        <x:v>50</x:v>
      </x:c>
      <x:c r="B2010" t="str">
        <x:v>蔬菜</x:v>
      </x:c>
      <x:c r="C2010" t="str">
        <x:v>番茄</x:v>
      </x:c>
      <x:c r="D2010" t="n">
        <x:v>190</x:v>
      </x:c>
      <x:c r="E2010" t="n">
        <x:v>210</x:v>
      </x:c>
      <x:c r="F2010" s="10" t="str">
        <x:v>食材净重+约8%余量</x:v>
      </x:c>
      <x:c r="G2010" s="10" t="str">
        <x:v>生重</x:v>
      </x:c>
    </x:row>
    <x:row r="2011" ht="23" customHeight="1">
      <x:c r="A2011" t="n">
        <x:v>50</x:v>
      </x:c>
      <x:c r="B2011" t="str">
        <x:v>蔬菜</x:v>
      </x:c>
      <x:c r="C2011" t="str">
        <x:v>秋葵</x:v>
      </x:c>
      <x:c r="D2011" t="n">
        <x:v>140</x:v>
      </x:c>
      <x:c r="E2011" t="n">
        <x:v>150</x:v>
      </x:c>
      <x:c r="F2011" s="10" t="str">
        <x:v>食材净重+约8%余量</x:v>
      </x:c>
      <x:c r="G2011" s="10" t="str">
        <x:v>生重</x:v>
      </x:c>
    </x:row>
    <x:row r="2012" ht="23" customHeight="1">
      <x:c r="A2012" t="n">
        <x:v>50</x:v>
      </x:c>
      <x:c r="B2012" t="str">
        <x:v>蔬菜</x:v>
      </x:c>
      <x:c r="C2012" t="str">
        <x:v>竹笋</x:v>
      </x:c>
      <x:c r="D2012" t="n">
        <x:v>140</x:v>
      </x:c>
      <x:c r="E2012" t="n">
        <x:v>150</x:v>
      </x:c>
      <x:c r="F2012" s="10" t="str">
        <x:v>食材净重+约8%余量</x:v>
      </x:c>
      <x:c r="G2012" s="10" t="str">
        <x:v>生重</x:v>
      </x:c>
    </x:row>
    <x:row r="2013" ht="23" customHeight="1">
      <x:c r="A2013" t="n">
        <x:v>50</x:v>
      </x:c>
      <x:c r="B2013" t="str">
        <x:v>蔬菜</x:v>
      </x:c>
      <x:c r="C2013" t="str">
        <x:v>紫甘蓝</x:v>
      </x:c>
      <x:c r="D2013" t="n">
        <x:v>315</x:v>
      </x:c>
      <x:c r="E2013" t="n">
        <x:v>340</x:v>
      </x:c>
      <x:c r="F2013" s="10" t="str">
        <x:v>食材净重+约8%余量</x:v>
      </x:c>
      <x:c r="G2013" s="10" t="str">
        <x:v>生重</x:v>
      </x:c>
    </x:row>
    <x:row r="2014" ht="23" customHeight="1">
      <x:c r="A2014" t="n">
        <x:v>50</x:v>
      </x:c>
      <x:c r="B2014" t="str">
        <x:v>蔬菜</x:v>
      </x:c>
      <x:c r="C2014" t="str">
        <x:v>胡萝卜</x:v>
      </x:c>
      <x:c r="D2014" t="n">
        <x:v>155</x:v>
      </x:c>
      <x:c r="E2014" t="n">
        <x:v>170</x:v>
      </x:c>
      <x:c r="F2014" s="10" t="str">
        <x:v>食材净重+约8%余量</x:v>
      </x:c>
      <x:c r="G2014" s="10" t="str">
        <x:v>生重</x:v>
      </x:c>
    </x:row>
    <x:row r="2015" ht="23" customHeight="1">
      <x:c r="A2015" t="n">
        <x:v>50</x:v>
      </x:c>
      <x:c r="B2015" t="str">
        <x:v>蔬菜</x:v>
      </x:c>
      <x:c r="C2015" t="str">
        <x:v>芦笋</x:v>
      </x:c>
      <x:c r="D2015" t="n">
        <x:v>175</x:v>
      </x:c>
      <x:c r="E2015" t="n">
        <x:v>190</x:v>
      </x:c>
      <x:c r="F2015" s="10" t="str">
        <x:v>食材净重+约8%余量</x:v>
      </x:c>
      <x:c r="G2015" s="10" t="str">
        <x:v>生重</x:v>
      </x:c>
    </x:row>
    <x:row r="2016" ht="23" customHeight="1">
      <x:c r="A2016" t="n">
        <x:v>50</x:v>
      </x:c>
      <x:c r="B2016" t="str">
        <x:v>蔬菜</x:v>
      </x:c>
      <x:c r="C2016" t="str">
        <x:v>菜心</x:v>
      </x:c>
      <x:c r="D2016" t="n">
        <x:v>140</x:v>
      </x:c>
      <x:c r="E2016" t="n">
        <x:v>150</x:v>
      </x:c>
      <x:c r="F2016" s="10" t="str">
        <x:v>食材净重+约8%余量</x:v>
      </x:c>
      <x:c r="G2016" s="10" t="str">
        <x:v>生重</x:v>
      </x:c>
    </x:row>
    <x:row r="2017" ht="23" customHeight="1">
      <x:c r="A2017" t="n">
        <x:v>50</x:v>
      </x:c>
      <x:c r="B2017" t="str">
        <x:v>蔬菜</x:v>
      </x:c>
      <x:c r="C2017" t="str">
        <x:v>菠菜</x:v>
      </x:c>
      <x:c r="D2017" t="n">
        <x:v>160</x:v>
      </x:c>
      <x:c r="E2017" t="n">
        <x:v>170</x:v>
      </x:c>
      <x:c r="F2017" s="10" t="str">
        <x:v>食材净重+约8%余量</x:v>
      </x:c>
      <x:c r="G2017" s="10" t="str">
        <x:v>生重</x:v>
      </x:c>
    </x:row>
    <x:row r="2018" ht="23" customHeight="1">
      <x:c r="A2018" t="n">
        <x:v>50</x:v>
      </x:c>
      <x:c r="B2018" t="str">
        <x:v>蔬菜</x:v>
      </x:c>
      <x:c r="C2018" t="str">
        <x:v>西兰花</x:v>
      </x:c>
      <x:c r="D2018" t="n">
        <x:v>565</x:v>
      </x:c>
      <x:c r="E2018" t="n">
        <x:v>610</x:v>
      </x:c>
      <x:c r="F2018" s="10" t="str">
        <x:v>食材净重+约8%余量</x:v>
      </x:c>
      <x:c r="G2018" s="10" t="str">
        <x:v>生重</x:v>
      </x:c>
    </x:row>
    <x:row r="2019" ht="23" customHeight="1">
      <x:c r="A2019" t="n">
        <x:v>50</x:v>
      </x:c>
      <x:c r="B2019" t="str">
        <x:v>豆蛋</x:v>
      </x:c>
      <x:c r="C2019" t="str">
        <x:v>嫩豆腐</x:v>
      </x:c>
      <x:c r="D2019" t="n">
        <x:v>260</x:v>
      </x:c>
      <x:c r="E2019" t="n">
        <x:v>280</x:v>
      </x:c>
      <x:c r="F2019" s="10" t="str">
        <x:v>食材净重+约8%余量</x:v>
      </x:c>
      <x:c r="G2019" s="10" t="str">
        <x:v>净重</x:v>
      </x:c>
    </x:row>
    <x:row r="2020" ht="23" customHeight="1">
      <x:c r="A2020" t="n">
        <x:v>50</x:v>
      </x:c>
      <x:c r="B2020" t="str">
        <x:v>豆蛋</x:v>
      </x:c>
      <x:c r="C2020" t="str">
        <x:v>熟毛豆仁</x:v>
      </x:c>
      <x:c r="D2020" t="n">
        <x:v>100</x:v>
      </x:c>
      <x:c r="E2020" t="n">
        <x:v>110</x:v>
      </x:c>
      <x:c r="F2020" s="10" t="str">
        <x:v>食材净重+约8%余量</x:v>
      </x:c>
      <x:c r="G2020" s="10" t="str">
        <x:v>熟重</x:v>
      </x:c>
    </x:row>
    <x:row r="2021" ht="23" customHeight="1">
      <x:c r="A2021" t="n">
        <x:v>50</x:v>
      </x:c>
      <x:c r="B2021" t="str">
        <x:v>鱼类</x:v>
      </x:c>
      <x:c r="C2021" t="str">
        <x:v>巴沙鱼</x:v>
      </x:c>
      <x:c r="D2021" t="n">
        <x:v>215</x:v>
      </x:c>
      <x:c r="E2021" t="n">
        <x:v>230</x:v>
      </x:c>
      <x:c r="F2021" s="10" t="str">
        <x:v>食材净重+约8%余量</x:v>
      </x:c>
      <x:c r="G2021" s="10" t="str">
        <x:v>净鱼肉生重</x:v>
      </x:c>
    </x:row>
    <x:row r="2022" ht="23" customHeight="1">
      <x:c r="A2022" t="n">
        <x:v>50</x:v>
      </x:c>
      <x:c r="B2022" t="str">
        <x:v>鱼类</x:v>
      </x:c>
      <x:c r="C2022" t="str">
        <x:v>鲈鱼</x:v>
      </x:c>
      <x:c r="D2022" t="n">
        <x:v>430</x:v>
      </x:c>
      <x:c r="E2022" t="n">
        <x:v>460</x:v>
      </x:c>
      <x:c r="F2022" s="10" t="str">
        <x:v>食材净重+约8%余量；带壳或带骨采购需另折算</x:v>
      </x:c>
      <x:c r="G2022" s="10" t="str">
        <x:v>净鱼肉生重</x:v>
      </x:c>
    </x:row>
    <x:row r="2023" ht="23" customHeight="1">
      <x:c r="A2023" t="n">
        <x:v>51</x:v>
      </x:c>
      <x:c r="B2023" t="str">
        <x:v>主食</x:v>
      </x:c>
      <x:c r="C2023" t="str">
        <x:v>乌冬面</x:v>
      </x:c>
      <x:c r="D2023" t="n">
        <x:v>300</x:v>
      </x:c>
      <x:c r="E2023" t="n">
        <x:v>140</x:v>
      </x:c>
      <x:c r="F2023" s="10" t="str">
        <x:v>干粮约重（按熟面/干面≈2.1估算）</x:v>
      </x:c>
      <x:c r="G2023" s="10" t="str">
        <x:v>煮熟沥水重</x:v>
      </x:c>
    </x:row>
    <x:row r="2024" ht="23" customHeight="1">
      <x:c r="A2024" t="n">
        <x:v>51</x:v>
      </x:c>
      <x:c r="B2024" t="str">
        <x:v>主食</x:v>
      </x:c>
      <x:c r="C2024" t="str">
        <x:v>全麦面</x:v>
      </x:c>
      <x:c r="D2024" t="n">
        <x:v>245</x:v>
      </x:c>
      <x:c r="E2024" t="n">
        <x:v>120</x:v>
      </x:c>
      <x:c r="F2024" s="10" t="str">
        <x:v>干粮约重（按熟面/干面≈2.1估算）</x:v>
      </x:c>
      <x:c r="G2024" s="10" t="str">
        <x:v>煮熟沥水重</x:v>
      </x:c>
    </x:row>
    <x:row r="2025" ht="23" customHeight="1">
      <x:c r="A2025" t="n">
        <x:v>51</x:v>
      </x:c>
      <x:c r="B2025" t="str">
        <x:v>主食</x:v>
      </x:c>
      <x:c r="C2025" t="str">
        <x:v>土豆</x:v>
      </x:c>
      <x:c r="D2025" t="n">
        <x:v>165</x:v>
      </x:c>
      <x:c r="E2025" t="n">
        <x:v>180</x:v>
      </x:c>
      <x:c r="F2025" s="10" t="str">
        <x:v>鲜薯/玉米净重；考虑小幅损耗</x:v>
      </x:c>
      <x:c r="G2025" s="10" t="str">
        <x:v>蒸熟净重</x:v>
      </x:c>
    </x:row>
    <x:row r="2026" ht="23" customHeight="1">
      <x:c r="A2026" t="n">
        <x:v>51</x:v>
      </x:c>
      <x:c r="B2026" t="str">
        <x:v>主食</x:v>
      </x:c>
      <x:c r="C2026" t="str">
        <x:v>杂粮饭</x:v>
      </x:c>
      <x:c r="D2026" t="n">
        <x:v>285</x:v>
      </x:c>
      <x:c r="E2026" t="n">
        <x:v>110</x:v>
      </x:c>
      <x:c r="F2026" s="10" t="str">
        <x:v>未煮干粮约重（按熟饭/生米≈2.6估算）</x:v>
      </x:c>
      <x:c r="G2026" s="10" t="str">
        <x:v>熟重</x:v>
      </x:c>
    </x:row>
    <x:row r="2027" ht="23" customHeight="1">
      <x:c r="A2027" t="n">
        <x:v>51</x:v>
      </x:c>
      <x:c r="B2027" t="str">
        <x:v>主食</x:v>
      </x:c>
      <x:c r="C2027" t="str">
        <x:v>白米饭</x:v>
      </x:c>
      <x:c r="D2027" t="n">
        <x:v>125</x:v>
      </x:c>
      <x:c r="E2027" t="n">
        <x:v>50</x:v>
      </x:c>
      <x:c r="F2027" s="10" t="str">
        <x:v>未煮干粮约重（按熟饭/生米≈2.6估算）</x:v>
      </x:c>
      <x:c r="G2027" s="10" t="str">
        <x:v>熟重</x:v>
      </x:c>
    </x:row>
    <x:row r="2028" ht="23" customHeight="1">
      <x:c r="A2028" t="n">
        <x:v>51</x:v>
      </x:c>
      <x:c r="B2028" t="str">
        <x:v>主食</x:v>
      </x:c>
      <x:c r="C2028" t="str">
        <x:v>糙米饭</x:v>
      </x:c>
      <x:c r="D2028" t="n">
        <x:v>270</x:v>
      </x:c>
      <x:c r="E2028" t="n">
        <x:v>100</x:v>
      </x:c>
      <x:c r="F2028" s="10" t="str">
        <x:v>未煮干粮约重（按熟饭/生米≈2.6估算）</x:v>
      </x:c>
      <x:c r="G2028" s="10" t="str">
        <x:v>熟重</x:v>
      </x:c>
    </x:row>
    <x:row r="2029" ht="23" customHeight="1">
      <x:c r="A2029" t="n">
        <x:v>51</x:v>
      </x:c>
      <x:c r="B2029" t="str">
        <x:v>主食</x:v>
      </x:c>
      <x:c r="C2029" t="str">
        <x:v>紫薯</x:v>
      </x:c>
      <x:c r="D2029" t="n">
        <x:v>110</x:v>
      </x:c>
      <x:c r="E2029" t="n">
        <x:v>120</x:v>
      </x:c>
      <x:c r="F2029" s="10" t="str">
        <x:v>鲜薯/玉米净重；考虑小幅损耗</x:v>
      </x:c>
      <x:c r="G2029" s="10" t="str">
        <x:v>蒸熟净重</x:v>
      </x:c>
    </x:row>
    <x:row r="2030" ht="23" customHeight="1">
      <x:c r="A2030" t="n">
        <x:v>51</x:v>
      </x:c>
      <x:c r="B2030" t="str">
        <x:v>主食</x:v>
      </x:c>
      <x:c r="C2030" t="str">
        <x:v>荞麦面</x:v>
      </x:c>
      <x:c r="D2030" t="n">
        <x:v>110</x:v>
      </x:c>
      <x:c r="E2030" t="n">
        <x:v>50</x:v>
      </x:c>
      <x:c r="F2030" s="10" t="str">
        <x:v>干粮约重（按熟面/干面≈2.1估算）</x:v>
      </x:c>
      <x:c r="G2030" s="10" t="str">
        <x:v>煮熟沥水重</x:v>
      </x:c>
    </x:row>
    <x:row r="2031" ht="23" customHeight="1">
      <x:c r="A2031" t="n">
        <x:v>51</x:v>
      </x:c>
      <x:c r="B2031" t="str">
        <x:v>主食</x:v>
      </x:c>
      <x:c r="C2031" t="str">
        <x:v>藜麦饭</x:v>
      </x:c>
      <x:c r="D2031" t="n">
        <x:v>80</x:v>
      </x:c>
      <x:c r="E2031" t="n">
        <x:v>30</x:v>
      </x:c>
      <x:c r="F2031" s="10" t="str">
        <x:v>未煮干粮约重（按熟饭/生米≈2.6估算）</x:v>
      </x:c>
      <x:c r="G2031" s="10" t="str">
        <x:v>熟重</x:v>
      </x:c>
    </x:row>
    <x:row r="2032" ht="23" customHeight="1">
      <x:c r="A2032" t="n">
        <x:v>51</x:v>
      </x:c>
      <x:c r="B2032" t="str">
        <x:v>油脂</x:v>
      </x:c>
      <x:c r="C2032" t="str">
        <x:v>烹调油</x:v>
      </x:c>
      <x:c r="D2032" t="n">
        <x:v>65</x:v>
      </x:c>
      <x:c r="E2032" t="n">
        <x:v>65</x:v>
      </x:c>
      <x:c r="F2032" s="10" t="str">
        <x:v>食用油；现有库存足够即可</x:v>
      </x:c>
      <x:c r="G2032" s="10" t="str">
        <x:v>实际用油重</x:v>
      </x:c>
    </x:row>
    <x:row r="2033" ht="23" customHeight="1">
      <x:c r="A2033" t="n">
        <x:v>51</x:v>
      </x:c>
      <x:c r="B2033" t="str">
        <x:v>海鲜</x:v>
      </x:c>
      <x:c r="C2033" t="str">
        <x:v>虾仁</x:v>
      </x:c>
      <x:c r="D2033" t="n">
        <x:v>495</x:v>
      </x:c>
      <x:c r="E2033" t="n">
        <x:v>530</x:v>
      </x:c>
      <x:c r="F2033" s="10" t="str">
        <x:v>食材净重+约8%余量</x:v>
      </x:c>
      <x:c r="G2033" s="10" t="str">
        <x:v>生重</x:v>
      </x:c>
    </x:row>
    <x:row r="2034" ht="23" customHeight="1">
      <x:c r="A2034" t="n">
        <x:v>51</x:v>
      </x:c>
      <x:c r="B2034" t="str">
        <x:v>牛肉</x:v>
      </x:c>
      <x:c r="C2034" t="str">
        <x:v>牛里脊</x:v>
      </x:c>
      <x:c r="D2034" t="n">
        <x:v>145</x:v>
      </x:c>
      <x:c r="E2034" t="n">
        <x:v>160</x:v>
      </x:c>
      <x:c r="F2034" s="10" t="str">
        <x:v>食材净重+约8%余量</x:v>
      </x:c>
      <x:c r="G2034" s="10" t="str">
        <x:v>生重</x:v>
      </x:c>
    </x:row>
    <x:row r="2035" ht="23" customHeight="1">
      <x:c r="A2035" t="n">
        <x:v>51</x:v>
      </x:c>
      <x:c r="B2035" t="str">
        <x:v>牛肉</x:v>
      </x:c>
      <x:c r="C2035" t="str">
        <x:v>瘦牛肉</x:v>
      </x:c>
      <x:c r="D2035" t="n">
        <x:v>480</x:v>
      </x:c>
      <x:c r="E2035" t="n">
        <x:v>520</x:v>
      </x:c>
      <x:c r="F2035" s="10" t="str">
        <x:v>食材净重+约8%余量</x:v>
      </x:c>
      <x:c r="G2035" s="10" t="str">
        <x:v>生重</x:v>
      </x:c>
    </x:row>
    <x:row r="2036" ht="23" customHeight="1">
      <x:c r="A2036" t="n">
        <x:v>51</x:v>
      </x:c>
      <x:c r="B2036" t="str">
        <x:v>猪肉</x:v>
      </x:c>
      <x:c r="C2036" t="str">
        <x:v>猪里脊</x:v>
      </x:c>
      <x:c r="D2036" t="n">
        <x:v>175</x:v>
      </x:c>
      <x:c r="E2036" t="n">
        <x:v>190</x:v>
      </x:c>
      <x:c r="F2036" s="10" t="str">
        <x:v>食材净重+约8%余量</x:v>
      </x:c>
      <x:c r="G2036" s="10" t="str">
        <x:v>生重</x:v>
      </x:c>
    </x:row>
    <x:row r="2037" ht="23" customHeight="1">
      <x:c r="A2037" t="n">
        <x:v>51</x:v>
      </x:c>
      <x:c r="B2037" t="str">
        <x:v>禽肉</x:v>
      </x:c>
      <x:c r="C2037" t="str">
        <x:v>鸡里脊肉</x:v>
      </x:c>
      <x:c r="D2037" t="n">
        <x:v>320</x:v>
      </x:c>
      <x:c r="E2037" t="n">
        <x:v>350</x:v>
      </x:c>
      <x:c r="F2037" s="10" t="str">
        <x:v>食材净重+约8%余量</x:v>
      </x:c>
      <x:c r="G2037" s="10" t="str">
        <x:v>生重</x:v>
      </x:c>
    </x:row>
    <x:row r="2038" ht="23" customHeight="1">
      <x:c r="A2038" t="n">
        <x:v>51</x:v>
      </x:c>
      <x:c r="B2038" t="str">
        <x:v>菌菇</x:v>
      </x:c>
      <x:c r="C2038" t="str">
        <x:v>口蘑</x:v>
      </x:c>
      <x:c r="D2038" t="n">
        <x:v>125</x:v>
      </x:c>
      <x:c r="E2038" t="n">
        <x:v>140</x:v>
      </x:c>
      <x:c r="F2038" s="10" t="str">
        <x:v>食材净重+约8%余量</x:v>
      </x:c>
      <x:c r="G2038" s="10" t="str">
        <x:v>生重</x:v>
      </x:c>
    </x:row>
    <x:row r="2039" ht="23" customHeight="1">
      <x:c r="A2039" t="n">
        <x:v>51</x:v>
      </x:c>
      <x:c r="B2039" t="str">
        <x:v>菌菇</x:v>
      </x:c>
      <x:c r="C2039" t="str">
        <x:v>杏鲍菇</x:v>
      </x:c>
      <x:c r="D2039" t="n">
        <x:v>250</x:v>
      </x:c>
      <x:c r="E2039" t="n">
        <x:v>270</x:v>
      </x:c>
      <x:c r="F2039" s="10" t="str">
        <x:v>食材净重+约8%余量</x:v>
      </x:c>
      <x:c r="G2039" s="10" t="str">
        <x:v>生重</x:v>
      </x:c>
    </x:row>
    <x:row r="2040" ht="23" customHeight="1">
      <x:c r="A2040" t="n">
        <x:v>51</x:v>
      </x:c>
      <x:c r="B2040" t="str">
        <x:v>菌菇</x:v>
      </x:c>
      <x:c r="C2040" t="str">
        <x:v>金针菇</x:v>
      </x:c>
      <x:c r="D2040" t="n">
        <x:v>235</x:v>
      </x:c>
      <x:c r="E2040" t="n">
        <x:v>250</x:v>
      </x:c>
      <x:c r="F2040" s="10" t="str">
        <x:v>食材净重+约8%余量</x:v>
      </x:c>
      <x:c r="G2040" s="10" t="str">
        <x:v>生重</x:v>
      </x:c>
    </x:row>
    <x:row r="2041" ht="23" customHeight="1">
      <x:c r="A2041" t="n">
        <x:v>51</x:v>
      </x:c>
      <x:c r="B2041" t="str">
        <x:v>蔬菜</x:v>
      </x:c>
      <x:c r="C2041" t="str">
        <x:v>丝瓜</x:v>
      </x:c>
      <x:c r="D2041" t="n">
        <x:v>140</x:v>
      </x:c>
      <x:c r="E2041" t="n">
        <x:v>150</x:v>
      </x:c>
      <x:c r="F2041" s="10" t="str">
        <x:v>食材净重+约8%余量</x:v>
      </x:c>
      <x:c r="G2041" s="10" t="str">
        <x:v>生重</x:v>
      </x:c>
    </x:row>
    <x:row r="2042" ht="23" customHeight="1">
      <x:c r="A2042" t="n">
        <x:v>51</x:v>
      </x:c>
      <x:c r="B2042" t="str">
        <x:v>蔬菜</x:v>
      </x:c>
      <x:c r="C2042" t="str">
        <x:v>彩椒</x:v>
      </x:c>
      <x:c r="D2042" t="n">
        <x:v>580</x:v>
      </x:c>
      <x:c r="E2042" t="n">
        <x:v>630</x:v>
      </x:c>
      <x:c r="F2042" s="10" t="str">
        <x:v>食材净重+约8%余量</x:v>
      </x:c>
      <x:c r="G2042" s="10" t="str">
        <x:v>生重</x:v>
      </x:c>
    </x:row>
    <x:row r="2043" ht="23" customHeight="1">
      <x:c r="A2043" t="n">
        <x:v>51</x:v>
      </x:c>
      <x:c r="B2043" t="str">
        <x:v>蔬菜</x:v>
      </x:c>
      <x:c r="C2043" t="str">
        <x:v>洋葱</x:v>
      </x:c>
      <x:c r="D2043" t="n">
        <x:v>280</x:v>
      </x:c>
      <x:c r="E2043" t="n">
        <x:v>300</x:v>
      </x:c>
      <x:c r="F2043" s="10" t="str">
        <x:v>食材净重+约8%余量</x:v>
      </x:c>
      <x:c r="G2043" s="10" t="str">
        <x:v>生重</x:v>
      </x:c>
    </x:row>
    <x:row r="2044" ht="23" customHeight="1">
      <x:c r="A2044" t="n">
        <x:v>51</x:v>
      </x:c>
      <x:c r="B2044" t="str">
        <x:v>蔬菜</x:v>
      </x:c>
      <x:c r="C2044" t="str">
        <x:v>玉米笋</x:v>
      </x:c>
      <x:c r="D2044" t="n">
        <x:v>140</x:v>
      </x:c>
      <x:c r="E2044" t="n">
        <x:v>150</x:v>
      </x:c>
      <x:c r="F2044" s="10" t="str">
        <x:v>食材净重+约8%余量</x:v>
      </x:c>
      <x:c r="G2044" s="10" t="str">
        <x:v>生重</x:v>
      </x:c>
    </x:row>
    <x:row r="2045" ht="23" customHeight="1">
      <x:c r="A2045" t="n">
        <x:v>51</x:v>
      </x:c>
      <x:c r="B2045" t="str">
        <x:v>蔬菜</x:v>
      </x:c>
      <x:c r="C2045" t="str">
        <x:v>番茄</x:v>
      </x:c>
      <x:c r="D2045" t="n">
        <x:v>335</x:v>
      </x:c>
      <x:c r="E2045" t="n">
        <x:v>360</x:v>
      </x:c>
      <x:c r="F2045" s="10" t="str">
        <x:v>食材净重+约8%余量</x:v>
      </x:c>
      <x:c r="G2045" s="10" t="str">
        <x:v>生重</x:v>
      </x:c>
    </x:row>
    <x:row r="2046" ht="23" customHeight="1">
      <x:c r="A2046" t="n">
        <x:v>51</x:v>
      </x:c>
      <x:c r="B2046" t="str">
        <x:v>蔬菜</x:v>
      </x:c>
      <x:c r="C2046" t="str">
        <x:v>秋葵</x:v>
      </x:c>
      <x:c r="D2046" t="n">
        <x:v>175</x:v>
      </x:c>
      <x:c r="E2046" t="n">
        <x:v>190</x:v>
      </x:c>
      <x:c r="F2046" s="10" t="str">
        <x:v>食材净重+约8%余量</x:v>
      </x:c>
      <x:c r="G2046" s="10" t="str">
        <x:v>生重</x:v>
      </x:c>
    </x:row>
    <x:row r="2047" ht="23" customHeight="1">
      <x:c r="A2047" t="n">
        <x:v>51</x:v>
      </x:c>
      <x:c r="B2047" t="str">
        <x:v>蔬菜</x:v>
      </x:c>
      <x:c r="C2047" t="str">
        <x:v>竹笋</x:v>
      </x:c>
      <x:c r="D2047" t="n">
        <x:v>175</x:v>
      </x:c>
      <x:c r="E2047" t="n">
        <x:v>190</x:v>
      </x:c>
      <x:c r="F2047" s="10" t="str">
        <x:v>食材净重+约8%余量</x:v>
      </x:c>
      <x:c r="G2047" s="10" t="str">
        <x:v>生重</x:v>
      </x:c>
    </x:row>
    <x:row r="2048" ht="23" customHeight="1">
      <x:c r="A2048" t="n">
        <x:v>51</x:v>
      </x:c>
      <x:c r="B2048" t="str">
        <x:v>蔬菜</x:v>
      </x:c>
      <x:c r="C2048" t="str">
        <x:v>芦笋</x:v>
      </x:c>
      <x:c r="D2048" t="n">
        <x:v>280</x:v>
      </x:c>
      <x:c r="E2048" t="n">
        <x:v>300</x:v>
      </x:c>
      <x:c r="F2048" s="10" t="str">
        <x:v>食材净重+约8%余量</x:v>
      </x:c>
      <x:c r="G2048" s="10" t="str">
        <x:v>生重</x:v>
      </x:c>
    </x:row>
    <x:row r="2049" ht="23" customHeight="1">
      <x:c r="A2049" t="n">
        <x:v>51</x:v>
      </x:c>
      <x:c r="B2049" t="str">
        <x:v>蔬菜</x:v>
      </x:c>
      <x:c r="C2049" t="str">
        <x:v>花菜</x:v>
      </x:c>
      <x:c r="D2049" t="n">
        <x:v>155</x:v>
      </x:c>
      <x:c r="E2049" t="n">
        <x:v>170</x:v>
      </x:c>
      <x:c r="F2049" s="10" t="str">
        <x:v>食材净重+约8%余量</x:v>
      </x:c>
      <x:c r="G2049" s="10" t="str">
        <x:v>生重</x:v>
      </x:c>
    </x:row>
    <x:row r="2050" ht="23" customHeight="1">
      <x:c r="A2050" t="n">
        <x:v>51</x:v>
      </x:c>
      <x:c r="B2050" t="str">
        <x:v>蔬菜</x:v>
      </x:c>
      <x:c r="C2050" t="str">
        <x:v>荷兰豆</x:v>
      </x:c>
      <x:c r="D2050" t="n">
        <x:v>280</x:v>
      </x:c>
      <x:c r="E2050" t="n">
        <x:v>300</x:v>
      </x:c>
      <x:c r="F2050" s="10" t="str">
        <x:v>食材净重+约8%余量</x:v>
      </x:c>
      <x:c r="G2050" s="10" t="str">
        <x:v>生重</x:v>
      </x:c>
    </x:row>
    <x:row r="2051" ht="23" customHeight="1">
      <x:c r="A2051" t="n">
        <x:v>51</x:v>
      </x:c>
      <x:c r="B2051" t="str">
        <x:v>蔬菜</x:v>
      </x:c>
      <x:c r="C2051" t="str">
        <x:v>菠菜</x:v>
      </x:c>
      <x:c r="D2051" t="n">
        <x:v>175</x:v>
      </x:c>
      <x:c r="E2051" t="n">
        <x:v>190</x:v>
      </x:c>
      <x:c r="F2051" s="10" t="str">
        <x:v>食材净重+约8%余量</x:v>
      </x:c>
      <x:c r="G2051" s="10" t="str">
        <x:v>生重</x:v>
      </x:c>
    </x:row>
    <x:row r="2052" ht="23" customHeight="1">
      <x:c r="A2052" t="n">
        <x:v>51</x:v>
      </x:c>
      <x:c r="B2052" t="str">
        <x:v>蔬菜</x:v>
      </x:c>
      <x:c r="C2052" t="str">
        <x:v>西兰花</x:v>
      </x:c>
      <x:c r="D2052" t="n">
        <x:v>555</x:v>
      </x:c>
      <x:c r="E2052" t="n">
        <x:v>600</x:v>
      </x:c>
      <x:c r="F2052" s="10" t="str">
        <x:v>食材净重+约8%余量</x:v>
      </x:c>
      <x:c r="G2052" s="10" t="str">
        <x:v>生重</x:v>
      </x:c>
    </x:row>
    <x:row r="2053" ht="23" customHeight="1">
      <x:c r="A2053" t="n">
        <x:v>51</x:v>
      </x:c>
      <x:c r="B2053" t="str">
        <x:v>蔬菜</x:v>
      </x:c>
      <x:c r="C2053" t="str">
        <x:v>黄瓜</x:v>
      </x:c>
      <x:c r="D2053" t="n">
        <x:v>310</x:v>
      </x:c>
      <x:c r="E2053" t="n">
        <x:v>330</x:v>
      </x:c>
      <x:c r="F2053" s="10" t="str">
        <x:v>食材净重+约8%余量</x:v>
      </x:c>
      <x:c r="G2053" s="10" t="str">
        <x:v>生重</x:v>
      </x:c>
    </x:row>
    <x:row r="2054" ht="23" customHeight="1">
      <x:c r="A2054" t="n">
        <x:v>51</x:v>
      </x:c>
      <x:c r="B2054" t="str">
        <x:v>豆蛋</x:v>
      </x:c>
      <x:c r="C2054" t="str">
        <x:v>北豆腐</x:v>
      </x:c>
      <x:c r="D2054" t="n">
        <x:v>260</x:v>
      </x:c>
      <x:c r="E2054" t="n">
        <x:v>280</x:v>
      </x:c>
      <x:c r="F2054" s="10" t="str">
        <x:v>食材净重+约8%余量</x:v>
      </x:c>
      <x:c r="G2054" s="10" t="str">
        <x:v>净重</x:v>
      </x:c>
    </x:row>
    <x:row r="2055" ht="23" customHeight="1">
      <x:c r="A2055" t="n">
        <x:v>51</x:v>
      </x:c>
      <x:c r="B2055" t="str">
        <x:v>豆蛋</x:v>
      </x:c>
      <x:c r="C2055" t="str">
        <x:v>嫩豆腐</x:v>
      </x:c>
      <x:c r="D2055" t="n">
        <x:v>135</x:v>
      </x:c>
      <x:c r="E2055" t="n">
        <x:v>150</x:v>
      </x:c>
      <x:c r="F2055" s="10" t="str">
        <x:v>食材净重+约8%余量</x:v>
      </x:c>
      <x:c r="G2055" s="10" t="str">
        <x:v>净重</x:v>
      </x:c>
    </x:row>
    <x:row r="2056" ht="23" customHeight="1">
      <x:c r="A2056" t="n">
        <x:v>51</x:v>
      </x:c>
      <x:c r="B2056" t="str">
        <x:v>豆蛋</x:v>
      </x:c>
      <x:c r="C2056" t="str">
        <x:v>鸡蛋</x:v>
      </x:c>
      <x:c r="D2056" t="n">
        <x:v>120</x:v>
      </x:c>
      <x:c r="E2056" t="n">
        <x:v>130</x:v>
      </x:c>
      <x:c r="F2056" s="10" t="str">
        <x:v>食材净重+约8%余量</x:v>
      </x:c>
      <x:c r="G2056" s="10" t="str">
        <x:v>去壳可食重</x:v>
      </x:c>
    </x:row>
    <x:row r="2057" ht="23" customHeight="1">
      <x:c r="A2057" t="n">
        <x:v>51</x:v>
      </x:c>
      <x:c r="B2057" t="str">
        <x:v>鱼类</x:v>
      </x:c>
      <x:c r="C2057" t="str">
        <x:v>三文鱼</x:v>
      </x:c>
      <x:c r="D2057" t="n">
        <x:v>135</x:v>
      </x:c>
      <x:c r="E2057" t="n">
        <x:v>150</x:v>
      </x:c>
      <x:c r="F2057" s="10" t="str">
        <x:v>食材净重+约8%余量</x:v>
      </x:c>
      <x:c r="G2057" s="10" t="str">
        <x:v>净鱼肉生重</x:v>
      </x:c>
    </x:row>
    <x:row r="2058" ht="23" customHeight="1">
      <x:c r="A2058" t="n">
        <x:v>51</x:v>
      </x:c>
      <x:c r="B2058" t="str">
        <x:v>鱼类</x:v>
      </x:c>
      <x:c r="C2058" t="str">
        <x:v>鳕鱼</x:v>
      </x:c>
      <x:c r="D2058" t="n">
        <x:v>200</x:v>
      </x:c>
      <x:c r="E2058" t="n">
        <x:v>220</x:v>
      </x:c>
      <x:c r="F2058" s="10" t="str">
        <x:v>食材净重+约8%余量；带壳或带骨采购需另折算</x:v>
      </x:c>
      <x:c r="G2058" s="10" t="str">
        <x:v>净鱼肉生重</x:v>
      </x:c>
    </x:row>
    <x:row r="2059" ht="23" customHeight="1">
      <x:c r="A2059" t="n">
        <x:v>52</x:v>
      </x:c>
      <x:c r="B2059" t="str">
        <x:v>主食</x:v>
      </x:c>
      <x:c r="C2059" t="str">
        <x:v>土豆</x:v>
      </x:c>
      <x:c r="D2059" t="n">
        <x:v>110</x:v>
      </x:c>
      <x:c r="E2059" t="n">
        <x:v>120</x:v>
      </x:c>
      <x:c r="F2059" s="10" t="str">
        <x:v>鲜薯/玉米净重；考虑小幅损耗</x:v>
      </x:c>
      <x:c r="G2059" s="10" t="str">
        <x:v>蒸熟净重</x:v>
      </x:c>
    </x:row>
    <x:row r="2060" ht="23" customHeight="1">
      <x:c r="A2060" t="n">
        <x:v>52</x:v>
      </x:c>
      <x:c r="B2060" t="str">
        <x:v>主食</x:v>
      </x:c>
      <x:c r="C2060" t="str">
        <x:v>杂粮饭</x:v>
      </x:c>
      <x:c r="D2060" t="n">
        <x:v>125</x:v>
      </x:c>
      <x:c r="E2060" t="n">
        <x:v>50</x:v>
      </x:c>
      <x:c r="F2060" s="10" t="str">
        <x:v>未煮干粮约重（按熟饭/生米≈2.6估算）</x:v>
      </x:c>
      <x:c r="G2060" s="10" t="str">
        <x:v>熟重</x:v>
      </x:c>
    </x:row>
    <x:row r="2061" ht="23" customHeight="1">
      <x:c r="A2061" t="n">
        <x:v>52</x:v>
      </x:c>
      <x:c r="B2061" t="str">
        <x:v>主食</x:v>
      </x:c>
      <x:c r="C2061" t="str">
        <x:v>燕麦饭</x:v>
      </x:c>
      <x:c r="D2061" t="n">
        <x:v>110</x:v>
      </x:c>
      <x:c r="E2061" t="n">
        <x:v>40</x:v>
      </x:c>
      <x:c r="F2061" s="10" t="str">
        <x:v>未煮干粮约重（按熟饭/生米≈2.6估算）</x:v>
      </x:c>
      <x:c r="G2061" s="10" t="str">
        <x:v>熟重</x:v>
      </x:c>
    </x:row>
    <x:row r="2062" ht="23" customHeight="1">
      <x:c r="A2062" t="n">
        <x:v>52</x:v>
      </x:c>
      <x:c r="B2062" t="str">
        <x:v>主食</x:v>
      </x:c>
      <x:c r="C2062" t="str">
        <x:v>玉米</x:v>
      </x:c>
      <x:c r="D2062" t="n">
        <x:v>135</x:v>
      </x:c>
      <x:c r="E2062" t="n">
        <x:v>150</x:v>
      </x:c>
      <x:c r="F2062" s="10" t="str">
        <x:v>鲜薯/玉米净重；考虑小幅损耗</x:v>
      </x:c>
      <x:c r="G2062" s="10" t="str">
        <x:v>蒸熟净重</x:v>
      </x:c>
    </x:row>
    <x:row r="2063" ht="23" customHeight="1">
      <x:c r="A2063" t="n">
        <x:v>52</x:v>
      </x:c>
      <x:c r="B2063" t="str">
        <x:v>主食</x:v>
      </x:c>
      <x:c r="C2063" t="str">
        <x:v>白米饭</x:v>
      </x:c>
      <x:c r="D2063" t="n">
        <x:v>125</x:v>
      </x:c>
      <x:c r="E2063" t="n">
        <x:v>50</x:v>
      </x:c>
      <x:c r="F2063" s="10" t="str">
        <x:v>未煮干粮约重（按熟饭/生米≈2.6估算）</x:v>
      </x:c>
      <x:c r="G2063" s="10" t="str">
        <x:v>熟重</x:v>
      </x:c>
    </x:row>
    <x:row r="2064" ht="23" customHeight="1">
      <x:c r="A2064" t="n">
        <x:v>52</x:v>
      </x:c>
      <x:c r="B2064" t="str">
        <x:v>主食</x:v>
      </x:c>
      <x:c r="C2064" t="str">
        <x:v>红薯</x:v>
      </x:c>
      <x:c r="D2064" t="n">
        <x:v>235</x:v>
      </x:c>
      <x:c r="E2064" t="n">
        <x:v>260</x:v>
      </x:c>
      <x:c r="F2064" s="10" t="str">
        <x:v>鲜薯/玉米净重；考虑小幅损耗</x:v>
      </x:c>
      <x:c r="G2064" s="10" t="str">
        <x:v>蒸熟净重</x:v>
      </x:c>
    </x:row>
    <x:row r="2065" ht="23" customHeight="1">
      <x:c r="A2065" t="n">
        <x:v>52</x:v>
      </x:c>
      <x:c r="B2065" t="str">
        <x:v>主食</x:v>
      </x:c>
      <x:c r="C2065" t="str">
        <x:v>荞麦面</x:v>
      </x:c>
      <x:c r="D2065" t="n">
        <x:v>125</x:v>
      </x:c>
      <x:c r="E2065" t="n">
        <x:v>60</x:v>
      </x:c>
      <x:c r="F2065" s="10" t="str">
        <x:v>干粮约重（按熟面/干面≈2.1估算）</x:v>
      </x:c>
      <x:c r="G2065" s="10" t="str">
        <x:v>煮熟沥水重</x:v>
      </x:c>
    </x:row>
    <x:row r="2066" ht="23" customHeight="1">
      <x:c r="A2066" t="n">
        <x:v>52</x:v>
      </x:c>
      <x:c r="B2066" t="str">
        <x:v>主食</x:v>
      </x:c>
      <x:c r="C2066" t="str">
        <x:v>荞麦饭</x:v>
      </x:c>
      <x:c r="D2066" t="n">
        <x:v>480</x:v>
      </x:c>
      <x:c r="E2066" t="n">
        <x:v>180</x:v>
      </x:c>
      <x:c r="F2066" s="10" t="str">
        <x:v>未煮干粮约重（按熟饭/生米≈2.6估算）</x:v>
      </x:c>
      <x:c r="G2066" s="10" t="str">
        <x:v>熟重</x:v>
      </x:c>
    </x:row>
    <x:row r="2067" ht="23" customHeight="1">
      <x:c r="A2067" t="n">
        <x:v>52</x:v>
      </x:c>
      <x:c r="B2067" t="str">
        <x:v>主食</x:v>
      </x:c>
      <x:c r="C2067" t="str">
        <x:v>藜麦饭</x:v>
      </x:c>
      <x:c r="D2067" t="n">
        <x:v>235</x:v>
      </x:c>
      <x:c r="E2067" t="n">
        <x:v>90</x:v>
      </x:c>
      <x:c r="F2067" s="10" t="str">
        <x:v>未煮干粮约重（按熟饭/生米≈2.6估算）</x:v>
      </x:c>
      <x:c r="G2067" s="10" t="str">
        <x:v>熟重</x:v>
      </x:c>
    </x:row>
    <x:row r="2068" ht="23" customHeight="1">
      <x:c r="A2068" t="n">
        <x:v>52</x:v>
      </x:c>
      <x:c r="B2068" t="str">
        <x:v>油脂</x:v>
      </x:c>
      <x:c r="C2068" t="str">
        <x:v>烹调油</x:v>
      </x:c>
      <x:c r="D2068" t="n">
        <x:v>67</x:v>
      </x:c>
      <x:c r="E2068" t="n">
        <x:v>67</x:v>
      </x:c>
      <x:c r="F2068" s="10" t="str">
        <x:v>食用油；现有库存足够即可</x:v>
      </x:c>
      <x:c r="G2068" s="10" t="str">
        <x:v>实际用油重</x:v>
      </x:c>
    </x:row>
    <x:row r="2069" ht="23" customHeight="1">
      <x:c r="A2069" t="n">
        <x:v>52</x:v>
      </x:c>
      <x:c r="B2069" t="str">
        <x:v>海鲜</x:v>
      </x:c>
      <x:c r="C2069" t="str">
        <x:v>虾仁</x:v>
      </x:c>
      <x:c r="D2069" t="n">
        <x:v>350</x:v>
      </x:c>
      <x:c r="E2069" t="n">
        <x:v>380</x:v>
      </x:c>
      <x:c r="F2069" s="10" t="str">
        <x:v>食材净重+约8%余量</x:v>
      </x:c>
      <x:c r="G2069" s="10" t="str">
        <x:v>生重</x:v>
      </x:c>
    </x:row>
    <x:row r="2070" ht="23" customHeight="1">
      <x:c r="A2070" t="n">
        <x:v>52</x:v>
      </x:c>
      <x:c r="B2070" t="str">
        <x:v>海鲜</x:v>
      </x:c>
      <x:c r="C2070" t="str">
        <x:v>鱿鱼</x:v>
      </x:c>
      <x:c r="D2070" t="n">
        <x:v>190</x:v>
      </x:c>
      <x:c r="E2070" t="n">
        <x:v>210</x:v>
      </x:c>
      <x:c r="F2070" s="10" t="str">
        <x:v>食材净重+约8%余量</x:v>
      </x:c>
      <x:c r="G2070" s="10" t="str">
        <x:v>生重</x:v>
      </x:c>
    </x:row>
    <x:row r="2071" ht="23" customHeight="1">
      <x:c r="A2071" t="n">
        <x:v>52</x:v>
      </x:c>
      <x:c r="B2071" t="str">
        <x:v>牛肉</x:v>
      </x:c>
      <x:c r="C2071" t="str">
        <x:v>牛里脊</x:v>
      </x:c>
      <x:c r="D2071" t="n">
        <x:v>495</x:v>
      </x:c>
      <x:c r="E2071" t="n">
        <x:v>530</x:v>
      </x:c>
      <x:c r="F2071" s="10" t="str">
        <x:v>食材净重+约8%余量</x:v>
      </x:c>
      <x:c r="G2071" s="10" t="str">
        <x:v>生重</x:v>
      </x:c>
    </x:row>
    <x:row r="2072" ht="23" customHeight="1">
      <x:c r="A2072" t="n">
        <x:v>52</x:v>
      </x:c>
      <x:c r="B2072" t="str">
        <x:v>禽肉</x:v>
      </x:c>
      <x:c r="C2072" t="str">
        <x:v>去皮鸡腿肉</x:v>
      </x:c>
      <x:c r="D2072" t="n">
        <x:v>525</x:v>
      </x:c>
      <x:c r="E2072" t="n">
        <x:v>570</x:v>
      </x:c>
      <x:c r="F2072" s="10" t="str">
        <x:v>食材净重+约8%余量</x:v>
      </x:c>
      <x:c r="G2072" s="10" t="str">
        <x:v>生重</x:v>
      </x:c>
    </x:row>
    <x:row r="2073" ht="23" customHeight="1">
      <x:c r="A2073" t="n">
        <x:v>52</x:v>
      </x:c>
      <x:c r="B2073" t="str">
        <x:v>禽肉</x:v>
      </x:c>
      <x:c r="C2073" t="str">
        <x:v>鸡里脊肉</x:v>
      </x:c>
      <x:c r="D2073" t="n">
        <x:v>170</x:v>
      </x:c>
      <x:c r="E2073" t="n">
        <x:v>180</x:v>
      </x:c>
      <x:c r="F2073" s="10" t="str">
        <x:v>食材净重+约8%余量</x:v>
      </x:c>
      <x:c r="G2073" s="10" t="str">
        <x:v>生重</x:v>
      </x:c>
    </x:row>
    <x:row r="2074" ht="23" customHeight="1">
      <x:c r="A2074" t="n">
        <x:v>52</x:v>
      </x:c>
      <x:c r="B2074" t="str">
        <x:v>菌菇</x:v>
      </x:c>
      <x:c r="C2074" t="str">
        <x:v>口蘑</x:v>
      </x:c>
      <x:c r="D2074" t="n">
        <x:v>155</x:v>
      </x:c>
      <x:c r="E2074" t="n">
        <x:v>170</x:v>
      </x:c>
      <x:c r="F2074" s="10" t="str">
        <x:v>食材净重+约8%余量</x:v>
      </x:c>
      <x:c r="G2074" s="10" t="str">
        <x:v>生重</x:v>
      </x:c>
    </x:row>
    <x:row r="2075" ht="23" customHeight="1">
      <x:c r="A2075" t="n">
        <x:v>52</x:v>
      </x:c>
      <x:c r="B2075" t="str">
        <x:v>菌菇</x:v>
      </x:c>
      <x:c r="C2075" t="str">
        <x:v>杏鲍菇</x:v>
      </x:c>
      <x:c r="D2075" t="n">
        <x:v>140</x:v>
      </x:c>
      <x:c r="E2075" t="n">
        <x:v>150</x:v>
      </x:c>
      <x:c r="F2075" s="10" t="str">
        <x:v>食材净重+约8%余量</x:v>
      </x:c>
      <x:c r="G2075" s="10" t="str">
        <x:v>生重</x:v>
      </x:c>
    </x:row>
    <x:row r="2076" ht="23" customHeight="1">
      <x:c r="A2076" t="n">
        <x:v>52</x:v>
      </x:c>
      <x:c r="B2076" t="str">
        <x:v>菌菇</x:v>
      </x:c>
      <x:c r="C2076" t="str">
        <x:v>泡发木耳</x:v>
      </x:c>
      <x:c r="D2076" t="n">
        <x:v>110</x:v>
      </x:c>
      <x:c r="E2076" t="n">
        <x:v>120</x:v>
      </x:c>
      <x:c r="F2076" s="10" t="str">
        <x:v>食材净重+约8%余量</x:v>
      </x:c>
      <x:c r="G2076" s="10" t="str">
        <x:v>泡发沥水重</x:v>
      </x:c>
    </x:row>
    <x:row r="2077" ht="23" customHeight="1">
      <x:c r="A2077" t="n">
        <x:v>52</x:v>
      </x:c>
      <x:c r="B2077" t="str">
        <x:v>蔬菜</x:v>
      </x:c>
      <x:c r="C2077" t="str">
        <x:v>冬瓜</x:v>
      </x:c>
      <x:c r="D2077" t="n">
        <x:v>410</x:v>
      </x:c>
      <x:c r="E2077" t="n">
        <x:v>440</x:v>
      </x:c>
      <x:c r="F2077" s="10" t="str">
        <x:v>食材净重+约8%余量</x:v>
      </x:c>
      <x:c r="G2077" s="10" t="str">
        <x:v>生重</x:v>
      </x:c>
    </x:row>
    <x:row r="2078" ht="23" customHeight="1">
      <x:c r="A2078" t="n">
        <x:v>52</x:v>
      </x:c>
      <x:c r="B2078" t="str">
        <x:v>蔬菜</x:v>
      </x:c>
      <x:c r="C2078" t="str">
        <x:v>四季豆</x:v>
      </x:c>
      <x:c r="D2078" t="n">
        <x:v>175</x:v>
      </x:c>
      <x:c r="E2078" t="n">
        <x:v>190</x:v>
      </x:c>
      <x:c r="F2078" s="10" t="str">
        <x:v>食材净重+约8%余量</x:v>
      </x:c>
      <x:c r="G2078" s="10" t="str">
        <x:v>生重</x:v>
      </x:c>
    </x:row>
    <x:row r="2079" ht="23" customHeight="1">
      <x:c r="A2079" t="n">
        <x:v>52</x:v>
      </x:c>
      <x:c r="B2079" t="str">
        <x:v>蔬菜</x:v>
      </x:c>
      <x:c r="C2079" t="str">
        <x:v>娃娃菜</x:v>
      </x:c>
      <x:c r="D2079" t="n">
        <x:v>110</x:v>
      </x:c>
      <x:c r="E2079" t="n">
        <x:v>120</x:v>
      </x:c>
      <x:c r="F2079" s="10" t="str">
        <x:v>食材净重+约8%余量</x:v>
      </x:c>
      <x:c r="G2079" s="10" t="str">
        <x:v>生重</x:v>
      </x:c>
    </x:row>
    <x:row r="2080" ht="23" customHeight="1">
      <x:c r="A2080" t="n">
        <x:v>52</x:v>
      </x:c>
      <x:c r="B2080" t="str">
        <x:v>蔬菜</x:v>
      </x:c>
      <x:c r="C2080" t="str">
        <x:v>小白菜</x:v>
      </x:c>
      <x:c r="D2080" t="n">
        <x:v>125</x:v>
      </x:c>
      <x:c r="E2080" t="n">
        <x:v>140</x:v>
      </x:c>
      <x:c r="F2080" s="10" t="str">
        <x:v>食材净重+约8%余量</x:v>
      </x:c>
      <x:c r="G2080" s="10" t="str">
        <x:v>生重</x:v>
      </x:c>
    </x:row>
    <x:row r="2081" ht="23" customHeight="1">
      <x:c r="A2081" t="n">
        <x:v>52</x:v>
      </x:c>
      <x:c r="B2081" t="str">
        <x:v>蔬菜</x:v>
      </x:c>
      <x:c r="C2081" t="str">
        <x:v>洋葱</x:v>
      </x:c>
      <x:c r="D2081" t="n">
        <x:v>295</x:v>
      </x:c>
      <x:c r="E2081" t="n">
        <x:v>320</x:v>
      </x:c>
      <x:c r="F2081" s="10" t="str">
        <x:v>食材净重+约8%余量</x:v>
      </x:c>
      <x:c r="G2081" s="10" t="str">
        <x:v>生重</x:v>
      </x:c>
    </x:row>
    <x:row r="2082" ht="23" customHeight="1">
      <x:c r="A2082" t="n">
        <x:v>52</x:v>
      </x:c>
      <x:c r="B2082" t="str">
        <x:v>蔬菜</x:v>
      </x:c>
      <x:c r="C2082" t="str">
        <x:v>玉米笋</x:v>
      </x:c>
      <x:c r="D2082" t="n">
        <x:v>155</x:v>
      </x:c>
      <x:c r="E2082" t="n">
        <x:v>170</x:v>
      </x:c>
      <x:c r="F2082" s="10" t="str">
        <x:v>食材净重+约8%余量</x:v>
      </x:c>
      <x:c r="G2082" s="10" t="str">
        <x:v>生重</x:v>
      </x:c>
    </x:row>
    <x:row r="2083" ht="23" customHeight="1">
      <x:c r="A2083" t="n">
        <x:v>52</x:v>
      </x:c>
      <x:c r="B2083" t="str">
        <x:v>蔬菜</x:v>
      </x:c>
      <x:c r="C2083" t="str">
        <x:v>番茄</x:v>
      </x:c>
      <x:c r="D2083" t="n">
        <x:v>475</x:v>
      </x:c>
      <x:c r="E2083" t="n">
        <x:v>510</x:v>
      </x:c>
      <x:c r="F2083" s="10" t="str">
        <x:v>食材净重+约8%余量</x:v>
      </x:c>
      <x:c r="G2083" s="10" t="str">
        <x:v>生重</x:v>
      </x:c>
    </x:row>
    <x:row r="2084" ht="23" customHeight="1">
      <x:c r="A2084" t="n">
        <x:v>52</x:v>
      </x:c>
      <x:c r="B2084" t="str">
        <x:v>蔬菜</x:v>
      </x:c>
      <x:c r="C2084" t="str">
        <x:v>紫甘蓝</x:v>
      </x:c>
      <x:c r="D2084" t="n">
        <x:v>190</x:v>
      </x:c>
      <x:c r="E2084" t="n">
        <x:v>210</x:v>
      </x:c>
      <x:c r="F2084" s="10" t="str">
        <x:v>食材净重+约8%余量</x:v>
      </x:c>
      <x:c r="G2084" s="10" t="str">
        <x:v>生重</x:v>
      </x:c>
    </x:row>
    <x:row r="2085" ht="23" customHeight="1">
      <x:c r="A2085" t="n">
        <x:v>52</x:v>
      </x:c>
      <x:c r="B2085" t="str">
        <x:v>蔬菜</x:v>
      </x:c>
      <x:c r="C2085" t="str">
        <x:v>绿豆芽</x:v>
      </x:c>
      <x:c r="D2085" t="n">
        <x:v>140</x:v>
      </x:c>
      <x:c r="E2085" t="n">
        <x:v>150</x:v>
      </x:c>
      <x:c r="F2085" s="10" t="str">
        <x:v>食材净重+约8%余量</x:v>
      </x:c>
      <x:c r="G2085" s="10" t="str">
        <x:v>生重</x:v>
      </x:c>
    </x:row>
    <x:row r="2086" ht="23" customHeight="1">
      <x:c r="A2086" t="n">
        <x:v>52</x:v>
      </x:c>
      <x:c r="B2086" t="str">
        <x:v>蔬菜</x:v>
      </x:c>
      <x:c r="C2086" t="str">
        <x:v>芦笋</x:v>
      </x:c>
      <x:c r="D2086" t="n">
        <x:v>295</x:v>
      </x:c>
      <x:c r="E2086" t="n">
        <x:v>320</x:v>
      </x:c>
      <x:c r="F2086" s="10" t="str">
        <x:v>食材净重+约8%余量</x:v>
      </x:c>
      <x:c r="G2086" s="10" t="str">
        <x:v>生重</x:v>
      </x:c>
    </x:row>
    <x:row r="2087" ht="23" customHeight="1">
      <x:c r="A2087" t="n">
        <x:v>52</x:v>
      </x:c>
      <x:c r="B2087" t="str">
        <x:v>蔬菜</x:v>
      </x:c>
      <x:c r="C2087" t="str">
        <x:v>花菜</x:v>
      </x:c>
      <x:c r="D2087" t="n">
        <x:v>335</x:v>
      </x:c>
      <x:c r="E2087" t="n">
        <x:v>360</x:v>
      </x:c>
      <x:c r="F2087" s="10" t="str">
        <x:v>食材净重+约8%余量</x:v>
      </x:c>
      <x:c r="G2087" s="10" t="str">
        <x:v>生重</x:v>
      </x:c>
    </x:row>
    <x:row r="2088" ht="23" customHeight="1">
      <x:c r="A2088" t="n">
        <x:v>52</x:v>
      </x:c>
      <x:c r="B2088" t="str">
        <x:v>蔬菜</x:v>
      </x:c>
      <x:c r="C2088" t="str">
        <x:v>茼蒿</x:v>
      </x:c>
      <x:c r="D2088" t="n">
        <x:v>160</x:v>
      </x:c>
      <x:c r="E2088" t="n">
        <x:v>170</x:v>
      </x:c>
      <x:c r="F2088" s="10" t="str">
        <x:v>食材净重+约8%余量</x:v>
      </x:c>
      <x:c r="G2088" s="10" t="str">
        <x:v>生重</x:v>
      </x:c>
    </x:row>
    <x:row r="2089" ht="23" customHeight="1">
      <x:c r="A2089" t="n">
        <x:v>52</x:v>
      </x:c>
      <x:c r="B2089" t="str">
        <x:v>蔬菜</x:v>
      </x:c>
      <x:c r="C2089" t="str">
        <x:v>荷兰豆</x:v>
      </x:c>
      <x:c r="D2089" t="n">
        <x:v>125</x:v>
      </x:c>
      <x:c r="E2089" t="n">
        <x:v>140</x:v>
      </x:c>
      <x:c r="F2089" s="10" t="str">
        <x:v>食材净重+约8%余量</x:v>
      </x:c>
      <x:c r="G2089" s="10" t="str">
        <x:v>生重</x:v>
      </x:c>
    </x:row>
    <x:row r="2090" ht="23" customHeight="1">
      <x:c r="A2090" t="n">
        <x:v>52</x:v>
      </x:c>
      <x:c r="B2090" t="str">
        <x:v>蔬菜</x:v>
      </x:c>
      <x:c r="C2090" t="str">
        <x:v>西兰花</x:v>
      </x:c>
      <x:c r="D2090" t="n">
        <x:v>270</x:v>
      </x:c>
      <x:c r="E2090" t="n">
        <x:v>290</x:v>
      </x:c>
      <x:c r="F2090" s="10" t="str">
        <x:v>食材净重+约8%余量</x:v>
      </x:c>
      <x:c r="G2090" s="10" t="str">
        <x:v>生重</x:v>
      </x:c>
    </x:row>
    <x:row r="2091" ht="23" customHeight="1">
      <x:c r="A2091" t="n">
        <x:v>52</x:v>
      </x:c>
      <x:c r="B2091" t="str">
        <x:v>蔬菜</x:v>
      </x:c>
      <x:c r="C2091" t="str">
        <x:v>西葫芦</x:v>
      </x:c>
      <x:c r="D2091" t="n">
        <x:v>160</x:v>
      </x:c>
      <x:c r="E2091" t="n">
        <x:v>170</x:v>
      </x:c>
      <x:c r="F2091" s="10" t="str">
        <x:v>食材净重+约8%余量</x:v>
      </x:c>
      <x:c r="G2091" s="10" t="str">
        <x:v>生重</x:v>
      </x:c>
    </x:row>
    <x:row r="2092" ht="23" customHeight="1">
      <x:c r="A2092" t="n">
        <x:v>52</x:v>
      </x:c>
      <x:c r="B2092" t="str">
        <x:v>蔬菜</x:v>
      </x:c>
      <x:c r="C2092" t="str">
        <x:v>黄瓜</x:v>
      </x:c>
      <x:c r="D2092" t="n">
        <x:v>300</x:v>
      </x:c>
      <x:c r="E2092" t="n">
        <x:v>320</x:v>
      </x:c>
      <x:c r="F2092" s="10" t="str">
        <x:v>食材净重+约8%余量</x:v>
      </x:c>
      <x:c r="G2092" s="10" t="str">
        <x:v>生重</x:v>
      </x:c>
    </x:row>
    <x:row r="2093" ht="23" customHeight="1">
      <x:c r="A2093" t="n">
        <x:v>52</x:v>
      </x:c>
      <x:c r="B2093" t="str">
        <x:v>豆蛋</x:v>
      </x:c>
      <x:c r="C2093" t="str">
        <x:v>北豆腐</x:v>
      </x:c>
      <x:c r="D2093" t="n">
        <x:v>300</x:v>
      </x:c>
      <x:c r="E2093" t="n">
        <x:v>320</x:v>
      </x:c>
      <x:c r="F2093" s="10" t="str">
        <x:v>食材净重+约8%余量</x:v>
      </x:c>
      <x:c r="G2093" s="10" t="str">
        <x:v>净重</x:v>
      </x:c>
    </x:row>
    <x:row r="2094" ht="23" customHeight="1">
      <x:c r="A2094" t="n">
        <x:v>52</x:v>
      </x:c>
      <x:c r="B2094" t="str">
        <x:v>豆蛋</x:v>
      </x:c>
      <x:c r="C2094" t="str">
        <x:v>嫩豆腐</x:v>
      </x:c>
      <x:c r="D2094" t="n">
        <x:v>615</x:v>
      </x:c>
      <x:c r="E2094" t="n">
        <x:v>660</x:v>
      </x:c>
      <x:c r="F2094" s="10" t="str">
        <x:v>食材净重+约8%余量</x:v>
      </x:c>
      <x:c r="G2094" s="10" t="str">
        <x:v>净重</x:v>
      </x:c>
    </x:row>
    <x:row r="2095" ht="23" customHeight="1">
      <x:c r="A2095" t="n">
        <x:v>52</x:v>
      </x:c>
      <x:c r="B2095" t="str">
        <x:v>豆蛋</x:v>
      </x:c>
      <x:c r="C2095" t="str">
        <x:v>熟毛豆仁</x:v>
      </x:c>
      <x:c r="D2095" t="n">
        <x:v>70</x:v>
      </x:c>
      <x:c r="E2095" t="n">
        <x:v>80</x:v>
      </x:c>
      <x:c r="F2095" s="10" t="str">
        <x:v>食材净重+约8%余量</x:v>
      </x:c>
      <x:c r="G2095" s="10" t="str">
        <x:v>熟重</x:v>
      </x:c>
    </x:row>
    <x:row r="2096" ht="23" customHeight="1">
      <x:c r="A2096" t="n">
        <x:v>52</x:v>
      </x:c>
      <x:c r="B2096" t="str">
        <x:v>豆蛋</x:v>
      </x:c>
      <x:c r="C2096" t="str">
        <x:v>鸡蛋</x:v>
      </x:c>
      <x:c r="D2096" t="n">
        <x:v>170</x:v>
      </x:c>
      <x:c r="E2096" t="n">
        <x:v>180</x:v>
      </x:c>
      <x:c r="F2096" s="10" t="str">
        <x:v>食材净重+约8%余量</x:v>
      </x:c>
      <x:c r="G2096" s="10" t="str">
        <x:v>去壳可食重</x:v>
      </x:c>
    </x:row>
    <x:row r="2097" ht="23" customHeight="1">
      <x:c r="A2097" t="n">
        <x:v>52</x:v>
      </x:c>
      <x:c r="B2097" t="str">
        <x:v>鱼类</x:v>
      </x:c>
      <x:c r="C2097" t="str">
        <x:v>巴沙鱼</x:v>
      </x:c>
      <x:c r="D2097" t="n">
        <x:v>200</x:v>
      </x:c>
      <x:c r="E2097" t="n">
        <x:v>220</x:v>
      </x:c>
      <x:c r="F2097" s="10" t="str">
        <x:v>食材净重+约8%余量</x:v>
      </x:c>
      <x:c r="G2097" s="10" t="str">
        <x:v>净鱼肉生重</x:v>
      </x:c>
    </x:row>
    <x:row r="2098" ht="23" customHeight="1">
      <x:c r="A2098" t="n">
        <x:v>53</x:v>
      </x:c>
      <x:c r="B2098" t="str">
        <x:v>主食</x:v>
      </x:c>
      <x:c r="C2098" t="str">
        <x:v>糙米饭</x:v>
      </x:c>
      <x:c r="D2098" t="n">
        <x:v>260</x:v>
      </x:c>
      <x:c r="E2098" t="n">
        <x:v>100</x:v>
      </x:c>
      <x:c r="F2098" s="10" t="str">
        <x:v>未煮干粮约重（按熟饭/生米≈2.6估算）</x:v>
      </x:c>
      <x:c r="G2098" s="10" t="str">
        <x:v>熟重</x:v>
      </x:c>
    </x:row>
    <x:row r="2099" ht="23" customHeight="1">
      <x:c r="A2099" t="n">
        <x:v>53</x:v>
      </x:c>
      <x:c r="B2099" t="str">
        <x:v>油脂</x:v>
      </x:c>
      <x:c r="C2099" t="str">
        <x:v>烹调油</x:v>
      </x:c>
      <x:c r="D2099" t="n">
        <x:v>10</x:v>
      </x:c>
      <x:c r="E2099" t="n">
        <x:v>10</x:v>
      </x:c>
      <x:c r="F2099" s="10" t="str">
        <x:v>食用油；现有库存足够即可</x:v>
      </x:c>
      <x:c r="G2099" s="10" t="str">
        <x:v>实际用油重</x:v>
      </x:c>
    </x:row>
    <x:row r="2100" ht="23" customHeight="1">
      <x:c r="A2100" t="n">
        <x:v>53</x:v>
      </x:c>
      <x:c r="B2100" t="str">
        <x:v>海鲜</x:v>
      </x:c>
      <x:c r="C2100" t="str">
        <x:v>虾仁</x:v>
      </x:c>
      <x:c r="D2100" t="n">
        <x:v>160</x:v>
      </x:c>
      <x:c r="E2100" t="n">
        <x:v>170</x:v>
      </x:c>
      <x:c r="F2100" s="10" t="str">
        <x:v>食材净重+约8%余量</x:v>
      </x:c>
      <x:c r="G2100" s="10" t="str">
        <x:v>生重</x:v>
      </x:c>
    </x:row>
    <x:row r="2101" ht="23" customHeight="1">
      <x:c r="A2101" t="n">
        <x:v>53</x:v>
      </x:c>
      <x:c r="B2101" t="str">
        <x:v>蔬菜</x:v>
      </x:c>
      <x:c r="C2101" t="str">
        <x:v>冬瓜</x:v>
      </x:c>
      <x:c r="D2101" t="n">
        <x:v>175</x:v>
      </x:c>
      <x:c r="E2101" t="n">
        <x:v>190</x:v>
      </x:c>
      <x:c r="F2101" s="10" t="str">
        <x:v>食材净重+约8%余量</x:v>
      </x:c>
      <x:c r="G2101" s="10" t="str">
        <x:v>生重</x:v>
      </x:c>
    </x:row>
    <x:row r="2102" ht="23" customHeight="1">
      <x:c r="A2102" t="n">
        <x:v>53</x:v>
      </x:c>
      <x:c r="B2102" t="str">
        <x:v>蔬菜</x:v>
      </x:c>
      <x:c r="C2102" t="str">
        <x:v>紫甘蓝</x:v>
      </x:c>
      <x:c r="D2102" t="n">
        <x:v>125</x:v>
      </x:c>
      <x:c r="E2102" t="n">
        <x:v>140</x:v>
      </x:c>
      <x:c r="F2102" s="10" t="str">
        <x:v>食材净重+约8%余量</x:v>
      </x:c>
      <x:c r="G2102" s="10" t="str">
        <x:v>生重</x:v>
      </x:c>
    </x:row>
    <x:row r="2103" ht="23" customHeight="1">
      <x:c r="A2103" t="n">
        <x:v>53</x:v>
      </x:c>
      <x:c r="B2103" t="str">
        <x:v>蔬菜</x:v>
      </x:c>
      <x:c r="C2103" t="str">
        <x:v>荷兰豆</x:v>
      </x:c>
      <x:c r="D2103" t="n">
        <x:v>125</x:v>
      </x:c>
      <x:c r="E2103" t="n">
        <x:v>140</x:v>
      </x:c>
      <x:c r="F2103" s="10" t="str">
        <x:v>食材净重+约8%余量</x:v>
      </x:c>
      <x:c r="G2103" s="10" t="str">
        <x:v>生重</x:v>
      </x:c>
    </x:row>
    <x:row r="2104" ht="23" customHeight="1">
      <x:c r="A2104" t="n">
        <x:v>53</x:v>
      </x:c>
      <x:c r="B2104" t="str">
        <x:v>蔬菜</x:v>
      </x:c>
      <x:c r="C2104" t="str">
        <x:v>西葫芦</x:v>
      </x:c>
      <x:c r="D2104" t="n">
        <x:v>175</x:v>
      </x:c>
      <x:c r="E2104" t="n">
        <x:v>190</x:v>
      </x:c>
      <x:c r="F2104" s="10" t="str">
        <x:v>食材净重+约8%余量</x:v>
      </x:c>
      <x:c r="G2104" s="10" t="str">
        <x:v>生重</x:v>
      </x:c>
    </x:row>
    <x:row r="2105" ht="23" customHeight="1">
      <x:c r="A2105" t="n">
        <x:v>53</x:v>
      </x:c>
      <x:c r="B2105" t="str">
        <x:v>鱼类</x:v>
      </x:c>
      <x:c r="C2105" t="str">
        <x:v>三文鱼</x:v>
      </x:c>
      <x:c r="D2105" t="n">
        <x:v>145</x:v>
      </x:c>
      <x:c r="E2105" t="n">
        <x:v>160</x:v>
      </x:c>
      <x:c r="F2105" s="10" t="str">
        <x:v>食材净重+约8%余量</x:v>
      </x:c>
      <x:c r="G2105" s="10" t="str">
        <x:v>净鱼肉生重</x:v>
      </x:c>
    </x:row>
  </x:sheetData>
  <x:pageMargins left="0.7" right="0.7" top="0.75" bottom="0.75" header="0.3" footer="0.3"/>
  <x:tableParts count="1">
    <x:tablePart xmlns:r="http://schemas.openxmlformats.org/officeDocument/2006/relationships" r:id="R0fb7f334b7cc4fed"/>
  </x:tableParts>
</x:worksheet>
</file>

<file path=xl/worksheets/sheet7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3" hidden="0" customWidth="1"/>
    <x:col min="4" max="4" width="22" hidden="0" customWidth="1"/>
    <x:col min="5" max="5" width="22" hidden="0" customWidth="1"/>
    <x:col min="6" max="6" width="14" hidden="0" customWidth="1"/>
    <x:col min="7" max="7" width="30" hidden="0" customWidth="1"/>
    <x:col min="8" max="8" width="35" hidden="0" customWidth="1"/>
  </x:cols>
  <x:sheetData>
    <x:row r="1" ht="29" customHeight="1">
      <x:c r="A1" s="5" t="str">
        <x:v>食材</x:v>
      </x:c>
      <x:c r="B1" s="5" t="str">
        <x:v>估算千卡/100g</x:v>
      </x:c>
      <x:c r="C1" s="5" t="str">
        <x:v>蛋白质g/100g</x:v>
      </x:c>
      <x:c r="D1" s="5" t="str">
        <x:v>碳水g/100g</x:v>
      </x:c>
      <x:c r="E1" s="5" t="str">
        <x:v>脂肪g/100g</x:v>
      </x:c>
      <x:c r="F1" s="5" t="str">
        <x:v>类别</x:v>
      </x:c>
      <x:c r="G1" s="5" t="str">
        <x:v>计重说明</x:v>
      </x:c>
      <x:c r="H1" s="5" t="str">
        <x:v>来源性质</x:v>
      </x:c>
    </x:row>
    <x:row r="2" ht="23" customHeight="1">
      <x:c r="A2" t="str">
        <x:v>鸡胸肉</x:v>
      </x:c>
      <x:c r="B2" t="n">
        <x:v>110</x:v>
      </x:c>
      <x:c r="C2" t="n">
        <x:v>23</x:v>
      </x:c>
      <x:c r="D2" t="n">
        <x:v>0</x:v>
      </x:c>
      <x:c r="E2" t="n">
        <x:v>2</x:v>
      </x:c>
      <x:c r="F2" t="str">
        <x:v>禽肉</x:v>
      </x:c>
      <x:c r="G2" t="str">
        <x:v>生重</x:v>
      </x:c>
      <x:c r="H2" t="str">
        <x:v>常见食物规划估值，非单品检测</x:v>
      </x:c>
    </x:row>
    <x:row r="3" ht="23" customHeight="1">
      <x:c r="A3" t="str">
        <x:v>去皮鸡腿肉</x:v>
      </x:c>
      <x:c r="B3" t="n">
        <x:v>125</x:v>
      </x:c>
      <x:c r="C3" t="n">
        <x:v>20</x:v>
      </x:c>
      <x:c r="D3" t="n">
        <x:v>0</x:v>
      </x:c>
      <x:c r="E3" t="n">
        <x:v>5</x:v>
      </x:c>
      <x:c r="F3" t="str">
        <x:v>禽肉</x:v>
      </x:c>
      <x:c r="G3" t="str">
        <x:v>生重</x:v>
      </x:c>
      <x:c r="H3" t="str">
        <x:v>常见食物规划估值，非单品检测</x:v>
      </x:c>
    </x:row>
    <x:row r="4" ht="23" customHeight="1">
      <x:c r="A4" t="str">
        <x:v>鸡里脊肉</x:v>
      </x:c>
      <x:c r="B4" t="n">
        <x:v>110</x:v>
      </x:c>
      <x:c r="C4" t="n">
        <x:v>23</x:v>
      </x:c>
      <x:c r="D4" t="n">
        <x:v>0</x:v>
      </x:c>
      <x:c r="E4" t="n">
        <x:v>1.8</x:v>
      </x:c>
      <x:c r="F4" t="str">
        <x:v>禽肉</x:v>
      </x:c>
      <x:c r="G4" t="str">
        <x:v>生重</x:v>
      </x:c>
      <x:c r="H4" t="str">
        <x:v>常见食物规划估值，非单品检测</x:v>
      </x:c>
    </x:row>
    <x:row r="5" ht="23" customHeight="1">
      <x:c r="A5" t="str">
        <x:v>瘦牛肉</x:v>
      </x:c>
      <x:c r="B5" t="n">
        <x:v>125</x:v>
      </x:c>
      <x:c r="C5" t="n">
        <x:v>21</x:v>
      </x:c>
      <x:c r="D5" t="n">
        <x:v>0</x:v>
      </x:c>
      <x:c r="E5" t="n">
        <x:v>4</x:v>
      </x:c>
      <x:c r="F5" t="str">
        <x:v>牛肉</x:v>
      </x:c>
      <x:c r="G5" t="str">
        <x:v>生重</x:v>
      </x:c>
      <x:c r="H5" t="str">
        <x:v>常见食物规划估值，非单品检测</x:v>
      </x:c>
    </x:row>
    <x:row r="6" ht="23" customHeight="1">
      <x:c r="A6" t="str">
        <x:v>牛里脊</x:v>
      </x:c>
      <x:c r="B6" t="n">
        <x:v>130</x:v>
      </x:c>
      <x:c r="C6" t="n">
        <x:v>21</x:v>
      </x:c>
      <x:c r="D6" t="n">
        <x:v>0</x:v>
      </x:c>
      <x:c r="E6" t="n">
        <x:v>4.8</x:v>
      </x:c>
      <x:c r="F6" t="str">
        <x:v>牛肉</x:v>
      </x:c>
      <x:c r="G6" t="str">
        <x:v>生重</x:v>
      </x:c>
      <x:c r="H6" t="str">
        <x:v>常见食物规划估值，非单品检测</x:v>
      </x:c>
    </x:row>
    <x:row r="7" ht="23" customHeight="1">
      <x:c r="A7" t="str">
        <x:v>牛腱子</x:v>
      </x:c>
      <x:c r="B7" t="n">
        <x:v>140</x:v>
      </x:c>
      <x:c r="C7" t="n">
        <x:v>21</x:v>
      </x:c>
      <x:c r="D7" t="n">
        <x:v>0</x:v>
      </x:c>
      <x:c r="E7" t="n">
        <x:v>6</x:v>
      </x:c>
      <x:c r="F7" t="str">
        <x:v>牛肉</x:v>
      </x:c>
      <x:c r="G7" t="str">
        <x:v>生重</x:v>
      </x:c>
      <x:c r="H7" t="str">
        <x:v>常见食物规划估值，非单品检测</x:v>
      </x:c>
    </x:row>
    <x:row r="8" ht="23" customHeight="1">
      <x:c r="A8" t="str">
        <x:v>肥牛卷</x:v>
      </x:c>
      <x:c r="B8" t="n">
        <x:v>250</x:v>
      </x:c>
      <x:c r="C8" t="n">
        <x:v>16</x:v>
      </x:c>
      <x:c r="D8" t="n">
        <x:v>1</x:v>
      </x:c>
      <x:c r="E8" t="n">
        <x:v>20</x:v>
      </x:c>
      <x:c r="F8" t="str">
        <x:v>牛肉</x:v>
      </x:c>
      <x:c r="G8" t="str">
        <x:v>生重；以包装为准</x:v>
      </x:c>
      <x:c r="H8" t="str">
        <x:v>常见食物规划估值，非单品检测</x:v>
      </x:c>
    </x:row>
    <x:row r="9" ht="23" customHeight="1">
      <x:c r="A9" t="str">
        <x:v>猪里脊</x:v>
      </x:c>
      <x:c r="B9" t="n">
        <x:v>120</x:v>
      </x:c>
      <x:c r="C9" t="n">
        <x:v>21</x:v>
      </x:c>
      <x:c r="D9" t="n">
        <x:v>0</x:v>
      </x:c>
      <x:c r="E9" t="n">
        <x:v>3.5</x:v>
      </x:c>
      <x:c r="F9" t="str">
        <x:v>猪肉</x:v>
      </x:c>
      <x:c r="G9" t="str">
        <x:v>生重</x:v>
      </x:c>
      <x:c r="H9" t="str">
        <x:v>常见食物规划估值，非单品检测</x:v>
      </x:c>
    </x:row>
    <x:row r="10" ht="23" customHeight="1">
      <x:c r="A10" t="str">
        <x:v>猪瘦肉</x:v>
      </x:c>
      <x:c r="B10" t="n">
        <x:v>130</x:v>
      </x:c>
      <x:c r="C10" t="n">
        <x:v>20</x:v>
      </x:c>
      <x:c r="D10" t="n">
        <x:v>0</x:v>
      </x:c>
      <x:c r="E10" t="n">
        <x:v>5.5</x:v>
      </x:c>
      <x:c r="F10" t="str">
        <x:v>猪肉</x:v>
      </x:c>
      <x:c r="G10" t="str">
        <x:v>生重</x:v>
      </x:c>
      <x:c r="H10" t="str">
        <x:v>常见食物规划估值，非单品检测</x:v>
      </x:c>
    </x:row>
    <x:row r="11" ht="23" customHeight="1">
      <x:c r="A11" t="str">
        <x:v>鲈鱼</x:v>
      </x:c>
      <x:c r="B11" t="n">
        <x:v>105</x:v>
      </x:c>
      <x:c r="C11" t="n">
        <x:v>19</x:v>
      </x:c>
      <x:c r="D11" t="n">
        <x:v>0</x:v>
      </x:c>
      <x:c r="E11" t="n">
        <x:v>3</x:v>
      </x:c>
      <x:c r="F11" t="str">
        <x:v>鱼类</x:v>
      </x:c>
      <x:c r="G11" t="str">
        <x:v>净鱼肉生重</x:v>
      </x:c>
      <x:c r="H11" t="str">
        <x:v>常见食物规划估值，非单品检测</x:v>
      </x:c>
    </x:row>
    <x:row r="12" ht="23" customHeight="1">
      <x:c r="A12" t="str">
        <x:v>鳕鱼</x:v>
      </x:c>
      <x:c r="B12" t="n">
        <x:v>85</x:v>
      </x:c>
      <x:c r="C12" t="n">
        <x:v>18</x:v>
      </x:c>
      <x:c r="D12" t="n">
        <x:v>0</x:v>
      </x:c>
      <x:c r="E12" t="n">
        <x:v>0.8</x:v>
      </x:c>
      <x:c r="F12" t="str">
        <x:v>鱼类</x:v>
      </x:c>
      <x:c r="G12" t="str">
        <x:v>净鱼肉生重</x:v>
      </x:c>
      <x:c r="H12" t="str">
        <x:v>常见食物规划估值，非单品检测</x:v>
      </x:c>
    </x:row>
    <x:row r="13" ht="23" customHeight="1">
      <x:c r="A13" t="str">
        <x:v>巴沙鱼</x:v>
      </x:c>
      <x:c r="B13" t="n">
        <x:v>90</x:v>
      </x:c>
      <x:c r="C13" t="n">
        <x:v>17</x:v>
      </x:c>
      <x:c r="D13" t="n">
        <x:v>0</x:v>
      </x:c>
      <x:c r="E13" t="n">
        <x:v>2.3</x:v>
      </x:c>
      <x:c r="F13" t="str">
        <x:v>鱼类</x:v>
      </x:c>
      <x:c r="G13" t="str">
        <x:v>净鱼肉生重</x:v>
      </x:c>
      <x:c r="H13" t="str">
        <x:v>常见食物规划估值，非单品检测</x:v>
      </x:c>
    </x:row>
    <x:row r="14" ht="23" customHeight="1">
      <x:c r="A14" t="str">
        <x:v>三文鱼</x:v>
      </x:c>
      <x:c r="B14" t="n">
        <x:v>205</x:v>
      </x:c>
      <x:c r="C14" t="n">
        <x:v>20</x:v>
      </x:c>
      <x:c r="D14" t="n">
        <x:v>0</x:v>
      </x:c>
      <x:c r="E14" t="n">
        <x:v>13</x:v>
      </x:c>
      <x:c r="F14" t="str">
        <x:v>鱼类</x:v>
      </x:c>
      <x:c r="G14" t="str">
        <x:v>净鱼肉生重</x:v>
      </x:c>
      <x:c r="H14" t="str">
        <x:v>常见食物规划估值，非单品检测</x:v>
      </x:c>
    </x:row>
    <x:row r="15" ht="23" customHeight="1">
      <x:c r="A15" t="str">
        <x:v>虾仁</x:v>
      </x:c>
      <x:c r="B15" t="n">
        <x:v>90</x:v>
      </x:c>
      <x:c r="C15" t="n">
        <x:v>19</x:v>
      </x:c>
      <x:c r="D15" t="n">
        <x:v>0.4</x:v>
      </x:c>
      <x:c r="E15" t="n">
        <x:v>1.1</x:v>
      </x:c>
      <x:c r="F15" t="str">
        <x:v>海鲜</x:v>
      </x:c>
      <x:c r="G15" t="str">
        <x:v>生重</x:v>
      </x:c>
      <x:c r="H15" t="str">
        <x:v>常见食物规划估值，非单品检测</x:v>
      </x:c>
    </x:row>
    <x:row r="16" ht="23" customHeight="1">
      <x:c r="A16" t="str">
        <x:v>鱿鱼</x:v>
      </x:c>
      <x:c r="B16" t="n">
        <x:v>95</x:v>
      </x:c>
      <x:c r="C16" t="n">
        <x:v>17</x:v>
      </x:c>
      <x:c r="D16" t="n">
        <x:v>2</x:v>
      </x:c>
      <x:c r="E16" t="n">
        <x:v>1.4</x:v>
      </x:c>
      <x:c r="F16" t="str">
        <x:v>海鲜</x:v>
      </x:c>
      <x:c r="G16" t="str">
        <x:v>生重</x:v>
      </x:c>
      <x:c r="H16" t="str">
        <x:v>常见食物规划估值，非单品检测</x:v>
      </x:c>
    </x:row>
    <x:row r="17" ht="23" customHeight="1">
      <x:c r="A17" t="str">
        <x:v>扇贝肉</x:v>
      </x:c>
      <x:c r="B17" t="n">
        <x:v>90</x:v>
      </x:c>
      <x:c r="C17" t="n">
        <x:v>17</x:v>
      </x:c>
      <x:c r="D17" t="n">
        <x:v>3</x:v>
      </x:c>
      <x:c r="E17" t="n">
        <x:v>0.8</x:v>
      </x:c>
      <x:c r="F17" t="str">
        <x:v>海鲜</x:v>
      </x:c>
      <x:c r="G17" t="str">
        <x:v>生重</x:v>
      </x:c>
      <x:c r="H17" t="str">
        <x:v>常见食物规划估值，非单品检测</x:v>
      </x:c>
    </x:row>
    <x:row r="18" ht="23" customHeight="1">
      <x:c r="A18" t="str">
        <x:v>花蛤肉</x:v>
      </x:c>
      <x:c r="B18" t="n">
        <x:v>75</x:v>
      </x:c>
      <x:c r="C18" t="n">
        <x:v>13</x:v>
      </x:c>
      <x:c r="D18" t="n">
        <x:v>3.5</x:v>
      </x:c>
      <x:c r="E18" t="n">
        <x:v>1</x:v>
      </x:c>
      <x:c r="F18" t="str">
        <x:v>海鲜</x:v>
      </x:c>
      <x:c r="G18" t="str">
        <x:v>净肉生重</x:v>
      </x:c>
      <x:c r="H18" t="str">
        <x:v>常见食物规划估值，非单品检测</x:v>
      </x:c>
    </x:row>
    <x:row r="19" ht="23" customHeight="1">
      <x:c r="A19" t="str">
        <x:v>北豆腐</x:v>
      </x:c>
      <x:c r="B19" t="n">
        <x:v>90</x:v>
      </x:c>
      <x:c r="C19" t="n">
        <x:v>10</x:v>
      </x:c>
      <x:c r="D19" t="n">
        <x:v>2</x:v>
      </x:c>
      <x:c r="E19" t="n">
        <x:v>5</x:v>
      </x:c>
      <x:c r="F19" t="str">
        <x:v>豆蛋</x:v>
      </x:c>
      <x:c r="G19" t="str">
        <x:v>净重</x:v>
      </x:c>
      <x:c r="H19" t="str">
        <x:v>常见食物规划估值，非单品检测</x:v>
      </x:c>
    </x:row>
    <x:row r="20" ht="23" customHeight="1">
      <x:c r="A20" t="str">
        <x:v>嫩豆腐</x:v>
      </x:c>
      <x:c r="B20" t="n">
        <x:v>55</x:v>
      </x:c>
      <x:c r="C20" t="n">
        <x:v>5</x:v>
      </x:c>
      <x:c r="D20" t="n">
        <x:v>2</x:v>
      </x:c>
      <x:c r="E20" t="n">
        <x:v>2.8</x:v>
      </x:c>
      <x:c r="F20" t="str">
        <x:v>豆蛋</x:v>
      </x:c>
      <x:c r="G20" t="str">
        <x:v>净重</x:v>
      </x:c>
      <x:c r="H20" t="str">
        <x:v>常见食物规划估值，非单品检测</x:v>
      </x:c>
    </x:row>
    <x:row r="21" ht="23" customHeight="1">
      <x:c r="A21" t="str">
        <x:v>鸡蛋</x:v>
      </x:c>
      <x:c r="B21" t="n">
        <x:v>144</x:v>
      </x:c>
      <x:c r="C21" t="n">
        <x:v>13</x:v>
      </x:c>
      <x:c r="D21" t="n">
        <x:v>1.1</x:v>
      </x:c>
      <x:c r="E21" t="n">
        <x:v>10</x:v>
      </x:c>
      <x:c r="F21" t="str">
        <x:v>豆蛋</x:v>
      </x:c>
      <x:c r="G21" t="str">
        <x:v>去壳可食重</x:v>
      </x:c>
      <x:c r="H21" t="str">
        <x:v>常见食物规划估值，非单品检测</x:v>
      </x:c>
    </x:row>
    <x:row r="22" ht="23" customHeight="1">
      <x:c r="A22" t="str">
        <x:v>去皮鸭胸肉</x:v>
      </x:c>
      <x:c r="B22" t="n">
        <x:v>140</x:v>
      </x:c>
      <x:c r="C22" t="n">
        <x:v>19</x:v>
      </x:c>
      <x:c r="D22" t="n">
        <x:v>0</x:v>
      </x:c>
      <x:c r="E22" t="n">
        <x:v>7</x:v>
      </x:c>
      <x:c r="F22" t="str">
        <x:v>禽肉</x:v>
      </x:c>
      <x:c r="G22" t="str">
        <x:v>生重</x:v>
      </x:c>
      <x:c r="H22" t="str">
        <x:v>常见食物规划估值，非单品检测</x:v>
      </x:c>
    </x:row>
    <x:row r="23" ht="23" customHeight="1">
      <x:c r="A23" t="str">
        <x:v>低盐火腿</x:v>
      </x:c>
      <x:c r="B23" t="n">
        <x:v>160</x:v>
      </x:c>
      <x:c r="C23" t="n">
        <x:v>14</x:v>
      </x:c>
      <x:c r="D23" t="n">
        <x:v>5</x:v>
      </x:c>
      <x:c r="E23" t="n">
        <x:v>9</x:v>
      </x:c>
      <x:c r="F23" t="str">
        <x:v>加工肉</x:v>
      </x:c>
      <x:c r="G23" t="str">
        <x:v>以品牌标签为准</x:v>
      </x:c>
      <x:c r="H23" t="str">
        <x:v>常见食物规划估值，非单品检测</x:v>
      </x:c>
    </x:row>
    <x:row r="24" ht="23" customHeight="1">
      <x:c r="A24" t="str">
        <x:v>熟毛豆仁</x:v>
      </x:c>
      <x:c r="B24" t="n">
        <x:v>120</x:v>
      </x:c>
      <x:c r="C24" t="n">
        <x:v>12</x:v>
      </x:c>
      <x:c r="D24" t="n">
        <x:v>9</x:v>
      </x:c>
      <x:c r="E24" t="n">
        <x:v>5</x:v>
      </x:c>
      <x:c r="F24" t="str">
        <x:v>豆蛋</x:v>
      </x:c>
      <x:c r="G24" t="str">
        <x:v>熟重</x:v>
      </x:c>
      <x:c r="H24" t="str">
        <x:v>常见食物规划估值，非单品检测</x:v>
      </x:c>
    </x:row>
    <x:row r="25" ht="23" customHeight="1">
      <x:c r="A25" t="str">
        <x:v>熟鹰嘴豆</x:v>
      </x:c>
      <x:c r="B25" t="n">
        <x:v>165</x:v>
      </x:c>
      <x:c r="C25" t="n">
        <x:v>9</x:v>
      </x:c>
      <x:c r="D25" t="n">
        <x:v>27</x:v>
      </x:c>
      <x:c r="E25" t="n">
        <x:v>2.6</x:v>
      </x:c>
      <x:c r="F25" t="str">
        <x:v>豆蛋</x:v>
      </x:c>
      <x:c r="G25" t="str">
        <x:v>熟重</x:v>
      </x:c>
      <x:c r="H25" t="str">
        <x:v>常见食物规划估值，非单品检测</x:v>
      </x:c>
    </x:row>
    <x:row r="26" ht="23" customHeight="1">
      <x:c r="A26" t="str">
        <x:v>西兰花</x:v>
      </x:c>
      <x:c r="B26" t="n">
        <x:v>34</x:v>
      </x:c>
      <x:c r="C26" t="n">
        <x:v>2.8</x:v>
      </x:c>
      <x:c r="D26" t="n">
        <x:v>7</x:v>
      </x:c>
      <x:c r="E26" t="n">
        <x:v>0.4</x:v>
      </x:c>
      <x:c r="F26" t="str">
        <x:v>蔬菜</x:v>
      </x:c>
      <x:c r="G26" t="str">
        <x:v>生重</x:v>
      </x:c>
      <x:c r="H26" t="str">
        <x:v>常见食物规划估值，非单品检测</x:v>
      </x:c>
    </x:row>
    <x:row r="27" ht="23" customHeight="1">
      <x:c r="A27" t="str">
        <x:v>口蘑</x:v>
      </x:c>
      <x:c r="B27" t="n">
        <x:v>22</x:v>
      </x:c>
      <x:c r="C27" t="n">
        <x:v>3.1</x:v>
      </x:c>
      <x:c r="D27" t="n">
        <x:v>3.3</x:v>
      </x:c>
      <x:c r="E27" t="n">
        <x:v>0.3</x:v>
      </x:c>
      <x:c r="F27" t="str">
        <x:v>菌菇</x:v>
      </x:c>
      <x:c r="G27" t="str">
        <x:v>生重</x:v>
      </x:c>
      <x:c r="H27" t="str">
        <x:v>常见食物规划估值，非单品检测</x:v>
      </x:c>
    </x:row>
    <x:row r="28" ht="23" customHeight="1">
      <x:c r="A28" t="str">
        <x:v>洋葱</x:v>
      </x:c>
      <x:c r="B28" t="n">
        <x:v>40</x:v>
      </x:c>
      <x:c r="C28" t="n">
        <x:v>1.1</x:v>
      </x:c>
      <x:c r="D28" t="n">
        <x:v>9.3</x:v>
      </x:c>
      <x:c r="E28" t="n">
        <x:v>0.1</x:v>
      </x:c>
      <x:c r="F28" t="str">
        <x:v>蔬菜</x:v>
      </x:c>
      <x:c r="G28" t="str">
        <x:v>生重</x:v>
      </x:c>
      <x:c r="H28" t="str">
        <x:v>常见食物规划估值，非单品检测</x:v>
      </x:c>
    </x:row>
    <x:row r="29" ht="23" customHeight="1">
      <x:c r="A29" t="str">
        <x:v>彩椒</x:v>
      </x:c>
      <x:c r="B29" t="n">
        <x:v>27</x:v>
      </x:c>
      <x:c r="C29" t="n">
        <x:v>1</x:v>
      </x:c>
      <x:c r="D29" t="n">
        <x:v>6.1</x:v>
      </x:c>
      <x:c r="E29" t="n">
        <x:v>0.2</x:v>
      </x:c>
      <x:c r="F29" t="str">
        <x:v>蔬菜</x:v>
      </x:c>
      <x:c r="G29" t="str">
        <x:v>生重</x:v>
      </x:c>
      <x:c r="H29" t="str">
        <x:v>常见食物规划估值，非单品检测</x:v>
      </x:c>
    </x:row>
    <x:row r="30" ht="23" customHeight="1">
      <x:c r="A30" t="str">
        <x:v>番茄</x:v>
      </x:c>
      <x:c r="B30" t="n">
        <x:v>20</x:v>
      </x:c>
      <x:c r="C30" t="n">
        <x:v>0.9</x:v>
      </x:c>
      <x:c r="D30" t="n">
        <x:v>4</x:v>
      </x:c>
      <x:c r="E30" t="n">
        <x:v>0.2</x:v>
      </x:c>
      <x:c r="F30" t="str">
        <x:v>蔬菜</x:v>
      </x:c>
      <x:c r="G30" t="str">
        <x:v>生重</x:v>
      </x:c>
      <x:c r="H30" t="str">
        <x:v>常见食物规划估值，非单品检测</x:v>
      </x:c>
    </x:row>
    <x:row r="31" ht="23" customHeight="1">
      <x:c r="A31" t="str">
        <x:v>菠菜</x:v>
      </x:c>
      <x:c r="B31" t="n">
        <x:v>23</x:v>
      </x:c>
      <x:c r="C31" t="n">
        <x:v>2.9</x:v>
      </x:c>
      <x:c r="D31" t="n">
        <x:v>3.6</x:v>
      </x:c>
      <x:c r="E31" t="n">
        <x:v>0.4</x:v>
      </x:c>
      <x:c r="F31" t="str">
        <x:v>蔬菜</x:v>
      </x:c>
      <x:c r="G31" t="str">
        <x:v>生重</x:v>
      </x:c>
      <x:c r="H31" t="str">
        <x:v>常见食物规划估值，非单品检测</x:v>
      </x:c>
    </x:row>
    <x:row r="32" ht="23" customHeight="1">
      <x:c r="A32" t="str">
        <x:v>小白菜</x:v>
      </x:c>
      <x:c r="B32" t="n">
        <x:v>17</x:v>
      </x:c>
      <x:c r="C32" t="n">
        <x:v>1.6</x:v>
      </x:c>
      <x:c r="D32" t="n">
        <x:v>2.8</x:v>
      </x:c>
      <x:c r="E32" t="n">
        <x:v>0.2</x:v>
      </x:c>
      <x:c r="F32" t="str">
        <x:v>蔬菜</x:v>
      </x:c>
      <x:c r="G32" t="str">
        <x:v>生重</x:v>
      </x:c>
      <x:c r="H32" t="str">
        <x:v>常见食物规划估值，非单品检测</x:v>
      </x:c>
    </x:row>
    <x:row r="33" ht="23" customHeight="1">
      <x:c r="A33" t="str">
        <x:v>菜心</x:v>
      </x:c>
      <x:c r="B33" t="n">
        <x:v>20</x:v>
      </x:c>
      <x:c r="C33" t="n">
        <x:v>2</x:v>
      </x:c>
      <x:c r="D33" t="n">
        <x:v>3.5</x:v>
      </x:c>
      <x:c r="E33" t="n">
        <x:v>0.3</x:v>
      </x:c>
      <x:c r="F33" t="str">
        <x:v>蔬菜</x:v>
      </x:c>
      <x:c r="G33" t="str">
        <x:v>生重</x:v>
      </x:c>
      <x:c r="H33" t="str">
        <x:v>常见食物规划估值，非单品检测</x:v>
      </x:c>
    </x:row>
    <x:row r="34" ht="23" customHeight="1">
      <x:c r="A34" t="str">
        <x:v>生菜</x:v>
      </x:c>
      <x:c r="B34" t="n">
        <x:v>16</x:v>
      </x:c>
      <x:c r="C34" t="n">
        <x:v>1.4</x:v>
      </x:c>
      <x:c r="D34" t="n">
        <x:v>2.9</x:v>
      </x:c>
      <x:c r="E34" t="n">
        <x:v>0.1</x:v>
      </x:c>
      <x:c r="F34" t="str">
        <x:v>蔬菜</x:v>
      </x:c>
      <x:c r="G34" t="str">
        <x:v>生重</x:v>
      </x:c>
      <x:c r="H34" t="str">
        <x:v>常见食物规划估值，非单品检测</x:v>
      </x:c>
    </x:row>
    <x:row r="35" ht="23" customHeight="1">
      <x:c r="A35" t="str">
        <x:v>娃娃菜</x:v>
      </x:c>
      <x:c r="B35" t="n">
        <x:v>17</x:v>
      </x:c>
      <x:c r="C35" t="n">
        <x:v>1.3</x:v>
      </x:c>
      <x:c r="D35" t="n">
        <x:v>3</x:v>
      </x:c>
      <x:c r="E35" t="n">
        <x:v>0.2</x:v>
      </x:c>
      <x:c r="F35" t="str">
        <x:v>蔬菜</x:v>
      </x:c>
      <x:c r="G35" t="str">
        <x:v>生重</x:v>
      </x:c>
      <x:c r="H35" t="str">
        <x:v>常见食物规划估值，非单品检测</x:v>
      </x:c>
    </x:row>
    <x:row r="36" ht="23" customHeight="1">
      <x:c r="A36" t="str">
        <x:v>大白菜</x:v>
      </x:c>
      <x:c r="B36" t="n">
        <x:v>17</x:v>
      </x:c>
      <x:c r="C36" t="n">
        <x:v>1.5</x:v>
      </x:c>
      <x:c r="D36" t="n">
        <x:v>3.2</x:v>
      </x:c>
      <x:c r="E36" t="n">
        <x:v>0.1</x:v>
      </x:c>
      <x:c r="F36" t="str">
        <x:v>蔬菜</x:v>
      </x:c>
      <x:c r="G36" t="str">
        <x:v>生重</x:v>
      </x:c>
      <x:c r="H36" t="str">
        <x:v>常见食物规划估值，非单品检测</x:v>
      </x:c>
    </x:row>
    <x:row r="37" ht="23" customHeight="1">
      <x:c r="A37" t="str">
        <x:v>金针菇</x:v>
      </x:c>
      <x:c r="B37" t="n">
        <x:v>32</x:v>
      </x:c>
      <x:c r="C37" t="n">
        <x:v>2.4</x:v>
      </x:c>
      <x:c r="D37" t="n">
        <x:v>6.4</x:v>
      </x:c>
      <x:c r="E37" t="n">
        <x:v>0.2</x:v>
      </x:c>
      <x:c r="F37" t="str">
        <x:v>菌菇</x:v>
      </x:c>
      <x:c r="G37" t="str">
        <x:v>生重</x:v>
      </x:c>
      <x:c r="H37" t="str">
        <x:v>常见食物规划估值，非单品检测</x:v>
      </x:c>
    </x:row>
    <x:row r="38" ht="23" customHeight="1">
      <x:c r="A38" t="str">
        <x:v>香菇</x:v>
      </x:c>
      <x:c r="B38" t="n">
        <x:v>34</x:v>
      </x:c>
      <x:c r="C38" t="n">
        <x:v>2.2</x:v>
      </x:c>
      <x:c r="D38" t="n">
        <x:v>6.8</x:v>
      </x:c>
      <x:c r="E38" t="n">
        <x:v>0.5</x:v>
      </x:c>
      <x:c r="F38" t="str">
        <x:v>菌菇</x:v>
      </x:c>
      <x:c r="G38" t="str">
        <x:v>生重</x:v>
      </x:c>
      <x:c r="H38" t="str">
        <x:v>常见食物规划估值，非单品检测</x:v>
      </x:c>
    </x:row>
    <x:row r="39" ht="23" customHeight="1">
      <x:c r="A39" t="str">
        <x:v>杏鲍菇</x:v>
      </x:c>
      <x:c r="B39" t="n">
        <x:v>35</x:v>
      </x:c>
      <x:c r="C39" t="n">
        <x:v>2</x:v>
      </x:c>
      <x:c r="D39" t="n">
        <x:v>7.4</x:v>
      </x:c>
      <x:c r="E39" t="n">
        <x:v>0.3</x:v>
      </x:c>
      <x:c r="F39" t="str">
        <x:v>菌菇</x:v>
      </x:c>
      <x:c r="G39" t="str">
        <x:v>生重</x:v>
      </x:c>
      <x:c r="H39" t="str">
        <x:v>常见食物规划估值，非单品检测</x:v>
      </x:c>
    </x:row>
    <x:row r="40" ht="23" customHeight="1">
      <x:c r="A40" t="str">
        <x:v>黄瓜</x:v>
      </x:c>
      <x:c r="B40" t="n">
        <x:v>16</x:v>
      </x:c>
      <x:c r="C40" t="n">
        <x:v>0.7</x:v>
      </x:c>
      <x:c r="D40" t="n">
        <x:v>3.6</x:v>
      </x:c>
      <x:c r="E40" t="n">
        <x:v>0.1</x:v>
      </x:c>
      <x:c r="F40" t="str">
        <x:v>蔬菜</x:v>
      </x:c>
      <x:c r="G40" t="str">
        <x:v>生重</x:v>
      </x:c>
      <x:c r="H40" t="str">
        <x:v>常见食物规划估值，非单品检测</x:v>
      </x:c>
    </x:row>
    <x:row r="41" ht="23" customHeight="1">
      <x:c r="A41" t="str">
        <x:v>西葫芦</x:v>
      </x:c>
      <x:c r="B41" t="n">
        <x:v>17</x:v>
      </x:c>
      <x:c r="C41" t="n">
        <x:v>1.2</x:v>
      </x:c>
      <x:c r="D41" t="n">
        <x:v>3.1</x:v>
      </x:c>
      <x:c r="E41" t="n">
        <x:v>0.3</x:v>
      </x:c>
      <x:c r="F41" t="str">
        <x:v>蔬菜</x:v>
      </x:c>
      <x:c r="G41" t="str">
        <x:v>生重</x:v>
      </x:c>
      <x:c r="H41" t="str">
        <x:v>常见食物规划估值，非单品检测</x:v>
      </x:c>
    </x:row>
    <x:row r="42" ht="23" customHeight="1">
      <x:c r="A42" t="str">
        <x:v>丝瓜</x:v>
      </x:c>
      <x:c r="B42" t="n">
        <x:v>20</x:v>
      </x:c>
      <x:c r="C42" t="n">
        <x:v>1</x:v>
      </x:c>
      <x:c r="D42" t="n">
        <x:v>4</x:v>
      </x:c>
      <x:c r="E42" t="n">
        <x:v>0.2</x:v>
      </x:c>
      <x:c r="F42" t="str">
        <x:v>蔬菜</x:v>
      </x:c>
      <x:c r="G42" t="str">
        <x:v>生重</x:v>
      </x:c>
      <x:c r="H42" t="str">
        <x:v>常见食物规划估值，非单品检测</x:v>
      </x:c>
    </x:row>
    <x:row r="43" ht="23" customHeight="1">
      <x:c r="A43" t="str">
        <x:v>冬瓜</x:v>
      </x:c>
      <x:c r="B43" t="n">
        <x:v>13</x:v>
      </x:c>
      <x:c r="C43" t="n">
        <x:v>0.4</x:v>
      </x:c>
      <x:c r="D43" t="n">
        <x:v>3</x:v>
      </x:c>
      <x:c r="E43" t="n">
        <x:v>0.2</x:v>
      </x:c>
      <x:c r="F43" t="str">
        <x:v>蔬菜</x:v>
      </x:c>
      <x:c r="G43" t="str">
        <x:v>生重</x:v>
      </x:c>
      <x:c r="H43" t="str">
        <x:v>常见食物规划估值，非单品检测</x:v>
      </x:c>
    </x:row>
    <x:row r="44" ht="23" customHeight="1">
      <x:c r="A44" t="str">
        <x:v>芹菜</x:v>
      </x:c>
      <x:c r="B44" t="n">
        <x:v>17</x:v>
      </x:c>
      <x:c r="C44" t="n">
        <x:v>1</x:v>
      </x:c>
      <x:c r="D44" t="n">
        <x:v>3.5</x:v>
      </x:c>
      <x:c r="E44" t="n">
        <x:v>0.1</x:v>
      </x:c>
      <x:c r="F44" t="str">
        <x:v>蔬菜</x:v>
      </x:c>
      <x:c r="G44" t="str">
        <x:v>生重</x:v>
      </x:c>
      <x:c r="H44" t="str">
        <x:v>常见食物规划估值，非单品检测</x:v>
      </x:c>
    </x:row>
    <x:row r="45" ht="23" customHeight="1">
      <x:c r="A45" t="str">
        <x:v>莴笋</x:v>
      </x:c>
      <x:c r="B45" t="n">
        <x:v>15</x:v>
      </x:c>
      <x:c r="C45" t="n">
        <x:v>1</x:v>
      </x:c>
      <x:c r="D45" t="n">
        <x:v>2.8</x:v>
      </x:c>
      <x:c r="E45" t="n">
        <x:v>0.1</x:v>
      </x:c>
      <x:c r="F45" t="str">
        <x:v>蔬菜</x:v>
      </x:c>
      <x:c r="G45" t="str">
        <x:v>生重</x:v>
      </x:c>
      <x:c r="H45" t="str">
        <x:v>常见食物规划估值，非单品检测</x:v>
      </x:c>
    </x:row>
    <x:row r="46" ht="23" customHeight="1">
      <x:c r="A46" t="str">
        <x:v>荷兰豆</x:v>
      </x:c>
      <x:c r="B46" t="n">
        <x:v>42</x:v>
      </x:c>
      <x:c r="C46" t="n">
        <x:v>2.8</x:v>
      </x:c>
      <x:c r="D46" t="n">
        <x:v>7.5</x:v>
      </x:c>
      <x:c r="E46" t="n">
        <x:v>0.3</x:v>
      </x:c>
      <x:c r="F46" t="str">
        <x:v>蔬菜</x:v>
      </x:c>
      <x:c r="G46" t="str">
        <x:v>生重</x:v>
      </x:c>
      <x:c r="H46" t="str">
        <x:v>常见食物规划估值，非单品检测</x:v>
      </x:c>
    </x:row>
    <x:row r="47" ht="23" customHeight="1">
      <x:c r="A47" t="str">
        <x:v>秋葵</x:v>
      </x:c>
      <x:c r="B47" t="n">
        <x:v>33</x:v>
      </x:c>
      <x:c r="C47" t="n">
        <x:v>1.9</x:v>
      </x:c>
      <x:c r="D47" t="n">
        <x:v>7.5</x:v>
      </x:c>
      <x:c r="E47" t="n">
        <x:v>0.2</x:v>
      </x:c>
      <x:c r="F47" t="str">
        <x:v>蔬菜</x:v>
      </x:c>
      <x:c r="G47" t="str">
        <x:v>生重</x:v>
      </x:c>
      <x:c r="H47" t="str">
        <x:v>常见食物规划估值，非单品检测</x:v>
      </x:c>
    </x:row>
    <x:row r="48" ht="23" customHeight="1">
      <x:c r="A48" t="str">
        <x:v>芦笋</x:v>
      </x:c>
      <x:c r="B48" t="n">
        <x:v>20</x:v>
      </x:c>
      <x:c r="C48" t="n">
        <x:v>2.2</x:v>
      </x:c>
      <x:c r="D48" t="n">
        <x:v>3.9</x:v>
      </x:c>
      <x:c r="E48" t="n">
        <x:v>0.1</x:v>
      </x:c>
      <x:c r="F48" t="str">
        <x:v>蔬菜</x:v>
      </x:c>
      <x:c r="G48" t="str">
        <x:v>生重</x:v>
      </x:c>
      <x:c r="H48" t="str">
        <x:v>常见食物规划估值，非单品检测</x:v>
      </x:c>
    </x:row>
    <x:row r="49" ht="23" customHeight="1">
      <x:c r="A49" t="str">
        <x:v>绿豆芽</x:v>
      </x:c>
      <x:c r="B49" t="n">
        <x:v>31</x:v>
      </x:c>
      <x:c r="C49" t="n">
        <x:v>3</x:v>
      </x:c>
      <x:c r="D49" t="n">
        <x:v>6</x:v>
      </x:c>
      <x:c r="E49" t="n">
        <x:v>0.2</x:v>
      </x:c>
      <x:c r="F49" t="str">
        <x:v>蔬菜</x:v>
      </x:c>
      <x:c r="G49" t="str">
        <x:v>生重</x:v>
      </x:c>
      <x:c r="H49" t="str">
        <x:v>常见食物规划估值，非单品检测</x:v>
      </x:c>
    </x:row>
    <x:row r="50" ht="23" customHeight="1">
      <x:c r="A50" t="str">
        <x:v>茼蒿</x:v>
      </x:c>
      <x:c r="B50" t="n">
        <x:v>24</x:v>
      </x:c>
      <x:c r="C50" t="n">
        <x:v>1.9</x:v>
      </x:c>
      <x:c r="D50" t="n">
        <x:v>4.3</x:v>
      </x:c>
      <x:c r="E50" t="n">
        <x:v>0.3</x:v>
      </x:c>
      <x:c r="F50" t="str">
        <x:v>蔬菜</x:v>
      </x:c>
      <x:c r="G50" t="str">
        <x:v>生重</x:v>
      </x:c>
      <x:c r="H50" t="str">
        <x:v>常见食物规划估值，非单品检测</x:v>
      </x:c>
    </x:row>
    <x:row r="51" ht="23" customHeight="1">
      <x:c r="A51" t="str">
        <x:v>花菜</x:v>
      </x:c>
      <x:c r="B51" t="n">
        <x:v>25</x:v>
      </x:c>
      <x:c r="C51" t="n">
        <x:v>2</x:v>
      </x:c>
      <x:c r="D51" t="n">
        <x:v>5</x:v>
      </x:c>
      <x:c r="E51" t="n">
        <x:v>0.3</x:v>
      </x:c>
      <x:c r="F51" t="str">
        <x:v>蔬菜</x:v>
      </x:c>
      <x:c r="G51" t="str">
        <x:v>生重</x:v>
      </x:c>
      <x:c r="H51" t="str">
        <x:v>常见食物规划估值，非单品检测</x:v>
      </x:c>
    </x:row>
    <x:row r="52" ht="23" customHeight="1">
      <x:c r="A52" t="str">
        <x:v>紫甘蓝</x:v>
      </x:c>
      <x:c r="B52" t="n">
        <x:v>31</x:v>
      </x:c>
      <x:c r="C52" t="n">
        <x:v>1.4</x:v>
      </x:c>
      <x:c r="D52" t="n">
        <x:v>7.3</x:v>
      </x:c>
      <x:c r="E52" t="n">
        <x:v>0.1</x:v>
      </x:c>
      <x:c r="F52" t="str">
        <x:v>蔬菜</x:v>
      </x:c>
      <x:c r="G52" t="str">
        <x:v>生重</x:v>
      </x:c>
      <x:c r="H52" t="str">
        <x:v>常见食物规划估值，非单品检测</x:v>
      </x:c>
    </x:row>
    <x:row r="53" ht="23" customHeight="1">
      <x:c r="A53" t="str">
        <x:v>胡萝卜</x:v>
      </x:c>
      <x:c r="B53" t="n">
        <x:v>41</x:v>
      </x:c>
      <x:c r="C53" t="n">
        <x:v>0.9</x:v>
      </x:c>
      <x:c r="D53" t="n">
        <x:v>10</x:v>
      </x:c>
      <x:c r="E53" t="n">
        <x:v>0.2</x:v>
      </x:c>
      <x:c r="F53" t="str">
        <x:v>蔬菜</x:v>
      </x:c>
      <x:c r="G53" t="str">
        <x:v>生重</x:v>
      </x:c>
      <x:c r="H53" t="str">
        <x:v>常见食物规划估值，非单品检测</x:v>
      </x:c>
    </x:row>
    <x:row r="54" ht="23" customHeight="1">
      <x:c r="A54" t="str">
        <x:v>白萝卜</x:v>
      </x:c>
      <x:c r="B54" t="n">
        <x:v>18</x:v>
      </x:c>
      <x:c r="C54" t="n">
        <x:v>0.6</x:v>
      </x:c>
      <x:c r="D54" t="n">
        <x:v>4</x:v>
      </x:c>
      <x:c r="E54" t="n">
        <x:v>0.1</x:v>
      </x:c>
      <x:c r="F54" t="str">
        <x:v>蔬菜</x:v>
      </x:c>
      <x:c r="G54" t="str">
        <x:v>生重</x:v>
      </x:c>
      <x:c r="H54" t="str">
        <x:v>常见食物规划估值，非单品检测</x:v>
      </x:c>
    </x:row>
    <x:row r="55" ht="23" customHeight="1">
      <x:c r="A55" t="str">
        <x:v>竹笋</x:v>
      </x:c>
      <x:c r="B55" t="n">
        <x:v>27</x:v>
      </x:c>
      <x:c r="C55" t="n">
        <x:v>2.6</x:v>
      </x:c>
      <x:c r="D55" t="n">
        <x:v>5.2</x:v>
      </x:c>
      <x:c r="E55" t="n">
        <x:v>0.3</x:v>
      </x:c>
      <x:c r="F55" t="str">
        <x:v>蔬菜</x:v>
      </x:c>
      <x:c r="G55" t="str">
        <x:v>生重</x:v>
      </x:c>
      <x:c r="H55" t="str">
        <x:v>常见食物规划估值，非单品检测</x:v>
      </x:c>
    </x:row>
    <x:row r="56" ht="23" customHeight="1">
      <x:c r="A56" t="str">
        <x:v>四季豆</x:v>
      </x:c>
      <x:c r="B56" t="n">
        <x:v>31</x:v>
      </x:c>
      <x:c r="C56" t="n">
        <x:v>1.8</x:v>
      </x:c>
      <x:c r="D56" t="n">
        <x:v>7</x:v>
      </x:c>
      <x:c r="E56" t="n">
        <x:v>0.1</x:v>
      </x:c>
      <x:c r="F56" t="str">
        <x:v>蔬菜</x:v>
      </x:c>
      <x:c r="G56" t="str">
        <x:v>生重</x:v>
      </x:c>
      <x:c r="H56" t="str">
        <x:v>常见食物规划估值，非单品检测</x:v>
      </x:c>
    </x:row>
    <x:row r="57" ht="23" customHeight="1">
      <x:c r="A57" t="str">
        <x:v>苦瓜</x:v>
      </x:c>
      <x:c r="B57" t="n">
        <x:v>19</x:v>
      </x:c>
      <x:c r="C57" t="n">
        <x:v>1</x:v>
      </x:c>
      <x:c r="D57" t="n">
        <x:v>4.1</x:v>
      </x:c>
      <x:c r="E57" t="n">
        <x:v>0.2</x:v>
      </x:c>
      <x:c r="F57" t="str">
        <x:v>蔬菜</x:v>
      </x:c>
      <x:c r="G57" t="str">
        <x:v>生重</x:v>
      </x:c>
      <x:c r="H57" t="str">
        <x:v>常见食物规划估值，非单品检测</x:v>
      </x:c>
    </x:row>
    <x:row r="58" ht="23" customHeight="1">
      <x:c r="A58" t="str">
        <x:v>泡发木耳</x:v>
      </x:c>
      <x:c r="B58" t="n">
        <x:v>25</x:v>
      </x:c>
      <x:c r="C58" t="n">
        <x:v>1.5</x:v>
      </x:c>
      <x:c r="D58" t="n">
        <x:v>6</x:v>
      </x:c>
      <x:c r="E58" t="n">
        <x:v>0.1</x:v>
      </x:c>
      <x:c r="F58" t="str">
        <x:v>菌菇</x:v>
      </x:c>
      <x:c r="G58" t="str">
        <x:v>泡发沥水重</x:v>
      </x:c>
      <x:c r="H58" t="str">
        <x:v>常见食物规划估值，非单品检测</x:v>
      </x:c>
    </x:row>
    <x:row r="59" ht="23" customHeight="1">
      <x:c r="A59" t="str">
        <x:v>油麦菜</x:v>
      </x:c>
      <x:c r="B59" t="n">
        <x:v>18</x:v>
      </x:c>
      <x:c r="C59" t="n">
        <x:v>1.4</x:v>
      </x:c>
      <x:c r="D59" t="n">
        <x:v>3.1</x:v>
      </x:c>
      <x:c r="E59" t="n">
        <x:v>0.2</x:v>
      </x:c>
      <x:c r="F59" t="str">
        <x:v>蔬菜</x:v>
      </x:c>
      <x:c r="G59" t="str">
        <x:v>生重</x:v>
      </x:c>
      <x:c r="H59" t="str">
        <x:v>常见食物规划估值，非单品检测</x:v>
      </x:c>
    </x:row>
    <x:row r="60" ht="23" customHeight="1">
      <x:c r="A60" t="str">
        <x:v>海带</x:v>
      </x:c>
      <x:c r="B60" t="n">
        <x:v>25</x:v>
      </x:c>
      <x:c r="C60" t="n">
        <x:v>1</x:v>
      </x:c>
      <x:c r="D60" t="n">
        <x:v>5</x:v>
      </x:c>
      <x:c r="E60" t="n">
        <x:v>0.1</x:v>
      </x:c>
      <x:c r="F60" t="str">
        <x:v>蔬菜</x:v>
      </x:c>
      <x:c r="G60" t="str">
        <x:v>泡发沥水重</x:v>
      </x:c>
      <x:c r="H60" t="str">
        <x:v>常见食物规划估值，非单品检测</x:v>
      </x:c>
    </x:row>
    <x:row r="61" ht="23" customHeight="1">
      <x:c r="A61" t="str">
        <x:v>玉米笋</x:v>
      </x:c>
      <x:c r="B61" t="n">
        <x:v>26</x:v>
      </x:c>
      <x:c r="C61" t="n">
        <x:v>2</x:v>
      </x:c>
      <x:c r="D61" t="n">
        <x:v>4.9</x:v>
      </x:c>
      <x:c r="E61" t="n">
        <x:v>0.1</x:v>
      </x:c>
      <x:c r="F61" t="str">
        <x:v>蔬菜</x:v>
      </x:c>
      <x:c r="G61" t="str">
        <x:v>生重</x:v>
      </x:c>
      <x:c r="H61" t="str">
        <x:v>常见食物规划估值，非单品检测</x:v>
      </x:c>
    </x:row>
    <x:row r="62" ht="23" customHeight="1">
      <x:c r="A62" t="str">
        <x:v>糙米饭</x:v>
      </x:c>
      <x:c r="B62" t="n">
        <x:v>112</x:v>
      </x:c>
      <x:c r="C62" t="n">
        <x:v>2.6</x:v>
      </x:c>
      <x:c r="D62" t="n">
        <x:v>23.5</x:v>
      </x:c>
      <x:c r="E62" t="n">
        <x:v>0.9</x:v>
      </x:c>
      <x:c r="F62" t="str">
        <x:v>主食</x:v>
      </x:c>
      <x:c r="G62" t="str">
        <x:v>熟重</x:v>
      </x:c>
      <x:c r="H62" t="str">
        <x:v>常见食物规划估值，非单品检测</x:v>
      </x:c>
    </x:row>
    <x:row r="63" ht="23" customHeight="1">
      <x:c r="A63" t="str">
        <x:v>杂粮饭</x:v>
      </x:c>
      <x:c r="B63" t="n">
        <x:v>115</x:v>
      </x:c>
      <x:c r="C63" t="n">
        <x:v>3.1</x:v>
      </x:c>
      <x:c r="D63" t="n">
        <x:v>23.5</x:v>
      </x:c>
      <x:c r="E63" t="n">
        <x:v>1.1</x:v>
      </x:c>
      <x:c r="F63" t="str">
        <x:v>主食</x:v>
      </x:c>
      <x:c r="G63" t="str">
        <x:v>熟重</x:v>
      </x:c>
      <x:c r="H63" t="str">
        <x:v>常见食物规划估值，非单品检测</x:v>
      </x:c>
    </x:row>
    <x:row r="64" ht="23" customHeight="1">
      <x:c r="A64" t="str">
        <x:v>白米饭</x:v>
      </x:c>
      <x:c r="B64" t="n">
        <x:v>116</x:v>
      </x:c>
      <x:c r="C64" t="n">
        <x:v>2.6</x:v>
      </x:c>
      <x:c r="D64" t="n">
        <x:v>25.6</x:v>
      </x:c>
      <x:c r="E64" t="n">
        <x:v>0.3</x:v>
      </x:c>
      <x:c r="F64" t="str">
        <x:v>主食</x:v>
      </x:c>
      <x:c r="G64" t="str">
        <x:v>熟重</x:v>
      </x:c>
      <x:c r="H64" t="str">
        <x:v>常见食物规划估值，非单品检测</x:v>
      </x:c>
    </x:row>
    <x:row r="65" ht="23" customHeight="1">
      <x:c r="A65" t="str">
        <x:v>藜麦饭</x:v>
      </x:c>
      <x:c r="B65" t="n">
        <x:v>120</x:v>
      </x:c>
      <x:c r="C65" t="n">
        <x:v>4.4</x:v>
      </x:c>
      <x:c r="D65" t="n">
        <x:v>21.3</x:v>
      </x:c>
      <x:c r="E65" t="n">
        <x:v>1.9</x:v>
      </x:c>
      <x:c r="F65" t="str">
        <x:v>主食</x:v>
      </x:c>
      <x:c r="G65" t="str">
        <x:v>熟重</x:v>
      </x:c>
      <x:c r="H65" t="str">
        <x:v>常见食物规划估值，非单品检测</x:v>
      </x:c>
    </x:row>
    <x:row r="66" ht="23" customHeight="1">
      <x:c r="A66" t="str">
        <x:v>燕麦饭</x:v>
      </x:c>
      <x:c r="B66" t="n">
        <x:v>110</x:v>
      </x:c>
      <x:c r="C66" t="n">
        <x:v>3.2</x:v>
      </x:c>
      <x:c r="D66" t="n">
        <x:v>21</x:v>
      </x:c>
      <x:c r="E66" t="n">
        <x:v>1.8</x:v>
      </x:c>
      <x:c r="F66" t="str">
        <x:v>主食</x:v>
      </x:c>
      <x:c r="G66" t="str">
        <x:v>熟重</x:v>
      </x:c>
      <x:c r="H66" t="str">
        <x:v>常见食物规划估值，非单品检测</x:v>
      </x:c>
    </x:row>
    <x:row r="67" ht="23" customHeight="1">
      <x:c r="A67" t="str">
        <x:v>荞麦饭</x:v>
      </x:c>
      <x:c r="B67" t="n">
        <x:v>110</x:v>
      </x:c>
      <x:c r="C67" t="n">
        <x:v>3.4</x:v>
      </x:c>
      <x:c r="D67" t="n">
        <x:v>22</x:v>
      </x:c>
      <x:c r="E67" t="n">
        <x:v>1.1</x:v>
      </x:c>
      <x:c r="F67" t="str">
        <x:v>主食</x:v>
      </x:c>
      <x:c r="G67" t="str">
        <x:v>熟重</x:v>
      </x:c>
      <x:c r="H67" t="str">
        <x:v>常见食物规划估值，非单品检测</x:v>
      </x:c>
    </x:row>
    <x:row r="68" ht="23" customHeight="1">
      <x:c r="A68" t="str">
        <x:v>玉米</x:v>
      </x:c>
      <x:c r="B68" t="n">
        <x:v>105</x:v>
      </x:c>
      <x:c r="C68" t="n">
        <x:v>3.4</x:v>
      </x:c>
      <x:c r="D68" t="n">
        <x:v>22</x:v>
      </x:c>
      <x:c r="E68" t="n">
        <x:v>1.5</x:v>
      </x:c>
      <x:c r="F68" t="str">
        <x:v>主食</x:v>
      </x:c>
      <x:c r="G68" t="str">
        <x:v>蒸熟净重</x:v>
      </x:c>
      <x:c r="H68" t="str">
        <x:v>常见食物规划估值，非单品检测</x:v>
      </x:c>
    </x:row>
    <x:row r="69" ht="23" customHeight="1">
      <x:c r="A69" t="str">
        <x:v>红薯</x:v>
      </x:c>
      <x:c r="B69" t="n">
        <x:v>88</x:v>
      </x:c>
      <x:c r="C69" t="n">
        <x:v>1.6</x:v>
      </x:c>
      <x:c r="D69" t="n">
        <x:v>20.5</x:v>
      </x:c>
      <x:c r="E69" t="n">
        <x:v>0.1</x:v>
      </x:c>
      <x:c r="F69" t="str">
        <x:v>主食</x:v>
      </x:c>
      <x:c r="G69" t="str">
        <x:v>蒸熟净重</x:v>
      </x:c>
      <x:c r="H69" t="str">
        <x:v>常见食物规划估值，非单品检测</x:v>
      </x:c>
    </x:row>
    <x:row r="70" ht="23" customHeight="1">
      <x:c r="A70" t="str">
        <x:v>紫薯</x:v>
      </x:c>
      <x:c r="B70" t="n">
        <x:v>95</x:v>
      </x:c>
      <x:c r="C70" t="n">
        <x:v>1.6</x:v>
      </x:c>
      <x:c r="D70" t="n">
        <x:v>22</x:v>
      </x:c>
      <x:c r="E70" t="n">
        <x:v>0.1</x:v>
      </x:c>
      <x:c r="F70" t="str">
        <x:v>主食</x:v>
      </x:c>
      <x:c r="G70" t="str">
        <x:v>蒸熟净重</x:v>
      </x:c>
      <x:c r="H70" t="str">
        <x:v>常见食物规划估值，非单品检测</x:v>
      </x:c>
    </x:row>
    <x:row r="71" ht="23" customHeight="1">
      <x:c r="A71" t="str">
        <x:v>山药</x:v>
      </x:c>
      <x:c r="B71" t="n">
        <x:v>62</x:v>
      </x:c>
      <x:c r="C71" t="n">
        <x:v>1.5</x:v>
      </x:c>
      <x:c r="D71" t="n">
        <x:v>14.1</x:v>
      </x:c>
      <x:c r="E71" t="n">
        <x:v>0.1</x:v>
      </x:c>
      <x:c r="F71" t="str">
        <x:v>主食</x:v>
      </x:c>
      <x:c r="G71" t="str">
        <x:v>蒸熟净重</x:v>
      </x:c>
      <x:c r="H71" t="str">
        <x:v>常见食物规划估值，非单品检测</x:v>
      </x:c>
    </x:row>
    <x:row r="72" ht="23" customHeight="1">
      <x:c r="A72" t="str">
        <x:v>土豆</x:v>
      </x:c>
      <x:c r="B72" t="n">
        <x:v>78</x:v>
      </x:c>
      <x:c r="C72" t="n">
        <x:v>2</x:v>
      </x:c>
      <x:c r="D72" t="n">
        <x:v>17.2</x:v>
      </x:c>
      <x:c r="E72" t="n">
        <x:v>0.1</x:v>
      </x:c>
      <x:c r="F72" t="str">
        <x:v>主食</x:v>
      </x:c>
      <x:c r="G72" t="str">
        <x:v>蒸熟净重</x:v>
      </x:c>
      <x:c r="H72" t="str">
        <x:v>常见食物规划估值，非单品检测</x:v>
      </x:c>
    </x:row>
    <x:row r="73" ht="23" customHeight="1">
      <x:c r="A73" t="str">
        <x:v>荞麦面</x:v>
      </x:c>
      <x:c r="B73" t="n">
        <x:v>105</x:v>
      </x:c>
      <x:c r="C73" t="n">
        <x:v>4</x:v>
      </x:c>
      <x:c r="D73" t="n">
        <x:v>21</x:v>
      </x:c>
      <x:c r="E73" t="n">
        <x:v>0.7</x:v>
      </x:c>
      <x:c r="F73" t="str">
        <x:v>主食</x:v>
      </x:c>
      <x:c r="G73" t="str">
        <x:v>煮熟沥水重</x:v>
      </x:c>
      <x:c r="H73" t="str">
        <x:v>常见食物规划估值，非单品检测</x:v>
      </x:c>
    </x:row>
    <x:row r="74" ht="23" customHeight="1">
      <x:c r="A74" t="str">
        <x:v>乌冬面</x:v>
      </x:c>
      <x:c r="B74" t="n">
        <x:v>120</x:v>
      </x:c>
      <x:c r="C74" t="n">
        <x:v>2.5</x:v>
      </x:c>
      <x:c r="D74" t="n">
        <x:v>25</x:v>
      </x:c>
      <x:c r="E74" t="n">
        <x:v>0.6</x:v>
      </x:c>
      <x:c r="F74" t="str">
        <x:v>主食</x:v>
      </x:c>
      <x:c r="G74" t="str">
        <x:v>煮熟沥水重</x:v>
      </x:c>
      <x:c r="H74" t="str">
        <x:v>常见食物规划估值，非单品检测</x:v>
      </x:c>
    </x:row>
    <x:row r="75" ht="23" customHeight="1">
      <x:c r="A75" t="str">
        <x:v>全麦面</x:v>
      </x:c>
      <x:c r="B75" t="n">
        <x:v>124</x:v>
      </x:c>
      <x:c r="C75" t="n">
        <x:v>5</x:v>
      </x:c>
      <x:c r="D75" t="n">
        <x:v>25</x:v>
      </x:c>
      <x:c r="E75" t="n">
        <x:v>1.1</x:v>
      </x:c>
      <x:c r="F75" t="str">
        <x:v>主食</x:v>
      </x:c>
      <x:c r="G75" t="str">
        <x:v>煮熟沥水重</x:v>
      </x:c>
      <x:c r="H75" t="str">
        <x:v>常见食物规划估值，非单品检测</x:v>
      </x:c>
    </x:row>
    <x:row r="76" ht="23" customHeight="1">
      <x:c r="A76" t="str">
        <x:v>米粉</x:v>
      </x:c>
      <x:c r="B76" t="n">
        <x:v>110</x:v>
      </x:c>
      <x:c r="C76" t="n">
        <x:v>2</x:v>
      </x:c>
      <x:c r="D76" t="n">
        <x:v>24</x:v>
      </x:c>
      <x:c r="E76" t="n">
        <x:v>0.4</x:v>
      </x:c>
      <x:c r="F76" t="str">
        <x:v>主食</x:v>
      </x:c>
      <x:c r="G76" t="str">
        <x:v>煮熟沥水重</x:v>
      </x:c>
      <x:c r="H76" t="str">
        <x:v>常见食物规划估值，非单品检测</x:v>
      </x:c>
    </x:row>
    <x:row r="77" ht="23" customHeight="1">
      <x:c r="A77" t="str">
        <x:v>魔芋丝</x:v>
      </x:c>
      <x:c r="B77" t="n">
        <x:v>9</x:v>
      </x:c>
      <x:c r="C77" t="n">
        <x:v>0.3</x:v>
      </x:c>
      <x:c r="D77" t="n">
        <x:v>2</x:v>
      </x:c>
      <x:c r="E77" t="n">
        <x:v>0</x:v>
      </x:c>
      <x:c r="F77" t="str">
        <x:v>低主食</x:v>
      </x:c>
      <x:c r="G77" t="str">
        <x:v>沥水重</x:v>
      </x:c>
      <x:c r="H77" t="str">
        <x:v>常见食物规划估值，非单品检测</x:v>
      </x:c>
    </x:row>
    <x:row r="78" ht="23" customHeight="1">
      <x:c r="A78" t="str">
        <x:v>烹调油</x:v>
      </x:c>
      <x:c r="B78" t="n">
        <x:v>900</x:v>
      </x:c>
      <x:c r="C78" t="n">
        <x:v>0</x:v>
      </x:c>
      <x:c r="D78" t="n">
        <x:v>0</x:v>
      </x:c>
      <x:c r="E78" t="n">
        <x:v>100</x:v>
      </x:c>
      <x:c r="F78" t="str">
        <x:v>油脂</x:v>
      </x:c>
      <x:c r="G78" t="str">
        <x:v>实际用油重</x:v>
      </x:c>
      <x:c r="H78" t="str">
        <x:v>常见食物规划估值，非单品检测</x:v>
      </x:c>
    </x:row>
  </x:sheetData>
  <x:pageMargins left="0.7" right="0.7" top="0.75" bottom="0.75" header="0.3" footer="0.3"/>
  <x:tableParts count="1">
    <x:tablePart xmlns:r="http://schemas.openxmlformats.org/officeDocument/2006/relationships" r:id="Rec11ce270049419f"/>
  </x:tableParts>
</x:worksheet>
</file>

<file path=xl/worksheets/sheet8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105" hidden="0" customWidth="1"/>
    <x:col min="3" max="3" width="84" hidden="0" customWidth="1"/>
  </x:cols>
  <x:sheetData>
    <x:row r="1" ht="29" customHeight="1">
      <x:c r="A1" s="5" t="str">
        <x:v>主题</x:v>
      </x:c>
      <x:c r="B1" s="5" t="str">
        <x:v>内容/使用规则</x:v>
      </x:c>
      <x:c r="C1" s="5" t="str">
        <x:v>来源网页</x:v>
      </x:c>
    </x:row>
    <x:row r="2" ht="45" customHeight="1">
      <x:c r="A2" t="str">
        <x:v>总体</x:v>
      </x:c>
      <x:c r="B2" s="10" t="str">
        <x:v>原创排列组合，不代表逐道菜来自外部食谱；按可得食材自由替换。</x:v>
      </x:c>
      <x:c r="C2" s="10" t="str"/>
    </x:row>
    <x:row r="3" ht="45" customHeight="1">
      <x:c r="A3" t="str">
        <x:v>餐盘法</x:v>
      </x:c>
      <x:c r="B3" s="10" t="str">
        <x:v>蔬菜约半盘、蛋白质四分之一、谷薯主食四分之一；可按个人需要调整。</x:v>
      </x:c>
      <x:c r="C3" s="10" t="str">
        <x:v>https://www.cdc.gov/diabetes/healthy-eating/diabetes-meal-planning.html</x:v>
      </x:c>
    </x:row>
    <x:row r="4" ht="45" customHeight="1">
      <x:c r="A4" t="str">
        <x:v>中国居民膳食指南</x:v>
      </x:c>
      <x:c r="B4" s="10" t="str">
        <x:v>建议餐餐有蔬菜，日新鲜蔬菜不少于300g，深色蔬菜占一半；主食应保留，做到食物多样。</x:v>
      </x:c>
      <x:c r="C4" s="10" t="str">
        <x:v>https://www.cnsoc.org/bookpublica/0522202019.html</x:v>
      </x:c>
    </x:row>
    <x:row r="5" ht="45" customHeight="1">
      <x:c r="A5" t="str">
        <x:v>油盐添加糖</x:v>
      </x:c>
      <x:c r="B5" s="10" t="str">
        <x:v>成年人每日盐&lt;5g，油一般25—30g；少深加工肉，少高盐和添加糖。</x:v>
      </x:c>
      <x:c r="C5" s="10" t="str">
        <x:v>https://www.cnsoc.org/bookpublica/0522202019.html</x:v>
      </x:c>
    </x:row>
    <x:row r="6" ht="45" customHeight="1">
      <x:c r="A6" t="str">
        <x:v>成分数据</x:v>
      </x:c>
      <x:c r="B6" s="10" t="str">
        <x:v>参考食物成分表及 FoodData Central 的常见食材代表值，均为本表的规划估值；具体标签、部位和烹法会偏离。</x:v>
      </x:c>
      <x:c r="C6" s="10" t="str">
        <x:v>https://fdc.nal.usda.gov/food-search/</x:v>
      </x:c>
    </x:row>
    <x:row r="7" ht="45" customHeight="1">
      <x:c r="A7" t="str">
        <x:v>食材称重</x:v>
      </x:c>
      <x:c r="B7" s="10" t="str">
        <x:v>禽畜鱼虾及蔬菜：生的可食净重；米饭面条等：熟重；薯类：蒸熟净重；魔芋丝沥水重；蛋去壳重。</x:v>
      </x:c>
      <x:c r="C7" s="10" t="str"/>
    </x:row>
    <x:row r="8" ht="45" customHeight="1">
      <x:c r="A8" t="str">
        <x:v>调料热量</x:v>
      </x:c>
      <x:c r="B8" s="10" t="str">
        <x:v>只把烹调油纳入热量估值；通常5—10g的低盐生抽、少量蚝油及其他调味品未逐一计入；若加入糖/酱汁/坚果请另算。</x:v>
      </x:c>
      <x:c r="C8" s="10" t="str"/>
    </x:row>
    <x:row r="9" ht="45" customHeight="1">
      <x:c r="A9" t="str">
        <x:v>特殊菜</x:v>
      </x:c>
      <x:c r="B9" s="10" t="str">
        <x:v>奥尔良：无糖香辛料自配；照烧：无糖低钠风味，不等于传统含糖照烧酱；火腿和肥牛极少出现。</x:v>
      </x:c>
      <x:c r="C9" s="10" t="str"/>
    </x:row>
    <x:row r="10" ht="45" customHeight="1">
      <x:c r="A10" t="str">
        <x:v>计算方式</x:v>
      </x:c>
      <x:c r="B10" s="10" t="str">
        <x:v>食材明细工作表的每个食材贡献=实际g×每100g估值/100；菜单按每6项求和，热量四舍五入。</x:v>
      </x:c>
      <x:c r="C10" s="10" t="str"/>
    </x:row>
    <x:row r="11" ht="45" customHeight="1">
      <x:c r="A11" t="str">
        <x:v>提醒</x:v>
      </x:c>
      <x:c r="B11" s="10" t="str">
        <x:v>低卡不等于极低碳。两餐总量不等于全天需求，仍应安排早餐、蔬果、奶和其他必要营养。</x:v>
      </x:c>
      <x:c r="C11" s="10" t="str"/>
    </x:row>
    <x:row r="12" ht="45" customHeight="1">
      <x:c r="A12" t="str">
        <x:v>食物安全</x:v>
      </x:c>
      <x:c r="B12" s="10" t="str">
        <x:v>鸡肉/禽肉内部达到74°C；充分煮熟鱼肉、蛋和四季豆；生熟工具分开。</x:v>
      </x:c>
      <x:c r="C12" s="10" t="str">
        <x:v>https://www.foodsafety.gov/food-safety-charts/safe-minimum-internal-temperatures</x:v>
      </x:c>
    </x:row>
    <x:row r="13" ht="45" customHeight="1">
      <x:c r="A13" t="str">
        <x:v>使用</x:v>
      </x:c>
      <x:c r="B13" s="10" t="str">
        <x:v>先筛选「730餐菜单」，想看某餐详细原料用「食材明细」菜单编号筛选，采购单按照周次筛选。</x:v>
      </x:c>
      <x:c r="C13" s="10" t="str"/>
    </x:row>
    <x:row r="14" ht="45" customHeight="1">
      <x:c r="A14" t="str">
        <x:v>更新</x:v>
      </x:c>
      <x:c r="B14" s="10" t="str">
        <x:v>若在食材明细里更改用量，菜单宏量值会更新；但菜单的食材文字和预生成采购单不会自动改变。</x:v>
      </x:c>
      <x:c r="C14" s="10" t="str"/>
    </x:row>
  </x:sheetData>
  <x:pageMargins left="0.7" right="0.7" top="0.75" bottom="0.75" header="0.3" footer="0.3"/>
</x:worksheet>
</file>